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Research Queue" sheetId="2" state="visible" r:id="rId2"/>
    <sheet xmlns:r="http://schemas.openxmlformats.org/officeDocument/2006/relationships" name="Company Hitlist" sheetId="3" state="visible" r:id="rId3"/>
    <sheet xmlns:r="http://schemas.openxmlformats.org/officeDocument/2006/relationships" name="People Hitlist" sheetId="4" state="visible" r:id="rId4"/>
  </sheets>
  <definedNames>
    <definedName name="_xlnm._FilterDatabase" localSheetId="1" hidden="1">'Research Queue'!$A$1:$J$1</definedName>
    <definedName name="_xlnm._FilterDatabase" localSheetId="2" hidden="1">'Company Hitlist'!$A$1:$AA$1</definedName>
    <definedName name="_xlnm._FilterDatabase" localSheetId="3" hidden="1">'People Hitlist'!$A$1:$S$1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w_base_score</t>
        </is>
      </c>
      <c r="B2" t="n">
        <v>1</v>
      </c>
    </row>
    <row r="3">
      <c r="A3" t="inlineStr">
        <is>
          <t>w_facilities</t>
        </is>
      </c>
      <c r="B3" t="n">
        <v>0.45</v>
      </c>
    </row>
    <row r="4">
      <c r="A4" t="inlineStr">
        <is>
          <t>w_confidence</t>
        </is>
      </c>
      <c r="B4" t="n">
        <v>1</v>
      </c>
    </row>
    <row r="5">
      <c r="A5" t="inlineStr">
        <is>
          <t>max_facilities_cap</t>
        </is>
      </c>
      <c r="B5" t="n">
        <v>500</v>
      </c>
    </row>
    <row r="7">
      <c r="A7" t="inlineStr">
        <is>
          <t>Notes</t>
        </is>
      </c>
    </row>
    <row r="8">
      <c r="A8" t="inlineStr">
        <is>
          <t>Priority_Score = (Score*w_base_score) + (MIN(Facilities_Est,cap) * w_facilities * (Confidence/100) * w_confidence)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Company</t>
        </is>
      </c>
      <c r="B1" s="2" t="inlineStr">
        <is>
          <t>Tier</t>
        </is>
      </c>
      <c r="C1" s="2" t="inlineStr">
        <is>
          <t>Score</t>
        </is>
      </c>
      <c r="D1" s="2" t="inlineStr">
        <is>
          <t>Facilities_Est</t>
        </is>
      </c>
      <c r="E1" s="2" t="inlineStr">
        <is>
          <t>Confidence</t>
        </is>
      </c>
      <c r="F1" s="2" t="inlineStr">
        <is>
          <t>Evidence_URL_1</t>
        </is>
      </c>
      <c r="G1" s="2" t="inlineStr">
        <is>
          <t>Method</t>
        </is>
      </c>
      <c r="H1" s="2" t="inlineStr">
        <is>
          <t>Notes</t>
        </is>
      </c>
      <c r="I1" s="2" t="inlineStr">
        <is>
          <t>Assigned_To</t>
        </is>
      </c>
      <c r="J1" s="2" t="inlineStr">
        <is>
          <t>Status</t>
        </is>
      </c>
    </row>
    <row r="2">
      <c r="A2" t="inlineStr">
        <is>
          <t>Ajinomoto Foods North America, Inc.</t>
        </is>
      </c>
      <c r="B2" t="inlineStr">
        <is>
          <t>Tier 3</t>
        </is>
      </c>
      <c r="C2" t="n">
        <v>55</v>
      </c>
      <c r="D2">
        <f>IFERROR(INDEX('Company Hitlist'!$Q:$Q,MATCH($A2,'Company Hitlist'!$A:$A,0)),)</f>
        <v/>
      </c>
      <c r="E2">
        <f>IFERROR(INDEX('Company Hitlist'!$W:$W,MATCH($A2,'Company Hitlist'!$A:$A,0)),)</f>
        <v/>
      </c>
      <c r="F2">
        <f>IFERROR(INDEX('Company Hitlist'!$T:$T,MATCH($A2,'Company Hitlist'!$A:$A,0)),)</f>
        <v/>
      </c>
      <c r="G2">
        <f>IFERROR(INDEX('Company Hitlist'!$V:$V,MATCH($A2,'Company Hitlist'!$A:$A,0)),)</f>
        <v/>
      </c>
      <c r="J2" t="inlineStr">
        <is>
          <t>todo</t>
        </is>
      </c>
    </row>
    <row r="3">
      <c r="A3" t="inlineStr">
        <is>
          <t>CHS, Inc.</t>
        </is>
      </c>
      <c r="B3" t="inlineStr">
        <is>
          <t>Tier 3</t>
        </is>
      </c>
      <c r="C3" t="n">
        <v>52</v>
      </c>
      <c r="D3">
        <f>IFERROR(INDEX('Company Hitlist'!$Q:$Q,MATCH($A3,'Company Hitlist'!$A:$A,0)),)</f>
        <v/>
      </c>
      <c r="E3">
        <f>IFERROR(INDEX('Company Hitlist'!$W:$W,MATCH($A3,'Company Hitlist'!$A:$A,0)),)</f>
        <v/>
      </c>
      <c r="F3">
        <f>IFERROR(INDEX('Company Hitlist'!$T:$T,MATCH($A3,'Company Hitlist'!$A:$A,0)),)</f>
        <v/>
      </c>
      <c r="G3">
        <f>IFERROR(INDEX('Company Hitlist'!$V:$V,MATCH($A3,'Company Hitlist'!$A:$A,0)),)</f>
        <v/>
      </c>
      <c r="J3" t="inlineStr">
        <is>
          <t>todo</t>
        </is>
      </c>
    </row>
    <row r="4">
      <c r="A4" t="inlineStr">
        <is>
          <t>APL Logistics</t>
        </is>
      </c>
      <c r="B4" t="inlineStr">
        <is>
          <t>Tier 3</t>
        </is>
      </c>
      <c r="C4" t="n">
        <v>51</v>
      </c>
      <c r="D4">
        <f>IFERROR(INDEX('Company Hitlist'!$Q:$Q,MATCH($A4,'Company Hitlist'!$A:$A,0)),)</f>
        <v/>
      </c>
      <c r="E4">
        <f>IFERROR(INDEX('Company Hitlist'!$W:$W,MATCH($A4,'Company Hitlist'!$A:$A,0)),)</f>
        <v/>
      </c>
      <c r="F4">
        <f>IFERROR(INDEX('Company Hitlist'!$T:$T,MATCH($A4,'Company Hitlist'!$A:$A,0)),)</f>
        <v/>
      </c>
      <c r="G4">
        <f>IFERROR(INDEX('Company Hitlist'!$V:$V,MATCH($A4,'Company Hitlist'!$A:$A,0)),)</f>
        <v/>
      </c>
      <c r="J4" t="inlineStr">
        <is>
          <t>todo</t>
        </is>
      </c>
    </row>
    <row r="5">
      <c r="A5" t="inlineStr">
        <is>
          <t>BarkBox</t>
        </is>
      </c>
      <c r="B5" t="inlineStr">
        <is>
          <t>Tier 3</t>
        </is>
      </c>
      <c r="C5" t="n">
        <v>50</v>
      </c>
      <c r="D5">
        <f>IFERROR(INDEX('Company Hitlist'!$Q:$Q,MATCH($A5,'Company Hitlist'!$A:$A,0)),)</f>
        <v/>
      </c>
      <c r="E5">
        <f>IFERROR(INDEX('Company Hitlist'!$W:$W,MATCH($A5,'Company Hitlist'!$A:$A,0)),)</f>
        <v/>
      </c>
      <c r="F5">
        <f>IFERROR(INDEX('Company Hitlist'!$T:$T,MATCH($A5,'Company Hitlist'!$A:$A,0)),)</f>
        <v/>
      </c>
      <c r="G5">
        <f>IFERROR(INDEX('Company Hitlist'!$V:$V,MATCH($A5,'Company Hitlist'!$A:$A,0)),)</f>
        <v/>
      </c>
      <c r="J5" t="inlineStr">
        <is>
          <t>todo</t>
        </is>
      </c>
    </row>
    <row r="6">
      <c r="A6" t="inlineStr">
        <is>
          <t>Logitech</t>
        </is>
      </c>
      <c r="B6" t="inlineStr">
        <is>
          <t>Tier 3</t>
        </is>
      </c>
      <c r="C6" t="n">
        <v>50</v>
      </c>
      <c r="D6">
        <f>IFERROR(INDEX('Company Hitlist'!$Q:$Q,MATCH($A6,'Company Hitlist'!$A:$A,0)),)</f>
        <v/>
      </c>
      <c r="E6">
        <f>IFERROR(INDEX('Company Hitlist'!$W:$W,MATCH($A6,'Company Hitlist'!$A:$A,0)),)</f>
        <v/>
      </c>
      <c r="F6">
        <f>IFERROR(INDEX('Company Hitlist'!$T:$T,MATCH($A6,'Company Hitlist'!$A:$A,0)),)</f>
        <v/>
      </c>
      <c r="G6">
        <f>IFERROR(INDEX('Company Hitlist'!$V:$V,MATCH($A6,'Company Hitlist'!$A:$A,0)),)</f>
        <v/>
      </c>
      <c r="J6" t="inlineStr">
        <is>
          <t>todo</t>
        </is>
      </c>
    </row>
    <row r="7">
      <c r="A7" t="inlineStr">
        <is>
          <t>Stitch Fix</t>
        </is>
      </c>
      <c r="B7" t="inlineStr">
        <is>
          <t>Tier 3</t>
        </is>
      </c>
      <c r="C7" t="n">
        <v>50</v>
      </c>
      <c r="D7">
        <f>IFERROR(INDEX('Company Hitlist'!$Q:$Q,MATCH($A7,'Company Hitlist'!$A:$A,0)),)</f>
        <v/>
      </c>
      <c r="E7">
        <f>IFERROR(INDEX('Company Hitlist'!$W:$W,MATCH($A7,'Company Hitlist'!$A:$A,0)),)</f>
        <v/>
      </c>
      <c r="F7">
        <f>IFERROR(INDEX('Company Hitlist'!$T:$T,MATCH($A7,'Company Hitlist'!$A:$A,0)),)</f>
        <v/>
      </c>
      <c r="G7">
        <f>IFERROR(INDEX('Company Hitlist'!$V:$V,MATCH($A7,'Company Hitlist'!$A:$A,0)),)</f>
        <v/>
      </c>
      <c r="J7" t="inlineStr">
        <is>
          <t>todo</t>
        </is>
      </c>
    </row>
    <row r="8">
      <c r="A8" t="inlineStr">
        <is>
          <t>AEO</t>
        </is>
      </c>
      <c r="B8" t="inlineStr">
        <is>
          <t>Tier 3</t>
        </is>
      </c>
      <c r="C8" t="n">
        <v>48</v>
      </c>
      <c r="D8">
        <f>IFERROR(INDEX('Company Hitlist'!$Q:$Q,MATCH($A8,'Company Hitlist'!$A:$A,0)),)</f>
        <v/>
      </c>
      <c r="E8">
        <f>IFERROR(INDEX('Company Hitlist'!$W:$W,MATCH($A8,'Company Hitlist'!$A:$A,0)),)</f>
        <v/>
      </c>
      <c r="F8">
        <f>IFERROR(INDEX('Company Hitlist'!$T:$T,MATCH($A8,'Company Hitlist'!$A:$A,0)),)</f>
        <v/>
      </c>
      <c r="G8">
        <f>IFERROR(INDEX('Company Hitlist'!$V:$V,MATCH($A8,'Company Hitlist'!$A:$A,0)),)</f>
        <v/>
      </c>
      <c r="J8" t="inlineStr">
        <is>
          <t>todo</t>
        </is>
      </c>
    </row>
    <row r="9">
      <c r="A9" t="inlineStr">
        <is>
          <t>Johnson &amp; Johnson</t>
        </is>
      </c>
      <c r="B9" t="inlineStr">
        <is>
          <t>Tier 3</t>
        </is>
      </c>
      <c r="C9" t="n">
        <v>46</v>
      </c>
      <c r="D9">
        <f>IFERROR(INDEX('Company Hitlist'!$Q:$Q,MATCH($A9,'Company Hitlist'!$A:$A,0)),)</f>
        <v/>
      </c>
      <c r="E9">
        <f>IFERROR(INDEX('Company Hitlist'!$W:$W,MATCH($A9,'Company Hitlist'!$A:$A,0)),)</f>
        <v/>
      </c>
      <c r="F9">
        <f>IFERROR(INDEX('Company Hitlist'!$T:$T,MATCH($A9,'Company Hitlist'!$A:$A,0)),)</f>
        <v/>
      </c>
      <c r="G9">
        <f>IFERROR(INDEX('Company Hitlist'!$V:$V,MATCH($A9,'Company Hitlist'!$A:$A,0)),)</f>
        <v/>
      </c>
      <c r="J9" t="inlineStr">
        <is>
          <t>todo</t>
        </is>
      </c>
    </row>
    <row r="10">
      <c r="A10" t="inlineStr">
        <is>
          <t>Kenco</t>
        </is>
      </c>
      <c r="B10" t="inlineStr">
        <is>
          <t>Tier 3</t>
        </is>
      </c>
      <c r="C10" t="n">
        <v>46</v>
      </c>
      <c r="D10">
        <f>IFERROR(INDEX('Company Hitlist'!$Q:$Q,MATCH($A10,'Company Hitlist'!$A:$A,0)),)</f>
        <v/>
      </c>
      <c r="E10">
        <f>IFERROR(INDEX('Company Hitlist'!$W:$W,MATCH($A10,'Company Hitlist'!$A:$A,0)),)</f>
        <v/>
      </c>
      <c r="F10">
        <f>IFERROR(INDEX('Company Hitlist'!$T:$T,MATCH($A10,'Company Hitlist'!$A:$A,0)),)</f>
        <v/>
      </c>
      <c r="G10">
        <f>IFERROR(INDEX('Company Hitlist'!$V:$V,MATCH($A10,'Company Hitlist'!$A:$A,0)),)</f>
        <v/>
      </c>
      <c r="J10" t="inlineStr">
        <is>
          <t>todo</t>
        </is>
      </c>
    </row>
    <row r="11">
      <c r="A11" t="inlineStr">
        <is>
          <t>Caraway</t>
        </is>
      </c>
      <c r="B11" t="inlineStr">
        <is>
          <t>Tier 3</t>
        </is>
      </c>
      <c r="C11" t="n">
        <v>45</v>
      </c>
      <c r="D11">
        <f>IFERROR(INDEX('Company Hitlist'!$Q:$Q,MATCH($A11,'Company Hitlist'!$A:$A,0)),)</f>
        <v/>
      </c>
      <c r="E11">
        <f>IFERROR(INDEX('Company Hitlist'!$W:$W,MATCH($A11,'Company Hitlist'!$A:$A,0)),)</f>
        <v/>
      </c>
      <c r="F11">
        <f>IFERROR(INDEX('Company Hitlist'!$T:$T,MATCH($A11,'Company Hitlist'!$A:$A,0)),)</f>
        <v/>
      </c>
      <c r="G11">
        <f>IFERROR(INDEX('Company Hitlist'!$V:$V,MATCH($A11,'Company Hitlist'!$A:$A,0)),)</f>
        <v/>
      </c>
      <c r="J11" t="inlineStr">
        <is>
          <t>todo</t>
        </is>
      </c>
    </row>
    <row r="12">
      <c r="A12" t="inlineStr">
        <is>
          <t>Aterian</t>
        </is>
      </c>
      <c r="B12" t="inlineStr">
        <is>
          <t>Tier 3</t>
        </is>
      </c>
      <c r="C12" t="n">
        <v>45</v>
      </c>
      <c r="D12">
        <f>IFERROR(INDEX('Company Hitlist'!$Q:$Q,MATCH($A12,'Company Hitlist'!$A:$A,0)),)</f>
        <v/>
      </c>
      <c r="E12">
        <f>IFERROR(INDEX('Company Hitlist'!$W:$W,MATCH($A12,'Company Hitlist'!$A:$A,0)),)</f>
        <v/>
      </c>
      <c r="F12">
        <f>IFERROR(INDEX('Company Hitlist'!$T:$T,MATCH($A12,'Company Hitlist'!$A:$A,0)),)</f>
        <v/>
      </c>
      <c r="G12">
        <f>IFERROR(INDEX('Company Hitlist'!$V:$V,MATCH($A12,'Company Hitlist'!$A:$A,0)),)</f>
        <v/>
      </c>
      <c r="J12" t="inlineStr">
        <is>
          <t>todo</t>
        </is>
      </c>
    </row>
    <row r="13">
      <c r="A13" t="inlineStr">
        <is>
          <t>Globe Electric</t>
        </is>
      </c>
      <c r="B13" t="inlineStr">
        <is>
          <t>Tier 3</t>
        </is>
      </c>
      <c r="C13" t="n">
        <v>45</v>
      </c>
      <c r="D13">
        <f>IFERROR(INDEX('Company Hitlist'!$Q:$Q,MATCH($A13,'Company Hitlist'!$A:$A,0)),)</f>
        <v/>
      </c>
      <c r="E13">
        <f>IFERROR(INDEX('Company Hitlist'!$W:$W,MATCH($A13,'Company Hitlist'!$A:$A,0)),)</f>
        <v/>
      </c>
      <c r="F13">
        <f>IFERROR(INDEX('Company Hitlist'!$T:$T,MATCH($A13,'Company Hitlist'!$A:$A,0)),)</f>
        <v/>
      </c>
      <c r="G13">
        <f>IFERROR(INDEX('Company Hitlist'!$V:$V,MATCH($A13,'Company Hitlist'!$A:$A,0)),)</f>
        <v/>
      </c>
      <c r="J13" t="inlineStr">
        <is>
          <t>todo</t>
        </is>
      </c>
    </row>
    <row r="14">
      <c r="A14" t="inlineStr">
        <is>
          <t>Grocery Outlet</t>
        </is>
      </c>
      <c r="B14" t="inlineStr">
        <is>
          <t>Tier 3</t>
        </is>
      </c>
      <c r="C14" t="n">
        <v>45</v>
      </c>
      <c r="D14">
        <f>IFERROR(INDEX('Company Hitlist'!$Q:$Q,MATCH($A14,'Company Hitlist'!$A:$A,0)),)</f>
        <v/>
      </c>
      <c r="E14">
        <f>IFERROR(INDEX('Company Hitlist'!$W:$W,MATCH($A14,'Company Hitlist'!$A:$A,0)),)</f>
        <v/>
      </c>
      <c r="F14">
        <f>IFERROR(INDEX('Company Hitlist'!$T:$T,MATCH($A14,'Company Hitlist'!$A:$A,0)),)</f>
        <v/>
      </c>
      <c r="G14">
        <f>IFERROR(INDEX('Company Hitlist'!$V:$V,MATCH($A14,'Company Hitlist'!$A:$A,0)),)</f>
        <v/>
      </c>
      <c r="J14" t="inlineStr">
        <is>
          <t>todo</t>
        </is>
      </c>
    </row>
    <row r="15">
      <c r="A15" t="inlineStr">
        <is>
          <t>Microsoft</t>
        </is>
      </c>
      <c r="B15" t="inlineStr">
        <is>
          <t>Tier 3</t>
        </is>
      </c>
      <c r="C15" t="n">
        <v>45</v>
      </c>
      <c r="D15">
        <f>IFERROR(INDEX('Company Hitlist'!$Q:$Q,MATCH($A15,'Company Hitlist'!$A:$A,0)),)</f>
        <v/>
      </c>
      <c r="E15">
        <f>IFERROR(INDEX('Company Hitlist'!$W:$W,MATCH($A15,'Company Hitlist'!$A:$A,0)),)</f>
        <v/>
      </c>
      <c r="F15">
        <f>IFERROR(INDEX('Company Hitlist'!$T:$T,MATCH($A15,'Company Hitlist'!$A:$A,0)),)</f>
        <v/>
      </c>
      <c r="G15">
        <f>IFERROR(INDEX('Company Hitlist'!$V:$V,MATCH($A15,'Company Hitlist'!$A:$A,0)),)</f>
        <v/>
      </c>
      <c r="J15" t="inlineStr">
        <is>
          <t>todo</t>
        </is>
      </c>
    </row>
    <row r="16">
      <c r="A16" t="inlineStr">
        <is>
          <t>Nutrabolt</t>
        </is>
      </c>
      <c r="B16" t="inlineStr">
        <is>
          <t>Tier 3</t>
        </is>
      </c>
      <c r="C16" t="n">
        <v>45</v>
      </c>
      <c r="D16">
        <f>IFERROR(INDEX('Company Hitlist'!$Q:$Q,MATCH($A16,'Company Hitlist'!$A:$A,0)),)</f>
        <v/>
      </c>
      <c r="E16">
        <f>IFERROR(INDEX('Company Hitlist'!$W:$W,MATCH($A16,'Company Hitlist'!$A:$A,0)),)</f>
        <v/>
      </c>
      <c r="F16">
        <f>IFERROR(INDEX('Company Hitlist'!$T:$T,MATCH($A16,'Company Hitlist'!$A:$A,0)),)</f>
        <v/>
      </c>
      <c r="G16">
        <f>IFERROR(INDEX('Company Hitlist'!$V:$V,MATCH($A16,'Company Hitlist'!$A:$A,0)),)</f>
        <v/>
      </c>
      <c r="J16" t="inlineStr">
        <is>
          <t>todo</t>
        </is>
      </c>
    </row>
    <row r="17">
      <c r="A17" t="inlineStr">
        <is>
          <t>Zazzle</t>
        </is>
      </c>
      <c r="B17" t="inlineStr">
        <is>
          <t>Tier 3</t>
        </is>
      </c>
      <c r="C17" t="n">
        <v>45</v>
      </c>
      <c r="D17">
        <f>IFERROR(INDEX('Company Hitlist'!$Q:$Q,MATCH($A17,'Company Hitlist'!$A:$A,0)),)</f>
        <v/>
      </c>
      <c r="E17">
        <f>IFERROR(INDEX('Company Hitlist'!$W:$W,MATCH($A17,'Company Hitlist'!$A:$A,0)),)</f>
        <v/>
      </c>
      <c r="F17">
        <f>IFERROR(INDEX('Company Hitlist'!$T:$T,MATCH($A17,'Company Hitlist'!$A:$A,0)),)</f>
        <v/>
      </c>
      <c r="G17">
        <f>IFERROR(INDEX('Company Hitlist'!$V:$V,MATCH($A17,'Company Hitlist'!$A:$A,0)),)</f>
        <v/>
      </c>
      <c r="J17" t="inlineStr">
        <is>
          <t>todo</t>
        </is>
      </c>
    </row>
    <row r="18">
      <c r="A18" t="inlineStr">
        <is>
          <t>The Coca-Cola Company</t>
        </is>
      </c>
      <c r="B18" t="inlineStr">
        <is>
          <t>Tier 3</t>
        </is>
      </c>
      <c r="C18" t="n">
        <v>45</v>
      </c>
      <c r="D18">
        <f>IFERROR(INDEX('Company Hitlist'!$Q:$Q,MATCH($A18,'Company Hitlist'!$A:$A,0)),)</f>
        <v/>
      </c>
      <c r="E18">
        <f>IFERROR(INDEX('Company Hitlist'!$W:$W,MATCH($A18,'Company Hitlist'!$A:$A,0)),)</f>
        <v/>
      </c>
      <c r="F18">
        <f>IFERROR(INDEX('Company Hitlist'!$T:$T,MATCH($A18,'Company Hitlist'!$A:$A,0)),)</f>
        <v/>
      </c>
      <c r="G18">
        <f>IFERROR(INDEX('Company Hitlist'!$V:$V,MATCH($A18,'Company Hitlist'!$A:$A,0)),)</f>
        <v/>
      </c>
      <c r="J18" t="inlineStr">
        <is>
          <t>todo</t>
        </is>
      </c>
    </row>
    <row r="19">
      <c r="A19" t="inlineStr">
        <is>
          <t>CBRE</t>
        </is>
      </c>
      <c r="B19" t="inlineStr">
        <is>
          <t>Tier 3</t>
        </is>
      </c>
      <c r="C19" t="n">
        <v>44</v>
      </c>
      <c r="D19">
        <f>IFERROR(INDEX('Company Hitlist'!$Q:$Q,MATCH($A19,'Company Hitlist'!$A:$A,0)),)</f>
        <v/>
      </c>
      <c r="E19">
        <f>IFERROR(INDEX('Company Hitlist'!$W:$W,MATCH($A19,'Company Hitlist'!$A:$A,0)),)</f>
        <v/>
      </c>
      <c r="F19">
        <f>IFERROR(INDEX('Company Hitlist'!$T:$T,MATCH($A19,'Company Hitlist'!$A:$A,0)),)</f>
        <v/>
      </c>
      <c r="G19">
        <f>IFERROR(INDEX('Company Hitlist'!$V:$V,MATCH($A19,'Company Hitlist'!$A:$A,0)),)</f>
        <v/>
      </c>
      <c r="J19" t="inlineStr">
        <is>
          <t>todo</t>
        </is>
      </c>
    </row>
    <row r="20">
      <c r="A20" t="inlineStr">
        <is>
          <t>Arizona Public Service</t>
        </is>
      </c>
      <c r="B20" t="inlineStr">
        <is>
          <t>Tier 3</t>
        </is>
      </c>
      <c r="C20" t="n">
        <v>43</v>
      </c>
      <c r="D20">
        <f>IFERROR(INDEX('Company Hitlist'!$Q:$Q,MATCH($A20,'Company Hitlist'!$A:$A,0)),)</f>
        <v/>
      </c>
      <c r="E20">
        <f>IFERROR(INDEX('Company Hitlist'!$W:$W,MATCH($A20,'Company Hitlist'!$A:$A,0)),)</f>
        <v/>
      </c>
      <c r="F20">
        <f>IFERROR(INDEX('Company Hitlist'!$T:$T,MATCH($A20,'Company Hitlist'!$A:$A,0)),)</f>
        <v/>
      </c>
      <c r="G20">
        <f>IFERROR(INDEX('Company Hitlist'!$V:$V,MATCH($A20,'Company Hitlist'!$A:$A,0)),)</f>
        <v/>
      </c>
      <c r="J20" t="inlineStr">
        <is>
          <t>todo</t>
        </is>
      </c>
    </row>
    <row r="21">
      <c r="A21" t="inlineStr">
        <is>
          <t>Google</t>
        </is>
      </c>
      <c r="B21" t="inlineStr">
        <is>
          <t>Tier 3</t>
        </is>
      </c>
      <c r="C21" t="n">
        <v>43</v>
      </c>
      <c r="D21">
        <f>IFERROR(INDEX('Company Hitlist'!$Q:$Q,MATCH($A21,'Company Hitlist'!$A:$A,0)),)</f>
        <v/>
      </c>
      <c r="E21">
        <f>IFERROR(INDEX('Company Hitlist'!$W:$W,MATCH($A21,'Company Hitlist'!$A:$A,0)),)</f>
        <v/>
      </c>
      <c r="F21">
        <f>IFERROR(INDEX('Company Hitlist'!$T:$T,MATCH($A21,'Company Hitlist'!$A:$A,0)),)</f>
        <v/>
      </c>
      <c r="G21">
        <f>IFERROR(INDEX('Company Hitlist'!$V:$V,MATCH($A21,'Company Hitlist'!$A:$A,0)),)</f>
        <v/>
      </c>
      <c r="J21" t="inlineStr">
        <is>
          <t>todo</t>
        </is>
      </c>
    </row>
    <row r="22">
      <c r="A22" t="inlineStr">
        <is>
          <t>HD Supply</t>
        </is>
      </c>
      <c r="B22" t="inlineStr">
        <is>
          <t>Tier 3</t>
        </is>
      </c>
      <c r="C22" t="n">
        <v>43</v>
      </c>
      <c r="D22">
        <f>IFERROR(INDEX('Company Hitlist'!$Q:$Q,MATCH($A22,'Company Hitlist'!$A:$A,0)),)</f>
        <v/>
      </c>
      <c r="E22">
        <f>IFERROR(INDEX('Company Hitlist'!$W:$W,MATCH($A22,'Company Hitlist'!$A:$A,0)),)</f>
        <v/>
      </c>
      <c r="F22">
        <f>IFERROR(INDEX('Company Hitlist'!$T:$T,MATCH($A22,'Company Hitlist'!$A:$A,0)),)</f>
        <v/>
      </c>
      <c r="G22">
        <f>IFERROR(INDEX('Company Hitlist'!$V:$V,MATCH($A22,'Company Hitlist'!$A:$A,0)),)</f>
        <v/>
      </c>
      <c r="J22" t="inlineStr">
        <is>
          <t>todo</t>
        </is>
      </c>
    </row>
    <row r="23">
      <c r="A23" t="inlineStr">
        <is>
          <t>Dairy Famers of America</t>
        </is>
      </c>
      <c r="B23" t="inlineStr">
        <is>
          <t>Tier 3</t>
        </is>
      </c>
      <c r="C23" t="n">
        <v>42</v>
      </c>
      <c r="D23">
        <f>IFERROR(INDEX('Company Hitlist'!$Q:$Q,MATCH($A23,'Company Hitlist'!$A:$A,0)),)</f>
        <v/>
      </c>
      <c r="E23">
        <f>IFERROR(INDEX('Company Hitlist'!$W:$W,MATCH($A23,'Company Hitlist'!$A:$A,0)),)</f>
        <v/>
      </c>
      <c r="F23">
        <f>IFERROR(INDEX('Company Hitlist'!$T:$T,MATCH($A23,'Company Hitlist'!$A:$A,0)),)</f>
        <v/>
      </c>
      <c r="G23">
        <f>IFERROR(INDEX('Company Hitlist'!$V:$V,MATCH($A23,'Company Hitlist'!$A:$A,0)),)</f>
        <v/>
      </c>
      <c r="J23" t="inlineStr">
        <is>
          <t>todo</t>
        </is>
      </c>
    </row>
    <row r="24">
      <c r="A24" t="inlineStr">
        <is>
          <t>Walmart</t>
        </is>
      </c>
      <c r="B24" t="inlineStr">
        <is>
          <t>Tier 3</t>
        </is>
      </c>
      <c r="C24" t="n">
        <v>42</v>
      </c>
      <c r="D24">
        <f>IFERROR(INDEX('Company Hitlist'!$Q:$Q,MATCH($A24,'Company Hitlist'!$A:$A,0)),)</f>
        <v/>
      </c>
      <c r="E24">
        <f>IFERROR(INDEX('Company Hitlist'!$W:$W,MATCH($A24,'Company Hitlist'!$A:$A,0)),)</f>
        <v/>
      </c>
      <c r="F24">
        <f>IFERROR(INDEX('Company Hitlist'!$T:$T,MATCH($A24,'Company Hitlist'!$A:$A,0)),)</f>
        <v/>
      </c>
      <c r="G24">
        <f>IFERROR(INDEX('Company Hitlist'!$V:$V,MATCH($A24,'Company Hitlist'!$A:$A,0)),)</f>
        <v/>
      </c>
      <c r="J24" t="inlineStr">
        <is>
          <t>todo</t>
        </is>
      </c>
    </row>
    <row r="25">
      <c r="A25" t="inlineStr">
        <is>
          <t>Prologis</t>
        </is>
      </c>
      <c r="B25" t="inlineStr">
        <is>
          <t>Tier 3</t>
        </is>
      </c>
      <c r="C25" t="n">
        <v>42</v>
      </c>
      <c r="D25">
        <f>IFERROR(INDEX('Company Hitlist'!$Q:$Q,MATCH($A25,'Company Hitlist'!$A:$A,0)),)</f>
        <v/>
      </c>
      <c r="E25">
        <f>IFERROR(INDEX('Company Hitlist'!$W:$W,MATCH($A25,'Company Hitlist'!$A:$A,0)),)</f>
        <v/>
      </c>
      <c r="F25">
        <f>IFERROR(INDEX('Company Hitlist'!$T:$T,MATCH($A25,'Company Hitlist'!$A:$A,0)),)</f>
        <v/>
      </c>
      <c r="G25">
        <f>IFERROR(INDEX('Company Hitlist'!$V:$V,MATCH($A25,'Company Hitlist'!$A:$A,0)),)</f>
        <v/>
      </c>
      <c r="J25" t="inlineStr">
        <is>
          <t>todo</t>
        </is>
      </c>
    </row>
    <row r="26">
      <c r="A26" t="inlineStr">
        <is>
          <t>Apothecary Products</t>
        </is>
      </c>
      <c r="B26" t="inlineStr">
        <is>
          <t>Tier 3</t>
        </is>
      </c>
      <c r="C26" t="n">
        <v>42</v>
      </c>
      <c r="D26">
        <f>IFERROR(INDEX('Company Hitlist'!$Q:$Q,MATCH($A26,'Company Hitlist'!$A:$A,0)),)</f>
        <v/>
      </c>
      <c r="E26">
        <f>IFERROR(INDEX('Company Hitlist'!$W:$W,MATCH($A26,'Company Hitlist'!$A:$A,0)),)</f>
        <v/>
      </c>
      <c r="F26">
        <f>IFERROR(INDEX('Company Hitlist'!$T:$T,MATCH($A26,'Company Hitlist'!$A:$A,0)),)</f>
        <v/>
      </c>
      <c r="G26">
        <f>IFERROR(INDEX('Company Hitlist'!$V:$V,MATCH($A26,'Company Hitlist'!$A:$A,0)),)</f>
        <v/>
      </c>
      <c r="J26" t="inlineStr">
        <is>
          <t>todo</t>
        </is>
      </c>
    </row>
    <row r="27">
      <c r="A27" t="inlineStr">
        <is>
          <t>Monin</t>
        </is>
      </c>
      <c r="B27" t="inlineStr">
        <is>
          <t>Tier 3</t>
        </is>
      </c>
      <c r="C27" t="n">
        <v>41</v>
      </c>
      <c r="D27">
        <f>IFERROR(INDEX('Company Hitlist'!$Q:$Q,MATCH($A27,'Company Hitlist'!$A:$A,0)),)</f>
        <v/>
      </c>
      <c r="E27">
        <f>IFERROR(INDEX('Company Hitlist'!$W:$W,MATCH($A27,'Company Hitlist'!$A:$A,0)),)</f>
        <v/>
      </c>
      <c r="F27">
        <f>IFERROR(INDEX('Company Hitlist'!$T:$T,MATCH($A27,'Company Hitlist'!$A:$A,0)),)</f>
        <v/>
      </c>
      <c r="G27">
        <f>IFERROR(INDEX('Company Hitlist'!$V:$V,MATCH($A27,'Company Hitlist'!$A:$A,0)),)</f>
        <v/>
      </c>
      <c r="J27" t="inlineStr">
        <is>
          <t>todo</t>
        </is>
      </c>
    </row>
    <row r="28">
      <c r="A28" t="inlineStr">
        <is>
          <t>AEO Inc</t>
        </is>
      </c>
      <c r="B28" t="inlineStr">
        <is>
          <t>Tier 3</t>
        </is>
      </c>
      <c r="C28" t="n">
        <v>41</v>
      </c>
      <c r="D28">
        <f>IFERROR(INDEX('Company Hitlist'!$Q:$Q,MATCH($A28,'Company Hitlist'!$A:$A,0)),)</f>
        <v/>
      </c>
      <c r="E28">
        <f>IFERROR(INDEX('Company Hitlist'!$W:$W,MATCH($A28,'Company Hitlist'!$A:$A,0)),)</f>
        <v/>
      </c>
      <c r="F28">
        <f>IFERROR(INDEX('Company Hitlist'!$T:$T,MATCH($A28,'Company Hitlist'!$A:$A,0)),)</f>
        <v/>
      </c>
      <c r="G28">
        <f>IFERROR(INDEX('Company Hitlist'!$V:$V,MATCH($A28,'Company Hitlist'!$A:$A,0)),)</f>
        <v/>
      </c>
      <c r="J28" t="inlineStr">
        <is>
          <t>todo</t>
        </is>
      </c>
    </row>
    <row r="29">
      <c r="A29" t="inlineStr">
        <is>
          <t>Iron Mountain</t>
        </is>
      </c>
      <c r="B29" t="inlineStr">
        <is>
          <t>Tier 3</t>
        </is>
      </c>
      <c r="C29" t="n">
        <v>40</v>
      </c>
      <c r="D29">
        <f>IFERROR(INDEX('Company Hitlist'!$Q:$Q,MATCH($A29,'Company Hitlist'!$A:$A,0)),)</f>
        <v/>
      </c>
      <c r="E29">
        <f>IFERROR(INDEX('Company Hitlist'!$W:$W,MATCH($A29,'Company Hitlist'!$A:$A,0)),)</f>
        <v/>
      </c>
      <c r="F29">
        <f>IFERROR(INDEX('Company Hitlist'!$T:$T,MATCH($A29,'Company Hitlist'!$A:$A,0)),)</f>
        <v/>
      </c>
      <c r="G29">
        <f>IFERROR(INDEX('Company Hitlist'!$V:$V,MATCH($A29,'Company Hitlist'!$A:$A,0)),)</f>
        <v/>
      </c>
      <c r="J29" t="inlineStr">
        <is>
          <t>todo</t>
        </is>
      </c>
    </row>
    <row r="30">
      <c r="A30" t="inlineStr">
        <is>
          <t>GoPuff</t>
        </is>
      </c>
      <c r="B30" t="inlineStr">
        <is>
          <t>Tier 3</t>
        </is>
      </c>
      <c r="C30" t="n">
        <v>40</v>
      </c>
      <c r="D30">
        <f>IFERROR(INDEX('Company Hitlist'!$Q:$Q,MATCH($A30,'Company Hitlist'!$A:$A,0)),)</f>
        <v/>
      </c>
      <c r="E30">
        <f>IFERROR(INDEX('Company Hitlist'!$W:$W,MATCH($A30,'Company Hitlist'!$A:$A,0)),)</f>
        <v/>
      </c>
      <c r="F30">
        <f>IFERROR(INDEX('Company Hitlist'!$T:$T,MATCH($A30,'Company Hitlist'!$A:$A,0)),)</f>
        <v/>
      </c>
      <c r="G30">
        <f>IFERROR(INDEX('Company Hitlist'!$V:$V,MATCH($A30,'Company Hitlist'!$A:$A,0)),)</f>
        <v/>
      </c>
      <c r="J30" t="inlineStr">
        <is>
          <t>todo</t>
        </is>
      </c>
    </row>
    <row r="31">
      <c r="A31" t="inlineStr">
        <is>
          <t>Olipop</t>
        </is>
      </c>
      <c r="B31" t="inlineStr">
        <is>
          <t>Tier 3</t>
        </is>
      </c>
      <c r="C31" t="n">
        <v>40</v>
      </c>
      <c r="D31">
        <f>IFERROR(INDEX('Company Hitlist'!$Q:$Q,MATCH($A31,'Company Hitlist'!$A:$A,0)),)</f>
        <v/>
      </c>
      <c r="E31">
        <f>IFERROR(INDEX('Company Hitlist'!$W:$W,MATCH($A31,'Company Hitlist'!$A:$A,0)),)</f>
        <v/>
      </c>
      <c r="F31">
        <f>IFERROR(INDEX('Company Hitlist'!$T:$T,MATCH($A31,'Company Hitlist'!$A:$A,0)),)</f>
        <v/>
      </c>
      <c r="G31">
        <f>IFERROR(INDEX('Company Hitlist'!$V:$V,MATCH($A31,'Company Hitlist'!$A:$A,0)),)</f>
        <v/>
      </c>
      <c r="J31" t="inlineStr">
        <is>
          <t>todo</t>
        </is>
      </c>
    </row>
    <row r="32">
      <c r="A32" t="inlineStr">
        <is>
          <t>Alcatel-Lucent Enterprise</t>
        </is>
      </c>
      <c r="B32" t="inlineStr">
        <is>
          <t>Tier 3</t>
        </is>
      </c>
      <c r="C32" t="n">
        <v>40</v>
      </c>
      <c r="D32">
        <f>IFERROR(INDEX('Company Hitlist'!$Q:$Q,MATCH($A32,'Company Hitlist'!$A:$A,0)),)</f>
        <v/>
      </c>
      <c r="E32">
        <f>IFERROR(INDEX('Company Hitlist'!$W:$W,MATCH($A32,'Company Hitlist'!$A:$A,0)),)</f>
        <v/>
      </c>
      <c r="F32">
        <f>IFERROR(INDEX('Company Hitlist'!$T:$T,MATCH($A32,'Company Hitlist'!$A:$A,0)),)</f>
        <v/>
      </c>
      <c r="G32">
        <f>IFERROR(INDEX('Company Hitlist'!$V:$V,MATCH($A32,'Company Hitlist'!$A:$A,0)),)</f>
        <v/>
      </c>
      <c r="J32" t="inlineStr">
        <is>
          <t>todo</t>
        </is>
      </c>
    </row>
    <row r="33">
      <c r="A33" t="inlineStr">
        <is>
          <t>Conagra Brands</t>
        </is>
      </c>
      <c r="B33" t="inlineStr">
        <is>
          <t>Tier 3</t>
        </is>
      </c>
      <c r="C33" t="n">
        <v>40</v>
      </c>
      <c r="D33">
        <f>IFERROR(INDEX('Company Hitlist'!$Q:$Q,MATCH($A33,'Company Hitlist'!$A:$A,0)),)</f>
        <v/>
      </c>
      <c r="E33">
        <f>IFERROR(INDEX('Company Hitlist'!$W:$W,MATCH($A33,'Company Hitlist'!$A:$A,0)),)</f>
        <v/>
      </c>
      <c r="F33">
        <f>IFERROR(INDEX('Company Hitlist'!$T:$T,MATCH($A33,'Company Hitlist'!$A:$A,0)),)</f>
        <v/>
      </c>
      <c r="G33">
        <f>IFERROR(INDEX('Company Hitlist'!$V:$V,MATCH($A33,'Company Hitlist'!$A:$A,0)),)</f>
        <v/>
      </c>
      <c r="J33" t="inlineStr">
        <is>
          <t>todo</t>
        </is>
      </c>
    </row>
    <row r="34">
      <c r="A34" t="inlineStr">
        <is>
          <t>Parts Town</t>
        </is>
      </c>
      <c r="B34" t="inlineStr">
        <is>
          <t>Tier 3</t>
        </is>
      </c>
      <c r="C34" t="n">
        <v>40</v>
      </c>
      <c r="D34">
        <f>IFERROR(INDEX('Company Hitlist'!$Q:$Q,MATCH($A34,'Company Hitlist'!$A:$A,0)),)</f>
        <v/>
      </c>
      <c r="E34">
        <f>IFERROR(INDEX('Company Hitlist'!$W:$W,MATCH($A34,'Company Hitlist'!$A:$A,0)),)</f>
        <v/>
      </c>
      <c r="F34">
        <f>IFERROR(INDEX('Company Hitlist'!$T:$T,MATCH($A34,'Company Hitlist'!$A:$A,0)),)</f>
        <v/>
      </c>
      <c r="G34">
        <f>IFERROR(INDEX('Company Hitlist'!$V:$V,MATCH($A34,'Company Hitlist'!$A:$A,0)),)</f>
        <v/>
      </c>
      <c r="J34" t="inlineStr">
        <is>
          <t>todo</t>
        </is>
      </c>
    </row>
    <row r="35">
      <c r="A35" t="inlineStr">
        <is>
          <t>Risk Strategies</t>
        </is>
      </c>
      <c r="B35" t="inlineStr">
        <is>
          <t>Tier 3</t>
        </is>
      </c>
      <c r="C35" t="n">
        <v>40</v>
      </c>
      <c r="D35">
        <f>IFERROR(INDEX('Company Hitlist'!$Q:$Q,MATCH($A35,'Company Hitlist'!$A:$A,0)),)</f>
        <v/>
      </c>
      <c r="E35">
        <f>IFERROR(INDEX('Company Hitlist'!$W:$W,MATCH($A35,'Company Hitlist'!$A:$A,0)),)</f>
        <v/>
      </c>
      <c r="F35">
        <f>IFERROR(INDEX('Company Hitlist'!$T:$T,MATCH($A35,'Company Hitlist'!$A:$A,0)),)</f>
        <v/>
      </c>
      <c r="G35">
        <f>IFERROR(INDEX('Company Hitlist'!$V:$V,MATCH($A35,'Company Hitlist'!$A:$A,0)),)</f>
        <v/>
      </c>
      <c r="J35" t="inlineStr">
        <is>
          <t>todo</t>
        </is>
      </c>
    </row>
    <row r="36">
      <c r="A36" t="inlineStr">
        <is>
          <t>Sol de Janeiro</t>
        </is>
      </c>
      <c r="B36" t="inlineStr">
        <is>
          <t>Tier 3</t>
        </is>
      </c>
      <c r="C36" t="n">
        <v>40</v>
      </c>
      <c r="D36">
        <f>IFERROR(INDEX('Company Hitlist'!$Q:$Q,MATCH($A36,'Company Hitlist'!$A:$A,0)),)</f>
        <v/>
      </c>
      <c r="E36">
        <f>IFERROR(INDEX('Company Hitlist'!$W:$W,MATCH($A36,'Company Hitlist'!$A:$A,0)),)</f>
        <v/>
      </c>
      <c r="F36">
        <f>IFERROR(INDEX('Company Hitlist'!$T:$T,MATCH($A36,'Company Hitlist'!$A:$A,0)),)</f>
        <v/>
      </c>
      <c r="G36">
        <f>IFERROR(INDEX('Company Hitlist'!$V:$V,MATCH($A36,'Company Hitlist'!$A:$A,0)),)</f>
        <v/>
      </c>
      <c r="J36" t="inlineStr">
        <is>
          <t>todo</t>
        </is>
      </c>
    </row>
    <row r="37">
      <c r="A37" t="inlineStr">
        <is>
          <t>Stanford Medicine</t>
        </is>
      </c>
      <c r="B37" t="inlineStr">
        <is>
          <t>Tier 3</t>
        </is>
      </c>
      <c r="C37" t="n">
        <v>40</v>
      </c>
      <c r="D37">
        <f>IFERROR(INDEX('Company Hitlist'!$Q:$Q,MATCH($A37,'Company Hitlist'!$A:$A,0)),)</f>
        <v/>
      </c>
      <c r="E37">
        <f>IFERROR(INDEX('Company Hitlist'!$W:$W,MATCH($A37,'Company Hitlist'!$A:$A,0)),)</f>
        <v/>
      </c>
      <c r="F37">
        <f>IFERROR(INDEX('Company Hitlist'!$T:$T,MATCH($A37,'Company Hitlist'!$A:$A,0)),)</f>
        <v/>
      </c>
      <c r="G37">
        <f>IFERROR(INDEX('Company Hitlist'!$V:$V,MATCH($A37,'Company Hitlist'!$A:$A,0)),)</f>
        <v/>
      </c>
      <c r="J37" t="inlineStr">
        <is>
          <t>todo</t>
        </is>
      </c>
    </row>
    <row r="38">
      <c r="A38" t="inlineStr">
        <is>
          <t>Staples</t>
        </is>
      </c>
      <c r="B38" t="inlineStr">
        <is>
          <t>Tier 3</t>
        </is>
      </c>
      <c r="C38" t="n">
        <v>40</v>
      </c>
      <c r="D38">
        <f>IFERROR(INDEX('Company Hitlist'!$Q:$Q,MATCH($A38,'Company Hitlist'!$A:$A,0)),)</f>
        <v/>
      </c>
      <c r="E38">
        <f>IFERROR(INDEX('Company Hitlist'!$W:$W,MATCH($A38,'Company Hitlist'!$A:$A,0)),)</f>
        <v/>
      </c>
      <c r="F38">
        <f>IFERROR(INDEX('Company Hitlist'!$T:$T,MATCH($A38,'Company Hitlist'!$A:$A,0)),)</f>
        <v/>
      </c>
      <c r="G38">
        <f>IFERROR(INDEX('Company Hitlist'!$V:$V,MATCH($A38,'Company Hitlist'!$A:$A,0)),)</f>
        <v/>
      </c>
      <c r="J38" t="inlineStr">
        <is>
          <t>todo</t>
        </is>
      </c>
    </row>
    <row r="39">
      <c r="A39" t="inlineStr">
        <is>
          <t>Tailored Brands</t>
        </is>
      </c>
      <c r="B39" t="inlineStr">
        <is>
          <t>Tier 3</t>
        </is>
      </c>
      <c r="C39" t="n">
        <v>40</v>
      </c>
      <c r="D39">
        <f>IFERROR(INDEX('Company Hitlist'!$Q:$Q,MATCH($A39,'Company Hitlist'!$A:$A,0)),)</f>
        <v/>
      </c>
      <c r="E39">
        <f>IFERROR(INDEX('Company Hitlist'!$W:$W,MATCH($A39,'Company Hitlist'!$A:$A,0)),)</f>
        <v/>
      </c>
      <c r="F39">
        <f>IFERROR(INDEX('Company Hitlist'!$T:$T,MATCH($A39,'Company Hitlist'!$A:$A,0)),)</f>
        <v/>
      </c>
      <c r="G39">
        <f>IFERROR(INDEX('Company Hitlist'!$V:$V,MATCH($A39,'Company Hitlist'!$A:$A,0)),)</f>
        <v/>
      </c>
      <c r="J39" t="inlineStr">
        <is>
          <t>todo</t>
        </is>
      </c>
    </row>
    <row r="40">
      <c r="A40" t="inlineStr">
        <is>
          <t>US Foods</t>
        </is>
      </c>
      <c r="B40" t="inlineStr">
        <is>
          <t>Tier 3</t>
        </is>
      </c>
      <c r="C40" t="n">
        <v>40</v>
      </c>
      <c r="D40">
        <f>IFERROR(INDEX('Company Hitlist'!$Q:$Q,MATCH($A40,'Company Hitlist'!$A:$A,0)),)</f>
        <v/>
      </c>
      <c r="E40">
        <f>IFERROR(INDEX('Company Hitlist'!$W:$W,MATCH($A40,'Company Hitlist'!$A:$A,0)),)</f>
        <v/>
      </c>
      <c r="F40">
        <f>IFERROR(INDEX('Company Hitlist'!$T:$T,MATCH($A40,'Company Hitlist'!$A:$A,0)),)</f>
        <v/>
      </c>
      <c r="G40">
        <f>IFERROR(INDEX('Company Hitlist'!$V:$V,MATCH($A40,'Company Hitlist'!$A:$A,0)),)</f>
        <v/>
      </c>
      <c r="J40" t="inlineStr">
        <is>
          <t>todo</t>
        </is>
      </c>
    </row>
    <row r="41">
      <c r="A41" t="inlineStr">
        <is>
          <t>C.H. Robinson</t>
        </is>
      </c>
      <c r="B41" t="inlineStr">
        <is>
          <t>Tier 3</t>
        </is>
      </c>
      <c r="C41" t="n">
        <v>39</v>
      </c>
      <c r="D41">
        <f>IFERROR(INDEX('Company Hitlist'!$Q:$Q,MATCH($A41,'Company Hitlist'!$A:$A,0)),)</f>
        <v/>
      </c>
      <c r="E41">
        <f>IFERROR(INDEX('Company Hitlist'!$W:$W,MATCH($A41,'Company Hitlist'!$A:$A,0)),)</f>
        <v/>
      </c>
      <c r="F41">
        <f>IFERROR(INDEX('Company Hitlist'!$T:$T,MATCH($A41,'Company Hitlist'!$A:$A,0)),)</f>
        <v/>
      </c>
      <c r="G41">
        <f>IFERROR(INDEX('Company Hitlist'!$V:$V,MATCH($A41,'Company Hitlist'!$A:$A,0)),)</f>
        <v/>
      </c>
      <c r="J41" t="inlineStr">
        <is>
          <t>todo</t>
        </is>
      </c>
    </row>
    <row r="42">
      <c r="A42" t="inlineStr">
        <is>
          <t>Loblaw</t>
        </is>
      </c>
      <c r="B42" t="inlineStr">
        <is>
          <t>Tier 3</t>
        </is>
      </c>
      <c r="C42" t="n">
        <v>38</v>
      </c>
      <c r="D42">
        <f>IFERROR(INDEX('Company Hitlist'!$Q:$Q,MATCH($A42,'Company Hitlist'!$A:$A,0)),)</f>
        <v/>
      </c>
      <c r="E42">
        <f>IFERROR(INDEX('Company Hitlist'!$W:$W,MATCH($A42,'Company Hitlist'!$A:$A,0)),)</f>
        <v/>
      </c>
      <c r="F42">
        <f>IFERROR(INDEX('Company Hitlist'!$T:$T,MATCH($A42,'Company Hitlist'!$A:$A,0)),)</f>
        <v/>
      </c>
      <c r="G42">
        <f>IFERROR(INDEX('Company Hitlist'!$V:$V,MATCH($A42,'Company Hitlist'!$A:$A,0)),)</f>
        <v/>
      </c>
      <c r="J42" t="inlineStr">
        <is>
          <t>todo</t>
        </is>
      </c>
    </row>
    <row r="43">
      <c r="A43" t="inlineStr">
        <is>
          <t>Allegiant</t>
        </is>
      </c>
      <c r="B43" t="inlineStr">
        <is>
          <t>Tier 3</t>
        </is>
      </c>
      <c r="C43" t="n">
        <v>37</v>
      </c>
      <c r="D43">
        <f>IFERROR(INDEX('Company Hitlist'!$Q:$Q,MATCH($A43,'Company Hitlist'!$A:$A,0)),)</f>
        <v/>
      </c>
      <c r="E43">
        <f>IFERROR(INDEX('Company Hitlist'!$W:$W,MATCH($A43,'Company Hitlist'!$A:$A,0)),)</f>
        <v/>
      </c>
      <c r="F43">
        <f>IFERROR(INDEX('Company Hitlist'!$T:$T,MATCH($A43,'Company Hitlist'!$A:$A,0)),)</f>
        <v/>
      </c>
      <c r="G43">
        <f>IFERROR(INDEX('Company Hitlist'!$V:$V,MATCH($A43,'Company Hitlist'!$A:$A,0)),)</f>
        <v/>
      </c>
      <c r="J43" t="inlineStr">
        <is>
          <t>todo</t>
        </is>
      </c>
    </row>
    <row r="44">
      <c r="A44" t="inlineStr">
        <is>
          <t>Kimberly Clark Company</t>
        </is>
      </c>
      <c r="B44" t="inlineStr">
        <is>
          <t>Tier 3</t>
        </is>
      </c>
      <c r="C44" t="n">
        <v>37</v>
      </c>
      <c r="D44">
        <f>IFERROR(INDEX('Company Hitlist'!$Q:$Q,MATCH($A44,'Company Hitlist'!$A:$A,0)),)</f>
        <v/>
      </c>
      <c r="E44">
        <f>IFERROR(INDEX('Company Hitlist'!$W:$W,MATCH($A44,'Company Hitlist'!$A:$A,0)),)</f>
        <v/>
      </c>
      <c r="F44">
        <f>IFERROR(INDEX('Company Hitlist'!$T:$T,MATCH($A44,'Company Hitlist'!$A:$A,0)),)</f>
        <v/>
      </c>
      <c r="G44">
        <f>IFERROR(INDEX('Company Hitlist'!$V:$V,MATCH($A44,'Company Hitlist'!$A:$A,0)),)</f>
        <v/>
      </c>
      <c r="J44" t="inlineStr">
        <is>
          <t>todo</t>
        </is>
      </c>
    </row>
    <row r="45">
      <c r="A45" t="inlineStr">
        <is>
          <t>Seed Health</t>
        </is>
      </c>
      <c r="B45" t="inlineStr">
        <is>
          <t>Tier 3</t>
        </is>
      </c>
      <c r="C45" t="n">
        <v>37</v>
      </c>
      <c r="D45">
        <f>IFERROR(INDEX('Company Hitlist'!$Q:$Q,MATCH($A45,'Company Hitlist'!$A:$A,0)),)</f>
        <v/>
      </c>
      <c r="E45">
        <f>IFERROR(INDEX('Company Hitlist'!$W:$W,MATCH($A45,'Company Hitlist'!$A:$A,0)),)</f>
        <v/>
      </c>
      <c r="F45">
        <f>IFERROR(INDEX('Company Hitlist'!$T:$T,MATCH($A45,'Company Hitlist'!$A:$A,0)),)</f>
        <v/>
      </c>
      <c r="G45">
        <f>IFERROR(INDEX('Company Hitlist'!$V:$V,MATCH($A45,'Company Hitlist'!$A:$A,0)),)</f>
        <v/>
      </c>
      <c r="J45" t="inlineStr">
        <is>
          <t>todo</t>
        </is>
      </c>
    </row>
    <row r="46">
      <c r="A46" t="inlineStr">
        <is>
          <t>TJX</t>
        </is>
      </c>
      <c r="B46" t="inlineStr">
        <is>
          <t>Tier 3</t>
        </is>
      </c>
      <c r="C46" t="n">
        <v>37</v>
      </c>
      <c r="D46">
        <f>IFERROR(INDEX('Company Hitlist'!$Q:$Q,MATCH($A46,'Company Hitlist'!$A:$A,0)),)</f>
        <v/>
      </c>
      <c r="E46">
        <f>IFERROR(INDEX('Company Hitlist'!$W:$W,MATCH($A46,'Company Hitlist'!$A:$A,0)),)</f>
        <v/>
      </c>
      <c r="F46">
        <f>IFERROR(INDEX('Company Hitlist'!$T:$T,MATCH($A46,'Company Hitlist'!$A:$A,0)),)</f>
        <v/>
      </c>
      <c r="G46">
        <f>IFERROR(INDEX('Company Hitlist'!$V:$V,MATCH($A46,'Company Hitlist'!$A:$A,0)),)</f>
        <v/>
      </c>
      <c r="J46" t="inlineStr">
        <is>
          <t>todo</t>
        </is>
      </c>
    </row>
    <row r="47">
      <c r="A47" t="inlineStr">
        <is>
          <t>Univar Solutions</t>
        </is>
      </c>
      <c r="B47" t="inlineStr">
        <is>
          <t>Tier 3</t>
        </is>
      </c>
      <c r="C47" t="n">
        <v>37</v>
      </c>
      <c r="D47">
        <f>IFERROR(INDEX('Company Hitlist'!$Q:$Q,MATCH($A47,'Company Hitlist'!$A:$A,0)),)</f>
        <v/>
      </c>
      <c r="E47">
        <f>IFERROR(INDEX('Company Hitlist'!$W:$W,MATCH($A47,'Company Hitlist'!$A:$A,0)),)</f>
        <v/>
      </c>
      <c r="F47">
        <f>IFERROR(INDEX('Company Hitlist'!$T:$T,MATCH($A47,'Company Hitlist'!$A:$A,0)),)</f>
        <v/>
      </c>
      <c r="G47">
        <f>IFERROR(INDEX('Company Hitlist'!$V:$V,MATCH($A47,'Company Hitlist'!$A:$A,0)),)</f>
        <v/>
      </c>
      <c r="J47" t="inlineStr">
        <is>
          <t>todo</t>
        </is>
      </c>
    </row>
    <row r="48">
      <c r="A48" t="inlineStr">
        <is>
          <t>Henkel</t>
        </is>
      </c>
      <c r="B48" t="inlineStr">
        <is>
          <t>Tier 3</t>
        </is>
      </c>
      <c r="C48" t="n">
        <v>36</v>
      </c>
      <c r="D48">
        <f>IFERROR(INDEX('Company Hitlist'!$Q:$Q,MATCH($A48,'Company Hitlist'!$A:$A,0)),)</f>
        <v/>
      </c>
      <c r="E48">
        <f>IFERROR(INDEX('Company Hitlist'!$W:$W,MATCH($A48,'Company Hitlist'!$A:$A,0)),)</f>
        <v/>
      </c>
      <c r="F48">
        <f>IFERROR(INDEX('Company Hitlist'!$T:$T,MATCH($A48,'Company Hitlist'!$A:$A,0)),)</f>
        <v/>
      </c>
      <c r="G48">
        <f>IFERROR(INDEX('Company Hitlist'!$V:$V,MATCH($A48,'Company Hitlist'!$A:$A,0)),)</f>
        <v/>
      </c>
      <c r="J48" t="inlineStr">
        <is>
          <t>todo</t>
        </is>
      </c>
    </row>
    <row r="49">
      <c r="A49" t="inlineStr">
        <is>
          <t>4flow</t>
        </is>
      </c>
      <c r="B49" t="inlineStr">
        <is>
          <t>Tier 3</t>
        </is>
      </c>
      <c r="C49" t="n">
        <v>36</v>
      </c>
      <c r="D49">
        <f>IFERROR(INDEX('Company Hitlist'!$Q:$Q,MATCH($A49,'Company Hitlist'!$A:$A,0)),)</f>
        <v/>
      </c>
      <c r="E49">
        <f>IFERROR(INDEX('Company Hitlist'!$W:$W,MATCH($A49,'Company Hitlist'!$A:$A,0)),)</f>
        <v/>
      </c>
      <c r="F49">
        <f>IFERROR(INDEX('Company Hitlist'!$T:$T,MATCH($A49,'Company Hitlist'!$A:$A,0)),)</f>
        <v/>
      </c>
      <c r="G49">
        <f>IFERROR(INDEX('Company Hitlist'!$V:$V,MATCH($A49,'Company Hitlist'!$A:$A,0)),)</f>
        <v/>
      </c>
      <c r="J49" t="inlineStr">
        <is>
          <t>todo</t>
        </is>
      </c>
    </row>
    <row r="50">
      <c r="A50" t="inlineStr">
        <is>
          <t>TruConnect</t>
        </is>
      </c>
      <c r="B50" t="inlineStr">
        <is>
          <t>Tier 3</t>
        </is>
      </c>
      <c r="C50" t="n">
        <v>36</v>
      </c>
      <c r="D50">
        <f>IFERROR(INDEX('Company Hitlist'!$Q:$Q,MATCH($A50,'Company Hitlist'!$A:$A,0)),)</f>
        <v/>
      </c>
      <c r="E50">
        <f>IFERROR(INDEX('Company Hitlist'!$W:$W,MATCH($A50,'Company Hitlist'!$A:$A,0)),)</f>
        <v/>
      </c>
      <c r="F50">
        <f>IFERROR(INDEX('Company Hitlist'!$T:$T,MATCH($A50,'Company Hitlist'!$A:$A,0)),)</f>
        <v/>
      </c>
      <c r="G50">
        <f>IFERROR(INDEX('Company Hitlist'!$V:$V,MATCH($A50,'Company Hitlist'!$A:$A,0)),)</f>
        <v/>
      </c>
      <c r="J50" t="inlineStr">
        <is>
          <t>todo</t>
        </is>
      </c>
    </row>
    <row r="51">
      <c r="A51" t="inlineStr">
        <is>
          <t>Ford Motor Company</t>
        </is>
      </c>
      <c r="B51" t="inlineStr">
        <is>
          <t>Tier 2</t>
        </is>
      </c>
      <c r="C51" t="n">
        <v>76</v>
      </c>
      <c r="D51">
        <f>IFERROR(INDEX('Company Hitlist'!$Q:$Q,MATCH($A51,'Company Hitlist'!$A:$A,0)),)</f>
        <v/>
      </c>
      <c r="E51">
        <f>IFERROR(INDEX('Company Hitlist'!$W:$W,MATCH($A51,'Company Hitlist'!$A:$A,0)),)</f>
        <v/>
      </c>
      <c r="F51">
        <f>IFERROR(INDEX('Company Hitlist'!$T:$T,MATCH($A51,'Company Hitlist'!$A:$A,0)),)</f>
        <v/>
      </c>
      <c r="G51">
        <f>IFERROR(INDEX('Company Hitlist'!$V:$V,MATCH($A51,'Company Hitlist'!$A:$A,0)),)</f>
        <v/>
      </c>
      <c r="J51" t="inlineStr">
        <is>
          <t>todo</t>
        </is>
      </c>
    </row>
    <row r="52">
      <c r="A52" t="inlineStr">
        <is>
          <t>GOAT Group</t>
        </is>
      </c>
      <c r="B52" t="inlineStr">
        <is>
          <t>Tier 2</t>
        </is>
      </c>
      <c r="C52" t="n">
        <v>76</v>
      </c>
      <c r="D52">
        <f>IFERROR(INDEX('Company Hitlist'!$Q:$Q,MATCH($A52,'Company Hitlist'!$A:$A,0)),)</f>
        <v/>
      </c>
      <c r="E52">
        <f>IFERROR(INDEX('Company Hitlist'!$W:$W,MATCH($A52,'Company Hitlist'!$A:$A,0)),)</f>
        <v/>
      </c>
      <c r="F52">
        <f>IFERROR(INDEX('Company Hitlist'!$T:$T,MATCH($A52,'Company Hitlist'!$A:$A,0)),)</f>
        <v/>
      </c>
      <c r="G52">
        <f>IFERROR(INDEX('Company Hitlist'!$V:$V,MATCH($A52,'Company Hitlist'!$A:$A,0)),)</f>
        <v/>
      </c>
      <c r="J52" t="inlineStr">
        <is>
          <t>todo</t>
        </is>
      </c>
    </row>
    <row r="53">
      <c r="A53" t="inlineStr">
        <is>
          <t>GEODIS</t>
        </is>
      </c>
      <c r="B53" t="inlineStr">
        <is>
          <t>Tier 2</t>
        </is>
      </c>
      <c r="C53" t="n">
        <v>76</v>
      </c>
      <c r="D53">
        <f>IFERROR(INDEX('Company Hitlist'!$Q:$Q,MATCH($A53,'Company Hitlist'!$A:$A,0)),)</f>
        <v/>
      </c>
      <c r="E53">
        <f>IFERROR(INDEX('Company Hitlist'!$W:$W,MATCH($A53,'Company Hitlist'!$A:$A,0)),)</f>
        <v/>
      </c>
      <c r="F53">
        <f>IFERROR(INDEX('Company Hitlist'!$T:$T,MATCH($A53,'Company Hitlist'!$A:$A,0)),)</f>
        <v/>
      </c>
      <c r="G53">
        <f>IFERROR(INDEX('Company Hitlist'!$V:$V,MATCH($A53,'Company Hitlist'!$A:$A,0)),)</f>
        <v/>
      </c>
      <c r="J53" t="inlineStr">
        <is>
          <t>todo</t>
        </is>
      </c>
    </row>
    <row r="54">
      <c r="A54" t="inlineStr">
        <is>
          <t>Ryder System, Inc.</t>
        </is>
      </c>
      <c r="B54" t="inlineStr">
        <is>
          <t>Tier 2</t>
        </is>
      </c>
      <c r="C54" t="n">
        <v>75</v>
      </c>
      <c r="D54">
        <f>IFERROR(INDEX('Company Hitlist'!$Q:$Q,MATCH($A54,'Company Hitlist'!$A:$A,0)),)</f>
        <v/>
      </c>
      <c r="E54">
        <f>IFERROR(INDEX('Company Hitlist'!$W:$W,MATCH($A54,'Company Hitlist'!$A:$A,0)),)</f>
        <v/>
      </c>
      <c r="F54">
        <f>IFERROR(INDEX('Company Hitlist'!$T:$T,MATCH($A54,'Company Hitlist'!$A:$A,0)),)</f>
        <v/>
      </c>
      <c r="G54">
        <f>IFERROR(INDEX('Company Hitlist'!$V:$V,MATCH($A54,'Company Hitlist'!$A:$A,0)),)</f>
        <v/>
      </c>
      <c r="J54" t="inlineStr">
        <is>
          <t>todo</t>
        </is>
      </c>
    </row>
    <row r="55">
      <c r="A55" t="inlineStr">
        <is>
          <t>ULINE</t>
        </is>
      </c>
      <c r="B55" t="inlineStr">
        <is>
          <t>Tier 2</t>
        </is>
      </c>
      <c r="C55" t="n">
        <v>75</v>
      </c>
      <c r="D55">
        <f>IFERROR(INDEX('Company Hitlist'!$Q:$Q,MATCH($A55,'Company Hitlist'!$A:$A,0)),)</f>
        <v/>
      </c>
      <c r="E55">
        <f>IFERROR(INDEX('Company Hitlist'!$W:$W,MATCH($A55,'Company Hitlist'!$A:$A,0)),)</f>
        <v/>
      </c>
      <c r="F55">
        <f>IFERROR(INDEX('Company Hitlist'!$T:$T,MATCH($A55,'Company Hitlist'!$A:$A,0)),)</f>
        <v/>
      </c>
      <c r="G55">
        <f>IFERROR(INDEX('Company Hitlist'!$V:$V,MATCH($A55,'Company Hitlist'!$A:$A,0)),)</f>
        <v/>
      </c>
      <c r="J55" t="inlineStr">
        <is>
          <t>todo</t>
        </is>
      </c>
    </row>
    <row r="56">
      <c r="A56" t="inlineStr">
        <is>
          <t>Cardinal Health</t>
        </is>
      </c>
      <c r="B56" t="inlineStr">
        <is>
          <t>Tier 2</t>
        </is>
      </c>
      <c r="C56" t="n">
        <v>72</v>
      </c>
      <c r="D56">
        <f>IFERROR(INDEX('Company Hitlist'!$Q:$Q,MATCH($A56,'Company Hitlist'!$A:$A,0)),)</f>
        <v/>
      </c>
      <c r="E56">
        <f>IFERROR(INDEX('Company Hitlist'!$W:$W,MATCH($A56,'Company Hitlist'!$A:$A,0)),)</f>
        <v/>
      </c>
      <c r="F56">
        <f>IFERROR(INDEX('Company Hitlist'!$T:$T,MATCH($A56,'Company Hitlist'!$A:$A,0)),)</f>
        <v/>
      </c>
      <c r="G56">
        <f>IFERROR(INDEX('Company Hitlist'!$V:$V,MATCH($A56,'Company Hitlist'!$A:$A,0)),)</f>
        <v/>
      </c>
      <c r="J56" t="inlineStr">
        <is>
          <t>todo</t>
        </is>
      </c>
    </row>
    <row r="57">
      <c r="A57" t="inlineStr">
        <is>
          <t>Church &amp; Dwight</t>
        </is>
      </c>
      <c r="B57" t="inlineStr">
        <is>
          <t>Tier 2</t>
        </is>
      </c>
      <c r="C57" t="n">
        <v>72</v>
      </c>
      <c r="D57">
        <f>IFERROR(INDEX('Company Hitlist'!$Q:$Q,MATCH($A57,'Company Hitlist'!$A:$A,0)),)</f>
        <v/>
      </c>
      <c r="E57">
        <f>IFERROR(INDEX('Company Hitlist'!$W:$W,MATCH($A57,'Company Hitlist'!$A:$A,0)),)</f>
        <v/>
      </c>
      <c r="F57">
        <f>IFERROR(INDEX('Company Hitlist'!$T:$T,MATCH($A57,'Company Hitlist'!$A:$A,0)),)</f>
        <v/>
      </c>
      <c r="G57">
        <f>IFERROR(INDEX('Company Hitlist'!$V:$V,MATCH($A57,'Company Hitlist'!$A:$A,0)),)</f>
        <v/>
      </c>
      <c r="J57" t="inlineStr">
        <is>
          <t>todo</t>
        </is>
      </c>
    </row>
    <row r="58">
      <c r="A58" t="inlineStr">
        <is>
          <t>Uline</t>
        </is>
      </c>
      <c r="B58" t="inlineStr">
        <is>
          <t>Tier 2</t>
        </is>
      </c>
      <c r="C58" t="n">
        <v>70</v>
      </c>
      <c r="D58">
        <f>IFERROR(INDEX('Company Hitlist'!$Q:$Q,MATCH($A58,'Company Hitlist'!$A:$A,0)),)</f>
        <v/>
      </c>
      <c r="E58">
        <f>IFERROR(INDEX('Company Hitlist'!$W:$W,MATCH($A58,'Company Hitlist'!$A:$A,0)),)</f>
        <v/>
      </c>
      <c r="F58">
        <f>IFERROR(INDEX('Company Hitlist'!$T:$T,MATCH($A58,'Company Hitlist'!$A:$A,0)),)</f>
        <v/>
      </c>
      <c r="G58">
        <f>IFERROR(INDEX('Company Hitlist'!$V:$V,MATCH($A58,'Company Hitlist'!$A:$A,0)),)</f>
        <v/>
      </c>
      <c r="J58" t="inlineStr">
        <is>
          <t>todo</t>
        </is>
      </c>
    </row>
    <row r="59">
      <c r="A59" t="inlineStr">
        <is>
          <t>DHL Supply Chain</t>
        </is>
      </c>
      <c r="B59" t="inlineStr">
        <is>
          <t>Tier 2</t>
        </is>
      </c>
      <c r="C59" t="n">
        <v>69</v>
      </c>
      <c r="D59">
        <f>IFERROR(INDEX('Company Hitlist'!$Q:$Q,MATCH($A59,'Company Hitlist'!$A:$A,0)),)</f>
        <v/>
      </c>
      <c r="E59">
        <f>IFERROR(INDEX('Company Hitlist'!$W:$W,MATCH($A59,'Company Hitlist'!$A:$A,0)),)</f>
        <v/>
      </c>
      <c r="F59">
        <f>IFERROR(INDEX('Company Hitlist'!$T:$T,MATCH($A59,'Company Hitlist'!$A:$A,0)),)</f>
        <v/>
      </c>
      <c r="G59">
        <f>IFERROR(INDEX('Company Hitlist'!$V:$V,MATCH($A59,'Company Hitlist'!$A:$A,0)),)</f>
        <v/>
      </c>
      <c r="J59" t="inlineStr">
        <is>
          <t>todo</t>
        </is>
      </c>
    </row>
    <row r="60">
      <c r="A60" t="inlineStr">
        <is>
          <t>Kenvue</t>
        </is>
      </c>
      <c r="B60" t="inlineStr">
        <is>
          <t>Tier 2</t>
        </is>
      </c>
      <c r="C60" t="n">
        <v>68</v>
      </c>
      <c r="D60">
        <f>IFERROR(INDEX('Company Hitlist'!$Q:$Q,MATCH($A60,'Company Hitlist'!$A:$A,0)),)</f>
        <v/>
      </c>
      <c r="E60">
        <f>IFERROR(INDEX('Company Hitlist'!$W:$W,MATCH($A60,'Company Hitlist'!$A:$A,0)),)</f>
        <v/>
      </c>
      <c r="F60">
        <f>IFERROR(INDEX('Company Hitlist'!$T:$T,MATCH($A60,'Company Hitlist'!$A:$A,0)),)</f>
        <v/>
      </c>
      <c r="G60">
        <f>IFERROR(INDEX('Company Hitlist'!$V:$V,MATCH($A60,'Company Hitlist'!$A:$A,0)),)</f>
        <v/>
      </c>
      <c r="J60" t="inlineStr">
        <is>
          <t>todo</t>
        </is>
      </c>
    </row>
    <row r="61">
      <c r="A61" t="inlineStr">
        <is>
          <t>Dollar General</t>
        </is>
      </c>
      <c r="B61" t="inlineStr">
        <is>
          <t>Tier 2</t>
        </is>
      </c>
      <c r="C61" t="n">
        <v>66</v>
      </c>
      <c r="D61">
        <f>IFERROR(INDEX('Company Hitlist'!$Q:$Q,MATCH($A61,'Company Hitlist'!$A:$A,0)),)</f>
        <v/>
      </c>
      <c r="E61">
        <f>IFERROR(INDEX('Company Hitlist'!$W:$W,MATCH($A61,'Company Hitlist'!$A:$A,0)),)</f>
        <v/>
      </c>
      <c r="F61">
        <f>IFERROR(INDEX('Company Hitlist'!$T:$T,MATCH($A61,'Company Hitlist'!$A:$A,0)),)</f>
        <v/>
      </c>
      <c r="G61">
        <f>IFERROR(INDEX('Company Hitlist'!$V:$V,MATCH($A61,'Company Hitlist'!$A:$A,0)),)</f>
        <v/>
      </c>
      <c r="J61" t="inlineStr">
        <is>
          <t>todo</t>
        </is>
      </c>
    </row>
    <row r="62">
      <c r="A62" t="inlineStr">
        <is>
          <t>PepsiCo</t>
        </is>
      </c>
      <c r="B62" t="inlineStr">
        <is>
          <t>Tier 2</t>
        </is>
      </c>
      <c r="C62" t="n">
        <v>62</v>
      </c>
      <c r="D62">
        <f>IFERROR(INDEX('Company Hitlist'!$Q:$Q,MATCH($A62,'Company Hitlist'!$A:$A,0)),)</f>
        <v/>
      </c>
      <c r="E62">
        <f>IFERROR(INDEX('Company Hitlist'!$W:$W,MATCH($A62,'Company Hitlist'!$A:$A,0)),)</f>
        <v/>
      </c>
      <c r="F62">
        <f>IFERROR(INDEX('Company Hitlist'!$T:$T,MATCH($A62,'Company Hitlist'!$A:$A,0)),)</f>
        <v/>
      </c>
      <c r="G62">
        <f>IFERROR(INDEX('Company Hitlist'!$V:$V,MATCH($A62,'Company Hitlist'!$A:$A,0)),)</f>
        <v/>
      </c>
      <c r="J62" t="inlineStr">
        <is>
          <t>todo</t>
        </is>
      </c>
    </row>
    <row r="63">
      <c r="A63" t="inlineStr">
        <is>
          <t>BNSF Railway</t>
        </is>
      </c>
      <c r="B63" t="inlineStr">
        <is>
          <t>Tier 2</t>
        </is>
      </c>
      <c r="C63" t="n">
        <v>62</v>
      </c>
      <c r="D63">
        <f>IFERROR(INDEX('Company Hitlist'!$Q:$Q,MATCH($A63,'Company Hitlist'!$A:$A,0)),)</f>
        <v/>
      </c>
      <c r="E63">
        <f>IFERROR(INDEX('Company Hitlist'!$W:$W,MATCH($A63,'Company Hitlist'!$A:$A,0)),)</f>
        <v/>
      </c>
      <c r="F63">
        <f>IFERROR(INDEX('Company Hitlist'!$T:$T,MATCH($A63,'Company Hitlist'!$A:$A,0)),)</f>
        <v/>
      </c>
      <c r="G63">
        <f>IFERROR(INDEX('Company Hitlist'!$V:$V,MATCH($A63,'Company Hitlist'!$A:$A,0)),)</f>
        <v/>
      </c>
      <c r="J63" t="inlineStr">
        <is>
          <t>todo</t>
        </is>
      </c>
    </row>
    <row r="64">
      <c r="A64" t="inlineStr">
        <is>
          <t>Butcher Box</t>
        </is>
      </c>
      <c r="B64" t="inlineStr">
        <is>
          <t>Tier 2</t>
        </is>
      </c>
      <c r="C64" t="n">
        <v>62</v>
      </c>
      <c r="D64">
        <f>IFERROR(INDEX('Company Hitlist'!$Q:$Q,MATCH($A64,'Company Hitlist'!$A:$A,0)),)</f>
        <v/>
      </c>
      <c r="E64">
        <f>IFERROR(INDEX('Company Hitlist'!$W:$W,MATCH($A64,'Company Hitlist'!$A:$A,0)),)</f>
        <v/>
      </c>
      <c r="F64">
        <f>IFERROR(INDEX('Company Hitlist'!$T:$T,MATCH($A64,'Company Hitlist'!$A:$A,0)),)</f>
        <v/>
      </c>
      <c r="G64">
        <f>IFERROR(INDEX('Company Hitlist'!$V:$V,MATCH($A64,'Company Hitlist'!$A:$A,0)),)</f>
        <v/>
      </c>
      <c r="J64" t="inlineStr">
        <is>
          <t>todo</t>
        </is>
      </c>
    </row>
    <row r="65">
      <c r="A65" t="inlineStr">
        <is>
          <t>Amazon</t>
        </is>
      </c>
      <c r="B65" t="inlineStr">
        <is>
          <t>Tier 2</t>
        </is>
      </c>
      <c r="C65" t="n">
        <v>61</v>
      </c>
      <c r="D65">
        <f>IFERROR(INDEX('Company Hitlist'!$Q:$Q,MATCH($A65,'Company Hitlist'!$A:$A,0)),)</f>
        <v/>
      </c>
      <c r="E65">
        <f>IFERROR(INDEX('Company Hitlist'!$W:$W,MATCH($A65,'Company Hitlist'!$A:$A,0)),)</f>
        <v/>
      </c>
      <c r="F65">
        <f>IFERROR(INDEX('Company Hitlist'!$T:$T,MATCH($A65,'Company Hitlist'!$A:$A,0)),)</f>
        <v/>
      </c>
      <c r="G65">
        <f>IFERROR(INDEX('Company Hitlist'!$V:$V,MATCH($A65,'Company Hitlist'!$A:$A,0)),)</f>
        <v/>
      </c>
      <c r="J65" t="inlineStr">
        <is>
          <t>todo</t>
        </is>
      </c>
    </row>
    <row r="66">
      <c r="A66" t="inlineStr">
        <is>
          <t>Mattel</t>
        </is>
      </c>
      <c r="B66" t="inlineStr">
        <is>
          <t>Tier 2</t>
        </is>
      </c>
      <c r="C66" t="n">
        <v>61</v>
      </c>
      <c r="D66">
        <f>IFERROR(INDEX('Company Hitlist'!$Q:$Q,MATCH($A66,'Company Hitlist'!$A:$A,0)),)</f>
        <v/>
      </c>
      <c r="E66">
        <f>IFERROR(INDEX('Company Hitlist'!$W:$W,MATCH($A66,'Company Hitlist'!$A:$A,0)),)</f>
        <v/>
      </c>
      <c r="F66">
        <f>IFERROR(INDEX('Company Hitlist'!$T:$T,MATCH($A66,'Company Hitlist'!$A:$A,0)),)</f>
        <v/>
      </c>
      <c r="G66">
        <f>IFERROR(INDEX('Company Hitlist'!$V:$V,MATCH($A66,'Company Hitlist'!$A:$A,0)),)</f>
        <v/>
      </c>
      <c r="J66" t="inlineStr">
        <is>
          <t>todo</t>
        </is>
      </c>
    </row>
    <row r="67">
      <c r="A67" t="inlineStr">
        <is>
          <t>Target</t>
        </is>
      </c>
      <c r="B67" t="inlineStr">
        <is>
          <t>Tier 2</t>
        </is>
      </c>
      <c r="C67" t="n">
        <v>60</v>
      </c>
      <c r="D67">
        <f>IFERROR(INDEX('Company Hitlist'!$Q:$Q,MATCH($A67,'Company Hitlist'!$A:$A,0)),)</f>
        <v/>
      </c>
      <c r="E67">
        <f>IFERROR(INDEX('Company Hitlist'!$W:$W,MATCH($A67,'Company Hitlist'!$A:$A,0)),)</f>
        <v/>
      </c>
      <c r="F67">
        <f>IFERROR(INDEX('Company Hitlist'!$T:$T,MATCH($A67,'Company Hitlist'!$A:$A,0)),)</f>
        <v/>
      </c>
      <c r="G67">
        <f>IFERROR(INDEX('Company Hitlist'!$V:$V,MATCH($A67,'Company Hitlist'!$A:$A,0)),)</f>
        <v/>
      </c>
      <c r="J67" t="inlineStr">
        <is>
          <t>todo</t>
        </is>
      </c>
    </row>
    <row r="68">
      <c r="A68" t="inlineStr">
        <is>
          <t>Misfits Market</t>
        </is>
      </c>
      <c r="B68" t="inlineStr">
        <is>
          <t>Tier 2</t>
        </is>
      </c>
      <c r="C68" t="n">
        <v>60</v>
      </c>
      <c r="D68">
        <f>IFERROR(INDEX('Company Hitlist'!$Q:$Q,MATCH($A68,'Company Hitlist'!$A:$A,0)),)</f>
        <v/>
      </c>
      <c r="E68">
        <f>IFERROR(INDEX('Company Hitlist'!$W:$W,MATCH($A68,'Company Hitlist'!$A:$A,0)),)</f>
        <v/>
      </c>
      <c r="F68">
        <f>IFERROR(INDEX('Company Hitlist'!$T:$T,MATCH($A68,'Company Hitlist'!$A:$A,0)),)</f>
        <v/>
      </c>
      <c r="G68">
        <f>IFERROR(INDEX('Company Hitlist'!$V:$V,MATCH($A68,'Company Hitlist'!$A:$A,0)),)</f>
        <v/>
      </c>
      <c r="J68" t="inlineStr">
        <is>
          <t>todo</t>
        </is>
      </c>
    </row>
    <row r="69">
      <c r="A69" t="inlineStr">
        <is>
          <t>GoodShip</t>
        </is>
      </c>
      <c r="B69" t="inlineStr">
        <is>
          <t>Tier 2</t>
        </is>
      </c>
      <c r="C69" t="n">
        <v>59</v>
      </c>
      <c r="D69">
        <f>IFERROR(INDEX('Company Hitlist'!$Q:$Q,MATCH($A69,'Company Hitlist'!$A:$A,0)),)</f>
        <v/>
      </c>
      <c r="E69">
        <f>IFERROR(INDEX('Company Hitlist'!$W:$W,MATCH($A69,'Company Hitlist'!$A:$A,0)),)</f>
        <v/>
      </c>
      <c r="F69">
        <f>IFERROR(INDEX('Company Hitlist'!$T:$T,MATCH($A69,'Company Hitlist'!$A:$A,0)),)</f>
        <v/>
      </c>
      <c r="G69">
        <f>IFERROR(INDEX('Company Hitlist'!$V:$V,MATCH($A69,'Company Hitlist'!$A:$A,0)),)</f>
        <v/>
      </c>
      <c r="J69" t="inlineStr">
        <is>
          <t>todo</t>
        </is>
      </c>
    </row>
    <row r="70">
      <c r="A70" t="inlineStr">
        <is>
          <t>Covenant Logistics</t>
        </is>
      </c>
      <c r="B70" t="inlineStr">
        <is>
          <t>Tier 2</t>
        </is>
      </c>
      <c r="C70" t="n">
        <v>59</v>
      </c>
      <c r="D70">
        <f>IFERROR(INDEX('Company Hitlist'!$Q:$Q,MATCH($A70,'Company Hitlist'!$A:$A,0)),)</f>
        <v/>
      </c>
      <c r="E70">
        <f>IFERROR(INDEX('Company Hitlist'!$W:$W,MATCH($A70,'Company Hitlist'!$A:$A,0)),)</f>
        <v/>
      </c>
      <c r="F70">
        <f>IFERROR(INDEX('Company Hitlist'!$T:$T,MATCH($A70,'Company Hitlist'!$A:$A,0)),)</f>
        <v/>
      </c>
      <c r="G70">
        <f>IFERROR(INDEX('Company Hitlist'!$V:$V,MATCH($A70,'Company Hitlist'!$A:$A,0)),)</f>
        <v/>
      </c>
      <c r="J70" t="inlineStr">
        <is>
          <t>todo</t>
        </is>
      </c>
    </row>
    <row r="71">
      <c r="A71" t="inlineStr">
        <is>
          <t>DSV</t>
        </is>
      </c>
      <c r="B71" t="inlineStr">
        <is>
          <t>Tier 2</t>
        </is>
      </c>
      <c r="C71" t="n">
        <v>57</v>
      </c>
      <c r="D71">
        <f>IFERROR(INDEX('Company Hitlist'!$Q:$Q,MATCH($A71,'Company Hitlist'!$A:$A,0)),)</f>
        <v/>
      </c>
      <c r="E71">
        <f>IFERROR(INDEX('Company Hitlist'!$W:$W,MATCH($A71,'Company Hitlist'!$A:$A,0)),)</f>
        <v/>
      </c>
      <c r="F71">
        <f>IFERROR(INDEX('Company Hitlist'!$T:$T,MATCH($A71,'Company Hitlist'!$A:$A,0)),)</f>
        <v/>
      </c>
      <c r="G71">
        <f>IFERROR(INDEX('Company Hitlist'!$V:$V,MATCH($A71,'Company Hitlist'!$A:$A,0)),)</f>
        <v/>
      </c>
      <c r="J71" t="inlineStr">
        <is>
          <t>todo</t>
        </is>
      </c>
    </row>
    <row r="72">
      <c r="A72" t="inlineStr">
        <is>
          <t>Cart.com</t>
        </is>
      </c>
      <c r="B72" t="inlineStr">
        <is>
          <t>Tier 2</t>
        </is>
      </c>
      <c r="C72" t="n">
        <v>57</v>
      </c>
      <c r="D72">
        <f>IFERROR(INDEX('Company Hitlist'!$Q:$Q,MATCH($A72,'Company Hitlist'!$A:$A,0)),)</f>
        <v/>
      </c>
      <c r="E72">
        <f>IFERROR(INDEX('Company Hitlist'!$W:$W,MATCH($A72,'Company Hitlist'!$A:$A,0)),)</f>
        <v/>
      </c>
      <c r="F72">
        <f>IFERROR(INDEX('Company Hitlist'!$T:$T,MATCH($A72,'Company Hitlist'!$A:$A,0)),)</f>
        <v/>
      </c>
      <c r="G72">
        <f>IFERROR(INDEX('Company Hitlist'!$V:$V,MATCH($A72,'Company Hitlist'!$A:$A,0)),)</f>
        <v/>
      </c>
      <c r="J72" t="inlineStr">
        <is>
          <t>todo</t>
        </is>
      </c>
    </row>
    <row r="73">
      <c r="A73" t="inlineStr">
        <is>
          <t>Distribution Management</t>
        </is>
      </c>
      <c r="B73" t="inlineStr">
        <is>
          <t>Tier 2</t>
        </is>
      </c>
      <c r="C73" t="n">
        <v>57</v>
      </c>
      <c r="D73">
        <f>IFERROR(INDEX('Company Hitlist'!$Q:$Q,MATCH($A73,'Company Hitlist'!$A:$A,0)),)</f>
        <v/>
      </c>
      <c r="E73">
        <f>IFERROR(INDEX('Company Hitlist'!$W:$W,MATCH($A73,'Company Hitlist'!$A:$A,0)),)</f>
        <v/>
      </c>
      <c r="F73">
        <f>IFERROR(INDEX('Company Hitlist'!$T:$T,MATCH($A73,'Company Hitlist'!$A:$A,0)),)</f>
        <v/>
      </c>
      <c r="G73">
        <f>IFERROR(INDEX('Company Hitlist'!$V:$V,MATCH($A73,'Company Hitlist'!$A:$A,0)),)</f>
        <v/>
      </c>
      <c r="J73" t="inlineStr">
        <is>
          <t>todo</t>
        </is>
      </c>
    </row>
    <row r="74">
      <c r="A74" t="inlineStr">
        <is>
          <t>GXO</t>
        </is>
      </c>
      <c r="B74" t="inlineStr">
        <is>
          <t>Tier 1</t>
        </is>
      </c>
      <c r="C74" t="n">
        <v>157</v>
      </c>
      <c r="D74">
        <f>IFERROR(INDEX('Company Hitlist'!$Q:$Q,MATCH($A74,'Company Hitlist'!$A:$A,0)),)</f>
        <v/>
      </c>
      <c r="E74">
        <f>IFERROR(INDEX('Company Hitlist'!$W:$W,MATCH($A74,'Company Hitlist'!$A:$A,0)),)</f>
        <v/>
      </c>
      <c r="F74">
        <f>IFERROR(INDEX('Company Hitlist'!$T:$T,MATCH($A74,'Company Hitlist'!$A:$A,0)),)</f>
        <v/>
      </c>
      <c r="G74">
        <f>IFERROR(INDEX('Company Hitlist'!$V:$V,MATCH($A74,'Company Hitlist'!$A:$A,0)),)</f>
        <v/>
      </c>
      <c r="J74" t="inlineStr">
        <is>
          <t>todo</t>
        </is>
      </c>
    </row>
    <row r="75">
      <c r="A75" t="inlineStr">
        <is>
          <t>StockX</t>
        </is>
      </c>
      <c r="B75" t="inlineStr">
        <is>
          <t>Tier 1</t>
        </is>
      </c>
      <c r="C75" t="n">
        <v>125</v>
      </c>
      <c r="D75">
        <f>IFERROR(INDEX('Company Hitlist'!$Q:$Q,MATCH($A75,'Company Hitlist'!$A:$A,0)),)</f>
        <v/>
      </c>
      <c r="E75">
        <f>IFERROR(INDEX('Company Hitlist'!$W:$W,MATCH($A75,'Company Hitlist'!$A:$A,0)),)</f>
        <v/>
      </c>
      <c r="F75">
        <f>IFERROR(INDEX('Company Hitlist'!$T:$T,MATCH($A75,'Company Hitlist'!$A:$A,0)),)</f>
        <v/>
      </c>
      <c r="G75">
        <f>IFERROR(INDEX('Company Hitlist'!$V:$V,MATCH($A75,'Company Hitlist'!$A:$A,0)),)</f>
        <v/>
      </c>
      <c r="J75" t="inlineStr">
        <is>
          <t>todo</t>
        </is>
      </c>
    </row>
    <row r="76">
      <c r="A76" t="inlineStr">
        <is>
          <t>Unilever</t>
        </is>
      </c>
      <c r="B76" t="inlineStr">
        <is>
          <t>Tier 1</t>
        </is>
      </c>
      <c r="C76" t="n">
        <v>91</v>
      </c>
      <c r="D76">
        <f>IFERROR(INDEX('Company Hitlist'!$Q:$Q,MATCH($A76,'Company Hitlist'!$A:$A,0)),)</f>
        <v/>
      </c>
      <c r="E76">
        <f>IFERROR(INDEX('Company Hitlist'!$W:$W,MATCH($A76,'Company Hitlist'!$A:$A,0)),)</f>
        <v/>
      </c>
      <c r="F76">
        <f>IFERROR(INDEX('Company Hitlist'!$T:$T,MATCH($A76,'Company Hitlist'!$A:$A,0)),)</f>
        <v/>
      </c>
      <c r="G76">
        <f>IFERROR(INDEX('Company Hitlist'!$V:$V,MATCH($A76,'Company Hitlist'!$A:$A,0)),)</f>
        <v/>
      </c>
      <c r="J76" t="inlineStr">
        <is>
          <t>todo</t>
        </is>
      </c>
    </row>
    <row r="77">
      <c r="A77" t="inlineStr">
        <is>
          <t>Thrive Market</t>
        </is>
      </c>
      <c r="B77" t="inlineStr">
        <is>
          <t>Tier 1</t>
        </is>
      </c>
      <c r="C77" t="n">
        <v>90</v>
      </c>
      <c r="D77">
        <f>IFERROR(INDEX('Company Hitlist'!$Q:$Q,MATCH($A77,'Company Hitlist'!$A:$A,0)),)</f>
        <v/>
      </c>
      <c r="E77">
        <f>IFERROR(INDEX('Company Hitlist'!$W:$W,MATCH($A77,'Company Hitlist'!$A:$A,0)),)</f>
        <v/>
      </c>
      <c r="F77">
        <f>IFERROR(INDEX('Company Hitlist'!$T:$T,MATCH($A77,'Company Hitlist'!$A:$A,0)),)</f>
        <v/>
      </c>
      <c r="G77">
        <f>IFERROR(INDEX('Company Hitlist'!$V:$V,MATCH($A77,'Company Hitlist'!$A:$A,0)),)</f>
        <v/>
      </c>
      <c r="J77" t="inlineStr">
        <is>
          <t>todo</t>
        </is>
      </c>
    </row>
    <row r="78">
      <c r="A78" t="inlineStr">
        <is>
          <t>Unilever Prestige</t>
        </is>
      </c>
      <c r="B78" t="inlineStr">
        <is>
          <t>Tier 1</t>
        </is>
      </c>
      <c r="C78" t="n">
        <v>90</v>
      </c>
      <c r="D78">
        <f>IFERROR(INDEX('Company Hitlist'!$Q:$Q,MATCH($A78,'Company Hitlist'!$A:$A,0)),)</f>
        <v/>
      </c>
      <c r="E78">
        <f>IFERROR(INDEX('Company Hitlist'!$W:$W,MATCH($A78,'Company Hitlist'!$A:$A,0)),)</f>
        <v/>
      </c>
      <c r="F78">
        <f>IFERROR(INDEX('Company Hitlist'!$T:$T,MATCH($A78,'Company Hitlist'!$A:$A,0)),)</f>
        <v/>
      </c>
      <c r="G78">
        <f>IFERROR(INDEX('Company Hitlist'!$V:$V,MATCH($A78,'Company Hitlist'!$A:$A,0)),)</f>
        <v/>
      </c>
      <c r="J78" t="inlineStr">
        <is>
          <t>todo</t>
        </is>
      </c>
    </row>
    <row r="79">
      <c r="A79" t="inlineStr">
        <is>
          <t>Fabletics</t>
        </is>
      </c>
      <c r="B79" t="inlineStr">
        <is>
          <t>Tier 1</t>
        </is>
      </c>
      <c r="C79" t="n">
        <v>87</v>
      </c>
      <c r="D79">
        <f>IFERROR(INDEX('Company Hitlist'!$Q:$Q,MATCH($A79,'Company Hitlist'!$A:$A,0)),)</f>
        <v/>
      </c>
      <c r="E79">
        <f>IFERROR(INDEX('Company Hitlist'!$W:$W,MATCH($A79,'Company Hitlist'!$A:$A,0)),)</f>
        <v/>
      </c>
      <c r="F79">
        <f>IFERROR(INDEX('Company Hitlist'!$T:$T,MATCH($A79,'Company Hitlist'!$A:$A,0)),)</f>
        <v/>
      </c>
      <c r="G79">
        <f>IFERROR(INDEX('Company Hitlist'!$V:$V,MATCH($A79,'Company Hitlist'!$A:$A,0)),)</f>
        <v/>
      </c>
      <c r="J79" t="inlineStr">
        <is>
          <t>todo</t>
        </is>
      </c>
    </row>
    <row r="80">
      <c r="A80" t="inlineStr">
        <is>
          <t>Patagonia</t>
        </is>
      </c>
      <c r="B80" t="inlineStr">
        <is>
          <t>Tier 1</t>
        </is>
      </c>
      <c r="C80" t="n">
        <v>87</v>
      </c>
      <c r="D80">
        <f>IFERROR(INDEX('Company Hitlist'!$Q:$Q,MATCH($A80,'Company Hitlist'!$A:$A,0)),)</f>
        <v/>
      </c>
      <c r="E80">
        <f>IFERROR(INDEX('Company Hitlist'!$W:$W,MATCH($A80,'Company Hitlist'!$A:$A,0)),)</f>
        <v/>
      </c>
      <c r="F80">
        <f>IFERROR(INDEX('Company Hitlist'!$T:$T,MATCH($A80,'Company Hitlist'!$A:$A,0)),)</f>
        <v/>
      </c>
      <c r="G80">
        <f>IFERROR(INDEX('Company Hitlist'!$V:$V,MATCH($A80,'Company Hitlist'!$A:$A,0)),)</f>
        <v/>
      </c>
      <c r="J80" t="inlineStr">
        <is>
          <t>todo</t>
        </is>
      </c>
    </row>
    <row r="81">
      <c r="A81" t="inlineStr">
        <is>
          <t>Kraft Heinz</t>
        </is>
      </c>
      <c r="B81" t="inlineStr">
        <is>
          <t>Tier 1</t>
        </is>
      </c>
      <c r="C81" t="n">
        <v>85</v>
      </c>
      <c r="D81">
        <f>IFERROR(INDEX('Company Hitlist'!$Q:$Q,MATCH($A81,'Company Hitlist'!$A:$A,0)),)</f>
        <v/>
      </c>
      <c r="E81">
        <f>IFERROR(INDEX('Company Hitlist'!$W:$W,MATCH($A81,'Company Hitlist'!$A:$A,0)),)</f>
        <v/>
      </c>
      <c r="F81">
        <f>IFERROR(INDEX('Company Hitlist'!$T:$T,MATCH($A81,'Company Hitlist'!$A:$A,0)),)</f>
        <v/>
      </c>
      <c r="G81">
        <f>IFERROR(INDEX('Company Hitlist'!$V:$V,MATCH($A81,'Company Hitlist'!$A:$A,0)),)</f>
        <v/>
      </c>
      <c r="J81" t="inlineStr">
        <is>
          <t>todo</t>
        </is>
      </c>
    </row>
    <row r="82">
      <c r="A82" t="inlineStr">
        <is>
          <t>Global Industrial Company</t>
        </is>
      </c>
      <c r="B82" t="inlineStr">
        <is>
          <t>Tier 1</t>
        </is>
      </c>
      <c r="C82" t="n">
        <v>82</v>
      </c>
      <c r="D82">
        <f>IFERROR(INDEX('Company Hitlist'!$Q:$Q,MATCH($A82,'Company Hitlist'!$A:$A,0)),)</f>
        <v/>
      </c>
      <c r="E82">
        <f>IFERROR(INDEX('Company Hitlist'!$W:$W,MATCH($A82,'Company Hitlist'!$A:$A,0)),)</f>
        <v/>
      </c>
      <c r="F82">
        <f>IFERROR(INDEX('Company Hitlist'!$T:$T,MATCH($A82,'Company Hitlist'!$A:$A,0)),)</f>
        <v/>
      </c>
      <c r="G82">
        <f>IFERROR(INDEX('Company Hitlist'!$V:$V,MATCH($A82,'Company Hitlist'!$A:$A,0)),)</f>
        <v/>
      </c>
      <c r="J82" t="inlineStr">
        <is>
          <t>todo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7" max="17"/>
    <col width="11" customWidth="1" min="18" max="18"/>
    <col width="16" customWidth="1" min="19" max="19"/>
    <col width="28" customWidth="1" min="20" max="20"/>
    <col width="28" customWidth="1" min="21" max="21"/>
    <col width="14" customWidth="1" min="22" max="22"/>
    <col width="11" customWidth="1" min="23" max="23"/>
    <col width="13" customWidth="1" min="24" max="24"/>
    <col width="17" customWidth="1" min="25" max="25"/>
    <col width="14" customWidth="1" min="26" max="26"/>
    <col width="13" customWidth="1" min="27" max="27"/>
  </cols>
  <sheetData>
    <row r="1">
      <c r="A1" t="inlineStr">
        <is>
          <t>Company</t>
        </is>
      </c>
      <c r="B1" t="inlineStr">
        <is>
          <t>attendees</t>
        </is>
      </c>
      <c r="C1" t="inlineStr">
        <is>
          <t>exec_ops_count</t>
        </is>
      </c>
      <c r="D1" t="inlineStr">
        <is>
          <t>ops_count</t>
        </is>
      </c>
      <c r="E1" t="inlineStr">
        <is>
          <t>proc_count</t>
        </is>
      </c>
      <c r="F1" t="inlineStr">
        <is>
          <t>sales_count</t>
        </is>
      </c>
      <c r="G1" t="inlineStr">
        <is>
          <t>tech_count</t>
        </is>
      </c>
      <c r="H1" t="inlineStr">
        <is>
          <t>max_revenue</t>
        </is>
      </c>
      <c r="I1" t="inlineStr">
        <is>
          <t>non_ops</t>
        </is>
      </c>
      <c r="J1" t="inlineStr">
        <is>
          <t>ops_share</t>
        </is>
      </c>
      <c r="K1" t="inlineStr">
        <is>
          <t>vendor_penalty</t>
        </is>
      </c>
      <c r="L1" t="inlineStr">
        <is>
          <t>mega_boost</t>
        </is>
      </c>
      <c r="M1" t="inlineStr">
        <is>
          <t>Score</t>
        </is>
      </c>
      <c r="N1" t="inlineStr">
        <is>
          <t>Tier</t>
        </is>
      </c>
      <c r="O1" t="inlineStr">
        <is>
          <t>Recommended Targets</t>
        </is>
      </c>
      <c r="P1" t="inlineStr">
        <is>
          <t>TopTitles</t>
        </is>
      </c>
      <c r="Q1" s="3" t="inlineStr">
        <is>
          <t>Facilities_Est</t>
        </is>
      </c>
      <c r="R1" s="3" t="inlineStr">
        <is>
          <t>Yards_Est</t>
        </is>
      </c>
      <c r="S1" s="3" t="inlineStr">
        <is>
          <t>Facility_Type</t>
        </is>
      </c>
      <c r="T1" s="3" t="inlineStr">
        <is>
          <t>Evidence_URL_1</t>
        </is>
      </c>
      <c r="U1" s="3" t="inlineStr">
        <is>
          <t>Evidence_URL_2</t>
        </is>
      </c>
      <c r="V1" s="3" t="inlineStr">
        <is>
          <t>Method</t>
        </is>
      </c>
      <c r="W1" s="3" t="inlineStr">
        <is>
          <t>Confidence</t>
        </is>
      </c>
      <c r="X1" s="3" t="inlineStr">
        <is>
          <t>Last_Verified</t>
        </is>
      </c>
      <c r="Y1" s="3" t="inlineStr">
        <is>
          <t>Enrichment_Status</t>
        </is>
      </c>
      <c r="Z1" s="3" t="inlineStr">
        <is>
          <t>Priority_Score</t>
        </is>
      </c>
      <c r="AA1" s="3" t="inlineStr">
        <is>
          <t>Priority_Rank</t>
        </is>
      </c>
    </row>
    <row r="2">
      <c r="A2" t="inlineStr">
        <is>
          <t>Mars</t>
        </is>
      </c>
      <c r="B2" t="n">
        <v>9</v>
      </c>
      <c r="C2" t="n">
        <v>0</v>
      </c>
      <c r="D2" t="n">
        <v>6</v>
      </c>
      <c r="E2" t="n">
        <v>1</v>
      </c>
      <c r="F2" t="n">
        <v>0</v>
      </c>
      <c r="G2" t="n">
        <v>1</v>
      </c>
      <c r="I2" t="n">
        <v>1</v>
      </c>
      <c r="J2" t="n">
        <v>0.6666666666666666</v>
      </c>
      <c r="K2" t="n">
        <v>0</v>
      </c>
      <c r="L2" t="n">
        <v>0</v>
      </c>
      <c r="M2" t="n">
        <v>35</v>
      </c>
      <c r="N2" t="inlineStr">
        <is>
          <t>Tier 4</t>
        </is>
      </c>
      <c r="O2" t="inlineStr">
        <is>
          <t>Michael Ventura — Manager, Strategic Sourcing - Transportation; Mike Shaverin — Global Supply Chain Director; Meghan Charboneau — Director of Transportation; Isaiah Viera — Global Warehouse Operations Manager; Josh Mullis — Global Supply Chain Director - Mars Retail</t>
        </is>
      </c>
      <c r="P2" t="inlineStr">
        <is>
          <t>Manager, Strategic Sourcing - Transportation | Director of Transportation | SVP of Global Analytics, Digital &amp; Data</t>
        </is>
      </c>
      <c r="Y2" t="inlineStr">
        <is>
          <t>todo</t>
        </is>
      </c>
      <c r="Z2">
        <f>(M2*Weights!$B$2) + (MIN(Q2,Weights!$B$5)*Weights!$B$3*(W2/100)*Weights!$B$4)</f>
        <v/>
      </c>
      <c r="AA2">
        <f>IF(Z2= ,,RANK.EQ({pri_col_letter}{r},{pri_range},0))</f>
        <v/>
      </c>
    </row>
    <row r="3">
      <c r="A3" t="inlineStr">
        <is>
          <t>SEKO Logistics</t>
        </is>
      </c>
      <c r="B3" t="n">
        <v>7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2000000000</v>
      </c>
      <c r="I3" t="n">
        <v>1</v>
      </c>
      <c r="J3" t="n">
        <v>0.2857142857142857</v>
      </c>
      <c r="K3" t="n">
        <v>0</v>
      </c>
      <c r="L3" t="n">
        <v>0</v>
      </c>
      <c r="M3" t="n">
        <v>35</v>
      </c>
      <c r="N3" t="inlineStr">
        <is>
          <t>Tier 4</t>
        </is>
      </c>
      <c r="O3" t="inlineStr">
        <is>
          <t>Caleb Alvis — Commercial Operations Manager; Dina Stillo — Director of Program Development, Supply Chain &amp; Logistics; Brian Bourke — Chief Commerical Officer; Brock McMorris — Vice President, Global Strategic Clients; Jamie Andrade — SVP, Product Management</t>
        </is>
      </c>
      <c r="P3" t="inlineStr">
        <is>
          <t>Chief Commerical Officer | Vice President, Global Strategic Clients | SVP, Product Management</t>
        </is>
      </c>
      <c r="Y3" t="inlineStr">
        <is>
          <t>todo</t>
        </is>
      </c>
      <c r="Z3">
        <f>(M3*Weights!$B$2) + (MIN(Q3,Weights!$B$5)*Weights!$B$3*(W3/100)*Weights!$B$4)</f>
        <v/>
      </c>
      <c r="AA3">
        <f>IF(Z3= ,,RANK.EQ({pri_col_letter}{r},{pri_range},0))</f>
        <v/>
      </c>
    </row>
    <row r="4">
      <c r="A4" t="inlineStr">
        <is>
          <t>Wayfair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I4" t="n">
        <v>0</v>
      </c>
      <c r="J4" t="n">
        <v>0.5</v>
      </c>
      <c r="K4" t="n">
        <v>0</v>
      </c>
      <c r="L4" t="n">
        <v>25</v>
      </c>
      <c r="M4" t="n">
        <v>33</v>
      </c>
      <c r="N4" t="inlineStr">
        <is>
          <t>Tier 4</t>
        </is>
      </c>
      <c r="O4" t="inlineStr">
        <is>
          <t>Kenneth Sine — Head of Global Procurement; Chayan Ray — Senior Manager, Global Transportation Systems</t>
        </is>
      </c>
      <c r="P4" t="inlineStr">
        <is>
          <t>Head of Global Procurement | Senior Manager, Global Transportation Systems</t>
        </is>
      </c>
      <c r="Y4" t="inlineStr">
        <is>
          <t>todo</t>
        </is>
      </c>
      <c r="Z4">
        <f>(M4*Weights!$B$2) + (MIN(Q4,Weights!$B$5)*Weights!$B$3*(W4/100)*Weights!$B$4)</f>
        <v/>
      </c>
      <c r="AA4">
        <f>IF(Z4= ,,RANK.EQ({pri_col_letter}{r},{pri_range},0))</f>
        <v/>
      </c>
    </row>
    <row r="5">
      <c r="A5" t="inlineStr">
        <is>
          <t>Light &amp; Wonder</t>
        </is>
      </c>
      <c r="B5" t="n">
        <v>12</v>
      </c>
      <c r="C5" t="n">
        <v>0</v>
      </c>
      <c r="D5" t="n">
        <v>2</v>
      </c>
      <c r="E5" t="n">
        <v>6</v>
      </c>
      <c r="F5" t="n">
        <v>0</v>
      </c>
      <c r="G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32</v>
      </c>
      <c r="N5" t="inlineStr">
        <is>
          <t>Tier 4</t>
        </is>
      </c>
      <c r="O5" t="inlineStr">
        <is>
          <t>Jennifer Krueger — Vice President, Planning &amp; Purchasing; Eric Eileraas — Sr Director Logistics; Rachael Leggett — Sr Director, Supply Chain Strategy &amp; Demand Planning; Deb Withers — Sr Manager, Purchasing; Eric Sill — Director, Supply Planning &amp; Purchasing</t>
        </is>
      </c>
      <c r="P5" t="inlineStr">
        <is>
          <t>Vice President, Planning &amp; Purchasing | COO | Vice President, Field Services</t>
        </is>
      </c>
      <c r="Y5" t="inlineStr">
        <is>
          <t>todo</t>
        </is>
      </c>
      <c r="Z5">
        <f>(M5*Weights!$B$2) + (MIN(Q5,Weights!$B$5)*Weights!$B$3*(W5/100)*Weights!$B$4)</f>
        <v/>
      </c>
      <c r="AA5">
        <f>IF(Z5= ,,RANK.EQ({pri_col_letter}{r},{pri_range},0))</f>
        <v/>
      </c>
    </row>
    <row r="6">
      <c r="A6" t="inlineStr">
        <is>
          <t>KBX</t>
        </is>
      </c>
      <c r="B6" t="n">
        <v>7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I6" t="n">
        <v>0</v>
      </c>
      <c r="J6" t="n">
        <v>0.2857142857142857</v>
      </c>
      <c r="K6" t="n">
        <v>0</v>
      </c>
      <c r="L6" t="n">
        <v>0</v>
      </c>
      <c r="M6" t="n">
        <v>32</v>
      </c>
      <c r="N6" t="inlineStr">
        <is>
          <t>Tier 4</t>
        </is>
      </c>
      <c r="O6" t="inlineStr">
        <is>
          <t>Jamie Hess — VP, Global Transportation Procurement; David Bennett — Sr. Managing Director, International Logistics; Richard Swan — KBX President; Ryan Winter — CFO; Scott Reed — CIO</t>
        </is>
      </c>
      <c r="P6" t="inlineStr">
        <is>
          <t>VP, Global Transportation Procurement | Sr. Managing Director, International Logistics | KBX President</t>
        </is>
      </c>
      <c r="Y6" t="inlineStr">
        <is>
          <t>todo</t>
        </is>
      </c>
      <c r="Z6">
        <f>(M6*Weights!$B$2) + (MIN(Q6,Weights!$B$5)*Weights!$B$3*(W6/100)*Weights!$B$4)</f>
        <v/>
      </c>
      <c r="AA6">
        <f>IF(Z6= ,,RANK.EQ({pri_col_letter}{r},{pri_range},0))</f>
        <v/>
      </c>
    </row>
    <row r="7">
      <c r="A7" t="inlineStr">
        <is>
          <t>iFIT</t>
        </is>
      </c>
      <c r="B7" t="n">
        <v>5</v>
      </c>
      <c r="C7" t="n">
        <v>1</v>
      </c>
      <c r="D7" t="n">
        <v>3</v>
      </c>
      <c r="E7" t="n">
        <v>0</v>
      </c>
      <c r="F7" t="n">
        <v>0</v>
      </c>
      <c r="G7" t="n">
        <v>0</v>
      </c>
      <c r="I7" t="n">
        <v>0</v>
      </c>
      <c r="J7" t="n">
        <v>0.6</v>
      </c>
      <c r="K7" t="n">
        <v>0</v>
      </c>
      <c r="L7" t="n">
        <v>0</v>
      </c>
      <c r="M7" t="n">
        <v>32</v>
      </c>
      <c r="N7" t="inlineStr">
        <is>
          <t>Tier 4</t>
        </is>
      </c>
      <c r="O7" t="inlineStr">
        <is>
          <t>Robert Critchley — VP, Transportation &amp; Warehousing; Mike Buttars — Reverse Logistics; Ron Stimson — Director of Reverse logistics; Paul Bozich — Director of Home Delivery; Chelsey Porter — Carrier Relations Manager</t>
        </is>
      </c>
      <c r="P7" t="inlineStr">
        <is>
          <t>VP, Transportation &amp; Warehousing | Reverse Logistics | Director of Reverse logistics</t>
        </is>
      </c>
      <c r="Y7" t="inlineStr">
        <is>
          <t>todo</t>
        </is>
      </c>
      <c r="Z7">
        <f>(M7*Weights!$B$2) + (MIN(Q7,Weights!$B$5)*Weights!$B$3*(W7/100)*Weights!$B$4)</f>
        <v/>
      </c>
      <c r="AA7">
        <f>IF(Z7= ,,RANK.EQ({pri_col_letter}{r},{pri_range},0))</f>
        <v/>
      </c>
    </row>
    <row r="8">
      <c r="A8" t="inlineStr">
        <is>
          <t>Nike</t>
        </is>
      </c>
      <c r="B8" t="n">
        <v>3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I8" t="n">
        <v>0</v>
      </c>
      <c r="J8" t="n">
        <v>0.3333333333333333</v>
      </c>
      <c r="K8" t="n">
        <v>0</v>
      </c>
      <c r="L8" t="n">
        <v>25</v>
      </c>
      <c r="M8" t="n">
        <v>32</v>
      </c>
      <c r="N8" t="inlineStr">
        <is>
          <t>Tier 4</t>
        </is>
      </c>
      <c r="O8" t="inlineStr">
        <is>
          <t>Vishal Arya — Sr Director of Transportation and Trade; Lukesh Singla — Material Planning Leader; Brian Gooch — Sr. Manager, Capacity Performance and Planning</t>
        </is>
      </c>
      <c r="P8" t="inlineStr">
        <is>
          <t>Sr Director of Transportation and Trade | Material Planning Leader | Sr. Manager, Capacity Performance and Planning</t>
        </is>
      </c>
      <c r="Y8" t="inlineStr">
        <is>
          <t>todo</t>
        </is>
      </c>
      <c r="Z8">
        <f>(M8*Weights!$B$2) + (MIN(Q8,Weights!$B$5)*Weights!$B$3*(W8/100)*Weights!$B$4)</f>
        <v/>
      </c>
      <c r="AA8">
        <f>IF(Z8= ,,RANK.EQ({pri_col_letter}{r},{pri_range},0))</f>
        <v/>
      </c>
    </row>
    <row r="9">
      <c r="A9" t="inlineStr">
        <is>
          <t>Aristocrat Gaming</t>
        </is>
      </c>
      <c r="B9" t="n">
        <v>4</v>
      </c>
      <c r="C9" t="n">
        <v>1</v>
      </c>
      <c r="D9" t="n">
        <v>3</v>
      </c>
      <c r="E9" t="n">
        <v>0</v>
      </c>
      <c r="F9" t="n">
        <v>0</v>
      </c>
      <c r="G9" t="n">
        <v>1</v>
      </c>
      <c r="I9" t="n">
        <v>1</v>
      </c>
      <c r="J9" t="n">
        <v>0.75</v>
      </c>
      <c r="K9" t="n">
        <v>0</v>
      </c>
      <c r="L9" t="n">
        <v>0</v>
      </c>
      <c r="M9" t="n">
        <v>31</v>
      </c>
      <c r="N9" t="inlineStr">
        <is>
          <t>Tier 4</t>
        </is>
      </c>
      <c r="O9" t="inlineStr">
        <is>
          <t>Mihir Wagh — SVP, GSC Manufacturing &amp; Logistics; Caleb Lawrence — Senior Analyst Global Logistics; Erin Turner — Sr. Manager, Global Logistics; Amit Bakuli — VP-Manufacturing Engineering</t>
        </is>
      </c>
      <c r="P9" t="inlineStr">
        <is>
          <t>SVP, GSC Manufacturing &amp; Logistics | VP-Manufacturing Engineering | Senior Analyst Global Logistics</t>
        </is>
      </c>
      <c r="Y9" t="inlineStr">
        <is>
          <t>todo</t>
        </is>
      </c>
      <c r="Z9">
        <f>(M9*Weights!$B$2) + (MIN(Q9,Weights!$B$5)*Weights!$B$3*(W9/100)*Weights!$B$4)</f>
        <v/>
      </c>
      <c r="AA9">
        <f>IF(Z9= ,,RANK.EQ({pri_col_letter}{r},{pri_range},0))</f>
        <v/>
      </c>
    </row>
    <row r="10">
      <c r="A10" t="inlineStr">
        <is>
          <t>Peloton Interactive</t>
        </is>
      </c>
      <c r="B10" t="n">
        <v>4</v>
      </c>
      <c r="C10" t="n">
        <v>1</v>
      </c>
      <c r="D10" t="n">
        <v>2</v>
      </c>
      <c r="E10" t="n">
        <v>2</v>
      </c>
      <c r="F10" t="n">
        <v>0</v>
      </c>
      <c r="G10" t="n">
        <v>0</v>
      </c>
      <c r="I10" t="n">
        <v>0</v>
      </c>
      <c r="J10" t="n">
        <v>0.5</v>
      </c>
      <c r="K10" t="n">
        <v>0</v>
      </c>
      <c r="L10" t="n">
        <v>0</v>
      </c>
      <c r="M10" t="n">
        <v>31</v>
      </c>
      <c r="N10" t="inlineStr">
        <is>
          <t>Tier 4</t>
        </is>
      </c>
      <c r="O10" t="inlineStr">
        <is>
          <t>Andy Rendich — Chief Supply Chain Officer; David Beyar — Sr. Manager, Transportation; Angad Gadhok — Senior Manager, Procurement; Bharat Nair — Category Manager, Procurement</t>
        </is>
      </c>
      <c r="P10" t="inlineStr">
        <is>
          <t>Chief Supply Chain Officer | Sr. Manager, Transportation | Senior Manager, Procurement</t>
        </is>
      </c>
      <c r="Y10" t="inlineStr">
        <is>
          <t>todo</t>
        </is>
      </c>
      <c r="Z10">
        <f>(M10*Weights!$B$2) + (MIN(Q10,Weights!$B$5)*Weights!$B$3*(W10/100)*Weights!$B$4)</f>
        <v/>
      </c>
      <c r="AA10">
        <f>IF(Z10= ,,RANK.EQ({pri_col_letter}{r},{pri_range},0))</f>
        <v/>
      </c>
    </row>
    <row r="11">
      <c r="A11" t="inlineStr">
        <is>
          <t>Philips</t>
        </is>
      </c>
      <c r="B11" t="n">
        <v>4</v>
      </c>
      <c r="C11" t="n">
        <v>1</v>
      </c>
      <c r="D11" t="n">
        <v>3</v>
      </c>
      <c r="E11" t="n">
        <v>0</v>
      </c>
      <c r="F11" t="n">
        <v>0</v>
      </c>
      <c r="G11" t="n">
        <v>0</v>
      </c>
      <c r="I11" t="n">
        <v>0</v>
      </c>
      <c r="J11" t="n">
        <v>0.75</v>
      </c>
      <c r="K11" t="n">
        <v>0</v>
      </c>
      <c r="L11" t="n">
        <v>0</v>
      </c>
      <c r="M11" t="n">
        <v>31</v>
      </c>
      <c r="N11" t="inlineStr">
        <is>
          <t>Tier 4</t>
        </is>
      </c>
      <c r="O11" t="inlineStr">
        <is>
          <t>Birger Buesching — Head of Supply Chain North America, Personal Health; Ryan Ganger — Transportation Leader North America; Marc Koumoundouros — Supply Chain Leader Canada; Laura de Chiara — Director Transformation and Integration</t>
        </is>
      </c>
      <c r="P11" t="inlineStr">
        <is>
          <t>Head of Supply Chain North America, Personal Health | Transportation Leader North America | Supply Chain Leader Canada</t>
        </is>
      </c>
      <c r="Y11" t="inlineStr">
        <is>
          <t>todo</t>
        </is>
      </c>
      <c r="Z11">
        <f>(M11*Weights!$B$2) + (MIN(Q11,Weights!$B$5)*Weights!$B$3*(W11/100)*Weights!$B$4)</f>
        <v/>
      </c>
      <c r="AA11">
        <f>IF(Z11= ,,RANK.EQ({pri_col_letter}{r},{pri_range},0))</f>
        <v/>
      </c>
    </row>
    <row r="12">
      <c r="A12" t="inlineStr">
        <is>
          <t>Tyson Foods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I12" t="n">
        <v>0</v>
      </c>
      <c r="J12" t="n">
        <v>0.5</v>
      </c>
      <c r="K12" t="n">
        <v>0</v>
      </c>
      <c r="L12" t="n">
        <v>25</v>
      </c>
      <c r="M12" t="n">
        <v>31</v>
      </c>
      <c r="N12" t="inlineStr">
        <is>
          <t>Tier 4</t>
        </is>
      </c>
      <c r="O12" t="inlineStr">
        <is>
          <t>Chris Plant — Director of Transportation; Kevin Corrigan — Associate Director, Business Process &amp; Systems</t>
        </is>
      </c>
      <c r="P12" t="inlineStr">
        <is>
          <t>Director of Transportation | Associate Director, Business Process &amp; Systems</t>
        </is>
      </c>
      <c r="Y12" t="inlineStr">
        <is>
          <t>todo</t>
        </is>
      </c>
      <c r="Z12">
        <f>(M12*Weights!$B$2) + (MIN(Q12,Weights!$B$5)*Weights!$B$3*(W12/100)*Weights!$B$4)</f>
        <v/>
      </c>
      <c r="AA12">
        <f>IF(Z12= ,,RANK.EQ({pri_col_letter}{r},{pri_range},0))</f>
        <v/>
      </c>
    </row>
    <row r="13">
      <c r="A13" t="inlineStr">
        <is>
          <t>AT&amp;T</t>
        </is>
      </c>
      <c r="B13" t="n">
        <v>6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30</v>
      </c>
      <c r="N13" t="inlineStr">
        <is>
          <t>Tier 4</t>
        </is>
      </c>
      <c r="O13" t="inlineStr">
        <is>
          <t>Ellen Valencia — AVP Planning and Logistics; Jawad Masood — Director Planning and Logistics; Kent McCormick — Director Supply Planning/Logistics; Kyle Meyer — Director Planning and Logistics; Meg Birchfiled — Director Planning &amp; Logistics</t>
        </is>
      </c>
      <c r="P13" t="inlineStr">
        <is>
          <t>AVP Planning and Logistics | Director Planning and Logistics | Director Supply Planning/Logistics</t>
        </is>
      </c>
      <c r="Y13" t="inlineStr">
        <is>
          <t>todo</t>
        </is>
      </c>
      <c r="Z13">
        <f>(M13*Weights!$B$2) + (MIN(Q13,Weights!$B$5)*Weights!$B$3*(W13/100)*Weights!$B$4)</f>
        <v/>
      </c>
      <c r="AA13">
        <f>IF(Z13= ,,RANK.EQ({pri_col_letter}{r},{pri_range},0))</f>
        <v/>
      </c>
    </row>
    <row r="14">
      <c r="A14" t="inlineStr">
        <is>
          <t>Google Cloud</t>
        </is>
      </c>
      <c r="B14" t="n">
        <v>5</v>
      </c>
      <c r="C14" t="n">
        <v>1</v>
      </c>
      <c r="D14" t="n">
        <v>4</v>
      </c>
      <c r="E14" t="n">
        <v>0</v>
      </c>
      <c r="F14" t="n">
        <v>3</v>
      </c>
      <c r="G14" t="n">
        <v>2</v>
      </c>
      <c r="I14" t="n">
        <v>5</v>
      </c>
      <c r="J14" t="n">
        <v>0.8</v>
      </c>
      <c r="K14" t="n">
        <v>0</v>
      </c>
      <c r="L14" t="n">
        <v>0</v>
      </c>
      <c r="M14" t="n">
        <v>30</v>
      </c>
      <c r="N14" t="inlineStr">
        <is>
          <t>Tier 4</t>
        </is>
      </c>
      <c r="O14" t="inlineStr">
        <is>
          <t>Mike Mandeville — Head of Customer Engineering, Logistics; Shayna Zweiback — Regional Marketing Lead, South and Logistics; Peter Blum — Director, US Logistics Sales; Ashwin Sridhar — Global Solutions Lead, Industry AI; Yewande Badewole — Global GTM Practice Architect - Logistics &amp; Supply Chain</t>
        </is>
      </c>
      <c r="P14" t="inlineStr">
        <is>
          <t>Head of Customer Engineering, Logistics | Global Solutions Lead, Industry AI | Regional Marketing Lead, South and Logistics</t>
        </is>
      </c>
      <c r="Y14" t="inlineStr">
        <is>
          <t>todo</t>
        </is>
      </c>
      <c r="Z14">
        <f>(M14*Weights!$B$2) + (MIN(Q14,Weights!$B$5)*Weights!$B$3*(W14/100)*Weights!$B$4)</f>
        <v/>
      </c>
      <c r="AA14">
        <f>IF(Z14= ,,RANK.EQ({pri_col_letter}{r},{pri_range},0))</f>
        <v/>
      </c>
    </row>
    <row r="15">
      <c r="A15" t="inlineStr">
        <is>
          <t>Dermalogica</t>
        </is>
      </c>
      <c r="B15" t="n">
        <v>3</v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30</v>
      </c>
      <c r="N15" t="inlineStr">
        <is>
          <t>Tier 4</t>
        </is>
      </c>
      <c r="O15" t="inlineStr">
        <is>
          <t>John McGuinn — VP Operations; Jason Brown — Director Logistics &amp; Warehousing; Ashley Deleonardis — Supply Chain Process Architect</t>
        </is>
      </c>
      <c r="P15" t="inlineStr">
        <is>
          <t>VP Operations | Director Logistics &amp; Warehousing | Supply Chain Process Architect</t>
        </is>
      </c>
      <c r="Y15" t="inlineStr">
        <is>
          <t>todo</t>
        </is>
      </c>
      <c r="Z15">
        <f>(M15*Weights!$B$2) + (MIN(Q15,Weights!$B$5)*Weights!$B$3*(W15/100)*Weights!$B$4)</f>
        <v/>
      </c>
      <c r="AA15">
        <f>IF(Z15= ,,RANK.EQ({pri_col_letter}{r},{pri_range},0))</f>
        <v/>
      </c>
    </row>
    <row r="16">
      <c r="A16" t="inlineStr">
        <is>
          <t>Fasteners Inc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30</v>
      </c>
      <c r="N16" t="inlineStr">
        <is>
          <t>Tier 4</t>
        </is>
      </c>
      <c r="O16" t="inlineStr">
        <is>
          <t>Michael Gambino — VP Operations; Brandon Show — Director of Operations; Kyle Peeler — Operations Manager</t>
        </is>
      </c>
      <c r="P16" t="inlineStr">
        <is>
          <t>VP Operations | Director of Operations | Operations Manager</t>
        </is>
      </c>
      <c r="Y16" t="inlineStr">
        <is>
          <t>todo</t>
        </is>
      </c>
      <c r="Z16">
        <f>(M16*Weights!$B$2) + (MIN(Q16,Weights!$B$5)*Weights!$B$3*(W16/100)*Weights!$B$4)</f>
        <v/>
      </c>
      <c r="AA16">
        <f>IF(Z16= ,,RANK.EQ({pri_col_letter}{r},{pri_range},0))</f>
        <v/>
      </c>
    </row>
    <row r="17">
      <c r="A17" t="inlineStr">
        <is>
          <t>The Scotts Miracle-Gro Company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30</v>
      </c>
      <c r="N17" t="inlineStr">
        <is>
          <t>Tier 4</t>
        </is>
      </c>
      <c r="O17" t="inlineStr">
        <is>
          <t>David Huskisson — Vice President: Distribution, Customer Experience, and Enterprise Planning; Logan Potere — Director Supply Chain; Nelson Adrian — Director of Distribution</t>
        </is>
      </c>
      <c r="P17" t="inlineStr">
        <is>
          <t>Vice President: Distribution, Customer Experience, and Enterprise Planning | Director Supply Chain | Director of Distribution</t>
        </is>
      </c>
      <c r="Y17" t="inlineStr">
        <is>
          <t>todo</t>
        </is>
      </c>
      <c r="Z17">
        <f>(M17*Weights!$B$2) + (MIN(Q17,Weights!$B$5)*Weights!$B$3*(W17/100)*Weights!$B$4)</f>
        <v/>
      </c>
      <c r="AA17">
        <f>IF(Z17= ,,RANK.EQ({pri_col_letter}{r},{pri_range},0))</f>
        <v/>
      </c>
    </row>
    <row r="18">
      <c r="A18" t="inlineStr">
        <is>
          <t>Tropicana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30</v>
      </c>
      <c r="N18" t="inlineStr">
        <is>
          <t>Tier 4</t>
        </is>
      </c>
      <c r="O18" t="inlineStr">
        <is>
          <t>Sanjiv Monahan — VP of Supply Chain; Kraig Lefrancois — Director of Transportation; Todd Powers — Senior Manager, Transportation</t>
        </is>
      </c>
      <c r="P18" t="inlineStr">
        <is>
          <t>VP of Supply Chain | Director of Transportation | Senior Manager, Transportation</t>
        </is>
      </c>
      <c r="Y18" t="inlineStr">
        <is>
          <t>todo</t>
        </is>
      </c>
      <c r="Z18">
        <f>(M18*Weights!$B$2) + (MIN(Q18,Weights!$B$5)*Weights!$B$3*(W18/100)*Weights!$B$4)</f>
        <v/>
      </c>
      <c r="AA18">
        <f>IF(Z18= ,,RANK.EQ({pri_col_letter}{r},{pri_range},0))</f>
        <v/>
      </c>
    </row>
    <row r="19">
      <c r="A19" t="inlineStr">
        <is>
          <t>United Facilities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30</v>
      </c>
      <c r="N19" t="inlineStr">
        <is>
          <t>Tier 4</t>
        </is>
      </c>
      <c r="O19" t="inlineStr">
        <is>
          <t>Larry Yocum — VP of Ops; Matthew McClure — Corporate Logistics Manager; Peter Hawkins — Senior Director of Operations</t>
        </is>
      </c>
      <c r="P19" t="inlineStr">
        <is>
          <t>VP of Ops | Corporate Logistics Manager | Senior Director of Operations</t>
        </is>
      </c>
      <c r="Y19" t="inlineStr">
        <is>
          <t>todo</t>
        </is>
      </c>
      <c r="Z19">
        <f>(M19*Weights!$B$2) + (MIN(Q19,Weights!$B$5)*Weights!$B$3*(W19/100)*Weights!$B$4)</f>
        <v/>
      </c>
      <c r="AA19">
        <f>IF(Z19= ,,RANK.EQ({pri_col_letter}{r},{pri_range},0))</f>
        <v/>
      </c>
    </row>
    <row r="20">
      <c r="A20" t="inlineStr">
        <is>
          <t>WK Kellogg</t>
        </is>
      </c>
      <c r="B20" t="n">
        <v>3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30</v>
      </c>
      <c r="N20" t="inlineStr">
        <is>
          <t>Tier 4</t>
        </is>
      </c>
      <c r="O20" t="inlineStr">
        <is>
          <t>Wendy Huller — VP, Customer Service and Logistics; Kyle Russell — Sr Director of Distribution; Robert Morris — Sr Director Logistics</t>
        </is>
      </c>
      <c r="P20" t="inlineStr">
        <is>
          <t>VP, Customer Service and Logistics | Sr Director of Distribution | Sr Director Logistics</t>
        </is>
      </c>
      <c r="Y20" t="inlineStr">
        <is>
          <t>todo</t>
        </is>
      </c>
      <c r="Z20">
        <f>(M20*Weights!$B$2) + (MIN(Q20,Weights!$B$5)*Weights!$B$3*(W20/100)*Weights!$B$4)</f>
        <v/>
      </c>
      <c r="AA20">
        <f>IF(Z20= ,,RANK.EQ({pri_col_letter}{r},{pri_range},0))</f>
        <v/>
      </c>
    </row>
    <row r="21">
      <c r="A21" t="inlineStr">
        <is>
          <t>Chewy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I21" t="n">
        <v>0</v>
      </c>
      <c r="J21" t="n">
        <v>1</v>
      </c>
      <c r="K21" t="n">
        <v>0</v>
      </c>
      <c r="L21" t="n">
        <v>25</v>
      </c>
      <c r="M21" t="n">
        <v>30</v>
      </c>
      <c r="N21" t="inlineStr">
        <is>
          <t>Tier 4</t>
        </is>
      </c>
      <c r="O21" t="inlineStr">
        <is>
          <t>Jonathan Rodgers — Director of Fulfillment</t>
        </is>
      </c>
      <c r="P21" t="inlineStr">
        <is>
          <t>Director of Fulfillment</t>
        </is>
      </c>
      <c r="Y21" t="inlineStr">
        <is>
          <t>todo</t>
        </is>
      </c>
      <c r="Z21">
        <f>(M21*Weights!$B$2) + (MIN(Q21,Weights!$B$5)*Weights!$B$3*(W21/100)*Weights!$B$4)</f>
        <v/>
      </c>
      <c r="AA21">
        <f>IF(Z21= ,,RANK.EQ({pri_col_letter}{r},{pri_range},0))</f>
        <v/>
      </c>
    </row>
    <row r="22">
      <c r="A22" t="inlineStr">
        <is>
          <t>Kuehne + Nagel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I22" t="n">
        <v>0</v>
      </c>
      <c r="J22" t="n">
        <v>0</v>
      </c>
      <c r="K22" t="n">
        <v>0</v>
      </c>
      <c r="L22" t="n">
        <v>25</v>
      </c>
      <c r="M22" t="n">
        <v>29</v>
      </c>
      <c r="N22" t="inlineStr">
        <is>
          <t>Tier 4</t>
        </is>
      </c>
      <c r="O22" t="inlineStr">
        <is>
          <t>David Cornett — VP Healthcare Americas; Donald Potter — VP Consumer Americas; Liam Harris — VP Technology Americas; Ryan Pope — Director, Key Accounts Development</t>
        </is>
      </c>
      <c r="P22" t="inlineStr">
        <is>
          <t>VP Healthcare Americas | VP Consumer Americas | VP Technology Americas</t>
        </is>
      </c>
      <c r="Y22" t="inlineStr">
        <is>
          <t>todo</t>
        </is>
      </c>
      <c r="Z22">
        <f>(M22*Weights!$B$2) + (MIN(Q22,Weights!$B$5)*Weights!$B$3*(W22/100)*Weights!$B$4)</f>
        <v/>
      </c>
      <c r="AA22">
        <f>IF(Z22= ,,RANK.EQ({pri_col_letter}{r},{pri_range},0))</f>
        <v/>
      </c>
    </row>
    <row r="23">
      <c r="A23" t="inlineStr">
        <is>
          <t>Zero Down Supply Chain Solutions</t>
        </is>
      </c>
      <c r="B23" t="n">
        <v>5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54436000</v>
      </c>
      <c r="I23" t="n">
        <v>1</v>
      </c>
      <c r="J23" t="n">
        <v>0.2</v>
      </c>
      <c r="K23" t="n">
        <v>0</v>
      </c>
      <c r="L23" t="n">
        <v>0</v>
      </c>
      <c r="M23" t="n">
        <v>28</v>
      </c>
      <c r="N23" t="inlineStr">
        <is>
          <t>Tier 4</t>
        </is>
      </c>
      <c r="O23" t="inlineStr">
        <is>
          <t>Saxon McBride — Vice President of Operations; Brad McBride — CEO &amp; Founder; Reinaldo Marin — COO; James Reilly II — Director of Client Acquisition; Rebecca McBride — Director of Business Development</t>
        </is>
      </c>
      <c r="P23" t="inlineStr">
        <is>
          <t>Vice President of Operations | CEO &amp; Founder | COO</t>
        </is>
      </c>
      <c r="Y23" t="inlineStr">
        <is>
          <t>todo</t>
        </is>
      </c>
      <c r="Z23">
        <f>(M23*Weights!$B$2) + (MIN(Q23,Weights!$B$5)*Weights!$B$3*(W23/100)*Weights!$B$4)</f>
        <v/>
      </c>
      <c r="AA23">
        <f>IF(Z23= ,,RANK.EQ({pri_col_letter}{r},{pri_range},0))</f>
        <v/>
      </c>
    </row>
    <row r="24">
      <c r="A24" t="inlineStr">
        <is>
          <t>Hunter Douglas</t>
        </is>
      </c>
      <c r="B24" t="n">
        <v>3</v>
      </c>
      <c r="C24" t="n">
        <v>1</v>
      </c>
      <c r="D24" t="n">
        <v>2</v>
      </c>
      <c r="E24" t="n">
        <v>1</v>
      </c>
      <c r="F24" t="n">
        <v>0</v>
      </c>
      <c r="G24" t="n">
        <v>0</v>
      </c>
      <c r="I24" t="n">
        <v>0</v>
      </c>
      <c r="J24" t="n">
        <v>0.6666666666666666</v>
      </c>
      <c r="K24" t="n">
        <v>0</v>
      </c>
      <c r="L24" t="n">
        <v>0</v>
      </c>
      <c r="M24" t="n">
        <v>28</v>
      </c>
      <c r="N24" t="inlineStr">
        <is>
          <t>Tier 4</t>
        </is>
      </c>
      <c r="O24" t="inlineStr">
        <is>
          <t>Nikki Soss — Head of Enterprise Logistics &amp; Distribution; Andrew Curtin — Customer Delivery Logistics Leader; Christian Schaffner — Global Category Director - Freight &amp; Packaging Procurement</t>
        </is>
      </c>
      <c r="P24" t="inlineStr">
        <is>
          <t>Head of Enterprise Logistics &amp; Distribution | Customer Delivery Logistics Leader | Global Category Director - Freight &amp; Packaging Procurement</t>
        </is>
      </c>
      <c r="Y24" t="inlineStr">
        <is>
          <t>todo</t>
        </is>
      </c>
      <c r="Z24">
        <f>(M24*Weights!$B$2) + (MIN(Q24,Weights!$B$5)*Weights!$B$3*(W24/100)*Weights!$B$4)</f>
        <v/>
      </c>
      <c r="AA24">
        <f>IF(Z24= ,,RANK.EQ({pri_col_letter}{r},{pri_range},0))</f>
        <v/>
      </c>
    </row>
    <row r="25">
      <c r="A25" t="inlineStr">
        <is>
          <t>Revolve</t>
        </is>
      </c>
      <c r="B25" t="n">
        <v>3</v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I25" t="n">
        <v>0</v>
      </c>
      <c r="J25" t="n">
        <v>0.6666666666666666</v>
      </c>
      <c r="K25" t="n">
        <v>0</v>
      </c>
      <c r="L25" t="n">
        <v>0</v>
      </c>
      <c r="M25" t="n">
        <v>28</v>
      </c>
      <c r="N25" t="inlineStr">
        <is>
          <t>Tier 4</t>
        </is>
      </c>
      <c r="O25" t="inlineStr">
        <is>
          <t>Heather Burke — SVP Logistics &amp; Customer Experience; Tony (King) Chow — Sr Director of Operations; Blanka Holubcova — Sr Purchasing Manager</t>
        </is>
      </c>
      <c r="P25" t="inlineStr">
        <is>
          <t>SVP Logistics &amp; Customer Experience | Sr Director of Operations | Sr Purchasing Manager</t>
        </is>
      </c>
      <c r="Y25" t="inlineStr">
        <is>
          <t>todo</t>
        </is>
      </c>
      <c r="Z25">
        <f>(M25*Weights!$B$2) + (MIN(Q25,Weights!$B$5)*Weights!$B$3*(W25/100)*Weights!$B$4)</f>
        <v/>
      </c>
      <c r="AA25">
        <f>IF(Z25= ,,RANK.EQ({pri_col_letter}{r},{pri_range},0))</f>
        <v/>
      </c>
    </row>
    <row r="26">
      <c r="A26" t="inlineStr">
        <is>
          <t>SAMSUNG SDS</t>
        </is>
      </c>
      <c r="B26" t="n">
        <v>10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I26" t="n">
        <v>1</v>
      </c>
      <c r="J26" t="n">
        <v>0.1</v>
      </c>
      <c r="K26" t="n">
        <v>0</v>
      </c>
      <c r="L26" t="n">
        <v>0</v>
      </c>
      <c r="M26" t="n">
        <v>27</v>
      </c>
      <c r="N26" t="inlineStr">
        <is>
          <t>Tier 4</t>
        </is>
      </c>
      <c r="O26" t="inlineStr">
        <is>
          <t>Wilco Koers — Vice President Contract Logistics; Seungpyo Hong — Head of Business Team; Sungju Kim — Vice President; Jihyun Lim — Vice President; Sunggon Kim — Vice President</t>
        </is>
      </c>
      <c r="P26" t="inlineStr">
        <is>
          <t>Vice President Contract Logistics | Head of Business Team | Vice President</t>
        </is>
      </c>
      <c r="Y26" t="inlineStr">
        <is>
          <t>todo</t>
        </is>
      </c>
      <c r="Z26">
        <f>(M26*Weights!$B$2) + (MIN(Q26,Weights!$B$5)*Weights!$B$3*(W26/100)*Weights!$B$4)</f>
        <v/>
      </c>
      <c r="AA26">
        <f>IF(Z26= ,,RANK.EQ({pri_col_letter}{r},{pri_range},0))</f>
        <v/>
      </c>
    </row>
    <row r="27">
      <c r="A27" t="inlineStr">
        <is>
          <t>Backhaul Direct</t>
        </is>
      </c>
      <c r="B27" t="n">
        <v>4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I27" t="n">
        <v>0</v>
      </c>
      <c r="J27" t="n">
        <v>0.5</v>
      </c>
      <c r="K27" t="n">
        <v>0</v>
      </c>
      <c r="L27" t="n">
        <v>0</v>
      </c>
      <c r="M27" t="n">
        <v>27</v>
      </c>
      <c r="N27" t="inlineStr">
        <is>
          <t>Tier 4</t>
        </is>
      </c>
      <c r="O27" t="inlineStr">
        <is>
          <t>Dylan Murphy — President &amp; Chief Operations Officer; Dylan Mollo — Tech Operations Lead; Gregory Harris — Founder/CEO; Scott Mulholland — Senior Vice President</t>
        </is>
      </c>
      <c r="P27" t="inlineStr">
        <is>
          <t>President &amp; Chief Operations Officer | Tech Operations Lead | Founder/CEO</t>
        </is>
      </c>
      <c r="Y27" t="inlineStr">
        <is>
          <t>todo</t>
        </is>
      </c>
      <c r="Z27">
        <f>(M27*Weights!$B$2) + (MIN(Q27,Weights!$B$5)*Weights!$B$3*(W27/100)*Weights!$B$4)</f>
        <v/>
      </c>
      <c r="AA27">
        <f>IF(Z27= ,,RANK.EQ({pri_col_letter}{r},{pri_range},0))</f>
        <v/>
      </c>
    </row>
    <row r="28">
      <c r="A28" t="inlineStr">
        <is>
          <t>Fives Intralogistics Corp.</t>
        </is>
      </c>
      <c r="B28" t="n">
        <v>4</v>
      </c>
      <c r="C28" t="n">
        <v>1</v>
      </c>
      <c r="D28" t="n">
        <v>3</v>
      </c>
      <c r="E28" t="n">
        <v>0</v>
      </c>
      <c r="F28" t="n">
        <v>2</v>
      </c>
      <c r="G28" t="n">
        <v>0</v>
      </c>
      <c r="I28" t="n">
        <v>2</v>
      </c>
      <c r="J28" t="n">
        <v>0.75</v>
      </c>
      <c r="K28" t="n">
        <v>0</v>
      </c>
      <c r="L28" t="n">
        <v>0</v>
      </c>
      <c r="M28" t="n">
        <v>27</v>
      </c>
      <c r="N28" t="inlineStr">
        <is>
          <t>Tier 4</t>
        </is>
      </c>
      <c r="O28" t="inlineStr">
        <is>
          <t>Phillip Agans — VP of Warehouse &amp; Distribution Solutions; Mike Stearns — Director of Warehouse and Distribution; Brad Perry — Director of Warehouse &amp; Distribution Sales; Allison Myers — Director of Marketing &amp; Communications</t>
        </is>
      </c>
      <c r="P28" t="inlineStr">
        <is>
          <t>VP of Warehouse &amp; Distribution Solutions | Director of Warehouse and Distribution | Director of Warehouse &amp; Distribution Sales</t>
        </is>
      </c>
      <c r="Y28" t="inlineStr">
        <is>
          <t>todo</t>
        </is>
      </c>
      <c r="Z28">
        <f>(M28*Weights!$B$2) + (MIN(Q28,Weights!$B$5)*Weights!$B$3*(W28/100)*Weights!$B$4)</f>
        <v/>
      </c>
      <c r="AA28">
        <f>IF(Z28= ,,RANK.EQ({pri_col_letter}{r},{pri_range},0))</f>
        <v/>
      </c>
    </row>
    <row r="29">
      <c r="A29" t="inlineStr">
        <is>
          <t>Owens Corning</t>
        </is>
      </c>
      <c r="B29" t="n">
        <v>2</v>
      </c>
      <c r="C29" t="n">
        <v>1</v>
      </c>
      <c r="D29" t="n">
        <v>2</v>
      </c>
      <c r="E29" t="n">
        <v>1</v>
      </c>
      <c r="F29" t="n">
        <v>0</v>
      </c>
      <c r="G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27</v>
      </c>
      <c r="N29" t="inlineStr">
        <is>
          <t>Tier 4</t>
        </is>
      </c>
      <c r="O29" t="inlineStr">
        <is>
          <t>Mohamed Saleh — Head of Logistics &amp; Real Estate Sourcing &amp; Supply Chain; Andrea Webster — Distribution and Warehouse Leader</t>
        </is>
      </c>
      <c r="P29" t="inlineStr">
        <is>
          <t>Head of Logistics &amp; Real Estate Sourcing &amp; Supply Chain | Distribution and Warehouse Leader</t>
        </is>
      </c>
      <c r="Y29" t="inlineStr">
        <is>
          <t>todo</t>
        </is>
      </c>
      <c r="Z29">
        <f>(M29*Weights!$B$2) + (MIN(Q29,Weights!$B$5)*Weights!$B$3*(W29/100)*Weights!$B$4)</f>
        <v/>
      </c>
      <c r="AA29">
        <f>IF(Z29= ,,RANK.EQ({pri_col_letter}{r},{pri_range},0))</f>
        <v/>
      </c>
    </row>
    <row r="30">
      <c r="A30" t="inlineStr">
        <is>
          <t>Port of Miami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I30" t="n">
        <v>0</v>
      </c>
      <c r="J30" t="n">
        <v>0</v>
      </c>
      <c r="K30" t="n">
        <v>0</v>
      </c>
      <c r="L30" t="n">
        <v>25</v>
      </c>
      <c r="M30" t="n">
        <v>27</v>
      </c>
      <c r="N30" t="inlineStr">
        <is>
          <t>Tier 4</t>
        </is>
      </c>
      <c r="O30" t="inlineStr">
        <is>
          <t>Chris Hudtwalcker — Head of Innovation; Gustavo Grande — Head of Innovation</t>
        </is>
      </c>
      <c r="P30" t="inlineStr">
        <is>
          <t>Head of Innovation</t>
        </is>
      </c>
      <c r="Y30" t="inlineStr">
        <is>
          <t>todo</t>
        </is>
      </c>
      <c r="Z30">
        <f>(M30*Weights!$B$2) + (MIN(Q30,Weights!$B$5)*Weights!$B$3*(W30/100)*Weights!$B$4)</f>
        <v/>
      </c>
      <c r="AA30">
        <f>IF(Z30= ,,RANK.EQ({pri_col_letter}{r},{pri_range},0))</f>
        <v/>
      </c>
    </row>
    <row r="31">
      <c r="A31" t="inlineStr">
        <is>
          <t>FabFitFun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I31" t="n">
        <v>1</v>
      </c>
      <c r="J31" t="n">
        <v>0.6666666666666666</v>
      </c>
      <c r="K31" t="n">
        <v>0</v>
      </c>
      <c r="L31" t="n">
        <v>0</v>
      </c>
      <c r="M31" t="n">
        <v>26</v>
      </c>
      <c r="N31" t="inlineStr">
        <is>
          <t>Tier 4</t>
        </is>
      </c>
      <c r="O31" t="inlineStr">
        <is>
          <t>Julian VanErlach — SVP, Global Supply Chain &amp; Customer Service; Nathan Goodrich — Sr. Director of Inventory and Logistics; Mark Gavin — Sr Director, Global IT</t>
        </is>
      </c>
      <c r="P31" t="inlineStr">
        <is>
          <t>SVP, Global Supply Chain &amp; Customer Service | Sr. Director of Inventory and Logistics | Sr Director, Global IT</t>
        </is>
      </c>
      <c r="Y31" t="inlineStr">
        <is>
          <t>todo</t>
        </is>
      </c>
      <c r="Z31">
        <f>(M31*Weights!$B$2) + (MIN(Q31,Weights!$B$5)*Weights!$B$3*(W31/100)*Weights!$B$4)</f>
        <v/>
      </c>
      <c r="AA31">
        <f>IF(Z31= ,,RANK.EQ({pri_col_letter}{r},{pri_range},0))</f>
        <v/>
      </c>
    </row>
    <row r="32">
      <c r="A32" t="inlineStr">
        <is>
          <t>NRS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I32" t="n">
        <v>0</v>
      </c>
      <c r="J32" t="n">
        <v>0.6666666666666666</v>
      </c>
      <c r="K32" t="n">
        <v>0</v>
      </c>
      <c r="L32" t="n">
        <v>0</v>
      </c>
      <c r="M32" t="n">
        <v>26</v>
      </c>
      <c r="N32" t="inlineStr">
        <is>
          <t>Tier 4</t>
        </is>
      </c>
      <c r="O32" t="inlineStr">
        <is>
          <t>Anthony Mayor — SVP Distribution; Christian Klein — Director of Operations Strategy; Jon Hoch — COO</t>
        </is>
      </c>
      <c r="P32" t="inlineStr">
        <is>
          <t>SVP Distribution | Director of Operations Strategy | COO</t>
        </is>
      </c>
      <c r="Y32" t="inlineStr">
        <is>
          <t>todo</t>
        </is>
      </c>
      <c r="Z32">
        <f>(M32*Weights!$B$2) + (MIN(Q32,Weights!$B$5)*Weights!$B$3*(W32/100)*Weights!$B$4)</f>
        <v/>
      </c>
      <c r="AA32">
        <f>IF(Z32= ,,RANK.EQ({pri_col_letter}{r},{pri_range},0))</f>
        <v/>
      </c>
    </row>
    <row r="33">
      <c r="A33" t="inlineStr">
        <is>
          <t>Sobel-Westex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I33" t="n">
        <v>0</v>
      </c>
      <c r="J33" t="n">
        <v>0.6666666666666666</v>
      </c>
      <c r="K33" t="n">
        <v>0</v>
      </c>
      <c r="L33" t="n">
        <v>0</v>
      </c>
      <c r="M33" t="n">
        <v>26</v>
      </c>
      <c r="N33" t="inlineStr">
        <is>
          <t>Tier 4</t>
        </is>
      </c>
      <c r="O33" t="inlineStr">
        <is>
          <t>Alex Alarcon — Chief Administration &amp; Operations Officer; Mike Ramirez — Project Logistics &amp; Supply Chain Management; Luis Toro — Chief Information Officer</t>
        </is>
      </c>
      <c r="P33" t="inlineStr">
        <is>
          <t>Chief Administration &amp; Operations Officer | Chief Information Officer | Project Logistics &amp; Supply Chain Management</t>
        </is>
      </c>
      <c r="Y33" t="inlineStr">
        <is>
          <t>todo</t>
        </is>
      </c>
      <c r="Z33">
        <f>(M33*Weights!$B$2) + (MIN(Q33,Weights!$B$5)*Weights!$B$3*(W33/100)*Weights!$B$4)</f>
        <v/>
      </c>
      <c r="AA33">
        <f>IF(Z33= ,,RANK.EQ({pri_col_letter}{r},{pri_range},0))</f>
        <v/>
      </c>
    </row>
    <row r="34">
      <c r="A34" t="inlineStr">
        <is>
          <t>APM Terminals - Los Angeles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I34" t="n">
        <v>0</v>
      </c>
      <c r="J34" t="n">
        <v>0</v>
      </c>
      <c r="K34" t="n">
        <v>0</v>
      </c>
      <c r="L34" t="n">
        <v>25</v>
      </c>
      <c r="M34" t="n">
        <v>26</v>
      </c>
      <c r="N34" t="inlineStr">
        <is>
          <t>Tier 4</t>
        </is>
      </c>
      <c r="O34" t="inlineStr">
        <is>
          <t>Ashley Esparza — Key Client Director</t>
        </is>
      </c>
      <c r="P34" t="inlineStr">
        <is>
          <t>Key Client Director</t>
        </is>
      </c>
      <c r="Y34" t="inlineStr">
        <is>
          <t>todo</t>
        </is>
      </c>
      <c r="Z34">
        <f>(M34*Weights!$B$2) + (MIN(Q34,Weights!$B$5)*Weights!$B$3*(W34/100)*Weights!$B$4)</f>
        <v/>
      </c>
      <c r="AA34">
        <f>IF(Z34= ,,RANK.EQ({pri_col_letter}{r},{pri_range},0))</f>
        <v/>
      </c>
    </row>
    <row r="35">
      <c r="A35" t="inlineStr">
        <is>
          <t>Amazon Robotics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I35" t="n">
        <v>1</v>
      </c>
      <c r="J35" t="n">
        <v>0</v>
      </c>
      <c r="K35" t="n">
        <v>0</v>
      </c>
      <c r="L35" t="n">
        <v>25</v>
      </c>
      <c r="M35" t="n">
        <v>26</v>
      </c>
      <c r="N35" t="inlineStr">
        <is>
          <t>Tier 4</t>
        </is>
      </c>
      <c r="O35" t="inlineStr">
        <is>
          <t>Tej Sheth — Lead Solutions Design Engineer</t>
        </is>
      </c>
      <c r="P35" t="inlineStr">
        <is>
          <t>Lead Solutions Design Engineer</t>
        </is>
      </c>
      <c r="Y35" t="inlineStr">
        <is>
          <t>todo</t>
        </is>
      </c>
      <c r="Z35">
        <f>(M35*Weights!$B$2) + (MIN(Q35,Weights!$B$5)*Weights!$B$3*(W35/100)*Weights!$B$4)</f>
        <v/>
      </c>
      <c r="AA35">
        <f>IF(Z35= ,,RANK.EQ({pri_col_letter}{r},{pri_range},0))</f>
        <v/>
      </c>
    </row>
    <row r="36">
      <c r="A36" t="inlineStr">
        <is>
          <t>DP World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I36" t="n">
        <v>1</v>
      </c>
      <c r="J36" t="n">
        <v>0</v>
      </c>
      <c r="K36" t="n">
        <v>0</v>
      </c>
      <c r="L36" t="n">
        <v>25</v>
      </c>
      <c r="M36" t="n">
        <v>26</v>
      </c>
      <c r="N36" t="inlineStr">
        <is>
          <t>Tier 4</t>
        </is>
      </c>
      <c r="O36" t="inlineStr">
        <is>
          <t>Shamal Shetty — Group Director - Business Engagement Platform</t>
        </is>
      </c>
      <c r="P36" t="inlineStr">
        <is>
          <t>Group Director - Business Engagement Platform</t>
        </is>
      </c>
      <c r="Y36" t="inlineStr">
        <is>
          <t>todo</t>
        </is>
      </c>
      <c r="Z36">
        <f>(M36*Weights!$B$2) + (MIN(Q36,Weights!$B$5)*Weights!$B$3*(W36/100)*Weights!$B$4)</f>
        <v/>
      </c>
      <c r="AA36">
        <f>IF(Z36= ,,RANK.EQ({pri_col_letter}{r},{pri_range},0))</f>
        <v/>
      </c>
    </row>
    <row r="37">
      <c r="A37" t="inlineStr">
        <is>
          <t>Norfolk Southern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I37" t="n">
        <v>0</v>
      </c>
      <c r="J37" t="n">
        <v>0</v>
      </c>
      <c r="K37" t="n">
        <v>0</v>
      </c>
      <c r="L37" t="n">
        <v>25</v>
      </c>
      <c r="M37" t="n">
        <v>26</v>
      </c>
      <c r="N37" t="inlineStr">
        <is>
          <t>Tier 4</t>
        </is>
      </c>
      <c r="O37" t="inlineStr">
        <is>
          <t>Mina De Olivera — VP Digital</t>
        </is>
      </c>
      <c r="P37" t="inlineStr">
        <is>
          <t>VP Digital</t>
        </is>
      </c>
      <c r="Y37" t="inlineStr">
        <is>
          <t>todo</t>
        </is>
      </c>
      <c r="Z37">
        <f>(M37*Weights!$B$2) + (MIN(Q37,Weights!$B$5)*Weights!$B$3*(W37/100)*Weights!$B$4)</f>
        <v/>
      </c>
      <c r="AA37">
        <f>IF(Z37= ,,RANK.EQ({pri_col_letter}{r},{pri_range},0))</f>
        <v/>
      </c>
    </row>
    <row r="38">
      <c r="A38" t="inlineStr">
        <is>
          <t>PORT OF OAKLAND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I38" t="n">
        <v>0</v>
      </c>
      <c r="J38" t="n">
        <v>0</v>
      </c>
      <c r="K38" t="n">
        <v>0</v>
      </c>
      <c r="L38" t="n">
        <v>25</v>
      </c>
      <c r="M38" t="n">
        <v>26</v>
      </c>
      <c r="N38" t="inlineStr">
        <is>
          <t>Tier 4</t>
        </is>
      </c>
      <c r="O38" t="inlineStr">
        <is>
          <t>Bryan Brandes — Director, Maritime</t>
        </is>
      </c>
      <c r="P38" t="inlineStr">
        <is>
          <t>Director, Maritime</t>
        </is>
      </c>
      <c r="Y38" t="inlineStr">
        <is>
          <t>todo</t>
        </is>
      </c>
      <c r="Z38">
        <f>(M38*Weights!$B$2) + (MIN(Q38,Weights!$B$5)*Weights!$B$3*(W38/100)*Weights!$B$4)</f>
        <v/>
      </c>
      <c r="AA38">
        <f>IF(Z38= ,,RANK.EQ({pri_col_letter}{r},{pri_range},0))</f>
        <v/>
      </c>
    </row>
    <row r="39">
      <c r="A39" t="inlineStr">
        <is>
          <t>Port of Long Beach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I39" t="n">
        <v>0</v>
      </c>
      <c r="J39" t="n">
        <v>0</v>
      </c>
      <c r="K39" t="n">
        <v>0</v>
      </c>
      <c r="L39" t="n">
        <v>25</v>
      </c>
      <c r="M39" t="n">
        <v>26</v>
      </c>
      <c r="N39" t="inlineStr">
        <is>
          <t>Tier 4</t>
        </is>
      </c>
      <c r="O39" t="inlineStr">
        <is>
          <t>Noel Hacegaba — COO</t>
        </is>
      </c>
      <c r="P39" t="inlineStr">
        <is>
          <t>COO</t>
        </is>
      </c>
      <c r="Y39" t="inlineStr">
        <is>
          <t>todo</t>
        </is>
      </c>
      <c r="Z39">
        <f>(M39*Weights!$B$2) + (MIN(Q39,Weights!$B$5)*Weights!$B$3*(W39/100)*Weights!$B$4)</f>
        <v/>
      </c>
      <c r="AA39">
        <f>IF(Z39= ,,RANK.EQ({pri_col_letter}{r},{pri_range},0))</f>
        <v/>
      </c>
    </row>
    <row r="40">
      <c r="A40" t="inlineStr">
        <is>
          <t>UPS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I40" t="n">
        <v>0</v>
      </c>
      <c r="J40" t="n">
        <v>0</v>
      </c>
      <c r="K40" t="n">
        <v>0</v>
      </c>
      <c r="L40" t="n">
        <v>25</v>
      </c>
      <c r="M40" t="n">
        <v>26</v>
      </c>
      <c r="N40" t="inlineStr">
        <is>
          <t>Tier 4</t>
        </is>
      </c>
      <c r="O40" t="inlineStr">
        <is>
          <t>Darryl Forbes — VP Operation Technology</t>
        </is>
      </c>
      <c r="P40" t="inlineStr">
        <is>
          <t>VP Operation Technology</t>
        </is>
      </c>
      <c r="Y40" t="inlineStr">
        <is>
          <t>todo</t>
        </is>
      </c>
      <c r="Z40">
        <f>(M40*Weights!$B$2) + (MIN(Q40,Weights!$B$5)*Weights!$B$3*(W40/100)*Weights!$B$4)</f>
        <v/>
      </c>
      <c r="AA40">
        <f>IF(Z40= ,,RANK.EQ({pri_col_letter}{r},{pri_range},0))</f>
        <v/>
      </c>
    </row>
    <row r="41">
      <c r="A41" t="inlineStr">
        <is>
          <t>Walmart Ecomm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I41" t="n">
        <v>0</v>
      </c>
      <c r="J41" t="n">
        <v>0</v>
      </c>
      <c r="K41" t="n">
        <v>0</v>
      </c>
      <c r="L41" t="n">
        <v>25</v>
      </c>
      <c r="M41" t="n">
        <v>26</v>
      </c>
      <c r="N41" t="inlineStr">
        <is>
          <t>Tier 4</t>
        </is>
      </c>
      <c r="O41" t="inlineStr">
        <is>
          <t>Tirath Kamdar — Global GM, AI Commerce Innovation</t>
        </is>
      </c>
      <c r="P41" t="inlineStr">
        <is>
          <t>Global GM, AI Commerce Innovation</t>
        </is>
      </c>
      <c r="Y41" t="inlineStr">
        <is>
          <t>todo</t>
        </is>
      </c>
      <c r="Z41">
        <f>(M41*Weights!$B$2) + (MIN(Q41,Weights!$B$5)*Weights!$B$3*(W41/100)*Weights!$B$4)</f>
        <v/>
      </c>
      <c r="AA41">
        <f>IF(Z41= ,,RANK.EQ({pri_col_letter}{r},{pri_range},0))</f>
        <v/>
      </c>
    </row>
    <row r="42">
      <c r="A42" t="inlineStr">
        <is>
          <t>Elida Beauty</t>
        </is>
      </c>
      <c r="B42" t="n">
        <v>4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I42" t="n">
        <v>0</v>
      </c>
      <c r="J42" t="n">
        <v>0.25</v>
      </c>
      <c r="K42" t="n">
        <v>0</v>
      </c>
      <c r="L42" t="n">
        <v>0</v>
      </c>
      <c r="M42" t="n">
        <v>25</v>
      </c>
      <c r="N42" t="inlineStr">
        <is>
          <t>Tier 4</t>
        </is>
      </c>
      <c r="O42" t="inlineStr">
        <is>
          <t>Sachin Mariguddi — Chief Supply Chain Officer, Americas; Carlos-Andres Herrara — Head of Procurement; Brian Yeung — Head of Integrated Planning; Diana Westland — Head of Customer Service and Canada SC</t>
        </is>
      </c>
      <c r="P42" t="inlineStr">
        <is>
          <t>Chief Supply Chain Officer, Americas | Head of Procurement | Head of Integrated Planning</t>
        </is>
      </c>
      <c r="Y42" t="inlineStr">
        <is>
          <t>todo</t>
        </is>
      </c>
      <c r="Z42">
        <f>(M42*Weights!$B$2) + (MIN(Q42,Weights!$B$5)*Weights!$B$3*(W42/100)*Weights!$B$4)</f>
        <v/>
      </c>
      <c r="AA42">
        <f>IF(Z42= ,,RANK.EQ({pri_col_letter}{r},{pri_range},0))</f>
        <v/>
      </c>
    </row>
    <row r="43">
      <c r="A43" t="inlineStr">
        <is>
          <t>Arlon Graphics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25</v>
      </c>
      <c r="N43" t="inlineStr">
        <is>
          <t>Tier 4</t>
        </is>
      </c>
      <c r="O43" t="inlineStr">
        <is>
          <t>Linda Babilo — Vice President, Global Supply Chain; Eddie Simon — Sr Manager, Transportation &amp; Logistics</t>
        </is>
      </c>
      <c r="P43" t="inlineStr">
        <is>
          <t>Vice President, Global Supply Chain | Sr Manager, Transportation &amp; Logistics</t>
        </is>
      </c>
      <c r="Y43" t="inlineStr">
        <is>
          <t>todo</t>
        </is>
      </c>
      <c r="Z43">
        <f>(M43*Weights!$B$2) + (MIN(Q43,Weights!$B$5)*Weights!$B$3*(W43/100)*Weights!$B$4)</f>
        <v/>
      </c>
      <c r="AA43">
        <f>IF(Z43= ,,RANK.EQ({pri_col_letter}{r},{pri_range},0))</f>
        <v/>
      </c>
    </row>
    <row r="44">
      <c r="A44" t="inlineStr">
        <is>
          <t>Away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25</v>
      </c>
      <c r="N44" t="inlineStr">
        <is>
          <t>Tier 4</t>
        </is>
      </c>
      <c r="O44" t="inlineStr">
        <is>
          <t>Brit Videbeck — Chief Supply Chain Officer; Andrea Napoliello — Director, Fulfillment</t>
        </is>
      </c>
      <c r="P44" t="inlineStr">
        <is>
          <t>Chief Supply Chain Officer | Director, Fulfillment</t>
        </is>
      </c>
      <c r="Y44" t="inlineStr">
        <is>
          <t>todo</t>
        </is>
      </c>
      <c r="Z44">
        <f>(M44*Weights!$B$2) + (MIN(Q44,Weights!$B$5)*Weights!$B$3*(W44/100)*Weights!$B$4)</f>
        <v/>
      </c>
      <c r="AA44">
        <f>IF(Z44= ,,RANK.EQ({pri_col_letter}{r},{pri_range},0))</f>
        <v/>
      </c>
    </row>
    <row r="45">
      <c r="A45" t="inlineStr">
        <is>
          <t>Branch Furniture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25</v>
      </c>
      <c r="N45" t="inlineStr">
        <is>
          <t>Tier 4</t>
        </is>
      </c>
      <c r="O45" t="inlineStr">
        <is>
          <t>Gina Seit — SVP, Operations; Peter Bogulaski — Sr Director, Supply Chain</t>
        </is>
      </c>
      <c r="P45" t="inlineStr">
        <is>
          <t>SVP, Operations | Sr Director, Supply Chain</t>
        </is>
      </c>
      <c r="Y45" t="inlineStr">
        <is>
          <t>todo</t>
        </is>
      </c>
      <c r="Z45">
        <f>(M45*Weights!$B$2) + (MIN(Q45,Weights!$B$5)*Weights!$B$3*(W45/100)*Weights!$B$4)</f>
        <v/>
      </c>
      <c r="AA45">
        <f>IF(Z45= ,,RANK.EQ({pri_col_letter}{r},{pri_range},0))</f>
        <v/>
      </c>
    </row>
    <row r="46">
      <c r="A46" t="inlineStr">
        <is>
          <t>Buchanan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25</v>
      </c>
      <c r="N46" t="inlineStr">
        <is>
          <t>Tier 4</t>
        </is>
      </c>
      <c r="O46" t="inlineStr">
        <is>
          <t>Kyle Janisse — VP of Operations; Michael Rivas — Dir of Operations</t>
        </is>
      </c>
      <c r="P46" t="inlineStr">
        <is>
          <t>VP of Operations | Dir of Operations</t>
        </is>
      </c>
      <c r="Y46" t="inlineStr">
        <is>
          <t>todo</t>
        </is>
      </c>
      <c r="Z46">
        <f>(M46*Weights!$B$2) + (MIN(Q46,Weights!$B$5)*Weights!$B$3*(W46/100)*Weights!$B$4)</f>
        <v/>
      </c>
      <c r="AA46">
        <f>IF(Z46= ,,RANK.EQ({pri_col_letter}{r},{pri_range},0))</f>
        <v/>
      </c>
    </row>
    <row r="47">
      <c r="A47" t="inlineStr">
        <is>
          <t>Cemex</t>
        </is>
      </c>
      <c r="B47" t="n">
        <v>2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25</v>
      </c>
      <c r="N47" t="inlineStr">
        <is>
          <t>Tier 4</t>
        </is>
      </c>
      <c r="O47" t="inlineStr">
        <is>
          <t>Alejandro Obelink — VP of Logistics; Steven Cao — Transportation Manager</t>
        </is>
      </c>
      <c r="P47" t="inlineStr">
        <is>
          <t>VP of Logistics | Transportation Manager</t>
        </is>
      </c>
      <c r="Y47" t="inlineStr">
        <is>
          <t>todo</t>
        </is>
      </c>
      <c r="Z47">
        <f>(M47*Weights!$B$2) + (MIN(Q47,Weights!$B$5)*Weights!$B$3*(W47/100)*Weights!$B$4)</f>
        <v/>
      </c>
      <c r="AA47">
        <f>IF(Z47= ,,RANK.EQ({pri_col_letter}{r},{pri_range},0))</f>
        <v/>
      </c>
    </row>
    <row r="48">
      <c r="A48" t="inlineStr">
        <is>
          <t>Cerrowire</t>
        </is>
      </c>
      <c r="B48" t="n">
        <v>2</v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25</v>
      </c>
      <c r="N48" t="inlineStr">
        <is>
          <t>Tier 4</t>
        </is>
      </c>
      <c r="O48" t="inlineStr">
        <is>
          <t>Shalil Fernandes — VP of Supply Chain; Ryan Thurston — National Logistics Manager</t>
        </is>
      </c>
      <c r="P48" t="inlineStr">
        <is>
          <t>VP of Supply Chain | National Logistics Manager</t>
        </is>
      </c>
      <c r="Y48" t="inlineStr">
        <is>
          <t>todo</t>
        </is>
      </c>
      <c r="Z48">
        <f>(M48*Weights!$B$2) + (MIN(Q48,Weights!$B$5)*Weights!$B$3*(W48/100)*Weights!$B$4)</f>
        <v/>
      </c>
      <c r="AA48">
        <f>IF(Z48= ,,RANK.EQ({pri_col_letter}{r},{pri_range},0))</f>
        <v/>
      </c>
    </row>
    <row r="49">
      <c r="A49" t="inlineStr">
        <is>
          <t>Champro</t>
        </is>
      </c>
      <c r="B49" t="n">
        <v>2</v>
      </c>
      <c r="C49" t="n">
        <v>1</v>
      </c>
      <c r="D49" t="n">
        <v>2</v>
      </c>
      <c r="E49" t="n">
        <v>0</v>
      </c>
      <c r="F49" t="n">
        <v>0</v>
      </c>
      <c r="G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25</v>
      </c>
      <c r="N49" t="inlineStr">
        <is>
          <t>Tier 4</t>
        </is>
      </c>
      <c r="O49" t="inlineStr">
        <is>
          <t>Amy Augustine — VP of Operations and Supply Chain; Christopher Stayman — Supply Chain Manager</t>
        </is>
      </c>
      <c r="P49" t="inlineStr">
        <is>
          <t>VP of Operations and Supply Chain | Supply Chain Manager</t>
        </is>
      </c>
      <c r="Y49" t="inlineStr">
        <is>
          <t>todo</t>
        </is>
      </c>
      <c r="Z49">
        <f>(M49*Weights!$B$2) + (MIN(Q49,Weights!$B$5)*Weights!$B$3*(W49/100)*Weights!$B$4)</f>
        <v/>
      </c>
      <c r="AA49">
        <f>IF(Z49= ,,RANK.EQ({pri_col_letter}{r},{pri_range},0))</f>
        <v/>
      </c>
    </row>
    <row r="50">
      <c r="A50" t="inlineStr">
        <is>
          <t>Dandy</t>
        </is>
      </c>
      <c r="B50" t="n">
        <v>2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25</v>
      </c>
      <c r="N50" t="inlineStr">
        <is>
          <t>Tier 4</t>
        </is>
      </c>
      <c r="O50" t="inlineStr">
        <is>
          <t>Ailen Fee — SVP of Operations; Victoria Hu — Operations</t>
        </is>
      </c>
      <c r="P50" t="inlineStr">
        <is>
          <t>SVP of Operations | Operations</t>
        </is>
      </c>
      <c r="Y50" t="inlineStr">
        <is>
          <t>todo</t>
        </is>
      </c>
      <c r="Z50">
        <f>(M50*Weights!$B$2) + (MIN(Q50,Weights!$B$5)*Weights!$B$3*(W50/100)*Weights!$B$4)</f>
        <v/>
      </c>
      <c r="AA50">
        <f>IF(Z50= ,,RANK.EQ({pri_col_letter}{r},{pri_range},0))</f>
        <v/>
      </c>
    </row>
    <row r="51">
      <c r="A51" t="inlineStr">
        <is>
          <t>Deacero</t>
        </is>
      </c>
      <c r="B51" t="n">
        <v>2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25</v>
      </c>
      <c r="N51" t="inlineStr">
        <is>
          <t>Tier 4</t>
        </is>
      </c>
      <c r="O51" t="inlineStr">
        <is>
          <t>Juan Ramon Del Rio Garza — SVP Operations; Arturo Guajardo — Director Logistics &amp; Transportation</t>
        </is>
      </c>
      <c r="P51" t="inlineStr">
        <is>
          <t>SVP Operations | Director Logistics &amp; Transportation</t>
        </is>
      </c>
      <c r="Y51" t="inlineStr">
        <is>
          <t>todo</t>
        </is>
      </c>
      <c r="Z51">
        <f>(M51*Weights!$B$2) + (MIN(Q51,Weights!$B$5)*Weights!$B$3*(W51/100)*Weights!$B$4)</f>
        <v/>
      </c>
      <c r="AA51">
        <f>IF(Z51= ,,RANK.EQ({pri_col_letter}{r},{pri_range},0))</f>
        <v/>
      </c>
    </row>
    <row r="52">
      <c r="A52" t="inlineStr">
        <is>
          <t>Glossier</t>
        </is>
      </c>
      <c r="B52" t="n">
        <v>2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25</v>
      </c>
      <c r="N52" t="inlineStr">
        <is>
          <t>Tier 4</t>
        </is>
      </c>
      <c r="O52" t="inlineStr">
        <is>
          <t>Kinta Gates — VP, Supply Chain and Operations; Gizel Espino — Sr. Director Supply Chain</t>
        </is>
      </c>
      <c r="P52" t="inlineStr">
        <is>
          <t>VP, Supply Chain and Operations | Sr. Director Supply Chain</t>
        </is>
      </c>
      <c r="Y52" t="inlineStr">
        <is>
          <t>todo</t>
        </is>
      </c>
      <c r="Z52">
        <f>(M52*Weights!$B$2) + (MIN(Q52,Weights!$B$5)*Weights!$B$3*(W52/100)*Weights!$B$4)</f>
        <v/>
      </c>
      <c r="AA52">
        <f>IF(Z52= ,,RANK.EQ({pri_col_letter}{r},{pri_range},0))</f>
        <v/>
      </c>
    </row>
    <row r="53">
      <c r="A53" t="inlineStr">
        <is>
          <t>Greif</t>
        </is>
      </c>
      <c r="B53" t="n">
        <v>2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25</v>
      </c>
      <c r="N53" t="inlineStr">
        <is>
          <t>Tier 4</t>
        </is>
      </c>
      <c r="O53" t="inlineStr">
        <is>
          <t>Chris Luffler — VP, Supply Chain Operations; Frank Wurst — Director, North America &amp; EMEA Logistics</t>
        </is>
      </c>
      <c r="P53" t="inlineStr">
        <is>
          <t>VP, Supply Chain Operations | Director, North America &amp; EMEA Logistics</t>
        </is>
      </c>
      <c r="Y53" t="inlineStr">
        <is>
          <t>todo</t>
        </is>
      </c>
      <c r="Z53">
        <f>(M53*Weights!$B$2) + (MIN(Q53,Weights!$B$5)*Weights!$B$3*(W53/100)*Weights!$B$4)</f>
        <v/>
      </c>
      <c r="AA53">
        <f>IF(Z53= ,,RANK.EQ({pri_col_letter}{r},{pri_range},0))</f>
        <v/>
      </c>
    </row>
    <row r="54">
      <c r="A54" t="inlineStr">
        <is>
          <t>HF Foods</t>
        </is>
      </c>
      <c r="B54" t="n">
        <v>2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25</v>
      </c>
      <c r="N54" t="inlineStr">
        <is>
          <t>Tier 4</t>
        </is>
      </c>
      <c r="O54" t="inlineStr">
        <is>
          <t>Ravindar Krishnappa — SVP of Supply Chain and Operations; Juan Carrasco Gutierrez — Director of Supply Chain</t>
        </is>
      </c>
      <c r="P54" t="inlineStr">
        <is>
          <t>SVP of Supply Chain and Operations | Director of Supply Chain</t>
        </is>
      </c>
      <c r="Y54" t="inlineStr">
        <is>
          <t>todo</t>
        </is>
      </c>
      <c r="Z54">
        <f>(M54*Weights!$B$2) + (MIN(Q54,Weights!$B$5)*Weights!$B$3*(W54/100)*Weights!$B$4)</f>
        <v/>
      </c>
      <c r="AA54">
        <f>IF(Z54= ,,RANK.EQ({pri_col_letter}{r},{pri_range},0))</f>
        <v/>
      </c>
    </row>
    <row r="55">
      <c r="A55" t="inlineStr">
        <is>
          <t>Hatch</t>
        </is>
      </c>
      <c r="B55" t="n">
        <v>2</v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25</v>
      </c>
      <c r="N55" t="inlineStr">
        <is>
          <t>Tier 4</t>
        </is>
      </c>
      <c r="O55" t="inlineStr">
        <is>
          <t>Tyler Crawford — VP of Ops; Kevin Lentz — Director of Ops</t>
        </is>
      </c>
      <c r="P55" t="inlineStr">
        <is>
          <t>VP of Ops | Director of Ops</t>
        </is>
      </c>
      <c r="Y55" t="inlineStr">
        <is>
          <t>todo</t>
        </is>
      </c>
      <c r="Z55">
        <f>(M55*Weights!$B$2) + (MIN(Q55,Weights!$B$5)*Weights!$B$3*(W55/100)*Weights!$B$4)</f>
        <v/>
      </c>
      <c r="AA55">
        <f>IF(Z55= ,,RANK.EQ({pri_col_letter}{r},{pri_range},0))</f>
        <v/>
      </c>
    </row>
    <row r="56">
      <c r="A56" t="inlineStr">
        <is>
          <t>HelloFresh</t>
        </is>
      </c>
      <c r="B56" t="n">
        <v>2</v>
      </c>
      <c r="C56" t="n">
        <v>1</v>
      </c>
      <c r="D56" t="n">
        <v>2</v>
      </c>
      <c r="E56" t="n">
        <v>0</v>
      </c>
      <c r="F56" t="n">
        <v>0</v>
      </c>
      <c r="G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25</v>
      </c>
      <c r="N56" t="inlineStr">
        <is>
          <t>Tier 4</t>
        </is>
      </c>
      <c r="O56" t="inlineStr">
        <is>
          <t>Matthew Cicinelli — VP, U.S Operations &amp; Global Supply Chain Technology; Troy Delamar — Logistics Supervisor</t>
        </is>
      </c>
      <c r="P56" t="inlineStr">
        <is>
          <t>VP, U.S Operations &amp; Global Supply Chain Technology | Logistics Supervisor</t>
        </is>
      </c>
      <c r="Y56" t="inlineStr">
        <is>
          <t>todo</t>
        </is>
      </c>
      <c r="Z56">
        <f>(M56*Weights!$B$2) + (MIN(Q56,Weights!$B$5)*Weights!$B$3*(W56/100)*Weights!$B$4)</f>
        <v/>
      </c>
      <c r="AA56">
        <f>IF(Z56= ,,RANK.EQ({pri_col_letter}{r},{pri_range},0))</f>
        <v/>
      </c>
    </row>
    <row r="57">
      <c r="A57" t="inlineStr">
        <is>
          <t>Hills Pet Nutrition</t>
        </is>
      </c>
      <c r="B57" t="n">
        <v>2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25</v>
      </c>
      <c r="N57" t="inlineStr">
        <is>
          <t>Tier 4</t>
        </is>
      </c>
      <c r="O57" t="inlineStr">
        <is>
          <t>Dale Finstead — VP Customer Service &amp; Logistics-North America; Elias Noronha — Divisional Director Logistics</t>
        </is>
      </c>
      <c r="P57" t="inlineStr">
        <is>
          <t>VP Customer Service &amp; Logistics-North America | Divisional Director Logistics</t>
        </is>
      </c>
      <c r="Y57" t="inlineStr">
        <is>
          <t>todo</t>
        </is>
      </c>
      <c r="Z57">
        <f>(M57*Weights!$B$2) + (MIN(Q57,Weights!$B$5)*Weights!$B$3*(W57/100)*Weights!$B$4)</f>
        <v/>
      </c>
      <c r="AA57">
        <f>IF(Z57= ,,RANK.EQ({pri_col_letter}{r},{pri_range},0))</f>
        <v/>
      </c>
    </row>
    <row r="58">
      <c r="A58" t="inlineStr">
        <is>
          <t>Illuminate USA</t>
        </is>
      </c>
      <c r="B58" t="n">
        <v>2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25</v>
      </c>
      <c r="N58" t="inlineStr">
        <is>
          <t>Tier 4</t>
        </is>
      </c>
      <c r="O58" t="inlineStr">
        <is>
          <t>Dustin Miles — Head of Logistics; Meghan Jones — Operations Supervisor</t>
        </is>
      </c>
      <c r="P58" t="inlineStr">
        <is>
          <t>Head of Logistics | Operations Supervisor</t>
        </is>
      </c>
      <c r="Y58" t="inlineStr">
        <is>
          <t>todo</t>
        </is>
      </c>
      <c r="Z58">
        <f>(M58*Weights!$B$2) + (MIN(Q58,Weights!$B$5)*Weights!$B$3*(W58/100)*Weights!$B$4)</f>
        <v/>
      </c>
      <c r="AA58">
        <f>IF(Z58= ,,RANK.EQ({pri_col_letter}{r},{pri_range},0))</f>
        <v/>
      </c>
    </row>
    <row r="59">
      <c r="A59" t="inlineStr">
        <is>
          <t>Kruger Products</t>
        </is>
      </c>
      <c r="B59" t="n">
        <v>2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25</v>
      </c>
      <c r="N59" t="inlineStr">
        <is>
          <t>Tier 4</t>
        </is>
      </c>
      <c r="O59" t="inlineStr">
        <is>
          <t>Bryce Tonner — Vice President Supply Chain; Frank Sawinsky — Supply Chain</t>
        </is>
      </c>
      <c r="P59" t="inlineStr">
        <is>
          <t>Vice President Supply Chain | Supply Chain</t>
        </is>
      </c>
      <c r="Y59" t="inlineStr">
        <is>
          <t>todo</t>
        </is>
      </c>
      <c r="Z59">
        <f>(M59*Weights!$B$2) + (MIN(Q59,Weights!$B$5)*Weights!$B$3*(W59/100)*Weights!$B$4)</f>
        <v/>
      </c>
      <c r="AA59">
        <f>IF(Z59= ,,RANK.EQ({pri_col_letter}{r},{pri_range},0))</f>
        <v/>
      </c>
    </row>
    <row r="60">
      <c r="A60" t="inlineStr">
        <is>
          <t>Logistify</t>
        </is>
      </c>
      <c r="B60" t="n">
        <v>2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25</v>
      </c>
      <c r="N60" t="inlineStr">
        <is>
          <t>Tier 4</t>
        </is>
      </c>
      <c r="O60" t="inlineStr">
        <is>
          <t>Brandon Jenkins — Vice President of Operations; Aaron Greenfield — Logistics</t>
        </is>
      </c>
      <c r="P60" t="inlineStr">
        <is>
          <t>Vice President of Operations | Logistics</t>
        </is>
      </c>
      <c r="Y60" t="inlineStr">
        <is>
          <t>todo</t>
        </is>
      </c>
      <c r="Z60">
        <f>(M60*Weights!$B$2) + (MIN(Q60,Weights!$B$5)*Weights!$B$3*(W60/100)*Weights!$B$4)</f>
        <v/>
      </c>
      <c r="AA60">
        <f>IF(Z60= ,,RANK.EQ({pri_col_letter}{r},{pri_range},0))</f>
        <v/>
      </c>
    </row>
    <row r="61">
      <c r="A61" t="inlineStr">
        <is>
          <t>MaryRuth Organics</t>
        </is>
      </c>
      <c r="B61" t="n">
        <v>2</v>
      </c>
      <c r="C61" t="n">
        <v>1</v>
      </c>
      <c r="D61" t="n">
        <v>2</v>
      </c>
      <c r="E61" t="n">
        <v>0</v>
      </c>
      <c r="F61" t="n">
        <v>0</v>
      </c>
      <c r="G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25</v>
      </c>
      <c r="N61" t="inlineStr">
        <is>
          <t>Tier 4</t>
        </is>
      </c>
      <c r="O61" t="inlineStr">
        <is>
          <t>Connie Hunter — VP of Supply Chain; Isabella Mancarella — Distribution Manager</t>
        </is>
      </c>
      <c r="P61" t="inlineStr">
        <is>
          <t>VP of Supply Chain | Distribution Manager</t>
        </is>
      </c>
      <c r="Y61" t="inlineStr">
        <is>
          <t>todo</t>
        </is>
      </c>
      <c r="Z61">
        <f>(M61*Weights!$B$2) + (MIN(Q61,Weights!$B$5)*Weights!$B$3*(W61/100)*Weights!$B$4)</f>
        <v/>
      </c>
      <c r="AA61">
        <f>IF(Z61= ,,RANK.EQ({pri_col_letter}{r},{pri_range},0))</f>
        <v/>
      </c>
    </row>
    <row r="62">
      <c r="A62" t="inlineStr">
        <is>
          <t>McKesson</t>
        </is>
      </c>
      <c r="B62" t="n">
        <v>2</v>
      </c>
      <c r="C62" t="n">
        <v>1</v>
      </c>
      <c r="D62" t="n">
        <v>2</v>
      </c>
      <c r="E62" t="n">
        <v>0</v>
      </c>
      <c r="F62" t="n">
        <v>0</v>
      </c>
      <c r="G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25</v>
      </c>
      <c r="N62" t="inlineStr">
        <is>
          <t>Tier 4</t>
        </is>
      </c>
      <c r="O62" t="inlineStr">
        <is>
          <t>Todd Kleinow — VP, Strategic Distribution; Nitin Agarwal — Director - IT Supply Chain Solutions</t>
        </is>
      </c>
      <c r="P62" t="inlineStr">
        <is>
          <t>VP, Strategic Distribution | Director - IT Supply Chain Solutions</t>
        </is>
      </c>
      <c r="Y62" t="inlineStr">
        <is>
          <t>todo</t>
        </is>
      </c>
      <c r="Z62">
        <f>(M62*Weights!$B$2) + (MIN(Q62,Weights!$B$5)*Weights!$B$3*(W62/100)*Weights!$B$4)</f>
        <v/>
      </c>
      <c r="AA62">
        <f>IF(Z62= ,,RANK.EQ({pri_col_letter}{r},{pri_range},0))</f>
        <v/>
      </c>
    </row>
    <row r="63">
      <c r="A63" t="inlineStr">
        <is>
          <t>Pricesmart</t>
        </is>
      </c>
      <c r="B63" t="n">
        <v>2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25</v>
      </c>
      <c r="N63" t="inlineStr">
        <is>
          <t>Tier 4</t>
        </is>
      </c>
      <c r="O63" t="inlineStr">
        <is>
          <t>Matthew Schiffler — VP, Transportation and US Distribution; Vishwanath Krishnamoorthy — AVP, Global Logistics, Planning, Process and Optimization</t>
        </is>
      </c>
      <c r="P63" t="inlineStr">
        <is>
          <t>VP, Transportation and US Distribution | AVP, Global Logistics, Planning, Process and Optimization</t>
        </is>
      </c>
      <c r="Y63" t="inlineStr">
        <is>
          <t>todo</t>
        </is>
      </c>
      <c r="Z63">
        <f>(M63*Weights!$B$2) + (MIN(Q63,Weights!$B$5)*Weights!$B$3*(W63/100)*Weights!$B$4)</f>
        <v/>
      </c>
      <c r="AA63">
        <f>IF(Z63= ,,RANK.EQ({pri_col_letter}{r},{pri_range},0))</f>
        <v/>
      </c>
    </row>
    <row r="64">
      <c r="A64" t="inlineStr">
        <is>
          <t>Reship Logistics Services Inc.</t>
        </is>
      </c>
      <c r="B64" t="n">
        <v>2</v>
      </c>
      <c r="C64" t="n">
        <v>1</v>
      </c>
      <c r="D64" t="n">
        <v>2</v>
      </c>
      <c r="E64" t="n">
        <v>0</v>
      </c>
      <c r="F64" t="n">
        <v>0</v>
      </c>
      <c r="G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25</v>
      </c>
      <c r="N64" t="inlineStr">
        <is>
          <t>Tier 4</t>
        </is>
      </c>
      <c r="O64" t="inlineStr">
        <is>
          <t>Dylan Roberts — VP, Operations; Felipe Santander — Director, Logistics</t>
        </is>
      </c>
      <c r="P64" t="inlineStr">
        <is>
          <t>VP, Operations | Director, Logistics</t>
        </is>
      </c>
      <c r="Y64" t="inlineStr">
        <is>
          <t>todo</t>
        </is>
      </c>
      <c r="Z64">
        <f>(M64*Weights!$B$2) + (MIN(Q64,Weights!$B$5)*Weights!$B$3*(W64/100)*Weights!$B$4)</f>
        <v/>
      </c>
      <c r="AA64">
        <f>IF(Z64= ,,RANK.EQ({pri_col_letter}{r},{pri_range},0))</f>
        <v/>
      </c>
    </row>
    <row r="65">
      <c r="A65" t="inlineStr">
        <is>
          <t>The Clorox Company</t>
        </is>
      </c>
      <c r="B65" t="n">
        <v>2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25</v>
      </c>
      <c r="N65" t="inlineStr">
        <is>
          <t>Tier 4</t>
        </is>
      </c>
      <c r="O65" t="inlineStr">
        <is>
          <t>Pascal Montilus — Chief Supply Chain Officer; Elliot Whitt — Associate Director, Fulfillment</t>
        </is>
      </c>
      <c r="P65" t="inlineStr">
        <is>
          <t>Chief Supply Chain Officer | Associate Director, Fulfillment</t>
        </is>
      </c>
      <c r="Y65" t="inlineStr">
        <is>
          <t>todo</t>
        </is>
      </c>
      <c r="Z65">
        <f>(M65*Weights!$B$2) + (MIN(Q65,Weights!$B$5)*Weights!$B$3*(W65/100)*Weights!$B$4)</f>
        <v/>
      </c>
      <c r="AA65">
        <f>IF(Z65= ,,RANK.EQ({pri_col_letter}{r},{pri_range},0))</f>
        <v/>
      </c>
    </row>
    <row r="66">
      <c r="A66" t="inlineStr">
        <is>
          <t>Tractor Supply</t>
        </is>
      </c>
      <c r="B66" t="n">
        <v>2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25</v>
      </c>
      <c r="N66" t="inlineStr">
        <is>
          <t>Tier 4</t>
        </is>
      </c>
      <c r="O66" t="inlineStr">
        <is>
          <t>Erick Osburn — VP Logistics &amp; Transportation; Lindsey Suddarth — Director Inbound Logistics</t>
        </is>
      </c>
      <c r="P66" t="inlineStr">
        <is>
          <t>VP Logistics &amp; Transportation | Director Inbound Logistics</t>
        </is>
      </c>
      <c r="Y66" t="inlineStr">
        <is>
          <t>todo</t>
        </is>
      </c>
      <c r="Z66">
        <f>(M66*Weights!$B$2) + (MIN(Q66,Weights!$B$5)*Weights!$B$3*(W66/100)*Weights!$B$4)</f>
        <v/>
      </c>
      <c r="AA66">
        <f>IF(Z66= ,,RANK.EQ({pri_col_letter}{r},{pri_range},0))</f>
        <v/>
      </c>
    </row>
    <row r="67">
      <c r="A67" t="inlineStr">
        <is>
          <t>Trident Seafoods</t>
        </is>
      </c>
      <c r="B67" t="n">
        <v>2</v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25</v>
      </c>
      <c r="N67" t="inlineStr">
        <is>
          <t>Tier 4</t>
        </is>
      </c>
      <c r="O67" t="inlineStr">
        <is>
          <t>Dirk Martin — Vice President of Global Logistics; Sean Davies — Logistics Manager</t>
        </is>
      </c>
      <c r="P67" t="inlineStr">
        <is>
          <t>Vice President of Global Logistics | Logistics Manager</t>
        </is>
      </c>
      <c r="Y67" t="inlineStr">
        <is>
          <t>todo</t>
        </is>
      </c>
      <c r="Z67">
        <f>(M67*Weights!$B$2) + (MIN(Q67,Weights!$B$5)*Weights!$B$3*(W67/100)*Weights!$B$4)</f>
        <v/>
      </c>
      <c r="AA67">
        <f>IF(Z67= ,,RANK.EQ({pri_col_letter}{r},{pri_range},0))</f>
        <v/>
      </c>
    </row>
    <row r="68">
      <c r="A68" t="inlineStr">
        <is>
          <t>WWT</t>
        </is>
      </c>
      <c r="B68" t="n">
        <v>2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25</v>
      </c>
      <c r="N68" t="inlineStr">
        <is>
          <t>Tier 4</t>
        </is>
      </c>
      <c r="O68" t="inlineStr">
        <is>
          <t>George Schoedinger — VP, Logistics Operations; Pat Nelke — Director, Logistics Operations</t>
        </is>
      </c>
      <c r="P68" t="inlineStr">
        <is>
          <t>VP, Logistics Operations | Director, Logistics Operations</t>
        </is>
      </c>
      <c r="Y68" t="inlineStr">
        <is>
          <t>todo</t>
        </is>
      </c>
      <c r="Z68">
        <f>(M68*Weights!$B$2) + (MIN(Q68,Weights!$B$5)*Weights!$B$3*(W68/100)*Weights!$B$4)</f>
        <v/>
      </c>
      <c r="AA68">
        <f>IF(Z68= ,,RANK.EQ({pri_col_letter}{r},{pri_range},0))</f>
        <v/>
      </c>
    </row>
    <row r="69">
      <c r="A69" t="inlineStr">
        <is>
          <t>The Home Depot</t>
        </is>
      </c>
      <c r="B69" t="n">
        <v>11</v>
      </c>
      <c r="C69" t="n">
        <v>0</v>
      </c>
      <c r="D69" t="n">
        <v>1</v>
      </c>
      <c r="E69" t="n">
        <v>0</v>
      </c>
      <c r="F69" t="n">
        <v>2</v>
      </c>
      <c r="G69" t="n">
        <v>3</v>
      </c>
      <c r="I69" t="n">
        <v>5</v>
      </c>
      <c r="J69" t="n">
        <v>0.09090909090909091</v>
      </c>
      <c r="K69" t="n">
        <v>12</v>
      </c>
      <c r="L69" t="n">
        <v>25</v>
      </c>
      <c r="M69" t="n">
        <v>24</v>
      </c>
      <c r="N69" t="inlineStr">
        <is>
          <t>Tier 4</t>
        </is>
      </c>
      <c r="O69" t="inlineStr">
        <is>
          <t>Stuart Kilgus — DC Engineer, Innovation &amp; Automation; Chris Smith — Vice President, Information Technology; Dan Jarvis — Vice President, Engineering &amp; Automation; Jeff Andreski — Sr. Director, Information Technology; Joanna Kronberg — Director, Innovation &amp; Automation</t>
        </is>
      </c>
      <c r="P69" t="inlineStr">
        <is>
          <t>Vice President, Information Technology | Vice President, Engineering &amp; Automation | DC Engineer, Innovation &amp; Automation</t>
        </is>
      </c>
      <c r="Y69" t="inlineStr">
        <is>
          <t>todo</t>
        </is>
      </c>
      <c r="Z69">
        <f>(M69*Weights!$B$2) + (MIN(Q69,Weights!$B$5)*Weights!$B$3*(W69/100)*Weights!$B$4)</f>
        <v/>
      </c>
      <c r="AA69">
        <f>IF(Z69= ,,RANK.EQ({pri_col_letter}{r},{pri_range},0))</f>
        <v/>
      </c>
    </row>
    <row r="70">
      <c r="A70" t="inlineStr">
        <is>
          <t>FlavorCloud</t>
        </is>
      </c>
      <c r="B70" t="n">
        <v>7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12000000</v>
      </c>
      <c r="I70" t="n">
        <v>2</v>
      </c>
      <c r="J70" t="n">
        <v>0.1428571428571428</v>
      </c>
      <c r="K70" t="n">
        <v>0</v>
      </c>
      <c r="L70" t="n">
        <v>0</v>
      </c>
      <c r="M70" t="n">
        <v>24</v>
      </c>
      <c r="N70" t="inlineStr">
        <is>
          <t>Tier 4</t>
        </is>
      </c>
      <c r="O70" t="inlineStr">
        <is>
          <t>Sebastian Wouters — VP Network Operations; Maia Benson — Chief Business Officer; Rathna Sharad — CEO &amp; Co-Founder; Rathna Sharad — CEO; Sharad Kylasam — VP Product</t>
        </is>
      </c>
      <c r="P70" t="inlineStr">
        <is>
          <t>VP Network Operations | Chief Business Officer | CEO &amp; Co-Founder</t>
        </is>
      </c>
      <c r="Y70" t="inlineStr">
        <is>
          <t>todo</t>
        </is>
      </c>
      <c r="Z70">
        <f>(M70*Weights!$B$2) + (MIN(Q70,Weights!$B$5)*Weights!$B$3*(W70/100)*Weights!$B$4)</f>
        <v/>
      </c>
      <c r="AA70">
        <f>IF(Z70= ,,RANK.EQ({pri_col_letter}{r},{pri_range},0))</f>
        <v/>
      </c>
    </row>
    <row r="71">
      <c r="A71" t="inlineStr">
        <is>
          <t>Costco</t>
        </is>
      </c>
      <c r="B71" t="n">
        <v>6</v>
      </c>
      <c r="C71" t="n">
        <v>0</v>
      </c>
      <c r="D71" t="n">
        <v>1</v>
      </c>
      <c r="E71" t="n">
        <v>0</v>
      </c>
      <c r="F71" t="n">
        <v>0</v>
      </c>
      <c r="G71" t="n">
        <v>3</v>
      </c>
      <c r="I71" t="n">
        <v>3</v>
      </c>
      <c r="J71" t="n">
        <v>0.1666666666666667</v>
      </c>
      <c r="K71" t="n">
        <v>12</v>
      </c>
      <c r="L71" t="n">
        <v>25</v>
      </c>
      <c r="M71" t="n">
        <v>23</v>
      </c>
      <c r="N71" t="inlineStr">
        <is>
          <t>Tier 4</t>
        </is>
      </c>
      <c r="O71" t="inlineStr">
        <is>
          <t>Scott Wibert — Supply Chain SA/Security; Brian McBride — Global IT/Innovation; Kate Domer — Innovation Analyst; Krissie Connors — Analyst - Innovation; Troy Ness — Director of Global Innovation</t>
        </is>
      </c>
      <c r="P71" t="inlineStr">
        <is>
          <t>Supply Chain SA/Security | Global IT/Innovation | Innovation Analyst</t>
        </is>
      </c>
      <c r="Y71" t="inlineStr">
        <is>
          <t>todo</t>
        </is>
      </c>
      <c r="Z71">
        <f>(M71*Weights!$B$2) + (MIN(Q71,Weights!$B$5)*Weights!$B$3*(W71/100)*Weights!$B$4)</f>
        <v/>
      </c>
      <c r="AA71">
        <f>IF(Z71= ,,RANK.EQ({pri_col_letter}{r},{pri_range},0))</f>
        <v/>
      </c>
    </row>
    <row r="72">
      <c r="A72" t="inlineStr">
        <is>
          <t>Infor</t>
        </is>
      </c>
      <c r="B72" t="n">
        <v>6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I72" t="n">
        <v>1</v>
      </c>
      <c r="J72" t="n">
        <v>0.1666666666666667</v>
      </c>
      <c r="K72" t="n">
        <v>0</v>
      </c>
      <c r="L72" t="n">
        <v>0</v>
      </c>
      <c r="M72" t="n">
        <v>23</v>
      </c>
      <c r="N72" t="inlineStr">
        <is>
          <t>Tier 4</t>
        </is>
      </c>
      <c r="O72" t="inlineStr">
        <is>
          <t>Mike Herber — VP, Supply Chain Solutions; Doug Zahour — VP, Infor Nexus; Jason Simcox — VP, Infor Nexus; Jessica Reed — Sr. Account Manager; Luke Anderson — Sr. Account Manager</t>
        </is>
      </c>
      <c r="P72" t="inlineStr">
        <is>
          <t>VP, Supply Chain Solutions | VP, Infor Nexus | Sr. Account Manager</t>
        </is>
      </c>
      <c r="Y72" t="inlineStr">
        <is>
          <t>todo</t>
        </is>
      </c>
      <c r="Z72">
        <f>(M72*Weights!$B$2) + (MIN(Q72,Weights!$B$5)*Weights!$B$3*(W72/100)*Weights!$B$4)</f>
        <v/>
      </c>
      <c r="AA72">
        <f>IF(Z72= ,,RANK.EQ({pri_col_letter}{r},{pri_range},0))</f>
        <v/>
      </c>
    </row>
    <row r="73">
      <c r="A73" t="inlineStr">
        <is>
          <t>Metro Supply Chain</t>
        </is>
      </c>
      <c r="B73" t="n">
        <v>6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I73" t="n">
        <v>1</v>
      </c>
      <c r="J73" t="n">
        <v>0.1666666666666667</v>
      </c>
      <c r="K73" t="n">
        <v>0</v>
      </c>
      <c r="L73" t="n">
        <v>0</v>
      </c>
      <c r="M73" t="n">
        <v>23</v>
      </c>
      <c r="N73" t="inlineStr">
        <is>
          <t>Tier 4</t>
        </is>
      </c>
      <c r="O73" t="inlineStr">
        <is>
          <t>Chris Galindo — President- Supply Chain Services; Sean Cowie — VP Customer Solutions; Pierre Lutfy — Chief Development Officer; Glenn Hunter — Senior Director Implementation Services; Monica Burger — Director Applications Implementation and Support</t>
        </is>
      </c>
      <c r="P73" t="inlineStr">
        <is>
          <t>President- Supply Chain Services | VP Customer Solutions | Chief Development Officer</t>
        </is>
      </c>
      <c r="Y73" t="inlineStr">
        <is>
          <t>todo</t>
        </is>
      </c>
      <c r="Z73">
        <f>(M73*Weights!$B$2) + (MIN(Q73,Weights!$B$5)*Weights!$B$3*(W73/100)*Weights!$B$4)</f>
        <v/>
      </c>
      <c r="AA73">
        <f>IF(Z73= ,,RANK.EQ({pri_col_letter}{r},{pri_range},0))</f>
        <v/>
      </c>
    </row>
    <row r="74">
      <c r="A74" t="inlineStr">
        <is>
          <t>Neovia Logistics</t>
        </is>
      </c>
      <c r="B74" t="n">
        <v>6</v>
      </c>
      <c r="C74" t="n">
        <v>1</v>
      </c>
      <c r="D74" t="n">
        <v>1</v>
      </c>
      <c r="E74" t="n">
        <v>1</v>
      </c>
      <c r="F74" t="n">
        <v>2</v>
      </c>
      <c r="G74" t="n">
        <v>0</v>
      </c>
      <c r="I74" t="n">
        <v>2</v>
      </c>
      <c r="J74" t="n">
        <v>0.1666666666666667</v>
      </c>
      <c r="K74" t="n">
        <v>0</v>
      </c>
      <c r="L74" t="n">
        <v>0</v>
      </c>
      <c r="M74" t="n">
        <v>23</v>
      </c>
      <c r="N74" t="inlineStr">
        <is>
          <t>Tier 4</t>
        </is>
      </c>
      <c r="O74" t="inlineStr">
        <is>
          <t>Jacques Retief — Chief Operations Officer; Elaine Evans — Senior Global Procurement Manager; Mike Fahy — Chief Executive Officer; Bethany Peek — Communications Specialist; Dan Bombrys — Vice President Customer Success</t>
        </is>
      </c>
      <c r="P74" t="inlineStr">
        <is>
          <t>Chief Operations Officer | Chief Executive Officer | Senior Global Procurement Manager</t>
        </is>
      </c>
      <c r="Y74" t="inlineStr">
        <is>
          <t>todo</t>
        </is>
      </c>
      <c r="Z74">
        <f>(M74*Weights!$B$2) + (MIN(Q74,Weights!$B$5)*Weights!$B$3*(W74/100)*Weights!$B$4)</f>
        <v/>
      </c>
      <c r="AA74">
        <f>IF(Z74= ,,RANK.EQ({pri_col_letter}{r},{pri_range},0))</f>
        <v/>
      </c>
    </row>
    <row r="75">
      <c r="A75" t="inlineStr">
        <is>
          <t>Manifest.eco</t>
        </is>
      </c>
      <c r="B75" t="n">
        <v>4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I75" t="n">
        <v>0</v>
      </c>
      <c r="J75" t="n">
        <v>0.25</v>
      </c>
      <c r="K75" t="n">
        <v>0</v>
      </c>
      <c r="L75" t="n">
        <v>0</v>
      </c>
      <c r="M75" t="n">
        <v>23</v>
      </c>
      <c r="N75" t="inlineStr">
        <is>
          <t>Tier 4</t>
        </is>
      </c>
      <c r="O75" t="inlineStr">
        <is>
          <t>Max Stevens — SVP Fulfillment; Cole Wenzel — SVP Customer; George Wojciechowski — CEO; Robert Sixsmith — COO</t>
        </is>
      </c>
      <c r="P75" t="inlineStr">
        <is>
          <t>SVP Fulfillment | SVP Customer | CEO</t>
        </is>
      </c>
      <c r="Y75" t="inlineStr">
        <is>
          <t>todo</t>
        </is>
      </c>
      <c r="Z75">
        <f>(M75*Weights!$B$2) + (MIN(Q75,Weights!$B$5)*Weights!$B$3*(W75/100)*Weights!$B$4)</f>
        <v/>
      </c>
      <c r="AA75">
        <f>IF(Z75= ,,RANK.EQ({pri_col_letter}{r},{pri_range},0))</f>
        <v/>
      </c>
    </row>
    <row r="76">
      <c r="A76" t="inlineStr">
        <is>
          <t>Crane Worldwide Logistics</t>
        </is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1000000000</v>
      </c>
      <c r="I76" t="n">
        <v>0</v>
      </c>
      <c r="J76" t="n">
        <v>0</v>
      </c>
      <c r="K76" t="n">
        <v>0</v>
      </c>
      <c r="L76" t="n">
        <v>0</v>
      </c>
      <c r="M76" t="n">
        <v>23</v>
      </c>
      <c r="N76" t="inlineStr">
        <is>
          <t>Tier 4</t>
        </is>
      </c>
      <c r="O76" t="inlineStr">
        <is>
          <t>Brannon Kuykendall — Chief Information Officer; Dylan Ross — CFO; Jared Crane — CEO</t>
        </is>
      </c>
      <c r="P76" t="inlineStr">
        <is>
          <t>CFO | CEO | Chief Information Officer</t>
        </is>
      </c>
      <c r="Y76" t="inlineStr">
        <is>
          <t>todo</t>
        </is>
      </c>
      <c r="Z76">
        <f>(M76*Weights!$B$2) + (MIN(Q76,Weights!$B$5)*Weights!$B$3*(W76/100)*Weights!$B$4)</f>
        <v/>
      </c>
      <c r="AA76">
        <f>IF(Z76= ,,RANK.EQ({pri_col_letter}{r},{pri_range},0))</f>
        <v/>
      </c>
    </row>
    <row r="77">
      <c r="A77" t="inlineStr">
        <is>
          <t>Acuity Brands</t>
        </is>
      </c>
      <c r="B77" t="n">
        <v>2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I77" t="n">
        <v>0</v>
      </c>
      <c r="J77" t="n">
        <v>0.5</v>
      </c>
      <c r="K77" t="n">
        <v>0</v>
      </c>
      <c r="L77" t="n">
        <v>0</v>
      </c>
      <c r="M77" t="n">
        <v>23</v>
      </c>
      <c r="N77" t="inlineStr">
        <is>
          <t>Tier 4</t>
        </is>
      </c>
      <c r="O77" t="inlineStr">
        <is>
          <t>Joe DeFrancesco — Head of Operations; Jeff Grossman — Head of Sourcing</t>
        </is>
      </c>
      <c r="P77" t="inlineStr">
        <is>
          <t>Head of Operations | Head of Sourcing</t>
        </is>
      </c>
      <c r="Y77" t="inlineStr">
        <is>
          <t>todo</t>
        </is>
      </c>
      <c r="Z77">
        <f>(M77*Weights!$B$2) + (MIN(Q77,Weights!$B$5)*Weights!$B$3*(W77/100)*Weights!$B$4)</f>
        <v/>
      </c>
      <c r="AA77">
        <f>IF(Z77= ,,RANK.EQ({pri_col_letter}{r},{pri_range},0))</f>
        <v/>
      </c>
    </row>
    <row r="78">
      <c r="A78" t="inlineStr">
        <is>
          <t>Glīd</t>
        </is>
      </c>
      <c r="B78" t="n">
        <v>2</v>
      </c>
      <c r="C78" t="n">
        <v>1</v>
      </c>
      <c r="D78" t="n">
        <v>2</v>
      </c>
      <c r="E78" t="n">
        <v>0</v>
      </c>
      <c r="F78" t="n">
        <v>1</v>
      </c>
      <c r="G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23</v>
      </c>
      <c r="N78" t="inlineStr">
        <is>
          <t>Tier 4</t>
        </is>
      </c>
      <c r="O78" t="inlineStr">
        <is>
          <t>Ankit Malhotra — Head of Operations; Aaron Stieglitz — Sales &amp; Operations Lead</t>
        </is>
      </c>
      <c r="P78" t="inlineStr">
        <is>
          <t>Head of Operations | Sales &amp; Operations Lead</t>
        </is>
      </c>
      <c r="Y78" t="inlineStr">
        <is>
          <t>todo</t>
        </is>
      </c>
      <c r="Z78">
        <f>(M78*Weights!$B$2) + (MIN(Q78,Weights!$B$5)*Weights!$B$3*(W78/100)*Weights!$B$4)</f>
        <v/>
      </c>
      <c r="AA78">
        <f>IF(Z78= ,,RANK.EQ({pri_col_letter}{r},{pri_range},0))</f>
        <v/>
      </c>
    </row>
    <row r="79">
      <c r="A79" t="inlineStr">
        <is>
          <t>Martinrea International</t>
        </is>
      </c>
      <c r="B79" t="n">
        <v>2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23</v>
      </c>
      <c r="N79" t="inlineStr">
        <is>
          <t>Tier 4</t>
        </is>
      </c>
      <c r="O79" t="inlineStr">
        <is>
          <t>Megan Hunter — Executive Vice President Procurement and Supply Chain Operations; Rachel Handbury — Director of Sustainability</t>
        </is>
      </c>
      <c r="P79" t="inlineStr">
        <is>
          <t>Executive Vice President Procurement and Supply Chain Operations | Director of Sustainability</t>
        </is>
      </c>
      <c r="Y79" t="inlineStr">
        <is>
          <t>todo</t>
        </is>
      </c>
      <c r="Z79">
        <f>(M79*Weights!$B$2) + (MIN(Q79,Weights!$B$5)*Weights!$B$3*(W79/100)*Weights!$B$4)</f>
        <v/>
      </c>
      <c r="AA79">
        <f>IF(Z79= ,,RANK.EQ({pri_col_letter}{r},{pri_range},0))</f>
        <v/>
      </c>
    </row>
    <row r="80">
      <c r="A80" t="inlineStr">
        <is>
          <t>Sifted</t>
        </is>
      </c>
      <c r="B80" t="n">
        <v>5</v>
      </c>
      <c r="C80" t="n">
        <v>1</v>
      </c>
      <c r="D80" t="n">
        <v>2</v>
      </c>
      <c r="E80" t="n">
        <v>0</v>
      </c>
      <c r="F80" t="n">
        <v>3</v>
      </c>
      <c r="G80" t="n">
        <v>0</v>
      </c>
      <c r="I80" t="n">
        <v>3</v>
      </c>
      <c r="J80" t="n">
        <v>0.4</v>
      </c>
      <c r="K80" t="n">
        <v>0</v>
      </c>
      <c r="L80" t="n">
        <v>0</v>
      </c>
      <c r="M80" t="n">
        <v>22</v>
      </c>
      <c r="N80" t="inlineStr">
        <is>
          <t>Tier 4</t>
        </is>
      </c>
      <c r="O80" t="inlineStr">
        <is>
          <t>Heather Guerry — SVP Client Experience &amp; Operations; Ed Ferrugia — Sr Logistics Intelligence Specialist; Jeremy Lee — Head of Sales; Nick Koontz — Enterprise Account Executive; Nick Giuliani — Director of Business Development &amp; Partnerships</t>
        </is>
      </c>
      <c r="P80" t="inlineStr">
        <is>
          <t>SVP Client Experience &amp; Operations | Sr Logistics Intelligence Specialist | Head of Sales</t>
        </is>
      </c>
      <c r="Y80" t="inlineStr">
        <is>
          <t>todo</t>
        </is>
      </c>
      <c r="Z80">
        <f>(M80*Weights!$B$2) + (MIN(Q80,Weights!$B$5)*Weights!$B$3*(W80/100)*Weights!$B$4)</f>
        <v/>
      </c>
      <c r="AA80">
        <f>IF(Z80= ,,RANK.EQ({pri_col_letter}{r},{pri_range},0))</f>
        <v/>
      </c>
    </row>
    <row r="81">
      <c r="A81" t="inlineStr">
        <is>
          <t>Bandit Running</t>
        </is>
      </c>
      <c r="B81" t="n">
        <v>3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I81" t="n">
        <v>0</v>
      </c>
      <c r="J81" t="n">
        <v>0.3333333333333333</v>
      </c>
      <c r="K81" t="n">
        <v>0</v>
      </c>
      <c r="L81" t="n">
        <v>0</v>
      </c>
      <c r="M81" t="n">
        <v>22</v>
      </c>
      <c r="N81" t="inlineStr">
        <is>
          <t>Tier 4</t>
        </is>
      </c>
      <c r="O81" t="inlineStr">
        <is>
          <t>Emily Shaw — Head of Operations; Steven Barrett — Vice President; Anya Nayak — Operational Excellence and Strategy</t>
        </is>
      </c>
      <c r="P81" t="inlineStr">
        <is>
          <t>Head of Operations | Vice President | Operational Excellence and Strategy</t>
        </is>
      </c>
      <c r="Y81" t="inlineStr">
        <is>
          <t>todo</t>
        </is>
      </c>
      <c r="Z81">
        <f>(M81*Weights!$B$2) + (MIN(Q81,Weights!$B$5)*Weights!$B$3*(W81/100)*Weights!$B$4)</f>
        <v/>
      </c>
      <c r="AA81">
        <f>IF(Z81= ,,RANK.EQ({pri_col_letter}{r},{pri_range},0))</f>
        <v/>
      </c>
    </row>
    <row r="82">
      <c r="A82" t="inlineStr">
        <is>
          <t>Bloomberg</t>
        </is>
      </c>
      <c r="B82" t="n">
        <v>3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I82" t="n">
        <v>0</v>
      </c>
      <c r="J82" t="n">
        <v>0.3333333333333333</v>
      </c>
      <c r="K82" t="n">
        <v>0</v>
      </c>
      <c r="L82" t="n">
        <v>0</v>
      </c>
      <c r="M82" t="n">
        <v>22</v>
      </c>
      <c r="N82" t="inlineStr">
        <is>
          <t>Tier 4</t>
        </is>
      </c>
      <c r="O82" t="inlineStr">
        <is>
          <t>Bruno Svanci — Head of Supply Chain Technology; Laura Curtis — Editor/Reporter; Spencer Soper — Tech Reporter</t>
        </is>
      </c>
      <c r="P82" t="inlineStr">
        <is>
          <t>Head of Supply Chain Technology | Tech Reporter | Editor/Reporter</t>
        </is>
      </c>
      <c r="Y82" t="inlineStr">
        <is>
          <t>todo</t>
        </is>
      </c>
      <c r="Z82">
        <f>(M82*Weights!$B$2) + (MIN(Q82,Weights!$B$5)*Weights!$B$3*(W82/100)*Weights!$B$4)</f>
        <v/>
      </c>
      <c r="AA82">
        <f>IF(Z82= ,,RANK.EQ({pri_col_letter}{r},{pri_range},0))</f>
        <v/>
      </c>
    </row>
    <row r="83">
      <c r="A83" t="inlineStr">
        <is>
          <t>Dollar City</t>
        </is>
      </c>
      <c r="B83" t="n">
        <v>3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I83" t="n">
        <v>0</v>
      </c>
      <c r="J83" t="n">
        <v>0.3333333333333333</v>
      </c>
      <c r="K83" t="n">
        <v>0</v>
      </c>
      <c r="L83" t="n">
        <v>0</v>
      </c>
      <c r="M83" t="n">
        <v>22</v>
      </c>
      <c r="N83" t="inlineStr">
        <is>
          <t>Tier 4</t>
        </is>
      </c>
      <c r="O83" t="inlineStr">
        <is>
          <t>Nicolas Pombo — Supply Chain VP; Pierre Bouchet — International Trade &amp; Compliance Director; Alejandro Cienfuegos — Replenishment Director</t>
        </is>
      </c>
      <c r="P83" t="inlineStr">
        <is>
          <t>Supply Chain VP | Replenishment Director | International Trade &amp; Compliance Director</t>
        </is>
      </c>
      <c r="Y83" t="inlineStr">
        <is>
          <t>todo</t>
        </is>
      </c>
      <c r="Z83">
        <f>(M83*Weights!$B$2) + (MIN(Q83,Weights!$B$5)*Weights!$B$3*(W83/100)*Weights!$B$4)</f>
        <v/>
      </c>
      <c r="AA83">
        <f>IF(Z83= ,,RANK.EQ({pri_col_letter}{r},{pri_range},0))</f>
        <v/>
      </c>
    </row>
    <row r="84">
      <c r="A84" t="inlineStr">
        <is>
          <t>Gallo</t>
        </is>
      </c>
      <c r="B84" t="n">
        <v>3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I84" t="n">
        <v>0</v>
      </c>
      <c r="J84" t="n">
        <v>0.3333333333333333</v>
      </c>
      <c r="K84" t="n">
        <v>0</v>
      </c>
      <c r="L84" t="n">
        <v>0</v>
      </c>
      <c r="M84" t="n">
        <v>22</v>
      </c>
      <c r="N84" t="inlineStr">
        <is>
          <t>Tier 4</t>
        </is>
      </c>
      <c r="O84" t="inlineStr">
        <is>
          <t>Nitin Murali — Vice President Supply Chain Excellence; Chad Clausen — Sr. Value Stream Manager; Mariel Zare — Senior Value Stream Manager</t>
        </is>
      </c>
      <c r="P84" t="inlineStr">
        <is>
          <t>Vice President Supply Chain Excellence | Sr. Value Stream Manager | Senior Value Stream Manager</t>
        </is>
      </c>
      <c r="Y84" t="inlineStr">
        <is>
          <t>todo</t>
        </is>
      </c>
      <c r="Z84">
        <f>(M84*Weights!$B$2) + (MIN(Q84,Weights!$B$5)*Weights!$B$3*(W84/100)*Weights!$B$4)</f>
        <v/>
      </c>
      <c r="AA84">
        <f>IF(Z84= ,,RANK.EQ({pri_col_letter}{r},{pri_range},0))</f>
        <v/>
      </c>
    </row>
    <row r="85">
      <c r="A85" t="inlineStr">
        <is>
          <t>Goldman Sachs</t>
        </is>
      </c>
      <c r="B85" t="n">
        <v>3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I85" t="n">
        <v>0</v>
      </c>
      <c r="J85" t="n">
        <v>0.3333333333333333</v>
      </c>
      <c r="K85" t="n">
        <v>0</v>
      </c>
      <c r="L85" t="n">
        <v>0</v>
      </c>
      <c r="M85" t="n">
        <v>22</v>
      </c>
      <c r="N85" t="inlineStr">
        <is>
          <t>Tier 4</t>
        </is>
      </c>
      <c r="O85" t="inlineStr">
        <is>
          <t>Kevin Lynch — Head of Supply Chain Tech Investment Banking Coverage; Ben Fife — Vice President; Ariana Callender — Investor</t>
        </is>
      </c>
      <c r="P85" t="inlineStr">
        <is>
          <t>Head of Supply Chain Tech Investment Banking Coverage | Vice President | Investor</t>
        </is>
      </c>
      <c r="Y85" t="inlineStr">
        <is>
          <t>todo</t>
        </is>
      </c>
      <c r="Z85">
        <f>(M85*Weights!$B$2) + (MIN(Q85,Weights!$B$5)*Weights!$B$3*(W85/100)*Weights!$B$4)</f>
        <v/>
      </c>
      <c r="AA85">
        <f>IF(Z85= ,,RANK.EQ({pri_col_letter}{r},{pri_range},0))</f>
        <v/>
      </c>
    </row>
    <row r="86">
      <c r="A86" t="inlineStr">
        <is>
          <t>McClain &amp; Associates</t>
        </is>
      </c>
      <c r="B86" t="n">
        <v>3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I86" t="n">
        <v>0</v>
      </c>
      <c r="J86" t="n">
        <v>0.3333333333333333</v>
      </c>
      <c r="K86" t="n">
        <v>0</v>
      </c>
      <c r="L86" t="n">
        <v>0</v>
      </c>
      <c r="M86" t="n">
        <v>22</v>
      </c>
      <c r="N86" t="inlineStr">
        <is>
          <t>Tier 4</t>
        </is>
      </c>
      <c r="O86" t="inlineStr">
        <is>
          <t>Sean McClain — VP Operations; Rob Olsen — VP Business Develpment; Dan McClain — President</t>
        </is>
      </c>
      <c r="P86" t="inlineStr">
        <is>
          <t>VP Operations | VP Business Develpment | President</t>
        </is>
      </c>
      <c r="Y86" t="inlineStr">
        <is>
          <t>todo</t>
        </is>
      </c>
      <c r="Z86">
        <f>(M86*Weights!$B$2) + (MIN(Q86,Weights!$B$5)*Weights!$B$3*(W86/100)*Weights!$B$4)</f>
        <v/>
      </c>
      <c r="AA86">
        <f>IF(Z86= ,,RANK.EQ({pri_col_letter}{r},{pri_range},0))</f>
        <v/>
      </c>
    </row>
    <row r="87">
      <c r="A87" t="inlineStr">
        <is>
          <t>Melrose</t>
        </is>
      </c>
      <c r="B87" t="n">
        <v>3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I87" t="n">
        <v>0</v>
      </c>
      <c r="J87" t="n">
        <v>0.3333333333333333</v>
      </c>
      <c r="K87" t="n">
        <v>0</v>
      </c>
      <c r="L87" t="n">
        <v>0</v>
      </c>
      <c r="M87" t="n">
        <v>22</v>
      </c>
      <c r="N87" t="inlineStr">
        <is>
          <t>Tier 4</t>
        </is>
      </c>
      <c r="O87" t="inlineStr">
        <is>
          <t>Mike DeLucia — VP of Operations; Dhaman Rakhra — Chief Executive Officer; Khalid Karim — Chief Technology Officer</t>
        </is>
      </c>
      <c r="P87" t="inlineStr">
        <is>
          <t>VP of Operations | Chief Executive Officer | Chief Technology Officer</t>
        </is>
      </c>
      <c r="Y87" t="inlineStr">
        <is>
          <t>todo</t>
        </is>
      </c>
      <c r="Z87">
        <f>(M87*Weights!$B$2) + (MIN(Q87,Weights!$B$5)*Weights!$B$3*(W87/100)*Weights!$B$4)</f>
        <v/>
      </c>
      <c r="AA87">
        <f>IF(Z87= ,,RANK.EQ({pri_col_letter}{r},{pri_range},0))</f>
        <v/>
      </c>
    </row>
    <row r="88">
      <c r="A88" t="inlineStr">
        <is>
          <t>Spot Inc</t>
        </is>
      </c>
      <c r="B88" t="n">
        <v>3</v>
      </c>
      <c r="C88" t="n">
        <v>1</v>
      </c>
      <c r="D88" t="n">
        <v>1</v>
      </c>
      <c r="E88" t="n">
        <v>0</v>
      </c>
      <c r="F88" t="n">
        <v>0</v>
      </c>
      <c r="G88" t="n">
        <v>2</v>
      </c>
      <c r="I88" t="n">
        <v>2</v>
      </c>
      <c r="J88" t="n">
        <v>0.3333333333333333</v>
      </c>
      <c r="K88" t="n">
        <v>0</v>
      </c>
      <c r="L88" t="n">
        <v>0</v>
      </c>
      <c r="M88" t="n">
        <v>22</v>
      </c>
      <c r="N88" t="inlineStr">
        <is>
          <t>Tier 4</t>
        </is>
      </c>
      <c r="O88" t="inlineStr">
        <is>
          <t>Kreg Hunter — VP of Operations; Jake Wittmann — Product Owner; Sean Ward — Product Owner</t>
        </is>
      </c>
      <c r="P88" t="inlineStr">
        <is>
          <t>VP of Operations | Product Owner</t>
        </is>
      </c>
      <c r="Y88" t="inlineStr">
        <is>
          <t>todo</t>
        </is>
      </c>
      <c r="Z88">
        <f>(M88*Weights!$B$2) + (MIN(Q88,Weights!$B$5)*Weights!$B$3*(W88/100)*Weights!$B$4)</f>
        <v/>
      </c>
      <c r="AA88">
        <f>IF(Z88= ,,RANK.EQ({pri_col_letter}{r},{pri_range},0))</f>
        <v/>
      </c>
    </row>
    <row r="89">
      <c r="A89" t="inlineStr">
        <is>
          <t>USTRANSCOM</t>
        </is>
      </c>
      <c r="B89" t="n">
        <v>3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I89" t="n">
        <v>0</v>
      </c>
      <c r="J89" t="n">
        <v>0.3333333333333333</v>
      </c>
      <c r="K89" t="n">
        <v>0</v>
      </c>
      <c r="L89" t="n">
        <v>0</v>
      </c>
      <c r="M89" t="n">
        <v>22</v>
      </c>
      <c r="N89" t="inlineStr">
        <is>
          <t>Tier 4</t>
        </is>
      </c>
      <c r="O89" t="inlineStr">
        <is>
          <t>Todd Jensen — Chief of Operations; Joshua Hunt — Chief, Futures &amp; Experimentation Division; Mark Robinson — Chief, Futures and Capabilities Branch</t>
        </is>
      </c>
      <c r="P89" t="inlineStr">
        <is>
          <t>Chief of Operations | Chief, Futures &amp; Experimentation Division | Chief, Futures and Capabilities Branch</t>
        </is>
      </c>
      <c r="Y89" t="inlineStr">
        <is>
          <t>todo</t>
        </is>
      </c>
      <c r="Z89">
        <f>(M89*Weights!$B$2) + (MIN(Q89,Weights!$B$5)*Weights!$B$3*(W89/100)*Weights!$B$4)</f>
        <v/>
      </c>
      <c r="AA89">
        <f>IF(Z89= ,,RANK.EQ({pri_col_letter}{r},{pri_range},0))</f>
        <v/>
      </c>
    </row>
    <row r="90">
      <c r="A90" t="inlineStr">
        <is>
          <t>Dell Technologies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22</v>
      </c>
      <c r="N90" t="inlineStr">
        <is>
          <t>Tier 4</t>
        </is>
      </c>
      <c r="O90" t="inlineStr">
        <is>
          <t>Terry Frizelle — Head of Logistics Procurement</t>
        </is>
      </c>
      <c r="P90" t="inlineStr">
        <is>
          <t>Head of Logistics Procurement</t>
        </is>
      </c>
      <c r="Y90" t="inlineStr">
        <is>
          <t>todo</t>
        </is>
      </c>
      <c r="Z90">
        <f>(M90*Weights!$B$2) + (MIN(Q90,Weights!$B$5)*Weights!$B$3*(W90/100)*Weights!$B$4)</f>
        <v/>
      </c>
      <c r="AA90">
        <f>IF(Z90= ,,RANK.EQ({pri_col_letter}{r},{pri_range},0))</f>
        <v/>
      </c>
    </row>
    <row r="91">
      <c r="A91" t="inlineStr">
        <is>
          <t>Gentex Corporation</t>
        </is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22</v>
      </c>
      <c r="N91" t="inlineStr">
        <is>
          <t>Tier 4</t>
        </is>
      </c>
      <c r="O91" t="inlineStr">
        <is>
          <t>Randy Pappal — VP Purchasing and Supply Chain</t>
        </is>
      </c>
      <c r="P91" t="inlineStr">
        <is>
          <t>VP Purchasing and Supply Chain</t>
        </is>
      </c>
      <c r="Y91" t="inlineStr">
        <is>
          <t>todo</t>
        </is>
      </c>
      <c r="Z91">
        <f>(M91*Weights!$B$2) + (MIN(Q91,Weights!$B$5)*Weights!$B$3*(W91/100)*Weights!$B$4)</f>
        <v/>
      </c>
      <c r="AA91">
        <f>IF(Z91= ,,RANK.EQ({pri_col_letter}{r},{pri_range},0))</f>
        <v/>
      </c>
    </row>
    <row r="92">
      <c r="A92" t="inlineStr">
        <is>
          <t>Legrand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22</v>
      </c>
      <c r="N92" t="inlineStr">
        <is>
          <t>Tier 4</t>
        </is>
      </c>
      <c r="O92" t="inlineStr">
        <is>
          <t>Samia Kaci — Vice President of Sourcing and Supply Chain AVD</t>
        </is>
      </c>
      <c r="P92" t="inlineStr">
        <is>
          <t>Vice President of Sourcing and Supply Chain AVD</t>
        </is>
      </c>
      <c r="Y92" t="inlineStr">
        <is>
          <t>todo</t>
        </is>
      </c>
      <c r="Z92">
        <f>(M92*Weights!$B$2) + (MIN(Q92,Weights!$B$5)*Weights!$B$3*(W92/100)*Weights!$B$4)</f>
        <v/>
      </c>
      <c r="AA92">
        <f>IF(Z92= ,,RANK.EQ({pri_col_letter}{r},{pri_range},0))</f>
        <v/>
      </c>
    </row>
    <row r="93">
      <c r="A93" t="inlineStr">
        <is>
          <t>Operation BBQ Relief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22</v>
      </c>
      <c r="N93" t="inlineStr">
        <is>
          <t>Tier 4</t>
        </is>
      </c>
      <c r="O93" t="inlineStr">
        <is>
          <t>Chris Huggins — Head of Logistics and Procurement</t>
        </is>
      </c>
      <c r="P93" t="inlineStr">
        <is>
          <t>Head of Logistics and Procurement</t>
        </is>
      </c>
      <c r="Y93" t="inlineStr">
        <is>
          <t>todo</t>
        </is>
      </c>
      <c r="Z93">
        <f>(M93*Weights!$B$2) + (MIN(Q93,Weights!$B$5)*Weights!$B$3*(W93/100)*Weights!$B$4)</f>
        <v/>
      </c>
      <c r="AA93">
        <f>IF(Z93= ,,RANK.EQ({pri_col_letter}{r},{pri_range},0))</f>
        <v/>
      </c>
    </row>
    <row r="94">
      <c r="A94" t="inlineStr">
        <is>
          <t>PPL Electric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22</v>
      </c>
      <c r="N94" t="inlineStr">
        <is>
          <t>Tier 4</t>
        </is>
      </c>
      <c r="O94" t="inlineStr">
        <is>
          <t>Sheetal Shah — VP of Supply Chain and Chief Procurement Officer</t>
        </is>
      </c>
      <c r="P94" t="inlineStr">
        <is>
          <t>VP of Supply Chain and Chief Procurement Officer</t>
        </is>
      </c>
      <c r="Y94" t="inlineStr">
        <is>
          <t>todo</t>
        </is>
      </c>
      <c r="Z94">
        <f>(M94*Weights!$B$2) + (MIN(Q94,Weights!$B$5)*Weights!$B$3*(W94/100)*Weights!$B$4)</f>
        <v/>
      </c>
      <c r="AA94">
        <f>IF(Z94= ,,RANK.EQ({pri_col_letter}{r},{pri_range},0))</f>
        <v/>
      </c>
    </row>
    <row r="95">
      <c r="A95" t="inlineStr">
        <is>
          <t>Pomona Farming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22</v>
      </c>
      <c r="N95" t="inlineStr">
        <is>
          <t>Tier 4</t>
        </is>
      </c>
      <c r="O95" t="inlineStr">
        <is>
          <t>Miguel Miciano — SVP Procurement &amp; Logistics</t>
        </is>
      </c>
      <c r="P95" t="inlineStr">
        <is>
          <t>SVP Procurement &amp; Logistics</t>
        </is>
      </c>
      <c r="Y95" t="inlineStr">
        <is>
          <t>todo</t>
        </is>
      </c>
      <c r="Z95">
        <f>(M95*Weights!$B$2) + (MIN(Q95,Weights!$B$5)*Weights!$B$3*(W95/100)*Weights!$B$4)</f>
        <v/>
      </c>
      <c r="AA95">
        <f>IF(Z95= ,,RANK.EQ({pri_col_letter}{r},{pri_range},0))</f>
        <v/>
      </c>
    </row>
    <row r="96">
      <c r="A96" t="inlineStr">
        <is>
          <t>Shaw Industries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22</v>
      </c>
      <c r="N96" t="inlineStr">
        <is>
          <t>Tier 4</t>
        </is>
      </c>
      <c r="O96" t="inlineStr">
        <is>
          <t>Lance Starks — Vice President - Global Supply Chain &amp; Sourcing</t>
        </is>
      </c>
      <c r="P96" t="inlineStr">
        <is>
          <t>Vice President - Global Supply Chain &amp; Sourcing</t>
        </is>
      </c>
      <c r="Y96" t="inlineStr">
        <is>
          <t>todo</t>
        </is>
      </c>
      <c r="Z96">
        <f>(M96*Weights!$B$2) + (MIN(Q96,Weights!$B$5)*Weights!$B$3*(W96/100)*Weights!$B$4)</f>
        <v/>
      </c>
      <c r="AA96">
        <f>IF(Z96= ,,RANK.EQ({pri_col_letter}{r},{pri_range},0))</f>
        <v/>
      </c>
    </row>
    <row r="97">
      <c r="A97" t="inlineStr">
        <is>
          <t>Dot Ai</t>
        </is>
      </c>
      <c r="B97" t="n">
        <v>9</v>
      </c>
      <c r="C97" t="n">
        <v>2</v>
      </c>
      <c r="D97" t="n">
        <v>2</v>
      </c>
      <c r="E97" t="n">
        <v>0</v>
      </c>
      <c r="F97" t="n">
        <v>7</v>
      </c>
      <c r="G97" t="n">
        <v>3</v>
      </c>
      <c r="I97" t="n">
        <v>10</v>
      </c>
      <c r="J97" t="n">
        <v>0.2222222222222222</v>
      </c>
      <c r="K97" t="n">
        <v>12</v>
      </c>
      <c r="L97" t="n">
        <v>0</v>
      </c>
      <c r="M97" t="n">
        <v>21</v>
      </c>
      <c r="N97" t="inlineStr">
        <is>
          <t>Tier 4</t>
        </is>
      </c>
      <c r="O97" t="inlineStr">
        <is>
          <t>Toni Buhrke — VP of Engineering and Operations; Toni Burhke — Vice President Sales Engineering &amp; Operations; Ed Nabrotzky — CEO &amp; Co-Founder; Heidi Budreau — Director of Marketing; Jeff Hewgley — Senior Sales Engineer</t>
        </is>
      </c>
      <c r="P97" t="inlineStr">
        <is>
          <t>VP of Engineering and Operations | CEO &amp; Co-Founder | Vice President Sales Engineering &amp; Operations</t>
        </is>
      </c>
      <c r="Y97" t="inlineStr">
        <is>
          <t>todo</t>
        </is>
      </c>
      <c r="Z97">
        <f>(M97*Weights!$B$2) + (MIN(Q97,Weights!$B$5)*Weights!$B$3*(W97/100)*Weights!$B$4)</f>
        <v/>
      </c>
      <c r="AA97">
        <f>IF(Z97= ,,RANK.EQ({pri_col_letter}{r},{pri_range},0))</f>
        <v/>
      </c>
    </row>
    <row r="98">
      <c r="A98" t="inlineStr">
        <is>
          <t>Cloneops.ai</t>
        </is>
      </c>
      <c r="B98" t="n">
        <v>6</v>
      </c>
      <c r="C98" t="n">
        <v>1</v>
      </c>
      <c r="D98" t="n">
        <v>1</v>
      </c>
      <c r="E98" t="n">
        <v>0</v>
      </c>
      <c r="F98" t="n">
        <v>2</v>
      </c>
      <c r="G98" t="n">
        <v>0</v>
      </c>
      <c r="I98" t="n">
        <v>2</v>
      </c>
      <c r="J98" t="n">
        <v>0.1666666666666667</v>
      </c>
      <c r="K98" t="n">
        <v>0</v>
      </c>
      <c r="L98" t="n">
        <v>0</v>
      </c>
      <c r="M98" t="n">
        <v>21</v>
      </c>
      <c r="N98" t="inlineStr">
        <is>
          <t>Tier 4</t>
        </is>
      </c>
      <c r="O98" t="inlineStr">
        <is>
          <t>Alan Alberto — VP of Operations; David Peckman — Chief Commercial Officer; David Bell — Founder; Sean Donnelly — Founding AE; Kyle Richards — VP of Sales</t>
        </is>
      </c>
      <c r="P98" t="inlineStr">
        <is>
          <t>VP of Operations | Chief Commercial Officer | Founder</t>
        </is>
      </c>
      <c r="Y98" t="inlineStr">
        <is>
          <t>todo</t>
        </is>
      </c>
      <c r="Z98">
        <f>(M98*Weights!$B$2) + (MIN(Q98,Weights!$B$5)*Weights!$B$3*(W98/100)*Weights!$B$4)</f>
        <v/>
      </c>
      <c r="AA98">
        <f>IF(Z98= ,,RANK.EQ({pri_col_letter}{r},{pri_range},0))</f>
        <v/>
      </c>
    </row>
    <row r="99">
      <c r="A99" t="inlineStr">
        <is>
          <t>Detroit Manufacturing Systems</t>
        </is>
      </c>
      <c r="B99" t="n">
        <v>5</v>
      </c>
      <c r="C99" t="n">
        <v>0</v>
      </c>
      <c r="D99" t="n">
        <v>4</v>
      </c>
      <c r="E99" t="n">
        <v>0</v>
      </c>
      <c r="F99" t="n">
        <v>0</v>
      </c>
      <c r="G99" t="n">
        <v>0</v>
      </c>
      <c r="I99" t="n">
        <v>0</v>
      </c>
      <c r="J99" t="n">
        <v>0.8</v>
      </c>
      <c r="K99" t="n">
        <v>0</v>
      </c>
      <c r="L99" t="n">
        <v>0</v>
      </c>
      <c r="M99" t="n">
        <v>21</v>
      </c>
      <c r="N99" t="inlineStr">
        <is>
          <t>Tier 4</t>
        </is>
      </c>
      <c r="O99" t="inlineStr">
        <is>
          <t>Michael Ross — Director Supply Chain; David Wright — SUPPLY CHAIN SUPERINTENDENT; Jasjeet Singh — Supply Chain Manager; Raed Slewa — Supply chain Manager; Jacqueline Burkette — Vice President of Business Processes</t>
        </is>
      </c>
      <c r="P99" t="inlineStr">
        <is>
          <t>Director Supply Chain | SUPPLY CHAIN SUPERINTENDENT | Vice President of Business Processes</t>
        </is>
      </c>
      <c r="Y99" t="inlineStr">
        <is>
          <t>todo</t>
        </is>
      </c>
      <c r="Z99">
        <f>(M99*Weights!$B$2) + (MIN(Q99,Weights!$B$5)*Weights!$B$3*(W99/100)*Weights!$B$4)</f>
        <v/>
      </c>
      <c r="AA99">
        <f>IF(Z99= ,,RANK.EQ({pri_col_letter}{r},{pri_range},0))</f>
        <v/>
      </c>
    </row>
    <row r="100">
      <c r="A100" t="inlineStr">
        <is>
          <t>Cofactr</t>
        </is>
      </c>
      <c r="B100" t="n">
        <v>4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I100" t="n">
        <v>1</v>
      </c>
      <c r="J100" t="n">
        <v>0.25</v>
      </c>
      <c r="K100" t="n">
        <v>0</v>
      </c>
      <c r="L100" t="n">
        <v>0</v>
      </c>
      <c r="M100" t="n">
        <v>21</v>
      </c>
      <c r="N100" t="inlineStr">
        <is>
          <t>Tier 4</t>
        </is>
      </c>
      <c r="O100" t="inlineStr">
        <is>
          <t>Doug Platz — Head of Supplier Network; Matthew Haber — CEO, Co-Founder; Phillip Gulley — CSO &amp; Co-Founder; Robert Segal — VP of Sales</t>
        </is>
      </c>
      <c r="P100" t="inlineStr">
        <is>
          <t>Head of Supplier Network | CEO, Co-Founder | CSO &amp; Co-Founder</t>
        </is>
      </c>
      <c r="Y100" t="inlineStr">
        <is>
          <t>todo</t>
        </is>
      </c>
      <c r="Z100">
        <f>(M100*Weights!$B$2) + (MIN(Q100,Weights!$B$5)*Weights!$B$3*(W100/100)*Weights!$B$4)</f>
        <v/>
      </c>
      <c r="AA100">
        <f>IF(Z100= ,,RANK.EQ({pri_col_letter}{r},{pri_range},0))</f>
        <v/>
      </c>
    </row>
    <row r="101">
      <c r="A101" t="inlineStr">
        <is>
          <t>ShipHero</t>
        </is>
      </c>
      <c r="B101" t="n">
        <v>4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I101" t="n">
        <v>1</v>
      </c>
      <c r="J101" t="n">
        <v>0.25</v>
      </c>
      <c r="K101" t="n">
        <v>0</v>
      </c>
      <c r="L101" t="n">
        <v>0</v>
      </c>
      <c r="M101" t="n">
        <v>21</v>
      </c>
      <c r="N101" t="inlineStr">
        <is>
          <t>Tier 4</t>
        </is>
      </c>
      <c r="O101" t="inlineStr">
        <is>
          <t>Karen Schwartz — VP of Transportation; Aaron Rubin — CEO; Lara Pease — Carrier Strategist Manager; Alex Gorney — Enterprise Account Executive</t>
        </is>
      </c>
      <c r="P101" t="inlineStr">
        <is>
          <t>VP of Transportation | CEO | Carrier Strategist Manager</t>
        </is>
      </c>
      <c r="Y101" t="inlineStr">
        <is>
          <t>todo</t>
        </is>
      </c>
      <c r="Z101">
        <f>(M101*Weights!$B$2) + (MIN(Q101,Weights!$B$5)*Weights!$B$3*(W101/100)*Weights!$B$4)</f>
        <v/>
      </c>
      <c r="AA101">
        <f>IF(Z101= ,,RANK.EQ({pri_col_letter}{r},{pri_range},0))</f>
        <v/>
      </c>
    </row>
    <row r="102">
      <c r="A102" t="inlineStr">
        <is>
          <t>Hellmann Worldwide Logistics</t>
        </is>
      </c>
      <c r="B102" t="n">
        <v>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4306000000</v>
      </c>
      <c r="I102" t="n">
        <v>1</v>
      </c>
      <c r="J102" t="n">
        <v>0</v>
      </c>
      <c r="K102" t="n">
        <v>0</v>
      </c>
      <c r="L102" t="n">
        <v>0</v>
      </c>
      <c r="M102" t="n">
        <v>21</v>
      </c>
      <c r="N102" t="inlineStr">
        <is>
          <t>Tier 4</t>
        </is>
      </c>
      <c r="O102" t="inlineStr">
        <is>
          <t>Alberto Mathia — SVP, Regional Head of Airfreight for Americas; Michel Heck — Global Innovation Manager; Daniel Hoehle — Senior Manager Business Development E-Commerce</t>
        </is>
      </c>
      <c r="P102" t="inlineStr">
        <is>
          <t>SVP, Regional Head of Airfreight for Americas | Global Innovation Manager | Senior Manager Business Development E-Commerce</t>
        </is>
      </c>
      <c r="Y102" t="inlineStr">
        <is>
          <t>todo</t>
        </is>
      </c>
      <c r="Z102">
        <f>(M102*Weights!$B$2) + (MIN(Q102,Weights!$B$5)*Weights!$B$3*(W102/100)*Weights!$B$4)</f>
        <v/>
      </c>
      <c r="AA102">
        <f>IF(Z102= ,,RANK.EQ({pri_col_letter}{r},{pri_range},0))</f>
        <v/>
      </c>
    </row>
    <row r="103">
      <c r="A103" t="inlineStr">
        <is>
          <t>Beiersdorf</t>
        </is>
      </c>
      <c r="B103" t="n">
        <v>2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I103" t="n">
        <v>0</v>
      </c>
      <c r="J103" t="n">
        <v>0.5</v>
      </c>
      <c r="K103" t="n">
        <v>0</v>
      </c>
      <c r="L103" t="n">
        <v>0</v>
      </c>
      <c r="M103" t="n">
        <v>21</v>
      </c>
      <c r="N103" t="inlineStr">
        <is>
          <t>Tier 4</t>
        </is>
      </c>
      <c r="O103" t="inlineStr">
        <is>
          <t>Michael Frey — Chief Supply Chain Officer; Lisa Dobrin — VP SC North America</t>
        </is>
      </c>
      <c r="P103" t="inlineStr">
        <is>
          <t>Chief Supply Chain Officer | VP SC North America</t>
        </is>
      </c>
      <c r="Y103" t="inlineStr">
        <is>
          <t>todo</t>
        </is>
      </c>
      <c r="Z103">
        <f>(M103*Weights!$B$2) + (MIN(Q103,Weights!$B$5)*Weights!$B$3*(W103/100)*Weights!$B$4)</f>
        <v/>
      </c>
      <c r="AA103">
        <f>IF(Z103= ,,RANK.EQ({pri_col_letter}{r},{pri_range},0))</f>
        <v/>
      </c>
    </row>
    <row r="104">
      <c r="A104" t="inlineStr">
        <is>
          <t>California Innovations</t>
        </is>
      </c>
      <c r="B104" t="n">
        <v>2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I104" t="n">
        <v>0</v>
      </c>
      <c r="J104" t="n">
        <v>0.5</v>
      </c>
      <c r="K104" t="n">
        <v>0</v>
      </c>
      <c r="L104" t="n">
        <v>0</v>
      </c>
      <c r="M104" t="n">
        <v>21</v>
      </c>
      <c r="N104" t="inlineStr">
        <is>
          <t>Tier 4</t>
        </is>
      </c>
      <c r="O104" t="inlineStr">
        <is>
          <t>Jesse Lydiatt — VP Supply Chain; Amanda Foisy — CFO</t>
        </is>
      </c>
      <c r="P104" t="inlineStr">
        <is>
          <t>VP Supply Chain | CFO</t>
        </is>
      </c>
      <c r="Y104" t="inlineStr">
        <is>
          <t>todo</t>
        </is>
      </c>
      <c r="Z104">
        <f>(M104*Weights!$B$2) + (MIN(Q104,Weights!$B$5)*Weights!$B$3*(W104/100)*Weights!$B$4)</f>
        <v/>
      </c>
      <c r="AA104">
        <f>IF(Z104= ,,RANK.EQ({pri_col_letter}{r},{pri_range},0))</f>
        <v/>
      </c>
    </row>
    <row r="105">
      <c r="A105" t="inlineStr">
        <is>
          <t>Castlery</t>
        </is>
      </c>
      <c r="B105" t="n">
        <v>2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I105" t="n">
        <v>0</v>
      </c>
      <c r="J105" t="n">
        <v>0.5</v>
      </c>
      <c r="K105" t="n">
        <v>0</v>
      </c>
      <c r="L105" t="n">
        <v>0</v>
      </c>
      <c r="M105" t="n">
        <v>21</v>
      </c>
      <c r="N105" t="inlineStr">
        <is>
          <t>Tier 4</t>
        </is>
      </c>
      <c r="O105" t="inlineStr">
        <is>
          <t>Carlos Harper — Head of North America Operations; Kellie Dawn Kivett — Carrier Management</t>
        </is>
      </c>
      <c r="P105" t="inlineStr">
        <is>
          <t>Head of North America Operations | Carrier Management</t>
        </is>
      </c>
      <c r="Y105" t="inlineStr">
        <is>
          <t>todo</t>
        </is>
      </c>
      <c r="Z105">
        <f>(M105*Weights!$B$2) + (MIN(Q105,Weights!$B$5)*Weights!$B$3*(W105/100)*Weights!$B$4)</f>
        <v/>
      </c>
      <c r="AA105">
        <f>IF(Z105= ,,RANK.EQ({pri_col_letter}{r},{pri_range},0))</f>
        <v/>
      </c>
    </row>
    <row r="106">
      <c r="A106" t="inlineStr">
        <is>
          <t>Fear of God</t>
        </is>
      </c>
      <c r="B106" t="n">
        <v>2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I106" t="n">
        <v>0</v>
      </c>
      <c r="J106" t="n">
        <v>0.5</v>
      </c>
      <c r="K106" t="n">
        <v>0</v>
      </c>
      <c r="L106" t="n">
        <v>0</v>
      </c>
      <c r="M106" t="n">
        <v>21</v>
      </c>
      <c r="N106" t="inlineStr">
        <is>
          <t>Tier 4</t>
        </is>
      </c>
      <c r="O106" t="inlineStr">
        <is>
          <t>Nadia Chohan — Vice President of Supply Chain; Santiago Garcia — Finance Manager</t>
        </is>
      </c>
      <c r="P106" t="inlineStr">
        <is>
          <t>Vice President of Supply Chain | Finance Manager</t>
        </is>
      </c>
      <c r="Y106" t="inlineStr">
        <is>
          <t>todo</t>
        </is>
      </c>
      <c r="Z106">
        <f>(M106*Weights!$B$2) + (MIN(Q106,Weights!$B$5)*Weights!$B$3*(W106/100)*Weights!$B$4)</f>
        <v/>
      </c>
      <c r="AA106">
        <f>IF(Z106= ,,RANK.EQ({pri_col_letter}{r},{pri_range},0))</f>
        <v/>
      </c>
    </row>
    <row r="107">
      <c r="A107" t="inlineStr">
        <is>
          <t>Goodr</t>
        </is>
      </c>
      <c r="B107" t="n">
        <v>2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I107" t="n">
        <v>0</v>
      </c>
      <c r="J107" t="n">
        <v>0.5</v>
      </c>
      <c r="K107" t="n">
        <v>0</v>
      </c>
      <c r="L107" t="n">
        <v>0</v>
      </c>
      <c r="M107" t="n">
        <v>21</v>
      </c>
      <c r="N107" t="inlineStr">
        <is>
          <t>Tier 4</t>
        </is>
      </c>
      <c r="O107" t="inlineStr">
        <is>
          <t>Greg Bicksler — VP of Operations; Toni Bianco — Planning Manager</t>
        </is>
      </c>
      <c r="P107" t="inlineStr">
        <is>
          <t>VP of Operations | Planning Manager</t>
        </is>
      </c>
      <c r="Y107" t="inlineStr">
        <is>
          <t>todo</t>
        </is>
      </c>
      <c r="Z107">
        <f>(M107*Weights!$B$2) + (MIN(Q107,Weights!$B$5)*Weights!$B$3*(W107/100)*Weights!$B$4)</f>
        <v/>
      </c>
      <c r="AA107">
        <f>IF(Z107= ,,RANK.EQ({pri_col_letter}{r},{pri_range},0))</f>
        <v/>
      </c>
    </row>
    <row r="108">
      <c r="A108" t="inlineStr">
        <is>
          <t>Hello Fresh</t>
        </is>
      </c>
      <c r="B108" t="n">
        <v>2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21</v>
      </c>
      <c r="N108" t="inlineStr">
        <is>
          <t>Tier 4</t>
        </is>
      </c>
      <c r="O108" t="inlineStr">
        <is>
          <t>Nunzio Di Savino — VP Logistics; Jenna Kirschner — Chief of Staff</t>
        </is>
      </c>
      <c r="P108" t="inlineStr">
        <is>
          <t>VP Logistics | Chief of Staff</t>
        </is>
      </c>
      <c r="Y108" t="inlineStr">
        <is>
          <t>todo</t>
        </is>
      </c>
      <c r="Z108">
        <f>(M108*Weights!$B$2) + (MIN(Q108,Weights!$B$5)*Weights!$B$3*(W108/100)*Weights!$B$4)</f>
        <v/>
      </c>
      <c r="AA108">
        <f>IF(Z108= ,,RANK.EQ({pri_col_letter}{r},{pri_range},0))</f>
        <v/>
      </c>
    </row>
    <row r="109">
      <c r="A109" t="inlineStr">
        <is>
          <t>Huckberry</t>
        </is>
      </c>
      <c r="B109" t="n">
        <v>2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I109" t="n">
        <v>0</v>
      </c>
      <c r="J109" t="n">
        <v>0.5</v>
      </c>
      <c r="K109" t="n">
        <v>0</v>
      </c>
      <c r="L109" t="n">
        <v>0</v>
      </c>
      <c r="M109" t="n">
        <v>21</v>
      </c>
      <c r="N109" t="inlineStr">
        <is>
          <t>Tier 4</t>
        </is>
      </c>
      <c r="O109" t="inlineStr">
        <is>
          <t>Nick Meister — VP, Operations; Ben Strand — Manager</t>
        </is>
      </c>
      <c r="P109" t="inlineStr">
        <is>
          <t>VP, Operations | Manager</t>
        </is>
      </c>
      <c r="Y109" t="inlineStr">
        <is>
          <t>todo</t>
        </is>
      </c>
      <c r="Z109">
        <f>(M109*Weights!$B$2) + (MIN(Q109,Weights!$B$5)*Weights!$B$3*(W109/100)*Weights!$B$4)</f>
        <v/>
      </c>
      <c r="AA109">
        <f>IF(Z109= ,,RANK.EQ({pri_col_letter}{r},{pri_range},0))</f>
        <v/>
      </c>
    </row>
    <row r="110">
      <c r="A110" t="inlineStr">
        <is>
          <t>Joffroy</t>
        </is>
      </c>
      <c r="B110" t="n">
        <v>2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I110" t="n">
        <v>0</v>
      </c>
      <c r="J110" t="n">
        <v>0.5</v>
      </c>
      <c r="K110" t="n">
        <v>0</v>
      </c>
      <c r="L110" t="n">
        <v>0</v>
      </c>
      <c r="M110" t="n">
        <v>21</v>
      </c>
      <c r="N110" t="inlineStr">
        <is>
          <t>Tier 4</t>
        </is>
      </c>
      <c r="O110" t="inlineStr">
        <is>
          <t>Mauricio Diaz — Head of Logistics; Eduardo Joffroy — CEO</t>
        </is>
      </c>
      <c r="P110" t="inlineStr">
        <is>
          <t>Head of Logistics | CEO</t>
        </is>
      </c>
      <c r="Y110" t="inlineStr">
        <is>
          <t>todo</t>
        </is>
      </c>
      <c r="Z110">
        <f>(M110*Weights!$B$2) + (MIN(Q110,Weights!$B$5)*Weights!$B$3*(W110/100)*Weights!$B$4)</f>
        <v/>
      </c>
      <c r="AA110">
        <f>IF(Z110= ,,RANK.EQ({pri_col_letter}{r},{pri_range},0))</f>
        <v/>
      </c>
    </row>
    <row r="111">
      <c r="A111" t="inlineStr">
        <is>
          <t>MetaLearner</t>
        </is>
      </c>
      <c r="B111" t="n">
        <v>2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I111" t="n">
        <v>0</v>
      </c>
      <c r="J111" t="n">
        <v>0.5</v>
      </c>
      <c r="K111" t="n">
        <v>0</v>
      </c>
      <c r="L111" t="n">
        <v>0</v>
      </c>
      <c r="M111" t="n">
        <v>21</v>
      </c>
      <c r="N111" t="inlineStr">
        <is>
          <t>Tier 4</t>
        </is>
      </c>
      <c r="O111" t="inlineStr">
        <is>
          <t>Jose Lama — Head of Operations; Kevin Good — CEO</t>
        </is>
      </c>
      <c r="P111" t="inlineStr">
        <is>
          <t>Head of Operations | CEO</t>
        </is>
      </c>
      <c r="Y111" t="inlineStr">
        <is>
          <t>todo</t>
        </is>
      </c>
      <c r="Z111">
        <f>(M111*Weights!$B$2) + (MIN(Q111,Weights!$B$5)*Weights!$B$3*(W111/100)*Weights!$B$4)</f>
        <v/>
      </c>
      <c r="AA111">
        <f>IF(Z111= ,,RANK.EQ({pri_col_letter}{r},{pri_range},0))</f>
        <v/>
      </c>
    </row>
    <row r="112">
      <c r="A112" t="inlineStr">
        <is>
          <t>Midmo Inc</t>
        </is>
      </c>
      <c r="B112" t="n">
        <v>2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I112" t="n">
        <v>0</v>
      </c>
      <c r="J112" t="n">
        <v>0.5</v>
      </c>
      <c r="K112" t="n">
        <v>0</v>
      </c>
      <c r="L112" t="n">
        <v>0</v>
      </c>
      <c r="M112" t="n">
        <v>21</v>
      </c>
      <c r="N112" t="inlineStr">
        <is>
          <t>Tier 4</t>
        </is>
      </c>
      <c r="O112" t="inlineStr">
        <is>
          <t>Jeremy Linder — Head of Strategic Operations; Gelika Bücker — Head of Partnerships</t>
        </is>
      </c>
      <c r="P112" t="inlineStr">
        <is>
          <t>Head of Strategic Operations | Head of Partnerships</t>
        </is>
      </c>
      <c r="Y112" t="inlineStr">
        <is>
          <t>todo</t>
        </is>
      </c>
      <c r="Z112">
        <f>(M112*Weights!$B$2) + (MIN(Q112,Weights!$B$5)*Weights!$B$3*(W112/100)*Weights!$B$4)</f>
        <v/>
      </c>
      <c r="AA112">
        <f>IF(Z112= ,,RANK.EQ({pri_col_letter}{r},{pri_range},0))</f>
        <v/>
      </c>
    </row>
    <row r="113">
      <c r="A113" t="inlineStr">
        <is>
          <t>NMFTA</t>
        </is>
      </c>
      <c r="B113" t="n">
        <v>2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I113" t="n">
        <v>0</v>
      </c>
      <c r="J113" t="n">
        <v>0.5</v>
      </c>
      <c r="K113" t="n">
        <v>0</v>
      </c>
      <c r="L113" t="n">
        <v>0</v>
      </c>
      <c r="M113" t="n">
        <v>21</v>
      </c>
      <c r="N113" t="inlineStr">
        <is>
          <t>Tier 4</t>
        </is>
      </c>
      <c r="O113" t="inlineStr">
        <is>
          <t>Keith Peterson — VP Operations; Joe Ohr — COO</t>
        </is>
      </c>
      <c r="P113" t="inlineStr">
        <is>
          <t>VP Operations | COO</t>
        </is>
      </c>
      <c r="Y113" t="inlineStr">
        <is>
          <t>todo</t>
        </is>
      </c>
      <c r="Z113">
        <f>(M113*Weights!$B$2) + (MIN(Q113,Weights!$B$5)*Weights!$B$3*(W113/100)*Weights!$B$4)</f>
        <v/>
      </c>
      <c r="AA113">
        <f>IF(Z113= ,,RANK.EQ({pri_col_letter}{r},{pri_range},0))</f>
        <v/>
      </c>
    </row>
    <row r="114">
      <c r="A114" t="inlineStr">
        <is>
          <t>Novo Logistics</t>
        </is>
      </c>
      <c r="B114" t="n">
        <v>2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I114" t="n">
        <v>0</v>
      </c>
      <c r="J114" t="n">
        <v>0.5</v>
      </c>
      <c r="K114" t="n">
        <v>0</v>
      </c>
      <c r="L114" t="n">
        <v>0</v>
      </c>
      <c r="M114" t="n">
        <v>21</v>
      </c>
      <c r="N114" t="inlineStr">
        <is>
          <t>Tier 4</t>
        </is>
      </c>
      <c r="O114" t="inlineStr">
        <is>
          <t>Jeff Hiott — VP of Operations; Greg Younghans — President</t>
        </is>
      </c>
      <c r="P114" t="inlineStr">
        <is>
          <t>VP of Operations | President</t>
        </is>
      </c>
      <c r="Y114" t="inlineStr">
        <is>
          <t>todo</t>
        </is>
      </c>
      <c r="Z114">
        <f>(M114*Weights!$B$2) + (MIN(Q114,Weights!$B$5)*Weights!$B$3*(W114/100)*Weights!$B$4)</f>
        <v/>
      </c>
      <c r="AA114">
        <f>IF(Z114= ,,RANK.EQ({pri_col_letter}{r},{pri_range},0))</f>
        <v/>
      </c>
    </row>
    <row r="115">
      <c r="A115" t="inlineStr">
        <is>
          <t>Our Serviceworks</t>
        </is>
      </c>
      <c r="B115" t="n">
        <v>2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I115" t="n">
        <v>0</v>
      </c>
      <c r="J115" t="n">
        <v>0.5</v>
      </c>
      <c r="K115" t="n">
        <v>0</v>
      </c>
      <c r="L115" t="n">
        <v>0</v>
      </c>
      <c r="M115" t="n">
        <v>21</v>
      </c>
      <c r="N115" t="inlineStr">
        <is>
          <t>Tier 4</t>
        </is>
      </c>
      <c r="O115" t="inlineStr">
        <is>
          <t>Cindy Ogden Angeli — VP, Operations; Michelle Harris — President and CEO</t>
        </is>
      </c>
      <c r="P115" t="inlineStr">
        <is>
          <t>VP, Operations | President and CEO</t>
        </is>
      </c>
      <c r="Y115" t="inlineStr">
        <is>
          <t>todo</t>
        </is>
      </c>
      <c r="Z115">
        <f>(M115*Weights!$B$2) + (MIN(Q115,Weights!$B$5)*Weights!$B$3*(W115/100)*Weights!$B$4)</f>
        <v/>
      </c>
      <c r="AA115">
        <f>IF(Z115= ,,RANK.EQ({pri_col_letter}{r},{pri_range},0))</f>
        <v/>
      </c>
    </row>
    <row r="116">
      <c r="A116" t="inlineStr">
        <is>
          <t>Scout Freight</t>
        </is>
      </c>
      <c r="B116" t="n">
        <v>2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I116" t="n">
        <v>0</v>
      </c>
      <c r="J116" t="n">
        <v>0.5</v>
      </c>
      <c r="K116" t="n">
        <v>0</v>
      </c>
      <c r="L116" t="n">
        <v>0</v>
      </c>
      <c r="M116" t="n">
        <v>21</v>
      </c>
      <c r="N116" t="inlineStr">
        <is>
          <t>Tier 4</t>
        </is>
      </c>
      <c r="O116" t="inlineStr">
        <is>
          <t>David Bramlett — Head of Operations; George Yates — CEO</t>
        </is>
      </c>
      <c r="P116" t="inlineStr">
        <is>
          <t>Head of Operations | CEO</t>
        </is>
      </c>
      <c r="Y116" t="inlineStr">
        <is>
          <t>todo</t>
        </is>
      </c>
      <c r="Z116">
        <f>(M116*Weights!$B$2) + (MIN(Q116,Weights!$B$5)*Weights!$B$3*(W116/100)*Weights!$B$4)</f>
        <v/>
      </c>
      <c r="AA116">
        <f>IF(Z116= ,,RANK.EQ({pri_col_letter}{r},{pri_range},0))</f>
        <v/>
      </c>
    </row>
    <row r="117">
      <c r="A117" t="inlineStr">
        <is>
          <t>Softtek</t>
        </is>
      </c>
      <c r="B117" t="n">
        <v>2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I117" t="n">
        <v>0</v>
      </c>
      <c r="J117" t="n">
        <v>0.5</v>
      </c>
      <c r="K117" t="n">
        <v>0</v>
      </c>
      <c r="L117" t="n">
        <v>0</v>
      </c>
      <c r="M117" t="n">
        <v>21</v>
      </c>
      <c r="N117" t="inlineStr">
        <is>
          <t>Tier 4</t>
        </is>
      </c>
      <c r="O117" t="inlineStr">
        <is>
          <t>Gustavo Carrillo — VP Transportation and Logistics; Damian De La Garza — Client Innovation Executive</t>
        </is>
      </c>
      <c r="P117" t="inlineStr">
        <is>
          <t>VP Transportation and Logistics | Client Innovation Executive</t>
        </is>
      </c>
      <c r="Y117" t="inlineStr">
        <is>
          <t>todo</t>
        </is>
      </c>
      <c r="Z117">
        <f>(M117*Weights!$B$2) + (MIN(Q117,Weights!$B$5)*Weights!$B$3*(W117/100)*Weights!$B$4)</f>
        <v/>
      </c>
      <c r="AA117">
        <f>IF(Z117= ,,RANK.EQ({pri_col_letter}{r},{pri_range},0))</f>
        <v/>
      </c>
    </row>
    <row r="118">
      <c r="A118" t="inlineStr">
        <is>
          <t>SphereWMS</t>
        </is>
      </c>
      <c r="B118" t="n">
        <v>2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I118" t="n">
        <v>0</v>
      </c>
      <c r="J118" t="n">
        <v>0.5</v>
      </c>
      <c r="K118" t="n">
        <v>0</v>
      </c>
      <c r="L118" t="n">
        <v>0</v>
      </c>
      <c r="M118" t="n">
        <v>21</v>
      </c>
      <c r="N118" t="inlineStr">
        <is>
          <t>Tier 4</t>
        </is>
      </c>
      <c r="O118" t="inlineStr">
        <is>
          <t>Chris Hayes — Head of Operations; Charles Pearson — President</t>
        </is>
      </c>
      <c r="P118" t="inlineStr">
        <is>
          <t>Head of Operations | President</t>
        </is>
      </c>
      <c r="Y118" t="inlineStr">
        <is>
          <t>todo</t>
        </is>
      </c>
      <c r="Z118">
        <f>(M118*Weights!$B$2) + (MIN(Q118,Weights!$B$5)*Weights!$B$3*(W118/100)*Weights!$B$4)</f>
        <v/>
      </c>
      <c r="AA118">
        <f>IF(Z118= ,,RANK.EQ({pri_col_letter}{r},{pri_range},0))</f>
        <v/>
      </c>
    </row>
    <row r="119">
      <c r="A119" t="inlineStr">
        <is>
          <t>Sun Pharma</t>
        </is>
      </c>
      <c r="B119" t="n">
        <v>2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I119" t="n">
        <v>0</v>
      </c>
      <c r="J119" t="n">
        <v>0.5</v>
      </c>
      <c r="K119" t="n">
        <v>0</v>
      </c>
      <c r="L119" t="n">
        <v>0</v>
      </c>
      <c r="M119" t="n">
        <v>21</v>
      </c>
      <c r="N119" t="inlineStr">
        <is>
          <t>Tier 4</t>
        </is>
      </c>
      <c r="O119" t="inlineStr">
        <is>
          <t>Vickram Srivastava — Head of Supply Chain - North America; Marcos Campos — Head of SCM</t>
        </is>
      </c>
      <c r="P119" t="inlineStr">
        <is>
          <t>Head of Supply Chain - North America | Head of SCM</t>
        </is>
      </c>
      <c r="Y119" t="inlineStr">
        <is>
          <t>todo</t>
        </is>
      </c>
      <c r="Z119">
        <f>(M119*Weights!$B$2) + (MIN(Q119,Weights!$B$5)*Weights!$B$3*(W119/100)*Weights!$B$4)</f>
        <v/>
      </c>
      <c r="AA119">
        <f>IF(Z119= ,,RANK.EQ({pri_col_letter}{r},{pri_range},0))</f>
        <v/>
      </c>
    </row>
    <row r="120">
      <c r="A120" t="inlineStr">
        <is>
          <t>Transcard</t>
        </is>
      </c>
      <c r="B120" t="n">
        <v>2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I120" t="n">
        <v>0</v>
      </c>
      <c r="J120" t="n">
        <v>0.5</v>
      </c>
      <c r="K120" t="n">
        <v>0</v>
      </c>
      <c r="L120" t="n">
        <v>0</v>
      </c>
      <c r="M120" t="n">
        <v>21</v>
      </c>
      <c r="N120" t="inlineStr">
        <is>
          <t>Tier 4</t>
        </is>
      </c>
      <c r="O120" t="inlineStr">
        <is>
          <t>John Garden — EVP ‑ Transportation &amp; Trade; James Scott — Director of Strategic Account Management</t>
        </is>
      </c>
      <c r="P120" t="inlineStr">
        <is>
          <t>EVP ‑ Transportation &amp; Trade | Director of Strategic Account Management</t>
        </is>
      </c>
      <c r="Y120" t="inlineStr">
        <is>
          <t>todo</t>
        </is>
      </c>
      <c r="Z120">
        <f>(M120*Weights!$B$2) + (MIN(Q120,Weights!$B$5)*Weights!$B$3*(W120/100)*Weights!$B$4)</f>
        <v/>
      </c>
      <c r="AA120">
        <f>IF(Z120= ,,RANK.EQ({pri_col_letter}{r},{pri_range},0))</f>
        <v/>
      </c>
    </row>
    <row r="121">
      <c r="A121" t="inlineStr">
        <is>
          <t>Vertiv</t>
        </is>
      </c>
      <c r="B121" t="n">
        <v>2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I121" t="n">
        <v>0</v>
      </c>
      <c r="J121" t="n">
        <v>0.5</v>
      </c>
      <c r="K121" t="n">
        <v>0</v>
      </c>
      <c r="L121" t="n">
        <v>0</v>
      </c>
      <c r="M121" t="n">
        <v>21</v>
      </c>
      <c r="N121" t="inlineStr">
        <is>
          <t>Tier 4</t>
        </is>
      </c>
      <c r="O121" t="inlineStr">
        <is>
          <t>Anders Karlborg — EVP, Manufacturing, Logistics &amp; Operational Excellence; Stella Yuan — Vice President SIOP and Global Planning</t>
        </is>
      </c>
      <c r="P121" t="inlineStr">
        <is>
          <t>EVP, Manufacturing, Logistics &amp; Operational Excellence | Vice President SIOP and Global Planning</t>
        </is>
      </c>
      <c r="Y121" t="inlineStr">
        <is>
          <t>todo</t>
        </is>
      </c>
      <c r="Z121">
        <f>(M121*Weights!$B$2) + (MIN(Q121,Weights!$B$5)*Weights!$B$3*(W121/100)*Weights!$B$4)</f>
        <v/>
      </c>
      <c r="AA121">
        <f>IF(Z121= ,,RANK.EQ({pri_col_letter}{r},{pri_range},0))</f>
        <v/>
      </c>
    </row>
    <row r="122">
      <c r="A122" t="inlineStr">
        <is>
          <t>myMechanic, Inc.</t>
        </is>
      </c>
      <c r="B122" t="n">
        <v>2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I122" t="n">
        <v>0</v>
      </c>
      <c r="J122" t="n">
        <v>0.5</v>
      </c>
      <c r="K122" t="n">
        <v>0</v>
      </c>
      <c r="L122" t="n">
        <v>0</v>
      </c>
      <c r="M122" t="n">
        <v>21</v>
      </c>
      <c r="N122" t="inlineStr">
        <is>
          <t>Tier 4</t>
        </is>
      </c>
      <c r="O122" t="inlineStr">
        <is>
          <t>Vic Zdor — VP of Operations; Alex Bezzubets — CEO</t>
        </is>
      </c>
      <c r="P122" t="inlineStr">
        <is>
          <t>VP of Operations | CEO</t>
        </is>
      </c>
      <c r="Y122" t="inlineStr">
        <is>
          <t>todo</t>
        </is>
      </c>
      <c r="Z122">
        <f>(M122*Weights!$B$2) + (MIN(Q122,Weights!$B$5)*Weights!$B$3*(W122/100)*Weights!$B$4)</f>
        <v/>
      </c>
      <c r="AA122">
        <f>IF(Z122= ,,RANK.EQ({pri_col_letter}{r},{pri_range},0))</f>
        <v/>
      </c>
    </row>
    <row r="123">
      <c r="A123" t="inlineStr">
        <is>
          <t>Armada Supply Chain Solutions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5702000000</v>
      </c>
      <c r="I123" t="n">
        <v>0</v>
      </c>
      <c r="J123" t="n">
        <v>0</v>
      </c>
      <c r="K123" t="n">
        <v>0</v>
      </c>
      <c r="L123" t="n">
        <v>0</v>
      </c>
      <c r="M123" t="n">
        <v>21</v>
      </c>
      <c r="N123" t="inlineStr">
        <is>
          <t>Tier 4</t>
        </is>
      </c>
      <c r="O123" t="inlineStr">
        <is>
          <t>Joe Wildes — Chief Innovation Officer</t>
        </is>
      </c>
      <c r="P123" t="inlineStr">
        <is>
          <t>Chief Innovation Officer</t>
        </is>
      </c>
      <c r="Y123" t="inlineStr">
        <is>
          <t>todo</t>
        </is>
      </c>
      <c r="Z123">
        <f>(M123*Weights!$B$2) + (MIN(Q123,Weights!$B$5)*Weights!$B$3*(W123/100)*Weights!$B$4)</f>
        <v/>
      </c>
      <c r="AA123">
        <f>IF(Z123= ,,RANK.EQ({pri_col_letter}{r},{pri_range},0))</f>
        <v/>
      </c>
    </row>
    <row r="124">
      <c r="A124" t="inlineStr">
        <is>
          <t>Estes Express Lines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5100000000</v>
      </c>
      <c r="I124" t="n">
        <v>0</v>
      </c>
      <c r="J124" t="n">
        <v>0</v>
      </c>
      <c r="K124" t="n">
        <v>0</v>
      </c>
      <c r="L124" t="n">
        <v>0</v>
      </c>
      <c r="M124" t="n">
        <v>21</v>
      </c>
      <c r="N124" t="inlineStr">
        <is>
          <t>Tier 4</t>
        </is>
      </c>
      <c r="O124" t="inlineStr">
        <is>
          <t>Todd Florence — CIO</t>
        </is>
      </c>
      <c r="P124" t="inlineStr">
        <is>
          <t>CIO</t>
        </is>
      </c>
      <c r="Y124" t="inlineStr">
        <is>
          <t>todo</t>
        </is>
      </c>
      <c r="Z124">
        <f>(M124*Weights!$B$2) + (MIN(Q124,Weights!$B$5)*Weights!$B$3*(W124/100)*Weights!$B$4)</f>
        <v/>
      </c>
      <c r="AA124">
        <f>IF(Z124= ,,RANK.EQ({pri_col_letter}{r},{pri_range},0))</f>
        <v/>
      </c>
    </row>
    <row r="125">
      <c r="A125" t="inlineStr">
        <is>
          <t>Lineage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5340000000</v>
      </c>
      <c r="I125" t="n">
        <v>0</v>
      </c>
      <c r="J125" t="n">
        <v>0</v>
      </c>
      <c r="K125" t="n">
        <v>0</v>
      </c>
      <c r="L125" t="n">
        <v>0</v>
      </c>
      <c r="M125" t="n">
        <v>21</v>
      </c>
      <c r="N125" t="inlineStr">
        <is>
          <t>Tier 4</t>
        </is>
      </c>
      <c r="O125" t="inlineStr">
        <is>
          <t>Jeff Rivera — Global Chief Operating Officer</t>
        </is>
      </c>
      <c r="P125" t="inlineStr">
        <is>
          <t>Global Chief Operating Officer</t>
        </is>
      </c>
      <c r="Y125" t="inlineStr">
        <is>
          <t>todo</t>
        </is>
      </c>
      <c r="Z125">
        <f>(M125*Weights!$B$2) + (MIN(Q125,Weights!$B$5)*Weights!$B$3*(W125/100)*Weights!$B$4)</f>
        <v/>
      </c>
      <c r="AA125">
        <f>IF(Z125= ,,RANK.EQ({pri_col_letter}{r},{pri_range},0))</f>
        <v/>
      </c>
    </row>
    <row r="126">
      <c r="A126" t="inlineStr">
        <is>
          <t>Manhattan Associates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1042352000</v>
      </c>
      <c r="I126" t="n">
        <v>1</v>
      </c>
      <c r="J126" t="n">
        <v>0</v>
      </c>
      <c r="K126" t="n">
        <v>0</v>
      </c>
      <c r="L126" t="n">
        <v>0</v>
      </c>
      <c r="M126" t="n">
        <v>21</v>
      </c>
      <c r="N126" t="inlineStr">
        <is>
          <t>Tier 4</t>
        </is>
      </c>
      <c r="O126" t="inlineStr">
        <is>
          <t>Bryant Smith — Director of Product Management</t>
        </is>
      </c>
      <c r="P126" t="inlineStr">
        <is>
          <t>Director of Product Management</t>
        </is>
      </c>
      <c r="Y126" t="inlineStr">
        <is>
          <t>todo</t>
        </is>
      </c>
      <c r="Z126">
        <f>(M126*Weights!$B$2) + (MIN(Q126,Weights!$B$5)*Weights!$B$3*(W126/100)*Weights!$B$4)</f>
        <v/>
      </c>
      <c r="AA126">
        <f>IF(Z126= ,,RANK.EQ({pri_col_letter}{r},{pri_range},0))</f>
        <v/>
      </c>
    </row>
    <row r="127">
      <c r="A127" t="inlineStr">
        <is>
          <t>New Balance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7800000000</v>
      </c>
      <c r="I127" t="n">
        <v>0</v>
      </c>
      <c r="J127" t="n">
        <v>0</v>
      </c>
      <c r="K127" t="n">
        <v>0</v>
      </c>
      <c r="L127" t="n">
        <v>0</v>
      </c>
      <c r="M127" t="n">
        <v>21</v>
      </c>
      <c r="N127" t="inlineStr">
        <is>
          <t>Tier 4</t>
        </is>
      </c>
      <c r="O127" t="inlineStr">
        <is>
          <t>Dave Wheeler — Chief Operating Officer</t>
        </is>
      </c>
      <c r="P127" t="inlineStr">
        <is>
          <t>Chief Operating Officer</t>
        </is>
      </c>
      <c r="Y127" t="inlineStr">
        <is>
          <t>todo</t>
        </is>
      </c>
      <c r="Z127">
        <f>(M127*Weights!$B$2) + (MIN(Q127,Weights!$B$5)*Weights!$B$3*(W127/100)*Weights!$B$4)</f>
        <v/>
      </c>
      <c r="AA127">
        <f>IF(Z127= ,,RANK.EQ({pri_col_letter}{r},{pri_range},0))</f>
        <v/>
      </c>
    </row>
    <row r="128">
      <c r="A128" t="inlineStr">
        <is>
          <t>Energy Transportation Group</t>
        </is>
      </c>
      <c r="B128" t="n">
        <v>5</v>
      </c>
      <c r="C128" t="n">
        <v>1</v>
      </c>
      <c r="D128" t="n">
        <v>1</v>
      </c>
      <c r="E128" t="n">
        <v>0</v>
      </c>
      <c r="F128" t="n">
        <v>2</v>
      </c>
      <c r="G128" t="n">
        <v>0</v>
      </c>
      <c r="I128" t="n">
        <v>2</v>
      </c>
      <c r="J128" t="n">
        <v>0.2</v>
      </c>
      <c r="K128" t="n">
        <v>0</v>
      </c>
      <c r="L128" t="n">
        <v>0</v>
      </c>
      <c r="M128" t="n">
        <v>20</v>
      </c>
      <c r="N128" t="inlineStr">
        <is>
          <t>Tier 4</t>
        </is>
      </c>
      <c r="O128" t="inlineStr">
        <is>
          <t>David Grassi — Executive Vice President of Commercial Operations; Michael Cinquino — President &amp; CEO; Shawn Girard — CEO &amp; CCO; Alex Ristevski — Vice President of Business Development; Joe Laviolette — Vice President of Business Development</t>
        </is>
      </c>
      <c r="P128" t="inlineStr">
        <is>
          <t>Executive Vice President of Commercial Operations | President &amp; CEO | CEO &amp; CCO</t>
        </is>
      </c>
      <c r="Y128" t="inlineStr">
        <is>
          <t>todo</t>
        </is>
      </c>
      <c r="Z128">
        <f>(M128*Weights!$B$2) + (MIN(Q128,Weights!$B$5)*Weights!$B$3*(W128/100)*Weights!$B$4)</f>
        <v/>
      </c>
      <c r="AA128">
        <f>IF(Z128= ,,RANK.EQ({pri_col_letter}{r},{pri_range},0))</f>
        <v/>
      </c>
    </row>
    <row r="129">
      <c r="A129" t="inlineStr">
        <is>
          <t>Price Industries</t>
        </is>
      </c>
      <c r="B129" t="n">
        <v>4</v>
      </c>
      <c r="C129" t="n">
        <v>0</v>
      </c>
      <c r="D129" t="n">
        <v>4</v>
      </c>
      <c r="E129" t="n">
        <v>0</v>
      </c>
      <c r="F129" t="n">
        <v>0</v>
      </c>
      <c r="G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20</v>
      </c>
      <c r="N129" t="inlineStr">
        <is>
          <t>Tier 4</t>
        </is>
      </c>
      <c r="O129" t="inlineStr">
        <is>
          <t>Justen Collins — Director of Logistics; Kyle Donnelly — Corporate Logistics Manager; Chris Bloyd — Logistics Data Analyst; Gagant Thind — Director of Trade Compliance &amp; Logistics</t>
        </is>
      </c>
      <c r="P129" t="inlineStr">
        <is>
          <t>Director of Logistics | Corporate Logistics Manager | Logistics Data Analyst</t>
        </is>
      </c>
      <c r="Y129" t="inlineStr">
        <is>
          <t>todo</t>
        </is>
      </c>
      <c r="Z129">
        <f>(M129*Weights!$B$2) + (MIN(Q129,Weights!$B$5)*Weights!$B$3*(W129/100)*Weights!$B$4)</f>
        <v/>
      </c>
      <c r="AA129">
        <f>IF(Z129= ,,RANK.EQ({pri_col_letter}{r},{pri_range},0))</f>
        <v/>
      </c>
    </row>
    <row r="130">
      <c r="A130" t="inlineStr">
        <is>
          <t>Cobot</t>
        </is>
      </c>
      <c r="B130" t="n">
        <v>3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I130" t="n">
        <v>2</v>
      </c>
      <c r="J130" t="n">
        <v>0.3333333333333333</v>
      </c>
      <c r="K130" t="n">
        <v>0</v>
      </c>
      <c r="L130" t="n">
        <v>0</v>
      </c>
      <c r="M130" t="n">
        <v>20</v>
      </c>
      <c r="N130" t="inlineStr">
        <is>
          <t>Tier 4</t>
        </is>
      </c>
      <c r="O130" t="inlineStr">
        <is>
          <t>James Dietrich — Head of Logistics &amp; Enterprise Sales; Jon Battles — VP of Technology; Taylor Richardson — Customer Solutions Engineer</t>
        </is>
      </c>
      <c r="P130" t="inlineStr">
        <is>
          <t>Head of Logistics &amp; Enterprise Sales | VP of Technology | Customer Solutions Engineer</t>
        </is>
      </c>
      <c r="Y130" t="inlineStr">
        <is>
          <t>todo</t>
        </is>
      </c>
      <c r="Z130">
        <f>(M130*Weights!$B$2) + (MIN(Q130,Weights!$B$5)*Weights!$B$3*(W130/100)*Weights!$B$4)</f>
        <v/>
      </c>
      <c r="AA130">
        <f>IF(Z130= ,,RANK.EQ({pri_col_letter}{r},{pri_range},0))</f>
        <v/>
      </c>
    </row>
    <row r="131">
      <c r="A131" t="inlineStr">
        <is>
          <t>Flock Freight</t>
        </is>
      </c>
      <c r="B131" t="n">
        <v>3</v>
      </c>
      <c r="C131" t="n">
        <v>1</v>
      </c>
      <c r="D131" t="n">
        <v>2</v>
      </c>
      <c r="E131" t="n">
        <v>0</v>
      </c>
      <c r="F131" t="n">
        <v>3</v>
      </c>
      <c r="G131" t="n">
        <v>0</v>
      </c>
      <c r="I131" t="n">
        <v>3</v>
      </c>
      <c r="J131" t="n">
        <v>0.6666666666666666</v>
      </c>
      <c r="K131" t="n">
        <v>0</v>
      </c>
      <c r="L131" t="n">
        <v>0</v>
      </c>
      <c r="M131" t="n">
        <v>20</v>
      </c>
      <c r="N131" t="inlineStr">
        <is>
          <t>Tier 4</t>
        </is>
      </c>
      <c r="O131" t="inlineStr">
        <is>
          <t>Kevin McMaster — SVP, Customer Success &amp; Operations; Taylor Broderick — Director of Sales &amp; Operations; Michael Munday — Director, Enterprise Sales</t>
        </is>
      </c>
      <c r="P131" t="inlineStr">
        <is>
          <t>SVP, Customer Success &amp; Operations | Director of Sales &amp; Operations | Director, Enterprise Sales</t>
        </is>
      </c>
      <c r="Y131" t="inlineStr">
        <is>
          <t>todo</t>
        </is>
      </c>
      <c r="Z131">
        <f>(M131*Weights!$B$2) + (MIN(Q131,Weights!$B$5)*Weights!$B$3*(W131/100)*Weights!$B$4)</f>
        <v/>
      </c>
      <c r="AA131">
        <f>IF(Z131= ,,RANK.EQ({pri_col_letter}{r},{pri_range},0))</f>
        <v/>
      </c>
    </row>
    <row r="132">
      <c r="A132" t="inlineStr">
        <is>
          <t>RBW Logistics</t>
        </is>
      </c>
      <c r="B132" t="n">
        <v>3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I132" t="n">
        <v>1</v>
      </c>
      <c r="J132" t="n">
        <v>0.3333333333333333</v>
      </c>
      <c r="K132" t="n">
        <v>0</v>
      </c>
      <c r="L132" t="n">
        <v>0</v>
      </c>
      <c r="M132" t="n">
        <v>20</v>
      </c>
      <c r="N132" t="inlineStr">
        <is>
          <t>Tier 4</t>
        </is>
      </c>
      <c r="O132" t="inlineStr">
        <is>
          <t>Tony Huether — VP of Operations; Gregg Bansavage — CIO; Reed Loeffel — Director of Business Development</t>
        </is>
      </c>
      <c r="P132" t="inlineStr">
        <is>
          <t>VP of Operations | CIO | Director of Business Development</t>
        </is>
      </c>
      <c r="Y132" t="inlineStr">
        <is>
          <t>todo</t>
        </is>
      </c>
      <c r="Z132">
        <f>(M132*Weights!$B$2) + (MIN(Q132,Weights!$B$5)*Weights!$B$3*(W132/100)*Weights!$B$4)</f>
        <v/>
      </c>
      <c r="AA132">
        <f>IF(Z132= ,,RANK.EQ({pri_col_letter}{r},{pri_range},0))</f>
        <v/>
      </c>
    </row>
    <row r="133">
      <c r="A133" t="inlineStr">
        <is>
          <t>Triage Partners</t>
        </is>
      </c>
      <c r="B133" t="n">
        <v>3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I133" t="n">
        <v>1</v>
      </c>
      <c r="J133" t="n">
        <v>0.3333333333333333</v>
      </c>
      <c r="K133" t="n">
        <v>0</v>
      </c>
      <c r="L133" t="n">
        <v>0</v>
      </c>
      <c r="M133" t="n">
        <v>20</v>
      </c>
      <c r="N133" t="inlineStr">
        <is>
          <t>Tier 4</t>
        </is>
      </c>
      <c r="O133" t="inlineStr">
        <is>
          <t>Christopher Bleess — VP, Integrated Supply Chain Division; Seana OLeary — Account Manager; Traci Parrish — Director, Business Development</t>
        </is>
      </c>
      <c r="P133" t="inlineStr">
        <is>
          <t>VP, Integrated Supply Chain Division | Account Manager | Director, Business Development</t>
        </is>
      </c>
      <c r="Y133" t="inlineStr">
        <is>
          <t>todo</t>
        </is>
      </c>
      <c r="Z133">
        <f>(M133*Weights!$B$2) + (MIN(Q133,Weights!$B$5)*Weights!$B$3*(W133/100)*Weights!$B$4)</f>
        <v/>
      </c>
      <c r="AA133">
        <f>IF(Z133= ,,RANK.EQ({pri_col_letter}{r},{pri_range},0))</f>
        <v/>
      </c>
    </row>
    <row r="134">
      <c r="A134" t="inlineStr">
        <is>
          <t>arnata</t>
        </is>
      </c>
      <c r="B134" t="n">
        <v>3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I134" t="n">
        <v>1</v>
      </c>
      <c r="J134" t="n">
        <v>0.3333333333333333</v>
      </c>
      <c r="K134" t="n">
        <v>0</v>
      </c>
      <c r="L134" t="n">
        <v>0</v>
      </c>
      <c r="M134" t="n">
        <v>20</v>
      </c>
      <c r="N134" t="inlineStr">
        <is>
          <t>Tier 4</t>
        </is>
      </c>
      <c r="O134" t="inlineStr">
        <is>
          <t>Elim Kuk — Head of Operations; Georgy Melkonyan — CEO &amp; Founder; Vlad Arakeylan — GTM</t>
        </is>
      </c>
      <c r="P134" t="inlineStr">
        <is>
          <t>Head of Operations | CEO &amp; Founder | GTM</t>
        </is>
      </c>
      <c r="Y134" t="inlineStr">
        <is>
          <t>todo</t>
        </is>
      </c>
      <c r="Z134">
        <f>(M134*Weights!$B$2) + (MIN(Q134,Weights!$B$5)*Weights!$B$3*(W134/100)*Weights!$B$4)</f>
        <v/>
      </c>
      <c r="AA134">
        <f>IF(Z134= ,,RANK.EQ({pri_col_letter}{r},{pri_range},0))</f>
        <v/>
      </c>
    </row>
    <row r="135">
      <c r="A135" t="inlineStr">
        <is>
          <t>7-Eleven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20</v>
      </c>
      <c r="N135" t="inlineStr">
        <is>
          <t>Tier 4</t>
        </is>
      </c>
      <c r="O135" t="inlineStr">
        <is>
          <t>Joshua Dolan — SVP Demand Chain &amp; Logistics</t>
        </is>
      </c>
      <c r="P135" t="inlineStr">
        <is>
          <t>SVP Demand Chain &amp; Logistics</t>
        </is>
      </c>
      <c r="Y135" t="inlineStr">
        <is>
          <t>todo</t>
        </is>
      </c>
      <c r="Z135">
        <f>(M135*Weights!$B$2) + (MIN(Q135,Weights!$B$5)*Weights!$B$3*(W135/100)*Weights!$B$4)</f>
        <v/>
      </c>
      <c r="AA135">
        <f>IF(Z135= ,,RANK.EQ({pri_col_letter}{r},{pri_range},0))</f>
        <v/>
      </c>
    </row>
    <row r="136">
      <c r="A136" t="inlineStr">
        <is>
          <t>Acer</t>
        </is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20</v>
      </c>
      <c r="N136" t="inlineStr">
        <is>
          <t>Tier 4</t>
        </is>
      </c>
      <c r="O136" t="inlineStr">
        <is>
          <t>Joyce Cruts — VP Supply Chain &amp; Operations</t>
        </is>
      </c>
      <c r="P136" t="inlineStr">
        <is>
          <t>VP Supply Chain &amp; Operations</t>
        </is>
      </c>
      <c r="Y136" t="inlineStr">
        <is>
          <t>todo</t>
        </is>
      </c>
      <c r="Z136">
        <f>(M136*Weights!$B$2) + (MIN(Q136,Weights!$B$5)*Weights!$B$3*(W136/100)*Weights!$B$4)</f>
        <v/>
      </c>
      <c r="AA136">
        <f>IF(Z136= ,,RANK.EQ({pri_col_letter}{r},{pri_range},0))</f>
        <v/>
      </c>
    </row>
    <row r="137">
      <c r="A137" t="inlineStr">
        <is>
          <t>Airbus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20</v>
      </c>
      <c r="N137" t="inlineStr">
        <is>
          <t>Tier 4</t>
        </is>
      </c>
      <c r="O137" t="inlineStr">
        <is>
          <t>Shaneel Kalan — Head of Logistics - Americas</t>
        </is>
      </c>
      <c r="P137" t="inlineStr">
        <is>
          <t>Head of Logistics - Americas</t>
        </is>
      </c>
      <c r="Y137" t="inlineStr">
        <is>
          <t>todo</t>
        </is>
      </c>
      <c r="Z137">
        <f>(M137*Weights!$B$2) + (MIN(Q137,Weights!$B$5)*Weights!$B$3*(W137/100)*Weights!$B$4)</f>
        <v/>
      </c>
      <c r="AA137">
        <f>IF(Z137= ,,RANK.EQ({pri_col_letter}{r},{pri_range},0))</f>
        <v/>
      </c>
    </row>
    <row r="138">
      <c r="A138" t="inlineStr">
        <is>
          <t>Albertsons Technology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20</v>
      </c>
      <c r="N138" t="inlineStr">
        <is>
          <t>Tier 4</t>
        </is>
      </c>
      <c r="O138" t="inlineStr">
        <is>
          <t>Dave Newton — VP Supply Chain Technology</t>
        </is>
      </c>
      <c r="P138" t="inlineStr">
        <is>
          <t>VP Supply Chain Technology</t>
        </is>
      </c>
      <c r="Y138" t="inlineStr">
        <is>
          <t>todo</t>
        </is>
      </c>
      <c r="Z138">
        <f>(M138*Weights!$B$2) + (MIN(Q138,Weights!$B$5)*Weights!$B$3*(W138/100)*Weights!$B$4)</f>
        <v/>
      </c>
      <c r="AA138">
        <f>IF(Z138= ,,RANK.EQ({pri_col_letter}{r},{pri_range},0))</f>
        <v/>
      </c>
    </row>
    <row r="139">
      <c r="A139" t="inlineStr">
        <is>
          <t>Alibaba.com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20</v>
      </c>
      <c r="N139" t="inlineStr">
        <is>
          <t>Tier 4</t>
        </is>
      </c>
      <c r="O139" t="inlineStr">
        <is>
          <t>Yikun Shao — Head of NA Supply Chain</t>
        </is>
      </c>
      <c r="P139" t="inlineStr">
        <is>
          <t>Head of NA Supply Chain</t>
        </is>
      </c>
      <c r="Y139" t="inlineStr">
        <is>
          <t>todo</t>
        </is>
      </c>
      <c r="Z139">
        <f>(M139*Weights!$B$2) + (MIN(Q139,Weights!$B$5)*Weights!$B$3*(W139/100)*Weights!$B$4)</f>
        <v/>
      </c>
      <c r="AA139">
        <f>IF(Z139= ,,RANK.EQ({pri_col_letter}{r},{pri_range},0))</f>
        <v/>
      </c>
    </row>
    <row r="140">
      <c r="A140" t="inlineStr">
        <is>
          <t>Article</t>
        </is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20</v>
      </c>
      <c r="N140" t="inlineStr">
        <is>
          <t>Tier 4</t>
        </is>
      </c>
      <c r="O140" t="inlineStr">
        <is>
          <t>Timothy Melland — Vice President of Logistics</t>
        </is>
      </c>
      <c r="P140" t="inlineStr">
        <is>
          <t>Vice President of Logistics</t>
        </is>
      </c>
      <c r="Y140" t="inlineStr">
        <is>
          <t>todo</t>
        </is>
      </c>
      <c r="Z140">
        <f>(M140*Weights!$B$2) + (MIN(Q140,Weights!$B$5)*Weights!$B$3*(W140/100)*Weights!$B$4)</f>
        <v/>
      </c>
      <c r="AA140">
        <f>IF(Z140= ,,RANK.EQ({pri_col_letter}{r},{pri_range},0))</f>
        <v/>
      </c>
    </row>
    <row r="141">
      <c r="A141" t="inlineStr">
        <is>
          <t>Artizia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20</v>
      </c>
      <c r="N141" t="inlineStr">
        <is>
          <t>Tier 4</t>
        </is>
      </c>
      <c r="O141" t="inlineStr">
        <is>
          <t>Rob Haynes — Chief Supply Chain Officer</t>
        </is>
      </c>
      <c r="P141" t="inlineStr">
        <is>
          <t>Chief Supply Chain Officer</t>
        </is>
      </c>
      <c r="Y141" t="inlineStr">
        <is>
          <t>todo</t>
        </is>
      </c>
      <c r="Z141">
        <f>(M141*Weights!$B$2) + (MIN(Q141,Weights!$B$5)*Weights!$B$3*(W141/100)*Weights!$B$4)</f>
        <v/>
      </c>
      <c r="AA141">
        <f>IF(Z141= ,,RANK.EQ({pri_col_letter}{r},{pri_range},0))</f>
        <v/>
      </c>
    </row>
    <row r="142">
      <c r="A142" t="inlineStr">
        <is>
          <t>Autodoc SE</t>
        </is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20</v>
      </c>
      <c r="N142" t="inlineStr">
        <is>
          <t>Tier 4</t>
        </is>
      </c>
      <c r="O142" t="inlineStr">
        <is>
          <t>Sebastian Bleser — VP Supply Chain</t>
        </is>
      </c>
      <c r="P142" t="inlineStr">
        <is>
          <t>VP Supply Chain</t>
        </is>
      </c>
      <c r="Y142" t="inlineStr">
        <is>
          <t>todo</t>
        </is>
      </c>
      <c r="Z142">
        <f>(M142*Weights!$B$2) + (MIN(Q142,Weights!$B$5)*Weights!$B$3*(W142/100)*Weights!$B$4)</f>
        <v/>
      </c>
      <c r="AA142">
        <f>IF(Z142= ,,RANK.EQ({pri_col_letter}{r},{pri_range},0))</f>
        <v/>
      </c>
    </row>
    <row r="143">
      <c r="A143" t="inlineStr">
        <is>
          <t>BIC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20</v>
      </c>
      <c r="N143" t="inlineStr">
        <is>
          <t>Tier 4</t>
        </is>
      </c>
      <c r="O143" t="inlineStr">
        <is>
          <t>Gary Horsfield — Chief Supply Chain Officer</t>
        </is>
      </c>
      <c r="P143" t="inlineStr">
        <is>
          <t>Chief Supply Chain Officer</t>
        </is>
      </c>
      <c r="Y143" t="inlineStr">
        <is>
          <t>todo</t>
        </is>
      </c>
      <c r="Z143">
        <f>(M143*Weights!$B$2) + (MIN(Q143,Weights!$B$5)*Weights!$B$3*(W143/100)*Weights!$B$4)</f>
        <v/>
      </c>
      <c r="AA143">
        <f>IF(Z143= ,,RANK.EQ({pri_col_letter}{r},{pri_range},0))</f>
        <v/>
      </c>
    </row>
    <row r="144">
      <c r="A144" t="inlineStr">
        <is>
          <t>Babylist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20</v>
      </c>
      <c r="N144" t="inlineStr">
        <is>
          <t>Tier 4</t>
        </is>
      </c>
      <c r="O144" t="inlineStr">
        <is>
          <t>Rick Duley — SVP Supply Chain</t>
        </is>
      </c>
      <c r="P144" t="inlineStr">
        <is>
          <t>SVP Supply Chain</t>
        </is>
      </c>
      <c r="Y144" t="inlineStr">
        <is>
          <t>todo</t>
        </is>
      </c>
      <c r="Z144">
        <f>(M144*Weights!$B$2) + (MIN(Q144,Weights!$B$5)*Weights!$B$3*(W144/100)*Weights!$B$4)</f>
        <v/>
      </c>
      <c r="AA144">
        <f>IF(Z144= ,,RANK.EQ({pri_col_letter}{r},{pri_range},0))</f>
        <v/>
      </c>
    </row>
    <row r="145">
      <c r="A145" t="inlineStr">
        <is>
          <t>Baja Fulfillment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inlineStr">
        <is>
          <t>Tier 4</t>
        </is>
      </c>
      <c r="O145" t="inlineStr">
        <is>
          <t>Vera Ioele — VP of Transportation</t>
        </is>
      </c>
      <c r="P145" t="inlineStr">
        <is>
          <t>VP of Transportation</t>
        </is>
      </c>
      <c r="Y145" t="inlineStr">
        <is>
          <t>todo</t>
        </is>
      </c>
      <c r="Z145">
        <f>(M145*Weights!$B$2) + (MIN(Q145,Weights!$B$5)*Weights!$B$3*(W145/100)*Weights!$B$4)</f>
        <v/>
      </c>
      <c r="AA145">
        <f>IF(Z145= ,,RANK.EQ({pri_col_letter}{r},{pri_range},0))</f>
        <v/>
      </c>
    </row>
    <row r="146">
      <c r="A146" t="inlineStr">
        <is>
          <t>Bird Buddy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20</v>
      </c>
      <c r="N146" t="inlineStr">
        <is>
          <t>Tier 4</t>
        </is>
      </c>
      <c r="O146" t="inlineStr">
        <is>
          <t>Aleksandra Dobnikar — Head of Supply Chain</t>
        </is>
      </c>
      <c r="P146" t="inlineStr">
        <is>
          <t>Head of Supply Chain</t>
        </is>
      </c>
      <c r="Y146" t="inlineStr">
        <is>
          <t>todo</t>
        </is>
      </c>
      <c r="Z146">
        <f>(M146*Weights!$B$2) + (MIN(Q146,Weights!$B$5)*Weights!$B$3*(W146/100)*Weights!$B$4)</f>
        <v/>
      </c>
      <c r="AA146">
        <f>IF(Z146= ,,RANK.EQ({pri_col_letter}{r},{pri_range},0))</f>
        <v/>
      </c>
    </row>
    <row r="147">
      <c r="A147" t="inlineStr">
        <is>
          <t>Blueair, Inc.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20</v>
      </c>
      <c r="N147" t="inlineStr">
        <is>
          <t>Tier 4</t>
        </is>
      </c>
      <c r="O147" t="inlineStr">
        <is>
          <t>Elliot Lourie — Head of NA Supply Chain and Global S&amp;OP</t>
        </is>
      </c>
      <c r="P147" t="inlineStr">
        <is>
          <t>Head of NA Supply Chain and Global S&amp;OP</t>
        </is>
      </c>
      <c r="Y147" t="inlineStr">
        <is>
          <t>todo</t>
        </is>
      </c>
      <c r="Z147">
        <f>(M147*Weights!$B$2) + (MIN(Q147,Weights!$B$5)*Weights!$B$3*(W147/100)*Weights!$B$4)</f>
        <v/>
      </c>
      <c r="AA147">
        <f>IF(Z147= ,,RANK.EQ({pri_col_letter}{r},{pri_range},0))</f>
        <v/>
      </c>
    </row>
    <row r="148">
      <c r="A148" t="inlineStr">
        <is>
          <t>Bridgestone Americas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20</v>
      </c>
      <c r="N148" t="inlineStr">
        <is>
          <t>Tier 4</t>
        </is>
      </c>
      <c r="O148" t="inlineStr">
        <is>
          <t>Brad Blizzard — Former VP, Logistics Operations &amp; Product Delivery</t>
        </is>
      </c>
      <c r="P148" t="inlineStr">
        <is>
          <t>Former VP, Logistics Operations &amp; Product Delivery</t>
        </is>
      </c>
      <c r="Y148" t="inlineStr">
        <is>
          <t>todo</t>
        </is>
      </c>
      <c r="Z148">
        <f>(M148*Weights!$B$2) + (MIN(Q148,Weights!$B$5)*Weights!$B$3*(W148/100)*Weights!$B$4)</f>
        <v/>
      </c>
      <c r="AA148">
        <f>IF(Z148= ,,RANK.EQ({pri_col_letter}{r},{pri_range},0))</f>
        <v/>
      </c>
    </row>
    <row r="149">
      <c r="A149" t="inlineStr">
        <is>
          <t>Buffalo Rock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20</v>
      </c>
      <c r="N149" t="inlineStr">
        <is>
          <t>Tier 4</t>
        </is>
      </c>
      <c r="O149" t="inlineStr">
        <is>
          <t>Brian Angle — General Manager of Supply Chain</t>
        </is>
      </c>
      <c r="P149" t="inlineStr">
        <is>
          <t>General Manager of Supply Chain</t>
        </is>
      </c>
      <c r="Y149" t="inlineStr">
        <is>
          <t>todo</t>
        </is>
      </c>
      <c r="Z149">
        <f>(M149*Weights!$B$2) + (MIN(Q149,Weights!$B$5)*Weights!$B$3*(W149/100)*Weights!$B$4)</f>
        <v/>
      </c>
      <c r="AA149">
        <f>IF(Z149= ,,RANK.EQ({pri_col_letter}{r},{pri_range},0))</f>
        <v/>
      </c>
    </row>
    <row r="150">
      <c r="A150" t="inlineStr">
        <is>
          <t>CMPC Forest Products</t>
        </is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20</v>
      </c>
      <c r="N150" t="inlineStr">
        <is>
          <t>Tier 4</t>
        </is>
      </c>
      <c r="O150" t="inlineStr">
        <is>
          <t>Charlie Cunnion — VP Supply Chain &amp; Customer Service</t>
        </is>
      </c>
      <c r="P150" t="inlineStr">
        <is>
          <t>VP Supply Chain &amp; Customer Service</t>
        </is>
      </c>
      <c r="Y150" t="inlineStr">
        <is>
          <t>todo</t>
        </is>
      </c>
      <c r="Z150">
        <f>(M150*Weights!$B$2) + (MIN(Q150,Weights!$B$5)*Weights!$B$3*(W150/100)*Weights!$B$4)</f>
        <v/>
      </c>
      <c r="AA150">
        <f>IF(Z150= ,,RANK.EQ({pri_col_letter}{r},{pri_range},0))</f>
        <v/>
      </c>
    </row>
    <row r="151">
      <c r="A151" t="inlineStr">
        <is>
          <t>CRH</t>
        </is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20</v>
      </c>
      <c r="N151" t="inlineStr">
        <is>
          <t>Tier 4</t>
        </is>
      </c>
      <c r="O151" t="inlineStr">
        <is>
          <t>Matt Gordon — VP, Logistics</t>
        </is>
      </c>
      <c r="P151" t="inlineStr">
        <is>
          <t>VP, Logistics</t>
        </is>
      </c>
      <c r="Y151" t="inlineStr">
        <is>
          <t>todo</t>
        </is>
      </c>
      <c r="Z151">
        <f>(M151*Weights!$B$2) + (MIN(Q151,Weights!$B$5)*Weights!$B$3*(W151/100)*Weights!$B$4)</f>
        <v/>
      </c>
      <c r="AA151">
        <f>IF(Z151= ,,RANK.EQ({pri_col_letter}{r},{pri_range},0))</f>
        <v/>
      </c>
    </row>
    <row r="152">
      <c r="A152" t="inlineStr">
        <is>
          <t>Capital Brands (Nutribullet)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20</v>
      </c>
      <c r="N152" t="inlineStr">
        <is>
          <t>Tier 4</t>
        </is>
      </c>
      <c r="O152" t="inlineStr">
        <is>
          <t>Carolina Antonini — VP Operations and Supply Chain</t>
        </is>
      </c>
      <c r="P152" t="inlineStr">
        <is>
          <t>VP Operations and Supply Chain</t>
        </is>
      </c>
      <c r="Y152" t="inlineStr">
        <is>
          <t>todo</t>
        </is>
      </c>
      <c r="Z152">
        <f>(M152*Weights!$B$2) + (MIN(Q152,Weights!$B$5)*Weights!$B$3*(W152/100)*Weights!$B$4)</f>
        <v/>
      </c>
      <c r="AA152">
        <f>IF(Z152= ,,RANK.EQ({pri_col_letter}{r},{pri_range},0))</f>
        <v/>
      </c>
    </row>
    <row r="153">
      <c r="A153" t="inlineStr">
        <is>
          <t>Caterpillar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20</v>
      </c>
      <c r="N153" t="inlineStr">
        <is>
          <t>Tier 4</t>
        </is>
      </c>
      <c r="O153" t="inlineStr">
        <is>
          <t>Margaret Poorman — Vice President, Integrated Logistics</t>
        </is>
      </c>
      <c r="P153" t="inlineStr">
        <is>
          <t>Vice President, Integrated Logistics</t>
        </is>
      </c>
      <c r="Y153" t="inlineStr">
        <is>
          <t>todo</t>
        </is>
      </c>
      <c r="Z153">
        <f>(M153*Weights!$B$2) + (MIN(Q153,Weights!$B$5)*Weights!$B$3*(W153/100)*Weights!$B$4)</f>
        <v/>
      </c>
      <c r="AA153">
        <f>IF(Z153= ,,RANK.EQ({pri_col_letter}{r},{pri_range},0))</f>
        <v/>
      </c>
    </row>
    <row r="154">
      <c r="A154" t="inlineStr">
        <is>
          <t>ChampionX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20</v>
      </c>
      <c r="N154" t="inlineStr">
        <is>
          <t>Tier 4</t>
        </is>
      </c>
      <c r="O154" t="inlineStr">
        <is>
          <t>Marc Kalmes — SVP Global Supply Chain</t>
        </is>
      </c>
      <c r="P154" t="inlineStr">
        <is>
          <t>SVP Global Supply Chain</t>
        </is>
      </c>
      <c r="Y154" t="inlineStr">
        <is>
          <t>todo</t>
        </is>
      </c>
      <c r="Z154">
        <f>(M154*Weights!$B$2) + (MIN(Q154,Weights!$B$5)*Weights!$B$3*(W154/100)*Weights!$B$4)</f>
        <v/>
      </c>
      <c r="AA154">
        <f>IF(Z154= ,,RANK.EQ({pri_col_letter}{r},{pri_range},0))</f>
        <v/>
      </c>
    </row>
    <row r="155">
      <c r="A155" t="inlineStr">
        <is>
          <t>Colgate-Palmolive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20</v>
      </c>
      <c r="N155" t="inlineStr">
        <is>
          <t>Tier 4</t>
        </is>
      </c>
      <c r="O155" t="inlineStr">
        <is>
          <t>Amalia Londono — EVP End to End Supply Chain North America</t>
        </is>
      </c>
      <c r="P155" t="inlineStr">
        <is>
          <t>EVP End to End Supply Chain North America</t>
        </is>
      </c>
      <c r="Y155" t="inlineStr">
        <is>
          <t>todo</t>
        </is>
      </c>
      <c r="Z155">
        <f>(M155*Weights!$B$2) + (MIN(Q155,Weights!$B$5)*Weights!$B$3*(W155/100)*Weights!$B$4)</f>
        <v/>
      </c>
      <c r="AA155">
        <f>IF(Z155= ,,RANK.EQ({pri_col_letter}{r},{pri_range},0))</f>
        <v/>
      </c>
    </row>
    <row r="156">
      <c r="A156" t="inlineStr">
        <is>
          <t>ContinuServe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20</v>
      </c>
      <c r="N156" t="inlineStr">
        <is>
          <t>Tier 4</t>
        </is>
      </c>
      <c r="O156" t="inlineStr">
        <is>
          <t>John Webster — VP of Logistics</t>
        </is>
      </c>
      <c r="P156" t="inlineStr">
        <is>
          <t>VP of Logistics</t>
        </is>
      </c>
      <c r="Y156" t="inlineStr">
        <is>
          <t>todo</t>
        </is>
      </c>
      <c r="Z156">
        <f>(M156*Weights!$B$2) + (MIN(Q156,Weights!$B$5)*Weights!$B$3*(W156/100)*Weights!$B$4)</f>
        <v/>
      </c>
      <c r="AA156">
        <f>IF(Z156= ,,RANK.EQ({pri_col_letter}{r},{pri_range},0))</f>
        <v/>
      </c>
    </row>
    <row r="157">
      <c r="A157" t="inlineStr">
        <is>
          <t>Coppel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20</v>
      </c>
      <c r="N157" t="inlineStr">
        <is>
          <t>Tier 4</t>
        </is>
      </c>
      <c r="O157" t="inlineStr">
        <is>
          <t>Joaquin Ortiz — Vice President of Logistics</t>
        </is>
      </c>
      <c r="P157" t="inlineStr">
        <is>
          <t>Vice President of Logistics</t>
        </is>
      </c>
      <c r="Y157" t="inlineStr">
        <is>
          <t>todo</t>
        </is>
      </c>
      <c r="Z157">
        <f>(M157*Weights!$B$2) + (MIN(Q157,Weights!$B$5)*Weights!$B$3*(W157/100)*Weights!$B$4)</f>
        <v/>
      </c>
      <c r="AA157">
        <f>IF(Z157= ,,RANK.EQ({pri_col_letter}{r},{pri_range},0))</f>
        <v/>
      </c>
    </row>
    <row r="158">
      <c r="A158" t="inlineStr">
        <is>
          <t>Cover Genius</t>
        </is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20</v>
      </c>
      <c r="N158" t="inlineStr">
        <is>
          <t>Tier 4</t>
        </is>
      </c>
      <c r="O158" t="inlineStr">
        <is>
          <t>Richard McNish — EVP, Shipping and Logistics</t>
        </is>
      </c>
      <c r="P158" t="inlineStr">
        <is>
          <t>EVP, Shipping and Logistics</t>
        </is>
      </c>
      <c r="Y158" t="inlineStr">
        <is>
          <t>todo</t>
        </is>
      </c>
      <c r="Z158">
        <f>(M158*Weights!$B$2) + (MIN(Q158,Weights!$B$5)*Weights!$B$3*(W158/100)*Weights!$B$4)</f>
        <v/>
      </c>
      <c r="AA158">
        <f>IF(Z158= ,,RANK.EQ({pri_col_letter}{r},{pri_range},0))</f>
        <v/>
      </c>
    </row>
    <row r="159">
      <c r="A159" t="inlineStr">
        <is>
          <t>DEACERO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20</v>
      </c>
      <c r="N159" t="inlineStr">
        <is>
          <t>Tier 4</t>
        </is>
      </c>
      <c r="O159" t="inlineStr">
        <is>
          <t>Ricardo Emmanuel Garcia Caballero — Supply Chain &amp; Logistics VP</t>
        </is>
      </c>
      <c r="P159" t="inlineStr">
        <is>
          <t>Supply Chain &amp; Logistics VP</t>
        </is>
      </c>
      <c r="Y159" t="inlineStr">
        <is>
          <t>todo</t>
        </is>
      </c>
      <c r="Z159">
        <f>(M159*Weights!$B$2) + (MIN(Q159,Weights!$B$5)*Weights!$B$3*(W159/100)*Weights!$B$4)</f>
        <v/>
      </c>
      <c r="AA159">
        <f>IF(Z159= ,,RANK.EQ({pri_col_letter}{r},{pri_range},0))</f>
        <v/>
      </c>
    </row>
    <row r="160">
      <c r="A160" t="inlineStr">
        <is>
          <t>DESTACO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20</v>
      </c>
      <c r="N160" t="inlineStr">
        <is>
          <t>Tier 4</t>
        </is>
      </c>
      <c r="O160" t="inlineStr">
        <is>
          <t>Rakuya Artis — Vice President, Global Operations and Supply Chain</t>
        </is>
      </c>
      <c r="P160" t="inlineStr">
        <is>
          <t>Vice President, Global Operations and Supply Chain</t>
        </is>
      </c>
      <c r="Y160" t="inlineStr">
        <is>
          <t>todo</t>
        </is>
      </c>
      <c r="Z160">
        <f>(M160*Weights!$B$2) + (MIN(Q160,Weights!$B$5)*Weights!$B$3*(W160/100)*Weights!$B$4)</f>
        <v/>
      </c>
      <c r="AA160">
        <f>IF(Z160= ,,RANK.EQ({pri_col_letter}{r},{pri_range},0))</f>
        <v/>
      </c>
    </row>
    <row r="161">
      <c r="A161" t="inlineStr">
        <is>
          <t>DICK'S Sporting Goods</t>
        </is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20</v>
      </c>
      <c r="N161" t="inlineStr">
        <is>
          <t>Tier 4</t>
        </is>
      </c>
      <c r="O161" t="inlineStr">
        <is>
          <t>Scott Casciato — VP, Global Logistics &amp; Omnichannel Fulfillment</t>
        </is>
      </c>
      <c r="P161" t="inlineStr">
        <is>
          <t>VP, Global Logistics &amp; Omnichannel Fulfillment</t>
        </is>
      </c>
      <c r="Y161" t="inlineStr">
        <is>
          <t>todo</t>
        </is>
      </c>
      <c r="Z161">
        <f>(M161*Weights!$B$2) + (MIN(Q161,Weights!$B$5)*Weights!$B$3*(W161/100)*Weights!$B$4)</f>
        <v/>
      </c>
      <c r="AA161">
        <f>IF(Z161= ,,RANK.EQ({pri_col_letter}{r},{pri_range},0))</f>
        <v/>
      </c>
    </row>
    <row r="162">
      <c r="A162" t="inlineStr">
        <is>
          <t>Del Monte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20</v>
      </c>
      <c r="N162" t="inlineStr">
        <is>
          <t>Tier 4</t>
        </is>
      </c>
      <c r="O162" t="inlineStr">
        <is>
          <t>Shawn Graves — Vice President Transportation NA</t>
        </is>
      </c>
      <c r="P162" t="inlineStr">
        <is>
          <t>Vice President Transportation NA</t>
        </is>
      </c>
      <c r="Y162" t="inlineStr">
        <is>
          <t>todo</t>
        </is>
      </c>
      <c r="Z162">
        <f>(M162*Weights!$B$2) + (MIN(Q162,Weights!$B$5)*Weights!$B$3*(W162/100)*Weights!$B$4)</f>
        <v/>
      </c>
      <c r="AA162">
        <f>IF(Z162= ,,RANK.EQ({pri_col_letter}{r},{pri_range},0))</f>
        <v/>
      </c>
    </row>
    <row r="163">
      <c r="A163" t="inlineStr">
        <is>
          <t>Discount Tire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20</v>
      </c>
      <c r="N163" t="inlineStr">
        <is>
          <t>Tier 4</t>
        </is>
      </c>
      <c r="O163" t="inlineStr">
        <is>
          <t>David Davis — VP, Distribution and Transportation</t>
        </is>
      </c>
      <c r="P163" t="inlineStr">
        <is>
          <t>VP, Distribution and Transportation</t>
        </is>
      </c>
      <c r="Y163" t="inlineStr">
        <is>
          <t>todo</t>
        </is>
      </c>
      <c r="Z163">
        <f>(M163*Weights!$B$2) + (MIN(Q163,Weights!$B$5)*Weights!$B$3*(W163/100)*Weights!$B$4)</f>
        <v/>
      </c>
      <c r="AA163">
        <f>IF(Z163= ,,RANK.EQ({pri_col_letter}{r},{pri_range},0))</f>
        <v/>
      </c>
    </row>
    <row r="164">
      <c r="A164" t="inlineStr">
        <is>
          <t>Diverse Logistics Services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20</v>
      </c>
      <c r="N164" t="inlineStr">
        <is>
          <t>Tier 4</t>
        </is>
      </c>
      <c r="O164" t="inlineStr">
        <is>
          <t>Michael Letzter — President, Warehousing and Fulfillment</t>
        </is>
      </c>
      <c r="P164" t="inlineStr">
        <is>
          <t>President, Warehousing and Fulfillment</t>
        </is>
      </c>
      <c r="Y164" t="inlineStr">
        <is>
          <t>todo</t>
        </is>
      </c>
      <c r="Z164">
        <f>(M164*Weights!$B$2) + (MIN(Q164,Weights!$B$5)*Weights!$B$3*(W164/100)*Weights!$B$4)</f>
        <v/>
      </c>
      <c r="AA164">
        <f>IF(Z164= ,,RANK.EQ({pri_col_letter}{r},{pri_range},0))</f>
        <v/>
      </c>
    </row>
    <row r="165">
      <c r="A165" t="inlineStr">
        <is>
          <t>Divi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20</v>
      </c>
      <c r="N165" t="inlineStr">
        <is>
          <t>Tier 4</t>
        </is>
      </c>
      <c r="O165" t="inlineStr">
        <is>
          <t>Emily Fan — VP of Operations</t>
        </is>
      </c>
      <c r="P165" t="inlineStr">
        <is>
          <t>VP of Operations</t>
        </is>
      </c>
      <c r="Y165" t="inlineStr">
        <is>
          <t>todo</t>
        </is>
      </c>
      <c r="Z165">
        <f>(M165*Weights!$B$2) + (MIN(Q165,Weights!$B$5)*Weights!$B$3*(W165/100)*Weights!$B$4)</f>
        <v/>
      </c>
      <c r="AA165">
        <f>IF(Z165= ,,RANK.EQ({pri_col_letter}{r},{pri_range},0))</f>
        <v/>
      </c>
    </row>
    <row r="166">
      <c r="A166" t="inlineStr">
        <is>
          <t>Dr Squatch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20</v>
      </c>
      <c r="N166" t="inlineStr">
        <is>
          <t>Tier 4</t>
        </is>
      </c>
      <c r="O166" t="inlineStr">
        <is>
          <t>Manuel Salazar — Head of Supply Chain</t>
        </is>
      </c>
      <c r="P166" t="inlineStr">
        <is>
          <t>Head of Supply Chain</t>
        </is>
      </c>
      <c r="Y166" t="inlineStr">
        <is>
          <t>todo</t>
        </is>
      </c>
      <c r="Z166">
        <f>(M166*Weights!$B$2) + (MIN(Q166,Weights!$B$5)*Weights!$B$3*(W166/100)*Weights!$B$4)</f>
        <v/>
      </c>
      <c r="AA166">
        <f>IF(Z166= ,,RANK.EQ({pri_col_letter}{r},{pri_range},0))</f>
        <v/>
      </c>
    </row>
    <row r="167">
      <c r="A167" t="inlineStr">
        <is>
          <t>Dr. Max BDC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20</v>
      </c>
      <c r="N167" t="inlineStr">
        <is>
          <t>Tier 4</t>
        </is>
      </c>
      <c r="O167" t="inlineStr">
        <is>
          <t>Miguel Martins da Silva — Group Chief Supply Chain Officer</t>
        </is>
      </c>
      <c r="P167" t="inlineStr">
        <is>
          <t>Group Chief Supply Chain Officer</t>
        </is>
      </c>
      <c r="Y167" t="inlineStr">
        <is>
          <t>todo</t>
        </is>
      </c>
      <c r="Z167">
        <f>(M167*Weights!$B$2) + (MIN(Q167,Weights!$B$5)*Weights!$B$3*(W167/100)*Weights!$B$4)</f>
        <v/>
      </c>
      <c r="AA167">
        <f>IF(Z167= ,,RANK.EQ({pri_col_letter}{r},{pri_range},0))</f>
        <v/>
      </c>
    </row>
    <row r="168">
      <c r="A168" t="inlineStr">
        <is>
          <t>Eko Health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20</v>
      </c>
      <c r="N168" t="inlineStr">
        <is>
          <t>Tier 4</t>
        </is>
      </c>
      <c r="O168" t="inlineStr">
        <is>
          <t>Karl Larson — Vice President of Supply Chain and Logistics</t>
        </is>
      </c>
      <c r="P168" t="inlineStr">
        <is>
          <t>Vice President of Supply Chain and Logistics</t>
        </is>
      </c>
      <c r="Y168" t="inlineStr">
        <is>
          <t>todo</t>
        </is>
      </c>
      <c r="Z168">
        <f>(M168*Weights!$B$2) + (MIN(Q168,Weights!$B$5)*Weights!$B$3*(W168/100)*Weights!$B$4)</f>
        <v/>
      </c>
      <c r="AA168">
        <f>IF(Z168= ,,RANK.EQ({pri_col_letter}{r},{pri_range},0))</f>
        <v/>
      </c>
    </row>
    <row r="169">
      <c r="A169" t="inlineStr">
        <is>
          <t>Emerson Professional Tools</t>
        </is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20</v>
      </c>
      <c r="N169" t="inlineStr">
        <is>
          <t>Tier 4</t>
        </is>
      </c>
      <c r="O169" t="inlineStr">
        <is>
          <t>Raju Nadakuditi — Head of Supply Chain Australia</t>
        </is>
      </c>
      <c r="P169" t="inlineStr">
        <is>
          <t>Head of Supply Chain Australia</t>
        </is>
      </c>
      <c r="Y169" t="inlineStr">
        <is>
          <t>todo</t>
        </is>
      </c>
      <c r="Z169">
        <f>(M169*Weights!$B$2) + (MIN(Q169,Weights!$B$5)*Weights!$B$3*(W169/100)*Weights!$B$4)</f>
        <v/>
      </c>
      <c r="AA169">
        <f>IF(Z169= ,,RANK.EQ({pri_col_letter}{r},{pri_range},0))</f>
        <v/>
      </c>
    </row>
    <row r="170">
      <c r="A170" t="inlineStr">
        <is>
          <t>Everyday Dose</t>
        </is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20</v>
      </c>
      <c r="N170" t="inlineStr">
        <is>
          <t>Tier 4</t>
        </is>
      </c>
      <c r="O170" t="inlineStr">
        <is>
          <t>Vib Mathur — Vice President Operations</t>
        </is>
      </c>
      <c r="P170" t="inlineStr">
        <is>
          <t>Vice President Operations</t>
        </is>
      </c>
      <c r="Y170" t="inlineStr">
        <is>
          <t>todo</t>
        </is>
      </c>
      <c r="Z170">
        <f>(M170*Weights!$B$2) + (MIN(Q170,Weights!$B$5)*Weights!$B$3*(W170/100)*Weights!$B$4)</f>
        <v/>
      </c>
      <c r="AA170">
        <f>IF(Z170= ,,RANK.EQ({pri_col_letter}{r},{pri_range},0))</f>
        <v/>
      </c>
    </row>
    <row r="171">
      <c r="A171" t="inlineStr">
        <is>
          <t>FDH Aero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20</v>
      </c>
      <c r="N171" t="inlineStr">
        <is>
          <t>Tier 4</t>
        </is>
      </c>
      <c r="O171" t="inlineStr">
        <is>
          <t>Bob Loycano — Vice President, Supply Chain</t>
        </is>
      </c>
      <c r="P171" t="inlineStr">
        <is>
          <t>Vice President, Supply Chain</t>
        </is>
      </c>
      <c r="Y171" t="inlineStr">
        <is>
          <t>todo</t>
        </is>
      </c>
      <c r="Z171">
        <f>(M171*Weights!$B$2) + (MIN(Q171,Weights!$B$5)*Weights!$B$3*(W171/100)*Weights!$B$4)</f>
        <v/>
      </c>
      <c r="AA171">
        <f>IF(Z171= ,,RANK.EQ({pri_col_letter}{r},{pri_range},0))</f>
        <v/>
      </c>
    </row>
    <row r="172">
      <c r="A172" t="inlineStr">
        <is>
          <t>Feeding America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20</v>
      </c>
      <c r="N172" t="inlineStr">
        <is>
          <t>Tier 4</t>
        </is>
      </c>
      <c r="O172" t="inlineStr">
        <is>
          <t>Brit Videbeck — Chief Supply Chain Officer</t>
        </is>
      </c>
      <c r="P172" t="inlineStr">
        <is>
          <t>Chief Supply Chain Officer</t>
        </is>
      </c>
      <c r="Y172" t="inlineStr">
        <is>
          <t>todo</t>
        </is>
      </c>
      <c r="Z172">
        <f>(M172*Weights!$B$2) + (MIN(Q172,Weights!$B$5)*Weights!$B$3*(W172/100)*Weights!$B$4)</f>
        <v/>
      </c>
      <c r="AA172">
        <f>IF(Z172= ,,RANK.EQ({pri_col_letter}{r},{pri_range},0))</f>
        <v/>
      </c>
    </row>
    <row r="173">
      <c r="A173" t="inlineStr">
        <is>
          <t>Firstbase/AppDirect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20</v>
      </c>
      <c r="N173" t="inlineStr">
        <is>
          <t>Tier 4</t>
        </is>
      </c>
      <c r="O173" t="inlineStr">
        <is>
          <t>Ahmad Zakaria — VP Hardware Operations</t>
        </is>
      </c>
      <c r="P173" t="inlineStr">
        <is>
          <t>VP Hardware Operations</t>
        </is>
      </c>
      <c r="Y173" t="inlineStr">
        <is>
          <t>todo</t>
        </is>
      </c>
      <c r="Z173">
        <f>(M173*Weights!$B$2) + (MIN(Q173,Weights!$B$5)*Weights!$B$3*(W173/100)*Weights!$B$4)</f>
        <v/>
      </c>
      <c r="AA173">
        <f>IF(Z173= ,,RANK.EQ({pri_col_letter}{r},{pri_range},0))</f>
        <v/>
      </c>
    </row>
    <row r="174">
      <c r="A174" t="inlineStr">
        <is>
          <t>Force of Nature Meats</t>
        </is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20</v>
      </c>
      <c r="N174" t="inlineStr">
        <is>
          <t>Tier 4</t>
        </is>
      </c>
      <c r="O174" t="inlineStr">
        <is>
          <t>Rebecca Linz — VP of Supply Chain</t>
        </is>
      </c>
      <c r="P174" t="inlineStr">
        <is>
          <t>VP of Supply Chain</t>
        </is>
      </c>
      <c r="Y174" t="inlineStr">
        <is>
          <t>todo</t>
        </is>
      </c>
      <c r="Z174">
        <f>(M174*Weights!$B$2) + (MIN(Q174,Weights!$B$5)*Weights!$B$3*(W174/100)*Weights!$B$4)</f>
        <v/>
      </c>
      <c r="AA174">
        <f>IF(Z174= ,,RANK.EQ({pri_col_letter}{r},{pri_range},0))</f>
        <v/>
      </c>
    </row>
    <row r="175">
      <c r="A175" t="inlineStr">
        <is>
          <t>Foundry Brands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20</v>
      </c>
      <c r="N175" t="inlineStr">
        <is>
          <t>Tier 4</t>
        </is>
      </c>
      <c r="O175" t="inlineStr">
        <is>
          <t>Michael Wald — Head of Operations</t>
        </is>
      </c>
      <c r="P175" t="inlineStr">
        <is>
          <t>Head of Operations</t>
        </is>
      </c>
      <c r="Y175" t="inlineStr">
        <is>
          <t>todo</t>
        </is>
      </c>
      <c r="Z175">
        <f>(M175*Weights!$B$2) + (MIN(Q175,Weights!$B$5)*Weights!$B$3*(W175/100)*Weights!$B$4)</f>
        <v/>
      </c>
      <c r="AA175">
        <f>IF(Z175= ,,RANK.EQ({pri_col_letter}{r},{pri_range},0))</f>
        <v/>
      </c>
    </row>
    <row r="176">
      <c r="A176" t="inlineStr">
        <is>
          <t>Fragile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20</v>
      </c>
      <c r="N176" t="inlineStr">
        <is>
          <t>Tier 4</t>
        </is>
      </c>
      <c r="O176" t="inlineStr">
        <is>
          <t>Rufus McLain — Head of Operations</t>
        </is>
      </c>
      <c r="P176" t="inlineStr">
        <is>
          <t>Head of Operations</t>
        </is>
      </c>
      <c r="Y176" t="inlineStr">
        <is>
          <t>todo</t>
        </is>
      </c>
      <c r="Z176">
        <f>(M176*Weights!$B$2) + (MIN(Q176,Weights!$B$5)*Weights!$B$3*(W176/100)*Weights!$B$4)</f>
        <v/>
      </c>
      <c r="AA176">
        <f>IF(Z176= ,,RANK.EQ({pri_col_letter}{r},{pri_range},0))</f>
        <v/>
      </c>
    </row>
    <row r="177">
      <c r="A177" t="inlineStr">
        <is>
          <t>Freeport Logistics Inc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20</v>
      </c>
      <c r="N177" t="inlineStr">
        <is>
          <t>Tier 4</t>
        </is>
      </c>
      <c r="O177" t="inlineStr">
        <is>
          <t>Chas Moore — VP of Operations</t>
        </is>
      </c>
      <c r="P177" t="inlineStr">
        <is>
          <t>VP of Operations</t>
        </is>
      </c>
      <c r="Y177" t="inlineStr">
        <is>
          <t>todo</t>
        </is>
      </c>
      <c r="Z177">
        <f>(M177*Weights!$B$2) + (MIN(Q177,Weights!$B$5)*Weights!$B$3*(W177/100)*Weights!$B$4)</f>
        <v/>
      </c>
      <c r="AA177">
        <f>IF(Z177= ,,RANK.EQ({pri_col_letter}{r},{pri_range},0))</f>
        <v/>
      </c>
    </row>
    <row r="178">
      <c r="A178" t="inlineStr">
        <is>
          <t>Frida</t>
        </is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20</v>
      </c>
      <c r="N178" t="inlineStr">
        <is>
          <t>Tier 4</t>
        </is>
      </c>
      <c r="O178" t="inlineStr">
        <is>
          <t>Katie Baldwin — VP of Fulfillment</t>
        </is>
      </c>
      <c r="P178" t="inlineStr">
        <is>
          <t>VP of Fulfillment</t>
        </is>
      </c>
      <c r="Y178" t="inlineStr">
        <is>
          <t>todo</t>
        </is>
      </c>
      <c r="Z178">
        <f>(M178*Weights!$B$2) + (MIN(Q178,Weights!$B$5)*Weights!$B$3*(W178/100)*Weights!$B$4)</f>
        <v/>
      </c>
      <c r="AA178">
        <f>IF(Z178= ,,RANK.EQ({pri_col_letter}{r},{pri_range},0))</f>
        <v/>
      </c>
    </row>
    <row r="179">
      <c r="A179" t="inlineStr">
        <is>
          <t>Garlock Printing &amp; Converting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20</v>
      </c>
      <c r="N179" t="inlineStr">
        <is>
          <t>Tier 4</t>
        </is>
      </c>
      <c r="O179" t="inlineStr">
        <is>
          <t>Mohamed El Shami — Chief Supply Chain Officer</t>
        </is>
      </c>
      <c r="P179" t="inlineStr">
        <is>
          <t>Chief Supply Chain Officer</t>
        </is>
      </c>
      <c r="Y179" t="inlineStr">
        <is>
          <t>todo</t>
        </is>
      </c>
      <c r="Z179">
        <f>(M179*Weights!$B$2) + (MIN(Q179,Weights!$B$5)*Weights!$B$3*(W179/100)*Weights!$B$4)</f>
        <v/>
      </c>
      <c r="AA179">
        <f>IF(Z179= ,,RANK.EQ({pri_col_letter}{r},{pri_range},0))</f>
        <v/>
      </c>
    </row>
    <row r="180">
      <c r="A180" t="inlineStr">
        <is>
          <t>Gathr Outdoors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20</v>
      </c>
      <c r="N180" t="inlineStr">
        <is>
          <t>Tier 4</t>
        </is>
      </c>
      <c r="O180" t="inlineStr">
        <is>
          <t>Josh Siler — Global VP Logistics and Distribution</t>
        </is>
      </c>
      <c r="P180" t="inlineStr">
        <is>
          <t>Global VP Logistics and Distribution</t>
        </is>
      </c>
      <c r="Y180" t="inlineStr">
        <is>
          <t>todo</t>
        </is>
      </c>
      <c r="Z180">
        <f>(M180*Weights!$B$2) + (MIN(Q180,Weights!$B$5)*Weights!$B$3*(W180/100)*Weights!$B$4)</f>
        <v/>
      </c>
      <c r="AA180">
        <f>IF(Z180= ,,RANK.EQ({pri_col_letter}{r},{pri_range},0))</f>
        <v/>
      </c>
    </row>
    <row r="181">
      <c r="A181" t="inlineStr">
        <is>
          <t>Gentherm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20</v>
      </c>
      <c r="N181" t="inlineStr">
        <is>
          <t>Tier 4</t>
        </is>
      </c>
      <c r="O181" t="inlineStr">
        <is>
          <t>Rafael Barkas — Senior Vice President - Global Operations &amp; Supply Chain</t>
        </is>
      </c>
      <c r="P181" t="inlineStr">
        <is>
          <t>Senior Vice President - Global Operations &amp; Supply Chain</t>
        </is>
      </c>
      <c r="Y181" t="inlineStr">
        <is>
          <t>todo</t>
        </is>
      </c>
      <c r="Z181">
        <f>(M181*Weights!$B$2) + (MIN(Q181,Weights!$B$5)*Weights!$B$3*(W181/100)*Weights!$B$4)</f>
        <v/>
      </c>
      <c r="AA181">
        <f>IF(Z181= ,,RANK.EQ({pri_col_letter}{r},{pri_range},0))</f>
        <v/>
      </c>
    </row>
    <row r="182">
      <c r="A182" t="inlineStr">
        <is>
          <t>H.V.M.N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20</v>
      </c>
      <c r="N182" t="inlineStr">
        <is>
          <t>Tier 4</t>
        </is>
      </c>
      <c r="O182" t="inlineStr">
        <is>
          <t>Garsten Bergquist — Head of Supply Chain</t>
        </is>
      </c>
      <c r="P182" t="inlineStr">
        <is>
          <t>Head of Supply Chain</t>
        </is>
      </c>
      <c r="Y182" t="inlineStr">
        <is>
          <t>todo</t>
        </is>
      </c>
      <c r="Z182">
        <f>(M182*Weights!$B$2) + (MIN(Q182,Weights!$B$5)*Weights!$B$3*(W182/100)*Weights!$B$4)</f>
        <v/>
      </c>
      <c r="AA182">
        <f>IF(Z182= ,,RANK.EQ({pri_col_letter}{r},{pri_range},0))</f>
        <v/>
      </c>
    </row>
    <row r="183">
      <c r="A183" t="inlineStr">
        <is>
          <t>Haleon</t>
        </is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20</v>
      </c>
      <c r="N183" t="inlineStr">
        <is>
          <t>Tier 4</t>
        </is>
      </c>
      <c r="O183" t="inlineStr">
        <is>
          <t>Alvaro Cantillo — Head North America QSC -CH Quality &amp; Supply Chain</t>
        </is>
      </c>
      <c r="P183" t="inlineStr">
        <is>
          <t>Head North America QSC -CH Quality &amp; Supply Chain</t>
        </is>
      </c>
      <c r="Y183" t="inlineStr">
        <is>
          <t>todo</t>
        </is>
      </c>
      <c r="Z183">
        <f>(M183*Weights!$B$2) + (MIN(Q183,Weights!$B$5)*Weights!$B$3*(W183/100)*Weights!$B$4)</f>
        <v/>
      </c>
      <c r="AA183">
        <f>IF(Z183= ,,RANK.EQ({pri_col_letter}{r},{pri_range},0))</f>
        <v/>
      </c>
    </row>
    <row r="184">
      <c r="A184" t="inlineStr">
        <is>
          <t>Heritage Distribution Holdings</t>
        </is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20</v>
      </c>
      <c r="N184" t="inlineStr">
        <is>
          <t>Tier 4</t>
        </is>
      </c>
      <c r="O184" t="inlineStr">
        <is>
          <t>Richard Whitner — VP Operations</t>
        </is>
      </c>
      <c r="P184" t="inlineStr">
        <is>
          <t>VP Operations</t>
        </is>
      </c>
      <c r="Y184" t="inlineStr">
        <is>
          <t>todo</t>
        </is>
      </c>
      <c r="Z184">
        <f>(M184*Weights!$B$2) + (MIN(Q184,Weights!$B$5)*Weights!$B$3*(W184/100)*Weights!$B$4)</f>
        <v/>
      </c>
      <c r="AA184">
        <f>IF(Z184= ,,RANK.EQ({pri_col_letter}{r},{pri_range},0))</f>
        <v/>
      </c>
    </row>
    <row r="185">
      <c r="A185" t="inlineStr">
        <is>
          <t>Hillpointe Construction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20</v>
      </c>
      <c r="N185" t="inlineStr">
        <is>
          <t>Tier 4</t>
        </is>
      </c>
      <c r="O185" t="inlineStr">
        <is>
          <t>Amir Ghoddousi — VP Supply Chain</t>
        </is>
      </c>
      <c r="P185" t="inlineStr">
        <is>
          <t>VP Supply Chain</t>
        </is>
      </c>
      <c r="Y185" t="inlineStr">
        <is>
          <t>todo</t>
        </is>
      </c>
      <c r="Z185">
        <f>(M185*Weights!$B$2) + (MIN(Q185,Weights!$B$5)*Weights!$B$3*(W185/100)*Weights!$B$4)</f>
        <v/>
      </c>
      <c r="AA185">
        <f>IF(Z185= ,,RANK.EQ({pri_col_letter}{r},{pri_range},0))</f>
        <v/>
      </c>
    </row>
    <row r="186">
      <c r="A186" t="inlineStr">
        <is>
          <t>Hillwood, a Perot Company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20</v>
      </c>
      <c r="N186" t="inlineStr">
        <is>
          <t>Tier 4</t>
        </is>
      </c>
      <c r="O186" t="inlineStr">
        <is>
          <t>Ian Kinne — Vice President, Logistics Innovation &amp; Investments</t>
        </is>
      </c>
      <c r="P186" t="inlineStr">
        <is>
          <t>Vice President, Logistics Innovation &amp; Investments</t>
        </is>
      </c>
      <c r="Y186" t="inlineStr">
        <is>
          <t>todo</t>
        </is>
      </c>
      <c r="Z186">
        <f>(M186*Weights!$B$2) + (MIN(Q186,Weights!$B$5)*Weights!$B$3*(W186/100)*Weights!$B$4)</f>
        <v/>
      </c>
      <c r="AA186">
        <f>IF(Z186= ,,RANK.EQ({pri_col_letter}{r},{pri_range},0))</f>
        <v/>
      </c>
    </row>
    <row r="187">
      <c r="A187" t="inlineStr">
        <is>
          <t>Hindustan Platinum</t>
        </is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20</v>
      </c>
      <c r="N187" t="inlineStr">
        <is>
          <t>Tier 4</t>
        </is>
      </c>
      <c r="O187" t="inlineStr">
        <is>
          <t>Ajay Singh — Chief Supply Chain Officer</t>
        </is>
      </c>
      <c r="P187" t="inlineStr">
        <is>
          <t>Chief Supply Chain Officer</t>
        </is>
      </c>
      <c r="Y187" t="inlineStr">
        <is>
          <t>todo</t>
        </is>
      </c>
      <c r="Z187">
        <f>(M187*Weights!$B$2) + (MIN(Q187,Weights!$B$5)*Weights!$B$3*(W187/100)*Weights!$B$4)</f>
        <v/>
      </c>
      <c r="AA187">
        <f>IF(Z187= ,,RANK.EQ({pri_col_letter}{r},{pri_range},0))</f>
        <v/>
      </c>
    </row>
    <row r="188">
      <c r="A188" t="inlineStr">
        <is>
          <t>Holland Enterprises Inc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20</v>
      </c>
      <c r="N188" t="inlineStr">
        <is>
          <t>Tier 4</t>
        </is>
      </c>
      <c r="O188" t="inlineStr">
        <is>
          <t>Zach Johnson — VP Operations</t>
        </is>
      </c>
      <c r="P188" t="inlineStr">
        <is>
          <t>VP Operations</t>
        </is>
      </c>
      <c r="Y188" t="inlineStr">
        <is>
          <t>todo</t>
        </is>
      </c>
      <c r="Z188">
        <f>(M188*Weights!$B$2) + (MIN(Q188,Weights!$B$5)*Weights!$B$3*(W188/100)*Weights!$B$4)</f>
        <v/>
      </c>
      <c r="AA188">
        <f>IF(Z188= ,,RANK.EQ({pri_col_letter}{r},{pri_range},0))</f>
        <v/>
      </c>
    </row>
    <row r="189">
      <c r="A189" t="inlineStr">
        <is>
          <t>Holland Enterprises Inc.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20</v>
      </c>
      <c r="N189" t="inlineStr">
        <is>
          <t>Tier 4</t>
        </is>
      </c>
      <c r="O189" t="inlineStr">
        <is>
          <t>Andrew Henderson — VP Logistics</t>
        </is>
      </c>
      <c r="P189" t="inlineStr">
        <is>
          <t>VP Logistics</t>
        </is>
      </c>
      <c r="Y189" t="inlineStr">
        <is>
          <t>todo</t>
        </is>
      </c>
      <c r="Z189">
        <f>(M189*Weights!$B$2) + (MIN(Q189,Weights!$B$5)*Weights!$B$3*(W189/100)*Weights!$B$4)</f>
        <v/>
      </c>
      <c r="AA189">
        <f>IF(Z189= ,,RANK.EQ({pri_col_letter}{r},{pri_range},0))</f>
        <v/>
      </c>
    </row>
    <row r="190">
      <c r="A190" t="inlineStr">
        <is>
          <t>Hometown Logistics</t>
        </is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20</v>
      </c>
      <c r="N190" t="inlineStr">
        <is>
          <t>Tier 4</t>
        </is>
      </c>
      <c r="O190" t="inlineStr">
        <is>
          <t>Doug Starnes — VP Operations</t>
        </is>
      </c>
      <c r="P190" t="inlineStr">
        <is>
          <t>VP Operations</t>
        </is>
      </c>
      <c r="Y190" t="inlineStr">
        <is>
          <t>todo</t>
        </is>
      </c>
      <c r="Z190">
        <f>(M190*Weights!$B$2) + (MIN(Q190,Weights!$B$5)*Weights!$B$3*(W190/100)*Weights!$B$4)</f>
        <v/>
      </c>
      <c r="AA190">
        <f>IF(Z190= ,,RANK.EQ({pri_col_letter}{r},{pri_range},0))</f>
        <v/>
      </c>
    </row>
    <row r="191">
      <c r="A191" t="inlineStr">
        <is>
          <t>Hourglass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20</v>
      </c>
      <c r="N191" t="inlineStr">
        <is>
          <t>Tier 4</t>
        </is>
      </c>
      <c r="O191" t="inlineStr">
        <is>
          <t>Riddhi Kasudia — VP Operations</t>
        </is>
      </c>
      <c r="P191" t="inlineStr">
        <is>
          <t>VP Operations</t>
        </is>
      </c>
      <c r="Y191" t="inlineStr">
        <is>
          <t>todo</t>
        </is>
      </c>
      <c r="Z191">
        <f>(M191*Weights!$B$2) + (MIN(Q191,Weights!$B$5)*Weights!$B$3*(W191/100)*Weights!$B$4)</f>
        <v/>
      </c>
      <c r="AA191">
        <f>IF(Z191= ,,RANK.EQ({pri_col_letter}{r},{pri_range},0))</f>
        <v/>
      </c>
    </row>
    <row r="192">
      <c r="A192" t="inlineStr">
        <is>
          <t>Hugh &amp; Grace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20</v>
      </c>
      <c r="N192" t="inlineStr">
        <is>
          <t>Tier 4</t>
        </is>
      </c>
      <c r="O192" t="inlineStr">
        <is>
          <t>Amanda Lorenz — EVP, Operations</t>
        </is>
      </c>
      <c r="P192" t="inlineStr">
        <is>
          <t>EVP, Operations</t>
        </is>
      </c>
      <c r="Y192" t="inlineStr">
        <is>
          <t>todo</t>
        </is>
      </c>
      <c r="Z192">
        <f>(M192*Weights!$B$2) + (MIN(Q192,Weights!$B$5)*Weights!$B$3*(W192/100)*Weights!$B$4)</f>
        <v/>
      </c>
      <c r="AA192">
        <f>IF(Z192= ,,RANK.EQ({pri_col_letter}{r},{pri_range},0))</f>
        <v/>
      </c>
    </row>
    <row r="193">
      <c r="A193" t="inlineStr">
        <is>
          <t>ID Logistics</t>
        </is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20</v>
      </c>
      <c r="N193" t="inlineStr">
        <is>
          <t>Tier 4</t>
        </is>
      </c>
      <c r="O193" t="inlineStr">
        <is>
          <t>Linda Ewing — SVP Health &amp; Wellness Operations</t>
        </is>
      </c>
      <c r="P193" t="inlineStr">
        <is>
          <t>SVP Health &amp; Wellness Operations</t>
        </is>
      </c>
      <c r="Y193" t="inlineStr">
        <is>
          <t>todo</t>
        </is>
      </c>
      <c r="Z193">
        <f>(M193*Weights!$B$2) + (MIN(Q193,Weights!$B$5)*Weights!$B$3*(W193/100)*Weights!$B$4)</f>
        <v/>
      </c>
      <c r="AA193">
        <f>IF(Z193= ,,RANK.EQ({pri_col_letter}{r},{pri_range},0))</f>
        <v/>
      </c>
    </row>
    <row r="194">
      <c r="A194" t="inlineStr">
        <is>
          <t>IPSY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20</v>
      </c>
      <c r="N194" t="inlineStr">
        <is>
          <t>Tier 4</t>
        </is>
      </c>
      <c r="O194" t="inlineStr">
        <is>
          <t>Nicole Yuan He — SVP Operations</t>
        </is>
      </c>
      <c r="P194" t="inlineStr">
        <is>
          <t>SVP Operations</t>
        </is>
      </c>
      <c r="Y194" t="inlineStr">
        <is>
          <t>todo</t>
        </is>
      </c>
      <c r="Z194">
        <f>(M194*Weights!$B$2) + (MIN(Q194,Weights!$B$5)*Weights!$B$3*(W194/100)*Weights!$B$4)</f>
        <v/>
      </c>
      <c r="AA194">
        <f>IF(Z194= ,,RANK.EQ({pri_col_letter}{r},{pri_range},0))</f>
        <v/>
      </c>
    </row>
    <row r="195">
      <c r="A195" t="inlineStr">
        <is>
          <t>IRIS SOFTWARE INC</t>
        </is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20</v>
      </c>
      <c r="N195" t="inlineStr">
        <is>
          <t>Tier 4</t>
        </is>
      </c>
      <c r="O195" t="inlineStr">
        <is>
          <t>MAHEISH KESARKAR — Head - Manufacturing and Logistics</t>
        </is>
      </c>
      <c r="P195" t="inlineStr">
        <is>
          <t>Head - Manufacturing and Logistics</t>
        </is>
      </c>
      <c r="Y195" t="inlineStr">
        <is>
          <t>todo</t>
        </is>
      </c>
      <c r="Z195">
        <f>(M195*Weights!$B$2) + (MIN(Q195,Weights!$B$5)*Weights!$B$3*(W195/100)*Weights!$B$4)</f>
        <v/>
      </c>
      <c r="AA195">
        <f>IF(Z195= ,,RANK.EQ({pri_col_letter}{r},{pri_range},0))</f>
        <v/>
      </c>
    </row>
    <row r="196">
      <c r="A196" t="inlineStr">
        <is>
          <t>ITS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20</v>
      </c>
      <c r="N196" t="inlineStr">
        <is>
          <t>Tier 4</t>
        </is>
      </c>
      <c r="O196" t="inlineStr">
        <is>
          <t>Ryan Martin — President of Distribution and Fulfillment</t>
        </is>
      </c>
      <c r="P196" t="inlineStr">
        <is>
          <t>President of Distribution and Fulfillment</t>
        </is>
      </c>
      <c r="Y196" t="inlineStr">
        <is>
          <t>todo</t>
        </is>
      </c>
      <c r="Z196">
        <f>(M196*Weights!$B$2) + (MIN(Q196,Weights!$B$5)*Weights!$B$3*(W196/100)*Weights!$B$4)</f>
        <v/>
      </c>
      <c r="AA196">
        <f>IF(Z196= ,,RANK.EQ({pri_col_letter}{r},{pri_range},0))</f>
        <v/>
      </c>
    </row>
    <row r="197">
      <c r="A197" t="inlineStr">
        <is>
          <t>Intel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20</v>
      </c>
      <c r="N197" t="inlineStr">
        <is>
          <t>Tier 4</t>
        </is>
      </c>
      <c r="O197" t="inlineStr">
        <is>
          <t>Wendy Spratt — Head of Global Supply Chain</t>
        </is>
      </c>
      <c r="P197" t="inlineStr">
        <is>
          <t>Head of Global Supply Chain</t>
        </is>
      </c>
      <c r="Y197" t="inlineStr">
        <is>
          <t>todo</t>
        </is>
      </c>
      <c r="Z197">
        <f>(M197*Weights!$B$2) + (MIN(Q197,Weights!$B$5)*Weights!$B$3*(W197/100)*Weights!$B$4)</f>
        <v/>
      </c>
      <c r="AA197">
        <f>IF(Z197= ,,RANK.EQ({pri_col_letter}{r},{pri_range},0))</f>
        <v/>
      </c>
    </row>
    <row r="198">
      <c r="A198" t="inlineStr">
        <is>
          <t>KBX Logistics</t>
        </is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20</v>
      </c>
      <c r="N198" t="inlineStr">
        <is>
          <t>Tier 4</t>
        </is>
      </c>
      <c r="O198" t="inlineStr">
        <is>
          <t>Tracy Reiss — SVP Transportation</t>
        </is>
      </c>
      <c r="P198" t="inlineStr">
        <is>
          <t>SVP Transportation</t>
        </is>
      </c>
      <c r="Y198" t="inlineStr">
        <is>
          <t>todo</t>
        </is>
      </c>
      <c r="Z198">
        <f>(M198*Weights!$B$2) + (MIN(Q198,Weights!$B$5)*Weights!$B$3*(W198/100)*Weights!$B$4)</f>
        <v/>
      </c>
      <c r="AA198">
        <f>IF(Z198= ,,RANK.EQ({pri_col_letter}{r},{pri_range},0))</f>
        <v/>
      </c>
    </row>
    <row r="199">
      <c r="A199" t="inlineStr">
        <is>
          <t>KYOCERA Document Solutions Europe Management BV</t>
        </is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20</v>
      </c>
      <c r="N199" t="inlineStr">
        <is>
          <t>Tier 4</t>
        </is>
      </c>
      <c r="O199" t="inlineStr">
        <is>
          <t>Martijn Cillessen — General Manager Supply Chain Management</t>
        </is>
      </c>
      <c r="P199" t="inlineStr">
        <is>
          <t>General Manager Supply Chain Management</t>
        </is>
      </c>
      <c r="Y199" t="inlineStr">
        <is>
          <t>todo</t>
        </is>
      </c>
      <c r="Z199">
        <f>(M199*Weights!$B$2) + (MIN(Q199,Weights!$B$5)*Weights!$B$3*(W199/100)*Weights!$B$4)</f>
        <v/>
      </c>
      <c r="AA199">
        <f>IF(Z199= ,,RANK.EQ({pri_col_letter}{r},{pri_range},0))</f>
        <v/>
      </c>
    </row>
    <row r="200">
      <c r="A200" t="inlineStr">
        <is>
          <t>Keurig Dr Pepper</t>
        </is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20</v>
      </c>
      <c r="N200" t="inlineStr">
        <is>
          <t>Tier 4</t>
        </is>
      </c>
      <c r="O200" t="inlineStr">
        <is>
          <t>Jay Traficante — VP - Supply Chain</t>
        </is>
      </c>
      <c r="P200" t="inlineStr">
        <is>
          <t>VP - Supply Chain</t>
        </is>
      </c>
      <c r="Y200" t="inlineStr">
        <is>
          <t>todo</t>
        </is>
      </c>
      <c r="Z200">
        <f>(M200*Weights!$B$2) + (MIN(Q200,Weights!$B$5)*Weights!$B$3*(W200/100)*Weights!$B$4)</f>
        <v/>
      </c>
      <c r="AA200">
        <f>IF(Z200= ,,RANK.EQ({pri_col_letter}{r},{pri_range},0))</f>
        <v/>
      </c>
    </row>
    <row r="201">
      <c r="A201" t="inlineStr">
        <is>
          <t>Kosas</t>
        </is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20</v>
      </c>
      <c r="N201" t="inlineStr">
        <is>
          <t>Tier 4</t>
        </is>
      </c>
      <c r="O201" t="inlineStr">
        <is>
          <t>Jimmy Cummings — Vice President, Operations</t>
        </is>
      </c>
      <c r="P201" t="inlineStr">
        <is>
          <t>Vice President, Operations</t>
        </is>
      </c>
      <c r="Y201" t="inlineStr">
        <is>
          <t>todo</t>
        </is>
      </c>
      <c r="Z201">
        <f>(M201*Weights!$B$2) + (MIN(Q201,Weights!$B$5)*Weights!$B$3*(W201/100)*Weights!$B$4)</f>
        <v/>
      </c>
      <c r="AA201">
        <f>IF(Z201= ,,RANK.EQ({pri_col_letter}{r},{pri_range},0))</f>
        <v/>
      </c>
    </row>
    <row r="202">
      <c r="A202" t="inlineStr">
        <is>
          <t>L'Oreal</t>
        </is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20</v>
      </c>
      <c r="N202" t="inlineStr">
        <is>
          <t>Tier 4</t>
        </is>
      </c>
      <c r="O202" t="inlineStr">
        <is>
          <t>Mathieu Joubert — VP Transportation</t>
        </is>
      </c>
      <c r="P202" t="inlineStr">
        <is>
          <t>VP Transportation</t>
        </is>
      </c>
      <c r="Y202" t="inlineStr">
        <is>
          <t>todo</t>
        </is>
      </c>
      <c r="Z202">
        <f>(M202*Weights!$B$2) + (MIN(Q202,Weights!$B$5)*Weights!$B$3*(W202/100)*Weights!$B$4)</f>
        <v/>
      </c>
      <c r="AA202">
        <f>IF(Z202= ,,RANK.EQ({pri_col_letter}{r},{pri_range},0))</f>
        <v/>
      </c>
    </row>
    <row r="203">
      <c r="A203" t="inlineStr">
        <is>
          <t>Mark Cuban Cost Plus Drug Company, PBC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20</v>
      </c>
      <c r="N203" t="inlineStr">
        <is>
          <t>Tier 4</t>
        </is>
      </c>
      <c r="O203" t="inlineStr">
        <is>
          <t>David Chen — Chief Supply Chain Officer</t>
        </is>
      </c>
      <c r="P203" t="inlineStr">
        <is>
          <t>Chief Supply Chain Officer</t>
        </is>
      </c>
      <c r="Y203" t="inlineStr">
        <is>
          <t>todo</t>
        </is>
      </c>
      <c r="Z203">
        <f>(M203*Weights!$B$2) + (MIN(Q203,Weights!$B$5)*Weights!$B$3*(W203/100)*Weights!$B$4)</f>
        <v/>
      </c>
      <c r="AA203">
        <f>IF(Z203= ,,RANK.EQ({pri_col_letter}{r},{pri_range},0))</f>
        <v/>
      </c>
    </row>
    <row r="204">
      <c r="A204" t="inlineStr">
        <is>
          <t>Mary Kay</t>
        </is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20</v>
      </c>
      <c r="N204" t="inlineStr">
        <is>
          <t>Tier 4</t>
        </is>
      </c>
      <c r="O204" t="inlineStr">
        <is>
          <t>Mike Ringsdorf — Vice President Transportation &amp; Logistics</t>
        </is>
      </c>
      <c r="P204" t="inlineStr">
        <is>
          <t>Vice President Transportation &amp; Logistics</t>
        </is>
      </c>
      <c r="Y204" t="inlineStr">
        <is>
          <t>todo</t>
        </is>
      </c>
      <c r="Z204">
        <f>(M204*Weights!$B$2) + (MIN(Q204,Weights!$B$5)*Weights!$B$3*(W204/100)*Weights!$B$4)</f>
        <v/>
      </c>
      <c r="AA204">
        <f>IF(Z204= ,,RANK.EQ({pri_col_letter}{r},{pri_range},0))</f>
        <v/>
      </c>
    </row>
    <row r="205">
      <c r="A205" t="inlineStr">
        <is>
          <t>Mastercard</t>
        </is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20</v>
      </c>
      <c r="N205" t="inlineStr">
        <is>
          <t>Tier 4</t>
        </is>
      </c>
      <c r="O205" t="inlineStr">
        <is>
          <t>Mark Aquilina — Global Head B2B Transportation</t>
        </is>
      </c>
      <c r="P205" t="inlineStr">
        <is>
          <t>Global Head B2B Transportation</t>
        </is>
      </c>
      <c r="Y205" t="inlineStr">
        <is>
          <t>todo</t>
        </is>
      </c>
      <c r="Z205">
        <f>(M205*Weights!$B$2) + (MIN(Q205,Weights!$B$5)*Weights!$B$3*(W205/100)*Weights!$B$4)</f>
        <v/>
      </c>
      <c r="AA205">
        <f>IF(Z205= ,,RANK.EQ({pri_col_letter}{r},{pri_range},0))</f>
        <v/>
      </c>
    </row>
    <row r="206">
      <c r="A206" t="inlineStr">
        <is>
          <t>McDonald's</t>
        </is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20</v>
      </c>
      <c r="N206" t="inlineStr">
        <is>
          <t>Tier 4</t>
        </is>
      </c>
      <c r="O206" t="inlineStr">
        <is>
          <t>Bob Stewart — Former SVP &amp; Chief Supply Chain Officer NA</t>
        </is>
      </c>
      <c r="P206" t="inlineStr">
        <is>
          <t>Former SVP &amp; Chief Supply Chain Officer NA</t>
        </is>
      </c>
      <c r="Y206" t="inlineStr">
        <is>
          <t>todo</t>
        </is>
      </c>
      <c r="Z206">
        <f>(M206*Weights!$B$2) + (MIN(Q206,Weights!$B$5)*Weights!$B$3*(W206/100)*Weights!$B$4)</f>
        <v/>
      </c>
      <c r="AA206">
        <f>IF(Z206= ,,RANK.EQ({pri_col_letter}{r},{pri_range},0))</f>
        <v/>
      </c>
    </row>
    <row r="207">
      <c r="A207" t="inlineStr">
        <is>
          <t>McGriff Insurance Services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20</v>
      </c>
      <c r="N207" t="inlineStr">
        <is>
          <t>Tier 4</t>
        </is>
      </c>
      <c r="O207" t="inlineStr">
        <is>
          <t>Ryan Harvey — VP, Logistics Insurance &amp; Risk Strategy</t>
        </is>
      </c>
      <c r="P207" t="inlineStr">
        <is>
          <t>VP, Logistics Insurance &amp; Risk Strategy</t>
        </is>
      </c>
      <c r="Y207" t="inlineStr">
        <is>
          <t>todo</t>
        </is>
      </c>
      <c r="Z207">
        <f>(M207*Weights!$B$2) + (MIN(Q207,Weights!$B$5)*Weights!$B$3*(W207/100)*Weights!$B$4)</f>
        <v/>
      </c>
      <c r="AA207">
        <f>IF(Z207= ,,RANK.EQ({pri_col_letter}{r},{pri_range},0))</f>
        <v/>
      </c>
    </row>
    <row r="208">
      <c r="A208" t="inlineStr">
        <is>
          <t>Medtronic</t>
        </is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20</v>
      </c>
      <c r="N208" t="inlineStr">
        <is>
          <t>Tier 4</t>
        </is>
      </c>
      <c r="O208" t="inlineStr">
        <is>
          <t>Dov Shenkman — Former VP of Global Supply Chain</t>
        </is>
      </c>
      <c r="P208" t="inlineStr">
        <is>
          <t>Former VP of Global Supply Chain</t>
        </is>
      </c>
      <c r="Y208" t="inlineStr">
        <is>
          <t>todo</t>
        </is>
      </c>
      <c r="Z208">
        <f>(M208*Weights!$B$2) + (MIN(Q208,Weights!$B$5)*Weights!$B$3*(W208/100)*Weights!$B$4)</f>
        <v/>
      </c>
      <c r="AA208">
        <f>IF(Z208= ,,RANK.EQ({pri_col_letter}{r},{pri_range},0))</f>
        <v/>
      </c>
    </row>
    <row r="209">
      <c r="A209" t="inlineStr">
        <is>
          <t>Milwaukee Tool</t>
        </is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20</v>
      </c>
      <c r="N209" t="inlineStr">
        <is>
          <t>Tier 4</t>
        </is>
      </c>
      <c r="O209" t="inlineStr">
        <is>
          <t>Jeffrey Dudzick — VP, Supply Chain – Transportation</t>
        </is>
      </c>
      <c r="P209" t="inlineStr">
        <is>
          <t>VP, Supply Chain – Transportation</t>
        </is>
      </c>
      <c r="Y209" t="inlineStr">
        <is>
          <t>todo</t>
        </is>
      </c>
      <c r="Z209">
        <f>(M209*Weights!$B$2) + (MIN(Q209,Weights!$B$5)*Weights!$B$3*(W209/100)*Weights!$B$4)</f>
        <v/>
      </c>
      <c r="AA209">
        <f>IF(Z209= ,,RANK.EQ({pri_col_letter}{r},{pri_range},0))</f>
        <v/>
      </c>
    </row>
    <row r="210">
      <c r="A210" t="inlineStr">
        <is>
          <t>Miss Debbie's Road to Reading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20</v>
      </c>
      <c r="N210" t="inlineStr">
        <is>
          <t>Tier 4</t>
        </is>
      </c>
      <c r="O210" t="inlineStr">
        <is>
          <t>Jason Babb — Head of Operations</t>
        </is>
      </c>
      <c r="P210" t="inlineStr">
        <is>
          <t>Head of Operations</t>
        </is>
      </c>
      <c r="Y210" t="inlineStr">
        <is>
          <t>todo</t>
        </is>
      </c>
      <c r="Z210">
        <f>(M210*Weights!$B$2) + (MIN(Q210,Weights!$B$5)*Weights!$B$3*(W210/100)*Weights!$B$4)</f>
        <v/>
      </c>
      <c r="AA210">
        <f>IF(Z210= ,,RANK.EQ({pri_col_letter}{r},{pri_range},0))</f>
        <v/>
      </c>
    </row>
    <row r="211">
      <c r="A211" t="inlineStr">
        <is>
          <t>Mitsubishi Power Americas</t>
        </is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20</v>
      </c>
      <c r="N211" t="inlineStr">
        <is>
          <t>Tier 4</t>
        </is>
      </c>
      <c r="O211" t="inlineStr">
        <is>
          <t>Agustin Harriague — VP, Logistics &amp; Supply Chain Operational Excellence</t>
        </is>
      </c>
      <c r="P211" t="inlineStr">
        <is>
          <t>VP, Logistics &amp; Supply Chain Operational Excellence</t>
        </is>
      </c>
      <c r="Y211" t="inlineStr">
        <is>
          <t>todo</t>
        </is>
      </c>
      <c r="Z211">
        <f>(M211*Weights!$B$2) + (MIN(Q211,Weights!$B$5)*Weights!$B$3*(W211/100)*Weights!$B$4)</f>
        <v/>
      </c>
      <c r="AA211">
        <f>IF(Z211= ,,RANK.EQ({pri_col_letter}{r},{pri_range},0))</f>
        <v/>
      </c>
    </row>
    <row r="212">
      <c r="A212" t="inlineStr">
        <is>
          <t>Molex</t>
        </is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20</v>
      </c>
      <c r="N212" t="inlineStr">
        <is>
          <t>Tier 4</t>
        </is>
      </c>
      <c r="O212" t="inlineStr">
        <is>
          <t>Manju Parkhe — EVP, Supply Chain</t>
        </is>
      </c>
      <c r="P212" t="inlineStr">
        <is>
          <t>EVP, Supply Chain</t>
        </is>
      </c>
      <c r="Y212" t="inlineStr">
        <is>
          <t>todo</t>
        </is>
      </c>
      <c r="Z212">
        <f>(M212*Weights!$B$2) + (MIN(Q212,Weights!$B$5)*Weights!$B$3*(W212/100)*Weights!$B$4)</f>
        <v/>
      </c>
      <c r="AA212">
        <f>IF(Z212= ,,RANK.EQ({pri_col_letter}{r},{pri_range},0))</f>
        <v/>
      </c>
    </row>
    <row r="213">
      <c r="A213" t="inlineStr">
        <is>
          <t>NAI James E. Hanson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20</v>
      </c>
      <c r="N213" t="inlineStr">
        <is>
          <t>Tier 4</t>
        </is>
      </c>
      <c r="O213" t="inlineStr">
        <is>
          <t>Steve Pastor — SVP, GLOBAL SUPPLY CHAIN&amp;PORTS/LOGISTICS</t>
        </is>
      </c>
      <c r="P213" t="inlineStr">
        <is>
          <t>SVP, GLOBAL SUPPLY CHAIN&amp;PORTS/LOGISTICS</t>
        </is>
      </c>
      <c r="Y213" t="inlineStr">
        <is>
          <t>todo</t>
        </is>
      </c>
      <c r="Z213">
        <f>(M213*Weights!$B$2) + (MIN(Q213,Weights!$B$5)*Weights!$B$3*(W213/100)*Weights!$B$4)</f>
        <v/>
      </c>
      <c r="AA213">
        <f>IF(Z213= ,,RANK.EQ({pri_col_letter}{r},{pri_range},0))</f>
        <v/>
      </c>
    </row>
    <row r="214">
      <c r="A214" t="inlineStr">
        <is>
          <t>NOVOS</t>
        </is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20</v>
      </c>
      <c r="N214" t="inlineStr">
        <is>
          <t>Tier 4</t>
        </is>
      </c>
      <c r="O214" t="inlineStr">
        <is>
          <t>Sean Herwaldt — Head of Supply Chain &amp; Customer Experience</t>
        </is>
      </c>
      <c r="P214" t="inlineStr">
        <is>
          <t>Head of Supply Chain &amp; Customer Experience</t>
        </is>
      </c>
      <c r="Y214" t="inlineStr">
        <is>
          <t>todo</t>
        </is>
      </c>
      <c r="Z214">
        <f>(M214*Weights!$B$2) + (MIN(Q214,Weights!$B$5)*Weights!$B$3*(W214/100)*Weights!$B$4)</f>
        <v/>
      </c>
      <c r="AA214">
        <f>IF(Z214= ,,RANK.EQ({pri_col_letter}{r},{pri_range},0))</f>
        <v/>
      </c>
    </row>
    <row r="215">
      <c r="A215" t="inlineStr">
        <is>
          <t>Nando's Group Limited</t>
        </is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20</v>
      </c>
      <c r="N215" t="inlineStr">
        <is>
          <t>Tier 4</t>
        </is>
      </c>
      <c r="O215" t="inlineStr">
        <is>
          <t>Linda Reddy — Global Head of Supply Chain</t>
        </is>
      </c>
      <c r="P215" t="inlineStr">
        <is>
          <t>Global Head of Supply Chain</t>
        </is>
      </c>
      <c r="Y215" t="inlineStr">
        <is>
          <t>todo</t>
        </is>
      </c>
      <c r="Z215">
        <f>(M215*Weights!$B$2) + (MIN(Q215,Weights!$B$5)*Weights!$B$3*(W215/100)*Weights!$B$4)</f>
        <v/>
      </c>
      <c r="AA215">
        <f>IF(Z215= ,,RANK.EQ({pri_col_letter}{r},{pri_range},0))</f>
        <v/>
      </c>
    </row>
    <row r="216">
      <c r="A216" t="inlineStr">
        <is>
          <t>Natura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20</v>
      </c>
      <c r="N216" t="inlineStr">
        <is>
          <t>Tier 4</t>
        </is>
      </c>
      <c r="O216" t="inlineStr">
        <is>
          <t>Eduardo Friere — Head of Supply Chain</t>
        </is>
      </c>
      <c r="P216" t="inlineStr">
        <is>
          <t>Head of Supply Chain</t>
        </is>
      </c>
      <c r="Y216" t="inlineStr">
        <is>
          <t>todo</t>
        </is>
      </c>
      <c r="Z216">
        <f>(M216*Weights!$B$2) + (MIN(Q216,Weights!$B$5)*Weights!$B$3*(W216/100)*Weights!$B$4)</f>
        <v/>
      </c>
      <c r="AA216">
        <f>IF(Z216= ,,RANK.EQ({pri_col_letter}{r},{pri_range},0))</f>
        <v/>
      </c>
    </row>
    <row r="217">
      <c r="A217" t="inlineStr">
        <is>
          <t>Nishi Nippon Railroad USA</t>
        </is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20</v>
      </c>
      <c r="N217" t="inlineStr">
        <is>
          <t>Tier 4</t>
        </is>
      </c>
      <c r="O217" t="inlineStr">
        <is>
          <t>Jeff McDonald — Executive Vice President - Global Logistics</t>
        </is>
      </c>
      <c r="P217" t="inlineStr">
        <is>
          <t>Executive Vice President - Global Logistics</t>
        </is>
      </c>
      <c r="Y217" t="inlineStr">
        <is>
          <t>todo</t>
        </is>
      </c>
      <c r="Z217">
        <f>(M217*Weights!$B$2) + (MIN(Q217,Weights!$B$5)*Weights!$B$3*(W217/100)*Weights!$B$4)</f>
        <v/>
      </c>
      <c r="AA217">
        <f>IF(Z217= ,,RANK.EQ({pri_col_letter}{r},{pri_range},0))</f>
        <v/>
      </c>
    </row>
    <row r="218">
      <c r="A218" t="inlineStr">
        <is>
          <t>Nokia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20</v>
      </c>
      <c r="N218" t="inlineStr">
        <is>
          <t>Tier 4</t>
        </is>
      </c>
      <c r="O218" t="inlineStr">
        <is>
          <t>Dénes Bozsó — Head of Order Fulfillment Planning Europe and North America</t>
        </is>
      </c>
      <c r="P218" t="inlineStr">
        <is>
          <t>Head of Order Fulfillment Planning Europe and North America</t>
        </is>
      </c>
      <c r="Y218" t="inlineStr">
        <is>
          <t>todo</t>
        </is>
      </c>
      <c r="Z218">
        <f>(M218*Weights!$B$2) + (MIN(Q218,Weights!$B$5)*Weights!$B$3*(W218/100)*Weights!$B$4)</f>
        <v/>
      </c>
      <c r="AA218">
        <f>IF(Z218= ,,RANK.EQ({pri_col_letter}{r},{pri_range},0))</f>
        <v/>
      </c>
    </row>
    <row r="219">
      <c r="A219" t="inlineStr">
        <is>
          <t>Northern Chef</t>
        </is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20</v>
      </c>
      <c r="N219" t="inlineStr">
        <is>
          <t>Tier 4</t>
        </is>
      </c>
      <c r="O219" t="inlineStr">
        <is>
          <t>Justin Lancaster — Vice President of Supply Chain</t>
        </is>
      </c>
      <c r="P219" t="inlineStr">
        <is>
          <t>Vice President of Supply Chain</t>
        </is>
      </c>
      <c r="Y219" t="inlineStr">
        <is>
          <t>todo</t>
        </is>
      </c>
      <c r="Z219">
        <f>(M219*Weights!$B$2) + (MIN(Q219,Weights!$B$5)*Weights!$B$3*(W219/100)*Weights!$B$4)</f>
        <v/>
      </c>
      <c r="AA219">
        <f>IF(Z219= ,,RANK.EQ({pri_col_letter}{r},{pri_range},0))</f>
        <v/>
      </c>
    </row>
    <row r="220">
      <c r="A220" t="inlineStr">
        <is>
          <t>Northwestern Medicine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20</v>
      </c>
      <c r="N220" t="inlineStr">
        <is>
          <t>Tier 4</t>
        </is>
      </c>
      <c r="O220" t="inlineStr">
        <is>
          <t>Michael Hopkins — VP, Supply Chain Distribution &amp; Logistics</t>
        </is>
      </c>
      <c r="P220" t="inlineStr">
        <is>
          <t>VP, Supply Chain Distribution &amp; Logistics</t>
        </is>
      </c>
      <c r="Y220" t="inlineStr">
        <is>
          <t>todo</t>
        </is>
      </c>
      <c r="Z220">
        <f>(M220*Weights!$B$2) + (MIN(Q220,Weights!$B$5)*Weights!$B$3*(W220/100)*Weights!$B$4)</f>
        <v/>
      </c>
      <c r="AA220">
        <f>IF(Z220= ,,RANK.EQ({pri_col_letter}{r},{pri_range},0))</f>
        <v/>
      </c>
    </row>
    <row r="221">
      <c r="A221" t="inlineStr">
        <is>
          <t>Pandora</t>
        </is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20</v>
      </c>
      <c r="N221" t="inlineStr">
        <is>
          <t>Tier 4</t>
        </is>
      </c>
      <c r="O221" t="inlineStr">
        <is>
          <t>Dawn Swackhamer — VP Global Operations &amp; Planning Technology</t>
        </is>
      </c>
      <c r="P221" t="inlineStr">
        <is>
          <t>VP Global Operations &amp; Planning Technology</t>
        </is>
      </c>
      <c r="Y221" t="inlineStr">
        <is>
          <t>todo</t>
        </is>
      </c>
      <c r="Z221">
        <f>(M221*Weights!$B$2) + (MIN(Q221,Weights!$B$5)*Weights!$B$3*(W221/100)*Weights!$B$4)</f>
        <v/>
      </c>
      <c r="AA221">
        <f>IF(Z221= ,,RANK.EQ({pri_col_letter}{r},{pri_range},0))</f>
        <v/>
      </c>
    </row>
    <row r="222">
      <c r="A222" t="inlineStr">
        <is>
          <t>Picanova Inc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20</v>
      </c>
      <c r="N222" t="inlineStr">
        <is>
          <t>Tier 4</t>
        </is>
      </c>
      <c r="O222" t="inlineStr">
        <is>
          <t>Tomasz Biskup — Head of Logistics</t>
        </is>
      </c>
      <c r="P222" t="inlineStr">
        <is>
          <t>Head of Logistics</t>
        </is>
      </c>
      <c r="Y222" t="inlineStr">
        <is>
          <t>todo</t>
        </is>
      </c>
      <c r="Z222">
        <f>(M222*Weights!$B$2) + (MIN(Q222,Weights!$B$5)*Weights!$B$3*(W222/100)*Weights!$B$4)</f>
        <v/>
      </c>
      <c r="AA222">
        <f>IF(Z222= ,,RANK.EQ({pri_col_letter}{r},{pri_range},0))</f>
        <v/>
      </c>
    </row>
    <row r="223">
      <c r="A223" t="inlineStr">
        <is>
          <t>Pipsticks</t>
        </is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20</v>
      </c>
      <c r="N223" t="inlineStr">
        <is>
          <t>Tier 4</t>
        </is>
      </c>
      <c r="O223" t="inlineStr">
        <is>
          <t>Allison Rud — Head of Operations</t>
        </is>
      </c>
      <c r="P223" t="inlineStr">
        <is>
          <t>Head of Operations</t>
        </is>
      </c>
      <c r="Y223" t="inlineStr">
        <is>
          <t>todo</t>
        </is>
      </c>
      <c r="Z223">
        <f>(M223*Weights!$B$2) + (MIN(Q223,Weights!$B$5)*Weights!$B$3*(W223/100)*Weights!$B$4)</f>
        <v/>
      </c>
      <c r="AA223">
        <f>IF(Z223= ,,RANK.EQ({pri_col_letter}{r},{pri_range},0))</f>
        <v/>
      </c>
    </row>
    <row r="224">
      <c r="A224" t="inlineStr">
        <is>
          <t>Popmart</t>
        </is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20</v>
      </c>
      <c r="N224" t="inlineStr">
        <is>
          <t>Tier 4</t>
        </is>
      </c>
      <c r="O224" t="inlineStr">
        <is>
          <t>Tim Castellanos — Head of Logistics Americas</t>
        </is>
      </c>
      <c r="P224" t="inlineStr">
        <is>
          <t>Head of Logistics Americas</t>
        </is>
      </c>
      <c r="Y224" t="inlineStr">
        <is>
          <t>todo</t>
        </is>
      </c>
      <c r="Z224">
        <f>(M224*Weights!$B$2) + (MIN(Q224,Weights!$B$5)*Weights!$B$3*(W224/100)*Weights!$B$4)</f>
        <v/>
      </c>
      <c r="AA224">
        <f>IF(Z224= ,,RANK.EQ({pri_col_letter}{r},{pri_range},0))</f>
        <v/>
      </c>
    </row>
    <row r="225">
      <c r="A225" t="inlineStr">
        <is>
          <t>Portless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20</v>
      </c>
      <c r="N225" t="inlineStr">
        <is>
          <t>Tier 4</t>
        </is>
      </c>
      <c r="O225" t="inlineStr">
        <is>
          <t>Rajan Devnath — GM Operations</t>
        </is>
      </c>
      <c r="P225" t="inlineStr">
        <is>
          <t>GM Operations</t>
        </is>
      </c>
      <c r="Y225" t="inlineStr">
        <is>
          <t>todo</t>
        </is>
      </c>
      <c r="Z225">
        <f>(M225*Weights!$B$2) + (MIN(Q225,Weights!$B$5)*Weights!$B$3*(W225/100)*Weights!$B$4)</f>
        <v/>
      </c>
      <c r="AA225">
        <f>IF(Z225= ,,RANK.EQ({pri_col_letter}{r},{pri_range},0))</f>
        <v/>
      </c>
    </row>
    <row r="226">
      <c r="A226" t="inlineStr">
        <is>
          <t>QSC</t>
        </is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20</v>
      </c>
      <c r="N226" t="inlineStr">
        <is>
          <t>Tier 4</t>
        </is>
      </c>
      <c r="O226" t="inlineStr">
        <is>
          <t>Karon Evanoff — SVP Global Operations</t>
        </is>
      </c>
      <c r="P226" t="inlineStr">
        <is>
          <t>SVP Global Operations</t>
        </is>
      </c>
      <c r="Y226" t="inlineStr">
        <is>
          <t>todo</t>
        </is>
      </c>
      <c r="Z226">
        <f>(M226*Weights!$B$2) + (MIN(Q226,Weights!$B$5)*Weights!$B$3*(W226/100)*Weights!$B$4)</f>
        <v/>
      </c>
      <c r="AA226">
        <f>IF(Z226= ,,RANK.EQ({pri_col_letter}{r},{pri_range},0))</f>
        <v/>
      </c>
    </row>
    <row r="227">
      <c r="A227" t="inlineStr">
        <is>
          <t>RH</t>
        </is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20</v>
      </c>
      <c r="N227" t="inlineStr">
        <is>
          <t>Tier 4</t>
        </is>
      </c>
      <c r="O227" t="inlineStr">
        <is>
          <t>Stein Syversen — VP Supply Chain &amp; Logistics</t>
        </is>
      </c>
      <c r="P227" t="inlineStr">
        <is>
          <t>VP Supply Chain &amp; Logistics</t>
        </is>
      </c>
      <c r="Y227" t="inlineStr">
        <is>
          <t>todo</t>
        </is>
      </c>
      <c r="Z227">
        <f>(M227*Weights!$B$2) + (MIN(Q227,Weights!$B$5)*Weights!$B$3*(W227/100)*Weights!$B$4)</f>
        <v/>
      </c>
      <c r="AA227">
        <f>IF(Z227= ,,RANK.EQ({pri_col_letter}{r},{pri_range},0))</f>
        <v/>
      </c>
    </row>
    <row r="228">
      <c r="A228" t="inlineStr">
        <is>
          <t>Range Energy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20</v>
      </c>
      <c r="N228" t="inlineStr">
        <is>
          <t>Tier 4</t>
        </is>
      </c>
      <c r="O228" t="inlineStr">
        <is>
          <t>Brandon Harris — Head of Supply Chain</t>
        </is>
      </c>
      <c r="P228" t="inlineStr">
        <is>
          <t>Head of Supply Chain</t>
        </is>
      </c>
      <c r="Y228" t="inlineStr">
        <is>
          <t>todo</t>
        </is>
      </c>
      <c r="Z228">
        <f>(M228*Weights!$B$2) + (MIN(Q228,Weights!$B$5)*Weights!$B$3*(W228/100)*Weights!$B$4)</f>
        <v/>
      </c>
      <c r="AA228">
        <f>IF(Z228= ,,RANK.EQ({pri_col_letter}{r},{pri_range},0))</f>
        <v/>
      </c>
    </row>
    <row r="229">
      <c r="A229" t="inlineStr">
        <is>
          <t>Registrix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20</v>
      </c>
      <c r="N229" t="inlineStr">
        <is>
          <t>Tier 4</t>
        </is>
      </c>
      <c r="O229" t="inlineStr">
        <is>
          <t>Robert Lubanski — VP Transportation</t>
        </is>
      </c>
      <c r="P229" t="inlineStr">
        <is>
          <t>VP Transportation</t>
        </is>
      </c>
      <c r="Y229" t="inlineStr">
        <is>
          <t>todo</t>
        </is>
      </c>
      <c r="Z229">
        <f>(M229*Weights!$B$2) + (MIN(Q229,Weights!$B$5)*Weights!$B$3*(W229/100)*Weights!$B$4)</f>
        <v/>
      </c>
      <c r="AA229">
        <f>IF(Z229= ,,RANK.EQ({pri_col_letter}{r},{pri_range},0))</f>
        <v/>
      </c>
    </row>
    <row r="230">
      <c r="A230" t="inlineStr">
        <is>
          <t>RoC Skincare</t>
        </is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20</v>
      </c>
      <c r="N230" t="inlineStr">
        <is>
          <t>Tier 4</t>
        </is>
      </c>
      <c r="O230" t="inlineStr">
        <is>
          <t>Iris Lo — SVP, Supply Chain</t>
        </is>
      </c>
      <c r="P230" t="inlineStr">
        <is>
          <t>SVP, Supply Chain</t>
        </is>
      </c>
      <c r="Y230" t="inlineStr">
        <is>
          <t>todo</t>
        </is>
      </c>
      <c r="Z230">
        <f>(M230*Weights!$B$2) + (MIN(Q230,Weights!$B$5)*Weights!$B$3*(W230/100)*Weights!$B$4)</f>
        <v/>
      </c>
      <c r="AA230">
        <f>IF(Z230= ,,RANK.EQ({pri_col_letter}{r},{pri_range},0))</f>
        <v/>
      </c>
    </row>
    <row r="231">
      <c r="A231" t="inlineStr">
        <is>
          <t>Schwarz IT KG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20</v>
      </c>
      <c r="N231" t="inlineStr">
        <is>
          <t>Tier 4</t>
        </is>
      </c>
      <c r="O231" t="inlineStr">
        <is>
          <t>Sven Homes — SVP - IT SCM and Logistics</t>
        </is>
      </c>
      <c r="P231" t="inlineStr">
        <is>
          <t>SVP - IT SCM and Logistics</t>
        </is>
      </c>
      <c r="Y231" t="inlineStr">
        <is>
          <t>todo</t>
        </is>
      </c>
      <c r="Z231">
        <f>(M231*Weights!$B$2) + (MIN(Q231,Weights!$B$5)*Weights!$B$3*(W231/100)*Weights!$B$4)</f>
        <v/>
      </c>
      <c r="AA231">
        <f>IF(Z231= ,,RANK.EQ({pri_col_letter}{r},{pri_range},0))</f>
        <v/>
      </c>
    </row>
    <row r="232">
      <c r="A232" t="inlineStr">
        <is>
          <t>Scope23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20</v>
      </c>
      <c r="N232" t="inlineStr">
        <is>
          <t>Tier 4</t>
        </is>
      </c>
      <c r="O232" t="inlineStr">
        <is>
          <t>Bryce Madsen — Head of Commercial Operations</t>
        </is>
      </c>
      <c r="P232" t="inlineStr">
        <is>
          <t>Head of Commercial Operations</t>
        </is>
      </c>
      <c r="Y232" t="inlineStr">
        <is>
          <t>todo</t>
        </is>
      </c>
      <c r="Z232">
        <f>(M232*Weights!$B$2) + (MIN(Q232,Weights!$B$5)*Weights!$B$3*(W232/100)*Weights!$B$4)</f>
        <v/>
      </c>
      <c r="AA232">
        <f>IF(Z232= ,,RANK.EQ({pri_col_letter}{r},{pri_range},0))</f>
        <v/>
      </c>
    </row>
    <row r="233">
      <c r="A233" t="inlineStr">
        <is>
          <t>ShipOffers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20</v>
      </c>
      <c r="N233" t="inlineStr">
        <is>
          <t>Tier 4</t>
        </is>
      </c>
      <c r="O233" t="inlineStr">
        <is>
          <t>Kaleb Mondragon — Vice President of Operational Logistics</t>
        </is>
      </c>
      <c r="P233" t="inlineStr">
        <is>
          <t>Vice President of Operational Logistics</t>
        </is>
      </c>
      <c r="Y233" t="inlineStr">
        <is>
          <t>todo</t>
        </is>
      </c>
      <c r="Z233">
        <f>(M233*Weights!$B$2) + (MIN(Q233,Weights!$B$5)*Weights!$B$3*(W233/100)*Weights!$B$4)</f>
        <v/>
      </c>
      <c r="AA233">
        <f>IF(Z233= ,,RANK.EQ({pri_col_letter}{r},{pri_range},0))</f>
        <v/>
      </c>
    </row>
    <row r="234">
      <c r="A234" t="inlineStr">
        <is>
          <t>Smalls</t>
        </is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20</v>
      </c>
      <c r="N234" t="inlineStr">
        <is>
          <t>Tier 4</t>
        </is>
      </c>
      <c r="O234" t="inlineStr">
        <is>
          <t>Agla Fridjons — VP of Supply Chain</t>
        </is>
      </c>
      <c r="P234" t="inlineStr">
        <is>
          <t>VP of Supply Chain</t>
        </is>
      </c>
      <c r="Y234" t="inlineStr">
        <is>
          <t>todo</t>
        </is>
      </c>
      <c r="Z234">
        <f>(M234*Weights!$B$2) + (MIN(Q234,Weights!$B$5)*Weights!$B$3*(W234/100)*Weights!$B$4)</f>
        <v/>
      </c>
      <c r="AA234">
        <f>IF(Z234= ,,RANK.EQ({pri_col_letter}{r},{pri_range},0))</f>
        <v/>
      </c>
    </row>
    <row r="235">
      <c r="A235" t="inlineStr">
        <is>
          <t>Spirit Tea</t>
        </is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20</v>
      </c>
      <c r="N235" t="inlineStr">
        <is>
          <t>Tier 4</t>
        </is>
      </c>
      <c r="O235" t="inlineStr">
        <is>
          <t>Lael Atkins — Head of Operations</t>
        </is>
      </c>
      <c r="P235" t="inlineStr">
        <is>
          <t>Head of Operations</t>
        </is>
      </c>
      <c r="Y235" t="inlineStr">
        <is>
          <t>todo</t>
        </is>
      </c>
      <c r="Z235">
        <f>(M235*Weights!$B$2) + (MIN(Q235,Weights!$B$5)*Weights!$B$3*(W235/100)*Weights!$B$4)</f>
        <v/>
      </c>
      <c r="AA235">
        <f>IF(Z235= ,,RANK.EQ({pri_col_letter}{r},{pri_range},0))</f>
        <v/>
      </c>
    </row>
    <row r="236">
      <c r="A236" t="inlineStr">
        <is>
          <t>Sun-Maid Growers of California</t>
        </is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20</v>
      </c>
      <c r="N236" t="inlineStr">
        <is>
          <t>Tier 4</t>
        </is>
      </c>
      <c r="O236" t="inlineStr">
        <is>
          <t>John Slinkard — SVP, Supply Chain</t>
        </is>
      </c>
      <c r="P236" t="inlineStr">
        <is>
          <t>SVP, Supply Chain</t>
        </is>
      </c>
      <c r="Y236" t="inlineStr">
        <is>
          <t>todo</t>
        </is>
      </c>
      <c r="Z236">
        <f>(M236*Weights!$B$2) + (MIN(Q236,Weights!$B$5)*Weights!$B$3*(W236/100)*Weights!$B$4)</f>
        <v/>
      </c>
      <c r="AA236">
        <f>IF(Z236= ,,RANK.EQ({pri_col_letter}{r},{pri_range},0))</f>
        <v/>
      </c>
    </row>
    <row r="237">
      <c r="A237" t="inlineStr">
        <is>
          <t>Superior Industries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20</v>
      </c>
      <c r="N237" t="inlineStr">
        <is>
          <t>Tier 4</t>
        </is>
      </c>
      <c r="O237" t="inlineStr">
        <is>
          <t>Mark S. Arnold — VP Global Supply Chain</t>
        </is>
      </c>
      <c r="P237" t="inlineStr">
        <is>
          <t>VP Global Supply Chain</t>
        </is>
      </c>
      <c r="Y237" t="inlineStr">
        <is>
          <t>todo</t>
        </is>
      </c>
      <c r="Z237">
        <f>(M237*Weights!$B$2) + (MIN(Q237,Weights!$B$5)*Weights!$B$3*(W237/100)*Weights!$B$4)</f>
        <v/>
      </c>
      <c r="AA237">
        <f>IF(Z237= ,,RANK.EQ({pri_col_letter}{r},{pri_range},0))</f>
        <v/>
      </c>
    </row>
    <row r="238">
      <c r="A238" t="inlineStr">
        <is>
          <t>TSEA ENERGIA USA</t>
        </is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20</v>
      </c>
      <c r="N238" t="inlineStr">
        <is>
          <t>Tier 4</t>
        </is>
      </c>
      <c r="O238" t="inlineStr">
        <is>
          <t>SILVINA MENDEZ — HEAD OF LOGISTICS, USA</t>
        </is>
      </c>
      <c r="P238" t="inlineStr">
        <is>
          <t>HEAD OF LOGISTICS, USA</t>
        </is>
      </c>
      <c r="Y238" t="inlineStr">
        <is>
          <t>todo</t>
        </is>
      </c>
      <c r="Z238">
        <f>(M238*Weights!$B$2) + (MIN(Q238,Weights!$B$5)*Weights!$B$3*(W238/100)*Weights!$B$4)</f>
        <v/>
      </c>
      <c r="AA238">
        <f>IF(Z238= ,,RANK.EQ({pri_col_letter}{r},{pri_range},0))</f>
        <v/>
      </c>
    </row>
    <row r="239">
      <c r="A239" t="inlineStr">
        <is>
          <t>Tapestry</t>
        </is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20</v>
      </c>
      <c r="N239" t="inlineStr">
        <is>
          <t>Tier 4</t>
        </is>
      </c>
      <c r="O239" t="inlineStr">
        <is>
          <t>Todd McCullough — VP, Fulfillment and Logistics</t>
        </is>
      </c>
      <c r="P239" t="inlineStr">
        <is>
          <t>VP, Fulfillment and Logistics</t>
        </is>
      </c>
      <c r="Y239" t="inlineStr">
        <is>
          <t>todo</t>
        </is>
      </c>
      <c r="Z239">
        <f>(M239*Weights!$B$2) + (MIN(Q239,Weights!$B$5)*Weights!$B$3*(W239/100)*Weights!$B$4)</f>
        <v/>
      </c>
      <c r="AA239">
        <f>IF(Z239= ,,RANK.EQ({pri_col_letter}{r},{pri_range},0))</f>
        <v/>
      </c>
    </row>
    <row r="240">
      <c r="A240" t="inlineStr">
        <is>
          <t>The Dependable Cos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20</v>
      </c>
      <c r="N240" t="inlineStr">
        <is>
          <t>Tier 4</t>
        </is>
      </c>
      <c r="O240" t="inlineStr">
        <is>
          <t>Todd Neubauer — Senior Vice President of Transportation</t>
        </is>
      </c>
      <c r="P240" t="inlineStr">
        <is>
          <t>Senior Vice President of Transportation</t>
        </is>
      </c>
      <c r="Y240" t="inlineStr">
        <is>
          <t>todo</t>
        </is>
      </c>
      <c r="Z240">
        <f>(M240*Weights!$B$2) + (MIN(Q240,Weights!$B$5)*Weights!$B$3*(W240/100)*Weights!$B$4)</f>
        <v/>
      </c>
      <c r="AA240">
        <f>IF(Z240= ,,RANK.EQ({pri_col_letter}{r},{pri_range},0))</f>
        <v/>
      </c>
    </row>
    <row r="241">
      <c r="A241" t="inlineStr">
        <is>
          <t>The Estée Lauder Companies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20</v>
      </c>
      <c r="N241" t="inlineStr">
        <is>
          <t>Tier 4</t>
        </is>
      </c>
      <c r="O241" t="inlineStr">
        <is>
          <t>Florent Guillet — VP Global Supply Chain Strategy &amp; Value Acceleration</t>
        </is>
      </c>
      <c r="P241" t="inlineStr">
        <is>
          <t>VP Global Supply Chain Strategy &amp; Value Acceleration</t>
        </is>
      </c>
      <c r="Y241" t="inlineStr">
        <is>
          <t>todo</t>
        </is>
      </c>
      <c r="Z241">
        <f>(M241*Weights!$B$2) + (MIN(Q241,Weights!$B$5)*Weights!$B$3*(W241/100)*Weights!$B$4)</f>
        <v/>
      </c>
      <c r="AA241">
        <f>IF(Z241= ,,RANK.EQ({pri_col_letter}{r},{pri_range},0))</f>
        <v/>
      </c>
    </row>
    <row r="242">
      <c r="A242" t="inlineStr">
        <is>
          <t>The Real Real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20</v>
      </c>
      <c r="N242" t="inlineStr">
        <is>
          <t>Tier 4</t>
        </is>
      </c>
      <c r="O242" t="inlineStr">
        <is>
          <t>Paul Laskow — Head of Transportation</t>
        </is>
      </c>
      <c r="P242" t="inlineStr">
        <is>
          <t>Head of Transportation</t>
        </is>
      </c>
      <c r="Y242" t="inlineStr">
        <is>
          <t>todo</t>
        </is>
      </c>
      <c r="Z242">
        <f>(M242*Weights!$B$2) + (MIN(Q242,Weights!$B$5)*Weights!$B$3*(W242/100)*Weights!$B$4)</f>
        <v/>
      </c>
      <c r="AA242">
        <f>IF(Z242= ,,RANK.EQ({pri_col_letter}{r},{pri_range},0))</f>
        <v/>
      </c>
    </row>
    <row r="243">
      <c r="A243" t="inlineStr">
        <is>
          <t>Toolup</t>
        </is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20</v>
      </c>
      <c r="N243" t="inlineStr">
        <is>
          <t>Tier 4</t>
        </is>
      </c>
      <c r="O243" t="inlineStr">
        <is>
          <t>Michael Gambino — VP Operations</t>
        </is>
      </c>
      <c r="P243" t="inlineStr">
        <is>
          <t>VP Operations</t>
        </is>
      </c>
      <c r="Y243" t="inlineStr">
        <is>
          <t>todo</t>
        </is>
      </c>
      <c r="Z243">
        <f>(M243*Weights!$B$2) + (MIN(Q243,Weights!$B$5)*Weights!$B$3*(W243/100)*Weights!$B$4)</f>
        <v/>
      </c>
      <c r="AA243">
        <f>IF(Z243= ,,RANK.EQ({pri_col_letter}{r},{pri_range},0))</f>
        <v/>
      </c>
    </row>
    <row r="244">
      <c r="A244" t="inlineStr">
        <is>
          <t>Trinity Rail Industries</t>
        </is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20</v>
      </c>
      <c r="N244" t="inlineStr">
        <is>
          <t>Tier 4</t>
        </is>
      </c>
      <c r="O244" t="inlineStr">
        <is>
          <t>Ryan Goodwin — Head of Advance Supply Chain</t>
        </is>
      </c>
      <c r="P244" t="inlineStr">
        <is>
          <t>Head of Advance Supply Chain</t>
        </is>
      </c>
      <c r="Y244" t="inlineStr">
        <is>
          <t>todo</t>
        </is>
      </c>
      <c r="Z244">
        <f>(M244*Weights!$B$2) + (MIN(Q244,Weights!$B$5)*Weights!$B$3*(W244/100)*Weights!$B$4)</f>
        <v/>
      </c>
      <c r="AA244">
        <f>IF(Z244= ,,RANK.EQ({pri_col_letter}{r},{pri_range},0))</f>
        <v/>
      </c>
    </row>
    <row r="245">
      <c r="A245" t="inlineStr">
        <is>
          <t>UFP Industries</t>
        </is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20</v>
      </c>
      <c r="N245" t="inlineStr">
        <is>
          <t>Tier 4</t>
        </is>
      </c>
      <c r="O245" t="inlineStr">
        <is>
          <t>Shannon Evans — VP Transportation</t>
        </is>
      </c>
      <c r="P245" t="inlineStr">
        <is>
          <t>VP Transportation</t>
        </is>
      </c>
      <c r="Y245" t="inlineStr">
        <is>
          <t>todo</t>
        </is>
      </c>
      <c r="Z245">
        <f>(M245*Weights!$B$2) + (MIN(Q245,Weights!$B$5)*Weights!$B$3*(W245/100)*Weights!$B$4)</f>
        <v/>
      </c>
      <c r="AA245">
        <f>IF(Z245= ,,RANK.EQ({pri_col_letter}{r},{pri_range},0))</f>
        <v/>
      </c>
    </row>
    <row r="246">
      <c r="A246" t="inlineStr">
        <is>
          <t>US 1 Logistics</t>
        </is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20</v>
      </c>
      <c r="N246" t="inlineStr">
        <is>
          <t>Tier 4</t>
        </is>
      </c>
      <c r="O246" t="inlineStr">
        <is>
          <t>Mark Chandler — EVP &amp; Chief Logistics Officer</t>
        </is>
      </c>
      <c r="P246" t="inlineStr">
        <is>
          <t>EVP &amp; Chief Logistics Officer</t>
        </is>
      </c>
      <c r="Y246" t="inlineStr">
        <is>
          <t>todo</t>
        </is>
      </c>
      <c r="Z246">
        <f>(M246*Weights!$B$2) + (MIN(Q246,Weights!$B$5)*Weights!$B$3*(W246/100)*Weights!$B$4)</f>
        <v/>
      </c>
      <c r="AA246">
        <f>IF(Z246= ,,RANK.EQ({pri_col_letter}{r},{pri_range},0))</f>
        <v/>
      </c>
    </row>
    <row r="247">
      <c r="A247" t="inlineStr">
        <is>
          <t>United Nations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20</v>
      </c>
      <c r="N247" t="inlineStr">
        <is>
          <t>Tier 4</t>
        </is>
      </c>
      <c r="O247" t="inlineStr">
        <is>
          <t>Oronzo Suma — Chief Supply Chain Performance Management Officer</t>
        </is>
      </c>
      <c r="P247" t="inlineStr">
        <is>
          <t>Chief Supply Chain Performance Management Officer</t>
        </is>
      </c>
      <c r="Y247" t="inlineStr">
        <is>
          <t>todo</t>
        </is>
      </c>
      <c r="Z247">
        <f>(M247*Weights!$B$2) + (MIN(Q247,Weights!$B$5)*Weights!$B$3*(W247/100)*Weights!$B$4)</f>
        <v/>
      </c>
      <c r="AA247">
        <f>IF(Z247= ,,RANK.EQ({pri_col_letter}{r},{pri_range},0))</f>
        <v/>
      </c>
    </row>
    <row r="248">
      <c r="A248" t="inlineStr">
        <is>
          <t>Veritiv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20</v>
      </c>
      <c r="N248" t="inlineStr">
        <is>
          <t>Tier 4</t>
        </is>
      </c>
      <c r="O248" t="inlineStr">
        <is>
          <t>Will Vining — Vice President, Strategic Operations</t>
        </is>
      </c>
      <c r="P248" t="inlineStr">
        <is>
          <t>Vice President, Strategic Operations</t>
        </is>
      </c>
      <c r="Y248" t="inlineStr">
        <is>
          <t>todo</t>
        </is>
      </c>
      <c r="Z248">
        <f>(M248*Weights!$B$2) + (MIN(Q248,Weights!$B$5)*Weights!$B$3*(W248/100)*Weights!$B$4)</f>
        <v/>
      </c>
      <c r="AA248">
        <f>IF(Z248= ,,RANK.EQ({pri_col_letter}{r},{pri_range},0))</f>
        <v/>
      </c>
    </row>
    <row r="249">
      <c r="A249" t="inlineStr">
        <is>
          <t>Vertex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20</v>
      </c>
      <c r="N249" t="inlineStr">
        <is>
          <t>Tier 4</t>
        </is>
      </c>
      <c r="O249" t="inlineStr">
        <is>
          <t>Tim Moore — Head of Small Molecule Logistics</t>
        </is>
      </c>
      <c r="P249" t="inlineStr">
        <is>
          <t>Head of Small Molecule Logistics</t>
        </is>
      </c>
      <c r="Y249" t="inlineStr">
        <is>
          <t>todo</t>
        </is>
      </c>
      <c r="Z249">
        <f>(M249*Weights!$B$2) + (MIN(Q249,Weights!$B$5)*Weights!$B$3*(W249/100)*Weights!$B$4)</f>
        <v/>
      </c>
      <c r="AA249">
        <f>IF(Z249= ,,RANK.EQ({pri_col_letter}{r},{pri_range},0))</f>
        <v/>
      </c>
    </row>
    <row r="250">
      <c r="A250" t="inlineStr">
        <is>
          <t>Visteon Corporation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20</v>
      </c>
      <c r="N250" t="inlineStr">
        <is>
          <t>Tier 4</t>
        </is>
      </c>
      <c r="O250" t="inlineStr">
        <is>
          <t>Joao Paulo Ribeiro — Senior Vice President Operations and Supply Chain</t>
        </is>
      </c>
      <c r="P250" t="inlineStr">
        <is>
          <t>Senior Vice President Operations and Supply Chain</t>
        </is>
      </c>
      <c r="Y250" t="inlineStr">
        <is>
          <t>todo</t>
        </is>
      </c>
      <c r="Z250">
        <f>(M250*Weights!$B$2) + (MIN(Q250,Weights!$B$5)*Weights!$B$3*(W250/100)*Weights!$B$4)</f>
        <v/>
      </c>
      <c r="AA250">
        <f>IF(Z250= ,,RANK.EQ({pri_col_letter}{r},{pri_range},0))</f>
        <v/>
      </c>
    </row>
    <row r="251">
      <c r="A251" t="inlineStr">
        <is>
          <t>Volvo Group Service Market Logistics</t>
        </is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20</v>
      </c>
      <c r="N251" t="inlineStr">
        <is>
          <t>Tier 4</t>
        </is>
      </c>
      <c r="O251" t="inlineStr">
        <is>
          <t>Matthew Mallard — Head of Global Transport Parts Management</t>
        </is>
      </c>
      <c r="P251" t="inlineStr">
        <is>
          <t>Head of Global Transport Parts Management</t>
        </is>
      </c>
      <c r="Y251" t="inlineStr">
        <is>
          <t>todo</t>
        </is>
      </c>
      <c r="Z251">
        <f>(M251*Weights!$B$2) + (MIN(Q251,Weights!$B$5)*Weights!$B$3*(W251/100)*Weights!$B$4)</f>
        <v/>
      </c>
      <c r="AA251">
        <f>IF(Z251= ,,RANK.EQ({pri_col_letter}{r},{pri_range},0))</f>
        <v/>
      </c>
    </row>
    <row r="252">
      <c r="A252" t="inlineStr">
        <is>
          <t>Welly Health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20</v>
      </c>
      <c r="N252" t="inlineStr">
        <is>
          <t>Tier 4</t>
        </is>
      </c>
      <c r="O252" t="inlineStr">
        <is>
          <t>Mike Dawson — Vice President of Global Operations &amp; IT</t>
        </is>
      </c>
      <c r="P252" t="inlineStr">
        <is>
          <t>Vice President of Global Operations &amp; IT</t>
        </is>
      </c>
      <c r="Y252" t="inlineStr">
        <is>
          <t>todo</t>
        </is>
      </c>
      <c r="Z252">
        <f>(M252*Weights!$B$2) + (MIN(Q252,Weights!$B$5)*Weights!$B$3*(W252/100)*Weights!$B$4)</f>
        <v/>
      </c>
      <c r="AA252">
        <f>IF(Z252= ,,RANK.EQ({pri_col_letter}{r},{pri_range},0))</f>
        <v/>
      </c>
    </row>
    <row r="253">
      <c r="A253" t="inlineStr">
        <is>
          <t>Wildgrain</t>
        </is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20</v>
      </c>
      <c r="N253" t="inlineStr">
        <is>
          <t>Tier 4</t>
        </is>
      </c>
      <c r="O253" t="inlineStr">
        <is>
          <t>Brendan Duttry — VP Operations</t>
        </is>
      </c>
      <c r="P253" t="inlineStr">
        <is>
          <t>VP Operations</t>
        </is>
      </c>
      <c r="Y253" t="inlineStr">
        <is>
          <t>todo</t>
        </is>
      </c>
      <c r="Z253">
        <f>(M253*Weights!$B$2) + (MIN(Q253,Weights!$B$5)*Weights!$B$3*(W253/100)*Weights!$B$4)</f>
        <v/>
      </c>
      <c r="AA253">
        <f>IF(Z253= ,,RANK.EQ({pri_col_letter}{r},{pri_range},0))</f>
        <v/>
      </c>
    </row>
    <row r="254">
      <c r="A254" t="inlineStr">
        <is>
          <t>XB Logistics</t>
        </is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20</v>
      </c>
      <c r="N254" t="inlineStr">
        <is>
          <t>Tier 4</t>
        </is>
      </c>
      <c r="O254" t="inlineStr">
        <is>
          <t>Dave Rice — Vice President, Compliance &amp; Transportation</t>
        </is>
      </c>
      <c r="P254" t="inlineStr">
        <is>
          <t>Vice President, Compliance &amp; Transportation</t>
        </is>
      </c>
      <c r="Y254" t="inlineStr">
        <is>
          <t>todo</t>
        </is>
      </c>
      <c r="Z254">
        <f>(M254*Weights!$B$2) + (MIN(Q254,Weights!$B$5)*Weights!$B$3*(W254/100)*Weights!$B$4)</f>
        <v/>
      </c>
      <c r="AA254">
        <f>IF(Z254= ,,RANK.EQ({pri_col_letter}{r},{pri_range},0))</f>
        <v/>
      </c>
    </row>
    <row r="255">
      <c r="A255" t="inlineStr">
        <is>
          <t>Zero Motorcycles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20</v>
      </c>
      <c r="N255" t="inlineStr">
        <is>
          <t>Tier 4</t>
        </is>
      </c>
      <c r="O255" t="inlineStr">
        <is>
          <t>Jeff Trevena — Head of Logistics</t>
        </is>
      </c>
      <c r="P255" t="inlineStr">
        <is>
          <t>Head of Logistics</t>
        </is>
      </c>
      <c r="Y255" t="inlineStr">
        <is>
          <t>todo</t>
        </is>
      </c>
      <c r="Z255">
        <f>(M255*Weights!$B$2) + (MIN(Q255,Weights!$B$5)*Weights!$B$3*(W255/100)*Weights!$B$4)</f>
        <v/>
      </c>
      <c r="AA255">
        <f>IF(Z255= ,,RANK.EQ({pri_col_letter}{r},{pri_range},0))</f>
        <v/>
      </c>
    </row>
    <row r="256">
      <c r="A256" t="inlineStr">
        <is>
          <t>adp MERKUR GmbH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20</v>
      </c>
      <c r="N256" t="inlineStr">
        <is>
          <t>Tier 4</t>
        </is>
      </c>
      <c r="O256" t="inlineStr">
        <is>
          <t>Philipp Obermark — Head of Logistics</t>
        </is>
      </c>
      <c r="P256" t="inlineStr">
        <is>
          <t>Head of Logistics</t>
        </is>
      </c>
      <c r="Y256" t="inlineStr">
        <is>
          <t>todo</t>
        </is>
      </c>
      <c r="Z256">
        <f>(M256*Weights!$B$2) + (MIN(Q256,Weights!$B$5)*Weights!$B$3*(W256/100)*Weights!$B$4)</f>
        <v/>
      </c>
      <c r="AA256">
        <f>IF(Z256= ,,RANK.EQ({pri_col_letter}{r},{pri_range},0))</f>
        <v/>
      </c>
    </row>
    <row r="257">
      <c r="A257" t="inlineStr">
        <is>
          <t>eHub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20</v>
      </c>
      <c r="N257" t="inlineStr">
        <is>
          <t>Tier 4</t>
        </is>
      </c>
      <c r="O257" t="inlineStr">
        <is>
          <t>Julian Thomas — VP Carrier Operations</t>
        </is>
      </c>
      <c r="P257" t="inlineStr">
        <is>
          <t>VP Carrier Operations</t>
        </is>
      </c>
      <c r="Y257" t="inlineStr">
        <is>
          <t>todo</t>
        </is>
      </c>
      <c r="Z257">
        <f>(M257*Weights!$B$2) + (MIN(Q257,Weights!$B$5)*Weights!$B$3*(W257/100)*Weights!$B$4)</f>
        <v/>
      </c>
      <c r="AA257">
        <f>IF(Z257= ,,RANK.EQ({pri_col_letter}{r},{pri_range},0))</f>
        <v/>
      </c>
    </row>
    <row r="258">
      <c r="A258" t="inlineStr">
        <is>
          <t>Million Dollar Baby</t>
        </is>
      </c>
      <c r="B258" t="n">
        <v>7</v>
      </c>
      <c r="C258" t="n">
        <v>0</v>
      </c>
      <c r="D258" t="n">
        <v>3</v>
      </c>
      <c r="E258" t="n">
        <v>0</v>
      </c>
      <c r="F258" t="n">
        <v>0</v>
      </c>
      <c r="G258" t="n">
        <v>1</v>
      </c>
      <c r="I258" t="n">
        <v>1</v>
      </c>
      <c r="J258" t="n">
        <v>0.4285714285714285</v>
      </c>
      <c r="K258" t="n">
        <v>0</v>
      </c>
      <c r="L258" t="n">
        <v>0</v>
      </c>
      <c r="M258" t="n">
        <v>19</v>
      </c>
      <c r="N258" t="inlineStr">
        <is>
          <t>Tier 4</t>
        </is>
      </c>
      <c r="O258" t="inlineStr">
        <is>
          <t>Regina Diaz — Director of Operations; Naian Hernandez — Assistant Logistics Manager; Charle Le — Supply Chain Manager; Daniel Rivera — Head of Data &amp; Analytics; Julia Bedanova — COO</t>
        </is>
      </c>
      <c r="P258" t="inlineStr">
        <is>
          <t>Head of Data &amp; Analytics | COO | Director of Operations</t>
        </is>
      </c>
      <c r="Y258" t="inlineStr">
        <is>
          <t>todo</t>
        </is>
      </c>
      <c r="Z258">
        <f>(M258*Weights!$B$2) + (MIN(Q258,Weights!$B$5)*Weights!$B$3*(W258/100)*Weights!$B$4)</f>
        <v/>
      </c>
      <c r="AA258">
        <f>IF(Z258= ,,RANK.EQ({pri_col_letter}{r},{pri_range},0))</f>
        <v/>
      </c>
    </row>
    <row r="259">
      <c r="A259" t="inlineStr">
        <is>
          <t>Agforce Transport Services</t>
        </is>
      </c>
      <c r="B259" t="n">
        <v>2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I259" t="n">
        <v>1</v>
      </c>
      <c r="J259" t="n">
        <v>0.5</v>
      </c>
      <c r="K259" t="n">
        <v>0</v>
      </c>
      <c r="L259" t="n">
        <v>0</v>
      </c>
      <c r="M259" t="n">
        <v>19</v>
      </c>
      <c r="N259" t="inlineStr">
        <is>
          <t>Tier 4</t>
        </is>
      </c>
      <c r="O259" t="inlineStr">
        <is>
          <t>Jason Meek — VP of Operations; Brett Coberly — VP of Business Development</t>
        </is>
      </c>
      <c r="P259" t="inlineStr">
        <is>
          <t>VP of Operations | VP of Business Development</t>
        </is>
      </c>
      <c r="Y259" t="inlineStr">
        <is>
          <t>todo</t>
        </is>
      </c>
      <c r="Z259">
        <f>(M259*Weights!$B$2) + (MIN(Q259,Weights!$B$5)*Weights!$B$3*(W259/100)*Weights!$B$4)</f>
        <v/>
      </c>
      <c r="AA259">
        <f>IF(Z259= ,,RANK.EQ({pri_col_letter}{r},{pri_range},0))</f>
        <v/>
      </c>
    </row>
    <row r="260">
      <c r="A260" t="inlineStr">
        <is>
          <t>Bridgenext</t>
        </is>
      </c>
      <c r="B260" t="n">
        <v>2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I260" t="n">
        <v>1</v>
      </c>
      <c r="J260" t="n">
        <v>0.5</v>
      </c>
      <c r="K260" t="n">
        <v>0</v>
      </c>
      <c r="L260" t="n">
        <v>0</v>
      </c>
      <c r="M260" t="n">
        <v>19</v>
      </c>
      <c r="N260" t="inlineStr">
        <is>
          <t>Tier 4</t>
        </is>
      </c>
      <c r="O260" t="inlineStr">
        <is>
          <t>Foster Kaman — VP, Industry, Transportation &amp; Logistics; Kelsey Tompkins — Account Executive</t>
        </is>
      </c>
      <c r="P260" t="inlineStr">
        <is>
          <t>VP, Industry, Transportation &amp; Logistics | Account Executive</t>
        </is>
      </c>
      <c r="Y260" t="inlineStr">
        <is>
          <t>todo</t>
        </is>
      </c>
      <c r="Z260">
        <f>(M260*Weights!$B$2) + (MIN(Q260,Weights!$B$5)*Weights!$B$3*(W260/100)*Weights!$B$4)</f>
        <v/>
      </c>
      <c r="AA260">
        <f>IF(Z260= ,,RANK.EQ({pri_col_letter}{r},{pri_range},0))</f>
        <v/>
      </c>
    </row>
    <row r="261">
      <c r="A261" t="inlineStr">
        <is>
          <t>Direct Logistics</t>
        </is>
      </c>
      <c r="B261" t="n">
        <v>2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I261" t="n">
        <v>1</v>
      </c>
      <c r="J261" t="n">
        <v>0.5</v>
      </c>
      <c r="K261" t="n">
        <v>0</v>
      </c>
      <c r="L261" t="n">
        <v>0</v>
      </c>
      <c r="M261" t="n">
        <v>19</v>
      </c>
      <c r="N261" t="inlineStr">
        <is>
          <t>Tier 4</t>
        </is>
      </c>
      <c r="O261" t="inlineStr">
        <is>
          <t>Mack Kelsey — VP Sales &amp; Ops; Dustin Symes — President</t>
        </is>
      </c>
      <c r="P261" t="inlineStr">
        <is>
          <t>President | VP Sales &amp; Ops</t>
        </is>
      </c>
      <c r="Y261" t="inlineStr">
        <is>
          <t>todo</t>
        </is>
      </c>
      <c r="Z261">
        <f>(M261*Weights!$B$2) + (MIN(Q261,Weights!$B$5)*Weights!$B$3*(W261/100)*Weights!$B$4)</f>
        <v/>
      </c>
      <c r="AA261">
        <f>IF(Z261= ,,RANK.EQ({pri_col_letter}{r},{pri_range},0))</f>
        <v/>
      </c>
    </row>
    <row r="262">
      <c r="A262" t="inlineStr">
        <is>
          <t>Diverse Logistics and Distribution</t>
        </is>
      </c>
      <c r="B262" t="n">
        <v>2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I262" t="n">
        <v>1</v>
      </c>
      <c r="J262" t="n">
        <v>0.5</v>
      </c>
      <c r="K262" t="n">
        <v>0</v>
      </c>
      <c r="L262" t="n">
        <v>0</v>
      </c>
      <c r="M262" t="n">
        <v>19</v>
      </c>
      <c r="N262" t="inlineStr">
        <is>
          <t>Tier 4</t>
        </is>
      </c>
      <c r="O262" t="inlineStr">
        <is>
          <t>Dennis Ivey — President, Delivery Operations; Guy Selilog — Business Development</t>
        </is>
      </c>
      <c r="P262" t="inlineStr">
        <is>
          <t>President, Delivery Operations | Business Development</t>
        </is>
      </c>
      <c r="Y262" t="inlineStr">
        <is>
          <t>todo</t>
        </is>
      </c>
      <c r="Z262">
        <f>(M262*Weights!$B$2) + (MIN(Q262,Weights!$B$5)*Weights!$B$3*(W262/100)*Weights!$B$4)</f>
        <v/>
      </c>
      <c r="AA262">
        <f>IF(Z262= ,,RANK.EQ({pri_col_letter}{r},{pri_range},0))</f>
        <v/>
      </c>
    </row>
    <row r="263">
      <c r="A263" t="inlineStr">
        <is>
          <t>IGD</t>
        </is>
      </c>
      <c r="B263" t="n">
        <v>2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I263" t="n">
        <v>1</v>
      </c>
      <c r="J263" t="n">
        <v>0.5</v>
      </c>
      <c r="K263" t="n">
        <v>0</v>
      </c>
      <c r="L263" t="n">
        <v>0</v>
      </c>
      <c r="M263" t="n">
        <v>19</v>
      </c>
      <c r="N263" t="inlineStr">
        <is>
          <t>Tier 4</t>
        </is>
      </c>
      <c r="O263" t="inlineStr">
        <is>
          <t>James Rothwell — Head of Supply Chain Insights; Linda Bew — Head of Business Development</t>
        </is>
      </c>
      <c r="P263" t="inlineStr">
        <is>
          <t>Head of Supply Chain Insights | Head of Business Development</t>
        </is>
      </c>
      <c r="Y263" t="inlineStr">
        <is>
          <t>todo</t>
        </is>
      </c>
      <c r="Z263">
        <f>(M263*Weights!$B$2) + (MIN(Q263,Weights!$B$5)*Weights!$B$3*(W263/100)*Weights!$B$4)</f>
        <v/>
      </c>
      <c r="AA263">
        <f>IF(Z263= ,,RANK.EQ({pri_col_letter}{r},{pri_range},0))</f>
        <v/>
      </c>
    </row>
    <row r="264">
      <c r="A264" t="inlineStr">
        <is>
          <t>SPEEDY DELIVERY LLC</t>
        </is>
      </c>
      <c r="B264" t="n">
        <v>2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I264" t="n">
        <v>1</v>
      </c>
      <c r="J264" t="n">
        <v>0.5</v>
      </c>
      <c r="K264" t="n">
        <v>0</v>
      </c>
      <c r="L264" t="n">
        <v>0</v>
      </c>
      <c r="M264" t="n">
        <v>19</v>
      </c>
      <c r="N264" t="inlineStr">
        <is>
          <t>Tier 4</t>
        </is>
      </c>
      <c r="O264" t="inlineStr">
        <is>
          <t>Aaron Murphy — VP of Operations (Final Mile); Mike Shefveland — Vice President of Sales</t>
        </is>
      </c>
      <c r="P264" t="inlineStr">
        <is>
          <t>VP of Operations (Final Mile) | Vice President of Sales</t>
        </is>
      </c>
      <c r="Y264" t="inlineStr">
        <is>
          <t>todo</t>
        </is>
      </c>
      <c r="Z264">
        <f>(M264*Weights!$B$2) + (MIN(Q264,Weights!$B$5)*Weights!$B$3*(W264/100)*Weights!$B$4)</f>
        <v/>
      </c>
      <c r="AA264">
        <f>IF(Z264= ,,RANK.EQ({pri_col_letter}{r},{pri_range},0))</f>
        <v/>
      </c>
    </row>
    <row r="265">
      <c r="A265" t="inlineStr">
        <is>
          <t>Tint</t>
        </is>
      </c>
      <c r="B265" t="n">
        <v>2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I265" t="n">
        <v>1</v>
      </c>
      <c r="J265" t="n">
        <v>0.5</v>
      </c>
      <c r="K265" t="n">
        <v>0</v>
      </c>
      <c r="L265" t="n">
        <v>0</v>
      </c>
      <c r="M265" t="n">
        <v>19</v>
      </c>
      <c r="N265" t="inlineStr">
        <is>
          <t>Tier 4</t>
        </is>
      </c>
      <c r="O265" t="inlineStr">
        <is>
          <t>Jared Palmer — Head of Transportation &amp; Logistics; Michael Devlin — Senior Manager Growth</t>
        </is>
      </c>
      <c r="P265" t="inlineStr">
        <is>
          <t>Head of Transportation &amp; Logistics | Senior Manager Growth</t>
        </is>
      </c>
      <c r="Y265" t="inlineStr">
        <is>
          <t>todo</t>
        </is>
      </c>
      <c r="Z265">
        <f>(M265*Weights!$B$2) + (MIN(Q265,Weights!$B$5)*Weights!$B$3*(W265/100)*Weights!$B$4)</f>
        <v/>
      </c>
      <c r="AA265">
        <f>IF(Z265= ,,RANK.EQ({pri_col_letter}{r},{pri_range},0))</f>
        <v/>
      </c>
    </row>
    <row r="266">
      <c r="A266" t="inlineStr">
        <is>
          <t>Maersk</t>
        </is>
      </c>
      <c r="B266" t="n">
        <v>15</v>
      </c>
      <c r="C266" t="n">
        <v>0</v>
      </c>
      <c r="D266" t="n">
        <v>1</v>
      </c>
      <c r="E266" t="n">
        <v>1</v>
      </c>
      <c r="F266" t="n">
        <v>8</v>
      </c>
      <c r="G266" t="n">
        <v>0</v>
      </c>
      <c r="I266" t="n">
        <v>8</v>
      </c>
      <c r="J266" t="n">
        <v>0.06666666666666667</v>
      </c>
      <c r="K266" t="n">
        <v>12</v>
      </c>
      <c r="L266" t="n">
        <v>25</v>
      </c>
      <c r="M266" t="n">
        <v>18</v>
      </c>
      <c r="N266" t="inlineStr">
        <is>
          <t>Tier 4</t>
        </is>
      </c>
      <c r="O266" t="inlineStr">
        <is>
          <t>Esteban REYES — Head Global ecommerce Procurement; Adam Cunha — NAM Head of Strategic Clients - FMCG/Chem; Puneet Vaid — Head of Pricing &amp; Carrier Strategy - eCommerce; Nick Murphy — Senior Growth Enablement Manager Lead Logistics; Amanda Lopes — Global Client Manager</t>
        </is>
      </c>
      <c r="P266" t="inlineStr">
        <is>
          <t>Head Global ecommerce Procurement | NAM Head of Strategic Clients - FMCG/Chem | Head of Pricing &amp; Carrier Strategy - eCommerce</t>
        </is>
      </c>
      <c r="Y266" t="inlineStr">
        <is>
          <t>todo</t>
        </is>
      </c>
      <c r="Z266">
        <f>(M266*Weights!$B$2) + (MIN(Q266,Weights!$B$5)*Weights!$B$3*(W266/100)*Weights!$B$4)</f>
        <v/>
      </c>
      <c r="AA266">
        <f>IF(Z266= ,,RANK.EQ({pri_col_letter}{r},{pri_range},0))</f>
        <v/>
      </c>
    </row>
    <row r="267">
      <c r="A267" t="inlineStr">
        <is>
          <t>TEL</t>
        </is>
      </c>
      <c r="B267" t="n">
        <v>3</v>
      </c>
      <c r="C267" t="n">
        <v>1</v>
      </c>
      <c r="D267" t="n">
        <v>1</v>
      </c>
      <c r="E267" t="n">
        <v>0</v>
      </c>
      <c r="F267" t="n">
        <v>2</v>
      </c>
      <c r="G267" t="n">
        <v>0</v>
      </c>
      <c r="I267" t="n">
        <v>2</v>
      </c>
      <c r="J267" t="n">
        <v>0.3333333333333333</v>
      </c>
      <c r="K267" t="n">
        <v>0</v>
      </c>
      <c r="L267" t="n">
        <v>0</v>
      </c>
      <c r="M267" t="n">
        <v>18</v>
      </c>
      <c r="N267" t="inlineStr">
        <is>
          <t>Tier 4</t>
        </is>
      </c>
      <c r="O267" t="inlineStr">
        <is>
          <t>Brandon Lairsen — Vice President, Fleet Leasing; Jacob Brazier — Senior Vice President, Sales; David Bellner — Sales Executive</t>
        </is>
      </c>
      <c r="P267" t="inlineStr">
        <is>
          <t>Vice President, Fleet Leasing | Senior Vice President, Sales | Sales Executive</t>
        </is>
      </c>
      <c r="Y267" t="inlineStr">
        <is>
          <t>todo</t>
        </is>
      </c>
      <c r="Z267">
        <f>(M267*Weights!$B$2) + (MIN(Q267,Weights!$B$5)*Weights!$B$3*(W267/100)*Weights!$B$4)</f>
        <v/>
      </c>
      <c r="AA267">
        <f>IF(Z267= ,,RANK.EQ({pri_col_letter}{r},{pri_range},0))</f>
        <v/>
      </c>
    </row>
    <row r="268">
      <c r="A268" t="inlineStr">
        <is>
          <t>Verst Logistics</t>
        </is>
      </c>
      <c r="B268" t="n">
        <v>3</v>
      </c>
      <c r="C268" t="n">
        <v>1</v>
      </c>
      <c r="D268" t="n">
        <v>1</v>
      </c>
      <c r="E268" t="n">
        <v>0</v>
      </c>
      <c r="F268" t="n">
        <v>2</v>
      </c>
      <c r="G268" t="n">
        <v>0</v>
      </c>
      <c r="I268" t="n">
        <v>2</v>
      </c>
      <c r="J268" t="n">
        <v>0.3333333333333333</v>
      </c>
      <c r="K268" t="n">
        <v>0</v>
      </c>
      <c r="L268" t="n">
        <v>0</v>
      </c>
      <c r="M268" t="n">
        <v>18</v>
      </c>
      <c r="N268" t="inlineStr">
        <is>
          <t>Tier 4</t>
        </is>
      </c>
      <c r="O268" t="inlineStr">
        <is>
          <t>Travis French — Senior Vice President, Logistics; Dino Moler — SVP, Business Development; Adam Zaranski — Senior Director, Business Development</t>
        </is>
      </c>
      <c r="P268" t="inlineStr">
        <is>
          <t>Senior Vice President, Logistics | SVP, Business Development | Senior Director, Business Development</t>
        </is>
      </c>
      <c r="Y268" t="inlineStr">
        <is>
          <t>todo</t>
        </is>
      </c>
      <c r="Z268">
        <f>(M268*Weights!$B$2) + (MIN(Q268,Weights!$B$5)*Weights!$B$3*(W268/100)*Weights!$B$4)</f>
        <v/>
      </c>
      <c r="AA268">
        <f>IF(Z268= ,,RANK.EQ({pri_col_letter}{r},{pri_range},0))</f>
        <v/>
      </c>
    </row>
    <row r="269">
      <c r="A269" t="inlineStr">
        <is>
          <t>Atlanta Bonded Warehouse</t>
        </is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18</v>
      </c>
      <c r="N269" t="inlineStr">
        <is>
          <t>Tier 4</t>
        </is>
      </c>
      <c r="O269" t="inlineStr">
        <is>
          <t>Hal Justice — VP Sales and Operations</t>
        </is>
      </c>
      <c r="P269" t="inlineStr">
        <is>
          <t>VP Sales and Operations</t>
        </is>
      </c>
      <c r="Y269" t="inlineStr">
        <is>
          <t>todo</t>
        </is>
      </c>
      <c r="Z269">
        <f>(M269*Weights!$B$2) + (MIN(Q269,Weights!$B$5)*Weights!$B$3*(W269/100)*Weights!$B$4)</f>
        <v/>
      </c>
      <c r="AA269">
        <f>IF(Z269= ,,RANK.EQ({pri_col_letter}{r},{pri_range},0))</f>
        <v/>
      </c>
    </row>
    <row r="270">
      <c r="A270" t="inlineStr">
        <is>
          <t>Celonis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18</v>
      </c>
      <c r="N270" t="inlineStr">
        <is>
          <t>Tier 4</t>
        </is>
      </c>
      <c r="O270" t="inlineStr">
        <is>
          <t>Manik Sharma — Head of Supply Chain GTM AI</t>
        </is>
      </c>
      <c r="P270" t="inlineStr">
        <is>
          <t>Head of Supply Chain GTM AI</t>
        </is>
      </c>
      <c r="Y270" t="inlineStr">
        <is>
          <t>todo</t>
        </is>
      </c>
      <c r="Z270">
        <f>(M270*Weights!$B$2) + (MIN(Q270,Weights!$B$5)*Weights!$B$3*(W270/100)*Weights!$B$4)</f>
        <v/>
      </c>
      <c r="AA270">
        <f>IF(Z270= ,,RANK.EQ({pri_col_letter}{r},{pri_range},0))</f>
        <v/>
      </c>
    </row>
    <row r="271">
      <c r="A271" t="inlineStr">
        <is>
          <t>FSL Group</t>
        </is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18</v>
      </c>
      <c r="N271" t="inlineStr">
        <is>
          <t>Tier 4</t>
        </is>
      </c>
      <c r="O271" t="inlineStr">
        <is>
          <t>Dan Acree — VP SALES AND OPERATIONS</t>
        </is>
      </c>
      <c r="P271" t="inlineStr">
        <is>
          <t>VP SALES AND OPERATIONS</t>
        </is>
      </c>
      <c r="Y271" t="inlineStr">
        <is>
          <t>todo</t>
        </is>
      </c>
      <c r="Z271">
        <f>(M271*Weights!$B$2) + (MIN(Q271,Weights!$B$5)*Weights!$B$3*(W271/100)*Weights!$B$4)</f>
        <v/>
      </c>
      <c r="AA271">
        <f>IF(Z271= ,,RANK.EQ({pri_col_letter}{r},{pri_range},0))</f>
        <v/>
      </c>
    </row>
    <row r="272">
      <c r="A272" t="inlineStr">
        <is>
          <t>GoFor Delivers</t>
        </is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18</v>
      </c>
      <c r="N272" t="inlineStr">
        <is>
          <t>Tier 4</t>
        </is>
      </c>
      <c r="O272" t="inlineStr">
        <is>
          <t>Paul McLean — EVP, Sales and Operations</t>
        </is>
      </c>
      <c r="P272" t="inlineStr">
        <is>
          <t>EVP, Sales and Operations</t>
        </is>
      </c>
      <c r="Y272" t="inlineStr">
        <is>
          <t>todo</t>
        </is>
      </c>
      <c r="Z272">
        <f>(M272*Weights!$B$2) + (MIN(Q272,Weights!$B$5)*Weights!$B$3*(W272/100)*Weights!$B$4)</f>
        <v/>
      </c>
      <c r="AA272">
        <f>IF(Z272= ,,RANK.EQ({pri_col_letter}{r},{pri_range},0))</f>
        <v/>
      </c>
    </row>
    <row r="273">
      <c r="A273" t="inlineStr">
        <is>
          <t>RXO Logistics</t>
        </is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18</v>
      </c>
      <c r="N273" t="inlineStr">
        <is>
          <t>Tier 4</t>
        </is>
      </c>
      <c r="O273" t="inlineStr">
        <is>
          <t>Kristen LaMourie — Vice President, Business Development, Managed Transportation</t>
        </is>
      </c>
      <c r="P273" t="inlineStr">
        <is>
          <t>Vice President, Business Development, Managed Transportation</t>
        </is>
      </c>
      <c r="Y273" t="inlineStr">
        <is>
          <t>todo</t>
        </is>
      </c>
      <c r="Z273">
        <f>(M273*Weights!$B$2) + (MIN(Q273,Weights!$B$5)*Weights!$B$3*(W273/100)*Weights!$B$4)</f>
        <v/>
      </c>
      <c r="AA273">
        <f>IF(Z273= ,,RANK.EQ({pri_col_letter}{r},{pri_range},0))</f>
        <v/>
      </c>
    </row>
    <row r="274">
      <c r="A274" t="inlineStr">
        <is>
          <t>WNS</t>
        </is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18</v>
      </c>
      <c r="N274" t="inlineStr">
        <is>
          <t>Tier 4</t>
        </is>
      </c>
      <c r="O274" t="inlineStr">
        <is>
          <t>Eric Topp — WW Head Transportation &amp; Logistics (T&amp;L), Solutions and BD</t>
        </is>
      </c>
      <c r="P274" t="inlineStr">
        <is>
          <t>WW Head Transportation &amp; Logistics (T&amp;L), Solutions and BD</t>
        </is>
      </c>
      <c r="Y274" t="inlineStr">
        <is>
          <t>todo</t>
        </is>
      </c>
      <c r="Z274">
        <f>(M274*Weights!$B$2) + (MIN(Q274,Weights!$B$5)*Weights!$B$3*(W274/100)*Weights!$B$4)</f>
        <v/>
      </c>
      <c r="AA274">
        <f>IF(Z274= ,,RANK.EQ({pri_col_letter}{r},{pri_range},0))</f>
        <v/>
      </c>
    </row>
    <row r="275">
      <c r="A275" t="inlineStr">
        <is>
          <t>General Mills</t>
        </is>
      </c>
      <c r="B275" t="n">
        <v>5</v>
      </c>
      <c r="C275" t="n">
        <v>0</v>
      </c>
      <c r="D275" t="n">
        <v>3</v>
      </c>
      <c r="E275" t="n">
        <v>0</v>
      </c>
      <c r="F275" t="n">
        <v>0</v>
      </c>
      <c r="G275" t="n">
        <v>1</v>
      </c>
      <c r="I275" t="n">
        <v>1</v>
      </c>
      <c r="J275" t="n">
        <v>0.6</v>
      </c>
      <c r="K275" t="n">
        <v>0</v>
      </c>
      <c r="L275" t="n">
        <v>0</v>
      </c>
      <c r="M275" t="n">
        <v>17</v>
      </c>
      <c r="N275" t="inlineStr">
        <is>
          <t>Tier 4</t>
        </is>
      </c>
      <c r="O275" t="inlineStr">
        <is>
          <t>Alicia Wardell — Logistics Technology Engineer; Dave Jackett — Sr Director of Supply Chain Transformation; Tom Miller — Packaging and Logistics Technology Solutions; Joel LaFrance — Head of Open Innovation; Josh Lipinski — Sr Director of Digital</t>
        </is>
      </c>
      <c r="P275" t="inlineStr">
        <is>
          <t>Logistics Technology Engineer | Sr Director of Supply Chain Transformation | Head of Open Innovation</t>
        </is>
      </c>
      <c r="Y275" t="inlineStr">
        <is>
          <t>todo</t>
        </is>
      </c>
      <c r="Z275">
        <f>(M275*Weights!$B$2) + (MIN(Q275,Weights!$B$5)*Weights!$B$3*(W275/100)*Weights!$B$4)</f>
        <v/>
      </c>
      <c r="AA275">
        <f>IF(Z275= ,,RANK.EQ({pri_col_letter}{r},{pri_range},0))</f>
        <v/>
      </c>
    </row>
    <row r="276">
      <c r="A276" t="inlineStr">
        <is>
          <t>Global Logistics, Inc.</t>
        </is>
      </c>
      <c r="B276" t="n">
        <v>4</v>
      </c>
      <c r="C276" t="n">
        <v>1</v>
      </c>
      <c r="D276" t="n">
        <v>1</v>
      </c>
      <c r="E276" t="n">
        <v>0</v>
      </c>
      <c r="F276" t="n">
        <v>3</v>
      </c>
      <c r="G276" t="n">
        <v>0</v>
      </c>
      <c r="I276" t="n">
        <v>3</v>
      </c>
      <c r="J276" t="n">
        <v>0.25</v>
      </c>
      <c r="K276" t="n">
        <v>0</v>
      </c>
      <c r="L276" t="n">
        <v>0</v>
      </c>
      <c r="M276" t="n">
        <v>17</v>
      </c>
      <c r="N276" t="inlineStr">
        <is>
          <t>Tier 4</t>
        </is>
      </c>
      <c r="O276" t="inlineStr">
        <is>
          <t>Daniel Karitis — VP Operations; Angela Karitis — Director of Sales &amp; Marketing; Joseph Barrer — Sr. Director of Business Development; Stephen Bjorlin — Director of Business Development</t>
        </is>
      </c>
      <c r="P276" t="inlineStr">
        <is>
          <t>VP Operations | Director of Sales &amp; Marketing | Sr. Director of Business Development</t>
        </is>
      </c>
      <c r="Y276" t="inlineStr">
        <is>
          <t>todo</t>
        </is>
      </c>
      <c r="Z276">
        <f>(M276*Weights!$B$2) + (MIN(Q276,Weights!$B$5)*Weights!$B$3*(W276/100)*Weights!$B$4)</f>
        <v/>
      </c>
      <c r="AA276">
        <f>IF(Z276= ,,RANK.EQ({pri_col_letter}{r},{pri_range},0))</f>
        <v/>
      </c>
    </row>
    <row r="277">
      <c r="A277" t="inlineStr">
        <is>
          <t>Procure Analytics</t>
        </is>
      </c>
      <c r="B277" t="n">
        <v>4</v>
      </c>
      <c r="C277" t="n">
        <v>1</v>
      </c>
      <c r="D277" t="n">
        <v>1</v>
      </c>
      <c r="E277" t="n">
        <v>0</v>
      </c>
      <c r="F277" t="n">
        <v>3</v>
      </c>
      <c r="G277" t="n">
        <v>0</v>
      </c>
      <c r="I277" t="n">
        <v>3</v>
      </c>
      <c r="J277" t="n">
        <v>0.25</v>
      </c>
      <c r="K277" t="n">
        <v>0</v>
      </c>
      <c r="L277" t="n">
        <v>0</v>
      </c>
      <c r="M277" t="n">
        <v>17</v>
      </c>
      <c r="N277" t="inlineStr">
        <is>
          <t>Tier 4</t>
        </is>
      </c>
      <c r="O277" t="inlineStr">
        <is>
          <t>Matt Reddington — Vice President Packaging + Logistics; Ben Kingdon — Senior Director, Business Development; Deeksha Shekar — Director, Business Development; Quiana Taylor — Business Development Representative</t>
        </is>
      </c>
      <c r="P277" t="inlineStr">
        <is>
          <t>Vice President Packaging + Logistics | Senior Director, Business Development | Director, Business Development</t>
        </is>
      </c>
      <c r="Y277" t="inlineStr">
        <is>
          <t>todo</t>
        </is>
      </c>
      <c r="Z277">
        <f>(M277*Weights!$B$2) + (MIN(Q277,Weights!$B$5)*Weights!$B$3*(W277/100)*Weights!$B$4)</f>
        <v/>
      </c>
      <c r="AA277">
        <f>IF(Z277= ,,RANK.EQ({pri_col_letter}{r},{pri_range},0))</f>
        <v/>
      </c>
    </row>
    <row r="278">
      <c r="A278" t="inlineStr">
        <is>
          <t>SLS RFID</t>
        </is>
      </c>
      <c r="B278" t="n">
        <v>4</v>
      </c>
      <c r="C278" t="n">
        <v>1</v>
      </c>
      <c r="D278" t="n">
        <v>1</v>
      </c>
      <c r="E278" t="n">
        <v>0</v>
      </c>
      <c r="F278" t="n">
        <v>3</v>
      </c>
      <c r="G278" t="n">
        <v>0</v>
      </c>
      <c r="I278" t="n">
        <v>3</v>
      </c>
      <c r="J278" t="n">
        <v>0.25</v>
      </c>
      <c r="K278" t="n">
        <v>0</v>
      </c>
      <c r="L278" t="n">
        <v>0</v>
      </c>
      <c r="M278" t="n">
        <v>17</v>
      </c>
      <c r="N278" t="inlineStr">
        <is>
          <t>Tier 4</t>
        </is>
      </c>
      <c r="O278" t="inlineStr">
        <is>
          <t>Rich Nemesi — General Manager, Supply Chain Visibility RFID; Alex Kottoor — Chief Revenue Officer; Laura Franckhauser — Director of Growth; Kyle Laslo — Director of Channel Sales</t>
        </is>
      </c>
      <c r="P278" t="inlineStr">
        <is>
          <t>General Manager, Supply Chain Visibility RFID | Chief Revenue Officer | Director of Growth</t>
        </is>
      </c>
      <c r="Y278" t="inlineStr">
        <is>
          <t>todo</t>
        </is>
      </c>
      <c r="Z278">
        <f>(M278*Weights!$B$2) + (MIN(Q278,Weights!$B$5)*Weights!$B$3*(W278/100)*Weights!$B$4)</f>
        <v/>
      </c>
      <c r="AA278">
        <f>IF(Z278= ,,RANK.EQ({pri_col_letter}{r},{pri_range},0))</f>
        <v/>
      </c>
    </row>
    <row r="279">
      <c r="A279" t="inlineStr">
        <is>
          <t>C.R. England</t>
        </is>
      </c>
      <c r="B279" t="n">
        <v>3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500000000</v>
      </c>
      <c r="I279" t="n">
        <v>1</v>
      </c>
      <c r="J279" t="n">
        <v>0.3333333333333333</v>
      </c>
      <c r="K279" t="n">
        <v>0</v>
      </c>
      <c r="L279" t="n">
        <v>0</v>
      </c>
      <c r="M279" t="n">
        <v>17</v>
      </c>
      <c r="N279" t="inlineStr">
        <is>
          <t>Tier 4</t>
        </is>
      </c>
      <c r="O279" t="inlineStr">
        <is>
          <t>Zach England — COO; Jennifer Bryant — Director of Strategic Development; Alex Ikenberry — Director of Business Development - Dedicated, OTR, Intermodal &amp; Mexico</t>
        </is>
      </c>
      <c r="P279" t="inlineStr">
        <is>
          <t>COO | Director of Strategic Development | Director of Business Development - Dedicated, OTR, Intermodal &amp; Mexico</t>
        </is>
      </c>
      <c r="Y279" t="inlineStr">
        <is>
          <t>todo</t>
        </is>
      </c>
      <c r="Z279">
        <f>(M279*Weights!$B$2) + (MIN(Q279,Weights!$B$5)*Weights!$B$3*(W279/100)*Weights!$B$4)</f>
        <v/>
      </c>
      <c r="AA279">
        <f>IF(Z279= ,,RANK.EQ({pri_col_letter}{r},{pri_range},0))</f>
        <v/>
      </c>
    </row>
    <row r="280">
      <c r="A280" t="inlineStr">
        <is>
          <t>Reckitt Benckiser</t>
        </is>
      </c>
      <c r="B280" t="n">
        <v>3</v>
      </c>
      <c r="C280" t="n">
        <v>0</v>
      </c>
      <c r="D280" t="n">
        <v>3</v>
      </c>
      <c r="E280" t="n">
        <v>1</v>
      </c>
      <c r="F280" t="n">
        <v>0</v>
      </c>
      <c r="G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17</v>
      </c>
      <c r="N280" t="inlineStr">
        <is>
          <t>Tier 4</t>
        </is>
      </c>
      <c r="O280" t="inlineStr">
        <is>
          <t>Gideon Steed — Director, Logistics Procurement; Courtney Rowan — Senior Manager, Transportation; Molly Reid — Senior Manager, Transportation</t>
        </is>
      </c>
      <c r="P280" t="inlineStr">
        <is>
          <t>Director, Logistics Procurement | Senior Manager, Transportation</t>
        </is>
      </c>
      <c r="Y280" t="inlineStr">
        <is>
          <t>todo</t>
        </is>
      </c>
      <c r="Z280">
        <f>(M280*Weights!$B$2) + (MIN(Q280,Weights!$B$5)*Weights!$B$3*(W280/100)*Weights!$B$4)</f>
        <v/>
      </c>
      <c r="AA280">
        <f>IF(Z280= ,,RANK.EQ({pri_col_letter}{r},{pri_range},0))</f>
        <v/>
      </c>
    </row>
    <row r="281">
      <c r="A281" t="inlineStr">
        <is>
          <t>Flexport</t>
        </is>
      </c>
      <c r="B281" t="n">
        <v>21</v>
      </c>
      <c r="C281" t="n">
        <v>1</v>
      </c>
      <c r="D281" t="n">
        <v>1</v>
      </c>
      <c r="E281" t="n">
        <v>2</v>
      </c>
      <c r="F281" t="n">
        <v>8</v>
      </c>
      <c r="G281" t="n">
        <v>0</v>
      </c>
      <c r="I281" t="n">
        <v>8</v>
      </c>
      <c r="J281" t="n">
        <v>0.04761904761904762</v>
      </c>
      <c r="K281" t="n">
        <v>12</v>
      </c>
      <c r="L281" t="n">
        <v>0</v>
      </c>
      <c r="M281" t="n">
        <v>16</v>
      </c>
      <c r="N281" t="inlineStr">
        <is>
          <t>Tier 4</t>
        </is>
      </c>
      <c r="O281" t="inlineStr">
        <is>
          <t>Mike Castle — Head of Transportation and Parcel Strategy; Adam Parish — Director, Trucking Procurement; Huy Phan Hoang — Manager, Ocean Procurement; Alexis Boutet — VP, Global Head of Airfreight; Ted Boeglin — VP, Americas</t>
        </is>
      </c>
      <c r="P281" t="inlineStr">
        <is>
          <t>Head of Transportation and Parcel Strategy | VP, Global Head of Airfreight | VP, Americas</t>
        </is>
      </c>
      <c r="Y281" t="inlineStr">
        <is>
          <t>todo</t>
        </is>
      </c>
      <c r="Z281">
        <f>(M281*Weights!$B$2) + (MIN(Q281,Weights!$B$5)*Weights!$B$3*(W281/100)*Weights!$B$4)</f>
        <v/>
      </c>
      <c r="AA281">
        <f>IF(Z281= ,,RANK.EQ({pri_col_letter}{r},{pri_range},0))</f>
        <v/>
      </c>
    </row>
    <row r="282">
      <c r="A282" t="inlineStr">
        <is>
          <t>ABB</t>
        </is>
      </c>
      <c r="B282" t="n">
        <v>4</v>
      </c>
      <c r="C282" t="n">
        <v>0</v>
      </c>
      <c r="D282" t="n">
        <v>3</v>
      </c>
      <c r="E282" t="n">
        <v>0</v>
      </c>
      <c r="F282" t="n">
        <v>0</v>
      </c>
      <c r="G282" t="n">
        <v>0</v>
      </c>
      <c r="I282" t="n">
        <v>0</v>
      </c>
      <c r="J282" t="n">
        <v>0.75</v>
      </c>
      <c r="K282" t="n">
        <v>0</v>
      </c>
      <c r="L282" t="n">
        <v>0</v>
      </c>
      <c r="M282" t="n">
        <v>16</v>
      </c>
      <c r="N282" t="inlineStr">
        <is>
          <t>Tier 4</t>
        </is>
      </c>
      <c r="O282" t="inlineStr">
        <is>
          <t>Chad Brant — Director of Transportation; Bryan Tckett — Transportation Manager; Wesley Read — Domestic Transportation Specialist; Alva Green — Freight Specialist</t>
        </is>
      </c>
      <c r="P282" t="inlineStr">
        <is>
          <t>Director of Transportation | Transportation Manager | Domestic Transportation Specialist</t>
        </is>
      </c>
      <c r="Y282" t="inlineStr">
        <is>
          <t>todo</t>
        </is>
      </c>
      <c r="Z282">
        <f>(M282*Weights!$B$2) + (MIN(Q282,Weights!$B$5)*Weights!$B$3*(W282/100)*Weights!$B$4)</f>
        <v/>
      </c>
      <c r="AA282">
        <f>IF(Z282= ,,RANK.EQ({pri_col_letter}{r},{pri_range},0))</f>
        <v/>
      </c>
    </row>
    <row r="283">
      <c r="A283" t="inlineStr">
        <is>
          <t>Aritzia</t>
        </is>
      </c>
      <c r="B283" t="n">
        <v>4</v>
      </c>
      <c r="C283" t="n">
        <v>0</v>
      </c>
      <c r="D283" t="n">
        <v>3</v>
      </c>
      <c r="E283" t="n">
        <v>0</v>
      </c>
      <c r="F283" t="n">
        <v>0</v>
      </c>
      <c r="G283" t="n">
        <v>0</v>
      </c>
      <c r="I283" t="n">
        <v>0</v>
      </c>
      <c r="J283" t="n">
        <v>0.75</v>
      </c>
      <c r="K283" t="n">
        <v>0</v>
      </c>
      <c r="L283" t="n">
        <v>0</v>
      </c>
      <c r="M283" t="n">
        <v>16</v>
      </c>
      <c r="N283" t="inlineStr">
        <is>
          <t>Tier 4</t>
        </is>
      </c>
      <c r="O283" t="inlineStr">
        <is>
          <t>Lisa Fordyce — Director, Inbound Logistics; Ryan Yeung — Senior Director, Global Logistics; Jimmy Wong — Director, Supply Chain Technology; Vitaly Bekker — Manager, Carrier Performance</t>
        </is>
      </c>
      <c r="P283" t="inlineStr">
        <is>
          <t>Director, Inbound Logistics | Senior Director, Global Logistics | Director, Supply Chain Technology</t>
        </is>
      </c>
      <c r="Y283" t="inlineStr">
        <is>
          <t>todo</t>
        </is>
      </c>
      <c r="Z283">
        <f>(M283*Weights!$B$2) + (MIN(Q283,Weights!$B$5)*Weights!$B$3*(W283/100)*Weights!$B$4)</f>
        <v/>
      </c>
      <c r="AA283">
        <f>IF(Z283= ,,RANK.EQ({pri_col_letter}{r},{pri_range},0))</f>
        <v/>
      </c>
    </row>
    <row r="284">
      <c r="A284" t="inlineStr">
        <is>
          <t>Boeing</t>
        </is>
      </c>
      <c r="B284" t="n">
        <v>4</v>
      </c>
      <c r="C284" t="n">
        <v>0</v>
      </c>
      <c r="D284" t="n">
        <v>3</v>
      </c>
      <c r="E284" t="n">
        <v>0</v>
      </c>
      <c r="F284" t="n">
        <v>0</v>
      </c>
      <c r="G284" t="n">
        <v>0</v>
      </c>
      <c r="I284" t="n">
        <v>0</v>
      </c>
      <c r="J284" t="n">
        <v>0.75</v>
      </c>
      <c r="K284" t="n">
        <v>0</v>
      </c>
      <c r="L284" t="n">
        <v>0</v>
      </c>
      <c r="M284" t="n">
        <v>16</v>
      </c>
      <c r="N284" t="inlineStr">
        <is>
          <t>Tier 4</t>
        </is>
      </c>
      <c r="O284" t="inlineStr">
        <is>
          <t>David Ward — Cross dock/Logistics Network; Thomas Embleton — Senior Transportation Manager/Dedicated Fleet Management; Thomas Renowden — Transportation Management Systems/EDI; Raymond Quon — Provider Management</t>
        </is>
      </c>
      <c r="P284" t="inlineStr">
        <is>
          <t>Cross dock/Logistics Network | Senior Transportation Manager/Dedicated Fleet Management | Transportation Management Systems/EDI</t>
        </is>
      </c>
      <c r="Y284" t="inlineStr">
        <is>
          <t>todo</t>
        </is>
      </c>
      <c r="Z284">
        <f>(M284*Weights!$B$2) + (MIN(Q284,Weights!$B$5)*Weights!$B$3*(W284/100)*Weights!$B$4)</f>
        <v/>
      </c>
      <c r="AA284">
        <f>IF(Z284= ,,RANK.EQ({pri_col_letter}{r},{pri_range},0))</f>
        <v/>
      </c>
    </row>
    <row r="285">
      <c r="A285" t="inlineStr">
        <is>
          <t>United Airlines</t>
        </is>
      </c>
      <c r="B285" t="n">
        <v>4</v>
      </c>
      <c r="C285" t="n">
        <v>0</v>
      </c>
      <c r="D285" t="n">
        <v>3</v>
      </c>
      <c r="E285" t="n">
        <v>0</v>
      </c>
      <c r="F285" t="n">
        <v>0</v>
      </c>
      <c r="G285" t="n">
        <v>0</v>
      </c>
      <c r="I285" t="n">
        <v>0</v>
      </c>
      <c r="J285" t="n">
        <v>0.75</v>
      </c>
      <c r="K285" t="n">
        <v>0</v>
      </c>
      <c r="L285" t="n">
        <v>0</v>
      </c>
      <c r="M285" t="n">
        <v>16</v>
      </c>
      <c r="N285" t="inlineStr">
        <is>
          <t>Tier 4</t>
        </is>
      </c>
      <c r="O285" t="inlineStr">
        <is>
          <t>Dan Curley — Sr Analyst - Transportation; Tammy Terranova Gomez — Manager of Provisioning, End User Services, IMAC, Logistics and Depot; Max Clink — Senior Manager - Transportation &amp; Logistics; Gwyn Peterson — Sr. Manager, International Trade Compliance</t>
        </is>
      </c>
      <c r="P285" t="inlineStr">
        <is>
          <t>Sr Analyst - Transportation | Manager of Provisioning, End User Services, IMAC, Logistics and Depot | Senior Manager - Transportation &amp; Logistics</t>
        </is>
      </c>
      <c r="Y285" t="inlineStr">
        <is>
          <t>todo</t>
        </is>
      </c>
      <c r="Z285">
        <f>(M285*Weights!$B$2) + (MIN(Q285,Weights!$B$5)*Weights!$B$3*(W285/100)*Weights!$B$4)</f>
        <v/>
      </c>
      <c r="AA285">
        <f>IF(Z285= ,,RANK.EQ({pri_col_letter}{r},{pri_range},0))</f>
        <v/>
      </c>
    </row>
    <row r="286">
      <c r="A286" t="inlineStr">
        <is>
          <t>FedEx</t>
        </is>
      </c>
      <c r="B286" t="n">
        <v>12</v>
      </c>
      <c r="C286" t="n">
        <v>0</v>
      </c>
      <c r="D286" t="n">
        <v>0</v>
      </c>
      <c r="E286" t="n">
        <v>0</v>
      </c>
      <c r="F286" t="n">
        <v>5</v>
      </c>
      <c r="G286" t="n">
        <v>3</v>
      </c>
      <c r="I286" t="n">
        <v>8</v>
      </c>
      <c r="J286" t="n">
        <v>0</v>
      </c>
      <c r="K286" t="n">
        <v>12</v>
      </c>
      <c r="L286" t="n">
        <v>25</v>
      </c>
      <c r="M286" t="n">
        <v>15</v>
      </c>
      <c r="N286" t="inlineStr">
        <is>
          <t>Tier 4</t>
        </is>
      </c>
      <c r="O286" t="inlineStr">
        <is>
          <t>Stephanie Cannon — Vice President, Global Digital IT; Avi Slavin — Advisor; Chandler McCay — Global Program Strategy Advisor; Mike Gasik — Solutions Consultant Lead; Haley Martis — Event Manager</t>
        </is>
      </c>
      <c r="P286" t="inlineStr">
        <is>
          <t>Vice President, Global Digital IT | Principal, Corporate Strategy | Digital Product Fellow</t>
        </is>
      </c>
      <c r="Y286" t="inlineStr">
        <is>
          <t>todo</t>
        </is>
      </c>
      <c r="Z286">
        <f>(M286*Weights!$B$2) + (MIN(Q286,Weights!$B$5)*Weights!$B$3*(W286/100)*Weights!$B$4)</f>
        <v/>
      </c>
      <c r="AA286">
        <f>IF(Z286= ,,RANK.EQ({pri_col_letter}{r},{pri_range},0))</f>
        <v/>
      </c>
    </row>
    <row r="287">
      <c r="A287" t="inlineStr">
        <is>
          <t>1st Phorm</t>
        </is>
      </c>
      <c r="B287" t="n">
        <v>3</v>
      </c>
      <c r="C287" t="n">
        <v>0</v>
      </c>
      <c r="D287" t="n">
        <v>3</v>
      </c>
      <c r="E287" t="n">
        <v>0</v>
      </c>
      <c r="F287" t="n">
        <v>0</v>
      </c>
      <c r="G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15</v>
      </c>
      <c r="N287" t="inlineStr">
        <is>
          <t>Tier 4</t>
        </is>
      </c>
      <c r="O287" t="inlineStr">
        <is>
          <t>Brian Whiting — Director of Operations; Dakota Miller — Warehouse Manager; Josh Ward — Warehouse Manager</t>
        </is>
      </c>
      <c r="P287" t="inlineStr">
        <is>
          <t>Director of Operations | Warehouse Manager</t>
        </is>
      </c>
      <c r="Y287" t="inlineStr">
        <is>
          <t>todo</t>
        </is>
      </c>
      <c r="Z287">
        <f>(M287*Weights!$B$2) + (MIN(Q287,Weights!$B$5)*Weights!$B$3*(W287/100)*Weights!$B$4)</f>
        <v/>
      </c>
      <c r="AA287">
        <f>IF(Z287= ,,RANK.EQ({pri_col_letter}{r},{pri_range},0))</f>
        <v/>
      </c>
    </row>
    <row r="288">
      <c r="A288" t="inlineStr">
        <is>
          <t>Allegiant Air</t>
        </is>
      </c>
      <c r="B288" t="n">
        <v>3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15</v>
      </c>
      <c r="N288" t="inlineStr">
        <is>
          <t>Tier 4</t>
        </is>
      </c>
      <c r="O288" t="inlineStr">
        <is>
          <t>Christopher Smith — Trade &amp; Logistics Analyst; Rawley Mims — Director Stores, Tools &amp; Logistics; Sylvia Smith — Trade &amp; Logistics Supervisor</t>
        </is>
      </c>
      <c r="P288" t="inlineStr">
        <is>
          <t>Trade &amp; Logistics Analyst | Director Stores, Tools &amp; Logistics | Trade &amp; Logistics Supervisor</t>
        </is>
      </c>
      <c r="Y288" t="inlineStr">
        <is>
          <t>todo</t>
        </is>
      </c>
      <c r="Z288">
        <f>(M288*Weights!$B$2) + (MIN(Q288,Weights!$B$5)*Weights!$B$3*(W288/100)*Weights!$B$4)</f>
        <v/>
      </c>
      <c r="AA288">
        <f>IF(Z288= ,,RANK.EQ({pri_col_letter}{r},{pri_range},0))</f>
        <v/>
      </c>
    </row>
    <row r="289">
      <c r="A289" t="inlineStr">
        <is>
          <t>Christian Louboutin</t>
        </is>
      </c>
      <c r="B289" t="n">
        <v>3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15</v>
      </c>
      <c r="N289" t="inlineStr">
        <is>
          <t>Tier 4</t>
        </is>
      </c>
      <c r="O289" t="inlineStr">
        <is>
          <t>Meghan Wichern — Director of Logistics, The Americas; Korey Evering — Manager of 3PL Operations Americas; Samia Tebigui — Senior Manager of Transportation Americas</t>
        </is>
      </c>
      <c r="P289" t="inlineStr">
        <is>
          <t>Manager of 3PL Operations Americas | Senior Manager of Transportation Americas | Director of Logistics, The Americas</t>
        </is>
      </c>
      <c r="Y289" t="inlineStr">
        <is>
          <t>todo</t>
        </is>
      </c>
      <c r="Z289">
        <f>(M289*Weights!$B$2) + (MIN(Q289,Weights!$B$5)*Weights!$B$3*(W289/100)*Weights!$B$4)</f>
        <v/>
      </c>
      <c r="AA289">
        <f>IF(Z289= ,,RANK.EQ({pri_col_letter}{r},{pri_range},0))</f>
        <v/>
      </c>
    </row>
    <row r="290">
      <c r="A290" t="inlineStr">
        <is>
          <t>G3</t>
        </is>
      </c>
      <c r="B290" t="n">
        <v>3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15</v>
      </c>
      <c r="N290" t="inlineStr">
        <is>
          <t>Tier 4</t>
        </is>
      </c>
      <c r="O290" t="inlineStr">
        <is>
          <t>Jerry Knight — Sr. Director Global Logistics; Jim Bolinger — Sr. Ops Manager; Nate Hunt — Sr. Ops Manager</t>
        </is>
      </c>
      <c r="P290" t="inlineStr">
        <is>
          <t>Sr. Director Global Logistics | Sr. Ops Manager</t>
        </is>
      </c>
      <c r="Y290" t="inlineStr">
        <is>
          <t>todo</t>
        </is>
      </c>
      <c r="Z290">
        <f>(M290*Weights!$B$2) + (MIN(Q290,Weights!$B$5)*Weights!$B$3*(W290/100)*Weights!$B$4)</f>
        <v/>
      </c>
      <c r="AA290">
        <f>IF(Z290= ,,RANK.EQ({pri_col_letter}{r},{pri_range},0))</f>
        <v/>
      </c>
    </row>
    <row r="291">
      <c r="A291" t="inlineStr">
        <is>
          <t>John B. Sanfilippo &amp; Son, Inc</t>
        </is>
      </c>
      <c r="B291" t="n">
        <v>3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15</v>
      </c>
      <c r="N291" t="inlineStr">
        <is>
          <t>Tier 4</t>
        </is>
      </c>
      <c r="O291" t="inlineStr">
        <is>
          <t>Fatima Ayyad — Logistics Finance Analyst; Jon Fender — Director of Logistics; Dave Romano — Senior Logistics Manager</t>
        </is>
      </c>
      <c r="P291" t="inlineStr">
        <is>
          <t>Logistics Finance Analyst | Director of Logistics | Senior Logistics Manager</t>
        </is>
      </c>
      <c r="Y291" t="inlineStr">
        <is>
          <t>todo</t>
        </is>
      </c>
      <c r="Z291">
        <f>(M291*Weights!$B$2) + (MIN(Q291,Weights!$B$5)*Weights!$B$3*(W291/100)*Weights!$B$4)</f>
        <v/>
      </c>
      <c r="AA291">
        <f>IF(Z291= ,,RANK.EQ({pri_col_letter}{r},{pri_range},0))</f>
        <v/>
      </c>
    </row>
    <row r="292">
      <c r="A292" t="inlineStr">
        <is>
          <t>Third Love</t>
        </is>
      </c>
      <c r="B292" t="n">
        <v>3</v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15</v>
      </c>
      <c r="N292" t="inlineStr">
        <is>
          <t>Tier 4</t>
        </is>
      </c>
      <c r="O292" t="inlineStr">
        <is>
          <t>Andres Andrea — Sr Director of Operations; Molly Mittman — Senior Operations &amp; Logistics Analyst; Myrna Reynoso — Associate Director of Operations</t>
        </is>
      </c>
      <c r="P292" t="inlineStr">
        <is>
          <t>Sr Director of Operations | Senior Operations &amp; Logistics Analyst | Associate Director of Operations</t>
        </is>
      </c>
      <c r="Y292" t="inlineStr">
        <is>
          <t>todo</t>
        </is>
      </c>
      <c r="Z292">
        <f>(M292*Weights!$B$2) + (MIN(Q292,Weights!$B$5)*Weights!$B$3*(W292/100)*Weights!$B$4)</f>
        <v/>
      </c>
      <c r="AA292">
        <f>IF(Z292= ,,RANK.EQ({pri_col_letter}{r},{pri_range},0))</f>
        <v/>
      </c>
    </row>
    <row r="293">
      <c r="A293" t="inlineStr">
        <is>
          <t>Vivint</t>
        </is>
      </c>
      <c r="B293" t="n">
        <v>3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15</v>
      </c>
      <c r="N293" t="inlineStr">
        <is>
          <t>Tier 4</t>
        </is>
      </c>
      <c r="O293" t="inlineStr">
        <is>
          <t>David Freston — Sr. Logistics Specialist (Domestic); Parker Law — Logistics Specialist (International); Jeff Brown — Sr. Manager, Global Logistics</t>
        </is>
      </c>
      <c r="P293" t="inlineStr">
        <is>
          <t>Sr. Logistics Specialist (Domestic) | Logistics Specialist (International) | Sr. Manager, Global Logistics</t>
        </is>
      </c>
      <c r="Y293" t="inlineStr">
        <is>
          <t>todo</t>
        </is>
      </c>
      <c r="Z293">
        <f>(M293*Weights!$B$2) + (MIN(Q293,Weights!$B$5)*Weights!$B$3*(W293/100)*Weights!$B$4)</f>
        <v/>
      </c>
      <c r="AA293">
        <f>IF(Z293= ,,RANK.EQ({pri_col_letter}{r},{pri_range},0))</f>
        <v/>
      </c>
    </row>
    <row r="294">
      <c r="A294" t="inlineStr">
        <is>
          <t>Worthington Enterprises</t>
        </is>
      </c>
      <c r="B294" t="n">
        <v>3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15</v>
      </c>
      <c r="N294" t="inlineStr">
        <is>
          <t>Tier 4</t>
        </is>
      </c>
      <c r="O294" t="inlineStr">
        <is>
          <t>Jen DeBlasis — Corporate Transportation Manager; Mike Taylor — Transportation Analyst; Sean Djubek — Sr. Corporate Transportation Manager</t>
        </is>
      </c>
      <c r="P294" t="inlineStr">
        <is>
          <t>Corporate Transportation Manager | Transportation Analyst | Sr. Corporate Transportation Manager</t>
        </is>
      </c>
      <c r="Y294" t="inlineStr">
        <is>
          <t>todo</t>
        </is>
      </c>
      <c r="Z294">
        <f>(M294*Weights!$B$2) + (MIN(Q294,Weights!$B$5)*Weights!$B$3*(W294/100)*Weights!$B$4)</f>
        <v/>
      </c>
      <c r="AA294">
        <f>IF(Z294= ,,RANK.EQ({pri_col_letter}{r},{pri_range},0))</f>
        <v/>
      </c>
    </row>
    <row r="295">
      <c r="A295" t="inlineStr">
        <is>
          <t>Niagara Bottling</t>
        </is>
      </c>
      <c r="B295" t="n">
        <v>4</v>
      </c>
      <c r="C295" t="n">
        <v>0</v>
      </c>
      <c r="D295" t="n">
        <v>1</v>
      </c>
      <c r="E295" t="n">
        <v>3</v>
      </c>
      <c r="F295" t="n">
        <v>0</v>
      </c>
      <c r="G295" t="n">
        <v>0</v>
      </c>
      <c r="I295" t="n">
        <v>0</v>
      </c>
      <c r="J295" t="n">
        <v>0.25</v>
      </c>
      <c r="K295" t="n">
        <v>0</v>
      </c>
      <c r="L295" t="n">
        <v>0</v>
      </c>
      <c r="M295" t="n">
        <v>14</v>
      </c>
      <c r="N295" t="inlineStr">
        <is>
          <t>Tier 4</t>
        </is>
      </c>
      <c r="O295" t="inlineStr">
        <is>
          <t>Anup Pillay — Vice President of Procurement; Niraj Jha — Sr. Director of Logistics- Southwest; Fabio Baldassari — Sr Director of Procurement; Jose Gutierrez — Sr Manager of Procurement</t>
        </is>
      </c>
      <c r="P295" t="inlineStr">
        <is>
          <t>Vice President of Procurement | Sr. Director of Logistics- Southwest | Sr Director of Procurement</t>
        </is>
      </c>
      <c r="Y295" t="inlineStr">
        <is>
          <t>todo</t>
        </is>
      </c>
      <c r="Z295">
        <f>(M295*Weights!$B$2) + (MIN(Q295,Weights!$B$5)*Weights!$B$3*(W295/100)*Weights!$B$4)</f>
        <v/>
      </c>
      <c r="AA295">
        <f>IF(Z295= ,,RANK.EQ({pri_col_letter}{r},{pri_range},0))</f>
        <v/>
      </c>
    </row>
    <row r="296">
      <c r="A296" t="inlineStr">
        <is>
          <t>Lazer Logistics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750000000</v>
      </c>
      <c r="I296" t="n">
        <v>0</v>
      </c>
      <c r="J296" t="n">
        <v>0</v>
      </c>
      <c r="K296" t="n">
        <v>0</v>
      </c>
      <c r="L296" t="n">
        <v>0</v>
      </c>
      <c r="M296" t="n">
        <v>14</v>
      </c>
      <c r="N296" t="inlineStr">
        <is>
          <t>Tier 4</t>
        </is>
      </c>
      <c r="O296" t="inlineStr">
        <is>
          <t>Blaine Dirker — CTO; Chris Bennett — Vice President of EV, Energy, and Sustainability</t>
        </is>
      </c>
      <c r="P296" t="inlineStr">
        <is>
          <t>Vice President of EV, Energy, and Sustainability | CTO</t>
        </is>
      </c>
      <c r="Y296" t="inlineStr">
        <is>
          <t>todo</t>
        </is>
      </c>
      <c r="Z296">
        <f>(M296*Weights!$B$2) + (MIN(Q296,Weights!$B$5)*Weights!$B$3*(W296/100)*Weights!$B$4)</f>
        <v/>
      </c>
      <c r="AA296">
        <f>IF(Z296= ,,RANK.EQ({pri_col_letter}{r},{pri_range},0))</f>
        <v/>
      </c>
    </row>
    <row r="297">
      <c r="A297" t="inlineStr">
        <is>
          <t>Carmax</t>
        </is>
      </c>
      <c r="B297" t="n">
        <v>3</v>
      </c>
      <c r="C297" t="n">
        <v>0</v>
      </c>
      <c r="D297" t="n">
        <v>2</v>
      </c>
      <c r="E297" t="n">
        <v>1</v>
      </c>
      <c r="F297" t="n">
        <v>0</v>
      </c>
      <c r="G297" t="n">
        <v>1</v>
      </c>
      <c r="I297" t="n">
        <v>1</v>
      </c>
      <c r="J297" t="n">
        <v>0.6666666666666666</v>
      </c>
      <c r="K297" t="n">
        <v>0</v>
      </c>
      <c r="L297" t="n">
        <v>0</v>
      </c>
      <c r="M297" t="n">
        <v>13</v>
      </c>
      <c r="N297" t="inlineStr">
        <is>
          <t>Tier 4</t>
        </is>
      </c>
      <c r="O297" t="inlineStr">
        <is>
          <t>Tyson Steele — Director of Procurement for Logistics; Christina Young — Director of Logistics Development and Innovation; Jessica Allison — Director, Product Management</t>
        </is>
      </c>
      <c r="P297" t="inlineStr">
        <is>
          <t>Director of Procurement for Logistics | Director of Logistics Development and Innovation | Director, Product Management</t>
        </is>
      </c>
      <c r="Y297" t="inlineStr">
        <is>
          <t>todo</t>
        </is>
      </c>
      <c r="Z297">
        <f>(M297*Weights!$B$2) + (MIN(Q297,Weights!$B$5)*Weights!$B$3*(W297/100)*Weights!$B$4)</f>
        <v/>
      </c>
      <c r="AA297">
        <f>IF(Z297= ,,RANK.EQ({pri_col_letter}{r},{pri_range},0))</f>
        <v/>
      </c>
    </row>
    <row r="298">
      <c r="A298" t="inlineStr">
        <is>
          <t>Arc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369100000</v>
      </c>
      <c r="I298" t="n">
        <v>0</v>
      </c>
      <c r="J298" t="n">
        <v>0</v>
      </c>
      <c r="K298" t="n">
        <v>0</v>
      </c>
      <c r="L298" t="n">
        <v>0</v>
      </c>
      <c r="M298" t="n">
        <v>13</v>
      </c>
      <c r="N298" t="inlineStr">
        <is>
          <t>Tier 4</t>
        </is>
      </c>
      <c r="O298" t="inlineStr">
        <is>
          <t>Mitch Lee — CEO &amp; Co-Founder</t>
        </is>
      </c>
      <c r="P298" t="inlineStr">
        <is>
          <t>CEO &amp; Co-Founder</t>
        </is>
      </c>
      <c r="Y298" t="inlineStr">
        <is>
          <t>todo</t>
        </is>
      </c>
      <c r="Z298">
        <f>(M298*Weights!$B$2) + (MIN(Q298,Weights!$B$5)*Weights!$B$3*(W298/100)*Weights!$B$4)</f>
        <v/>
      </c>
      <c r="AA298">
        <f>IF(Z298= ,,RANK.EQ({pri_col_letter}{r},{pri_range},0))</f>
        <v/>
      </c>
    </row>
    <row r="299">
      <c r="A299" t="inlineStr">
        <is>
          <t>Ashdod Port Company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278000000</v>
      </c>
      <c r="I299" t="n">
        <v>0</v>
      </c>
      <c r="J299" t="n">
        <v>0</v>
      </c>
      <c r="K299" t="n">
        <v>0</v>
      </c>
      <c r="L299" t="n">
        <v>0</v>
      </c>
      <c r="M299" t="n">
        <v>13</v>
      </c>
      <c r="N299" t="inlineStr">
        <is>
          <t>Tier 4</t>
        </is>
      </c>
      <c r="O299" t="inlineStr">
        <is>
          <t>Nissan Levy — CEO</t>
        </is>
      </c>
      <c r="P299" t="inlineStr">
        <is>
          <t>CEO</t>
        </is>
      </c>
      <c r="Y299" t="inlineStr">
        <is>
          <t>todo</t>
        </is>
      </c>
      <c r="Z299">
        <f>(M299*Weights!$B$2) + (MIN(Q299,Weights!$B$5)*Weights!$B$3*(W299/100)*Weights!$B$4)</f>
        <v/>
      </c>
      <c r="AA299">
        <f>IF(Z299= ,,RANK.EQ({pri_col_letter}{r},{pri_range},0))</f>
        <v/>
      </c>
    </row>
    <row r="300">
      <c r="A300" t="inlineStr">
        <is>
          <t>WiseTech Global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773502000</v>
      </c>
      <c r="I300" t="n">
        <v>0</v>
      </c>
      <c r="J300" t="n">
        <v>0</v>
      </c>
      <c r="K300" t="n">
        <v>0</v>
      </c>
      <c r="L300" t="n">
        <v>0</v>
      </c>
      <c r="M300" t="n">
        <v>13</v>
      </c>
      <c r="N300" t="inlineStr">
        <is>
          <t>Tier 4</t>
        </is>
      </c>
      <c r="O300" t="inlineStr">
        <is>
          <t>Vlad Bilanovsky — Chief Execution Officer (CXO)</t>
        </is>
      </c>
      <c r="P300" t="inlineStr">
        <is>
          <t>Chief Execution Officer (CXO)</t>
        </is>
      </c>
      <c r="Y300" t="inlineStr">
        <is>
          <t>todo</t>
        </is>
      </c>
      <c r="Z300">
        <f>(M300*Weights!$B$2) + (MIN(Q300,Weights!$B$5)*Weights!$B$3*(W300/100)*Weights!$B$4)</f>
        <v/>
      </c>
      <c r="AA300">
        <f>IF(Z300= ,,RANK.EQ({pri_col_letter}{r},{pri_range},0))</f>
        <v/>
      </c>
    </row>
    <row r="301">
      <c r="A301" t="inlineStr">
        <is>
          <t>Overhaul</t>
        </is>
      </c>
      <c r="B301" t="n">
        <v>17</v>
      </c>
      <c r="C301" t="n">
        <v>1</v>
      </c>
      <c r="D301" t="n">
        <v>1</v>
      </c>
      <c r="E301" t="n">
        <v>0</v>
      </c>
      <c r="F301" t="n">
        <v>9</v>
      </c>
      <c r="G301" t="n">
        <v>1</v>
      </c>
      <c r="H301" t="n">
        <v>131700000</v>
      </c>
      <c r="I301" t="n">
        <v>10</v>
      </c>
      <c r="J301" t="n">
        <v>0.05882352941176471</v>
      </c>
      <c r="K301" t="n">
        <v>12</v>
      </c>
      <c r="L301" t="n">
        <v>0</v>
      </c>
      <c r="M301" t="n">
        <v>12</v>
      </c>
      <c r="N301" t="inlineStr">
        <is>
          <t>Tier 4</t>
        </is>
      </c>
      <c r="O301" t="inlineStr">
        <is>
          <t>Kelly Preczewski — VP Customer Operations; David Warrick — EVP Enterprise; Barry Conlon — CEO; Ron Greene — EVP Intelligence, Risk, I&amp;R; Jonathan Ryan — Chief Product &amp; Technology Officer</t>
        </is>
      </c>
      <c r="P301" t="inlineStr">
        <is>
          <t>VP Customer Operations | EVP Enterprise | CEO</t>
        </is>
      </c>
      <c r="Y301" t="inlineStr">
        <is>
          <t>todo</t>
        </is>
      </c>
      <c r="Z301">
        <f>(M301*Weights!$B$2) + (MIN(Q301,Weights!$B$5)*Weights!$B$3*(W301/100)*Weights!$B$4)</f>
        <v/>
      </c>
      <c r="AA301">
        <f>IF(Z301= ,,RANK.EQ({pri_col_letter}{r},{pri_range},0))</f>
        <v/>
      </c>
    </row>
    <row r="302">
      <c r="A302" t="inlineStr">
        <is>
          <t>Dr. Squatch</t>
        </is>
      </c>
      <c r="B302" t="n">
        <v>4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I302" t="n">
        <v>0</v>
      </c>
      <c r="J302" t="n">
        <v>0.5</v>
      </c>
      <c r="K302" t="n">
        <v>0</v>
      </c>
      <c r="L302" t="n">
        <v>0</v>
      </c>
      <c r="M302" t="n">
        <v>12</v>
      </c>
      <c r="N302" t="inlineStr">
        <is>
          <t>Tier 4</t>
        </is>
      </c>
      <c r="O302" t="inlineStr">
        <is>
          <t>Andrew Sutton — Sr. Director, Fulfillment; Jason Welsh — Sr. Manager, DTC Fulfillment; Tom Ramhorst — COO; Mike Kim — ERP &amp; Systems Manager</t>
        </is>
      </c>
      <c r="P302" t="inlineStr">
        <is>
          <t>COO | Sr. Director, Fulfillment | Sr. Manager, DTC Fulfillment</t>
        </is>
      </c>
      <c r="Y302" t="inlineStr">
        <is>
          <t>todo</t>
        </is>
      </c>
      <c r="Z302">
        <f>(M302*Weights!$B$2) + (MIN(Q302,Weights!$B$5)*Weights!$B$3*(W302/100)*Weights!$B$4)</f>
        <v/>
      </c>
      <c r="AA302">
        <f>IF(Z302= ,,RANK.EQ({pri_col_letter}{r},{pri_range},0))</f>
        <v/>
      </c>
    </row>
    <row r="303">
      <c r="A303" t="inlineStr">
        <is>
          <t>Molson Coors Beverage Company</t>
        </is>
      </c>
      <c r="B303" t="n">
        <v>4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I303" t="n">
        <v>0</v>
      </c>
      <c r="J303" t="n">
        <v>0.5</v>
      </c>
      <c r="K303" t="n">
        <v>0</v>
      </c>
      <c r="L303" t="n">
        <v>0</v>
      </c>
      <c r="M303" t="n">
        <v>12</v>
      </c>
      <c r="N303" t="inlineStr">
        <is>
          <t>Tier 4</t>
        </is>
      </c>
      <c r="O303" t="inlineStr">
        <is>
          <t>Eddie Jimenez — Senior Director, Freight Management &amp; Transport (North America); Helena Solarte — Sr. Manager Transportation, US Network; Jonah Turner — Innovation Head; Jeff Bishop — Category Manager</t>
        </is>
      </c>
      <c r="P303" t="inlineStr">
        <is>
          <t>Innovation Head | Senior Director, Freight Management &amp; Transport (North America) | Sr. Manager Transportation, US Network</t>
        </is>
      </c>
      <c r="Y303" t="inlineStr">
        <is>
          <t>todo</t>
        </is>
      </c>
      <c r="Z303">
        <f>(M303*Weights!$B$2) + (MIN(Q303,Weights!$B$5)*Weights!$B$3*(W303/100)*Weights!$B$4)</f>
        <v/>
      </c>
      <c r="AA303">
        <f>IF(Z303= ,,RANK.EQ({pri_col_letter}{r},{pri_range},0))</f>
        <v/>
      </c>
    </row>
    <row r="304">
      <c r="A304" t="inlineStr">
        <is>
          <t>Nordstrom</t>
        </is>
      </c>
      <c r="B304" t="n">
        <v>4</v>
      </c>
      <c r="C304" t="n">
        <v>0</v>
      </c>
      <c r="D304" t="n">
        <v>1</v>
      </c>
      <c r="E304" t="n">
        <v>2</v>
      </c>
      <c r="F304" t="n">
        <v>0</v>
      </c>
      <c r="G304" t="n">
        <v>0</v>
      </c>
      <c r="I304" t="n">
        <v>0</v>
      </c>
      <c r="J304" t="n">
        <v>0.25</v>
      </c>
      <c r="K304" t="n">
        <v>0</v>
      </c>
      <c r="L304" t="n">
        <v>0</v>
      </c>
      <c r="M304" t="n">
        <v>12</v>
      </c>
      <c r="N304" t="inlineStr">
        <is>
          <t>Tier 4</t>
        </is>
      </c>
      <c r="O304" t="inlineStr">
        <is>
          <t>Colin Hansen — Project Manager - Domestic Transportation; Karoline Dygas — Vice President and CPO; Kirk Simons — Director of Procurement - Strategic Sourcing; Sarah Woods — Sr. Manager, Strategic Sourcing</t>
        </is>
      </c>
      <c r="P304" t="inlineStr">
        <is>
          <t>Vice President and CPO | Project Manager - Domestic Transportation | Director of Procurement - Strategic Sourcing</t>
        </is>
      </c>
      <c r="Y304" t="inlineStr">
        <is>
          <t>todo</t>
        </is>
      </c>
      <c r="Z304">
        <f>(M304*Weights!$B$2) + (MIN(Q304,Weights!$B$5)*Weights!$B$3*(W304/100)*Weights!$B$4)</f>
        <v/>
      </c>
      <c r="AA304">
        <f>IF(Z304= ,,RANK.EQ({pri_col_letter}{r},{pri_range},0))</f>
        <v/>
      </c>
    </row>
    <row r="305">
      <c r="A305" t="inlineStr">
        <is>
          <t>Orgain</t>
        </is>
      </c>
      <c r="B305" t="n">
        <v>4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I305" t="n">
        <v>0</v>
      </c>
      <c r="J305" t="n">
        <v>0.5</v>
      </c>
      <c r="K305" t="n">
        <v>0</v>
      </c>
      <c r="L305" t="n">
        <v>0</v>
      </c>
      <c r="M305" t="n">
        <v>12</v>
      </c>
      <c r="N305" t="inlineStr">
        <is>
          <t>Tier 4</t>
        </is>
      </c>
      <c r="O305" t="inlineStr">
        <is>
          <t>Colby Walker — Associate Director, Transportation; Marc Dorau — Sr. Director, Logistics &amp; Customer Fulfillment; Brendon Greeley — Director of Warehousing; Brenden Greeley — Director of Warehousing</t>
        </is>
      </c>
      <c r="P305" t="inlineStr">
        <is>
          <t>Associate Director, Transportation | Sr. Director, Logistics &amp; Customer Fulfillment | Director of Warehousing</t>
        </is>
      </c>
      <c r="Y305" t="inlineStr">
        <is>
          <t>todo</t>
        </is>
      </c>
      <c r="Z305">
        <f>(M305*Weights!$B$2) + (MIN(Q305,Weights!$B$5)*Weights!$B$3*(W305/100)*Weights!$B$4)</f>
        <v/>
      </c>
      <c r="AA305">
        <f>IF(Z305= ,,RANK.EQ({pri_col_letter}{r},{pri_range},0))</f>
        <v/>
      </c>
    </row>
    <row r="306">
      <c r="A306" t="inlineStr">
        <is>
          <t>goodr</t>
        </is>
      </c>
      <c r="B306" t="n">
        <v>4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I306" t="n">
        <v>0</v>
      </c>
      <c r="J306" t="n">
        <v>0.5</v>
      </c>
      <c r="K306" t="n">
        <v>0</v>
      </c>
      <c r="L306" t="n">
        <v>0</v>
      </c>
      <c r="M306" t="n">
        <v>12</v>
      </c>
      <c r="N306" t="inlineStr">
        <is>
          <t>Tier 4</t>
        </is>
      </c>
      <c r="O306" t="inlineStr">
        <is>
          <t>Will Haraldson — Director of Warhouse Operations; Margie Medina — Logistics Manager; Jonathan Alejandro — Freight Manager; Michael Brown — Fullfillment Manager</t>
        </is>
      </c>
      <c r="P306" t="inlineStr">
        <is>
          <t>Director of Warhouse Operations | Logistics Manager | Freight Manager</t>
        </is>
      </c>
      <c r="Y306" t="inlineStr">
        <is>
          <t>todo</t>
        </is>
      </c>
      <c r="Z306">
        <f>(M306*Weights!$B$2) + (MIN(Q306,Weights!$B$5)*Weights!$B$3*(W306/100)*Weights!$B$4)</f>
        <v/>
      </c>
      <c r="AA306">
        <f>IF(Z306= ,,RANK.EQ({pri_col_letter}{r},{pri_range},0))</f>
        <v/>
      </c>
    </row>
    <row r="307">
      <c r="A307" t="inlineStr">
        <is>
          <t>Ecolab</t>
        </is>
      </c>
      <c r="B307" t="n">
        <v>2</v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12</v>
      </c>
      <c r="N307" t="inlineStr">
        <is>
          <t>Tier 4</t>
        </is>
      </c>
      <c r="O307" t="inlineStr">
        <is>
          <t>Jeff Amble — Senior Director, Logistics Sourcing, Transportation; Alex Tilton — Senior Manager, Logistics Control Tower</t>
        </is>
      </c>
      <c r="P307" t="inlineStr">
        <is>
          <t>Senior Director, Logistics Sourcing, Transportation | Senior Manager, Logistics Control Tower</t>
        </is>
      </c>
      <c r="Y307" t="inlineStr">
        <is>
          <t>todo</t>
        </is>
      </c>
      <c r="Z307">
        <f>(M307*Weights!$B$2) + (MIN(Q307,Weights!$B$5)*Weights!$B$3*(W307/100)*Weights!$B$4)</f>
        <v/>
      </c>
      <c r="AA307">
        <f>IF(Z307= ,,RANK.EQ({pri_col_letter}{r},{pri_range},0))</f>
        <v/>
      </c>
    </row>
    <row r="308">
      <c r="A308" t="inlineStr">
        <is>
          <t>The Procter &amp; Gamble Company</t>
        </is>
      </c>
      <c r="B308" t="n">
        <v>2</v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12</v>
      </c>
      <c r="N308" t="inlineStr">
        <is>
          <t>Tier 4</t>
        </is>
      </c>
      <c r="O308" t="inlineStr">
        <is>
          <t>Esin Yasli — Director of Procurement, Logistics Innovation; Sherbella Glasper — NA Transportation Operations Senior Director</t>
        </is>
      </c>
      <c r="P308" t="inlineStr">
        <is>
          <t>Director of Procurement, Logistics Innovation | NA Transportation Operations Senior Director</t>
        </is>
      </c>
      <c r="Y308" t="inlineStr">
        <is>
          <t>todo</t>
        </is>
      </c>
      <c r="Z308">
        <f>(M308*Weights!$B$2) + (MIN(Q308,Weights!$B$5)*Weights!$B$3*(W308/100)*Weights!$B$4)</f>
        <v/>
      </c>
      <c r="AA308">
        <f>IF(Z308= ,,RANK.EQ({pri_col_letter}{r},{pri_range},0))</f>
        <v/>
      </c>
    </row>
    <row r="309">
      <c r="A309" t="inlineStr">
        <is>
          <t>Wabash</t>
        </is>
      </c>
      <c r="B309" t="n">
        <v>11</v>
      </c>
      <c r="C309" t="n">
        <v>0</v>
      </c>
      <c r="D309" t="n">
        <v>0</v>
      </c>
      <c r="E309" t="n">
        <v>0</v>
      </c>
      <c r="F309" t="n">
        <v>4</v>
      </c>
      <c r="G309" t="n">
        <v>2</v>
      </c>
      <c r="H309" t="n">
        <v>1946740000</v>
      </c>
      <c r="I309" t="n">
        <v>6</v>
      </c>
      <c r="J309" t="n">
        <v>0</v>
      </c>
      <c r="K309" t="n">
        <v>12</v>
      </c>
      <c r="L309" t="n">
        <v>0</v>
      </c>
      <c r="M309" t="n">
        <v>11</v>
      </c>
      <c r="N309" t="inlineStr">
        <is>
          <t>Tier 4</t>
        </is>
      </c>
      <c r="O309" t="inlineStr">
        <is>
          <t>Jessica Kane — VP, Product; Andy Otterman — VP, Technology; Cory O'Brien — VP, Digital Enablement; Brett Suma — Managing Director, TaaS &amp; TrailerHawk.AI; Carrie Hoppenjans — Director, Strategic Engagement &amp; Events</t>
        </is>
      </c>
      <c r="P309" t="inlineStr">
        <is>
          <t>VP, Digital Enablement | VP, Product | VP, Technology</t>
        </is>
      </c>
      <c r="Y309" t="inlineStr">
        <is>
          <t>todo</t>
        </is>
      </c>
      <c r="Z309">
        <f>(M309*Weights!$B$2) + (MIN(Q309,Weights!$B$5)*Weights!$B$3*(W309/100)*Weights!$B$4)</f>
        <v/>
      </c>
      <c r="AA309">
        <f>IF(Z309= ,,RANK.EQ({pri_col_letter}{r},{pri_range},0))</f>
        <v/>
      </c>
    </row>
    <row r="310">
      <c r="A310" t="inlineStr">
        <is>
          <t>TRUCKSTOP.COM</t>
        </is>
      </c>
      <c r="B310" t="n">
        <v>10</v>
      </c>
      <c r="C310" t="n">
        <v>1</v>
      </c>
      <c r="D310" t="n">
        <v>1</v>
      </c>
      <c r="E310" t="n">
        <v>0</v>
      </c>
      <c r="F310" t="n">
        <v>3</v>
      </c>
      <c r="G310" t="n">
        <v>0</v>
      </c>
      <c r="I310" t="n">
        <v>3</v>
      </c>
      <c r="J310" t="n">
        <v>0.1</v>
      </c>
      <c r="K310" t="n">
        <v>12</v>
      </c>
      <c r="L310" t="n">
        <v>0</v>
      </c>
      <c r="M310" t="n">
        <v>11</v>
      </c>
      <c r="N310" t="inlineStr">
        <is>
          <t>Tier 4</t>
        </is>
      </c>
      <c r="O310" t="inlineStr">
        <is>
          <t>Amy Whiteman — Sr. VP Strategic Ops; Dan Cambron — CTO; Scott Moscrip — CEO; Sean Dehan — VP, Corp Strategy; Todd Waldron — VP, Carrier Experience</t>
        </is>
      </c>
      <c r="P310" t="inlineStr">
        <is>
          <t>Sr. VP Strategic Ops | CTO | CEO</t>
        </is>
      </c>
      <c r="Y310" t="inlineStr">
        <is>
          <t>todo</t>
        </is>
      </c>
      <c r="Z310">
        <f>(M310*Weights!$B$2) + (MIN(Q310,Weights!$B$5)*Weights!$B$3*(W310/100)*Weights!$B$4)</f>
        <v/>
      </c>
      <c r="AA310">
        <f>IF(Z310= ,,RANK.EQ({pri_col_letter}{r},{pri_range},0))</f>
        <v/>
      </c>
    </row>
    <row r="311">
      <c r="A311" t="inlineStr">
        <is>
          <t>Atlas Energy</t>
        </is>
      </c>
      <c r="B311" t="n">
        <v>3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I311" t="n">
        <v>0</v>
      </c>
      <c r="J311" t="n">
        <v>0.6666666666666666</v>
      </c>
      <c r="K311" t="n">
        <v>0</v>
      </c>
      <c r="L311" t="n">
        <v>0</v>
      </c>
      <c r="M311" t="n">
        <v>11</v>
      </c>
      <c r="N311" t="inlineStr">
        <is>
          <t>Tier 4</t>
        </is>
      </c>
      <c r="O311" t="inlineStr">
        <is>
          <t>Dacia Webb — Director of Operations; Jose Palomo — Sr. Manager of Operations; Andres Zertuche — Operation Supervisor</t>
        </is>
      </c>
      <c r="P311" t="inlineStr">
        <is>
          <t>Director of Operations | Sr. Manager of Operations | Operation Supervisor</t>
        </is>
      </c>
      <c r="Y311" t="inlineStr">
        <is>
          <t>todo</t>
        </is>
      </c>
      <c r="Z311">
        <f>(M311*Weights!$B$2) + (MIN(Q311,Weights!$B$5)*Weights!$B$3*(W311/100)*Weights!$B$4)</f>
        <v/>
      </c>
      <c r="AA311">
        <f>IF(Z311= ,,RANK.EQ({pri_col_letter}{r},{pri_range},0))</f>
        <v/>
      </c>
    </row>
    <row r="312">
      <c r="A312" t="inlineStr">
        <is>
          <t>Eagle Eye Produce</t>
        </is>
      </c>
      <c r="B312" t="n">
        <v>3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I312" t="n">
        <v>0</v>
      </c>
      <c r="J312" t="n">
        <v>0.6666666666666666</v>
      </c>
      <c r="K312" t="n">
        <v>0</v>
      </c>
      <c r="L312" t="n">
        <v>0</v>
      </c>
      <c r="M312" t="n">
        <v>11</v>
      </c>
      <c r="N312" t="inlineStr">
        <is>
          <t>Tier 4</t>
        </is>
      </c>
      <c r="O312" t="inlineStr">
        <is>
          <t>Jason Struhs — Fleet Manager; Tifanee Ternus — Transportation Operations Manager; Jonathan Rivera — General Manager</t>
        </is>
      </c>
      <c r="P312" t="inlineStr">
        <is>
          <t>Fleet Manager | General Manager | Transportation Operations Manager</t>
        </is>
      </c>
      <c r="Y312" t="inlineStr">
        <is>
          <t>todo</t>
        </is>
      </c>
      <c r="Z312">
        <f>(M312*Weights!$B$2) + (MIN(Q312,Weights!$B$5)*Weights!$B$3*(W312/100)*Weights!$B$4)</f>
        <v/>
      </c>
      <c r="AA312">
        <f>IF(Z312= ,,RANK.EQ({pri_col_letter}{r},{pri_range},0))</f>
        <v/>
      </c>
    </row>
    <row r="313">
      <c r="A313" t="inlineStr">
        <is>
          <t>Lego</t>
        </is>
      </c>
      <c r="B313" t="n">
        <v>3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I313" t="n">
        <v>0</v>
      </c>
      <c r="J313" t="n">
        <v>0.6666666666666666</v>
      </c>
      <c r="K313" t="n">
        <v>0</v>
      </c>
      <c r="L313" t="n">
        <v>0</v>
      </c>
      <c r="M313" t="n">
        <v>11</v>
      </c>
      <c r="N313" t="inlineStr">
        <is>
          <t>Tier 4</t>
        </is>
      </c>
      <c r="O313" t="inlineStr">
        <is>
          <t>Al Pace — Senior Director of Operations; Andrew Petardi — Sr. Category Manager Distribution; Vishal Shelar — Senior Project Manager</t>
        </is>
      </c>
      <c r="P313" t="inlineStr">
        <is>
          <t>Senior Director of Operations | Sr. Category Manager Distribution | Senior Project Manager</t>
        </is>
      </c>
      <c r="Y313" t="inlineStr">
        <is>
          <t>todo</t>
        </is>
      </c>
      <c r="Z313">
        <f>(M313*Weights!$B$2) + (MIN(Q313,Weights!$B$5)*Weights!$B$3*(W313/100)*Weights!$B$4)</f>
        <v/>
      </c>
      <c r="AA313">
        <f>IF(Z313= ,,RANK.EQ({pri_col_letter}{r},{pri_range},0))</f>
        <v/>
      </c>
    </row>
    <row r="314">
      <c r="A314" t="inlineStr">
        <is>
          <t>Lion Energy</t>
        </is>
      </c>
      <c r="B314" t="n">
        <v>3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I314" t="n">
        <v>0</v>
      </c>
      <c r="J314" t="n">
        <v>0.6666666666666666</v>
      </c>
      <c r="K314" t="n">
        <v>0</v>
      </c>
      <c r="L314" t="n">
        <v>0</v>
      </c>
      <c r="M314" t="n">
        <v>11</v>
      </c>
      <c r="N314" t="inlineStr">
        <is>
          <t>Tier 4</t>
        </is>
      </c>
      <c r="O314" t="inlineStr">
        <is>
          <t>Amber Zehner — Global Logistics; Jocelyn Webb — Global Logistics Team; Ryan Frey — COO</t>
        </is>
      </c>
      <c r="P314" t="inlineStr">
        <is>
          <t>COO | Global Logistics | Global Logistics Team</t>
        </is>
      </c>
      <c r="Y314" t="inlineStr">
        <is>
          <t>todo</t>
        </is>
      </c>
      <c r="Z314">
        <f>(M314*Weights!$B$2) + (MIN(Q314,Weights!$B$5)*Weights!$B$3*(W314/100)*Weights!$B$4)</f>
        <v/>
      </c>
      <c r="AA314">
        <f>IF(Z314= ,,RANK.EQ({pri_col_letter}{r},{pri_range},0))</f>
        <v/>
      </c>
    </row>
    <row r="315">
      <c r="A315" t="inlineStr">
        <is>
          <t>Polaris</t>
        </is>
      </c>
      <c r="B315" t="n">
        <v>3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I315" t="n">
        <v>0</v>
      </c>
      <c r="J315" t="n">
        <v>0.6666666666666666</v>
      </c>
      <c r="K315" t="n">
        <v>0</v>
      </c>
      <c r="L315" t="n">
        <v>0</v>
      </c>
      <c r="M315" t="n">
        <v>11</v>
      </c>
      <c r="N315" t="inlineStr">
        <is>
          <t>Tier 4</t>
        </is>
      </c>
      <c r="O315" t="inlineStr">
        <is>
          <t>Cullen McNeill — Logistics Analyst; Troy Issacs — Director, Logistics &amp; Delivery Optimization; John Foss — Manager, Delivery Experience</t>
        </is>
      </c>
      <c r="P315" t="inlineStr">
        <is>
          <t>Logistics Analyst | Director, Logistics &amp; Delivery Optimization | Manager, Delivery Experience</t>
        </is>
      </c>
      <c r="Y315" t="inlineStr">
        <is>
          <t>todo</t>
        </is>
      </c>
      <c r="Z315">
        <f>(M315*Weights!$B$2) + (MIN(Q315,Weights!$B$5)*Weights!$B$3*(W315/100)*Weights!$B$4)</f>
        <v/>
      </c>
      <c r="AA315">
        <f>IF(Z315= ,,RANK.EQ({pri_col_letter}{r},{pri_range},0))</f>
        <v/>
      </c>
    </row>
    <row r="316">
      <c r="A316" t="inlineStr">
        <is>
          <t>Slice</t>
        </is>
      </c>
      <c r="B316" t="n">
        <v>3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I316" t="n">
        <v>0</v>
      </c>
      <c r="J316" t="n">
        <v>0.6666666666666666</v>
      </c>
      <c r="K316" t="n">
        <v>0</v>
      </c>
      <c r="L316" t="n">
        <v>0</v>
      </c>
      <c r="M316" t="n">
        <v>11</v>
      </c>
      <c r="N316" t="inlineStr">
        <is>
          <t>Tier 4</t>
        </is>
      </c>
      <c r="O316" t="inlineStr">
        <is>
          <t>Jenni Guerin — Manager- Last Mile Logistics; Michael Guzman — Manager- OPS; Brian Lavigne — VP, Head of Slice Hubs</t>
        </is>
      </c>
      <c r="P316" t="inlineStr">
        <is>
          <t>VP, Head of Slice Hubs | Manager- Last Mile Logistics | Manager- OPS</t>
        </is>
      </c>
      <c r="Y316" t="inlineStr">
        <is>
          <t>todo</t>
        </is>
      </c>
      <c r="Z316">
        <f>(M316*Weights!$B$2) + (MIN(Q316,Weights!$B$5)*Weights!$B$3*(W316/100)*Weights!$B$4)</f>
        <v/>
      </c>
      <c r="AA316">
        <f>IF(Z316= ,,RANK.EQ({pri_col_letter}{r},{pri_range},0))</f>
        <v/>
      </c>
    </row>
    <row r="317">
      <c r="A317" t="inlineStr">
        <is>
          <t>TJJ CO. LTD</t>
        </is>
      </c>
      <c r="B317" t="n">
        <v>3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I317" t="n">
        <v>0</v>
      </c>
      <c r="J317" t="n">
        <v>0.6666666666666666</v>
      </c>
      <c r="K317" t="n">
        <v>0</v>
      </c>
      <c r="L317" t="n">
        <v>0</v>
      </c>
      <c r="M317" t="n">
        <v>11</v>
      </c>
      <c r="N317" t="inlineStr">
        <is>
          <t>Tier 4</t>
        </is>
      </c>
      <c r="O317" t="inlineStr">
        <is>
          <t>Do Huyhn Ho Thu — Operations Manager; Tran Thi Kim Thao — Logistics Manager; Ngoc Tuan Dang — CEO</t>
        </is>
      </c>
      <c r="P317" t="inlineStr">
        <is>
          <t>Operations Manager | CEO | Logistics Manager</t>
        </is>
      </c>
      <c r="Y317" t="inlineStr">
        <is>
          <t>todo</t>
        </is>
      </c>
      <c r="Z317">
        <f>(M317*Weights!$B$2) + (MIN(Q317,Weights!$B$5)*Weights!$B$3*(W317/100)*Weights!$B$4)</f>
        <v/>
      </c>
      <c r="AA317">
        <f>IF(Z317= ,,RANK.EQ({pri_col_letter}{r},{pri_range},0))</f>
        <v/>
      </c>
    </row>
    <row r="318">
      <c r="A318" t="inlineStr">
        <is>
          <t>Vusion</t>
        </is>
      </c>
      <c r="B318" t="n">
        <v>3</v>
      </c>
      <c r="C318" t="n">
        <v>0</v>
      </c>
      <c r="D318" t="n">
        <v>1</v>
      </c>
      <c r="E318" t="n">
        <v>2</v>
      </c>
      <c r="F318" t="n">
        <v>0</v>
      </c>
      <c r="G318" t="n">
        <v>0</v>
      </c>
      <c r="I318" t="n">
        <v>0</v>
      </c>
      <c r="J318" t="n">
        <v>0.3333333333333333</v>
      </c>
      <c r="K318" t="n">
        <v>0</v>
      </c>
      <c r="L318" t="n">
        <v>0</v>
      </c>
      <c r="M318" t="n">
        <v>11</v>
      </c>
      <c r="N318" t="inlineStr">
        <is>
          <t>Tier 4</t>
        </is>
      </c>
      <c r="O318" t="inlineStr">
        <is>
          <t>Paula Figueroa — Logistics Manager; Anna Criswell — Procurement Manager; Genna Mobley — Director, Purchasing - North America</t>
        </is>
      </c>
      <c r="P318" t="inlineStr">
        <is>
          <t>Logistics Manager | Procurement Manager | Director, Purchasing - North America</t>
        </is>
      </c>
      <c r="Y318" t="inlineStr">
        <is>
          <t>todo</t>
        </is>
      </c>
      <c r="Z318">
        <f>(M318*Weights!$B$2) + (MIN(Q318,Weights!$B$5)*Weights!$B$3*(W318/100)*Weights!$B$4)</f>
        <v/>
      </c>
      <c r="AA318">
        <f>IF(Z318= ,,RANK.EQ({pri_col_letter}{r},{pri_range},0))</f>
        <v/>
      </c>
    </row>
    <row r="319">
      <c r="A319" t="inlineStr">
        <is>
          <t>Winsupply</t>
        </is>
      </c>
      <c r="B319" t="n">
        <v>3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I319" t="n">
        <v>0</v>
      </c>
      <c r="J319" t="n">
        <v>0.6666666666666666</v>
      </c>
      <c r="K319" t="n">
        <v>0</v>
      </c>
      <c r="L319" t="n">
        <v>0</v>
      </c>
      <c r="M319" t="n">
        <v>11</v>
      </c>
      <c r="N319" t="inlineStr">
        <is>
          <t>Tier 4</t>
        </is>
      </c>
      <c r="O319" t="inlineStr">
        <is>
          <t>Kevin Akers — Transportation Program Manager; Bryan Inman — Logistics Manager; Jeff Porter — Senior Director, Asset Development</t>
        </is>
      </c>
      <c r="P319" t="inlineStr">
        <is>
          <t>Transportation Program Manager | Logistics Manager | Senior Director, Asset Development</t>
        </is>
      </c>
      <c r="Y319" t="inlineStr">
        <is>
          <t>todo</t>
        </is>
      </c>
      <c r="Z319">
        <f>(M319*Weights!$B$2) + (MIN(Q319,Weights!$B$5)*Weights!$B$3*(W319/100)*Weights!$B$4)</f>
        <v/>
      </c>
      <c r="AA319">
        <f>IF(Z319= ,,RANK.EQ({pri_col_letter}{r},{pri_range},0))</f>
        <v/>
      </c>
    </row>
    <row r="320">
      <c r="A320" t="inlineStr">
        <is>
          <t>J.B. Hunt</t>
        </is>
      </c>
      <c r="B320" t="n">
        <v>5</v>
      </c>
      <c r="C320" t="n">
        <v>0</v>
      </c>
      <c r="D320" t="n">
        <v>0</v>
      </c>
      <c r="E320" t="n">
        <v>0</v>
      </c>
      <c r="F320" t="n">
        <v>4</v>
      </c>
      <c r="G320" t="n">
        <v>0</v>
      </c>
      <c r="I320" t="n">
        <v>4</v>
      </c>
      <c r="J320" t="n">
        <v>0</v>
      </c>
      <c r="K320" t="n">
        <v>12</v>
      </c>
      <c r="L320" t="n">
        <v>25</v>
      </c>
      <c r="M320" t="n">
        <v>10</v>
      </c>
      <c r="N320" t="inlineStr">
        <is>
          <t>Tier 4</t>
        </is>
      </c>
      <c r="O320" t="inlineStr">
        <is>
          <t>Stuart Scott — EVP &amp; CIO; Spencer Frazier — EVP Sales &amp; Marketing; Lindsay Goodman — SVP Sales; Rodney Nye — SVP Dedicated Sales; Tami Allensworth — SVP Sales</t>
        </is>
      </c>
      <c r="P320" t="inlineStr">
        <is>
          <t>EVP &amp; CIO | EVP Sales &amp; Marketing | SVP Sales</t>
        </is>
      </c>
      <c r="Y320" t="inlineStr">
        <is>
          <t>todo</t>
        </is>
      </c>
      <c r="Z320">
        <f>(M320*Weights!$B$2) + (MIN(Q320,Weights!$B$5)*Weights!$B$3*(W320/100)*Weights!$B$4)</f>
        <v/>
      </c>
      <c r="AA320">
        <f>IF(Z320= ,,RANK.EQ({pri_col_letter}{r},{pri_range},0))</f>
        <v/>
      </c>
    </row>
    <row r="321">
      <c r="A321" t="inlineStr">
        <is>
          <t>TikTok</t>
        </is>
      </c>
      <c r="B321" t="n">
        <v>4</v>
      </c>
      <c r="C321" t="n">
        <v>0</v>
      </c>
      <c r="D321" t="n">
        <v>1</v>
      </c>
      <c r="E321" t="n">
        <v>1</v>
      </c>
      <c r="F321" t="n">
        <v>0</v>
      </c>
      <c r="G321" t="n">
        <v>2</v>
      </c>
      <c r="I321" t="n">
        <v>2</v>
      </c>
      <c r="J321" t="n">
        <v>0.25</v>
      </c>
      <c r="K321" t="n">
        <v>0</v>
      </c>
      <c r="L321" t="n">
        <v>0</v>
      </c>
      <c r="M321" t="n">
        <v>10</v>
      </c>
      <c r="N321" t="inlineStr">
        <is>
          <t>Tier 4</t>
        </is>
      </c>
      <c r="O321" t="inlineStr">
        <is>
          <t>Iris Malik — Transportation Program Manager; George Zhao — Procurement POC; Frank Jiang — Product Manager; John Lee — Engineering Manager</t>
        </is>
      </c>
      <c r="P321" t="inlineStr">
        <is>
          <t>Transportation Program Manager | Procurement POC | Product Manager</t>
        </is>
      </c>
      <c r="Y321" t="inlineStr">
        <is>
          <t>todo</t>
        </is>
      </c>
      <c r="Z321">
        <f>(M321*Weights!$B$2) + (MIN(Q321,Weights!$B$5)*Weights!$B$3*(W321/100)*Weights!$B$4)</f>
        <v/>
      </c>
      <c r="AA321">
        <f>IF(Z321= ,,RANK.EQ({pri_col_letter}{r},{pri_range},0))</f>
        <v/>
      </c>
    </row>
    <row r="322">
      <c r="A322" t="inlineStr">
        <is>
          <t>Yazaki North America</t>
        </is>
      </c>
      <c r="B322" t="n">
        <v>4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I322" t="n">
        <v>0</v>
      </c>
      <c r="J322" t="n">
        <v>0.25</v>
      </c>
      <c r="K322" t="n">
        <v>0</v>
      </c>
      <c r="L322" t="n">
        <v>0</v>
      </c>
      <c r="M322" t="n">
        <v>10</v>
      </c>
      <c r="N322" t="inlineStr">
        <is>
          <t>Tier 4</t>
        </is>
      </c>
      <c r="O322" t="inlineStr">
        <is>
          <t>Travus Brummette — Senior Manager Logistics; Octavio Miranda — Purchasing Director; Jason Wang — Project Coordinator; Mark Filippi — Project Manager</t>
        </is>
      </c>
      <c r="P322" t="inlineStr">
        <is>
          <t>Senior Manager Logistics | Purchasing Director | Project Coordinator</t>
        </is>
      </c>
      <c r="Y322" t="inlineStr">
        <is>
          <t>todo</t>
        </is>
      </c>
      <c r="Z322">
        <f>(M322*Weights!$B$2) + (MIN(Q322,Weights!$B$5)*Weights!$B$3*(W322/100)*Weights!$B$4)</f>
        <v/>
      </c>
      <c r="AA322">
        <f>IF(Z322= ,,RANK.EQ({pri_col_letter}{r},{pri_range},0))</f>
        <v/>
      </c>
    </row>
    <row r="323">
      <c r="A323" t="inlineStr">
        <is>
          <t>3M</t>
        </is>
      </c>
      <c r="B323" t="n">
        <v>2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10</v>
      </c>
      <c r="N323" t="inlineStr">
        <is>
          <t>Tier 4</t>
        </is>
      </c>
      <c r="O323" t="inlineStr">
        <is>
          <t>Jeremy Petersen — Global Logistics Excellence Manager; Kirsti Clason — Global Logistics Manager</t>
        </is>
      </c>
      <c r="P323" t="inlineStr">
        <is>
          <t>Global Logistics Excellence Manager | Global Logistics Manager</t>
        </is>
      </c>
      <c r="Y323" t="inlineStr">
        <is>
          <t>todo</t>
        </is>
      </c>
      <c r="Z323">
        <f>(M323*Weights!$B$2) + (MIN(Q323,Weights!$B$5)*Weights!$B$3*(W323/100)*Weights!$B$4)</f>
        <v/>
      </c>
      <c r="AA323">
        <f>IF(Z323= ,,RANK.EQ({pri_col_letter}{r},{pri_range},0))</f>
        <v/>
      </c>
    </row>
    <row r="324">
      <c r="A324" t="inlineStr">
        <is>
          <t>AVI Systems Inc</t>
        </is>
      </c>
      <c r="B324" t="n">
        <v>2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10</v>
      </c>
      <c r="N324" t="inlineStr">
        <is>
          <t>Tier 4</t>
        </is>
      </c>
      <c r="O324" t="inlineStr">
        <is>
          <t>David Watkins — Velocity Logistics Center Manager; Josh James — Distribution Center Manager</t>
        </is>
      </c>
      <c r="P324" t="inlineStr">
        <is>
          <t>Velocity Logistics Center Manager | Distribution Center Manager</t>
        </is>
      </c>
      <c r="Y324" t="inlineStr">
        <is>
          <t>todo</t>
        </is>
      </c>
      <c r="Z324">
        <f>(M324*Weights!$B$2) + (MIN(Q324,Weights!$B$5)*Weights!$B$3*(W324/100)*Weights!$B$4)</f>
        <v/>
      </c>
      <c r="AA324">
        <f>IF(Z324= ,,RANK.EQ({pri_col_letter}{r},{pri_range},0))</f>
        <v/>
      </c>
    </row>
    <row r="325">
      <c r="A325" t="inlineStr">
        <is>
          <t>Belk</t>
        </is>
      </c>
      <c r="B325" t="n">
        <v>2</v>
      </c>
      <c r="C325" t="n">
        <v>0</v>
      </c>
      <c r="D325" t="n">
        <v>2</v>
      </c>
      <c r="E325" t="n">
        <v>0</v>
      </c>
      <c r="F325" t="n">
        <v>0</v>
      </c>
      <c r="G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10</v>
      </c>
      <c r="N325" t="inlineStr">
        <is>
          <t>Tier 4</t>
        </is>
      </c>
      <c r="O325" t="inlineStr">
        <is>
          <t>Andy Nhung — Supply Chain Analytics Manager; Terrence Harrell — Supply Chain Manager</t>
        </is>
      </c>
      <c r="P325" t="inlineStr">
        <is>
          <t>Supply Chain Analytics Manager | Supply Chain Manager</t>
        </is>
      </c>
      <c r="Y325" t="inlineStr">
        <is>
          <t>todo</t>
        </is>
      </c>
      <c r="Z325">
        <f>(M325*Weights!$B$2) + (MIN(Q325,Weights!$B$5)*Weights!$B$3*(W325/100)*Weights!$B$4)</f>
        <v/>
      </c>
      <c r="AA325">
        <f>IF(Z325= ,,RANK.EQ({pri_col_letter}{r},{pri_range},0))</f>
        <v/>
      </c>
    </row>
    <row r="326">
      <c r="A326" t="inlineStr">
        <is>
          <t>Camcode</t>
        </is>
      </c>
      <c r="B326" t="n">
        <v>2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10</v>
      </c>
      <c r="N326" t="inlineStr">
        <is>
          <t>Tier 4</t>
        </is>
      </c>
      <c r="O326" t="inlineStr">
        <is>
          <t>Chris Scullin — Warehouse Market Leader; Karly Baldi — Warehouse Solutions Manager</t>
        </is>
      </c>
      <c r="P326" t="inlineStr">
        <is>
          <t>Warehouse Market Leader | Warehouse Solutions Manager</t>
        </is>
      </c>
      <c r="Y326" t="inlineStr">
        <is>
          <t>todo</t>
        </is>
      </c>
      <c r="Z326">
        <f>(M326*Weights!$B$2) + (MIN(Q326,Weights!$B$5)*Weights!$B$3*(W326/100)*Weights!$B$4)</f>
        <v/>
      </c>
      <c r="AA326">
        <f>IF(Z326= ,,RANK.EQ({pri_col_letter}{r},{pri_range},0))</f>
        <v/>
      </c>
    </row>
    <row r="327">
      <c r="A327" t="inlineStr">
        <is>
          <t>Canopy</t>
        </is>
      </c>
      <c r="B327" t="n">
        <v>2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10</v>
      </c>
      <c r="N327" t="inlineStr">
        <is>
          <t>Tier 4</t>
        </is>
      </c>
      <c r="O327" t="inlineStr">
        <is>
          <t>Samantha Kane — Director of Planning &amp; Operations; Joey Milano — Operations Manager</t>
        </is>
      </c>
      <c r="P327" t="inlineStr">
        <is>
          <t>Director of Planning &amp; Operations | Operations Manager</t>
        </is>
      </c>
      <c r="Y327" t="inlineStr">
        <is>
          <t>todo</t>
        </is>
      </c>
      <c r="Z327">
        <f>(M327*Weights!$B$2) + (MIN(Q327,Weights!$B$5)*Weights!$B$3*(W327/100)*Weights!$B$4)</f>
        <v/>
      </c>
      <c r="AA327">
        <f>IF(Z327= ,,RANK.EQ({pri_col_letter}{r},{pri_range},0))</f>
        <v/>
      </c>
    </row>
    <row r="328">
      <c r="A328" t="inlineStr">
        <is>
          <t>Celeros</t>
        </is>
      </c>
      <c r="B328" t="n">
        <v>2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10</v>
      </c>
      <c r="N328" t="inlineStr">
        <is>
          <t>Tier 4</t>
        </is>
      </c>
      <c r="O328" t="inlineStr">
        <is>
          <t>John Meador — Global Category Manager Logistics; Marcus Onofre — Global Category Specialist Logistics</t>
        </is>
      </c>
      <c r="P328" t="inlineStr">
        <is>
          <t>Global Category Manager Logistics | Global Category Specialist Logistics</t>
        </is>
      </c>
      <c r="Y328" t="inlineStr">
        <is>
          <t>todo</t>
        </is>
      </c>
      <c r="Z328">
        <f>(M328*Weights!$B$2) + (MIN(Q328,Weights!$B$5)*Weights!$B$3*(W328/100)*Weights!$B$4)</f>
        <v/>
      </c>
      <c r="AA328">
        <f>IF(Z328= ,,RANK.EQ({pri_col_letter}{r},{pri_range},0))</f>
        <v/>
      </c>
    </row>
    <row r="329">
      <c r="A329" t="inlineStr">
        <is>
          <t>Crown Cork &amp; Seal</t>
        </is>
      </c>
      <c r="B329" t="n">
        <v>2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10</v>
      </c>
      <c r="N329" t="inlineStr">
        <is>
          <t>Tier 4</t>
        </is>
      </c>
      <c r="O329" t="inlineStr">
        <is>
          <t>Martha Galvez — International Trade &amp; Logistics; William Murray — Director of Warehouse and Transportation</t>
        </is>
      </c>
      <c r="P329" t="inlineStr">
        <is>
          <t>International Trade &amp; Logistics | Director of Warehouse and Transportation</t>
        </is>
      </c>
      <c r="Y329" t="inlineStr">
        <is>
          <t>todo</t>
        </is>
      </c>
      <c r="Z329">
        <f>(M329*Weights!$B$2) + (MIN(Q329,Weights!$B$5)*Weights!$B$3*(W329/100)*Weights!$B$4)</f>
        <v/>
      </c>
      <c r="AA329">
        <f>IF(Z329= ,,RANK.EQ({pri_col_letter}{r},{pri_range},0))</f>
        <v/>
      </c>
    </row>
    <row r="330">
      <c r="A330" t="inlineStr">
        <is>
          <t>Exact Sciences</t>
        </is>
      </c>
      <c r="B330" t="n">
        <v>2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10</v>
      </c>
      <c r="N330" t="inlineStr">
        <is>
          <t>Tier 4</t>
        </is>
      </c>
      <c r="O330" t="inlineStr">
        <is>
          <t>Jerry Glissendorf — Sr. Logistics Specialist; Casey Martin — Lead Category Manager, Logistics</t>
        </is>
      </c>
      <c r="P330" t="inlineStr">
        <is>
          <t>Sr. Logistics Specialist | Lead Category Manager, Logistics</t>
        </is>
      </c>
      <c r="Y330" t="inlineStr">
        <is>
          <t>todo</t>
        </is>
      </c>
      <c r="Z330">
        <f>(M330*Weights!$B$2) + (MIN(Q330,Weights!$B$5)*Weights!$B$3*(W330/100)*Weights!$B$4)</f>
        <v/>
      </c>
      <c r="AA330">
        <f>IF(Z330= ,,RANK.EQ({pri_col_letter}{r},{pri_range},0))</f>
        <v/>
      </c>
    </row>
    <row r="331">
      <c r="A331" t="inlineStr">
        <is>
          <t>From Our Place</t>
        </is>
      </c>
      <c r="B331" t="n">
        <v>2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10</v>
      </c>
      <c r="N331" t="inlineStr">
        <is>
          <t>Tier 4</t>
        </is>
      </c>
      <c r="O331" t="inlineStr">
        <is>
          <t>Darlene Yu — Director, Fulfillment &amp; Logistics; Trisha Warren — Associate Director, Logistics</t>
        </is>
      </c>
      <c r="P331" t="inlineStr">
        <is>
          <t>Director, Fulfillment &amp; Logistics | Associate Director, Logistics</t>
        </is>
      </c>
      <c r="Y331" t="inlineStr">
        <is>
          <t>todo</t>
        </is>
      </c>
      <c r="Z331">
        <f>(M331*Weights!$B$2) + (MIN(Q331,Weights!$B$5)*Weights!$B$3*(W331/100)*Weights!$B$4)</f>
        <v/>
      </c>
      <c r="AA331">
        <f>IF(Z331= ,,RANK.EQ({pri_col_letter}{r},{pri_range},0))</f>
        <v/>
      </c>
    </row>
    <row r="332">
      <c r="A332" t="inlineStr">
        <is>
          <t>GE Appliances</t>
        </is>
      </c>
      <c r="B332" t="n">
        <v>2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10</v>
      </c>
      <c r="N332" t="inlineStr">
        <is>
          <t>Tier 4</t>
        </is>
      </c>
      <c r="O332" t="inlineStr">
        <is>
          <t>Jeffrey Hickerson — Director, Warehouse Management; Jordan Glastein — Senior Manager, Ocean Logistics &amp; Strategy</t>
        </is>
      </c>
      <c r="P332" t="inlineStr">
        <is>
          <t>Director, Warehouse Management | Senior Manager, Ocean Logistics &amp; Strategy</t>
        </is>
      </c>
      <c r="Y332" t="inlineStr">
        <is>
          <t>todo</t>
        </is>
      </c>
      <c r="Z332">
        <f>(M332*Weights!$B$2) + (MIN(Q332,Weights!$B$5)*Weights!$B$3*(W332/100)*Weights!$B$4)</f>
        <v/>
      </c>
      <c r="AA332">
        <f>IF(Z332= ,,RANK.EQ({pri_col_letter}{r},{pri_range},0))</f>
        <v/>
      </c>
    </row>
    <row r="333">
      <c r="A333" t="inlineStr">
        <is>
          <t>Gap Inc</t>
        </is>
      </c>
      <c r="B333" t="n">
        <v>2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10</v>
      </c>
      <c r="N333" t="inlineStr">
        <is>
          <t>Tier 4</t>
        </is>
      </c>
      <c r="O333" t="inlineStr">
        <is>
          <t>Chris Barker — Parcel &amp; Asia Operations; Andy Baych — Sr Director, Global Logistics</t>
        </is>
      </c>
      <c r="P333" t="inlineStr">
        <is>
          <t>Parcel &amp; Asia Operations | Sr Director, Global Logistics</t>
        </is>
      </c>
      <c r="Y333" t="inlineStr">
        <is>
          <t>todo</t>
        </is>
      </c>
      <c r="Z333">
        <f>(M333*Weights!$B$2) + (MIN(Q333,Weights!$B$5)*Weights!$B$3*(W333/100)*Weights!$B$4)</f>
        <v/>
      </c>
      <c r="AA333">
        <f>IF(Z333= ,,RANK.EQ({pri_col_letter}{r},{pri_range},0))</f>
        <v/>
      </c>
    </row>
    <row r="334">
      <c r="A334" t="inlineStr">
        <is>
          <t>Graphic Packaging International</t>
        </is>
      </c>
      <c r="B334" t="n">
        <v>2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10</v>
      </c>
      <c r="N334" t="inlineStr">
        <is>
          <t>Tier 4</t>
        </is>
      </c>
      <c r="O334" t="inlineStr">
        <is>
          <t>Addie Centeno — Director, Logistics I; Kim Murtaugh — Logistics Sr. Manager</t>
        </is>
      </c>
      <c r="P334" t="inlineStr">
        <is>
          <t>Director, Logistics I | Logistics Sr. Manager</t>
        </is>
      </c>
      <c r="Y334" t="inlineStr">
        <is>
          <t>todo</t>
        </is>
      </c>
      <c r="Z334">
        <f>(M334*Weights!$B$2) + (MIN(Q334,Weights!$B$5)*Weights!$B$3*(W334/100)*Weights!$B$4)</f>
        <v/>
      </c>
      <c r="AA334">
        <f>IF(Z334= ,,RANK.EQ({pri_col_letter}{r},{pri_range},0))</f>
        <v/>
      </c>
    </row>
    <row r="335">
      <c r="A335" t="inlineStr">
        <is>
          <t>Heineken N.V.</t>
        </is>
      </c>
      <c r="B335" t="n">
        <v>2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10</v>
      </c>
      <c r="N335" t="inlineStr">
        <is>
          <t>Tier 4</t>
        </is>
      </c>
      <c r="O335" t="inlineStr">
        <is>
          <t>Charlie Witsil — Director of Transportation; Naveen Nicholas — Director, Transportation</t>
        </is>
      </c>
      <c r="P335" t="inlineStr">
        <is>
          <t>Director of Transportation | Director, Transportation</t>
        </is>
      </c>
      <c r="Y335" t="inlineStr">
        <is>
          <t>todo</t>
        </is>
      </c>
      <c r="Z335">
        <f>(M335*Weights!$B$2) + (MIN(Q335,Weights!$B$5)*Weights!$B$3*(W335/100)*Weights!$B$4)</f>
        <v/>
      </c>
      <c r="AA335">
        <f>IF(Z335= ,,RANK.EQ({pri_col_letter}{r},{pri_range},0))</f>
        <v/>
      </c>
    </row>
    <row r="336">
      <c r="A336" t="inlineStr">
        <is>
          <t>Idexx</t>
        </is>
      </c>
      <c r="B336" t="n">
        <v>2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10</v>
      </c>
      <c r="N336" t="inlineStr">
        <is>
          <t>Tier 4</t>
        </is>
      </c>
      <c r="O336" t="inlineStr">
        <is>
          <t>Gina Blake — Sr Corporate Transportation Specialist; Shawn Neal — International Transportation Manager</t>
        </is>
      </c>
      <c r="P336" t="inlineStr">
        <is>
          <t>Sr Corporate Transportation Specialist | International Transportation Manager</t>
        </is>
      </c>
      <c r="Y336" t="inlineStr">
        <is>
          <t>todo</t>
        </is>
      </c>
      <c r="Z336">
        <f>(M336*Weights!$B$2) + (MIN(Q336,Weights!$B$5)*Weights!$B$3*(W336/100)*Weights!$B$4)</f>
        <v/>
      </c>
      <c r="AA336">
        <f>IF(Z336= ,,RANK.EQ({pri_col_letter}{r},{pri_range},0))</f>
        <v/>
      </c>
    </row>
    <row r="337">
      <c r="A337" t="inlineStr">
        <is>
          <t>James Hardie</t>
        </is>
      </c>
      <c r="B337" t="n">
        <v>2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10</v>
      </c>
      <c r="N337" t="inlineStr">
        <is>
          <t>Tier 4</t>
        </is>
      </c>
      <c r="O337" t="inlineStr">
        <is>
          <t>Janice Castro — Supply Chain Manager; Kevin Mitchell — Director of Transportation</t>
        </is>
      </c>
      <c r="P337" t="inlineStr">
        <is>
          <t>Supply Chain Manager | Director of Transportation</t>
        </is>
      </c>
      <c r="Y337" t="inlineStr">
        <is>
          <t>todo</t>
        </is>
      </c>
      <c r="Z337">
        <f>(M337*Weights!$B$2) + (MIN(Q337,Weights!$B$5)*Weights!$B$3*(W337/100)*Weights!$B$4)</f>
        <v/>
      </c>
      <c r="AA337">
        <f>IF(Z337= ,,RANK.EQ({pri_col_letter}{r},{pri_range},0))</f>
        <v/>
      </c>
    </row>
    <row r="338">
      <c r="A338" t="inlineStr">
        <is>
          <t>Kerry Inc</t>
        </is>
      </c>
      <c r="B338" t="n">
        <v>2</v>
      </c>
      <c r="C338" t="n">
        <v>0</v>
      </c>
      <c r="D338" t="n">
        <v>1</v>
      </c>
      <c r="E338" t="n">
        <v>2</v>
      </c>
      <c r="F338" t="n">
        <v>0</v>
      </c>
      <c r="G338" t="n">
        <v>0</v>
      </c>
      <c r="I338" t="n">
        <v>0</v>
      </c>
      <c r="J338" t="n">
        <v>0.5</v>
      </c>
      <c r="K338" t="n">
        <v>0</v>
      </c>
      <c r="L338" t="n">
        <v>0</v>
      </c>
      <c r="M338" t="n">
        <v>10</v>
      </c>
      <c r="N338" t="inlineStr">
        <is>
          <t>Tier 4</t>
        </is>
      </c>
      <c r="O338" t="inlineStr">
        <is>
          <t>Gearoid Coughlan — Procurement Category Manager - Logistics; Troy Stevenson — Director, Logisitcs Procurement</t>
        </is>
      </c>
      <c r="P338" t="inlineStr">
        <is>
          <t>Procurement Category Manager - Logistics | Director, Logisitcs Procurement</t>
        </is>
      </c>
      <c r="Y338" t="inlineStr">
        <is>
          <t>todo</t>
        </is>
      </c>
      <c r="Z338">
        <f>(M338*Weights!$B$2) + (MIN(Q338,Weights!$B$5)*Weights!$B$3*(W338/100)*Weights!$B$4)</f>
        <v/>
      </c>
      <c r="AA338">
        <f>IF(Z338= ,,RANK.EQ({pri_col_letter}{r},{pri_range},0))</f>
        <v/>
      </c>
    </row>
    <row r="339">
      <c r="A339" t="inlineStr">
        <is>
          <t>Kimberly-Clark</t>
        </is>
      </c>
      <c r="B339" t="n">
        <v>2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10</v>
      </c>
      <c r="N339" t="inlineStr">
        <is>
          <t>Tier 4</t>
        </is>
      </c>
      <c r="O339" t="inlineStr">
        <is>
          <t>Taylor Rotella — Logistics Consultant; Zach Elliott — Director, KCNA SC Operations Integration</t>
        </is>
      </c>
      <c r="P339" t="inlineStr">
        <is>
          <t>Director, KCNA SC Operations Integration | Logistics Consultant</t>
        </is>
      </c>
      <c r="Y339" t="inlineStr">
        <is>
          <t>todo</t>
        </is>
      </c>
      <c r="Z339">
        <f>(M339*Weights!$B$2) + (MIN(Q339,Weights!$B$5)*Weights!$B$3*(W339/100)*Weights!$B$4)</f>
        <v/>
      </c>
      <c r="AA339">
        <f>IF(Z339= ,,RANK.EQ({pri_col_letter}{r},{pri_range},0))</f>
        <v/>
      </c>
    </row>
    <row r="340">
      <c r="A340" t="inlineStr">
        <is>
          <t>Kith</t>
        </is>
      </c>
      <c r="B340" t="n">
        <v>2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10</v>
      </c>
      <c r="N340" t="inlineStr">
        <is>
          <t>Tier 4</t>
        </is>
      </c>
      <c r="O340" t="inlineStr">
        <is>
          <t>Lana Pele — Senior Operations Analyst; Dylan Young — Senior Manager, Operations Strategy and Logistics</t>
        </is>
      </c>
      <c r="P340" t="inlineStr">
        <is>
          <t>Senior Operations Analyst | Senior Manager, Operations Strategy and Logistics</t>
        </is>
      </c>
      <c r="Y340" t="inlineStr">
        <is>
          <t>todo</t>
        </is>
      </c>
      <c r="Z340">
        <f>(M340*Weights!$B$2) + (MIN(Q340,Weights!$B$5)*Weights!$B$3*(W340/100)*Weights!$B$4)</f>
        <v/>
      </c>
      <c r="AA340">
        <f>IF(Z340= ,,RANK.EQ({pri_col_letter}{r},{pri_range},0))</f>
        <v/>
      </c>
    </row>
    <row r="341">
      <c r="A341" t="inlineStr">
        <is>
          <t>Lockheed Martin</t>
        </is>
      </c>
      <c r="B341" t="n">
        <v>2</v>
      </c>
      <c r="C341" t="n">
        <v>0</v>
      </c>
      <c r="D341" t="n">
        <v>2</v>
      </c>
      <c r="E341" t="n">
        <v>0</v>
      </c>
      <c r="F341" t="n">
        <v>0</v>
      </c>
      <c r="G341" t="n">
        <v>2</v>
      </c>
      <c r="I341" t="n">
        <v>2</v>
      </c>
      <c r="J341" t="n">
        <v>1</v>
      </c>
      <c r="K341" t="n">
        <v>0</v>
      </c>
      <c r="L341" t="n">
        <v>0</v>
      </c>
      <c r="M341" t="n">
        <v>10</v>
      </c>
      <c r="N341" t="inlineStr">
        <is>
          <t>Tier 4</t>
        </is>
      </c>
      <c r="O341" t="inlineStr">
        <is>
          <t>Dan Border — Sr. Manager of Supply Chain Data Science; Matthew Brown — Project Manager of Global Supply Chain Data Science</t>
        </is>
      </c>
      <c r="P341" t="inlineStr">
        <is>
          <t>Sr. Manager of Supply Chain Data Science | Project Manager of Global Supply Chain Data Science</t>
        </is>
      </c>
      <c r="Y341" t="inlineStr">
        <is>
          <t>todo</t>
        </is>
      </c>
      <c r="Z341">
        <f>(M341*Weights!$B$2) + (MIN(Q341,Weights!$B$5)*Weights!$B$3*(W341/100)*Weights!$B$4)</f>
        <v/>
      </c>
      <c r="AA341">
        <f>IF(Z341= ,,RANK.EQ({pri_col_letter}{r},{pri_range},0))</f>
        <v/>
      </c>
    </row>
    <row r="342">
      <c r="A342" t="inlineStr">
        <is>
          <t>Maev</t>
        </is>
      </c>
      <c r="B342" t="n">
        <v>2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10</v>
      </c>
      <c r="N342" t="inlineStr">
        <is>
          <t>Tier 4</t>
        </is>
      </c>
      <c r="O342" t="inlineStr">
        <is>
          <t>Javier Rivera — Supply Chain Operations Manager; Trevor Ivy — Director of Supply Chain</t>
        </is>
      </c>
      <c r="P342" t="inlineStr">
        <is>
          <t>Supply Chain Operations Manager | Director of Supply Chain</t>
        </is>
      </c>
      <c r="Y342" t="inlineStr">
        <is>
          <t>todo</t>
        </is>
      </c>
      <c r="Z342">
        <f>(M342*Weights!$B$2) + (MIN(Q342,Weights!$B$5)*Weights!$B$3*(W342/100)*Weights!$B$4)</f>
        <v/>
      </c>
      <c r="AA342">
        <f>IF(Z342= ,,RANK.EQ({pri_col_letter}{r},{pri_range},0))</f>
        <v/>
      </c>
    </row>
    <row r="343">
      <c r="A343" t="inlineStr">
        <is>
          <t>Mitsubishi Power</t>
        </is>
      </c>
      <c r="B343" t="n">
        <v>2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10</v>
      </c>
      <c r="N343" t="inlineStr">
        <is>
          <t>Tier 4</t>
        </is>
      </c>
      <c r="O343" t="inlineStr">
        <is>
          <t>Endrina Abreu — Logistics Improvement Specialist; Henry Moreno — Commodity Manager Domestic Transportation</t>
        </is>
      </c>
      <c r="P343" t="inlineStr">
        <is>
          <t>Logistics Improvement Specialist | Commodity Manager Domestic Transportation</t>
        </is>
      </c>
      <c r="Y343" t="inlineStr">
        <is>
          <t>todo</t>
        </is>
      </c>
      <c r="Z343">
        <f>(M343*Weights!$B$2) + (MIN(Q343,Weights!$B$5)*Weights!$B$3*(W343/100)*Weights!$B$4)</f>
        <v/>
      </c>
      <c r="AA343">
        <f>IF(Z343= ,,RANK.EQ({pri_col_letter}{r},{pri_range},0))</f>
        <v/>
      </c>
    </row>
    <row r="344">
      <c r="A344" t="inlineStr">
        <is>
          <t>Mockingbird</t>
        </is>
      </c>
      <c r="B344" t="n">
        <v>2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10</v>
      </c>
      <c r="N344" t="inlineStr">
        <is>
          <t>Tier 4</t>
        </is>
      </c>
      <c r="O344" t="inlineStr">
        <is>
          <t>Nawreen Juthi — Domestic Fulfillment &amp; Quality Lead; Mary Murphy — Senior Supply Chain Manager</t>
        </is>
      </c>
      <c r="P344" t="inlineStr">
        <is>
          <t>Domestic Fulfillment &amp; Quality Lead | Senior Supply Chain Manager</t>
        </is>
      </c>
      <c r="Y344" t="inlineStr">
        <is>
          <t>todo</t>
        </is>
      </c>
      <c r="Z344">
        <f>(M344*Weights!$B$2) + (MIN(Q344,Weights!$B$5)*Weights!$B$3*(W344/100)*Weights!$B$4)</f>
        <v/>
      </c>
      <c r="AA344">
        <f>IF(Z344= ,,RANK.EQ({pri_col_letter}{r},{pri_range},0))</f>
        <v/>
      </c>
    </row>
    <row r="345">
      <c r="A345" t="inlineStr">
        <is>
          <t>Northern Tool + Equipment</t>
        </is>
      </c>
      <c r="B345" t="n">
        <v>2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10</v>
      </c>
      <c r="N345" t="inlineStr">
        <is>
          <t>Tier 4</t>
        </is>
      </c>
      <c r="O345" t="inlineStr">
        <is>
          <t>Brad Spokas — Senior Director, Global Logistics; Fateem Sutton — Senior Manager Logistics Operations</t>
        </is>
      </c>
      <c r="P345" t="inlineStr">
        <is>
          <t>Senior Director, Global Logistics | Senior Manager Logistics Operations</t>
        </is>
      </c>
      <c r="Y345" t="inlineStr">
        <is>
          <t>todo</t>
        </is>
      </c>
      <c r="Z345">
        <f>(M345*Weights!$B$2) + (MIN(Q345,Weights!$B$5)*Weights!$B$3*(W345/100)*Weights!$B$4)</f>
        <v/>
      </c>
      <c r="AA345">
        <f>IF(Z345= ,,RANK.EQ({pri_col_letter}{r},{pri_range},0))</f>
        <v/>
      </c>
    </row>
    <row r="346">
      <c r="A346" t="inlineStr">
        <is>
          <t>Northwestern Memorial Hospital</t>
        </is>
      </c>
      <c r="B346" t="n">
        <v>2</v>
      </c>
      <c r="C346" t="n">
        <v>0</v>
      </c>
      <c r="D346" t="n">
        <v>2</v>
      </c>
      <c r="E346" t="n">
        <v>0</v>
      </c>
      <c r="F346" t="n">
        <v>0</v>
      </c>
      <c r="G346" t="n">
        <v>2</v>
      </c>
      <c r="I346" t="n">
        <v>2</v>
      </c>
      <c r="J346" t="n">
        <v>1</v>
      </c>
      <c r="K346" t="n">
        <v>0</v>
      </c>
      <c r="L346" t="n">
        <v>0</v>
      </c>
      <c r="M346" t="n">
        <v>10</v>
      </c>
      <c r="N346" t="inlineStr">
        <is>
          <t>Tier 4</t>
        </is>
      </c>
      <c r="O346" t="inlineStr">
        <is>
          <t>Sarah Peters — Supply Chain Performance Engineer; Sophia Andreotti — Supply Chain Performance Engineer</t>
        </is>
      </c>
      <c r="P346" t="inlineStr">
        <is>
          <t>Supply Chain Performance Engineer</t>
        </is>
      </c>
      <c r="Y346" t="inlineStr">
        <is>
          <t>todo</t>
        </is>
      </c>
      <c r="Z346">
        <f>(M346*Weights!$B$2) + (MIN(Q346,Weights!$B$5)*Weights!$B$3*(W346/100)*Weights!$B$4)</f>
        <v/>
      </c>
      <c r="AA346">
        <f>IF(Z346= ,,RANK.EQ({pri_col_letter}{r},{pri_range},0))</f>
        <v/>
      </c>
    </row>
    <row r="347">
      <c r="A347" t="inlineStr">
        <is>
          <t>OTIS</t>
        </is>
      </c>
      <c r="B347" t="n">
        <v>2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10</v>
      </c>
      <c r="N347" t="inlineStr">
        <is>
          <t>Tier 4</t>
        </is>
      </c>
      <c r="O347" t="inlineStr">
        <is>
          <t>Connor Gerding — Director, Logistics Continuous Improvement &amp; COE; Holly Pearce — Director, North America Logistics &amp; Warehousing</t>
        </is>
      </c>
      <c r="P347" t="inlineStr">
        <is>
          <t>Director, Logistics Continuous Improvement &amp; COE | Director, North America Logistics &amp; Warehousing</t>
        </is>
      </c>
      <c r="Y347" t="inlineStr">
        <is>
          <t>todo</t>
        </is>
      </c>
      <c r="Z347">
        <f>(M347*Weights!$B$2) + (MIN(Q347,Weights!$B$5)*Weights!$B$3*(W347/100)*Weights!$B$4)</f>
        <v/>
      </c>
      <c r="AA347">
        <f>IF(Z347= ,,RANK.EQ({pri_col_letter}{r},{pri_range},0))</f>
        <v/>
      </c>
    </row>
    <row r="348">
      <c r="A348" t="inlineStr">
        <is>
          <t>P&amp;G</t>
        </is>
      </c>
      <c r="B348" t="n">
        <v>2</v>
      </c>
      <c r="C348" t="n">
        <v>0</v>
      </c>
      <c r="D348" t="n">
        <v>1</v>
      </c>
      <c r="E348" t="n">
        <v>2</v>
      </c>
      <c r="F348" t="n">
        <v>0</v>
      </c>
      <c r="G348" t="n">
        <v>0</v>
      </c>
      <c r="I348" t="n">
        <v>0</v>
      </c>
      <c r="J348" t="n">
        <v>0.5</v>
      </c>
      <c r="K348" t="n">
        <v>0</v>
      </c>
      <c r="L348" t="n">
        <v>0</v>
      </c>
      <c r="M348" t="n">
        <v>10</v>
      </c>
      <c r="N348" t="inlineStr">
        <is>
          <t>Tier 4</t>
        </is>
      </c>
      <c r="O348" t="inlineStr">
        <is>
          <t>Aaron Meyerrenke — Director, Transportation Procurement; Sergio Garcia — Purchasing Director</t>
        </is>
      </c>
      <c r="P348" t="inlineStr">
        <is>
          <t>Director, Transportation Procurement | Purchasing Director</t>
        </is>
      </c>
      <c r="Y348" t="inlineStr">
        <is>
          <t>todo</t>
        </is>
      </c>
      <c r="Z348">
        <f>(M348*Weights!$B$2) + (MIN(Q348,Weights!$B$5)*Weights!$B$3*(W348/100)*Weights!$B$4)</f>
        <v/>
      </c>
      <c r="AA348">
        <f>IF(Z348= ,,RANK.EQ({pri_col_letter}{r},{pri_range},0))</f>
        <v/>
      </c>
    </row>
    <row r="349">
      <c r="A349" t="inlineStr">
        <is>
          <t>PGA TOUR Superstore</t>
        </is>
      </c>
      <c r="B349" t="n">
        <v>2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10</v>
      </c>
      <c r="N349" t="inlineStr">
        <is>
          <t>Tier 4</t>
        </is>
      </c>
      <c r="O349" t="inlineStr">
        <is>
          <t>Brandon Bielak — Logistics Operations Manager; Melissa Liston — Supply Chain Strategy</t>
        </is>
      </c>
      <c r="P349" t="inlineStr">
        <is>
          <t>Logistics Operations Manager | Supply Chain Strategy</t>
        </is>
      </c>
      <c r="Y349" t="inlineStr">
        <is>
          <t>todo</t>
        </is>
      </c>
      <c r="Z349">
        <f>(M349*Weights!$B$2) + (MIN(Q349,Weights!$B$5)*Weights!$B$3*(W349/100)*Weights!$B$4)</f>
        <v/>
      </c>
      <c r="AA349">
        <f>IF(Z349= ,,RANK.EQ({pri_col_letter}{r},{pri_range},0))</f>
        <v/>
      </c>
    </row>
    <row r="350">
      <c r="A350" t="inlineStr">
        <is>
          <t>Scheels</t>
        </is>
      </c>
      <c r="B350" t="n">
        <v>2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10</v>
      </c>
      <c r="N350" t="inlineStr">
        <is>
          <t>Tier 4</t>
        </is>
      </c>
      <c r="O350" t="inlineStr">
        <is>
          <t>Kaarin Remmich — Logistics Leader; Tony Duerr — Supply Chain Leader</t>
        </is>
      </c>
      <c r="P350" t="inlineStr">
        <is>
          <t>Logistics Leader | Supply Chain Leader</t>
        </is>
      </c>
      <c r="Y350" t="inlineStr">
        <is>
          <t>todo</t>
        </is>
      </c>
      <c r="Z350">
        <f>(M350*Weights!$B$2) + (MIN(Q350,Weights!$B$5)*Weights!$B$3*(W350/100)*Weights!$B$4)</f>
        <v/>
      </c>
      <c r="AA350">
        <f>IF(Z350= ,,RANK.EQ({pri_col_letter}{r},{pri_range},0))</f>
        <v/>
      </c>
    </row>
    <row r="351">
      <c r="A351" t="inlineStr">
        <is>
          <t>TJX Canada</t>
        </is>
      </c>
      <c r="B351" t="n">
        <v>2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10</v>
      </c>
      <c r="N351" t="inlineStr">
        <is>
          <t>Tier 4</t>
        </is>
      </c>
      <c r="O351" t="inlineStr">
        <is>
          <t>Andrew Melito — AVP Inbound: Logistics Inbound Operations; Doug Fox — AVP Supply Chain Business Systems</t>
        </is>
      </c>
      <c r="P351" t="inlineStr">
        <is>
          <t>AVP Inbound: Logistics Inbound Operations | AVP Supply Chain Business Systems</t>
        </is>
      </c>
      <c r="Y351" t="inlineStr">
        <is>
          <t>todo</t>
        </is>
      </c>
      <c r="Z351">
        <f>(M351*Weights!$B$2) + (MIN(Q351,Weights!$B$5)*Weights!$B$3*(W351/100)*Weights!$B$4)</f>
        <v/>
      </c>
      <c r="AA351">
        <f>IF(Z351= ,,RANK.EQ({pri_col_letter}{r},{pri_range},0))</f>
        <v/>
      </c>
    </row>
    <row r="352">
      <c r="A352" t="inlineStr">
        <is>
          <t>TSEA ENERGIA</t>
        </is>
      </c>
      <c r="B352" t="n">
        <v>2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10</v>
      </c>
      <c r="N352" t="inlineStr">
        <is>
          <t>Tier 4</t>
        </is>
      </c>
      <c r="O352" t="inlineStr">
        <is>
          <t>David Paneque — Logistics Manager USA; Josie Moreira de Almedia Pfeilsticker — Director of Supply Chain</t>
        </is>
      </c>
      <c r="P352" t="inlineStr">
        <is>
          <t>Logistics Manager USA | Director of Supply Chain</t>
        </is>
      </c>
      <c r="Y352" t="inlineStr">
        <is>
          <t>todo</t>
        </is>
      </c>
      <c r="Z352">
        <f>(M352*Weights!$B$2) + (MIN(Q352,Weights!$B$5)*Weights!$B$3*(W352/100)*Weights!$B$4)</f>
        <v/>
      </c>
      <c r="AA352">
        <f>IF(Z352= ,,RANK.EQ({pri_col_letter}{r},{pri_range},0))</f>
        <v/>
      </c>
    </row>
    <row r="353">
      <c r="A353" t="inlineStr">
        <is>
          <t>WW Grainger</t>
        </is>
      </c>
      <c r="B353" t="n">
        <v>2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10</v>
      </c>
      <c r="N353" t="inlineStr">
        <is>
          <t>Tier 4</t>
        </is>
      </c>
      <c r="O353" t="inlineStr">
        <is>
          <t>Ben Fisher — Sr. Transportation Manager; Phil Geiger — Sr. Manager, Transportation Operations</t>
        </is>
      </c>
      <c r="P353" t="inlineStr">
        <is>
          <t>Sr. Transportation Manager | Sr. Manager, Transportation Operations</t>
        </is>
      </c>
      <c r="Y353" t="inlineStr">
        <is>
          <t>todo</t>
        </is>
      </c>
      <c r="Z353">
        <f>(M353*Weights!$B$2) + (MIN(Q353,Weights!$B$5)*Weights!$B$3*(W353/100)*Weights!$B$4)</f>
        <v/>
      </c>
      <c r="AA353">
        <f>IF(Z353= ,,RANK.EQ({pri_col_letter}{r},{pri_range},0))</f>
        <v/>
      </c>
    </row>
    <row r="354">
      <c r="A354" t="inlineStr">
        <is>
          <t>Warby Parker</t>
        </is>
      </c>
      <c r="B354" t="n">
        <v>2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10</v>
      </c>
      <c r="N354" t="inlineStr">
        <is>
          <t>Tier 4</t>
        </is>
      </c>
      <c r="O354" t="inlineStr">
        <is>
          <t>Jae Lee — Manager of Transportation &amp; Final Mile Quality; Leslie Chen — Sr Manager of Transportation &amp; Trade Compliance</t>
        </is>
      </c>
      <c r="P354" t="inlineStr">
        <is>
          <t>Manager of Transportation &amp; Final Mile Quality | Sr Manager of Transportation &amp; Trade Compliance</t>
        </is>
      </c>
      <c r="Y354" t="inlineStr">
        <is>
          <t>todo</t>
        </is>
      </c>
      <c r="Z354">
        <f>(M354*Weights!$B$2) + (MIN(Q354,Weights!$B$5)*Weights!$B$3*(W354/100)*Weights!$B$4)</f>
        <v/>
      </c>
      <c r="AA354">
        <f>IF(Z354= ,,RANK.EQ({pri_col_letter}{r},{pri_range},0))</f>
        <v/>
      </c>
    </row>
    <row r="355">
      <c r="A355" t="inlineStr">
        <is>
          <t>Whataburger</t>
        </is>
      </c>
      <c r="B355" t="n">
        <v>2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10</v>
      </c>
      <c r="N355" t="inlineStr">
        <is>
          <t>Tier 4</t>
        </is>
      </c>
      <c r="O355" t="inlineStr">
        <is>
          <t>Darren LaBruzzo — Sr Manager, Logistics Services; Matt Abernathy — Fulfillment/GPO Manager</t>
        </is>
      </c>
      <c r="P355" t="inlineStr">
        <is>
          <t>Sr Manager, Logistics Services | Fulfillment/GPO Manager</t>
        </is>
      </c>
      <c r="Y355" t="inlineStr">
        <is>
          <t>todo</t>
        </is>
      </c>
      <c r="Z355">
        <f>(M355*Weights!$B$2) + (MIN(Q355,Weights!$B$5)*Weights!$B$3*(W355/100)*Weights!$B$4)</f>
        <v/>
      </c>
      <c r="AA355">
        <f>IF(Z355= ,,RANK.EQ({pri_col_letter}{r},{pri_range},0))</f>
        <v/>
      </c>
    </row>
    <row r="356">
      <c r="A356" t="inlineStr">
        <is>
          <t>Yuhaaviatam of Sam Manuel Nation</t>
        </is>
      </c>
      <c r="B356" t="n">
        <v>2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10</v>
      </c>
      <c r="N356" t="inlineStr">
        <is>
          <t>Tier 4</t>
        </is>
      </c>
      <c r="O356" t="inlineStr">
        <is>
          <t>Alejandra Hernandez — Senior Administrative Assistant, Logistics &amp; Fleet; George Kam — Logistics Manager</t>
        </is>
      </c>
      <c r="P356" t="inlineStr">
        <is>
          <t>Senior Administrative Assistant, Logistics &amp; Fleet | Logistics Manager</t>
        </is>
      </c>
      <c r="Y356" t="inlineStr">
        <is>
          <t>todo</t>
        </is>
      </c>
      <c r="Z356">
        <f>(M356*Weights!$B$2) + (MIN(Q356,Weights!$B$5)*Weights!$B$3*(W356/100)*Weights!$B$4)</f>
        <v/>
      </c>
      <c r="AA356">
        <f>IF(Z356= ,,RANK.EQ({pri_col_letter}{r},{pri_range},0))</f>
        <v/>
      </c>
    </row>
    <row r="357">
      <c r="A357" t="inlineStr">
        <is>
          <t>Yusen Logistics</t>
        </is>
      </c>
      <c r="B357" t="n">
        <v>2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10</v>
      </c>
      <c r="N357" t="inlineStr">
        <is>
          <t>Tier 4</t>
        </is>
      </c>
      <c r="O357" t="inlineStr">
        <is>
          <t>Gene Stec — Director, IT, Contract Logistics &amp; Facilities; Jason MacFarlane — Director, Supply Chain Solutions</t>
        </is>
      </c>
      <c r="P357" t="inlineStr">
        <is>
          <t>Director, IT, Contract Logistics &amp; Facilities | Director, Supply Chain Solutions</t>
        </is>
      </c>
      <c r="Y357" t="inlineStr">
        <is>
          <t>todo</t>
        </is>
      </c>
      <c r="Z357">
        <f>(M357*Weights!$B$2) + (MIN(Q357,Weights!$B$5)*Weights!$B$3*(W357/100)*Weights!$B$4)</f>
        <v/>
      </c>
      <c r="AA357">
        <f>IF(Z357= ,,RANK.EQ({pri_col_letter}{r},{pri_range},0))</f>
        <v/>
      </c>
    </row>
    <row r="358">
      <c r="A358" t="inlineStr">
        <is>
          <t>CloudPaths</t>
        </is>
      </c>
      <c r="B358" t="n">
        <v>5</v>
      </c>
      <c r="C358" t="n">
        <v>0</v>
      </c>
      <c r="D358" t="n">
        <v>2</v>
      </c>
      <c r="E358" t="n">
        <v>0</v>
      </c>
      <c r="F358" t="n">
        <v>2</v>
      </c>
      <c r="G358" t="n">
        <v>0</v>
      </c>
      <c r="H358" t="n">
        <v>27600000</v>
      </c>
      <c r="I358" t="n">
        <v>2</v>
      </c>
      <c r="J358" t="n">
        <v>0.4</v>
      </c>
      <c r="K358" t="n">
        <v>0</v>
      </c>
      <c r="L358" t="n">
        <v>0</v>
      </c>
      <c r="M358" t="n">
        <v>9</v>
      </c>
      <c r="N358" t="inlineStr">
        <is>
          <t>Tier 4</t>
        </is>
      </c>
      <c r="O358" t="inlineStr">
        <is>
          <t>Cameron Schwartz — Director of Digital Supply Chain; Frank Polito — RVP of Digital Supply Chain; Tushar Bhalla — CTO; Jimme Peters — VP of Marketing; Ron Blackburn — VP of Sales</t>
        </is>
      </c>
      <c r="P358" t="inlineStr">
        <is>
          <t>CTO | Director of Digital Supply Chain | RVP of Digital Supply Chain</t>
        </is>
      </c>
      <c r="Y358" t="inlineStr">
        <is>
          <t>todo</t>
        </is>
      </c>
      <c r="Z358">
        <f>(M358*Weights!$B$2) + (MIN(Q358,Weights!$B$5)*Weights!$B$3*(W358/100)*Weights!$B$4)</f>
        <v/>
      </c>
      <c r="AA358">
        <f>IF(Z358= ,,RANK.EQ({pri_col_letter}{r},{pri_range},0))</f>
        <v/>
      </c>
    </row>
    <row r="359">
      <c r="A359" t="inlineStr">
        <is>
          <t>Compass SCS</t>
        </is>
      </c>
      <c r="B359" t="n">
        <v>5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I359" t="n">
        <v>0</v>
      </c>
      <c r="J359" t="n">
        <v>0.2</v>
      </c>
      <c r="K359" t="n">
        <v>0</v>
      </c>
      <c r="L359" t="n">
        <v>0</v>
      </c>
      <c r="M359" t="n">
        <v>9</v>
      </c>
      <c r="N359" t="inlineStr">
        <is>
          <t>Tier 4</t>
        </is>
      </c>
      <c r="O359" t="inlineStr">
        <is>
          <t>Sean Foster — Associate Director Operations; James Telson — VP TechOps; Carl Collmorgen — Lead Infrastructure Technician; Matt Orednick — Sr. Program Manager; Zach Bond — Associate Director of Client Services</t>
        </is>
      </c>
      <c r="P359" t="inlineStr">
        <is>
          <t>VP TechOps | Associate Director Operations | Lead Infrastructure Technician</t>
        </is>
      </c>
      <c r="Y359" t="inlineStr">
        <is>
          <t>todo</t>
        </is>
      </c>
      <c r="Z359">
        <f>(M359*Weights!$B$2) + (MIN(Q359,Weights!$B$5)*Weights!$B$3*(W359/100)*Weights!$B$4)</f>
        <v/>
      </c>
      <c r="AA359">
        <f>IF(Z359= ,,RANK.EQ({pri_col_letter}{r},{pri_range},0))</f>
        <v/>
      </c>
    </row>
    <row r="360">
      <c r="A360" t="inlineStr">
        <is>
          <t>GS1 US</t>
        </is>
      </c>
      <c r="B360" t="n">
        <v>5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I360" t="n">
        <v>0</v>
      </c>
      <c r="J360" t="n">
        <v>0.2</v>
      </c>
      <c r="K360" t="n">
        <v>0</v>
      </c>
      <c r="L360" t="n">
        <v>0</v>
      </c>
      <c r="M360" t="n">
        <v>9</v>
      </c>
      <c r="N360" t="inlineStr">
        <is>
          <t>Tier 4</t>
        </is>
      </c>
      <c r="O360" t="inlineStr">
        <is>
          <t>Lucelena Angarita — Director, Supply Chain Visibility; Jazzmyne Reed — Global Standards Specialist; Nicholas Latwis — Director of Innovation; Patrick Javick — Director, Partnerships; Stephanie Ramos — Innovation Manager</t>
        </is>
      </c>
      <c r="P360" t="inlineStr">
        <is>
          <t>Director, Supply Chain Visibility | Global Standards Specialist | Director of Innovation</t>
        </is>
      </c>
      <c r="Y360" t="inlineStr">
        <is>
          <t>todo</t>
        </is>
      </c>
      <c r="Z360">
        <f>(M360*Weights!$B$2) + (MIN(Q360,Weights!$B$5)*Weights!$B$3*(W360/100)*Weights!$B$4)</f>
        <v/>
      </c>
      <c r="AA360">
        <f>IF(Z360= ,,RANK.EQ({pri_col_letter}{r},{pri_range},0))</f>
        <v/>
      </c>
    </row>
    <row r="361">
      <c r="A361" t="inlineStr">
        <is>
          <t>Gebr der Weiss</t>
        </is>
      </c>
      <c r="B361" t="n">
        <v>5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I361" t="n">
        <v>0</v>
      </c>
      <c r="J361" t="n">
        <v>0.2</v>
      </c>
      <c r="K361" t="n">
        <v>0</v>
      </c>
      <c r="L361" t="n">
        <v>0</v>
      </c>
      <c r="M361" t="n">
        <v>9</v>
      </c>
      <c r="N361" t="inlineStr">
        <is>
          <t>Tier 4</t>
        </is>
      </c>
      <c r="O361" t="inlineStr">
        <is>
          <t>Antonio Acuna — Regional Director of Cross Border Logistics US-MX; Brian Bech-Hansen — COO; Mark McCullough — CEO; Daniela Wurm — CCO/CPO; Kate Leatherbury — Director of North American LTL Solutions</t>
        </is>
      </c>
      <c r="P361" t="inlineStr">
        <is>
          <t>Regional Director of Cross Border Logistics US-MX | COO | CEO</t>
        </is>
      </c>
      <c r="Y361" t="inlineStr">
        <is>
          <t>todo</t>
        </is>
      </c>
      <c r="Z361">
        <f>(M361*Weights!$B$2) + (MIN(Q361,Weights!$B$5)*Weights!$B$3*(W361/100)*Weights!$B$4)</f>
        <v/>
      </c>
      <c r="AA361">
        <f>IF(Z361= ,,RANK.EQ({pri_col_letter}{r},{pri_range},0))</f>
        <v/>
      </c>
    </row>
    <row r="362">
      <c r="A362" t="inlineStr">
        <is>
          <t>Mars Snacking</t>
        </is>
      </c>
      <c r="B362" t="n">
        <v>5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I362" t="n">
        <v>0</v>
      </c>
      <c r="J362" t="n">
        <v>0.2</v>
      </c>
      <c r="K362" t="n">
        <v>0</v>
      </c>
      <c r="L362" t="n">
        <v>0</v>
      </c>
      <c r="M362" t="n">
        <v>9</v>
      </c>
      <c r="N362" t="inlineStr">
        <is>
          <t>Tier 4</t>
        </is>
      </c>
      <c r="O362" t="inlineStr">
        <is>
          <t>Cathy Marksbury — Director, Plant Distribution &amp; Logistics Director; Thiago Veiga — Global VP, Digital Core and CIO End-to-End Value Chain; Josh Cantwell — Director of Continuous Improvement/Automation; Kandi Crowe — Senior Director; Amee Green — Global Planning Transformation Director</t>
        </is>
      </c>
      <c r="P362" t="inlineStr">
        <is>
          <t>Director, Plant Distribution &amp; Logistics Director | Global VP, Digital Core and CIO End-to-End Value Chain | Director of Continuous Improvement/Automation</t>
        </is>
      </c>
      <c r="Y362" t="inlineStr">
        <is>
          <t>todo</t>
        </is>
      </c>
      <c r="Z362">
        <f>(M362*Weights!$B$2) + (MIN(Q362,Weights!$B$5)*Weights!$B$3*(W362/100)*Weights!$B$4)</f>
        <v/>
      </c>
      <c r="AA362">
        <f>IF(Z362= ,,RANK.EQ({pri_col_letter}{r},{pri_range},0))</f>
        <v/>
      </c>
    </row>
    <row r="363">
      <c r="A363" t="inlineStr">
        <is>
          <t>Precision Lumping Services</t>
        </is>
      </c>
      <c r="B363" t="n">
        <v>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I363" t="n">
        <v>0</v>
      </c>
      <c r="J363" t="n">
        <v>0.2</v>
      </c>
      <c r="K363" t="n">
        <v>0</v>
      </c>
      <c r="L363" t="n">
        <v>0</v>
      </c>
      <c r="M363" t="n">
        <v>9</v>
      </c>
      <c r="N363" t="inlineStr">
        <is>
          <t>Tier 4</t>
        </is>
      </c>
      <c r="O363" t="inlineStr">
        <is>
          <t>Craig Brinson — Director Of Operations; Ryan Blankenship — CEO; Alyxis Ray — Co-Owner; Blakely Ramirez — Human Resource Manager; Harrason Ahn — Assistant Regional Manager</t>
        </is>
      </c>
      <c r="P363" t="inlineStr">
        <is>
          <t>Director Of Operations | CEO | Co-Owner</t>
        </is>
      </c>
      <c r="Y363" t="inlineStr">
        <is>
          <t>todo</t>
        </is>
      </c>
      <c r="Z363">
        <f>(M363*Weights!$B$2) + (MIN(Q363,Weights!$B$5)*Weights!$B$3*(W363/100)*Weights!$B$4)</f>
        <v/>
      </c>
      <c r="AA363">
        <f>IF(Z363= ,,RANK.EQ({pri_col_letter}{r},{pri_range},0))</f>
        <v/>
      </c>
    </row>
    <row r="364">
      <c r="A364" t="inlineStr">
        <is>
          <t>Zonos</t>
        </is>
      </c>
      <c r="B364" t="n">
        <v>5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I364" t="n">
        <v>0</v>
      </c>
      <c r="J364" t="n">
        <v>0.2</v>
      </c>
      <c r="K364" t="n">
        <v>0</v>
      </c>
      <c r="L364" t="n">
        <v>0</v>
      </c>
      <c r="M364" t="n">
        <v>9</v>
      </c>
      <c r="N364" t="inlineStr">
        <is>
          <t>Tier 4</t>
        </is>
      </c>
      <c r="O364" t="inlineStr">
        <is>
          <t>Aaron Bezzant — V.P. Supply Chain; Clint Reid — CEO; Kellan Falconieri — Partnerships; Kermit McKinney — Partnerships; Taylor Smith — Partnerships</t>
        </is>
      </c>
      <c r="P364" t="inlineStr">
        <is>
          <t>CEO | V.P. Supply Chain | Partnerships</t>
        </is>
      </c>
      <c r="Y364" t="inlineStr">
        <is>
          <t>todo</t>
        </is>
      </c>
      <c r="Z364">
        <f>(M364*Weights!$B$2) + (MIN(Q364,Weights!$B$5)*Weights!$B$3*(W364/100)*Weights!$B$4)</f>
        <v/>
      </c>
      <c r="AA364">
        <f>IF(Z364= ,,RANK.EQ({pri_col_letter}{r},{pri_range},0))</f>
        <v/>
      </c>
    </row>
    <row r="365">
      <c r="A365" t="inlineStr">
        <is>
          <t>Nespresso</t>
        </is>
      </c>
      <c r="B365" t="n">
        <v>3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I365" t="n">
        <v>0</v>
      </c>
      <c r="J365" t="n">
        <v>0.3333333333333333</v>
      </c>
      <c r="K365" t="n">
        <v>0</v>
      </c>
      <c r="L365" t="n">
        <v>0</v>
      </c>
      <c r="M365" t="n">
        <v>9</v>
      </c>
      <c r="N365" t="inlineStr">
        <is>
          <t>Tier 4</t>
        </is>
      </c>
      <c r="O365" t="inlineStr">
        <is>
          <t>Charle Mcgruder — Senior Manager Transportation; Juan Manuel DeAbreu — Procurement Manager; Ursala Fisher — Senior Manager Vendor Management</t>
        </is>
      </c>
      <c r="P365" t="inlineStr">
        <is>
          <t>Senior Manager Transportation | Procurement Manager | Senior Manager Vendor Management</t>
        </is>
      </c>
      <c r="Y365" t="inlineStr">
        <is>
          <t>todo</t>
        </is>
      </c>
      <c r="Z365">
        <f>(M365*Weights!$B$2) + (MIN(Q365,Weights!$B$5)*Weights!$B$3*(W365/100)*Weights!$B$4)</f>
        <v/>
      </c>
      <c r="AA365">
        <f>IF(Z365= ,,RANK.EQ({pri_col_letter}{r},{pri_range},0))</f>
        <v/>
      </c>
    </row>
    <row r="366">
      <c r="A366" t="inlineStr">
        <is>
          <t>Redwood Logistics</t>
        </is>
      </c>
      <c r="B366" t="n">
        <v>3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1300000000</v>
      </c>
      <c r="I366" t="n">
        <v>2</v>
      </c>
      <c r="J366" t="n">
        <v>0</v>
      </c>
      <c r="K366" t="n">
        <v>12</v>
      </c>
      <c r="L366" t="n">
        <v>0</v>
      </c>
      <c r="M366" t="n">
        <v>9</v>
      </c>
      <c r="N366" t="inlineStr">
        <is>
          <t>Tier 4</t>
        </is>
      </c>
      <c r="O366" t="inlineStr">
        <is>
          <t>Michael Reed — Chief Product Officer; Sam Martinez — Vice President, Modern 4PL Strategy; Michael Pinzl — Director of Sales</t>
        </is>
      </c>
      <c r="P366" t="inlineStr">
        <is>
          <t>Vice President, Modern 4PL Strategy | Chief Product Officer | Director of Sales</t>
        </is>
      </c>
      <c r="Y366" t="inlineStr">
        <is>
          <t>todo</t>
        </is>
      </c>
      <c r="Z366">
        <f>(M366*Weights!$B$2) + (MIN(Q366,Weights!$B$5)*Weights!$B$3*(W366/100)*Weights!$B$4)</f>
        <v/>
      </c>
      <c r="AA366">
        <f>IF(Z366= ,,RANK.EQ({pri_col_letter}{r},{pri_range},0))</f>
        <v/>
      </c>
    </row>
    <row r="367">
      <c r="A367" t="inlineStr">
        <is>
          <t>S&amp;P Global</t>
        </is>
      </c>
      <c r="B367" t="n">
        <v>3</v>
      </c>
      <c r="C367" t="n">
        <v>0</v>
      </c>
      <c r="D367" t="n">
        <v>2</v>
      </c>
      <c r="E367" t="n">
        <v>0</v>
      </c>
      <c r="F367" t="n">
        <v>1</v>
      </c>
      <c r="G367" t="n">
        <v>0</v>
      </c>
      <c r="I367" t="n">
        <v>1</v>
      </c>
      <c r="J367" t="n">
        <v>0.6666666666666666</v>
      </c>
      <c r="K367" t="n">
        <v>0</v>
      </c>
      <c r="L367" t="n">
        <v>0</v>
      </c>
      <c r="M367" t="n">
        <v>9</v>
      </c>
      <c r="N367" t="inlineStr">
        <is>
          <t>Tier 4</t>
        </is>
      </c>
      <c r="O367" t="inlineStr">
        <is>
          <t>Gabe Lopes — Executive Director - Supply Chain; Mark Schreiner — Director - Supply Chain; Nick Rutherford — Associate Director of Sales</t>
        </is>
      </c>
      <c r="P367" t="inlineStr">
        <is>
          <t>Executive Director - Supply Chain | Director - Supply Chain | Associate Director of Sales</t>
        </is>
      </c>
      <c r="Y367" t="inlineStr">
        <is>
          <t>todo</t>
        </is>
      </c>
      <c r="Z367">
        <f>(M367*Weights!$B$2) + (MIN(Q367,Weights!$B$5)*Weights!$B$3*(W367/100)*Weights!$B$4)</f>
        <v/>
      </c>
      <c r="AA367">
        <f>IF(Z367= ,,RANK.EQ({pri_col_letter}{r},{pri_range},0))</f>
        <v/>
      </c>
    </row>
    <row r="368">
      <c r="A368" t="inlineStr">
        <is>
          <t>Transportation Insight</t>
        </is>
      </c>
      <c r="B368" t="n">
        <v>8</v>
      </c>
      <c r="C368" t="n">
        <v>0</v>
      </c>
      <c r="D368" t="n">
        <v>1</v>
      </c>
      <c r="E368" t="n">
        <v>0</v>
      </c>
      <c r="F368" t="n">
        <v>2</v>
      </c>
      <c r="G368" t="n">
        <v>0</v>
      </c>
      <c r="I368" t="n">
        <v>2</v>
      </c>
      <c r="J368" t="n">
        <v>0.125</v>
      </c>
      <c r="K368" t="n">
        <v>0</v>
      </c>
      <c r="L368" t="n">
        <v>0</v>
      </c>
      <c r="M368" t="n">
        <v>8</v>
      </c>
      <c r="N368" t="inlineStr">
        <is>
          <t>Tier 4</t>
        </is>
      </c>
      <c r="O368" t="inlineStr">
        <is>
          <t>Renee Abernethy - Miller — Transportation Insight; Robyn Meyer — SVP, Parcel Strategy &amp; Solutions; Erin Christou — Vice President, Client Services; Gary Colangelo — VP of Parcel Solutions; Jim Cook — Vice President, Technology</t>
        </is>
      </c>
      <c r="P368" t="inlineStr">
        <is>
          <t>Vice President, Client Services | VP of Parcel Solutions | Vice President, Technology</t>
        </is>
      </c>
      <c r="Y368" t="inlineStr">
        <is>
          <t>todo</t>
        </is>
      </c>
      <c r="Z368">
        <f>(M368*Weights!$B$2) + (MIN(Q368,Weights!$B$5)*Weights!$B$3*(W368/100)*Weights!$B$4)</f>
        <v/>
      </c>
      <c r="AA368">
        <f>IF(Z368= ,,RANK.EQ({pri_col_letter}{r},{pri_range},0))</f>
        <v/>
      </c>
    </row>
    <row r="369">
      <c r="A369" t="inlineStr">
        <is>
          <t>WSI | KASE</t>
        </is>
      </c>
      <c r="B369" t="n">
        <v>7</v>
      </c>
      <c r="C369" t="n">
        <v>1</v>
      </c>
      <c r="D369" t="n">
        <v>1</v>
      </c>
      <c r="E369" t="n">
        <v>0</v>
      </c>
      <c r="F369" t="n">
        <v>3</v>
      </c>
      <c r="G369" t="n">
        <v>0</v>
      </c>
      <c r="I369" t="n">
        <v>3</v>
      </c>
      <c r="J369" t="n">
        <v>0.1428571428571428</v>
      </c>
      <c r="K369" t="n">
        <v>12</v>
      </c>
      <c r="L369" t="n">
        <v>0</v>
      </c>
      <c r="M369" t="n">
        <v>8</v>
      </c>
      <c r="N369" t="inlineStr">
        <is>
          <t>Tier 4</t>
        </is>
      </c>
      <c r="O369" t="inlineStr">
        <is>
          <t>Peter Davis — Senior VP of Commercial Operations; Matt Schroeder — President of Kase; Paul Simmons — President; Joel Gallagos — Director of Partnerships; Scott Van Zeeland — Sales Manager</t>
        </is>
      </c>
      <c r="P369" t="inlineStr">
        <is>
          <t>Senior VP of Commercial Operations | President of Kase | President</t>
        </is>
      </c>
      <c r="Y369" t="inlineStr">
        <is>
          <t>todo</t>
        </is>
      </c>
      <c r="Z369">
        <f>(M369*Weights!$B$2) + (MIN(Q369,Weights!$B$5)*Weights!$B$3*(W369/100)*Weights!$B$4)</f>
        <v/>
      </c>
      <c r="AA369">
        <f>IF(Z369= ,,RANK.EQ({pri_col_letter}{r},{pri_range},0))</f>
        <v/>
      </c>
    </row>
    <row r="370">
      <c r="A370" t="inlineStr">
        <is>
          <t>CartonCloud</t>
        </is>
      </c>
      <c r="B370" t="n">
        <v>5</v>
      </c>
      <c r="C370" t="n">
        <v>1</v>
      </c>
      <c r="D370" t="n">
        <v>1</v>
      </c>
      <c r="E370" t="n">
        <v>0</v>
      </c>
      <c r="F370" t="n">
        <v>2</v>
      </c>
      <c r="G370" t="n">
        <v>1</v>
      </c>
      <c r="I370" t="n">
        <v>3</v>
      </c>
      <c r="J370" t="n">
        <v>0.2</v>
      </c>
      <c r="K370" t="n">
        <v>12</v>
      </c>
      <c r="L370" t="n">
        <v>0</v>
      </c>
      <c r="M370" t="n">
        <v>8</v>
      </c>
      <c r="N370" t="inlineStr">
        <is>
          <t>Tier 4</t>
        </is>
      </c>
      <c r="O370" t="inlineStr">
        <is>
          <t>Scott Murray — VP of Operations; Vincent Fletcher — Co-founder, Chief Product Officer; Shaun Hagen — Chief Executive Officer; Daniel McDermott — Senior Director Marketing; Ryan Hwang — Sales Manager, North America</t>
        </is>
      </c>
      <c r="P370" t="inlineStr">
        <is>
          <t>VP of Operations | Co-founder, Chief Product Officer | Chief Executive Officer</t>
        </is>
      </c>
      <c r="Y370" t="inlineStr">
        <is>
          <t>todo</t>
        </is>
      </c>
      <c r="Z370">
        <f>(M370*Weights!$B$2) + (MIN(Q370,Weights!$B$5)*Weights!$B$3*(W370/100)*Weights!$B$4)</f>
        <v/>
      </c>
      <c r="AA370">
        <f>IF(Z370= ,,RANK.EQ({pri_col_letter}{r},{pri_range},0))</f>
        <v/>
      </c>
    </row>
    <row r="371">
      <c r="A371" t="inlineStr">
        <is>
          <t>Aspire Bakeries</t>
        </is>
      </c>
      <c r="B371" t="n">
        <v>4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I371" t="n">
        <v>0</v>
      </c>
      <c r="J371" t="n">
        <v>0.25</v>
      </c>
      <c r="K371" t="n">
        <v>0</v>
      </c>
      <c r="L371" t="n">
        <v>0</v>
      </c>
      <c r="M371" t="n">
        <v>8</v>
      </c>
      <c r="N371" t="inlineStr">
        <is>
          <t>Tier 4</t>
        </is>
      </c>
      <c r="O371" t="inlineStr">
        <is>
          <t>Denny Nhan — Director, Supply Chain Systems Transformation; Mandy Paris — Sr. Director, Material Management; Ralph Jesson — Manager, Material Management; Maribel Arias — Senior Analyst, Material Management</t>
        </is>
      </c>
      <c r="P371" t="inlineStr">
        <is>
          <t>Director, Supply Chain Systems Transformation | Sr. Director, Material Management | Manager, Material Management</t>
        </is>
      </c>
      <c r="Y371" t="inlineStr">
        <is>
          <t>todo</t>
        </is>
      </c>
      <c r="Z371">
        <f>(M371*Weights!$B$2) + (MIN(Q371,Weights!$B$5)*Weights!$B$3*(W371/100)*Weights!$B$4)</f>
        <v/>
      </c>
      <c r="AA371">
        <f>IF(Z371= ,,RANK.EQ({pri_col_letter}{r},{pri_range},0))</f>
        <v/>
      </c>
    </row>
    <row r="372">
      <c r="A372" t="inlineStr">
        <is>
          <t>Industry Dive</t>
        </is>
      </c>
      <c r="B372" t="n">
        <v>4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I372" t="n">
        <v>0</v>
      </c>
      <c r="J372" t="n">
        <v>0.25</v>
      </c>
      <c r="K372" t="n">
        <v>0</v>
      </c>
      <c r="L372" t="n">
        <v>0</v>
      </c>
      <c r="M372" t="n">
        <v>8</v>
      </c>
      <c r="N372" t="inlineStr">
        <is>
          <t>Tier 4</t>
        </is>
      </c>
      <c r="O372" t="inlineStr">
        <is>
          <t>Kelly Stroh — Editor, Supply Chain; Antone Gonsalves — Reporter; Max Garland — Senior Reporter; Phil Neuffer — Senior Editor</t>
        </is>
      </c>
      <c r="P372" t="inlineStr">
        <is>
          <t>Editor, Supply Chain | Reporter | Senior Reporter</t>
        </is>
      </c>
      <c r="Y372" t="inlineStr">
        <is>
          <t>todo</t>
        </is>
      </c>
      <c r="Z372">
        <f>(M372*Weights!$B$2) + (MIN(Q372,Weights!$B$5)*Weights!$B$3*(W372/100)*Weights!$B$4)</f>
        <v/>
      </c>
      <c r="AA372">
        <f>IF(Z372= ,,RANK.EQ({pri_col_letter}{r},{pri_range},0))</f>
        <v/>
      </c>
    </row>
    <row r="373">
      <c r="A373" t="inlineStr">
        <is>
          <t>Pluto</t>
        </is>
      </c>
      <c r="B373" t="n">
        <v>4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I373" t="n">
        <v>0</v>
      </c>
      <c r="J373" t="n">
        <v>0.25</v>
      </c>
      <c r="K373" t="n">
        <v>0</v>
      </c>
      <c r="L373" t="n">
        <v>0</v>
      </c>
      <c r="M373" t="n">
        <v>8</v>
      </c>
      <c r="N373" t="inlineStr">
        <is>
          <t>Tier 4</t>
        </is>
      </c>
      <c r="O373" t="inlineStr">
        <is>
          <t>Pluto Sui — Operations Coordinator; Susana Saeliu — CEO &amp; Co-Founder; Kevin Li — Co-founder &amp; COO; Henry Lindstrom — Director of CX</t>
        </is>
      </c>
      <c r="P373" t="inlineStr">
        <is>
          <t>Co-founder &amp; COO | Operations Coordinator | CEO &amp; Co-Founder</t>
        </is>
      </c>
      <c r="Y373" t="inlineStr">
        <is>
          <t>todo</t>
        </is>
      </c>
      <c r="Z373">
        <f>(M373*Weights!$B$2) + (MIN(Q373,Weights!$B$5)*Weights!$B$3*(W373/100)*Weights!$B$4)</f>
        <v/>
      </c>
      <c r="AA373">
        <f>IF(Z373= ,,RANK.EQ({pri_col_letter}{r},{pri_range},0))</f>
        <v/>
      </c>
    </row>
    <row r="374">
      <c r="A374" t="inlineStr">
        <is>
          <t>Reckitt</t>
        </is>
      </c>
      <c r="B374" t="n">
        <v>4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I374" t="n">
        <v>0</v>
      </c>
      <c r="J374" t="n">
        <v>0.25</v>
      </c>
      <c r="K374" t="n">
        <v>0</v>
      </c>
      <c r="L374" t="n">
        <v>0</v>
      </c>
      <c r="M374" t="n">
        <v>8</v>
      </c>
      <c r="N374" t="inlineStr">
        <is>
          <t>Tier 4</t>
        </is>
      </c>
      <c r="O374" t="inlineStr">
        <is>
          <t>Shea Nesseler — Logistics Transformation Lead; Bertrand Leclercq — SVP Supply – Europe; Philip Hampden Smith — SVP Supply – North America; Anne Delforge — Supply HR Director, North America</t>
        </is>
      </c>
      <c r="P374" t="inlineStr">
        <is>
          <t>SVP Supply – Europe | SVP Supply – North America | Logistics Transformation Lead</t>
        </is>
      </c>
      <c r="Y374" t="inlineStr">
        <is>
          <t>todo</t>
        </is>
      </c>
      <c r="Z374">
        <f>(M374*Weights!$B$2) + (MIN(Q374,Weights!$B$5)*Weights!$B$3*(W374/100)*Weights!$B$4)</f>
        <v/>
      </c>
      <c r="AA374">
        <f>IF(Z374= ,,RANK.EQ({pri_col_letter}{r},{pri_range},0))</f>
        <v/>
      </c>
    </row>
    <row r="375">
      <c r="A375" t="inlineStr">
        <is>
          <t>TAO Clean</t>
        </is>
      </c>
      <c r="B375" t="n">
        <v>4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I375" t="n">
        <v>0</v>
      </c>
      <c r="J375" t="n">
        <v>0.25</v>
      </c>
      <c r="K375" t="n">
        <v>0</v>
      </c>
      <c r="L375" t="n">
        <v>0</v>
      </c>
      <c r="M375" t="n">
        <v>8</v>
      </c>
      <c r="N375" t="inlineStr">
        <is>
          <t>Tier 4</t>
        </is>
      </c>
      <c r="O375" t="inlineStr">
        <is>
          <t>Kathryn Williams — Logistics Manager; Marcus Hatcher — CEO; Taylor Bottolfson — Chief Operating Officer; Scott Shigemesa — Demand Planning</t>
        </is>
      </c>
      <c r="P375" t="inlineStr">
        <is>
          <t>CEO | Chief Operating Officer | Logistics Manager</t>
        </is>
      </c>
      <c r="Y375" t="inlineStr">
        <is>
          <t>todo</t>
        </is>
      </c>
      <c r="Z375">
        <f>(M375*Weights!$B$2) + (MIN(Q375,Weights!$B$5)*Weights!$B$3*(W375/100)*Weights!$B$4)</f>
        <v/>
      </c>
      <c r="AA375">
        <f>IF(Z375= ,,RANK.EQ({pri_col_letter}{r},{pri_range},0))</f>
        <v/>
      </c>
    </row>
    <row r="376">
      <c r="A376" t="inlineStr">
        <is>
          <t>Ericsson</t>
        </is>
      </c>
      <c r="B376" t="n">
        <v>2</v>
      </c>
      <c r="C376" t="n">
        <v>0</v>
      </c>
      <c r="D376" t="n">
        <v>2</v>
      </c>
      <c r="E376" t="n">
        <v>0</v>
      </c>
      <c r="F376" t="n">
        <v>1</v>
      </c>
      <c r="G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8</v>
      </c>
      <c r="N376" t="inlineStr">
        <is>
          <t>Tier 4</t>
        </is>
      </c>
      <c r="O376" t="inlineStr">
        <is>
          <t>Adam Schipper — Global Vertical Lead, Transportation; Cindy Chiang Perin — Sr Marketing Lead - Transportation</t>
        </is>
      </c>
      <c r="P376" t="inlineStr">
        <is>
          <t>Global Vertical Lead, Transportation | Sr Marketing Lead - Transportation</t>
        </is>
      </c>
      <c r="Y376" t="inlineStr">
        <is>
          <t>todo</t>
        </is>
      </c>
      <c r="Z376">
        <f>(M376*Weights!$B$2) + (MIN(Q376,Weights!$B$5)*Weights!$B$3*(W376/100)*Weights!$B$4)</f>
        <v/>
      </c>
      <c r="AA376">
        <f>IF(Z376= ,,RANK.EQ({pri_col_letter}{r},{pri_range},0))</f>
        <v/>
      </c>
    </row>
    <row r="377">
      <c r="A377" t="inlineStr">
        <is>
          <t>JM Huber</t>
        </is>
      </c>
      <c r="B377" t="n">
        <v>2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I377" t="n">
        <v>0</v>
      </c>
      <c r="J377" t="n">
        <v>0.5</v>
      </c>
      <c r="K377" t="n">
        <v>0</v>
      </c>
      <c r="L377" t="n">
        <v>0</v>
      </c>
      <c r="M377" t="n">
        <v>8</v>
      </c>
      <c r="N377" t="inlineStr">
        <is>
          <t>Tier 4</t>
        </is>
      </c>
      <c r="O377" t="inlineStr">
        <is>
          <t>Ike Flynn — Logistics &amp; Sourcing Operations Manager; Trent Welch — Catagory Manager- Bulk</t>
        </is>
      </c>
      <c r="P377" t="inlineStr">
        <is>
          <t>Logistics &amp; Sourcing Operations Manager | Catagory Manager- Bulk</t>
        </is>
      </c>
      <c r="Y377" t="inlineStr">
        <is>
          <t>todo</t>
        </is>
      </c>
      <c r="Z377">
        <f>(M377*Weights!$B$2) + (MIN(Q377,Weights!$B$5)*Weights!$B$3*(W377/100)*Weights!$B$4)</f>
        <v/>
      </c>
      <c r="AA377">
        <f>IF(Z377= ,,RANK.EQ({pri_col_letter}{r},{pri_range},0))</f>
        <v/>
      </c>
    </row>
    <row r="378">
      <c r="A378" t="inlineStr">
        <is>
          <t>MODE Global</t>
        </is>
      </c>
      <c r="B378" t="n">
        <v>10</v>
      </c>
      <c r="C378" t="n">
        <v>1</v>
      </c>
      <c r="D378" t="n">
        <v>1</v>
      </c>
      <c r="E378" t="n">
        <v>0</v>
      </c>
      <c r="F378" t="n">
        <v>5</v>
      </c>
      <c r="G378" t="n">
        <v>0</v>
      </c>
      <c r="I378" t="n">
        <v>5</v>
      </c>
      <c r="J378" t="n">
        <v>0.1</v>
      </c>
      <c r="K378" t="n">
        <v>12</v>
      </c>
      <c r="L378" t="n">
        <v>0</v>
      </c>
      <c r="M378" t="n">
        <v>7</v>
      </c>
      <c r="N378" t="inlineStr">
        <is>
          <t>Tier 4</t>
        </is>
      </c>
      <c r="O378" t="inlineStr">
        <is>
          <t>Tim Janowiak — VP, Operations; Jason Roberts — SVP, Digital Enablement; Lance Malesh — President &amp; CEO; Normand Frigon — Chief Operating Officer; Jessie Hollis — Director, Commercial Administration</t>
        </is>
      </c>
      <c r="P378" t="inlineStr">
        <is>
          <t>VP, Operations | SVP, Digital Enablement | President &amp; CEO</t>
        </is>
      </c>
      <c r="Y378" t="inlineStr">
        <is>
          <t>todo</t>
        </is>
      </c>
      <c r="Z378">
        <f>(M378*Weights!$B$2) + (MIN(Q378,Weights!$B$5)*Weights!$B$3*(W378/100)*Weights!$B$4)</f>
        <v/>
      </c>
      <c r="AA378">
        <f>IF(Z378= ,,RANK.EQ({pri_col_letter}{r},{pri_range},0))</f>
        <v/>
      </c>
    </row>
    <row r="379">
      <c r="A379" t="inlineStr">
        <is>
          <t>Aristocrat Technologies</t>
        </is>
      </c>
      <c r="B379" t="n">
        <v>9</v>
      </c>
      <c r="C379" t="n">
        <v>0</v>
      </c>
      <c r="D379" t="n">
        <v>2</v>
      </c>
      <c r="E379" t="n">
        <v>1</v>
      </c>
      <c r="F379" t="n">
        <v>0</v>
      </c>
      <c r="G379" t="n">
        <v>6</v>
      </c>
      <c r="I379" t="n">
        <v>6</v>
      </c>
      <c r="J379" t="n">
        <v>0.2222222222222222</v>
      </c>
      <c r="K379" t="n">
        <v>12</v>
      </c>
      <c r="L379" t="n">
        <v>0</v>
      </c>
      <c r="M379" t="n">
        <v>7</v>
      </c>
      <c r="N379" t="inlineStr">
        <is>
          <t>Tier 4</t>
        </is>
      </c>
      <c r="O379" t="inlineStr">
        <is>
          <t>Sam Rodriguez — Global Logistics Manager; Zack Castle — Director – Global Warehouse Management; Matt Hofstetter — Senior Strategic Sourcing Manager; Alexander Van Der Enden — Manufacturing Engineering Supervisor; Chetan Darwey — Engineer</t>
        </is>
      </c>
      <c r="P379" t="inlineStr">
        <is>
          <t>Global Logistics Manager | Director – Global Warehouse Management | Senior Strategic Sourcing Manager</t>
        </is>
      </c>
      <c r="Y379" t="inlineStr">
        <is>
          <t>todo</t>
        </is>
      </c>
      <c r="Z379">
        <f>(M379*Weights!$B$2) + (MIN(Q379,Weights!$B$5)*Weights!$B$3*(W379/100)*Weights!$B$4)</f>
        <v/>
      </c>
      <c r="AA379">
        <f>IF(Z379= ,,RANK.EQ({pri_col_letter}{r},{pri_range},0))</f>
        <v/>
      </c>
    </row>
    <row r="380">
      <c r="A380" t="inlineStr">
        <is>
          <t>G&amp;P</t>
        </is>
      </c>
      <c r="B380" t="n">
        <v>9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7</v>
      </c>
      <c r="N380" t="inlineStr">
        <is>
          <t>Tier 4</t>
        </is>
      </c>
      <c r="O380" t="inlineStr">
        <is>
          <t>Jacob Tippie — VP, Key Account Manager; Mo Bovenzi — VP of Construction; Bobby Walker — Solutions Executive; Daniel Gorey — Director of Real Estate; Martin Lyczewski — National Account Manager</t>
        </is>
      </c>
      <c r="P380" t="inlineStr">
        <is>
          <t>VP, Key Account Manager | VP of Construction | Solutions Executive</t>
        </is>
      </c>
      <c r="Y380" t="inlineStr">
        <is>
          <t>todo</t>
        </is>
      </c>
      <c r="Z380">
        <f>(M380*Weights!$B$2) + (MIN(Q380,Weights!$B$5)*Weights!$B$3*(W380/100)*Weights!$B$4)</f>
        <v/>
      </c>
      <c r="AA380">
        <f>IF(Z380= ,,RANK.EQ({pri_col_letter}{r},{pri_range},0))</f>
        <v/>
      </c>
    </row>
    <row r="381">
      <c r="A381" t="inlineStr">
        <is>
          <t>Connectiv</t>
        </is>
      </c>
      <c r="B381" t="n">
        <v>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7</v>
      </c>
      <c r="N381" t="inlineStr">
        <is>
          <t>Tier 4</t>
        </is>
      </c>
      <c r="O381" t="inlineStr">
        <is>
          <t>Gary Marksman — QA; gary newberg — qa; Mike Teston — QA; Gary LaVaskesis — QA; Gary Lazlovitz — QA</t>
        </is>
      </c>
      <c r="P381" t="inlineStr">
        <is>
          <t>QA | qa</t>
        </is>
      </c>
      <c r="Y381" t="inlineStr">
        <is>
          <t>todo</t>
        </is>
      </c>
      <c r="Z381">
        <f>(M381*Weights!$B$2) + (MIN(Q381,Weights!$B$5)*Weights!$B$3*(W381/100)*Weights!$B$4)</f>
        <v/>
      </c>
      <c r="AA381">
        <f>IF(Z381= ,,RANK.EQ({pri_col_letter}{r},{pri_range},0))</f>
        <v/>
      </c>
    </row>
    <row r="382">
      <c r="A382" t="inlineStr">
        <is>
          <t>THE SPEED OF FLIGHT at DeliverDirect</t>
        </is>
      </c>
      <c r="B382" t="n">
        <v>7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7</v>
      </c>
      <c r="N382" t="inlineStr">
        <is>
          <t>Tier 4</t>
        </is>
      </c>
      <c r="O382" t="inlineStr">
        <is>
          <t>Anais Adames — E-COMMERCE DELIVERY; Edward Burek — E-COMMERCE DELIVERY; Jeffrey Elder — E-COMMERCE DELIVERY; Marco Ferrara — E-COMMERCE DELIVERY; Rodney Small — E-COMMERCE DELIVERY</t>
        </is>
      </c>
      <c r="P382" t="inlineStr">
        <is>
          <t>E-COMMERCE DELIVERY</t>
        </is>
      </c>
      <c r="Y382" t="inlineStr">
        <is>
          <t>todo</t>
        </is>
      </c>
      <c r="Z382">
        <f>(M382*Weights!$B$2) + (MIN(Q382,Weights!$B$5)*Weights!$B$3*(W382/100)*Weights!$B$4)</f>
        <v/>
      </c>
      <c r="AA382">
        <f>IF(Z382= ,,RANK.EQ({pri_col_letter}{r},{pri_range},0))</f>
        <v/>
      </c>
    </row>
    <row r="383">
      <c r="A383" t="inlineStr">
        <is>
          <t>Tai Software</t>
        </is>
      </c>
      <c r="B383" t="n">
        <v>7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7</v>
      </c>
      <c r="N383" t="inlineStr">
        <is>
          <t>Tier 4</t>
        </is>
      </c>
      <c r="O383" t="inlineStr">
        <is>
          <t>Daniel Ely — Chief Product Officer; Walter (Mitch) Mitchell — CEO; Jeff Jacobs — Solutions Consultant; Sal Romana — Tai Software; Daniel Orozco — Solutions Consultant</t>
        </is>
      </c>
      <c r="P383" t="inlineStr">
        <is>
          <t>Chief Product Officer | CEO | CCO</t>
        </is>
      </c>
      <c r="Y383" t="inlineStr">
        <is>
          <t>todo</t>
        </is>
      </c>
      <c r="Z383">
        <f>(M383*Weights!$B$2) + (MIN(Q383,Weights!$B$5)*Weights!$B$3*(W383/100)*Weights!$B$4)</f>
        <v/>
      </c>
      <c r="AA383">
        <f>IF(Z383= ,,RANK.EQ({pri_col_letter}{r},{pri_range},0))</f>
        <v/>
      </c>
    </row>
    <row r="384">
      <c r="A384" t="inlineStr">
        <is>
          <t>SimWell</t>
        </is>
      </c>
      <c r="B384" t="n">
        <v>5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I384" t="n">
        <v>1</v>
      </c>
      <c r="J384" t="n">
        <v>0.2</v>
      </c>
      <c r="K384" t="n">
        <v>0</v>
      </c>
      <c r="L384" t="n">
        <v>0</v>
      </c>
      <c r="M384" t="n">
        <v>7</v>
      </c>
      <c r="N384" t="inlineStr">
        <is>
          <t>Tier 4</t>
        </is>
      </c>
      <c r="O384" t="inlineStr">
        <is>
          <t>Nick Geary — Director, Supply Chain; Jon Santavy — Partner; Isabelle Harris — Relationship Manager; Anna Kamphaus — Director of Simulation; Steve Blatney — Partner and Director of Business Development</t>
        </is>
      </c>
      <c r="P384" t="inlineStr">
        <is>
          <t>Director, Supply Chain | Director of Simulation | Partner</t>
        </is>
      </c>
      <c r="Y384" t="inlineStr">
        <is>
          <t>todo</t>
        </is>
      </c>
      <c r="Z384">
        <f>(M384*Weights!$B$2) + (MIN(Q384,Weights!$B$5)*Weights!$B$3*(W384/100)*Weights!$B$4)</f>
        <v/>
      </c>
      <c r="AA384">
        <f>IF(Z384= ,,RANK.EQ({pri_col_letter}{r},{pri_range},0))</f>
        <v/>
      </c>
    </row>
    <row r="385">
      <c r="A385" t="inlineStr">
        <is>
          <t>Stord</t>
        </is>
      </c>
      <c r="B385" t="n">
        <v>5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I385" t="n">
        <v>1</v>
      </c>
      <c r="J385" t="n">
        <v>0.2</v>
      </c>
      <c r="K385" t="n">
        <v>0</v>
      </c>
      <c r="L385" t="n">
        <v>0</v>
      </c>
      <c r="M385" t="n">
        <v>7</v>
      </c>
      <c r="N385" t="inlineStr">
        <is>
          <t>Tier 4</t>
        </is>
      </c>
      <c r="O385" t="inlineStr">
        <is>
          <t>Christian Kafoglis — Director of Transportation; Alex Kent — Director of Strategy &amp; Innovation; Ruthie Fleming — Lead Brand Designer; Anita Mascioli — Event Manager; Hoss Mortezaie — VP of Sales</t>
        </is>
      </c>
      <c r="P385" t="inlineStr">
        <is>
          <t>Director of Transportation | Director of Strategy &amp; Innovation | Lead Brand Designer</t>
        </is>
      </c>
      <c r="Y385" t="inlineStr">
        <is>
          <t>todo</t>
        </is>
      </c>
      <c r="Z385">
        <f>(M385*Weights!$B$2) + (MIN(Q385,Weights!$B$5)*Weights!$B$3*(W385/100)*Weights!$B$4)</f>
        <v/>
      </c>
      <c r="AA385">
        <f>IF(Z385= ,,RANK.EQ({pri_col_letter}{r},{pri_range},0))</f>
        <v/>
      </c>
    </row>
    <row r="386">
      <c r="A386" t="inlineStr">
        <is>
          <t>CACI</t>
        </is>
      </c>
      <c r="B386" t="n">
        <v>3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I386" t="n">
        <v>0</v>
      </c>
      <c r="J386" t="n">
        <v>0.3333333333333333</v>
      </c>
      <c r="K386" t="n">
        <v>0</v>
      </c>
      <c r="L386" t="n">
        <v>0</v>
      </c>
      <c r="M386" t="n">
        <v>7</v>
      </c>
      <c r="N386" t="inlineStr">
        <is>
          <t>Tier 4</t>
        </is>
      </c>
      <c r="O386" t="inlineStr">
        <is>
          <t>Paul Dawsey — Logistics Solutions Director; Benjamin Pearce — Account Director; Dom Saunders — Managing Consultant</t>
        </is>
      </c>
      <c r="P386" t="inlineStr">
        <is>
          <t>Logistics Solutions Director | Account Director | Managing Consultant</t>
        </is>
      </c>
      <c r="Y386" t="inlineStr">
        <is>
          <t>todo</t>
        </is>
      </c>
      <c r="Z386">
        <f>(M386*Weights!$B$2) + (MIN(Q386,Weights!$B$5)*Weights!$B$3*(W386/100)*Weights!$B$4)</f>
        <v/>
      </c>
      <c r="AA386">
        <f>IF(Z386= ,,RANK.EQ({pri_col_letter}{r},{pri_range},0))</f>
        <v/>
      </c>
    </row>
    <row r="387">
      <c r="A387" t="inlineStr">
        <is>
          <t>Chetu Inc.</t>
        </is>
      </c>
      <c r="B387" t="n">
        <v>3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I387" t="n">
        <v>0</v>
      </c>
      <c r="J387" t="n">
        <v>0.3333333333333333</v>
      </c>
      <c r="K387" t="n">
        <v>0</v>
      </c>
      <c r="L387" t="n">
        <v>0</v>
      </c>
      <c r="M387" t="n">
        <v>7</v>
      </c>
      <c r="N387" t="inlineStr">
        <is>
          <t>Tier 4</t>
        </is>
      </c>
      <c r="O387" t="inlineStr">
        <is>
          <t>Atit Shah — Director Of Operations; Amber Luc — National Account Manager; Scott Benson — National Account Manager</t>
        </is>
      </c>
      <c r="P387" t="inlineStr">
        <is>
          <t>Director Of Operations | National Account Manager</t>
        </is>
      </c>
      <c r="Y387" t="inlineStr">
        <is>
          <t>todo</t>
        </is>
      </c>
      <c r="Z387">
        <f>(M387*Weights!$B$2) + (MIN(Q387,Weights!$B$5)*Weights!$B$3*(W387/100)*Weights!$B$4)</f>
        <v/>
      </c>
      <c r="AA387">
        <f>IF(Z387= ,,RANK.EQ({pri_col_letter}{r},{pri_range},0))</f>
        <v/>
      </c>
    </row>
    <row r="388">
      <c r="A388" t="inlineStr">
        <is>
          <t>Culinary Logistics</t>
        </is>
      </c>
      <c r="B388" t="n">
        <v>3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I388" t="n">
        <v>0</v>
      </c>
      <c r="J388" t="n">
        <v>0.3333333333333333</v>
      </c>
      <c r="K388" t="n">
        <v>0</v>
      </c>
      <c r="L388" t="n">
        <v>0</v>
      </c>
      <c r="M388" t="n">
        <v>7</v>
      </c>
      <c r="N388" t="inlineStr">
        <is>
          <t>Tier 4</t>
        </is>
      </c>
      <c r="O388" t="inlineStr">
        <is>
          <t>Clayton Brock — V.P. Of Transportation Services; Jason Ferritto — Vice President - Brokerage; Steve Howard — President</t>
        </is>
      </c>
      <c r="P388" t="inlineStr">
        <is>
          <t>V.P. Of Transportation Services | Vice President - Brokerage | President</t>
        </is>
      </c>
      <c r="Y388" t="inlineStr">
        <is>
          <t>todo</t>
        </is>
      </c>
      <c r="Z388">
        <f>(M388*Weights!$B$2) + (MIN(Q388,Weights!$B$5)*Weights!$B$3*(W388/100)*Weights!$B$4)</f>
        <v/>
      </c>
      <c r="AA388">
        <f>IF(Z388= ,,RANK.EQ({pri_col_letter}{r},{pri_range},0))</f>
        <v/>
      </c>
    </row>
    <row r="389">
      <c r="A389" t="inlineStr">
        <is>
          <t>Da Vinci</t>
        </is>
      </c>
      <c r="B389" t="n">
        <v>3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I389" t="n">
        <v>1</v>
      </c>
      <c r="J389" t="n">
        <v>0.3333333333333333</v>
      </c>
      <c r="K389" t="n">
        <v>0</v>
      </c>
      <c r="L389" t="n">
        <v>0</v>
      </c>
      <c r="M389" t="n">
        <v>7</v>
      </c>
      <c r="N389" t="inlineStr">
        <is>
          <t>Tier 4</t>
        </is>
      </c>
      <c r="O389" t="inlineStr">
        <is>
          <t>Rosa Saporito — Operations; Dan Cavanaugh — CEO/President; Tyler Wright — Solutions Engineer</t>
        </is>
      </c>
      <c r="P389" t="inlineStr">
        <is>
          <t>Operations | CEO/President | Solutions Engineer</t>
        </is>
      </c>
      <c r="Y389" t="inlineStr">
        <is>
          <t>todo</t>
        </is>
      </c>
      <c r="Z389">
        <f>(M389*Weights!$B$2) + (MIN(Q389,Weights!$B$5)*Weights!$B$3*(W389/100)*Weights!$B$4)</f>
        <v/>
      </c>
      <c r="AA389">
        <f>IF(Z389= ,,RANK.EQ({pri_col_letter}{r},{pri_range},0))</f>
        <v/>
      </c>
    </row>
    <row r="390">
      <c r="A390" t="inlineStr">
        <is>
          <t>James Group</t>
        </is>
      </c>
      <c r="B390" t="n">
        <v>3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I390" t="n">
        <v>0</v>
      </c>
      <c r="J390" t="n">
        <v>0.3333333333333333</v>
      </c>
      <c r="K390" t="n">
        <v>0</v>
      </c>
      <c r="L390" t="n">
        <v>0</v>
      </c>
      <c r="M390" t="n">
        <v>7</v>
      </c>
      <c r="N390" t="inlineStr">
        <is>
          <t>Tier 4</t>
        </is>
      </c>
      <c r="O390" t="inlineStr">
        <is>
          <t>Brien Bell — Director of Transportation; Nick Andoni — Vice President, Finance; Mufaddal Badshah — Continuous Improvement Manager</t>
        </is>
      </c>
      <c r="P390" t="inlineStr">
        <is>
          <t>Director of Transportation | Vice President, Finance | Continuous Improvement Manager</t>
        </is>
      </c>
      <c r="Y390" t="inlineStr">
        <is>
          <t>todo</t>
        </is>
      </c>
      <c r="Z390">
        <f>(M390*Weights!$B$2) + (MIN(Q390,Weights!$B$5)*Weights!$B$3*(W390/100)*Weights!$B$4)</f>
        <v/>
      </c>
      <c r="AA390">
        <f>IF(Z390= ,,RANK.EQ({pri_col_letter}{r},{pri_range},0))</f>
        <v/>
      </c>
    </row>
    <row r="391">
      <c r="A391" t="inlineStr">
        <is>
          <t>Outerspace</t>
        </is>
      </c>
      <c r="B391" t="n">
        <v>3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I391" t="n">
        <v>0</v>
      </c>
      <c r="J391" t="n">
        <v>0.3333333333333333</v>
      </c>
      <c r="K391" t="n">
        <v>0</v>
      </c>
      <c r="L391" t="n">
        <v>0</v>
      </c>
      <c r="M391" t="n">
        <v>7</v>
      </c>
      <c r="N391" t="inlineStr">
        <is>
          <t>Tier 4</t>
        </is>
      </c>
      <c r="O391" t="inlineStr">
        <is>
          <t>Garrett Nakamura — Director Transportation; Michael Conley — COO; Daniel Chulsky — CFO</t>
        </is>
      </c>
      <c r="P391" t="inlineStr">
        <is>
          <t>Director Transportation | COO | CFO</t>
        </is>
      </c>
      <c r="Y391" t="inlineStr">
        <is>
          <t>todo</t>
        </is>
      </c>
      <c r="Z391">
        <f>(M391*Weights!$B$2) + (MIN(Q391,Weights!$B$5)*Weights!$B$3*(W391/100)*Weights!$B$4)</f>
        <v/>
      </c>
      <c r="AA391">
        <f>IF(Z391= ,,RANK.EQ({pri_col_letter}{r},{pri_range},0))</f>
        <v/>
      </c>
    </row>
    <row r="392">
      <c r="A392" t="inlineStr">
        <is>
          <t>Anheuser-Busch InBev (ABI)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7</v>
      </c>
      <c r="N392" t="inlineStr">
        <is>
          <t>Tier 4</t>
        </is>
      </c>
      <c r="O392" t="inlineStr">
        <is>
          <t>Greg Snider — Sr. Director of Transportation Procurement</t>
        </is>
      </c>
      <c r="P392" t="inlineStr">
        <is>
          <t>Sr. Director of Transportation Procurement</t>
        </is>
      </c>
      <c r="Y392" t="inlineStr">
        <is>
          <t>todo</t>
        </is>
      </c>
      <c r="Z392">
        <f>(M392*Weights!$B$2) + (MIN(Q392,Weights!$B$5)*Weights!$B$3*(W392/100)*Weights!$B$4)</f>
        <v/>
      </c>
      <c r="AA392">
        <f>IF(Z392= ,,RANK.EQ({pri_col_letter}{r},{pri_range},0))</f>
        <v/>
      </c>
    </row>
    <row r="393">
      <c r="A393" t="inlineStr">
        <is>
          <t>BRP</t>
        </is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7</v>
      </c>
      <c r="N393" t="inlineStr">
        <is>
          <t>Tier 4</t>
        </is>
      </c>
      <c r="O393" t="inlineStr">
        <is>
          <t>Billie Giroux — Senior Transportation Sourcing Leader</t>
        </is>
      </c>
      <c r="P393" t="inlineStr">
        <is>
          <t>Senior Transportation Sourcing Leader</t>
        </is>
      </c>
      <c r="Y393" t="inlineStr">
        <is>
          <t>todo</t>
        </is>
      </c>
      <c r="Z393">
        <f>(M393*Weights!$B$2) + (MIN(Q393,Weights!$B$5)*Weights!$B$3*(W393/100)*Weights!$B$4)</f>
        <v/>
      </c>
      <c r="AA393">
        <f>IF(Z393= ,,RANK.EQ({pri_col_letter}{r},{pri_range},0))</f>
        <v/>
      </c>
    </row>
    <row r="394">
      <c r="A394" t="inlineStr">
        <is>
          <t>Barry Callebaut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7</v>
      </c>
      <c r="N394" t="inlineStr">
        <is>
          <t>Tier 4</t>
        </is>
      </c>
      <c r="O394" t="inlineStr">
        <is>
          <t>Todd D. Bulmash — Category Manager, Logistics Sourcing</t>
        </is>
      </c>
      <c r="P394" t="inlineStr">
        <is>
          <t>Category Manager, Logistics Sourcing</t>
        </is>
      </c>
      <c r="Y394" t="inlineStr">
        <is>
          <t>todo</t>
        </is>
      </c>
      <c r="Z394">
        <f>(M394*Weights!$B$2) + (MIN(Q394,Weights!$B$5)*Weights!$B$3*(W394/100)*Weights!$B$4)</f>
        <v/>
      </c>
      <c r="AA394">
        <f>IF(Z394= ,,RANK.EQ({pri_col_letter}{r},{pri_range},0))</f>
        <v/>
      </c>
    </row>
    <row r="395">
      <c r="A395" t="inlineStr">
        <is>
          <t>Best Buy Canada Ltd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7</v>
      </c>
      <c r="N395" t="inlineStr">
        <is>
          <t>Tier 4</t>
        </is>
      </c>
      <c r="O395" t="inlineStr">
        <is>
          <t>Chris Butler — Sourcing &amp; Contract Management; Procurement, Supply Chain</t>
        </is>
      </c>
      <c r="P395" t="inlineStr">
        <is>
          <t>Sourcing &amp; Contract Management; Procurement, Supply Chain</t>
        </is>
      </c>
      <c r="Y395" t="inlineStr">
        <is>
          <t>todo</t>
        </is>
      </c>
      <c r="Z395">
        <f>(M395*Weights!$B$2) + (MIN(Q395,Weights!$B$5)*Weights!$B$3*(W395/100)*Weights!$B$4)</f>
        <v/>
      </c>
      <c r="AA395">
        <f>IF(Z395= ,,RANK.EQ({pri_col_letter}{r},{pri_range},0))</f>
        <v/>
      </c>
    </row>
    <row r="396">
      <c r="A396" t="inlineStr">
        <is>
          <t>Branded Mills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7</v>
      </c>
      <c r="N396" t="inlineStr">
        <is>
          <t>Tier 4</t>
        </is>
      </c>
      <c r="O396" t="inlineStr">
        <is>
          <t>Andrew Akiyoshi — Sr Director of Supply Chain &amp; Sourcing</t>
        </is>
      </c>
      <c r="P396" t="inlineStr">
        <is>
          <t>Sr Director of Supply Chain &amp; Sourcing</t>
        </is>
      </c>
      <c r="Y396" t="inlineStr">
        <is>
          <t>todo</t>
        </is>
      </c>
      <c r="Z396">
        <f>(M396*Weights!$B$2) + (MIN(Q396,Weights!$B$5)*Weights!$B$3*(W396/100)*Weights!$B$4)</f>
        <v/>
      </c>
      <c r="AA396">
        <f>IF(Z396= ,,RANK.EQ({pri_col_letter}{r},{pri_range},0))</f>
        <v/>
      </c>
    </row>
    <row r="397">
      <c r="A397" t="inlineStr">
        <is>
          <t>EATON CORPORATOIN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7</v>
      </c>
      <c r="N397" t="inlineStr">
        <is>
          <t>Tier 4</t>
        </is>
      </c>
      <c r="O397" t="inlineStr">
        <is>
          <t>Kevin Trapp — Global Logistics Procurement</t>
        </is>
      </c>
      <c r="P397" t="inlineStr">
        <is>
          <t>Global Logistics Procurement</t>
        </is>
      </c>
      <c r="Y397" t="inlineStr">
        <is>
          <t>todo</t>
        </is>
      </c>
      <c r="Z397">
        <f>(M397*Weights!$B$2) + (MIN(Q397,Weights!$B$5)*Weights!$B$3*(W397/100)*Weights!$B$4)</f>
        <v/>
      </c>
      <c r="AA397">
        <f>IF(Z397= ,,RANK.EQ({pri_col_letter}{r},{pri_range},0))</f>
        <v/>
      </c>
    </row>
    <row r="398">
      <c r="A398" t="inlineStr">
        <is>
          <t>General Mills, Inc.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7</v>
      </c>
      <c r="N398" t="inlineStr">
        <is>
          <t>Tier 4</t>
        </is>
      </c>
      <c r="O398" t="inlineStr">
        <is>
          <t>Kristen Danielson — Sr. Global Sourcing Manager - Transportation and Warehousing</t>
        </is>
      </c>
      <c r="P398" t="inlineStr">
        <is>
          <t>Sr. Global Sourcing Manager - Transportation and Warehousing</t>
        </is>
      </c>
      <c r="Y398" t="inlineStr">
        <is>
          <t>todo</t>
        </is>
      </c>
      <c r="Z398">
        <f>(M398*Weights!$B$2) + (MIN(Q398,Weights!$B$5)*Weights!$B$3*(W398/100)*Weights!$B$4)</f>
        <v/>
      </c>
      <c r="AA398">
        <f>IF(Z398= ,,RANK.EQ({pri_col_letter}{r},{pri_range},0))</f>
        <v/>
      </c>
    </row>
    <row r="399">
      <c r="A399" t="inlineStr">
        <is>
          <t>Grupo Bimbo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7</v>
      </c>
      <c r="N399" t="inlineStr">
        <is>
          <t>Tier 4</t>
        </is>
      </c>
      <c r="O399" t="inlineStr">
        <is>
          <t>Keefer Gibson — Sourcing Manager, North America Supply Chain</t>
        </is>
      </c>
      <c r="P399" t="inlineStr">
        <is>
          <t>Sourcing Manager, North America Supply Chain</t>
        </is>
      </c>
      <c r="Y399" t="inlineStr">
        <is>
          <t>todo</t>
        </is>
      </c>
      <c r="Z399">
        <f>(M399*Weights!$B$2) + (MIN(Q399,Weights!$B$5)*Weights!$B$3*(W399/100)*Weights!$B$4)</f>
        <v/>
      </c>
      <c r="AA399">
        <f>IF(Z399= ,,RANK.EQ({pri_col_letter}{r},{pri_range},0))</f>
        <v/>
      </c>
    </row>
    <row r="400">
      <c r="A400" t="inlineStr">
        <is>
          <t>Kohler Co.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7</v>
      </c>
      <c r="N400" t="inlineStr">
        <is>
          <t>Tier 4</t>
        </is>
      </c>
      <c r="O400" t="inlineStr">
        <is>
          <t>Jesse Salas — Sr. Manager, Strategic Sourcing, Logistics and Transportation</t>
        </is>
      </c>
      <c r="P400" t="inlineStr">
        <is>
          <t>Sr. Manager, Strategic Sourcing, Logistics and Transportation</t>
        </is>
      </c>
      <c r="Y400" t="inlineStr">
        <is>
          <t>todo</t>
        </is>
      </c>
      <c r="Z400">
        <f>(M400*Weights!$B$2) + (MIN(Q400,Weights!$B$5)*Weights!$B$3*(W400/100)*Weights!$B$4)</f>
        <v/>
      </c>
      <c r="AA400">
        <f>IF(Z400= ,,RANK.EQ({pri_col_letter}{r},{pri_range},0))</f>
        <v/>
      </c>
    </row>
    <row r="401">
      <c r="A401" t="inlineStr">
        <is>
          <t>OWENS CORNING</t>
        </is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7</v>
      </c>
      <c r="N401" t="inlineStr">
        <is>
          <t>Tier 4</t>
        </is>
      </c>
      <c r="O401" t="inlineStr">
        <is>
          <t>RAMON CORTAZA — DIRECTOR SUPPLY CHAIN &amp; SOURCING</t>
        </is>
      </c>
      <c r="P401" t="inlineStr">
        <is>
          <t>DIRECTOR SUPPLY CHAIN &amp; SOURCING</t>
        </is>
      </c>
      <c r="Y401" t="inlineStr">
        <is>
          <t>todo</t>
        </is>
      </c>
      <c r="Z401">
        <f>(M401*Weights!$B$2) + (MIN(Q401,Weights!$B$5)*Weights!$B$3*(W401/100)*Weights!$B$4)</f>
        <v/>
      </c>
      <c r="AA401">
        <f>IF(Z401= ,,RANK.EQ({pri_col_letter}{r},{pri_range},0))</f>
        <v/>
      </c>
    </row>
    <row r="402">
      <c r="A402" t="inlineStr">
        <is>
          <t>Piston Group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7</v>
      </c>
      <c r="N402" t="inlineStr">
        <is>
          <t>Tier 4</t>
        </is>
      </c>
      <c r="O402" t="inlineStr">
        <is>
          <t>Marcelo Franzoi — Executive Director, Purchasing &amp; Supply Chain</t>
        </is>
      </c>
      <c r="P402" t="inlineStr">
        <is>
          <t>Executive Director, Purchasing &amp; Supply Chain</t>
        </is>
      </c>
      <c r="Y402" t="inlineStr">
        <is>
          <t>todo</t>
        </is>
      </c>
      <c r="Z402">
        <f>(M402*Weights!$B$2) + (MIN(Q402,Weights!$B$5)*Weights!$B$3*(W402/100)*Weights!$B$4)</f>
        <v/>
      </c>
      <c r="AA402">
        <f>IF(Z402= ,,RANK.EQ({pri_col_letter}{r},{pri_range},0))</f>
        <v/>
      </c>
    </row>
    <row r="403">
      <c r="A403" t="inlineStr">
        <is>
          <t>Reser's Fine Foods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7</v>
      </c>
      <c r="N403" t="inlineStr">
        <is>
          <t>Tier 4</t>
        </is>
      </c>
      <c r="O403" t="inlineStr">
        <is>
          <t>Nicole Schuman — Transportation Procurement Manager</t>
        </is>
      </c>
      <c r="P403" t="inlineStr">
        <is>
          <t>Transportation Procurement Manager</t>
        </is>
      </c>
      <c r="Y403" t="inlineStr">
        <is>
          <t>todo</t>
        </is>
      </c>
      <c r="Z403">
        <f>(M403*Weights!$B$2) + (MIN(Q403,Weights!$B$5)*Weights!$B$3*(W403/100)*Weights!$B$4)</f>
        <v/>
      </c>
      <c r="AA403">
        <f>IF(Z403= ,,RANK.EQ({pri_col_letter}{r},{pri_range},0))</f>
        <v/>
      </c>
    </row>
    <row r="404">
      <c r="A404" t="inlineStr">
        <is>
          <t>Trek Bicycle</t>
        </is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7</v>
      </c>
      <c r="N404" t="inlineStr">
        <is>
          <t>Tier 4</t>
        </is>
      </c>
      <c r="O404" t="inlineStr">
        <is>
          <t>Tony Lathers — Director, Supply Chain Visibility and Sourcing</t>
        </is>
      </c>
      <c r="P404" t="inlineStr">
        <is>
          <t>Director, Supply Chain Visibility and Sourcing</t>
        </is>
      </c>
      <c r="Y404" t="inlineStr">
        <is>
          <t>todo</t>
        </is>
      </c>
      <c r="Z404">
        <f>(M404*Weights!$B$2) + (MIN(Q404,Weights!$B$5)*Weights!$B$3*(W404/100)*Weights!$B$4)</f>
        <v/>
      </c>
      <c r="AA404">
        <f>IF(Z404= ,,RANK.EQ({pri_col_letter}{r},{pri_range},0))</f>
        <v/>
      </c>
    </row>
    <row r="405">
      <c r="A405" t="inlineStr">
        <is>
          <t>VW Group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7</v>
      </c>
      <c r="N405" t="inlineStr">
        <is>
          <t>Tier 4</t>
        </is>
      </c>
      <c r="O405" t="inlineStr">
        <is>
          <t>Harrison Hawthorne — Category Lead Sr. Logistics Procurement</t>
        </is>
      </c>
      <c r="P405" t="inlineStr">
        <is>
          <t>Category Lead Sr. Logistics Procurement</t>
        </is>
      </c>
      <c r="Y405" t="inlineStr">
        <is>
          <t>todo</t>
        </is>
      </c>
      <c r="Z405">
        <f>(M405*Weights!$B$2) + (MIN(Q405,Weights!$B$5)*Weights!$B$3*(W405/100)*Weights!$B$4)</f>
        <v/>
      </c>
      <c r="AA405">
        <f>IF(Z405= ,,RANK.EQ({pri_col_letter}{r},{pri_range},0))</f>
        <v/>
      </c>
    </row>
    <row r="406">
      <c r="A406" t="inlineStr">
        <is>
          <t>Wella company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7</v>
      </c>
      <c r="N406" t="inlineStr">
        <is>
          <t>Tier 4</t>
        </is>
      </c>
      <c r="O406" t="inlineStr">
        <is>
          <t>Daniel Mackie — Sr. Manager Global Procurement - Logistics</t>
        </is>
      </c>
      <c r="P406" t="inlineStr">
        <is>
          <t>Sr. Manager Global Procurement - Logistics</t>
        </is>
      </c>
      <c r="Y406" t="inlineStr">
        <is>
          <t>todo</t>
        </is>
      </c>
      <c r="Z406">
        <f>(M406*Weights!$B$2) + (MIN(Q406,Weights!$B$5)*Weights!$B$3*(W406/100)*Weights!$B$4)</f>
        <v/>
      </c>
      <c r="AA406">
        <f>IF(Z406= ,,RANK.EQ({pri_col_letter}{r},{pri_range},0))</f>
        <v/>
      </c>
    </row>
    <row r="407">
      <c r="A407" t="inlineStr">
        <is>
          <t>Zwiesel Fortessa Americas LLC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7</v>
      </c>
      <c r="N407" t="inlineStr">
        <is>
          <t>Tier 4</t>
        </is>
      </c>
      <c r="O407" t="inlineStr">
        <is>
          <t>Kenneth Ritenour — Director, Sourcing, Vendor Compliance and Logistics</t>
        </is>
      </c>
      <c r="P407" t="inlineStr">
        <is>
          <t>Director, Sourcing, Vendor Compliance and Logistics</t>
        </is>
      </c>
      <c r="Y407" t="inlineStr">
        <is>
          <t>todo</t>
        </is>
      </c>
      <c r="Z407">
        <f>(M407*Weights!$B$2) + (MIN(Q407,Weights!$B$5)*Weights!$B$3*(W407/100)*Weights!$B$4)</f>
        <v/>
      </c>
      <c r="AA407">
        <f>IF(Z407= ,,RANK.EQ({pri_col_letter}{r},{pri_range},0))</f>
        <v/>
      </c>
    </row>
    <row r="408">
      <c r="A408" t="inlineStr">
        <is>
          <t>Augment</t>
        </is>
      </c>
      <c r="B408" t="n">
        <v>11</v>
      </c>
      <c r="C408" t="n">
        <v>1</v>
      </c>
      <c r="D408" t="n">
        <v>1</v>
      </c>
      <c r="E408" t="n">
        <v>0</v>
      </c>
      <c r="F408" t="n">
        <v>6</v>
      </c>
      <c r="G408" t="n">
        <v>0</v>
      </c>
      <c r="I408" t="n">
        <v>6</v>
      </c>
      <c r="J408" t="n">
        <v>0.09090909090909091</v>
      </c>
      <c r="K408" t="n">
        <v>12</v>
      </c>
      <c r="L408" t="n">
        <v>0</v>
      </c>
      <c r="M408" t="n">
        <v>6</v>
      </c>
      <c r="N408" t="inlineStr">
        <is>
          <t>Tier 4</t>
        </is>
      </c>
      <c r="O408" t="inlineStr">
        <is>
          <t>Cheng Cheng — Head of Operations; Harish Abbott — CEO &amp; Co-Founder; Lana Whiteford — Head of HR; Andrea Ortega — Senior Recruiter; Cherice Wingfield — Senior Recruiter</t>
        </is>
      </c>
      <c r="P408" t="inlineStr">
        <is>
          <t>Head of Operations | Head of HR | CEO &amp; Co-Founder</t>
        </is>
      </c>
      <c r="Y408" t="inlineStr">
        <is>
          <t>todo</t>
        </is>
      </c>
      <c r="Z408">
        <f>(M408*Weights!$B$2) + (MIN(Q408,Weights!$B$5)*Weights!$B$3*(W408/100)*Weights!$B$4)</f>
        <v/>
      </c>
      <c r="AA408">
        <f>IF(Z408= ,,RANK.EQ({pri_col_letter}{r},{pri_range},0))</f>
        <v/>
      </c>
    </row>
    <row r="409">
      <c r="A409" t="inlineStr">
        <is>
          <t>TORC</t>
        </is>
      </c>
      <c r="B409" t="n">
        <v>8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6</v>
      </c>
      <c r="N409" t="inlineStr">
        <is>
          <t>Tier 4</t>
        </is>
      </c>
      <c r="O409" t="inlineStr">
        <is>
          <t>Nick Elder — VP, Commercialization; Danielle St Lawrence — Event Coordinator; Grant Hall — Commercial Project Manager III; Jason Payne — Senior Brand Manager | Photographer; Laura Lawton — Director of External Communications</t>
        </is>
      </c>
      <c r="P409" t="inlineStr">
        <is>
          <t>VP, Commercialization | Event Coordinator | Commercial Project Manager III</t>
        </is>
      </c>
      <c r="Y409" t="inlineStr">
        <is>
          <t>todo</t>
        </is>
      </c>
      <c r="Z409">
        <f>(M409*Weights!$B$2) + (MIN(Q409,Weights!$B$5)*Weights!$B$3*(W409/100)*Weights!$B$4)</f>
        <v/>
      </c>
      <c r="AA409">
        <f>IF(Z409= ,,RANK.EQ({pri_col_letter}{r},{pri_range},0))</f>
        <v/>
      </c>
    </row>
    <row r="410">
      <c r="A410" t="inlineStr">
        <is>
          <t>Freight Flex</t>
        </is>
      </c>
      <c r="B410" t="n">
        <v>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6</v>
      </c>
      <c r="N410" t="inlineStr">
        <is>
          <t>Tier 4</t>
        </is>
      </c>
      <c r="O410" t="inlineStr">
        <is>
          <t>Breanna Condon — VP of Agency; Gary Klusman — CFO; Hunter Arnold — EVP of Agency; Reed Rivers — President; Talbert Turner — EVP of Brokerage</t>
        </is>
      </c>
      <c r="P410" t="inlineStr">
        <is>
          <t>VP of Agency | CFO | EVP of Agency</t>
        </is>
      </c>
      <c r="Y410" t="inlineStr">
        <is>
          <t>todo</t>
        </is>
      </c>
      <c r="Z410">
        <f>(M410*Weights!$B$2) + (MIN(Q410,Weights!$B$5)*Weights!$B$3*(W410/100)*Weights!$B$4)</f>
        <v/>
      </c>
      <c r="AA410">
        <f>IF(Z410= ,,RANK.EQ({pri_col_letter}{r},{pri_range},0))</f>
        <v/>
      </c>
    </row>
    <row r="411">
      <c r="A411" t="inlineStr">
        <is>
          <t>Let's Talk Supply Chain</t>
        </is>
      </c>
      <c r="B411" t="n">
        <v>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6</v>
      </c>
      <c r="N411" t="inlineStr">
        <is>
          <t>Tier 4</t>
        </is>
      </c>
      <c r="O411" t="inlineStr">
        <is>
          <t>Alisha McNary — VP of Strategic Partnerships; Sarah Barnes-Humphrey — Founder &amp; Host; Bob Finkelstein — Videographer; Abby Baird — Content Associate; Abigail Baird — Content Creator</t>
        </is>
      </c>
      <c r="P411" t="inlineStr">
        <is>
          <t>VP of Strategic Partnerships | Content Associate | Content Creator</t>
        </is>
      </c>
      <c r="Y411" t="inlineStr">
        <is>
          <t>todo</t>
        </is>
      </c>
      <c r="Z411">
        <f>(M411*Weights!$B$2) + (MIN(Q411,Weights!$B$5)*Weights!$B$3*(W411/100)*Weights!$B$4)</f>
        <v/>
      </c>
      <c r="AA411">
        <f>IF(Z411= ,,RANK.EQ({pri_col_letter}{r},{pri_range},0))</f>
        <v/>
      </c>
    </row>
    <row r="412">
      <c r="A412" t="inlineStr">
        <is>
          <t>Reveel</t>
        </is>
      </c>
      <c r="B412" t="n">
        <v>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6</v>
      </c>
      <c r="N412" t="inlineStr">
        <is>
          <t>Tier 4</t>
        </is>
      </c>
      <c r="O412" t="inlineStr">
        <is>
          <t>Kyle Braaksma — VP, Strategic Accounts; Nathaniel Ebel — VP, Key Accounts; Gina Anderson — Vice President; Ty Walker — VP, Strategic Accounts; Bill Taylor — CMO</t>
        </is>
      </c>
      <c r="P412" t="inlineStr">
        <is>
          <t>Vice President | VP, Strategic Accounts | VP, Key Accounts</t>
        </is>
      </c>
      <c r="Y412" t="inlineStr">
        <is>
          <t>todo</t>
        </is>
      </c>
      <c r="Z412">
        <f>(M412*Weights!$B$2) + (MIN(Q412,Weights!$B$5)*Weights!$B$3*(W412/100)*Weights!$B$4)</f>
        <v/>
      </c>
      <c r="AA412">
        <f>IF(Z412= ,,RANK.EQ({pri_col_letter}{r},{pri_range},0))</f>
        <v/>
      </c>
    </row>
    <row r="413">
      <c r="A413" t="inlineStr">
        <is>
          <t>Yazaki</t>
        </is>
      </c>
      <c r="B413" t="n">
        <v>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6</v>
      </c>
      <c r="N413" t="inlineStr">
        <is>
          <t>Tier 4</t>
        </is>
      </c>
      <c r="O413" t="inlineStr">
        <is>
          <t>Bradley Oxley — Manager; Derek Andre — Sr. Specialist; Eric Macuga — Program Manager; Joe Duran — Sr. Manager; Josh Lipan — Program Manager</t>
        </is>
      </c>
      <c r="P413" t="inlineStr">
        <is>
          <t>Manager | Sr. Specialist | Program Manager</t>
        </is>
      </c>
      <c r="Y413" t="inlineStr">
        <is>
          <t>todo</t>
        </is>
      </c>
      <c r="Z413">
        <f>(M413*Weights!$B$2) + (MIN(Q413,Weights!$B$5)*Weights!$B$3*(W413/100)*Weights!$B$4)</f>
        <v/>
      </c>
      <c r="AA413">
        <f>IF(Z413= ,,RANK.EQ({pri_col_letter}{r},{pri_range},0))</f>
        <v/>
      </c>
    </row>
    <row r="414">
      <c r="A414" t="inlineStr">
        <is>
          <t>connectiv</t>
        </is>
      </c>
      <c r="B414" t="n">
        <v>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</v>
      </c>
      <c r="N414" t="inlineStr">
        <is>
          <t>Tier 4</t>
        </is>
      </c>
      <c r="O414" t="inlineStr">
        <is>
          <t>gary bloomworth — qa; gary bogachkov — QA; gary jorison — qa; gary pangorsky II — QA; zack delton — qa</t>
        </is>
      </c>
      <c r="P414" t="inlineStr">
        <is>
          <t>qa | QA</t>
        </is>
      </c>
      <c r="Y414" t="inlineStr">
        <is>
          <t>todo</t>
        </is>
      </c>
      <c r="Z414">
        <f>(M414*Weights!$B$2) + (MIN(Q414,Weights!$B$5)*Weights!$B$3*(W414/100)*Weights!$B$4)</f>
        <v/>
      </c>
      <c r="AA414">
        <f>IF(Z414= ,,RANK.EQ({pri_col_letter}{r},{pri_range},0))</f>
        <v/>
      </c>
    </row>
    <row r="415">
      <c r="A415" t="inlineStr">
        <is>
          <t>Dependable Supply Chain Services</t>
        </is>
      </c>
      <c r="B415" t="n">
        <v>5</v>
      </c>
      <c r="C415" t="n">
        <v>1</v>
      </c>
      <c r="D415" t="n">
        <v>1</v>
      </c>
      <c r="E415" t="n">
        <v>0</v>
      </c>
      <c r="F415" t="n">
        <v>3</v>
      </c>
      <c r="G415" t="n">
        <v>0</v>
      </c>
      <c r="I415" t="n">
        <v>3</v>
      </c>
      <c r="J415" t="n">
        <v>0.2</v>
      </c>
      <c r="K415" t="n">
        <v>12</v>
      </c>
      <c r="L415" t="n">
        <v>0</v>
      </c>
      <c r="M415" t="n">
        <v>6</v>
      </c>
      <c r="N415" t="inlineStr">
        <is>
          <t>Tier 4</t>
        </is>
      </c>
      <c r="O415" t="inlineStr">
        <is>
          <t>Shaun Nakhost — VP Warehouse Operations; Jim Herman — CCO; Bryan Jolliff — VP of Sales; Dede Aguayo — VP Strategic Sales; John Ricketts — VP Strategic Sales</t>
        </is>
      </c>
      <c r="P415" t="inlineStr">
        <is>
          <t>VP Warehouse Operations | CCO | VP of Sales</t>
        </is>
      </c>
      <c r="Y415" t="inlineStr">
        <is>
          <t>todo</t>
        </is>
      </c>
      <c r="Z415">
        <f>(M415*Weights!$B$2) + (MIN(Q415,Weights!$B$5)*Weights!$B$3*(W415/100)*Weights!$B$4)</f>
        <v/>
      </c>
      <c r="AA415">
        <f>IF(Z415= ,,RANK.EQ({pri_col_letter}{r},{pri_range},0))</f>
        <v/>
      </c>
    </row>
    <row r="416">
      <c r="A416" t="inlineStr">
        <is>
          <t>Ndustrial</t>
        </is>
      </c>
      <c r="B416" t="n">
        <v>5</v>
      </c>
      <c r="C416" t="n">
        <v>1</v>
      </c>
      <c r="D416" t="n">
        <v>1</v>
      </c>
      <c r="E416" t="n">
        <v>0</v>
      </c>
      <c r="F416" t="n">
        <v>3</v>
      </c>
      <c r="G416" t="n">
        <v>0</v>
      </c>
      <c r="H416" t="n">
        <v>6500000</v>
      </c>
      <c r="I416" t="n">
        <v>3</v>
      </c>
      <c r="J416" t="n">
        <v>0.2</v>
      </c>
      <c r="K416" t="n">
        <v>12</v>
      </c>
      <c r="L416" t="n">
        <v>0</v>
      </c>
      <c r="M416" t="n">
        <v>6</v>
      </c>
      <c r="N416" t="inlineStr">
        <is>
          <t>Tier 4</t>
        </is>
      </c>
      <c r="O416" t="inlineStr">
        <is>
          <t>Manuel Aguirre — VP of Supply Chain Electrification; Jason Massey — CEO &amp; Co-Founder; Anthony MacDonald — Chief Revenue Officer; Madeline Belvin — Sr. Director, Marketing; Cole Witten — Account Executive</t>
        </is>
      </c>
      <c r="P416" t="inlineStr">
        <is>
          <t>VP of Supply Chain Electrification | CEO &amp; Co-Founder | Chief Revenue Officer</t>
        </is>
      </c>
      <c r="Y416" t="inlineStr">
        <is>
          <t>todo</t>
        </is>
      </c>
      <c r="Z416">
        <f>(M416*Weights!$B$2) + (MIN(Q416,Weights!$B$5)*Weights!$B$3*(W416/100)*Weights!$B$4)</f>
        <v/>
      </c>
      <c r="AA416">
        <f>IF(Z416= ,,RANK.EQ({pri_col_letter}{r},{pri_range},0))</f>
        <v/>
      </c>
    </row>
    <row r="417">
      <c r="A417" t="inlineStr">
        <is>
          <t>Octup</t>
        </is>
      </c>
      <c r="B417" t="n">
        <v>5</v>
      </c>
      <c r="C417" t="n">
        <v>1</v>
      </c>
      <c r="D417" t="n">
        <v>1</v>
      </c>
      <c r="E417" t="n">
        <v>0</v>
      </c>
      <c r="F417" t="n">
        <v>3</v>
      </c>
      <c r="G417" t="n">
        <v>0</v>
      </c>
      <c r="I417" t="n">
        <v>3</v>
      </c>
      <c r="J417" t="n">
        <v>0.2</v>
      </c>
      <c r="K417" t="n">
        <v>12</v>
      </c>
      <c r="L417" t="n">
        <v>0</v>
      </c>
      <c r="M417" t="n">
        <v>6</v>
      </c>
      <c r="N417" t="inlineStr">
        <is>
          <t>Tier 4</t>
        </is>
      </c>
      <c r="O417" t="inlineStr">
        <is>
          <t>Michael Woolfson — Head of Operations; Alon Partuk — CEO &amp; Founder; Ava Barnes — Head of Marketing; Blake Read — Account Executive; Jay Mazur — Account Executive</t>
        </is>
      </c>
      <c r="P417" t="inlineStr">
        <is>
          <t>Head of Operations | CEO &amp; Founder | Head of Marketing</t>
        </is>
      </c>
      <c r="Y417" t="inlineStr">
        <is>
          <t>todo</t>
        </is>
      </c>
      <c r="Z417">
        <f>(M417*Weights!$B$2) + (MIN(Q417,Weights!$B$5)*Weights!$B$3*(W417/100)*Weights!$B$4)</f>
        <v/>
      </c>
      <c r="AA417">
        <f>IF(Z417= ,,RANK.EQ({pri_col_letter}{r},{pri_range},0))</f>
        <v/>
      </c>
    </row>
    <row r="418">
      <c r="A418" t="inlineStr">
        <is>
          <t>A. Duie Pyle</t>
        </is>
      </c>
      <c r="B418" t="n">
        <v>4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I418" t="n">
        <v>1</v>
      </c>
      <c r="J418" t="n">
        <v>0.25</v>
      </c>
      <c r="K418" t="n">
        <v>0</v>
      </c>
      <c r="L418" t="n">
        <v>0</v>
      </c>
      <c r="M418" t="n">
        <v>6</v>
      </c>
      <c r="N418" t="inlineStr">
        <is>
          <t>Tier 4</t>
        </is>
      </c>
      <c r="O418" t="inlineStr">
        <is>
          <t>Russ Miceli — Supply Chain Solutions; Chris Valante — VP, Dedicated Solutions; Shawn McGee — VP, National Accounts; Laura Tourge — VP of Marketing</t>
        </is>
      </c>
      <c r="P418" t="inlineStr">
        <is>
          <t>VP, Dedicated Solutions | VP, National Accounts | Supply Chain Solutions</t>
        </is>
      </c>
      <c r="Y418" t="inlineStr">
        <is>
          <t>todo</t>
        </is>
      </c>
      <c r="Z418">
        <f>(M418*Weights!$B$2) + (MIN(Q418,Weights!$B$5)*Weights!$B$3*(W418/100)*Weights!$B$4)</f>
        <v/>
      </c>
      <c r="AA418">
        <f>IF(Z418= ,,RANK.EQ({pri_col_letter}{r},{pri_range},0))</f>
        <v/>
      </c>
    </row>
    <row r="419">
      <c r="A419" t="inlineStr">
        <is>
          <t>Americold</t>
        </is>
      </c>
      <c r="B419" t="n">
        <v>4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6</v>
      </c>
      <c r="N419" t="inlineStr">
        <is>
          <t>Tier 4</t>
        </is>
      </c>
      <c r="O419" t="inlineStr">
        <is>
          <t>Jeffrey Rueschhoff — Sr Director Sourcing and Procurement; Chris Owens — Vice President Retail, Foodservice, Fresh; Mathew Moore — VP Global Market Strategy; Brian Dunn — SVP Facilities &amp; Engineering</t>
        </is>
      </c>
      <c r="P419" t="inlineStr">
        <is>
          <t>Vice President Retail, Foodservice, Fresh | VP Global Market Strategy | SVP Facilities &amp; Engineering</t>
        </is>
      </c>
      <c r="Y419" t="inlineStr">
        <is>
          <t>todo</t>
        </is>
      </c>
      <c r="Z419">
        <f>(M419*Weights!$B$2) + (MIN(Q419,Weights!$B$5)*Weights!$B$3*(W419/100)*Weights!$B$4)</f>
        <v/>
      </c>
      <c r="AA419">
        <f>IF(Z419= ,,RANK.EQ({pri_col_letter}{r},{pri_range},0))</f>
        <v/>
      </c>
    </row>
    <row r="420">
      <c r="A420" t="inlineStr">
        <is>
          <t>InteliTransport Agency</t>
        </is>
      </c>
      <c r="B420" t="n">
        <v>4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I420" t="n">
        <v>1</v>
      </c>
      <c r="J420" t="n">
        <v>0.25</v>
      </c>
      <c r="K420" t="n">
        <v>0</v>
      </c>
      <c r="L420" t="n">
        <v>0</v>
      </c>
      <c r="M420" t="n">
        <v>6</v>
      </c>
      <c r="N420" t="inlineStr">
        <is>
          <t>Tier 4</t>
        </is>
      </c>
      <c r="O420" t="inlineStr">
        <is>
          <t>Zachary Cho — Director of Supply Chain Cost Optimization; Francisco Barba — VP, Parcel Savings Strategies; James Manning — President; Phil Shlaen — SVP Strategic Partnerships &amp; Business Development</t>
        </is>
      </c>
      <c r="P420" t="inlineStr">
        <is>
          <t>VP, Parcel Savings Strategies | President | Director of Supply Chain Cost Optimization</t>
        </is>
      </c>
      <c r="Y420" t="inlineStr">
        <is>
          <t>todo</t>
        </is>
      </c>
      <c r="Z420">
        <f>(M420*Weights!$B$2) + (MIN(Q420,Weights!$B$5)*Weights!$B$3*(W420/100)*Weights!$B$4)</f>
        <v/>
      </c>
      <c r="AA420">
        <f>IF(Z420= ,,RANK.EQ({pri_col_letter}{r},{pri_range},0))</f>
        <v/>
      </c>
    </row>
    <row r="421">
      <c r="A421" t="inlineStr">
        <is>
          <t>APS Logistics Group Pty Ltd</t>
        </is>
      </c>
      <c r="B421" t="n">
        <v>2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I421" t="n">
        <v>0</v>
      </c>
      <c r="J421" t="n">
        <v>0.5</v>
      </c>
      <c r="K421" t="n">
        <v>0</v>
      </c>
      <c r="L421" t="n">
        <v>0</v>
      </c>
      <c r="M421" t="n">
        <v>6</v>
      </c>
      <c r="N421" t="inlineStr">
        <is>
          <t>Tier 4</t>
        </is>
      </c>
      <c r="O421" t="inlineStr">
        <is>
          <t>John Senior — National Business Operations Manager; Joe Tresckitta — CEO</t>
        </is>
      </c>
      <c r="P421" t="inlineStr">
        <is>
          <t>CEO | National Business Operations Manager</t>
        </is>
      </c>
      <c r="Y421" t="inlineStr">
        <is>
          <t>todo</t>
        </is>
      </c>
      <c r="Z421">
        <f>(M421*Weights!$B$2) + (MIN(Q421,Weights!$B$5)*Weights!$B$3*(W421/100)*Weights!$B$4)</f>
        <v/>
      </c>
      <c r="AA421">
        <f>IF(Z421= ,,RANK.EQ({pri_col_letter}{r},{pri_range},0))</f>
        <v/>
      </c>
    </row>
    <row r="422">
      <c r="A422" t="inlineStr">
        <is>
          <t>AT-PAC</t>
        </is>
      </c>
      <c r="B422" t="n">
        <v>2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I422" t="n">
        <v>0</v>
      </c>
      <c r="J422" t="n">
        <v>0.5</v>
      </c>
      <c r="K422" t="n">
        <v>0</v>
      </c>
      <c r="L422" t="n">
        <v>0</v>
      </c>
      <c r="M422" t="n">
        <v>6</v>
      </c>
      <c r="N422" t="inlineStr">
        <is>
          <t>Tier 4</t>
        </is>
      </c>
      <c r="O422" t="inlineStr">
        <is>
          <t>Alejandra Keating — Transport Logistics Manager; Katie Gerrish — Asset Manager NA</t>
        </is>
      </c>
      <c r="P422" t="inlineStr">
        <is>
          <t>Transport Logistics Manager | Asset Manager NA</t>
        </is>
      </c>
      <c r="Y422" t="inlineStr">
        <is>
          <t>todo</t>
        </is>
      </c>
      <c r="Z422">
        <f>(M422*Weights!$B$2) + (MIN(Q422,Weights!$B$5)*Weights!$B$3*(W422/100)*Weights!$B$4)</f>
        <v/>
      </c>
      <c r="AA422">
        <f>IF(Z422= ,,RANK.EQ({pri_col_letter}{r},{pri_range},0))</f>
        <v/>
      </c>
    </row>
    <row r="423">
      <c r="A423" t="inlineStr">
        <is>
          <t>Admiral Beverage</t>
        </is>
      </c>
      <c r="B423" t="n">
        <v>2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I423" t="n">
        <v>0</v>
      </c>
      <c r="J423" t="n">
        <v>0.5</v>
      </c>
      <c r="K423" t="n">
        <v>0</v>
      </c>
      <c r="L423" t="n">
        <v>0</v>
      </c>
      <c r="M423" t="n">
        <v>6</v>
      </c>
      <c r="N423" t="inlineStr">
        <is>
          <t>Tier 4</t>
        </is>
      </c>
      <c r="O423" t="inlineStr">
        <is>
          <t>Bart Richardson — Transportations Operations Specialist,; Gregory Venable — Director</t>
        </is>
      </c>
      <c r="P423" t="inlineStr">
        <is>
          <t>Transportations Operations Specialist, | Director</t>
        </is>
      </c>
      <c r="Y423" t="inlineStr">
        <is>
          <t>todo</t>
        </is>
      </c>
      <c r="Z423">
        <f>(M423*Weights!$B$2) + (MIN(Q423,Weights!$B$5)*Weights!$B$3*(W423/100)*Weights!$B$4)</f>
        <v/>
      </c>
      <c r="AA423">
        <f>IF(Z423= ,,RANK.EQ({pri_col_letter}{r},{pri_range},0))</f>
        <v/>
      </c>
    </row>
    <row r="424">
      <c r="A424" t="inlineStr">
        <is>
          <t>Allied Trucking of Florida</t>
        </is>
      </c>
      <c r="B424" t="n">
        <v>2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I424" t="n">
        <v>0</v>
      </c>
      <c r="J424" t="n">
        <v>0.5</v>
      </c>
      <c r="K424" t="n">
        <v>0</v>
      </c>
      <c r="L424" t="n">
        <v>0</v>
      </c>
      <c r="M424" t="n">
        <v>6</v>
      </c>
      <c r="N424" t="inlineStr">
        <is>
          <t>Tier 4</t>
        </is>
      </c>
      <c r="O424" t="inlineStr">
        <is>
          <t>Diego Cusco — Business Operations Manager; Claudio Jordan — Chief Financial Officer (CFO)</t>
        </is>
      </c>
      <c r="P424" t="inlineStr">
        <is>
          <t>Chief Financial Officer (CFO) | Business Operations Manager</t>
        </is>
      </c>
      <c r="Y424" t="inlineStr">
        <is>
          <t>todo</t>
        </is>
      </c>
      <c r="Z424">
        <f>(M424*Weights!$B$2) + (MIN(Q424,Weights!$B$5)*Weights!$B$3*(W424/100)*Weights!$B$4)</f>
        <v/>
      </c>
      <c r="AA424">
        <f>IF(Z424= ,,RANK.EQ({pri_col_letter}{r},{pri_range},0))</f>
        <v/>
      </c>
    </row>
    <row r="425">
      <c r="A425" t="inlineStr">
        <is>
          <t>Argon &amp; Co</t>
        </is>
      </c>
      <c r="B425" t="n">
        <v>2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I425" t="n">
        <v>0</v>
      </c>
      <c r="J425" t="n">
        <v>0.5</v>
      </c>
      <c r="K425" t="n">
        <v>0</v>
      </c>
      <c r="L425" t="n">
        <v>0</v>
      </c>
      <c r="M425" t="n">
        <v>6</v>
      </c>
      <c r="N425" t="inlineStr">
        <is>
          <t>Tier 4</t>
        </is>
      </c>
      <c r="O425" t="inlineStr">
        <is>
          <t>Kevin Zweier — Partner &amp; Transportation Practice Lead; Tim Brindley — Partner</t>
        </is>
      </c>
      <c r="P425" t="inlineStr">
        <is>
          <t>Partner &amp; Transportation Practice Lead | Partner</t>
        </is>
      </c>
      <c r="Y425" t="inlineStr">
        <is>
          <t>todo</t>
        </is>
      </c>
      <c r="Z425">
        <f>(M425*Weights!$B$2) + (MIN(Q425,Weights!$B$5)*Weights!$B$3*(W425/100)*Weights!$B$4)</f>
        <v/>
      </c>
      <c r="AA425">
        <f>IF(Z425= ,,RANK.EQ({pri_col_letter}{r},{pri_range},0))</f>
        <v/>
      </c>
    </row>
    <row r="426">
      <c r="A426" t="inlineStr">
        <is>
          <t>BG PRODUCTS</t>
        </is>
      </c>
      <c r="B426" t="n">
        <v>2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I426" t="n">
        <v>0</v>
      </c>
      <c r="J426" t="n">
        <v>0.5</v>
      </c>
      <c r="K426" t="n">
        <v>0</v>
      </c>
      <c r="L426" t="n">
        <v>0</v>
      </c>
      <c r="M426" t="n">
        <v>6</v>
      </c>
      <c r="N426" t="inlineStr">
        <is>
          <t>Tier 4</t>
        </is>
      </c>
      <c r="O426" t="inlineStr">
        <is>
          <t>John Buche — Supply Chain Manager; Jeremy Lee — Business Information and Process Control Manager</t>
        </is>
      </c>
      <c r="P426" t="inlineStr">
        <is>
          <t>Supply Chain Manager | Business Information and Process Control Manager</t>
        </is>
      </c>
      <c r="Y426" t="inlineStr">
        <is>
          <t>todo</t>
        </is>
      </c>
      <c r="Z426">
        <f>(M426*Weights!$B$2) + (MIN(Q426,Weights!$B$5)*Weights!$B$3*(W426/100)*Weights!$B$4)</f>
        <v/>
      </c>
      <c r="AA426">
        <f>IF(Z426= ,,RANK.EQ({pri_col_letter}{r},{pri_range},0))</f>
        <v/>
      </c>
    </row>
    <row r="427">
      <c r="A427" t="inlineStr">
        <is>
          <t>Best Buy Canada</t>
        </is>
      </c>
      <c r="B427" t="n">
        <v>2</v>
      </c>
      <c r="C427" t="n">
        <v>0</v>
      </c>
      <c r="D427" t="n">
        <v>1</v>
      </c>
      <c r="E427" t="n">
        <v>0</v>
      </c>
      <c r="F427" t="n">
        <v>0</v>
      </c>
      <c r="G427" t="n">
        <v>2</v>
      </c>
      <c r="I427" t="n">
        <v>2</v>
      </c>
      <c r="J427" t="n">
        <v>0.5</v>
      </c>
      <c r="K427" t="n">
        <v>0</v>
      </c>
      <c r="L427" t="n">
        <v>0</v>
      </c>
      <c r="M427" t="n">
        <v>6</v>
      </c>
      <c r="N427" t="inlineStr">
        <is>
          <t>Tier 4</t>
        </is>
      </c>
      <c r="O427" t="inlineStr">
        <is>
          <t>Luke Lan — Lean Engineer Supply Chain; Michel Eliezer — Senior Analyst Lean Engineering</t>
        </is>
      </c>
      <c r="P427" t="inlineStr">
        <is>
          <t>Lean Engineer Supply Chain | Senior Analyst Lean Engineering</t>
        </is>
      </c>
      <c r="Y427" t="inlineStr">
        <is>
          <t>todo</t>
        </is>
      </c>
      <c r="Z427">
        <f>(M427*Weights!$B$2) + (MIN(Q427,Weights!$B$5)*Weights!$B$3*(W427/100)*Weights!$B$4)</f>
        <v/>
      </c>
      <c r="AA427">
        <f>IF(Z427= ,,RANK.EQ({pri_col_letter}{r},{pri_range},0))</f>
        <v/>
      </c>
    </row>
    <row r="428">
      <c r="A428" t="inlineStr">
        <is>
          <t>Brooklinen</t>
        </is>
      </c>
      <c r="B428" t="n">
        <v>2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I428" t="n">
        <v>0</v>
      </c>
      <c r="J428" t="n">
        <v>0.5</v>
      </c>
      <c r="K428" t="n">
        <v>0</v>
      </c>
      <c r="L428" t="n">
        <v>0</v>
      </c>
      <c r="M428" t="n">
        <v>6</v>
      </c>
      <c r="N428" t="inlineStr">
        <is>
          <t>Tier 4</t>
        </is>
      </c>
      <c r="O428" t="inlineStr">
        <is>
          <t>Michael Chen — Senior Director of Ops &amp; Logistics; Rachel Levy — COO</t>
        </is>
      </c>
      <c r="P428" t="inlineStr">
        <is>
          <t>Senior Director of Ops &amp; Logistics | COO</t>
        </is>
      </c>
      <c r="Y428" t="inlineStr">
        <is>
          <t>todo</t>
        </is>
      </c>
      <c r="Z428">
        <f>(M428*Weights!$B$2) + (MIN(Q428,Weights!$B$5)*Weights!$B$3*(W428/100)*Weights!$B$4)</f>
        <v/>
      </c>
      <c r="AA428">
        <f>IF(Z428= ,,RANK.EQ({pri_col_letter}{r},{pri_range},0))</f>
        <v/>
      </c>
    </row>
    <row r="429">
      <c r="A429" t="inlineStr">
        <is>
          <t>CHS</t>
        </is>
      </c>
      <c r="B429" t="n">
        <v>2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I429" t="n">
        <v>1</v>
      </c>
      <c r="J429" t="n">
        <v>0.5</v>
      </c>
      <c r="K429" t="n">
        <v>0</v>
      </c>
      <c r="L429" t="n">
        <v>0</v>
      </c>
      <c r="M429" t="n">
        <v>6</v>
      </c>
      <c r="N429" t="inlineStr">
        <is>
          <t>Tier 4</t>
        </is>
      </c>
      <c r="O429" t="inlineStr">
        <is>
          <t>Craig Probst — Director, Logistics Product and Solution Design; Rob Uhlemann — Director of Strategy and Ventures</t>
        </is>
      </c>
      <c r="P429" t="inlineStr">
        <is>
          <t>Director, Logistics Product and Solution Design | Director of Strategy and Ventures</t>
        </is>
      </c>
      <c r="Y429" t="inlineStr">
        <is>
          <t>todo</t>
        </is>
      </c>
      <c r="Z429">
        <f>(M429*Weights!$B$2) + (MIN(Q429,Weights!$B$5)*Weights!$B$3*(W429/100)*Weights!$B$4)</f>
        <v/>
      </c>
      <c r="AA429">
        <f>IF(Z429= ,,RANK.EQ({pri_col_letter}{r},{pri_range},0))</f>
        <v/>
      </c>
    </row>
    <row r="430">
      <c r="A430" t="inlineStr">
        <is>
          <t>E&amp;S International Enterprises, Inc.</t>
        </is>
      </c>
      <c r="B430" t="n">
        <v>2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I430" t="n">
        <v>0</v>
      </c>
      <c r="J430" t="n">
        <v>0.5</v>
      </c>
      <c r="K430" t="n">
        <v>0</v>
      </c>
      <c r="L430" t="n">
        <v>0</v>
      </c>
      <c r="M430" t="n">
        <v>6</v>
      </c>
      <c r="N430" t="inlineStr">
        <is>
          <t>Tier 4</t>
        </is>
      </c>
      <c r="O430" t="inlineStr">
        <is>
          <t>Immanuel Lanuza — Logistics Operations Manager; Mike Radd — COO</t>
        </is>
      </c>
      <c r="P430" t="inlineStr">
        <is>
          <t>COO | Logistics Operations Manager</t>
        </is>
      </c>
      <c r="Y430" t="inlineStr">
        <is>
          <t>todo</t>
        </is>
      </c>
      <c r="Z430">
        <f>(M430*Weights!$B$2) + (MIN(Q430,Weights!$B$5)*Weights!$B$3*(W430/100)*Weights!$B$4)</f>
        <v/>
      </c>
      <c r="AA430">
        <f>IF(Z430= ,,RANK.EQ({pri_col_letter}{r},{pri_range},0))</f>
        <v/>
      </c>
    </row>
    <row r="431">
      <c r="A431" t="inlineStr">
        <is>
          <t>GTA GSM</t>
        </is>
      </c>
      <c r="B431" t="n">
        <v>2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I431" t="n">
        <v>0</v>
      </c>
      <c r="J431" t="n">
        <v>0.5</v>
      </c>
      <c r="K431" t="n">
        <v>0</v>
      </c>
      <c r="L431" t="n">
        <v>0</v>
      </c>
      <c r="M431" t="n">
        <v>6</v>
      </c>
      <c r="N431" t="inlineStr">
        <is>
          <t>Tier 4</t>
        </is>
      </c>
      <c r="O431" t="inlineStr">
        <is>
          <t>Ata Bilen — Senior Manager, Business Operations; Angelo D'Urso — Director</t>
        </is>
      </c>
      <c r="P431" t="inlineStr">
        <is>
          <t>Senior Manager, Business Operations | Director</t>
        </is>
      </c>
      <c r="Y431" t="inlineStr">
        <is>
          <t>todo</t>
        </is>
      </c>
      <c r="Z431">
        <f>(M431*Weights!$B$2) + (MIN(Q431,Weights!$B$5)*Weights!$B$3*(W431/100)*Weights!$B$4)</f>
        <v/>
      </c>
      <c r="AA431">
        <f>IF(Z431= ,,RANK.EQ({pri_col_letter}{r},{pri_range},0))</f>
        <v/>
      </c>
    </row>
    <row r="432">
      <c r="A432" t="inlineStr">
        <is>
          <t>GroupeVusion Ltée</t>
        </is>
      </c>
      <c r="B432" t="n">
        <v>2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I432" t="n">
        <v>0</v>
      </c>
      <c r="J432" t="n">
        <v>0.5</v>
      </c>
      <c r="K432" t="n">
        <v>0</v>
      </c>
      <c r="L432" t="n">
        <v>0</v>
      </c>
      <c r="M432" t="n">
        <v>6</v>
      </c>
      <c r="N432" t="inlineStr">
        <is>
          <t>Tier 4</t>
        </is>
      </c>
      <c r="O432" t="inlineStr">
        <is>
          <t>Graham Magyar — Logistics Manager; Andrew Bell — Import Specialist</t>
        </is>
      </c>
      <c r="P432" t="inlineStr">
        <is>
          <t>Logistics Manager | Import Specialist</t>
        </is>
      </c>
      <c r="Y432" t="inlineStr">
        <is>
          <t>todo</t>
        </is>
      </c>
      <c r="Z432">
        <f>(M432*Weights!$B$2) + (MIN(Q432,Weights!$B$5)*Weights!$B$3*(W432/100)*Weights!$B$4)</f>
        <v/>
      </c>
      <c r="AA432">
        <f>IF(Z432= ,,RANK.EQ({pri_col_letter}{r},{pri_range},0))</f>
        <v/>
      </c>
    </row>
    <row r="433">
      <c r="A433" t="inlineStr">
        <is>
          <t>Harris</t>
        </is>
      </c>
      <c r="B433" t="n">
        <v>2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I433" t="n">
        <v>0</v>
      </c>
      <c r="J433" t="n">
        <v>0.5</v>
      </c>
      <c r="K433" t="n">
        <v>0</v>
      </c>
      <c r="L433" t="n">
        <v>0</v>
      </c>
      <c r="M433" t="n">
        <v>6</v>
      </c>
      <c r="N433" t="inlineStr">
        <is>
          <t>Tier 4</t>
        </is>
      </c>
      <c r="O433" t="inlineStr">
        <is>
          <t>Jean-Pascal Gagnon — Portfolio Leader, Supply Chain &amp; Transportation; Anthony James — Director, Corporate Development</t>
        </is>
      </c>
      <c r="P433" t="inlineStr">
        <is>
          <t>Portfolio Leader, Supply Chain &amp; Transportation | Director, Corporate Development</t>
        </is>
      </c>
      <c r="Y433" t="inlineStr">
        <is>
          <t>todo</t>
        </is>
      </c>
      <c r="Z433">
        <f>(M433*Weights!$B$2) + (MIN(Q433,Weights!$B$5)*Weights!$B$3*(W433/100)*Weights!$B$4)</f>
        <v/>
      </c>
      <c r="AA433">
        <f>IF(Z433= ,,RANK.EQ({pri_col_letter}{r},{pri_range},0))</f>
        <v/>
      </c>
    </row>
    <row r="434">
      <c r="A434" t="inlineStr">
        <is>
          <t>Honeywell</t>
        </is>
      </c>
      <c r="B434" t="n">
        <v>2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I434" t="n">
        <v>0</v>
      </c>
      <c r="J434" t="n">
        <v>0.5</v>
      </c>
      <c r="K434" t="n">
        <v>0</v>
      </c>
      <c r="L434" t="n">
        <v>0</v>
      </c>
      <c r="M434" t="n">
        <v>6</v>
      </c>
      <c r="N434" t="inlineStr">
        <is>
          <t>Tier 4</t>
        </is>
      </c>
      <c r="O434" t="inlineStr">
        <is>
          <t>Arvind Srivathsan — Director of Logistics; Mike Polich — Vice President &amp; CPO</t>
        </is>
      </c>
      <c r="P434" t="inlineStr">
        <is>
          <t>Vice President &amp; CPO | Director of Logistics</t>
        </is>
      </c>
      <c r="Y434" t="inlineStr">
        <is>
          <t>todo</t>
        </is>
      </c>
      <c r="Z434">
        <f>(M434*Weights!$B$2) + (MIN(Q434,Weights!$B$5)*Weights!$B$3*(W434/100)*Weights!$B$4)</f>
        <v/>
      </c>
      <c r="AA434">
        <f>IF(Z434= ,,RANK.EQ({pri_col_letter}{r},{pri_range},0))</f>
        <v/>
      </c>
    </row>
    <row r="435">
      <c r="A435" t="inlineStr">
        <is>
          <t>Louisiana-Pacific</t>
        </is>
      </c>
      <c r="B435" t="n">
        <v>2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I435" t="n">
        <v>0</v>
      </c>
      <c r="J435" t="n">
        <v>0.5</v>
      </c>
      <c r="K435" t="n">
        <v>0</v>
      </c>
      <c r="L435" t="n">
        <v>0</v>
      </c>
      <c r="M435" t="n">
        <v>6</v>
      </c>
      <c r="N435" t="inlineStr">
        <is>
          <t>Tier 4</t>
        </is>
      </c>
      <c r="O435" t="inlineStr">
        <is>
          <t>Kailey Whitehead — Logistics Manager; Jeremy Cox — Sr. Manager, Truckload &amp; International</t>
        </is>
      </c>
      <c r="P435" t="inlineStr">
        <is>
          <t>Logistics Manager | Sr. Manager, Truckload &amp; International</t>
        </is>
      </c>
      <c r="Y435" t="inlineStr">
        <is>
          <t>todo</t>
        </is>
      </c>
      <c r="Z435">
        <f>(M435*Weights!$B$2) + (MIN(Q435,Weights!$B$5)*Weights!$B$3*(W435/100)*Weights!$B$4)</f>
        <v/>
      </c>
      <c r="AA435">
        <f>IF(Z435= ,,RANK.EQ({pri_col_letter}{r},{pri_range},0))</f>
        <v/>
      </c>
    </row>
    <row r="436">
      <c r="A436" t="inlineStr">
        <is>
          <t>McLane Foodservice</t>
        </is>
      </c>
      <c r="B436" t="n">
        <v>2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I436" t="n">
        <v>0</v>
      </c>
      <c r="J436" t="n">
        <v>0.5</v>
      </c>
      <c r="K436" t="n">
        <v>0</v>
      </c>
      <c r="L436" t="n">
        <v>0</v>
      </c>
      <c r="M436" t="n">
        <v>6</v>
      </c>
      <c r="N436" t="inlineStr">
        <is>
          <t>Tier 4</t>
        </is>
      </c>
      <c r="O436" t="inlineStr">
        <is>
          <t>Charles Bostick — Senior Director of Logistics; Ross Grier — President</t>
        </is>
      </c>
      <c r="P436" t="inlineStr">
        <is>
          <t>Senior Director of Logistics | President</t>
        </is>
      </c>
      <c r="Y436" t="inlineStr">
        <is>
          <t>todo</t>
        </is>
      </c>
      <c r="Z436">
        <f>(M436*Weights!$B$2) + (MIN(Q436,Weights!$B$5)*Weights!$B$3*(W436/100)*Weights!$B$4)</f>
        <v/>
      </c>
      <c r="AA436">
        <f>IF(Z436= ,,RANK.EQ({pri_col_letter}{r},{pri_range},0))</f>
        <v/>
      </c>
    </row>
    <row r="437">
      <c r="A437" t="inlineStr">
        <is>
          <t>Mugsy</t>
        </is>
      </c>
      <c r="B437" t="n">
        <v>2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I437" t="n">
        <v>0</v>
      </c>
      <c r="J437" t="n">
        <v>0.5</v>
      </c>
      <c r="K437" t="n">
        <v>0</v>
      </c>
      <c r="L437" t="n">
        <v>0</v>
      </c>
      <c r="M437" t="n">
        <v>6</v>
      </c>
      <c r="N437" t="inlineStr">
        <is>
          <t>Tier 4</t>
        </is>
      </c>
      <c r="O437" t="inlineStr">
        <is>
          <t>Mike McGee — Director Stores &amp; Operations; Scott Dulany — Chief Operating Officer</t>
        </is>
      </c>
      <c r="P437" t="inlineStr">
        <is>
          <t>Chief Operating Officer | Director Stores &amp; Operations</t>
        </is>
      </c>
      <c r="Y437" t="inlineStr">
        <is>
          <t>todo</t>
        </is>
      </c>
      <c r="Z437">
        <f>(M437*Weights!$B$2) + (MIN(Q437,Weights!$B$5)*Weights!$B$3*(W437/100)*Weights!$B$4)</f>
        <v/>
      </c>
      <c r="AA437">
        <f>IF(Z437= ,,RANK.EQ({pri_col_letter}{r},{pri_range},0))</f>
        <v/>
      </c>
    </row>
    <row r="438">
      <c r="A438" t="inlineStr">
        <is>
          <t>NFI Distribution</t>
        </is>
      </c>
      <c r="B438" t="n">
        <v>2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I438" t="n">
        <v>1</v>
      </c>
      <c r="J438" t="n">
        <v>0.5</v>
      </c>
      <c r="K438" t="n">
        <v>0</v>
      </c>
      <c r="L438" t="n">
        <v>0</v>
      </c>
      <c r="M438" t="n">
        <v>6</v>
      </c>
      <c r="N438" t="inlineStr">
        <is>
          <t>Tier 4</t>
        </is>
      </c>
      <c r="O438" t="inlineStr">
        <is>
          <t>Eugene Parini — Senior Supply Chain Engineer; Kevin Patterson — President</t>
        </is>
      </c>
      <c r="P438" t="inlineStr">
        <is>
          <t>President | Senior Supply Chain Engineer</t>
        </is>
      </c>
      <c r="Y438" t="inlineStr">
        <is>
          <t>todo</t>
        </is>
      </c>
      <c r="Z438">
        <f>(M438*Weights!$B$2) + (MIN(Q438,Weights!$B$5)*Weights!$B$3*(W438/100)*Weights!$B$4)</f>
        <v/>
      </c>
      <c r="AA438">
        <f>IF(Z438= ,,RANK.EQ({pri_col_letter}{r},{pri_range},0))</f>
        <v/>
      </c>
    </row>
    <row r="439">
      <c r="A439" t="inlineStr">
        <is>
          <t>Pella Corp</t>
        </is>
      </c>
      <c r="B439" t="n">
        <v>2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I439" t="n">
        <v>0</v>
      </c>
      <c r="J439" t="n">
        <v>0.5</v>
      </c>
      <c r="K439" t="n">
        <v>0</v>
      </c>
      <c r="L439" t="n">
        <v>0</v>
      </c>
      <c r="M439" t="n">
        <v>6</v>
      </c>
      <c r="N439" t="inlineStr">
        <is>
          <t>Tier 4</t>
        </is>
      </c>
      <c r="O439" t="inlineStr">
        <is>
          <t>Mark Schwarz — Sr. Director, Transportation; Shawna Savage-Evans — Sr. Manager, Final Mile</t>
        </is>
      </c>
      <c r="P439" t="inlineStr">
        <is>
          <t>Sr. Director, Transportation | Sr. Manager, Final Mile</t>
        </is>
      </c>
      <c r="Y439" t="inlineStr">
        <is>
          <t>todo</t>
        </is>
      </c>
      <c r="Z439">
        <f>(M439*Weights!$B$2) + (MIN(Q439,Weights!$B$5)*Weights!$B$3*(W439/100)*Weights!$B$4)</f>
        <v/>
      </c>
      <c r="AA439">
        <f>IF(Z439= ,,RANK.EQ({pri_col_letter}{r},{pri_range},0))</f>
        <v/>
      </c>
    </row>
    <row r="440">
      <c r="A440" t="inlineStr">
        <is>
          <t>Promix Nutrition</t>
        </is>
      </c>
      <c r="B440" t="n">
        <v>2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I440" t="n">
        <v>0</v>
      </c>
      <c r="J440" t="n">
        <v>0.5</v>
      </c>
      <c r="K440" t="n">
        <v>0</v>
      </c>
      <c r="L440" t="n">
        <v>0</v>
      </c>
      <c r="M440" t="n">
        <v>6</v>
      </c>
      <c r="N440" t="inlineStr">
        <is>
          <t>Tier 4</t>
        </is>
      </c>
      <c r="O440" t="inlineStr">
        <is>
          <t>Chris Tesar — Operations Manager; Ryan Lockwood — CEO</t>
        </is>
      </c>
      <c r="P440" t="inlineStr">
        <is>
          <t>CEO | Operations Manager</t>
        </is>
      </c>
      <c r="Y440" t="inlineStr">
        <is>
          <t>todo</t>
        </is>
      </c>
      <c r="Z440">
        <f>(M440*Weights!$B$2) + (MIN(Q440,Weights!$B$5)*Weights!$B$3*(W440/100)*Weights!$B$4)</f>
        <v/>
      </c>
      <c r="AA440">
        <f>IF(Z440= ,,RANK.EQ({pri_col_letter}{r},{pri_range},0))</f>
        <v/>
      </c>
    </row>
    <row r="441">
      <c r="A441" t="inlineStr">
        <is>
          <t>RXO</t>
        </is>
      </c>
      <c r="B441" t="n">
        <v>2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I441" t="n">
        <v>1</v>
      </c>
      <c r="J441" t="n">
        <v>0.5</v>
      </c>
      <c r="K441" t="n">
        <v>0</v>
      </c>
      <c r="L441" t="n">
        <v>0</v>
      </c>
      <c r="M441" t="n">
        <v>6</v>
      </c>
      <c r="N441" t="inlineStr">
        <is>
          <t>Tier 4</t>
        </is>
      </c>
      <c r="O441" t="inlineStr">
        <is>
          <t>Kevin Valladares — Director Solutions Engineering, Managed Transportation; Fernando Rabel — VP strategic accounts</t>
        </is>
      </c>
      <c r="P441" t="inlineStr">
        <is>
          <t>VP strategic accounts | Director Solutions Engineering, Managed Transportation</t>
        </is>
      </c>
      <c r="Y441" t="inlineStr">
        <is>
          <t>todo</t>
        </is>
      </c>
      <c r="Z441">
        <f>(M441*Weights!$B$2) + (MIN(Q441,Weights!$B$5)*Weights!$B$3*(W441/100)*Weights!$B$4)</f>
        <v/>
      </c>
      <c r="AA441">
        <f>IF(Z441= ,,RANK.EQ({pri_col_letter}{r},{pri_range},0))</f>
        <v/>
      </c>
    </row>
    <row r="442">
      <c r="A442" t="inlineStr">
        <is>
          <t>Rosemont Industries T</t>
        </is>
      </c>
      <c r="B442" t="n">
        <v>2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I442" t="n">
        <v>0</v>
      </c>
      <c r="J442" t="n">
        <v>0.5</v>
      </c>
      <c r="K442" t="n">
        <v>0</v>
      </c>
      <c r="L442" t="n">
        <v>0</v>
      </c>
      <c r="M442" t="n">
        <v>6</v>
      </c>
      <c r="N442" t="inlineStr">
        <is>
          <t>Tier 4</t>
        </is>
      </c>
      <c r="O442" t="inlineStr">
        <is>
          <t>Elisa Trujillo — Operations; Anthony Dugarte — Dev</t>
        </is>
      </c>
      <c r="P442" t="inlineStr">
        <is>
          <t>Operations | Dev</t>
        </is>
      </c>
      <c r="Y442" t="inlineStr">
        <is>
          <t>todo</t>
        </is>
      </c>
      <c r="Z442">
        <f>(M442*Weights!$B$2) + (MIN(Q442,Weights!$B$5)*Weights!$B$3*(W442/100)*Weights!$B$4)</f>
        <v/>
      </c>
      <c r="AA442">
        <f>IF(Z442= ,,RANK.EQ({pri_col_letter}{r},{pri_range},0))</f>
        <v/>
      </c>
    </row>
    <row r="443">
      <c r="A443" t="inlineStr">
        <is>
          <t>SEAIR Global Inc.</t>
        </is>
      </c>
      <c r="B443" t="n">
        <v>2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I443" t="n">
        <v>0</v>
      </c>
      <c r="J443" t="n">
        <v>0.5</v>
      </c>
      <c r="K443" t="n">
        <v>0</v>
      </c>
      <c r="L443" t="n">
        <v>0</v>
      </c>
      <c r="M443" t="n">
        <v>6</v>
      </c>
      <c r="N443" t="inlineStr">
        <is>
          <t>Tier 4</t>
        </is>
      </c>
      <c r="O443" t="inlineStr">
        <is>
          <t>Timothy Paramata — Operations Executive; Manik Sachdeva — President &amp; Co-Founder</t>
        </is>
      </c>
      <c r="P443" t="inlineStr">
        <is>
          <t>President &amp; Co-Founder | Operations Executive</t>
        </is>
      </c>
      <c r="Y443" t="inlineStr">
        <is>
          <t>todo</t>
        </is>
      </c>
      <c r="Z443">
        <f>(M443*Weights!$B$2) + (MIN(Q443,Weights!$B$5)*Weights!$B$3*(W443/100)*Weights!$B$4)</f>
        <v/>
      </c>
      <c r="AA443">
        <f>IF(Z443= ,,RANK.EQ({pri_col_letter}{r},{pri_range},0))</f>
        <v/>
      </c>
    </row>
    <row r="444">
      <c r="A444" t="inlineStr">
        <is>
          <t>Shiplab</t>
        </is>
      </c>
      <c r="B444" t="n">
        <v>2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I444" t="n">
        <v>0</v>
      </c>
      <c r="J444" t="n">
        <v>0.5</v>
      </c>
      <c r="K444" t="n">
        <v>0</v>
      </c>
      <c r="L444" t="n">
        <v>0</v>
      </c>
      <c r="M444" t="n">
        <v>6</v>
      </c>
      <c r="N444" t="inlineStr">
        <is>
          <t>Tier 4</t>
        </is>
      </c>
      <c r="O444" t="inlineStr">
        <is>
          <t>Jake Jacob — Operations; Ryan Butcher — President</t>
        </is>
      </c>
      <c r="P444" t="inlineStr">
        <is>
          <t>Operations | President</t>
        </is>
      </c>
      <c r="Y444" t="inlineStr">
        <is>
          <t>todo</t>
        </is>
      </c>
      <c r="Z444">
        <f>(M444*Weights!$B$2) + (MIN(Q444,Weights!$B$5)*Weights!$B$3*(W444/100)*Weights!$B$4)</f>
        <v/>
      </c>
      <c r="AA444">
        <f>IF(Z444= ,,RANK.EQ({pri_col_letter}{r},{pri_range},0))</f>
        <v/>
      </c>
    </row>
    <row r="445">
      <c r="A445" t="inlineStr">
        <is>
          <t>Sonoco</t>
        </is>
      </c>
      <c r="B445" t="n">
        <v>2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I445" t="n">
        <v>0</v>
      </c>
      <c r="J445" t="n">
        <v>0.5</v>
      </c>
      <c r="K445" t="n">
        <v>0</v>
      </c>
      <c r="L445" t="n">
        <v>0</v>
      </c>
      <c r="M445" t="n">
        <v>6</v>
      </c>
      <c r="N445" t="inlineStr">
        <is>
          <t>Tier 4</t>
        </is>
      </c>
      <c r="O445" t="inlineStr">
        <is>
          <t>Larry Middleton — Director of Logistics; Susai Smart — Category Specialist-Dedicated</t>
        </is>
      </c>
      <c r="P445" t="inlineStr">
        <is>
          <t>Director of Logistics | Category Specialist-Dedicated</t>
        </is>
      </c>
      <c r="Y445" t="inlineStr">
        <is>
          <t>todo</t>
        </is>
      </c>
      <c r="Z445">
        <f>(M445*Weights!$B$2) + (MIN(Q445,Weights!$B$5)*Weights!$B$3*(W445/100)*Weights!$B$4)</f>
        <v/>
      </c>
      <c r="AA445">
        <f>IF(Z445= ,,RANK.EQ({pri_col_letter}{r},{pri_range},0))</f>
        <v/>
      </c>
    </row>
    <row r="446">
      <c r="A446" t="inlineStr">
        <is>
          <t>Starface World</t>
        </is>
      </c>
      <c r="B446" t="n">
        <v>2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I446" t="n">
        <v>0</v>
      </c>
      <c r="J446" t="n">
        <v>0.5</v>
      </c>
      <c r="K446" t="n">
        <v>0</v>
      </c>
      <c r="L446" t="n">
        <v>0</v>
      </c>
      <c r="M446" t="n">
        <v>6</v>
      </c>
      <c r="N446" t="inlineStr">
        <is>
          <t>Tier 4</t>
        </is>
      </c>
      <c r="O446" t="inlineStr">
        <is>
          <t>Kristi Thng — Senior Manager, Logistics and Operations; Fernando Gallego — Sr Manager, Demand Planning</t>
        </is>
      </c>
      <c r="P446" t="inlineStr">
        <is>
          <t>Senior Manager, Logistics and Operations | Sr Manager, Demand Planning</t>
        </is>
      </c>
      <c r="Y446" t="inlineStr">
        <is>
          <t>todo</t>
        </is>
      </c>
      <c r="Z446">
        <f>(M446*Weights!$B$2) + (MIN(Q446,Weights!$B$5)*Weights!$B$3*(W446/100)*Weights!$B$4)</f>
        <v/>
      </c>
      <c r="AA446">
        <f>IF(Z446= ,,RANK.EQ({pri_col_letter}{r},{pri_range},0))</f>
        <v/>
      </c>
    </row>
    <row r="447">
      <c r="A447" t="inlineStr">
        <is>
          <t>T. C. Jacoby &amp; Co Inc</t>
        </is>
      </c>
      <c r="B447" t="n">
        <v>2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I447" t="n">
        <v>0</v>
      </c>
      <c r="J447" t="n">
        <v>0.5</v>
      </c>
      <c r="K447" t="n">
        <v>0</v>
      </c>
      <c r="L447" t="n">
        <v>0</v>
      </c>
      <c r="M447" t="n">
        <v>6</v>
      </c>
      <c r="N447" t="inlineStr">
        <is>
          <t>Tier 4</t>
        </is>
      </c>
      <c r="O447" t="inlineStr">
        <is>
          <t>Tyler Jokerst — Director of Trade Operations; Ryan Clark — Process Manager</t>
        </is>
      </c>
      <c r="P447" t="inlineStr">
        <is>
          <t>Director of Trade Operations | Process Manager</t>
        </is>
      </c>
      <c r="Y447" t="inlineStr">
        <is>
          <t>todo</t>
        </is>
      </c>
      <c r="Z447">
        <f>(M447*Weights!$B$2) + (MIN(Q447,Weights!$B$5)*Weights!$B$3*(W447/100)*Weights!$B$4)</f>
        <v/>
      </c>
      <c r="AA447">
        <f>IF(Z447= ,,RANK.EQ({pri_col_letter}{r},{pri_range},0))</f>
        <v/>
      </c>
    </row>
    <row r="448">
      <c r="A448" t="inlineStr">
        <is>
          <t>The Valkin Group</t>
        </is>
      </c>
      <c r="B448" t="n">
        <v>2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I448" t="n">
        <v>0</v>
      </c>
      <c r="J448" t="n">
        <v>0.5</v>
      </c>
      <c r="K448" t="n">
        <v>0</v>
      </c>
      <c r="L448" t="n">
        <v>0</v>
      </c>
      <c r="M448" t="n">
        <v>6</v>
      </c>
      <c r="N448" t="inlineStr">
        <is>
          <t>Tier 4</t>
        </is>
      </c>
      <c r="O448" t="inlineStr">
        <is>
          <t>Anthony Garcia — Operations Director; Vishal Kewalramani — Chairman &amp; CEO</t>
        </is>
      </c>
      <c r="P448" t="inlineStr">
        <is>
          <t>Operations Director | Chairman &amp; CEO</t>
        </is>
      </c>
      <c r="Y448" t="inlineStr">
        <is>
          <t>todo</t>
        </is>
      </c>
      <c r="Z448">
        <f>(M448*Weights!$B$2) + (MIN(Q448,Weights!$B$5)*Weights!$B$3*(W448/100)*Weights!$B$4)</f>
        <v/>
      </c>
      <c r="AA448">
        <f>IF(Z448= ,,RANK.EQ({pri_col_letter}{r},{pri_range},0))</f>
        <v/>
      </c>
    </row>
    <row r="449">
      <c r="A449" t="inlineStr">
        <is>
          <t>Thistle</t>
        </is>
      </c>
      <c r="B449" t="n">
        <v>2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I449" t="n">
        <v>0</v>
      </c>
      <c r="J449" t="n">
        <v>0.5</v>
      </c>
      <c r="K449" t="n">
        <v>0</v>
      </c>
      <c r="L449" t="n">
        <v>0</v>
      </c>
      <c r="M449" t="n">
        <v>6</v>
      </c>
      <c r="N449" t="inlineStr">
        <is>
          <t>Tier 4</t>
        </is>
      </c>
      <c r="O449" t="inlineStr">
        <is>
          <t>Richard Vallery — Director of Logistics; Brian Stout — CSCO</t>
        </is>
      </c>
      <c r="P449" t="inlineStr">
        <is>
          <t>Director of Logistics | CSCO</t>
        </is>
      </c>
      <c r="Y449" t="inlineStr">
        <is>
          <t>todo</t>
        </is>
      </c>
      <c r="Z449">
        <f>(M449*Weights!$B$2) + (MIN(Q449,Weights!$B$5)*Weights!$B$3*(W449/100)*Weights!$B$4)</f>
        <v/>
      </c>
      <c r="AA449">
        <f>IF(Z449= ,,RANK.EQ({pri_col_letter}{r},{pri_range},0))</f>
        <v/>
      </c>
    </row>
    <row r="450">
      <c r="A450" t="inlineStr">
        <is>
          <t>Tropical Shipping</t>
        </is>
      </c>
      <c r="B450" t="n">
        <v>2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I450" t="n">
        <v>0</v>
      </c>
      <c r="J450" t="n">
        <v>0.5</v>
      </c>
      <c r="K450" t="n">
        <v>0</v>
      </c>
      <c r="L450" t="n">
        <v>0</v>
      </c>
      <c r="M450" t="n">
        <v>6</v>
      </c>
      <c r="N450" t="inlineStr">
        <is>
          <t>Tier 4</t>
        </is>
      </c>
      <c r="O450" t="inlineStr">
        <is>
          <t>William Carter — AVP Operations; Eric Perry — Director of Application Development</t>
        </is>
      </c>
      <c r="P450" t="inlineStr">
        <is>
          <t>AVP Operations | Director of Application Development</t>
        </is>
      </c>
      <c r="Y450" t="inlineStr">
        <is>
          <t>todo</t>
        </is>
      </c>
      <c r="Z450">
        <f>(M450*Weights!$B$2) + (MIN(Q450,Weights!$B$5)*Weights!$B$3*(W450/100)*Weights!$B$4)</f>
        <v/>
      </c>
      <c r="AA450">
        <f>IF(Z450= ,,RANK.EQ({pri_col_letter}{r},{pri_range},0))</f>
        <v/>
      </c>
    </row>
    <row r="451">
      <c r="A451" t="inlineStr">
        <is>
          <t>Veridian Health Care</t>
        </is>
      </c>
      <c r="B451" t="n">
        <v>2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I451" t="n">
        <v>0</v>
      </c>
      <c r="J451" t="n">
        <v>0.5</v>
      </c>
      <c r="K451" t="n">
        <v>0</v>
      </c>
      <c r="L451" t="n">
        <v>0</v>
      </c>
      <c r="M451" t="n">
        <v>6</v>
      </c>
      <c r="N451" t="inlineStr">
        <is>
          <t>Tier 4</t>
        </is>
      </c>
      <c r="O451" t="inlineStr">
        <is>
          <t>Bill Weissenberg — Senior Manager of Supply Chain; Thomas Zeindler — CIO</t>
        </is>
      </c>
      <c r="P451" t="inlineStr">
        <is>
          <t>CIO | Senior Manager of Supply Chain</t>
        </is>
      </c>
      <c r="Y451" t="inlineStr">
        <is>
          <t>todo</t>
        </is>
      </c>
      <c r="Z451">
        <f>(M451*Weights!$B$2) + (MIN(Q451,Weights!$B$5)*Weights!$B$3*(W451/100)*Weights!$B$4)</f>
        <v/>
      </c>
      <c r="AA451">
        <f>IF(Z451= ,,RANK.EQ({pri_col_letter}{r},{pri_range},0))</f>
        <v/>
      </c>
    </row>
    <row r="452">
      <c r="A452" t="inlineStr">
        <is>
          <t>Virginia Economic Development Partnership</t>
        </is>
      </c>
      <c r="B452" t="n">
        <v>2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I452" t="n">
        <v>0</v>
      </c>
      <c r="J452" t="n">
        <v>0.5</v>
      </c>
      <c r="K452" t="n">
        <v>0</v>
      </c>
      <c r="L452" t="n">
        <v>0</v>
      </c>
      <c r="M452" t="n">
        <v>6</v>
      </c>
      <c r="N452" t="inlineStr">
        <is>
          <t>Tier 4</t>
        </is>
      </c>
      <c r="O452" t="inlineStr">
        <is>
          <t>Femi Popoola — Director, Transportation &amp; Logistics; Megan Revercomb — Business Manager</t>
        </is>
      </c>
      <c r="P452" t="inlineStr">
        <is>
          <t>Director, Transportation &amp; Logistics | Business Manager</t>
        </is>
      </c>
      <c r="Y452" t="inlineStr">
        <is>
          <t>todo</t>
        </is>
      </c>
      <c r="Z452">
        <f>(M452*Weights!$B$2) + (MIN(Q452,Weights!$B$5)*Weights!$B$3*(W452/100)*Weights!$B$4)</f>
        <v/>
      </c>
      <c r="AA452">
        <f>IF(Z452= ,,RANK.EQ({pri_col_letter}{r},{pri_range},0))</f>
        <v/>
      </c>
    </row>
    <row r="453">
      <c r="A453" t="inlineStr">
        <is>
          <t>iFit</t>
        </is>
      </c>
      <c r="B453" t="n">
        <v>2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I453" t="n">
        <v>0</v>
      </c>
      <c r="J453" t="n">
        <v>0.5</v>
      </c>
      <c r="K453" t="n">
        <v>0</v>
      </c>
      <c r="L453" t="n">
        <v>0</v>
      </c>
      <c r="M453" t="n">
        <v>6</v>
      </c>
      <c r="N453" t="inlineStr">
        <is>
          <t>Tier 4</t>
        </is>
      </c>
      <c r="O453" t="inlineStr">
        <is>
          <t>Jeff Simper — Director of Brokerage &amp; Inbound Freight; John Fuller — Director of Warehousing</t>
        </is>
      </c>
      <c r="P453" t="inlineStr">
        <is>
          <t>Director of Brokerage &amp; Inbound Freight | Director of Warehousing</t>
        </is>
      </c>
      <c r="Y453" t="inlineStr">
        <is>
          <t>todo</t>
        </is>
      </c>
      <c r="Z453">
        <f>(M453*Weights!$B$2) + (MIN(Q453,Weights!$B$5)*Weights!$B$3*(W453/100)*Weights!$B$4)</f>
        <v/>
      </c>
      <c r="AA453">
        <f>IF(Z453= ,,RANK.EQ({pri_col_letter}{r},{pri_range},0))</f>
        <v/>
      </c>
    </row>
    <row r="454">
      <c r="A454" t="inlineStr">
        <is>
          <t>Shipium</t>
        </is>
      </c>
      <c r="B454" t="n">
        <v>8</v>
      </c>
      <c r="C454" t="n">
        <v>1</v>
      </c>
      <c r="D454" t="n">
        <v>1</v>
      </c>
      <c r="E454" t="n">
        <v>0</v>
      </c>
      <c r="F454" t="n">
        <v>5</v>
      </c>
      <c r="G454" t="n">
        <v>0</v>
      </c>
      <c r="I454" t="n">
        <v>5</v>
      </c>
      <c r="J454" t="n">
        <v>0.125</v>
      </c>
      <c r="K454" t="n">
        <v>12</v>
      </c>
      <c r="L454" t="n">
        <v>0</v>
      </c>
      <c r="M454" t="n">
        <v>5</v>
      </c>
      <c r="N454" t="inlineStr">
        <is>
          <t>Tier 4</t>
        </is>
      </c>
      <c r="O454" t="inlineStr">
        <is>
          <t>Tim Meester — VP, Network Performance &amp; Intelligence; Jason Murray — CEO; Mike Quinn — VP, Partnerships; Jeff Hines — VP, Sales; Matt Shearon — VP, Sales</t>
        </is>
      </c>
      <c r="P454" t="inlineStr">
        <is>
          <t>VP, Network Performance &amp; Intelligence | CEO | VP, Partnerships</t>
        </is>
      </c>
      <c r="Y454" t="inlineStr">
        <is>
          <t>todo</t>
        </is>
      </c>
      <c r="Z454">
        <f>(M454*Weights!$B$2) + (MIN(Q454,Weights!$B$5)*Weights!$B$3*(W454/100)*Weights!$B$4)</f>
        <v/>
      </c>
      <c r="AA454">
        <f>IF(Z454= ,,RANK.EQ({pri_col_letter}{r},{pri_range},0))</f>
        <v/>
      </c>
    </row>
    <row r="455">
      <c r="A455" t="inlineStr">
        <is>
          <t>International Bridge</t>
        </is>
      </c>
      <c r="B455" t="n">
        <v>6</v>
      </c>
      <c r="C455" t="n">
        <v>1</v>
      </c>
      <c r="D455" t="n">
        <v>1</v>
      </c>
      <c r="E455" t="n">
        <v>0</v>
      </c>
      <c r="F455" t="n">
        <v>4</v>
      </c>
      <c r="G455" t="n">
        <v>0</v>
      </c>
      <c r="I455" t="n">
        <v>4</v>
      </c>
      <c r="J455" t="n">
        <v>0.1666666666666667</v>
      </c>
      <c r="K455" t="n">
        <v>12</v>
      </c>
      <c r="L455" t="n">
        <v>0</v>
      </c>
      <c r="M455" t="n">
        <v>5</v>
      </c>
      <c r="N455" t="inlineStr">
        <is>
          <t>Tier 4</t>
        </is>
      </c>
      <c r="O455" t="inlineStr">
        <is>
          <t>Christopher Cartelli — Chief Operations Officer; Jim McNally — President; Chas Gorham — Vice President, Sales; Doug Engle — VP New Business Development; Maria Choy — Director of Sales</t>
        </is>
      </c>
      <c r="P455" t="inlineStr">
        <is>
          <t>Chief Operations Officer | President | Vice President, Sales</t>
        </is>
      </c>
      <c r="Y455" t="inlineStr">
        <is>
          <t>todo</t>
        </is>
      </c>
      <c r="Z455">
        <f>(M455*Weights!$B$2) + (MIN(Q455,Weights!$B$5)*Weights!$B$3*(W455/100)*Weights!$B$4)</f>
        <v/>
      </c>
      <c r="AA455">
        <f>IF(Z455= ,,RANK.EQ({pri_col_letter}{r},{pri_range},0))</f>
        <v/>
      </c>
    </row>
    <row r="456">
      <c r="A456" t="inlineStr">
        <is>
          <t>DHL eCommerce</t>
        </is>
      </c>
      <c r="B456" t="n">
        <v>5</v>
      </c>
      <c r="C456" t="n">
        <v>0</v>
      </c>
      <c r="D456" t="n">
        <v>1</v>
      </c>
      <c r="E456" t="n">
        <v>0</v>
      </c>
      <c r="F456" t="n">
        <v>2</v>
      </c>
      <c r="G456" t="n">
        <v>0</v>
      </c>
      <c r="I456" t="n">
        <v>2</v>
      </c>
      <c r="J456" t="n">
        <v>0.2</v>
      </c>
      <c r="K456" t="n">
        <v>0</v>
      </c>
      <c r="L456" t="n">
        <v>0</v>
      </c>
      <c r="M456" t="n">
        <v>5</v>
      </c>
      <c r="N456" t="inlineStr">
        <is>
          <t>Tier 4</t>
        </is>
      </c>
      <c r="O456" t="inlineStr">
        <is>
          <t>Dmitry Antonov — Chief Commercial Officer, DHL eCommerce Americas; Scott Ashbaugh — Chief Executive Officer, DHL eCommerce Americas; Trevor Tomlinson — Global Sales Director - Inbound; Leslie Hefter — Senior Director, Global Channel Development; Andrew Spicer — Regional Sales Manager</t>
        </is>
      </c>
      <c r="P456" t="inlineStr">
        <is>
          <t>Chief Commercial Officer, DHL eCommerce Americas | Chief Executive Officer, DHL eCommerce Americas | Senior Director, Global Channel Development</t>
        </is>
      </c>
      <c r="Y456" t="inlineStr">
        <is>
          <t>todo</t>
        </is>
      </c>
      <c r="Z456">
        <f>(M456*Weights!$B$2) + (MIN(Q456,Weights!$B$5)*Weights!$B$3*(W456/100)*Weights!$B$4)</f>
        <v/>
      </c>
      <c r="AA456">
        <f>IF(Z456= ,,RANK.EQ({pri_col_letter}{r},{pri_range},0))</f>
        <v/>
      </c>
    </row>
    <row r="457">
      <c r="A457" t="inlineStr">
        <is>
          <t>EAIGLE</t>
        </is>
      </c>
      <c r="B457" t="n">
        <v>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</v>
      </c>
      <c r="N457" t="inlineStr">
        <is>
          <t>Tier 4</t>
        </is>
      </c>
      <c r="O457" t="inlineStr">
        <is>
          <t>Anthony D’Amore — COO &amp; CFO; Sam Saad — Chief Commercial Officer; Anthony D'Amore — COO-CFO; Alex Alaei — VP; Sam Saad — Chief Commercial Office</t>
        </is>
      </c>
      <c r="P457" t="inlineStr">
        <is>
          <t>COO &amp; CFO | Chief Commercial Officer | COO-CFO</t>
        </is>
      </c>
      <c r="Y457" t="inlineStr">
        <is>
          <t>todo</t>
        </is>
      </c>
      <c r="Z457">
        <f>(M457*Weights!$B$2) + (MIN(Q457,Weights!$B$5)*Weights!$B$3*(W457/100)*Weights!$B$4)</f>
        <v/>
      </c>
      <c r="AA457">
        <f>IF(Z457= ,,RANK.EQ({pri_col_letter}{r},{pri_range},0))</f>
        <v/>
      </c>
    </row>
    <row r="458">
      <c r="A458" t="inlineStr">
        <is>
          <t>NewRoad Capital Partners</t>
        </is>
      </c>
      <c r="B458" t="n">
        <v>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5</v>
      </c>
      <c r="N458" t="inlineStr">
        <is>
          <t>Tier 4</t>
        </is>
      </c>
      <c r="O458" t="inlineStr">
        <is>
          <t>Michael Newcity — Strategic Advisor &amp; Investor; Josh Jewett — Operating Partner; Gregoire Lehmann — Partner; Tracy Black — Partner; Wade Johnston — Senior Associate</t>
        </is>
      </c>
      <c r="P458" t="inlineStr">
        <is>
          <t>Partner | Senior Associate | Strategic Advisor &amp; Investor</t>
        </is>
      </c>
      <c r="Y458" t="inlineStr">
        <is>
          <t>todo</t>
        </is>
      </c>
      <c r="Z458">
        <f>(M458*Weights!$B$2) + (MIN(Q458,Weights!$B$5)*Weights!$B$3*(W458/100)*Weights!$B$4)</f>
        <v/>
      </c>
      <c r="AA458">
        <f>IF(Z458= ,,RANK.EQ({pri_col_letter}{r},{pri_range},0))</f>
        <v/>
      </c>
    </row>
    <row r="459">
      <c r="A459" t="inlineStr">
        <is>
          <t>SupplyChainBrain</t>
        </is>
      </c>
      <c r="B459" t="n">
        <v>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5</v>
      </c>
      <c r="N459" t="inlineStr">
        <is>
          <t>Tier 4</t>
        </is>
      </c>
      <c r="O459" t="inlineStr">
        <is>
          <t>Bob Bowman — Editor-In-Chief; Brooke Lanning — Associate Publisher; Brad Berger — Publisher; Ralph Henderson — Executive Producer; Russell Goodman — Editor Emeritus</t>
        </is>
      </c>
      <c r="P459" t="inlineStr">
        <is>
          <t>Editor-In-Chief | Associate Publisher | Publisher</t>
        </is>
      </c>
      <c r="Y459" t="inlineStr">
        <is>
          <t>todo</t>
        </is>
      </c>
      <c r="Z459">
        <f>(M459*Weights!$B$2) + (MIN(Q459,Weights!$B$5)*Weights!$B$3*(W459/100)*Weights!$B$4)</f>
        <v/>
      </c>
      <c r="AA459">
        <f>IF(Z459= ,,RANK.EQ({pri_col_letter}{r},{pri_range},0))</f>
        <v/>
      </c>
    </row>
    <row r="460">
      <c r="A460" t="inlineStr">
        <is>
          <t>WCAworld</t>
        </is>
      </c>
      <c r="B460" t="n">
        <v>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</v>
      </c>
      <c r="N460" t="inlineStr">
        <is>
          <t>Tier 4</t>
        </is>
      </c>
      <c r="O460" t="inlineStr">
        <is>
          <t>Brian Majerus — Vice President; Sripad Bharati — CIO; David Yokeum — Chairman; Harald Oechsner — Director; Matthew West — Regional Director</t>
        </is>
      </c>
      <c r="P460" t="inlineStr">
        <is>
          <t>Vice President | CIO | Chairman</t>
        </is>
      </c>
      <c r="Y460" t="inlineStr">
        <is>
          <t>todo</t>
        </is>
      </c>
      <c r="Z460">
        <f>(M460*Weights!$B$2) + (MIN(Q460,Weights!$B$5)*Weights!$B$3*(W460/100)*Weights!$B$4)</f>
        <v/>
      </c>
      <c r="AA460">
        <f>IF(Z460= ,,RANK.EQ({pri_col_letter}{r},{pri_range},0))</f>
        <v/>
      </c>
    </row>
    <row r="461">
      <c r="A461" t="inlineStr">
        <is>
          <t>BackOps AI</t>
        </is>
      </c>
      <c r="B461" t="n">
        <v>3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I461" t="n">
        <v>1</v>
      </c>
      <c r="J461" t="n">
        <v>0.3333333333333333</v>
      </c>
      <c r="K461" t="n">
        <v>0</v>
      </c>
      <c r="L461" t="n">
        <v>0</v>
      </c>
      <c r="M461" t="n">
        <v>5</v>
      </c>
      <c r="N461" t="inlineStr">
        <is>
          <t>Tier 4</t>
        </is>
      </c>
      <c r="O461" t="inlineStr">
        <is>
          <t>Sean Elmurib — Strategic Ops &amp; Partnerships; Sean McCarthy — Co-Founder &amp; CEO; Ryan Sykora — Account Executive</t>
        </is>
      </c>
      <c r="P461" t="inlineStr">
        <is>
          <t>Co-Founder &amp; CEO | Strategic Ops &amp; Partnerships | Account Executive</t>
        </is>
      </c>
      <c r="Y461" t="inlineStr">
        <is>
          <t>todo</t>
        </is>
      </c>
      <c r="Z461">
        <f>(M461*Weights!$B$2) + (MIN(Q461,Weights!$B$5)*Weights!$B$3*(W461/100)*Weights!$B$4)</f>
        <v/>
      </c>
      <c r="AA461">
        <f>IF(Z461= ,,RANK.EQ({pri_col_letter}{r},{pri_range},0))</f>
        <v/>
      </c>
    </row>
    <row r="462">
      <c r="A462" t="inlineStr">
        <is>
          <t>Eurosender SARL</t>
        </is>
      </c>
      <c r="B462" t="n">
        <v>3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I462" t="n">
        <v>1</v>
      </c>
      <c r="J462" t="n">
        <v>0.3333333333333333</v>
      </c>
      <c r="K462" t="n">
        <v>0</v>
      </c>
      <c r="L462" t="n">
        <v>0</v>
      </c>
      <c r="M462" t="n">
        <v>5</v>
      </c>
      <c r="N462" t="inlineStr">
        <is>
          <t>Tier 4</t>
        </is>
      </c>
      <c r="O462" t="inlineStr">
        <is>
          <t>Achim Taylor — Director of POST Logistics - POST Luxembourg; Taja Moro — Senior Project Executive; Andreas Trezza — Senior Account Executive</t>
        </is>
      </c>
      <c r="P462" t="inlineStr">
        <is>
          <t>Director of POST Logistics - POST Luxembourg | Senior Project Executive | Senior Account Executive</t>
        </is>
      </c>
      <c r="Y462" t="inlineStr">
        <is>
          <t>todo</t>
        </is>
      </c>
      <c r="Z462">
        <f>(M462*Weights!$B$2) + (MIN(Q462,Weights!$B$5)*Weights!$B$3*(W462/100)*Weights!$B$4)</f>
        <v/>
      </c>
      <c r="AA462">
        <f>IF(Z462= ,,RANK.EQ({pri_col_letter}{r},{pri_range},0))</f>
        <v/>
      </c>
    </row>
    <row r="463">
      <c r="A463" t="inlineStr">
        <is>
          <t>RIVR</t>
        </is>
      </c>
      <c r="B463" t="n">
        <v>3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I463" t="n">
        <v>1</v>
      </c>
      <c r="J463" t="n">
        <v>0.3333333333333333</v>
      </c>
      <c r="K463" t="n">
        <v>0</v>
      </c>
      <c r="L463" t="n">
        <v>0</v>
      </c>
      <c r="M463" t="n">
        <v>5</v>
      </c>
      <c r="N463" t="inlineStr">
        <is>
          <t>Tier 4</t>
        </is>
      </c>
      <c r="O463" t="inlineStr">
        <is>
          <t>Peter McIntyre — Senior Operations Manager; Marko Bjelonic — CEO &amp; Co-Founder; Ben Simmen — Head of Revenue</t>
        </is>
      </c>
      <c r="P463" t="inlineStr">
        <is>
          <t>CEO &amp; Co-Founder | Senior Operations Manager | Head of Revenue</t>
        </is>
      </c>
      <c r="Y463" t="inlineStr">
        <is>
          <t>todo</t>
        </is>
      </c>
      <c r="Z463">
        <f>(M463*Weights!$B$2) + (MIN(Q463,Weights!$B$5)*Weights!$B$3*(W463/100)*Weights!$B$4)</f>
        <v/>
      </c>
      <c r="AA463">
        <f>IF(Z463= ,,RANK.EQ({pri_col_letter}{r},{pri_range},0))</f>
        <v/>
      </c>
    </row>
    <row r="464">
      <c r="A464" t="inlineStr">
        <is>
          <t>(MP USA) Mastronardi Produce-USA, Inc.</t>
        </is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5</v>
      </c>
      <c r="N464" t="inlineStr">
        <is>
          <t>Tier 4</t>
        </is>
      </c>
      <c r="O464" t="inlineStr">
        <is>
          <t>Victor Andrade — Network Maintenance Manager</t>
        </is>
      </c>
      <c r="P464" t="inlineStr">
        <is>
          <t>Network Maintenance Manager</t>
        </is>
      </c>
      <c r="Y464" t="inlineStr">
        <is>
          <t>todo</t>
        </is>
      </c>
      <c r="Z464">
        <f>(M464*Weights!$B$2) + (MIN(Q464,Weights!$B$5)*Weights!$B$3*(W464/100)*Weights!$B$4)</f>
        <v/>
      </c>
      <c r="AA464">
        <f>IF(Z464= ,,RANK.EQ({pri_col_letter}{r},{pri_range},0))</f>
        <v/>
      </c>
    </row>
    <row r="465">
      <c r="A465" t="inlineStr">
        <is>
          <t>3Degrees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5</v>
      </c>
      <c r="N465" t="inlineStr">
        <is>
          <t>Tier 4</t>
        </is>
      </c>
      <c r="O465" t="inlineStr">
        <is>
          <t>Scott Vazzana — Supply Chain Reduction (SCR) Originator</t>
        </is>
      </c>
      <c r="P465" t="inlineStr">
        <is>
          <t>Supply Chain Reduction (SCR) Originator</t>
        </is>
      </c>
      <c r="Y465" t="inlineStr">
        <is>
          <t>todo</t>
        </is>
      </c>
      <c r="Z465">
        <f>(M465*Weights!$B$2) + (MIN(Q465,Weights!$B$5)*Weights!$B$3*(W465/100)*Weights!$B$4)</f>
        <v/>
      </c>
      <c r="AA465">
        <f>IF(Z465= ,,RANK.EQ({pri_col_letter}{r},{pri_range},0))</f>
        <v/>
      </c>
    </row>
    <row r="466">
      <c r="A466" t="inlineStr">
        <is>
          <t>47 BRAND LLC</t>
        </is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5</v>
      </c>
      <c r="N466" t="inlineStr">
        <is>
          <t>Tier 4</t>
        </is>
      </c>
      <c r="O466" t="inlineStr">
        <is>
          <t>Joseph Cotroneo — Senior Logistics Manager</t>
        </is>
      </c>
      <c r="P466" t="inlineStr">
        <is>
          <t>Senior Logistics Manager</t>
        </is>
      </c>
      <c r="Y466" t="inlineStr">
        <is>
          <t>todo</t>
        </is>
      </c>
      <c r="Z466">
        <f>(M466*Weights!$B$2) + (MIN(Q466,Weights!$B$5)*Weights!$B$3*(W466/100)*Weights!$B$4)</f>
        <v/>
      </c>
      <c r="AA466">
        <f>IF(Z466= ,,RANK.EQ({pri_col_letter}{r},{pri_range},0))</f>
        <v/>
      </c>
    </row>
    <row r="467">
      <c r="A467" t="inlineStr">
        <is>
          <t>4Imprint</t>
        </is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5</v>
      </c>
      <c r="N467" t="inlineStr">
        <is>
          <t>Tier 4</t>
        </is>
      </c>
      <c r="O467" t="inlineStr">
        <is>
          <t>Katie LaVave — Director of Transportation and Logistic</t>
        </is>
      </c>
      <c r="P467" t="inlineStr">
        <is>
          <t>Director of Transportation and Logistic</t>
        </is>
      </c>
      <c r="Y467" t="inlineStr">
        <is>
          <t>todo</t>
        </is>
      </c>
      <c r="Z467">
        <f>(M467*Weights!$B$2) + (MIN(Q467,Weights!$B$5)*Weights!$B$3*(W467/100)*Weights!$B$4)</f>
        <v/>
      </c>
      <c r="AA467">
        <f>IF(Z467= ,,RANK.EQ({pri_col_letter}{r},{pri_range},0))</f>
        <v/>
      </c>
    </row>
    <row r="468">
      <c r="A468" t="inlineStr">
        <is>
          <t>4Over</t>
        </is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5</v>
      </c>
      <c r="N468" t="inlineStr">
        <is>
          <t>Tier 4</t>
        </is>
      </c>
      <c r="O468" t="inlineStr">
        <is>
          <t>Mike Lopez — Senior Director, Supply Chain</t>
        </is>
      </c>
      <c r="P468" t="inlineStr">
        <is>
          <t>Senior Director, Supply Chain</t>
        </is>
      </c>
      <c r="Y468" t="inlineStr">
        <is>
          <t>todo</t>
        </is>
      </c>
      <c r="Z468">
        <f>(M468*Weights!$B$2) + (MIN(Q468,Weights!$B$5)*Weights!$B$3*(W468/100)*Weights!$B$4)</f>
        <v/>
      </c>
      <c r="AA468">
        <f>IF(Z468= ,,RANK.EQ({pri_col_letter}{r},{pri_range},0))</f>
        <v/>
      </c>
    </row>
    <row r="469">
      <c r="A469" t="inlineStr">
        <is>
          <t>ABB Robotics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5</v>
      </c>
      <c r="N469" t="inlineStr">
        <is>
          <t>Tier 4</t>
        </is>
      </c>
      <c r="O469" t="inlineStr">
        <is>
          <t>John Albano — Principal Account Director - Logistics</t>
        </is>
      </c>
      <c r="P469" t="inlineStr">
        <is>
          <t>Principal Account Director - Logistics</t>
        </is>
      </c>
      <c r="Y469" t="inlineStr">
        <is>
          <t>todo</t>
        </is>
      </c>
      <c r="Z469">
        <f>(M469*Weights!$B$2) + (MIN(Q469,Weights!$B$5)*Weights!$B$3*(W469/100)*Weights!$B$4)</f>
        <v/>
      </c>
      <c r="AA469">
        <f>IF(Z469= ,,RANK.EQ({pri_col_letter}{r},{pri_range},0))</f>
        <v/>
      </c>
    </row>
    <row r="470">
      <c r="A470" t="inlineStr">
        <is>
          <t>AG1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5</v>
      </c>
      <c r="N470" t="inlineStr">
        <is>
          <t>Tier 4</t>
        </is>
      </c>
      <c r="O470" t="inlineStr">
        <is>
          <t>Lizette Brown — Manager of Freight &amp; Logistics</t>
        </is>
      </c>
      <c r="P470" t="inlineStr">
        <is>
          <t>Manager of Freight &amp; Logistics</t>
        </is>
      </c>
      <c r="Y470" t="inlineStr">
        <is>
          <t>todo</t>
        </is>
      </c>
      <c r="Z470">
        <f>(M470*Weights!$B$2) + (MIN(Q470,Weights!$B$5)*Weights!$B$3*(W470/100)*Weights!$B$4)</f>
        <v/>
      </c>
      <c r="AA470">
        <f>IF(Z470= ,,RANK.EQ({pri_col_letter}{r},{pri_range},0))</f>
        <v/>
      </c>
    </row>
    <row r="471">
      <c r="A471" t="inlineStr">
        <is>
          <t>AS Beauty</t>
        </is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5</v>
      </c>
      <c r="N471" t="inlineStr">
        <is>
          <t>Tier 4</t>
        </is>
      </c>
      <c r="O471" t="inlineStr">
        <is>
          <t>Ashleigh Bagnata — Senior Director of Operations</t>
        </is>
      </c>
      <c r="P471" t="inlineStr">
        <is>
          <t>Senior Director of Operations</t>
        </is>
      </c>
      <c r="Y471" t="inlineStr">
        <is>
          <t>todo</t>
        </is>
      </c>
      <c r="Z471">
        <f>(M471*Weights!$B$2) + (MIN(Q471,Weights!$B$5)*Weights!$B$3*(W471/100)*Weights!$B$4)</f>
        <v/>
      </c>
      <c r="AA471">
        <f>IF(Z471= ,,RANK.EQ({pri_col_letter}{r},{pri_range},0))</f>
        <v/>
      </c>
    </row>
    <row r="472">
      <c r="A472" t="inlineStr">
        <is>
          <t>Aden Logistics Corp</t>
        </is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5</v>
      </c>
      <c r="N472" t="inlineStr">
        <is>
          <t>Tier 4</t>
        </is>
      </c>
      <c r="O472" t="inlineStr">
        <is>
          <t>Nicole Sorensen — Director of Operations</t>
        </is>
      </c>
      <c r="P472" t="inlineStr">
        <is>
          <t>Director of Operations</t>
        </is>
      </c>
      <c r="Y472" t="inlineStr">
        <is>
          <t>todo</t>
        </is>
      </c>
      <c r="Z472">
        <f>(M472*Weights!$B$2) + (MIN(Q472,Weights!$B$5)*Weights!$B$3*(W472/100)*Weights!$B$4)</f>
        <v/>
      </c>
      <c r="AA472">
        <f>IF(Z472= ,,RANK.EQ({pri_col_letter}{r},{pri_range},0))</f>
        <v/>
      </c>
    </row>
    <row r="473">
      <c r="A473" t="inlineStr">
        <is>
          <t>Administración Portuaria Integral de Quintana Roo</t>
        </is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5</v>
      </c>
      <c r="N473" t="inlineStr">
        <is>
          <t>Tier 4</t>
        </is>
      </c>
      <c r="O473" t="inlineStr">
        <is>
          <t>Emilio Manuel Tamargo Navarro — Representative of the port administration</t>
        </is>
      </c>
      <c r="P473" t="inlineStr">
        <is>
          <t>Representative of the port administration</t>
        </is>
      </c>
      <c r="Y473" t="inlineStr">
        <is>
          <t>todo</t>
        </is>
      </c>
      <c r="Z473">
        <f>(M473*Weights!$B$2) + (MIN(Q473,Weights!$B$5)*Weights!$B$3*(W473/100)*Weights!$B$4)</f>
        <v/>
      </c>
      <c r="AA473">
        <f>IF(Z473= ,,RANK.EQ({pri_col_letter}{r},{pri_range},0))</f>
        <v/>
      </c>
    </row>
    <row r="474">
      <c r="A474" t="inlineStr">
        <is>
          <t>Aeva</t>
        </is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5</v>
      </c>
      <c r="N474" t="inlineStr">
        <is>
          <t>Tier 4</t>
        </is>
      </c>
      <c r="O474" t="inlineStr">
        <is>
          <t>Abhijit Supekar — Senior Director, Global Supply Chain</t>
        </is>
      </c>
      <c r="P474" t="inlineStr">
        <is>
          <t>Senior Director, Global Supply Chain</t>
        </is>
      </c>
      <c r="Y474" t="inlineStr">
        <is>
          <t>todo</t>
        </is>
      </c>
      <c r="Z474">
        <f>(M474*Weights!$B$2) + (MIN(Q474,Weights!$B$5)*Weights!$B$3*(W474/100)*Weights!$B$4)</f>
        <v/>
      </c>
      <c r="AA474">
        <f>IF(Z474= ,,RANK.EQ({pri_col_letter}{r},{pri_range},0))</f>
        <v/>
      </c>
    </row>
    <row r="475">
      <c r="A475" t="inlineStr">
        <is>
          <t>Ajinomoto Foods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5</v>
      </c>
      <c r="N475" t="inlineStr">
        <is>
          <t>Tier 4</t>
        </is>
      </c>
      <c r="O475" t="inlineStr">
        <is>
          <t>John Staben — Logistics Manager</t>
        </is>
      </c>
      <c r="P475" t="inlineStr">
        <is>
          <t>Logistics Manager</t>
        </is>
      </c>
      <c r="Y475" t="inlineStr">
        <is>
          <t>todo</t>
        </is>
      </c>
      <c r="Z475">
        <f>(M475*Weights!$B$2) + (MIN(Q475,Weights!$B$5)*Weights!$B$3*(W475/100)*Weights!$B$4)</f>
        <v/>
      </c>
      <c r="AA475">
        <f>IF(Z475= ,,RANK.EQ({pri_col_letter}{r},{pri_range},0))</f>
        <v/>
      </c>
    </row>
    <row r="476">
      <c r="A476" t="inlineStr">
        <is>
          <t>Albedo Logistics Solutions</t>
        </is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5</v>
      </c>
      <c r="N476" t="inlineStr">
        <is>
          <t>Tier 4</t>
        </is>
      </c>
      <c r="O476" t="inlineStr">
        <is>
          <t>Rob Haddock — Transportation Advisor</t>
        </is>
      </c>
      <c r="P476" t="inlineStr">
        <is>
          <t>Transportation Advisor</t>
        </is>
      </c>
      <c r="Y476" t="inlineStr">
        <is>
          <t>todo</t>
        </is>
      </c>
      <c r="Z476">
        <f>(M476*Weights!$B$2) + (MIN(Q476,Weights!$B$5)*Weights!$B$3*(W476/100)*Weights!$B$4)</f>
        <v/>
      </c>
      <c r="AA476">
        <f>IF(Z476= ,,RANK.EQ({pri_col_letter}{r},{pri_range},0))</f>
        <v/>
      </c>
    </row>
    <row r="477">
      <c r="A477" t="inlineStr">
        <is>
          <t>Altium Packaging Inc.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5</v>
      </c>
      <c r="N477" t="inlineStr">
        <is>
          <t>Tier 4</t>
        </is>
      </c>
      <c r="O477" t="inlineStr">
        <is>
          <t>Charles Osiegbu — Director Of Logistics</t>
        </is>
      </c>
      <c r="P477" t="inlineStr">
        <is>
          <t>Director Of Logistics</t>
        </is>
      </c>
      <c r="Y477" t="inlineStr">
        <is>
          <t>todo</t>
        </is>
      </c>
      <c r="Z477">
        <f>(M477*Weights!$B$2) + (MIN(Q477,Weights!$B$5)*Weights!$B$3*(W477/100)*Weights!$B$4)</f>
        <v/>
      </c>
      <c r="AA477">
        <f>IF(Z477= ,,RANK.EQ({pri_col_letter}{r},{pri_range},0))</f>
        <v/>
      </c>
    </row>
    <row r="478">
      <c r="A478" t="inlineStr">
        <is>
          <t>American Axle &amp; Manufacturing</t>
        </is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5</v>
      </c>
      <c r="N478" t="inlineStr">
        <is>
          <t>Tier 4</t>
        </is>
      </c>
      <c r="O478" t="inlineStr">
        <is>
          <t>Pete Schmidt — Manager - Logistics</t>
        </is>
      </c>
      <c r="P478" t="inlineStr">
        <is>
          <t>Manager - Logistics</t>
        </is>
      </c>
      <c r="Y478" t="inlineStr">
        <is>
          <t>todo</t>
        </is>
      </c>
      <c r="Z478">
        <f>(M478*Weights!$B$2) + (MIN(Q478,Weights!$B$5)*Weights!$B$3*(W478/100)*Weights!$B$4)</f>
        <v/>
      </c>
      <c r="AA478">
        <f>IF(Z478= ,,RANK.EQ({pri_col_letter}{r},{pri_range},0))</f>
        <v/>
      </c>
    </row>
    <row r="479">
      <c r="A479" t="inlineStr">
        <is>
          <t>American Woodmark</t>
        </is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5</v>
      </c>
      <c r="N479" t="inlineStr">
        <is>
          <t>Tier 4</t>
        </is>
      </c>
      <c r="O479" t="inlineStr">
        <is>
          <t>Paul Battista — Transportation Manager</t>
        </is>
      </c>
      <c r="P479" t="inlineStr">
        <is>
          <t>Transportation Manager</t>
        </is>
      </c>
      <c r="Y479" t="inlineStr">
        <is>
          <t>todo</t>
        </is>
      </c>
      <c r="Z479">
        <f>(M479*Weights!$B$2) + (MIN(Q479,Weights!$B$5)*Weights!$B$3*(W479/100)*Weights!$B$4)</f>
        <v/>
      </c>
      <c r="AA479">
        <f>IF(Z479= ,,RANK.EQ({pri_col_letter}{r},{pri_range},0))</f>
        <v/>
      </c>
    </row>
    <row r="480">
      <c r="A480" t="inlineStr">
        <is>
          <t>Apple, Inc.</t>
        </is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5</v>
      </c>
      <c r="N480" t="inlineStr">
        <is>
          <t>Tier 4</t>
        </is>
      </c>
      <c r="O480" t="inlineStr">
        <is>
          <t>Maximilian Albrecht — Worldwide Logistics Manager</t>
        </is>
      </c>
      <c r="P480" t="inlineStr">
        <is>
          <t>Worldwide Logistics Manager</t>
        </is>
      </c>
      <c r="Y480" t="inlineStr">
        <is>
          <t>todo</t>
        </is>
      </c>
      <c r="Z480">
        <f>(M480*Weights!$B$2) + (MIN(Q480,Weights!$B$5)*Weights!$B$3*(W480/100)*Weights!$B$4)</f>
        <v/>
      </c>
      <c r="AA480">
        <f>IF(Z480= ,,RANK.EQ({pri_col_letter}{r},{pri_range},0))</f>
        <v/>
      </c>
    </row>
    <row r="481">
      <c r="A481" t="inlineStr">
        <is>
          <t>Articore</t>
        </is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5</v>
      </c>
      <c r="N481" t="inlineStr">
        <is>
          <t>Tier 4</t>
        </is>
      </c>
      <c r="O481" t="inlineStr">
        <is>
          <t>Mike Schubert — Director of North American Logistics</t>
        </is>
      </c>
      <c r="P481" t="inlineStr">
        <is>
          <t>Director of North American Logistics</t>
        </is>
      </c>
      <c r="Y481" t="inlineStr">
        <is>
          <t>todo</t>
        </is>
      </c>
      <c r="Z481">
        <f>(M481*Weights!$B$2) + (MIN(Q481,Weights!$B$5)*Weights!$B$3*(W481/100)*Weights!$B$4)</f>
        <v/>
      </c>
      <c r="AA481">
        <f>IF(Z481= ,,RANK.EQ({pri_col_letter}{r},{pri_range},0))</f>
        <v/>
      </c>
    </row>
    <row r="482">
      <c r="A482" t="inlineStr">
        <is>
          <t>Articore (redbubble, teepublic, dashery)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5</v>
      </c>
      <c r="N482" t="inlineStr">
        <is>
          <t>Tier 4</t>
        </is>
      </c>
      <c r="O482" t="inlineStr">
        <is>
          <t>RJ Nicholl — Senior Manager, Logistics Systems</t>
        </is>
      </c>
      <c r="P482" t="inlineStr">
        <is>
          <t>Senior Manager, Logistics Systems</t>
        </is>
      </c>
      <c r="Y482" t="inlineStr">
        <is>
          <t>todo</t>
        </is>
      </c>
      <c r="Z482">
        <f>(M482*Weights!$B$2) + (MIN(Q482,Weights!$B$5)*Weights!$B$3*(W482/100)*Weights!$B$4)</f>
        <v/>
      </c>
      <c r="AA482">
        <f>IF(Z482= ,,RANK.EQ({pri_col_letter}{r},{pri_range},0))</f>
        <v/>
      </c>
    </row>
    <row r="483">
      <c r="A483" t="inlineStr">
        <is>
          <t>Atlanta Bonded Warehouse Corp</t>
        </is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5</v>
      </c>
      <c r="N483" t="inlineStr">
        <is>
          <t>Tier 4</t>
        </is>
      </c>
      <c r="O483" t="inlineStr">
        <is>
          <t>Alex De Grossi — IT Applications and Project Manager, Supply Chain Operations</t>
        </is>
      </c>
      <c r="P483" t="inlineStr">
        <is>
          <t>IT Applications and Project Manager, Supply Chain Operations</t>
        </is>
      </c>
      <c r="Y483" t="inlineStr">
        <is>
          <t>todo</t>
        </is>
      </c>
      <c r="Z483">
        <f>(M483*Weights!$B$2) + (MIN(Q483,Weights!$B$5)*Weights!$B$3*(W483/100)*Weights!$B$4)</f>
        <v/>
      </c>
      <c r="AA483">
        <f>IF(Z483= ,,RANK.EQ({pri_col_letter}{r},{pri_range},0))</f>
        <v/>
      </c>
    </row>
    <row r="484">
      <c r="A484" t="inlineStr">
        <is>
          <t>Avery Products Corp</t>
        </is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5</v>
      </c>
      <c r="N484" t="inlineStr">
        <is>
          <t>Tier 4</t>
        </is>
      </c>
      <c r="O484" t="inlineStr">
        <is>
          <t>Julio Robles — Group Manager, Transportation &amp; Logistics</t>
        </is>
      </c>
      <c r="P484" t="inlineStr">
        <is>
          <t>Group Manager, Transportation &amp; Logistics</t>
        </is>
      </c>
      <c r="Y484" t="inlineStr">
        <is>
          <t>todo</t>
        </is>
      </c>
      <c r="Z484">
        <f>(M484*Weights!$B$2) + (MIN(Q484,Weights!$B$5)*Weights!$B$3*(W484/100)*Weights!$B$4)</f>
        <v/>
      </c>
      <c r="AA484">
        <f>IF(Z484= ,,RANK.EQ({pri_col_letter}{r},{pri_range},0))</f>
        <v/>
      </c>
    </row>
    <row r="485">
      <c r="A485" t="inlineStr">
        <is>
          <t>Avolta</t>
        </is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5</v>
      </c>
      <c r="N485" t="inlineStr">
        <is>
          <t>Tier 4</t>
        </is>
      </c>
      <c r="O485" t="inlineStr">
        <is>
          <t>Volodymyr Mikula — Sr Director Distribution &amp; Logistics</t>
        </is>
      </c>
      <c r="P485" t="inlineStr">
        <is>
          <t>Sr Director Distribution &amp; Logistics</t>
        </is>
      </c>
      <c r="Y485" t="inlineStr">
        <is>
          <t>todo</t>
        </is>
      </c>
      <c r="Z485">
        <f>(M485*Weights!$B$2) + (MIN(Q485,Weights!$B$5)*Weights!$B$3*(W485/100)*Weights!$B$4)</f>
        <v/>
      </c>
      <c r="AA485">
        <f>IF(Z485= ,,RANK.EQ({pri_col_letter}{r},{pri_range},0))</f>
        <v/>
      </c>
    </row>
    <row r="486">
      <c r="A486" t="inlineStr">
        <is>
          <t>Axios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5</v>
      </c>
      <c r="N486" t="inlineStr">
        <is>
          <t>Tier 4</t>
        </is>
      </c>
      <c r="O486" t="inlineStr">
        <is>
          <t>Colin Campbell — Supply Chain Deals Reporter</t>
        </is>
      </c>
      <c r="P486" t="inlineStr">
        <is>
          <t>Supply Chain Deals Reporter</t>
        </is>
      </c>
      <c r="Y486" t="inlineStr">
        <is>
          <t>todo</t>
        </is>
      </c>
      <c r="Z486">
        <f>(M486*Weights!$B$2) + (MIN(Q486,Weights!$B$5)*Weights!$B$3*(W486/100)*Weights!$B$4)</f>
        <v/>
      </c>
      <c r="AA486">
        <f>IF(Z486= ,,RANK.EQ({pri_col_letter}{r},{pri_range},0))</f>
        <v/>
      </c>
    </row>
    <row r="487">
      <c r="A487" t="inlineStr">
        <is>
          <t>BASF</t>
        </is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5</v>
      </c>
      <c r="N487" t="inlineStr">
        <is>
          <t>Tier 4</t>
        </is>
      </c>
      <c r="O487" t="inlineStr">
        <is>
          <t>Adriana Giraldo — Senior Manager Customs &amp; Foreign Trade Operations</t>
        </is>
      </c>
      <c r="P487" t="inlineStr">
        <is>
          <t>Senior Manager Customs &amp; Foreign Trade Operations</t>
        </is>
      </c>
      <c r="Y487" t="inlineStr">
        <is>
          <t>todo</t>
        </is>
      </c>
      <c r="Z487">
        <f>(M487*Weights!$B$2) + (MIN(Q487,Weights!$B$5)*Weights!$B$3*(W487/100)*Weights!$B$4)</f>
        <v/>
      </c>
      <c r="AA487">
        <f>IF(Z487= ,,RANK.EQ({pri_col_letter}{r},{pri_range},0))</f>
        <v/>
      </c>
    </row>
    <row r="488">
      <c r="A488" t="inlineStr">
        <is>
          <t>BIMBO BAKERIES USA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5</v>
      </c>
      <c r="N488" t="inlineStr">
        <is>
          <t>Tier 4</t>
        </is>
      </c>
      <c r="O488" t="inlineStr">
        <is>
          <t>victor gutierrez — Director, Supply Chain Logistics</t>
        </is>
      </c>
      <c r="P488" t="inlineStr">
        <is>
          <t>Director, Supply Chain Logistics</t>
        </is>
      </c>
      <c r="Y488" t="inlineStr">
        <is>
          <t>todo</t>
        </is>
      </c>
      <c r="Z488">
        <f>(M488*Weights!$B$2) + (MIN(Q488,Weights!$B$5)*Weights!$B$3*(W488/100)*Weights!$B$4)</f>
        <v/>
      </c>
      <c r="AA488">
        <f>IF(Z488= ,,RANK.EQ({pri_col_letter}{r},{pri_range},0))</f>
        <v/>
      </c>
    </row>
    <row r="489">
      <c r="A489" t="inlineStr">
        <is>
          <t>BK Beauty</t>
        </is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5</v>
      </c>
      <c r="N489" t="inlineStr">
        <is>
          <t>Tier 4</t>
        </is>
      </c>
      <c r="O489" t="inlineStr">
        <is>
          <t>Jennifer Hernandez — Director of Operations</t>
        </is>
      </c>
      <c r="P489" t="inlineStr">
        <is>
          <t>Director of Operations</t>
        </is>
      </c>
      <c r="Y489" t="inlineStr">
        <is>
          <t>todo</t>
        </is>
      </c>
      <c r="Z489">
        <f>(M489*Weights!$B$2) + (MIN(Q489,Weights!$B$5)*Weights!$B$3*(W489/100)*Weights!$B$4)</f>
        <v/>
      </c>
      <c r="AA489">
        <f>IF(Z489= ,,RANK.EQ({pri_col_letter}{r},{pri_range},0))</f>
        <v/>
      </c>
    </row>
    <row r="490">
      <c r="A490" t="inlineStr">
        <is>
          <t>Backcountry.com</t>
        </is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5</v>
      </c>
      <c r="N490" t="inlineStr">
        <is>
          <t>Tier 4</t>
        </is>
      </c>
      <c r="O490" t="inlineStr">
        <is>
          <t>Julien Cavalletto — Director of Transportation</t>
        </is>
      </c>
      <c r="P490" t="inlineStr">
        <is>
          <t>Director of Transportation</t>
        </is>
      </c>
      <c r="Y490" t="inlineStr">
        <is>
          <t>todo</t>
        </is>
      </c>
      <c r="Z490">
        <f>(M490*Weights!$B$2) + (MIN(Q490,Weights!$B$5)*Weights!$B$3*(W490/100)*Weights!$B$4)</f>
        <v/>
      </c>
      <c r="AA490">
        <f>IF(Z490= ,,RANK.EQ({pri_col_letter}{r},{pri_range},0))</f>
        <v/>
      </c>
    </row>
    <row r="491">
      <c r="A491" t="inlineStr">
        <is>
          <t>Bath and Body Works</t>
        </is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5</v>
      </c>
      <c r="N491" t="inlineStr">
        <is>
          <t>Tier 4</t>
        </is>
      </c>
      <c r="O491" t="inlineStr">
        <is>
          <t>David Wu — Director, Supply Chain Operations &amp; Analytics</t>
        </is>
      </c>
      <c r="P491" t="inlineStr">
        <is>
          <t>Director, Supply Chain Operations &amp; Analytics</t>
        </is>
      </c>
      <c r="Y491" t="inlineStr">
        <is>
          <t>todo</t>
        </is>
      </c>
      <c r="Z491">
        <f>(M491*Weights!$B$2) + (MIN(Q491,Weights!$B$5)*Weights!$B$3*(W491/100)*Weights!$B$4)</f>
        <v/>
      </c>
      <c r="AA491">
        <f>IF(Z491= ,,RANK.EQ({pri_col_letter}{r},{pri_range},0))</f>
        <v/>
      </c>
    </row>
    <row r="492">
      <c r="A492" t="inlineStr">
        <is>
          <t>Bella Canvas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5</v>
      </c>
      <c r="N492" t="inlineStr">
        <is>
          <t>Tier 4</t>
        </is>
      </c>
      <c r="O492" t="inlineStr">
        <is>
          <t>Ben Elwood — Sr Director Operations</t>
        </is>
      </c>
      <c r="P492" t="inlineStr">
        <is>
          <t>Sr Director Operations</t>
        </is>
      </c>
      <c r="Y492" t="inlineStr">
        <is>
          <t>todo</t>
        </is>
      </c>
      <c r="Z492">
        <f>(M492*Weights!$B$2) + (MIN(Q492,Weights!$B$5)*Weights!$B$3*(W492/100)*Weights!$B$4)</f>
        <v/>
      </c>
      <c r="AA492">
        <f>IF(Z492= ,,RANK.EQ({pri_col_letter}{r},{pri_range},0))</f>
        <v/>
      </c>
    </row>
    <row r="493">
      <c r="A493" t="inlineStr">
        <is>
          <t>Benesch Friedlander Coplan &amp; Aronoff LLP</t>
        </is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5</v>
      </c>
      <c r="N493" t="inlineStr">
        <is>
          <t>Tier 4</t>
        </is>
      </c>
      <c r="O493" t="inlineStr">
        <is>
          <t>Marc Blubaugh — Partner and Co-Chair, Transportation &amp; Logistics Practice,</t>
        </is>
      </c>
      <c r="P493" t="inlineStr">
        <is>
          <t>Partner and Co-Chair, Transportation &amp; Logistics Practice,</t>
        </is>
      </c>
      <c r="Y493" t="inlineStr">
        <is>
          <t>todo</t>
        </is>
      </c>
      <c r="Z493">
        <f>(M493*Weights!$B$2) + (MIN(Q493,Weights!$B$5)*Weights!$B$3*(W493/100)*Weights!$B$4)</f>
        <v/>
      </c>
      <c r="AA493">
        <f>IF(Z493= ,,RANK.EQ({pri_col_letter}{r},{pri_range},0))</f>
        <v/>
      </c>
    </row>
    <row r="494">
      <c r="A494" t="inlineStr">
        <is>
          <t>Betco</t>
        </is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5</v>
      </c>
      <c r="N494" t="inlineStr">
        <is>
          <t>Tier 4</t>
        </is>
      </c>
      <c r="O494" t="inlineStr">
        <is>
          <t>Greg Recker — Distribution, Warehousing &amp; Transportation</t>
        </is>
      </c>
      <c r="P494" t="inlineStr">
        <is>
          <t>Distribution, Warehousing &amp; Transportation</t>
        </is>
      </c>
      <c r="Y494" t="inlineStr">
        <is>
          <t>todo</t>
        </is>
      </c>
      <c r="Z494">
        <f>(M494*Weights!$B$2) + (MIN(Q494,Weights!$B$5)*Weights!$B$3*(W494/100)*Weights!$B$4)</f>
        <v/>
      </c>
      <c r="AA494">
        <f>IF(Z494= ,,RANK.EQ({pri_col_letter}{r},{pri_range},0))</f>
        <v/>
      </c>
    </row>
    <row r="495">
      <c r="A495" t="inlineStr">
        <is>
          <t>Bimbo Bakeries, USA</t>
        </is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5</v>
      </c>
      <c r="N495" t="inlineStr">
        <is>
          <t>Tier 4</t>
        </is>
      </c>
      <c r="O495" t="inlineStr">
        <is>
          <t>Scott Loewe — Sr. Director, Supply Chain Logistics</t>
        </is>
      </c>
      <c r="P495" t="inlineStr">
        <is>
          <t>Sr. Director, Supply Chain Logistics</t>
        </is>
      </c>
      <c r="Y495" t="inlineStr">
        <is>
          <t>todo</t>
        </is>
      </c>
      <c r="Z495">
        <f>(M495*Weights!$B$2) + (MIN(Q495,Weights!$B$5)*Weights!$B$3*(W495/100)*Weights!$B$4)</f>
        <v/>
      </c>
      <c r="AA495">
        <f>IF(Z495= ,,RANK.EQ({pri_col_letter}{r},{pri_range},0))</f>
        <v/>
      </c>
    </row>
    <row r="496">
      <c r="A496" t="inlineStr">
        <is>
          <t>Biocair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5</v>
      </c>
      <c r="N496" t="inlineStr">
        <is>
          <t>Tier 4</t>
        </is>
      </c>
      <c r="O496" t="inlineStr">
        <is>
          <t>Phil Kirkpatrick — Logistics Supervisor</t>
        </is>
      </c>
      <c r="P496" t="inlineStr">
        <is>
          <t>Logistics Supervisor</t>
        </is>
      </c>
      <c r="Y496" t="inlineStr">
        <is>
          <t>todo</t>
        </is>
      </c>
      <c r="Z496">
        <f>(M496*Weights!$B$2) + (MIN(Q496,Weights!$B$5)*Weights!$B$3*(W496/100)*Weights!$B$4)</f>
        <v/>
      </c>
      <c r="AA496">
        <f>IF(Z496= ,,RANK.EQ({pri_col_letter}{r},{pri_range},0))</f>
        <v/>
      </c>
    </row>
    <row r="497">
      <c r="A497" t="inlineStr">
        <is>
          <t>Bloomberg Intelligence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5</v>
      </c>
      <c r="N497" t="inlineStr">
        <is>
          <t>Tier 4</t>
        </is>
      </c>
      <c r="O497" t="inlineStr">
        <is>
          <t>Lee Klaskow — Senior Analyst - Transportation and Logistics</t>
        </is>
      </c>
      <c r="P497" t="inlineStr">
        <is>
          <t>Senior Analyst - Transportation and Logistics</t>
        </is>
      </c>
      <c r="Y497" t="inlineStr">
        <is>
          <t>todo</t>
        </is>
      </c>
      <c r="Z497">
        <f>(M497*Weights!$B$2) + (MIN(Q497,Weights!$B$5)*Weights!$B$3*(W497/100)*Weights!$B$4)</f>
        <v/>
      </c>
      <c r="AA497">
        <f>IF(Z497= ,,RANK.EQ({pri_col_letter}{r},{pri_range},0))</f>
        <v/>
      </c>
    </row>
    <row r="498">
      <c r="A498" t="inlineStr">
        <is>
          <t>CCO</t>
        </is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5</v>
      </c>
      <c r="N498" t="inlineStr">
        <is>
          <t>Tier 4</t>
        </is>
      </c>
      <c r="O498" t="inlineStr">
        <is>
          <t>Kristi App — Port of New Orleans &amp; New Orleans Public Belt</t>
        </is>
      </c>
      <c r="P498" t="inlineStr">
        <is>
          <t>Port of New Orleans &amp; New Orleans Public Belt</t>
        </is>
      </c>
      <c r="Y498" t="inlineStr">
        <is>
          <t>todo</t>
        </is>
      </c>
      <c r="Z498">
        <f>(M498*Weights!$B$2) + (MIN(Q498,Weights!$B$5)*Weights!$B$3*(W498/100)*Weights!$B$4)</f>
        <v/>
      </c>
      <c r="AA498">
        <f>IF(Z498= ,,RANK.EQ({pri_col_letter}{r},{pri_range},0))</f>
        <v/>
      </c>
    </row>
    <row r="499">
      <c r="A499" t="inlineStr">
        <is>
          <t>CDF Corporation</t>
        </is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5</v>
      </c>
      <c r="N499" t="inlineStr">
        <is>
          <t>Tier 4</t>
        </is>
      </c>
      <c r="O499" t="inlineStr">
        <is>
          <t>Tina Sherman — Supply Chain Manager</t>
        </is>
      </c>
      <c r="P499" t="inlineStr">
        <is>
          <t>Supply Chain Manager</t>
        </is>
      </c>
      <c r="Y499" t="inlineStr">
        <is>
          <t>todo</t>
        </is>
      </c>
      <c r="Z499">
        <f>(M499*Weights!$B$2) + (MIN(Q499,Weights!$B$5)*Weights!$B$3*(W499/100)*Weights!$B$4)</f>
        <v/>
      </c>
      <c r="AA499">
        <f>IF(Z499= ,,RANK.EQ({pri_col_letter}{r},{pri_range},0))</f>
        <v/>
      </c>
    </row>
    <row r="500">
      <c r="A500" t="inlineStr">
        <is>
          <t>CIO</t>
        </is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5</v>
      </c>
      <c r="N500" t="inlineStr">
        <is>
          <t>Tier 4</t>
        </is>
      </c>
      <c r="O500" t="inlineStr">
        <is>
          <t>Emilie Zafirov — Logistics Plus</t>
        </is>
      </c>
      <c r="P500" t="inlineStr">
        <is>
          <t>Logistics Plus</t>
        </is>
      </c>
      <c r="Y500" t="inlineStr">
        <is>
          <t>todo</t>
        </is>
      </c>
      <c r="Z500">
        <f>(M500*Weights!$B$2) + (MIN(Q500,Weights!$B$5)*Weights!$B$3*(W500/100)*Weights!$B$4)</f>
        <v/>
      </c>
      <c r="AA500">
        <f>IF(Z500= ,,RANK.EQ({pri_col_letter}{r},{pri_range},0))</f>
        <v/>
      </c>
    </row>
    <row r="501">
      <c r="A501" t="inlineStr">
        <is>
          <t>CJ Logistics</t>
        </is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5</v>
      </c>
      <c r="N501" t="inlineStr">
        <is>
          <t>Tier 4</t>
        </is>
      </c>
      <c r="O501" t="inlineStr">
        <is>
          <t>Richard Heintz — Director, Operations Support</t>
        </is>
      </c>
      <c r="P501" t="inlineStr">
        <is>
          <t>Director, Operations Support</t>
        </is>
      </c>
      <c r="Y501" t="inlineStr">
        <is>
          <t>todo</t>
        </is>
      </c>
      <c r="Z501">
        <f>(M501*Weights!$B$2) + (MIN(Q501,Weights!$B$5)*Weights!$B$3*(W501/100)*Weights!$B$4)</f>
        <v/>
      </c>
      <c r="AA501">
        <f>IF(Z501= ,,RANK.EQ({pri_col_letter}{r},{pri_range},0))</f>
        <v/>
      </c>
    </row>
    <row r="502">
      <c r="A502" t="inlineStr">
        <is>
          <t>CTSI Global</t>
        </is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5</v>
      </c>
      <c r="N502" t="inlineStr">
        <is>
          <t>Tier 4</t>
        </is>
      </c>
      <c r="O502" t="inlineStr">
        <is>
          <t>Jim Kicher — Logistics Director</t>
        </is>
      </c>
      <c r="P502" t="inlineStr">
        <is>
          <t>Logistics Director</t>
        </is>
      </c>
      <c r="Y502" t="inlineStr">
        <is>
          <t>todo</t>
        </is>
      </c>
      <c r="Z502">
        <f>(M502*Weights!$B$2) + (MIN(Q502,Weights!$B$5)*Weights!$B$3*(W502/100)*Weights!$B$4)</f>
        <v/>
      </c>
      <c r="AA502">
        <f>IF(Z502= ,,RANK.EQ({pri_col_letter}{r},{pri_range},0))</f>
        <v/>
      </c>
    </row>
    <row r="503">
      <c r="A503" t="inlineStr">
        <is>
          <t>Capacity LLC</t>
        </is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5</v>
      </c>
      <c r="N503" t="inlineStr">
        <is>
          <t>Tier 4</t>
        </is>
      </c>
      <c r="O503" t="inlineStr">
        <is>
          <t>Peter Marcinek — Ecommerce Logistics Director</t>
        </is>
      </c>
      <c r="P503" t="inlineStr">
        <is>
          <t>Ecommerce Logistics Director</t>
        </is>
      </c>
      <c r="Y503" t="inlineStr">
        <is>
          <t>todo</t>
        </is>
      </c>
      <c r="Z503">
        <f>(M503*Weights!$B$2) + (MIN(Q503,Weights!$B$5)*Weights!$B$3*(W503/100)*Weights!$B$4)</f>
        <v/>
      </c>
      <c r="AA503">
        <f>IF(Z503= ,,RANK.EQ({pri_col_letter}{r},{pri_range},0))</f>
        <v/>
      </c>
    </row>
    <row r="504">
      <c r="A504" t="inlineStr">
        <is>
          <t>Carrier</t>
        </is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5</v>
      </c>
      <c r="N504" t="inlineStr">
        <is>
          <t>Tier 4</t>
        </is>
      </c>
      <c r="O504" t="inlineStr">
        <is>
          <t>Stephanie Link — Logistics Strategy Manager</t>
        </is>
      </c>
      <c r="P504" t="inlineStr">
        <is>
          <t>Logistics Strategy Manager</t>
        </is>
      </c>
      <c r="Y504" t="inlineStr">
        <is>
          <t>todo</t>
        </is>
      </c>
      <c r="Z504">
        <f>(M504*Weights!$B$2) + (MIN(Q504,Weights!$B$5)*Weights!$B$3*(W504/100)*Weights!$B$4)</f>
        <v/>
      </c>
      <c r="AA504">
        <f>IF(Z504= ,,RANK.EQ({pri_col_letter}{r},{pri_range},0))</f>
        <v/>
      </c>
    </row>
    <row r="505">
      <c r="A505" t="inlineStr">
        <is>
          <t>Caterpillar Inc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5</v>
      </c>
      <c r="N505" t="inlineStr">
        <is>
          <t>Tier 4</t>
        </is>
      </c>
      <c r="O505" t="inlineStr">
        <is>
          <t>Yang Liu — Director Logistics</t>
        </is>
      </c>
      <c r="P505" t="inlineStr">
        <is>
          <t>Director Logistics</t>
        </is>
      </c>
      <c r="Y505" t="inlineStr">
        <is>
          <t>todo</t>
        </is>
      </c>
      <c r="Z505">
        <f>(M505*Weights!$B$2) + (MIN(Q505,Weights!$B$5)*Weights!$B$3*(W505/100)*Weights!$B$4)</f>
        <v/>
      </c>
      <c r="AA505">
        <f>IF(Z505= ,,RANK.EQ({pri_col_letter}{r},{pri_range},0))</f>
        <v/>
      </c>
    </row>
    <row r="506">
      <c r="A506" t="inlineStr">
        <is>
          <t>CenterWell Pharmacy (Humana)</t>
        </is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5</v>
      </c>
      <c r="N506" t="inlineStr">
        <is>
          <t>Tier 4</t>
        </is>
      </c>
      <c r="O506" t="inlineStr">
        <is>
          <t>Mike Logan — Director Logistics</t>
        </is>
      </c>
      <c r="P506" t="inlineStr">
        <is>
          <t>Director Logistics</t>
        </is>
      </c>
      <c r="Y506" t="inlineStr">
        <is>
          <t>todo</t>
        </is>
      </c>
      <c r="Z506">
        <f>(M506*Weights!$B$2) + (MIN(Q506,Weights!$B$5)*Weights!$B$3*(W506/100)*Weights!$B$4)</f>
        <v/>
      </c>
      <c r="AA506">
        <f>IF(Z506= ,,RANK.EQ({pri_col_letter}{r},{pri_range},0))</f>
        <v/>
      </c>
    </row>
    <row r="507">
      <c r="A507" t="inlineStr">
        <is>
          <t>Chefman</t>
        </is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5</v>
      </c>
      <c r="N507" t="inlineStr">
        <is>
          <t>Tier 4</t>
        </is>
      </c>
      <c r="O507" t="inlineStr">
        <is>
          <t>Avi Kagan — Director of Supply Chain</t>
        </is>
      </c>
      <c r="P507" t="inlineStr">
        <is>
          <t>Director of Supply Chain</t>
        </is>
      </c>
      <c r="Y507" t="inlineStr">
        <is>
          <t>todo</t>
        </is>
      </c>
      <c r="Z507">
        <f>(M507*Weights!$B$2) + (MIN(Q507,Weights!$B$5)*Weights!$B$3*(W507/100)*Weights!$B$4)</f>
        <v/>
      </c>
      <c r="AA507">
        <f>IF(Z507= ,,RANK.EQ({pri_col_letter}{r},{pri_range},0))</f>
        <v/>
      </c>
    </row>
    <row r="508">
      <c r="A508" t="inlineStr">
        <is>
          <t>Chewy.com</t>
        </is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5</v>
      </c>
      <c r="N508" t="inlineStr">
        <is>
          <t>Tier 4</t>
        </is>
      </c>
      <c r="O508" t="inlineStr">
        <is>
          <t>Doug McCadden — Associate Director of Supply Chain</t>
        </is>
      </c>
      <c r="P508" t="inlineStr">
        <is>
          <t>Associate Director of Supply Chain</t>
        </is>
      </c>
      <c r="Y508" t="inlineStr">
        <is>
          <t>todo</t>
        </is>
      </c>
      <c r="Z508">
        <f>(M508*Weights!$B$2) + (MIN(Q508,Weights!$B$5)*Weights!$B$3*(W508/100)*Weights!$B$4)</f>
        <v/>
      </c>
      <c r="AA508">
        <f>IF(Z508= ,,RANK.EQ({pri_col_letter}{r},{pri_range},0))</f>
        <v/>
      </c>
    </row>
    <row r="509">
      <c r="A509" t="inlineStr">
        <is>
          <t>Clorox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5</v>
      </c>
      <c r="N509" t="inlineStr">
        <is>
          <t>Tier 4</t>
        </is>
      </c>
      <c r="O509" t="inlineStr">
        <is>
          <t>Roxane Lachnicht — Supply Chain Leader, CPro</t>
        </is>
      </c>
      <c r="P509" t="inlineStr">
        <is>
          <t>Supply Chain Leader, CPro</t>
        </is>
      </c>
      <c r="Y509" t="inlineStr">
        <is>
          <t>todo</t>
        </is>
      </c>
      <c r="Z509">
        <f>(M509*Weights!$B$2) + (MIN(Q509,Weights!$B$5)*Weights!$B$3*(W509/100)*Weights!$B$4)</f>
        <v/>
      </c>
      <c r="AA509">
        <f>IF(Z509= ,,RANK.EQ({pri_col_letter}{r},{pri_range},0))</f>
        <v/>
      </c>
    </row>
    <row r="510">
      <c r="A510" t="inlineStr">
        <is>
          <t>Collectors</t>
        </is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5</v>
      </c>
      <c r="N510" t="inlineStr">
        <is>
          <t>Tier 4</t>
        </is>
      </c>
      <c r="O510" t="inlineStr">
        <is>
          <t>Katherine Guerrero — Senior Product Manager - Supply Chain &amp; Logistics</t>
        </is>
      </c>
      <c r="P510" t="inlineStr">
        <is>
          <t>Senior Product Manager - Supply Chain &amp; Logistics</t>
        </is>
      </c>
      <c r="Y510" t="inlineStr">
        <is>
          <t>todo</t>
        </is>
      </c>
      <c r="Z510">
        <f>(M510*Weights!$B$2) + (MIN(Q510,Weights!$B$5)*Weights!$B$3*(W510/100)*Weights!$B$4)</f>
        <v/>
      </c>
      <c r="AA510">
        <f>IF(Z510= ,,RANK.EQ({pri_col_letter}{r},{pri_range},0))</f>
        <v/>
      </c>
    </row>
    <row r="511">
      <c r="A511" t="inlineStr">
        <is>
          <t>Conagra</t>
        </is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5</v>
      </c>
      <c r="N511" t="inlineStr">
        <is>
          <t>Tier 4</t>
        </is>
      </c>
      <c r="O511" t="inlineStr">
        <is>
          <t>Mark Hojnicki — Sr. Director, Supply Chain</t>
        </is>
      </c>
      <c r="P511" t="inlineStr">
        <is>
          <t>Sr. Director, Supply Chain</t>
        </is>
      </c>
      <c r="Y511" t="inlineStr">
        <is>
          <t>todo</t>
        </is>
      </c>
      <c r="Z511">
        <f>(M511*Weights!$B$2) + (MIN(Q511,Weights!$B$5)*Weights!$B$3*(W511/100)*Weights!$B$4)</f>
        <v/>
      </c>
      <c r="AA511">
        <f>IF(Z511= ,,RANK.EQ({pri_col_letter}{r},{pri_range},0))</f>
        <v/>
      </c>
    </row>
    <row r="512">
      <c r="A512" t="inlineStr">
        <is>
          <t>Continental Tire</t>
        </is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5</v>
      </c>
      <c r="N512" t="inlineStr">
        <is>
          <t>Tier 4</t>
        </is>
      </c>
      <c r="O512" t="inlineStr">
        <is>
          <t>Lance McCrorey — Transportation Manager, US/Canada Regions</t>
        </is>
      </c>
      <c r="P512" t="inlineStr">
        <is>
          <t>Transportation Manager, US/Canada Regions</t>
        </is>
      </c>
      <c r="Y512" t="inlineStr">
        <is>
          <t>todo</t>
        </is>
      </c>
      <c r="Z512">
        <f>(M512*Weights!$B$2) + (MIN(Q512,Weights!$B$5)*Weights!$B$3*(W512/100)*Weights!$B$4)</f>
        <v/>
      </c>
      <c r="AA512">
        <f>IF(Z512= ,,RANK.EQ({pri_col_letter}{r},{pri_range},0))</f>
        <v/>
      </c>
    </row>
    <row r="513">
      <c r="A513" t="inlineStr">
        <is>
          <t>Cooper Standard Automotive</t>
        </is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5</v>
      </c>
      <c r="N513" t="inlineStr">
        <is>
          <t>Tier 4</t>
        </is>
      </c>
      <c r="O513" t="inlineStr">
        <is>
          <t>James Sites — Senior Supply Chain Manager</t>
        </is>
      </c>
      <c r="P513" t="inlineStr">
        <is>
          <t>Senior Supply Chain Manager</t>
        </is>
      </c>
      <c r="Y513" t="inlineStr">
        <is>
          <t>todo</t>
        </is>
      </c>
      <c r="Z513">
        <f>(M513*Weights!$B$2) + (MIN(Q513,Weights!$B$5)*Weights!$B$3*(W513/100)*Weights!$B$4)</f>
        <v/>
      </c>
      <c r="AA513">
        <f>IF(Z513= ,,RANK.EQ({pri_col_letter}{r},{pri_range},0))</f>
        <v/>
      </c>
    </row>
    <row r="514">
      <c r="A514" t="inlineStr">
        <is>
          <t>Corona Companies</t>
        </is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5</v>
      </c>
      <c r="N514" t="inlineStr">
        <is>
          <t>Tier 4</t>
        </is>
      </c>
      <c r="O514" t="inlineStr">
        <is>
          <t>Juan Felipe Sandoval — Logistics Manager Northern Region</t>
        </is>
      </c>
      <c r="P514" t="inlineStr">
        <is>
          <t>Logistics Manager Northern Region</t>
        </is>
      </c>
      <c r="Y514" t="inlineStr">
        <is>
          <t>todo</t>
        </is>
      </c>
      <c r="Z514">
        <f>(M514*Weights!$B$2) + (MIN(Q514,Weights!$B$5)*Weights!$B$3*(W514/100)*Weights!$B$4)</f>
        <v/>
      </c>
      <c r="AA514">
        <f>IF(Z514= ,,RANK.EQ({pri_col_letter}{r},{pri_range},0))</f>
        <v/>
      </c>
    </row>
    <row r="515">
      <c r="A515" t="inlineStr">
        <is>
          <t>Crowley Logistics</t>
        </is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5</v>
      </c>
      <c r="N515" t="inlineStr">
        <is>
          <t>Tier 4</t>
        </is>
      </c>
      <c r="O515" t="inlineStr">
        <is>
          <t>Mark Coady — Director Land Transportation</t>
        </is>
      </c>
      <c r="P515" t="inlineStr">
        <is>
          <t>Director Land Transportation</t>
        </is>
      </c>
      <c r="Y515" t="inlineStr">
        <is>
          <t>todo</t>
        </is>
      </c>
      <c r="Z515">
        <f>(M515*Weights!$B$2) + (MIN(Q515,Weights!$B$5)*Weights!$B$3*(W515/100)*Weights!$B$4)</f>
        <v/>
      </c>
      <c r="AA515">
        <f>IF(Z515= ,,RANK.EQ({pri_col_letter}{r},{pri_range},0))</f>
        <v/>
      </c>
    </row>
    <row r="516">
      <c r="A516" t="inlineStr">
        <is>
          <t>DFA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5</v>
      </c>
      <c r="N516" t="inlineStr">
        <is>
          <t>Tier 4</t>
        </is>
      </c>
      <c r="O516" t="inlineStr">
        <is>
          <t>George Kelly — Sr. Director Supply Chain</t>
        </is>
      </c>
      <c r="P516" t="inlineStr">
        <is>
          <t>Sr. Director Supply Chain</t>
        </is>
      </c>
      <c r="Y516" t="inlineStr">
        <is>
          <t>todo</t>
        </is>
      </c>
      <c r="Z516">
        <f>(M516*Weights!$B$2) + (MIN(Q516,Weights!$B$5)*Weights!$B$3*(W516/100)*Weights!$B$4)</f>
        <v/>
      </c>
      <c r="AA516">
        <f>IF(Z516= ,,RANK.EQ({pri_col_letter}{r},{pri_range},0))</f>
        <v/>
      </c>
    </row>
    <row r="517">
      <c r="A517" t="inlineStr">
        <is>
          <t>DIGILOG</t>
        </is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5</v>
      </c>
      <c r="N517" t="inlineStr">
        <is>
          <t>Tier 4</t>
        </is>
      </c>
      <c r="O517" t="inlineStr">
        <is>
          <t>Hector Merchan — Operations Manager</t>
        </is>
      </c>
      <c r="P517" t="inlineStr">
        <is>
          <t>Operations Manager</t>
        </is>
      </c>
      <c r="Y517" t="inlineStr">
        <is>
          <t>todo</t>
        </is>
      </c>
      <c r="Z517">
        <f>(M517*Weights!$B$2) + (MIN(Q517,Weights!$B$5)*Weights!$B$3*(W517/100)*Weights!$B$4)</f>
        <v/>
      </c>
      <c r="AA517">
        <f>IF(Z517= ,,RANK.EQ({pri_col_letter}{r},{pri_range},0))</f>
        <v/>
      </c>
    </row>
    <row r="518">
      <c r="A518" t="inlineStr">
        <is>
          <t>Danby</t>
        </is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5</v>
      </c>
      <c r="N518" t="inlineStr">
        <is>
          <t>Tier 4</t>
        </is>
      </c>
      <c r="O518" t="inlineStr">
        <is>
          <t>Toby Weir — Sr. Director of Operations</t>
        </is>
      </c>
      <c r="P518" t="inlineStr">
        <is>
          <t>Sr. Director of Operations</t>
        </is>
      </c>
      <c r="Y518" t="inlineStr">
        <is>
          <t>todo</t>
        </is>
      </c>
      <c r="Z518">
        <f>(M518*Weights!$B$2) + (MIN(Q518,Weights!$B$5)*Weights!$B$3*(W518/100)*Weights!$B$4)</f>
        <v/>
      </c>
      <c r="AA518">
        <f>IF(Z518= ,,RANK.EQ({pri_col_letter}{r},{pri_range},0))</f>
        <v/>
      </c>
    </row>
    <row r="519">
      <c r="A519" t="inlineStr">
        <is>
          <t>Danby Appliances</t>
        </is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5</v>
      </c>
      <c r="N519" t="inlineStr">
        <is>
          <t>Tier 4</t>
        </is>
      </c>
      <c r="O519" t="inlineStr">
        <is>
          <t>Linelle Palmer — Customs and Logistics Manager</t>
        </is>
      </c>
      <c r="P519" t="inlineStr">
        <is>
          <t>Customs and Logistics Manager</t>
        </is>
      </c>
      <c r="Y519" t="inlineStr">
        <is>
          <t>todo</t>
        </is>
      </c>
      <c r="Z519">
        <f>(M519*Weights!$B$2) + (MIN(Q519,Weights!$B$5)*Weights!$B$3*(W519/100)*Weights!$B$4)</f>
        <v/>
      </c>
      <c r="AA519">
        <f>IF(Z519= ,,RANK.EQ({pri_col_letter}{r},{pri_range},0))</f>
        <v/>
      </c>
    </row>
    <row r="520">
      <c r="A520" t="inlineStr">
        <is>
          <t>Dawn Foods</t>
        </is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5</v>
      </c>
      <c r="N520" t="inlineStr">
        <is>
          <t>Tier 4</t>
        </is>
      </c>
      <c r="O520" t="inlineStr">
        <is>
          <t>Lori Lammers — Senior Director, Transportation and Distribution Support</t>
        </is>
      </c>
      <c r="P520" t="inlineStr">
        <is>
          <t>Senior Director, Transportation and Distribution Support</t>
        </is>
      </c>
      <c r="Y520" t="inlineStr">
        <is>
          <t>todo</t>
        </is>
      </c>
      <c r="Z520">
        <f>(M520*Weights!$B$2) + (MIN(Q520,Weights!$B$5)*Weights!$B$3*(W520/100)*Weights!$B$4)</f>
        <v/>
      </c>
      <c r="AA520">
        <f>IF(Z520= ,,RANK.EQ({pri_col_letter}{r},{pri_range},0))</f>
        <v/>
      </c>
    </row>
    <row r="521">
      <c r="A521" t="inlineStr">
        <is>
          <t>Deloitte Consulting LLC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5</v>
      </c>
      <c r="N521" t="inlineStr">
        <is>
          <t>Tier 4</t>
        </is>
      </c>
      <c r="O521" t="inlineStr">
        <is>
          <t>Vikas Vashisht — Managing Director - Supply Chain</t>
        </is>
      </c>
      <c r="P521" t="inlineStr">
        <is>
          <t>Managing Director - Supply Chain</t>
        </is>
      </c>
      <c r="Y521" t="inlineStr">
        <is>
          <t>todo</t>
        </is>
      </c>
      <c r="Z521">
        <f>(M521*Weights!$B$2) + (MIN(Q521,Weights!$B$5)*Weights!$B$3*(W521/100)*Weights!$B$4)</f>
        <v/>
      </c>
      <c r="AA521">
        <f>IF(Z521= ,,RANK.EQ({pri_col_letter}{r},{pri_range},0))</f>
        <v/>
      </c>
    </row>
    <row r="522">
      <c r="A522" t="inlineStr">
        <is>
          <t>Disney</t>
        </is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5</v>
      </c>
      <c r="N522" t="inlineStr">
        <is>
          <t>Tier 4</t>
        </is>
      </c>
      <c r="O522" t="inlineStr">
        <is>
          <t>Chad Stricklin — Global Operations Optimization</t>
        </is>
      </c>
      <c r="P522" t="inlineStr">
        <is>
          <t>Global Operations Optimization</t>
        </is>
      </c>
      <c r="Y522" t="inlineStr">
        <is>
          <t>todo</t>
        </is>
      </c>
      <c r="Z522">
        <f>(M522*Weights!$B$2) + (MIN(Q522,Weights!$B$5)*Weights!$B$3*(W522/100)*Weights!$B$4)</f>
        <v/>
      </c>
      <c r="AA522">
        <f>IF(Z522= ,,RANK.EQ({pri_col_letter}{r},{pri_range},0))</f>
        <v/>
      </c>
    </row>
    <row r="523">
      <c r="A523" t="inlineStr">
        <is>
          <t>Distributors Terminal</t>
        </is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5</v>
      </c>
      <c r="N523" t="inlineStr">
        <is>
          <t>Tier 4</t>
        </is>
      </c>
      <c r="O523" t="inlineStr">
        <is>
          <t>Leroy Scott — Operations Specialist</t>
        </is>
      </c>
      <c r="P523" t="inlineStr">
        <is>
          <t>Operations Specialist</t>
        </is>
      </c>
      <c r="Y523" t="inlineStr">
        <is>
          <t>todo</t>
        </is>
      </c>
      <c r="Z523">
        <f>(M523*Weights!$B$2) + (MIN(Q523,Weights!$B$5)*Weights!$B$3*(W523/100)*Weights!$B$4)</f>
        <v/>
      </c>
      <c r="AA523">
        <f>IF(Z523= ,,RANK.EQ({pri_col_letter}{r},{pri_range},0))</f>
        <v/>
      </c>
    </row>
    <row r="524">
      <c r="A524" t="inlineStr">
        <is>
          <t>Dollar General Corp.</t>
        </is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5</v>
      </c>
      <c r="N524" t="inlineStr">
        <is>
          <t>Tier 4</t>
        </is>
      </c>
      <c r="O524" t="inlineStr">
        <is>
          <t>Blake Reasons — Sr. Director, Domestic Inbound</t>
        </is>
      </c>
      <c r="P524" t="inlineStr">
        <is>
          <t>Sr. Director, Domestic Inbound</t>
        </is>
      </c>
      <c r="Y524" t="inlineStr">
        <is>
          <t>todo</t>
        </is>
      </c>
      <c r="Z524">
        <f>(M524*Weights!$B$2) + (MIN(Q524,Weights!$B$5)*Weights!$B$3*(W524/100)*Weights!$B$4)</f>
        <v/>
      </c>
      <c r="AA524">
        <f>IF(Z524= ,,RANK.EQ({pri_col_letter}{r},{pri_range},0))</f>
        <v/>
      </c>
    </row>
    <row r="525">
      <c r="A525" t="inlineStr">
        <is>
          <t>Dow</t>
        </is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5</v>
      </c>
      <c r="N525" t="inlineStr">
        <is>
          <t>Tier 4</t>
        </is>
      </c>
      <c r="O525" t="inlineStr">
        <is>
          <t>Paul Preston — Director, NA Road Logistics</t>
        </is>
      </c>
      <c r="P525" t="inlineStr">
        <is>
          <t>Director, NA Road Logistics</t>
        </is>
      </c>
      <c r="Y525" t="inlineStr">
        <is>
          <t>todo</t>
        </is>
      </c>
      <c r="Z525">
        <f>(M525*Weights!$B$2) + (MIN(Q525,Weights!$B$5)*Weights!$B$3*(W525/100)*Weights!$B$4)</f>
        <v/>
      </c>
      <c r="AA525">
        <f>IF(Z525= ,,RANK.EQ({pri_col_letter}{r},{pri_range},0))</f>
        <v/>
      </c>
    </row>
    <row r="526">
      <c r="A526" t="inlineStr">
        <is>
          <t>Dyson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5</v>
      </c>
      <c r="N526" t="inlineStr">
        <is>
          <t>Tier 4</t>
        </is>
      </c>
      <c r="O526" t="inlineStr">
        <is>
          <t>Kok Ee Lian — Global Supply Chain Director</t>
        </is>
      </c>
      <c r="P526" t="inlineStr">
        <is>
          <t>Global Supply Chain Director</t>
        </is>
      </c>
      <c r="Y526" t="inlineStr">
        <is>
          <t>todo</t>
        </is>
      </c>
      <c r="Z526">
        <f>(M526*Weights!$B$2) + (MIN(Q526,Weights!$B$5)*Weights!$B$3*(W526/100)*Weights!$B$4)</f>
        <v/>
      </c>
      <c r="AA526">
        <f>IF(Z526= ,,RANK.EQ({pri_col_letter}{r},{pri_range},0))</f>
        <v/>
      </c>
    </row>
    <row r="527">
      <c r="A527" t="inlineStr">
        <is>
          <t>E&amp;J Gallo Winery</t>
        </is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5</v>
      </c>
      <c r="N527" t="inlineStr">
        <is>
          <t>Tier 4</t>
        </is>
      </c>
      <c r="O527" t="inlineStr">
        <is>
          <t>Jon Mattison — Sr Manager - Operations Strategy</t>
        </is>
      </c>
      <c r="P527" t="inlineStr">
        <is>
          <t>Sr Manager - Operations Strategy</t>
        </is>
      </c>
      <c r="Y527" t="inlineStr">
        <is>
          <t>todo</t>
        </is>
      </c>
      <c r="Z527">
        <f>(M527*Weights!$B$2) + (MIN(Q527,Weights!$B$5)*Weights!$B$3*(W527/100)*Weights!$B$4)</f>
        <v/>
      </c>
      <c r="AA527">
        <f>IF(Z527= ,,RANK.EQ({pri_col_letter}{r},{pri_range},0))</f>
        <v/>
      </c>
    </row>
    <row r="528">
      <c r="A528" t="inlineStr">
        <is>
          <t>ESI Total Fuel Management</t>
        </is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5</v>
      </c>
      <c r="N528" t="inlineStr">
        <is>
          <t>Tier 4</t>
        </is>
      </c>
      <c r="O528" t="inlineStr">
        <is>
          <t>Frances Holmberg — Supply Chain and Logistics Manager</t>
        </is>
      </c>
      <c r="P528" t="inlineStr">
        <is>
          <t>Supply Chain and Logistics Manager</t>
        </is>
      </c>
      <c r="Y528" t="inlineStr">
        <is>
          <t>todo</t>
        </is>
      </c>
      <c r="Z528">
        <f>(M528*Weights!$B$2) + (MIN(Q528,Weights!$B$5)*Weights!$B$3*(W528/100)*Weights!$B$4)</f>
        <v/>
      </c>
      <c r="AA528">
        <f>IF(Z528= ,,RANK.EQ({pri_col_letter}{r},{pri_range},0))</f>
        <v/>
      </c>
    </row>
    <row r="529">
      <c r="A529" t="inlineStr">
        <is>
          <t>EVA NYC</t>
        </is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5</v>
      </c>
      <c r="N529" t="inlineStr">
        <is>
          <t>Tier 4</t>
        </is>
      </c>
      <c r="O529" t="inlineStr">
        <is>
          <t>Destiny Franklin — Sr Operations &amp; Logistics Coordinator</t>
        </is>
      </c>
      <c r="P529" t="inlineStr">
        <is>
          <t>Sr Operations &amp; Logistics Coordinator</t>
        </is>
      </c>
      <c r="Y529" t="inlineStr">
        <is>
          <t>todo</t>
        </is>
      </c>
      <c r="Z529">
        <f>(M529*Weights!$B$2) + (MIN(Q529,Weights!$B$5)*Weights!$B$3*(W529/100)*Weights!$B$4)</f>
        <v/>
      </c>
      <c r="AA529">
        <f>IF(Z529= ,,RANK.EQ({pri_col_letter}{r},{pri_range},0))</f>
        <v/>
      </c>
    </row>
    <row r="530">
      <c r="A530" t="inlineStr">
        <is>
          <t>Embark Veterinary</t>
        </is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5</v>
      </c>
      <c r="N530" t="inlineStr">
        <is>
          <t>Tier 4</t>
        </is>
      </c>
      <c r="O530" t="inlineStr">
        <is>
          <t>Jon Jangro — Director of Supply Chain</t>
        </is>
      </c>
      <c r="P530" t="inlineStr">
        <is>
          <t>Director of Supply Chain</t>
        </is>
      </c>
      <c r="Y530" t="inlineStr">
        <is>
          <t>todo</t>
        </is>
      </c>
      <c r="Z530">
        <f>(M530*Weights!$B$2) + (MIN(Q530,Weights!$B$5)*Weights!$B$3*(W530/100)*Weights!$B$4)</f>
        <v/>
      </c>
      <c r="AA530">
        <f>IF(Z530= ,,RANK.EQ({pri_col_letter}{r},{pri_range},0))</f>
        <v/>
      </c>
    </row>
    <row r="531">
      <c r="A531" t="inlineStr">
        <is>
          <t>Emerson</t>
        </is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5</v>
      </c>
      <c r="N531" t="inlineStr">
        <is>
          <t>Tier 4</t>
        </is>
      </c>
      <c r="O531" t="inlineStr">
        <is>
          <t>Navi Sidhu — Global Logistics Manager</t>
        </is>
      </c>
      <c r="P531" t="inlineStr">
        <is>
          <t>Global Logistics Manager</t>
        </is>
      </c>
      <c r="Y531" t="inlineStr">
        <is>
          <t>todo</t>
        </is>
      </c>
      <c r="Z531">
        <f>(M531*Weights!$B$2) + (MIN(Q531,Weights!$B$5)*Weights!$B$3*(W531/100)*Weights!$B$4)</f>
        <v/>
      </c>
      <c r="AA531">
        <f>IF(Z531= ,,RANK.EQ({pri_col_letter}{r},{pri_range},0))</f>
        <v/>
      </c>
    </row>
    <row r="532">
      <c r="A532" t="inlineStr">
        <is>
          <t>ExxonMobil</t>
        </is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5</v>
      </c>
      <c r="N532" t="inlineStr">
        <is>
          <t>Tier 4</t>
        </is>
      </c>
      <c r="O532" t="inlineStr">
        <is>
          <t>Astrit Salihu — Director Logistics Strategy</t>
        </is>
      </c>
      <c r="P532" t="inlineStr">
        <is>
          <t>Director Logistics Strategy</t>
        </is>
      </c>
      <c r="Y532" t="inlineStr">
        <is>
          <t>todo</t>
        </is>
      </c>
      <c r="Z532">
        <f>(M532*Weights!$B$2) + (MIN(Q532,Weights!$B$5)*Weights!$B$3*(W532/100)*Weights!$B$4)</f>
        <v/>
      </c>
      <c r="AA532">
        <f>IF(Z532= ,,RANK.EQ({pri_col_letter}{r},{pri_range},0))</f>
        <v/>
      </c>
    </row>
    <row r="533">
      <c r="A533" t="inlineStr">
        <is>
          <t>Ferrara</t>
        </is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5</v>
      </c>
      <c r="N533" t="inlineStr">
        <is>
          <t>Tier 4</t>
        </is>
      </c>
      <c r="O533" t="inlineStr">
        <is>
          <t>Tony Calbrese — Manager, Transportation</t>
        </is>
      </c>
      <c r="P533" t="inlineStr">
        <is>
          <t>Manager, Transportation</t>
        </is>
      </c>
      <c r="Y533" t="inlineStr">
        <is>
          <t>todo</t>
        </is>
      </c>
      <c r="Z533">
        <f>(M533*Weights!$B$2) + (MIN(Q533,Weights!$B$5)*Weights!$B$3*(W533/100)*Weights!$B$4)</f>
        <v/>
      </c>
      <c r="AA533">
        <f>IF(Z533= ,,RANK.EQ({pri_col_letter}{r},{pri_range},0))</f>
        <v/>
      </c>
    </row>
    <row r="534">
      <c r="A534" t="inlineStr">
        <is>
          <t>First Quality</t>
        </is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5</v>
      </c>
      <c r="N534" t="inlineStr">
        <is>
          <t>Tier 4</t>
        </is>
      </c>
      <c r="O534" t="inlineStr">
        <is>
          <t>Michael Godshall — Strat. Planning Leader - Mfg. Supply Chain</t>
        </is>
      </c>
      <c r="P534" t="inlineStr">
        <is>
          <t>Strat. Planning Leader - Mfg. Supply Chain</t>
        </is>
      </c>
      <c r="Y534" t="inlineStr">
        <is>
          <t>todo</t>
        </is>
      </c>
      <c r="Z534">
        <f>(M534*Weights!$B$2) + (MIN(Q534,Weights!$B$5)*Weights!$B$3*(W534/100)*Weights!$B$4)</f>
        <v/>
      </c>
      <c r="AA534">
        <f>IF(Z534= ,,RANK.EQ({pri_col_letter}{r},{pri_range},0))</f>
        <v/>
      </c>
    </row>
    <row r="535">
      <c r="A535" t="inlineStr">
        <is>
          <t>Fisico</t>
        </is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5</v>
      </c>
      <c r="N535" t="inlineStr">
        <is>
          <t>Tier 4</t>
        </is>
      </c>
      <c r="O535" t="inlineStr">
        <is>
          <t>Aleksandar Dimovski — Supply Chain Manager</t>
        </is>
      </c>
      <c r="P535" t="inlineStr">
        <is>
          <t>Supply Chain Manager</t>
        </is>
      </c>
      <c r="Y535" t="inlineStr">
        <is>
          <t>todo</t>
        </is>
      </c>
      <c r="Z535">
        <f>(M535*Weights!$B$2) + (MIN(Q535,Weights!$B$5)*Weights!$B$3*(W535/100)*Weights!$B$4)</f>
        <v/>
      </c>
      <c r="AA535">
        <f>IF(Z535= ,,RANK.EQ({pri_col_letter}{r},{pri_range},0))</f>
        <v/>
      </c>
    </row>
    <row r="536">
      <c r="A536" t="inlineStr">
        <is>
          <t>Five Below</t>
        </is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5</v>
      </c>
      <c r="N536" t="inlineStr">
        <is>
          <t>Tier 4</t>
        </is>
      </c>
      <c r="O536" t="inlineStr">
        <is>
          <t>Claire Zipkin — Logistics Manager</t>
        </is>
      </c>
      <c r="P536" t="inlineStr">
        <is>
          <t>Logistics Manager</t>
        </is>
      </c>
      <c r="Y536" t="inlineStr">
        <is>
          <t>todo</t>
        </is>
      </c>
      <c r="Z536">
        <f>(M536*Weights!$B$2) + (MIN(Q536,Weights!$B$5)*Weights!$B$3*(W536/100)*Weights!$B$4)</f>
        <v/>
      </c>
      <c r="AA536">
        <f>IF(Z536= ,,RANK.EQ({pri_col_letter}{r},{pri_range},0))</f>
        <v/>
      </c>
    </row>
    <row r="537">
      <c r="A537" t="inlineStr">
        <is>
          <t>Fluidmaster</t>
        </is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5</v>
      </c>
      <c r="N537" t="inlineStr">
        <is>
          <t>Tier 4</t>
        </is>
      </c>
      <c r="O537" t="inlineStr">
        <is>
          <t>Ian Arroyoavila — Logistics Specialist/ Supply Chain</t>
        </is>
      </c>
      <c r="P537" t="inlineStr">
        <is>
          <t>Logistics Specialist/ Supply Chain</t>
        </is>
      </c>
      <c r="Y537" t="inlineStr">
        <is>
          <t>todo</t>
        </is>
      </c>
      <c r="Z537">
        <f>(M537*Weights!$B$2) + (MIN(Q537,Weights!$B$5)*Weights!$B$3*(W537/100)*Weights!$B$4)</f>
        <v/>
      </c>
      <c r="AA537">
        <f>IF(Z537= ,,RANK.EQ({pri_col_letter}{r},{pri_range},0))</f>
        <v/>
      </c>
    </row>
    <row r="538">
      <c r="A538" t="inlineStr">
        <is>
          <t>Forbes</t>
        </is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5</v>
      </c>
      <c r="N538" t="inlineStr">
        <is>
          <t>Tier 4</t>
        </is>
      </c>
      <c r="O538" t="inlineStr">
        <is>
          <t>Paul Noble — AI &amp; Supply Chain Contributor</t>
        </is>
      </c>
      <c r="P538" t="inlineStr">
        <is>
          <t>AI &amp; Supply Chain Contributor</t>
        </is>
      </c>
      <c r="Y538" t="inlineStr">
        <is>
          <t>todo</t>
        </is>
      </c>
      <c r="Z538">
        <f>(M538*Weights!$B$2) + (MIN(Q538,Weights!$B$5)*Weights!$B$3*(W538/100)*Weights!$B$4)</f>
        <v/>
      </c>
      <c r="AA538">
        <f>IF(Z538= ,,RANK.EQ({pri_col_letter}{r},{pri_range},0))</f>
        <v/>
      </c>
    </row>
    <row r="539">
      <c r="A539" t="inlineStr">
        <is>
          <t>Foremost Farms USA</t>
        </is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5</v>
      </c>
      <c r="N539" t="inlineStr">
        <is>
          <t>Tier 4</t>
        </is>
      </c>
      <c r="O539" t="inlineStr">
        <is>
          <t>Ben Smith — Sr. Logistics Manager</t>
        </is>
      </c>
      <c r="P539" t="inlineStr">
        <is>
          <t>Sr. Logistics Manager</t>
        </is>
      </c>
      <c r="Y539" t="inlineStr">
        <is>
          <t>todo</t>
        </is>
      </c>
      <c r="Z539">
        <f>(M539*Weights!$B$2) + (MIN(Q539,Weights!$B$5)*Weights!$B$3*(W539/100)*Weights!$B$4)</f>
        <v/>
      </c>
      <c r="AA539">
        <f>IF(Z539= ,,RANK.EQ({pri_col_letter}{r},{pri_range},0))</f>
        <v/>
      </c>
    </row>
    <row r="540">
      <c r="A540" t="inlineStr">
        <is>
          <t>Fox Valley Technical College</t>
        </is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5</v>
      </c>
      <c r="N540" t="inlineStr">
        <is>
          <t>Tier 4</t>
        </is>
      </c>
      <c r="O540" t="inlineStr">
        <is>
          <t>Gaylen Haas — Instructor of Supply Chain Solutions</t>
        </is>
      </c>
      <c r="P540" t="inlineStr">
        <is>
          <t>Instructor of Supply Chain Solutions</t>
        </is>
      </c>
      <c r="Y540" t="inlineStr">
        <is>
          <t>todo</t>
        </is>
      </c>
      <c r="Z540">
        <f>(M540*Weights!$B$2) + (MIN(Q540,Weights!$B$5)*Weights!$B$3*(W540/100)*Weights!$B$4)</f>
        <v/>
      </c>
      <c r="AA540">
        <f>IF(Z540= ,,RANK.EQ({pri_col_letter}{r},{pri_range},0))</f>
        <v/>
      </c>
    </row>
    <row r="541">
      <c r="A541" t="inlineStr">
        <is>
          <t>Frame Work</t>
        </is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5</v>
      </c>
      <c r="N541" t="inlineStr">
        <is>
          <t>Tier 4</t>
        </is>
      </c>
      <c r="O541" t="inlineStr">
        <is>
          <t>Izzie Ali — Global director- logistics and fulfillment</t>
        </is>
      </c>
      <c r="P541" t="inlineStr">
        <is>
          <t>Global director- logistics and fulfillment</t>
        </is>
      </c>
      <c r="Y541" t="inlineStr">
        <is>
          <t>todo</t>
        </is>
      </c>
      <c r="Z541">
        <f>(M541*Weights!$B$2) + (MIN(Q541,Weights!$B$5)*Weights!$B$3*(W541/100)*Weights!$B$4)</f>
        <v/>
      </c>
      <c r="AA541">
        <f>IF(Z541= ,,RANK.EQ({pri_col_letter}{r},{pri_range},0))</f>
        <v/>
      </c>
    </row>
    <row r="542">
      <c r="A542" t="inlineStr">
        <is>
          <t>Freshpet</t>
        </is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5</v>
      </c>
      <c r="N542" t="inlineStr">
        <is>
          <t>Tier 4</t>
        </is>
      </c>
      <c r="O542" t="inlineStr">
        <is>
          <t>Derek Layo — Logistics Category Manager</t>
        </is>
      </c>
      <c r="P542" t="inlineStr">
        <is>
          <t>Logistics Category Manager</t>
        </is>
      </c>
      <c r="Y542" t="inlineStr">
        <is>
          <t>todo</t>
        </is>
      </c>
      <c r="Z542">
        <f>(M542*Weights!$B$2) + (MIN(Q542,Weights!$B$5)*Weights!$B$3*(W542/100)*Weights!$B$4)</f>
        <v/>
      </c>
      <c r="AA542">
        <f>IF(Z542= ,,RANK.EQ({pri_col_letter}{r},{pri_range},0))</f>
        <v/>
      </c>
    </row>
    <row r="543">
      <c r="A543" t="inlineStr">
        <is>
          <t>Fujifilm</t>
        </is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5</v>
      </c>
      <c r="N543" t="inlineStr">
        <is>
          <t>Tier 4</t>
        </is>
      </c>
      <c r="O543" t="inlineStr">
        <is>
          <t>Mark Villeneueva — Director North America Logistics</t>
        </is>
      </c>
      <c r="P543" t="inlineStr">
        <is>
          <t>Director North America Logistics</t>
        </is>
      </c>
      <c r="Y543" t="inlineStr">
        <is>
          <t>todo</t>
        </is>
      </c>
      <c r="Z543">
        <f>(M543*Weights!$B$2) + (MIN(Q543,Weights!$B$5)*Weights!$B$3*(W543/100)*Weights!$B$4)</f>
        <v/>
      </c>
      <c r="AA543">
        <f>IF(Z543= ,,RANK.EQ({pri_col_letter}{r},{pri_range},0))</f>
        <v/>
      </c>
    </row>
    <row r="544">
      <c r="A544" t="inlineStr">
        <is>
          <t>GEODIS Freight Forwarding</t>
        </is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5</v>
      </c>
      <c r="N544" t="inlineStr">
        <is>
          <t>Tier 4</t>
        </is>
      </c>
      <c r="O544" t="inlineStr">
        <is>
          <t>Talha Malik — Director Project Logistics Middle East - Energy &amp; Marine</t>
        </is>
      </c>
      <c r="P544" t="inlineStr">
        <is>
          <t>Director Project Logistics Middle East - Energy &amp; Marine</t>
        </is>
      </c>
      <c r="Y544" t="inlineStr">
        <is>
          <t>todo</t>
        </is>
      </c>
      <c r="Z544">
        <f>(M544*Weights!$B$2) + (MIN(Q544,Weights!$B$5)*Weights!$B$3*(W544/100)*Weights!$B$4)</f>
        <v/>
      </c>
      <c r="AA544">
        <f>IF(Z544= ,,RANK.EQ({pri_col_letter}{r},{pri_range},0))</f>
        <v/>
      </c>
    </row>
    <row r="545">
      <c r="A545" t="inlineStr">
        <is>
          <t>GT Golf Supplies</t>
        </is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5</v>
      </c>
      <c r="N545" t="inlineStr">
        <is>
          <t>Tier 4</t>
        </is>
      </c>
      <c r="O545" t="inlineStr">
        <is>
          <t>Joshua Hornsby — Warehouse Manager</t>
        </is>
      </c>
      <c r="P545" t="inlineStr">
        <is>
          <t>Warehouse Manager</t>
        </is>
      </c>
      <c r="Y545" t="inlineStr">
        <is>
          <t>todo</t>
        </is>
      </c>
      <c r="Z545">
        <f>(M545*Weights!$B$2) + (MIN(Q545,Weights!$B$5)*Weights!$B$3*(W545/100)*Weights!$B$4)</f>
        <v/>
      </c>
      <c r="AA545">
        <f>IF(Z545= ,,RANK.EQ({pri_col_letter}{r},{pri_range},0))</f>
        <v/>
      </c>
    </row>
    <row r="546">
      <c r="A546" t="inlineStr">
        <is>
          <t>Gap</t>
        </is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5</v>
      </c>
      <c r="N546" t="inlineStr">
        <is>
          <t>Tier 4</t>
        </is>
      </c>
      <c r="O546" t="inlineStr">
        <is>
          <t>Steve Schwietert — Sr. Director GSC Logistics Engineering &amp; Maintenance</t>
        </is>
      </c>
      <c r="P546" t="inlineStr">
        <is>
          <t>Sr. Director GSC Logistics Engineering &amp; Maintenance</t>
        </is>
      </c>
      <c r="Y546" t="inlineStr">
        <is>
          <t>todo</t>
        </is>
      </c>
      <c r="Z546">
        <f>(M546*Weights!$B$2) + (MIN(Q546,Weights!$B$5)*Weights!$B$3*(W546/100)*Weights!$B$4)</f>
        <v/>
      </c>
      <c r="AA546">
        <f>IF(Z546= ,,RANK.EQ({pri_col_letter}{r},{pri_range},0))</f>
        <v/>
      </c>
    </row>
    <row r="547">
      <c r="A547" t="inlineStr">
        <is>
          <t>Garick</t>
        </is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5</v>
      </c>
      <c r="N547" t="inlineStr">
        <is>
          <t>Tier 4</t>
        </is>
      </c>
      <c r="O547" t="inlineStr">
        <is>
          <t>Chris Sampson — Logistics Automation Leader</t>
        </is>
      </c>
      <c r="P547" t="inlineStr">
        <is>
          <t>Logistics Automation Leader</t>
        </is>
      </c>
      <c r="Y547" t="inlineStr">
        <is>
          <t>todo</t>
        </is>
      </c>
      <c r="Z547">
        <f>(M547*Weights!$B$2) + (MIN(Q547,Weights!$B$5)*Weights!$B$3*(W547/100)*Weights!$B$4)</f>
        <v/>
      </c>
      <c r="AA547">
        <f>IF(Z547= ,,RANK.EQ({pri_col_letter}{r},{pri_range},0))</f>
        <v/>
      </c>
    </row>
    <row r="548">
      <c r="A548" t="inlineStr">
        <is>
          <t>Gartner</t>
        </is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5</v>
      </c>
      <c r="N548" t="inlineStr">
        <is>
          <t>Tier 4</t>
        </is>
      </c>
      <c r="O548" t="inlineStr">
        <is>
          <t>Megan Crist — Supply Chain</t>
        </is>
      </c>
      <c r="P548" t="inlineStr">
        <is>
          <t>Supply Chain</t>
        </is>
      </c>
      <c r="Y548" t="inlineStr">
        <is>
          <t>todo</t>
        </is>
      </c>
      <c r="Z548">
        <f>(M548*Weights!$B$2) + (MIN(Q548,Weights!$B$5)*Weights!$B$3*(W548/100)*Weights!$B$4)</f>
        <v/>
      </c>
      <c r="AA548">
        <f>IF(Z548= ,,RANK.EQ({pri_col_letter}{r},{pri_range},0))</f>
        <v/>
      </c>
    </row>
    <row r="549">
      <c r="A549" t="inlineStr">
        <is>
          <t>Gebrüder Weiss</t>
        </is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5</v>
      </c>
      <c r="N549" t="inlineStr">
        <is>
          <t>Tier 4</t>
        </is>
      </c>
      <c r="O549" t="inlineStr">
        <is>
          <t>Kevin Sendre — Director of FTL North America Road Transport</t>
        </is>
      </c>
      <c r="P549" t="inlineStr">
        <is>
          <t>Director of FTL North America Road Transport</t>
        </is>
      </c>
      <c r="Y549" t="inlineStr">
        <is>
          <t>todo</t>
        </is>
      </c>
      <c r="Z549">
        <f>(M549*Weights!$B$2) + (MIN(Q549,Weights!$B$5)*Weights!$B$3*(W549/100)*Weights!$B$4)</f>
        <v/>
      </c>
      <c r="AA549">
        <f>IF(Z549= ,,RANK.EQ({pri_col_letter}{r},{pri_range},0))</f>
        <v/>
      </c>
    </row>
    <row r="550">
      <c r="A550" t="inlineStr">
        <is>
          <t>General Motors</t>
        </is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5</v>
      </c>
      <c r="N550" t="inlineStr">
        <is>
          <t>Tier 4</t>
        </is>
      </c>
      <c r="O550" t="inlineStr">
        <is>
          <t>Jeff Thom — Inbound Logistics Manager</t>
        </is>
      </c>
      <c r="P550" t="inlineStr">
        <is>
          <t>Inbound Logistics Manager</t>
        </is>
      </c>
      <c r="Y550" t="inlineStr">
        <is>
          <t>todo</t>
        </is>
      </c>
      <c r="Z550">
        <f>(M550*Weights!$B$2) + (MIN(Q550,Weights!$B$5)*Weights!$B$3*(W550/100)*Weights!$B$4)</f>
        <v/>
      </c>
      <c r="AA550">
        <f>IF(Z550= ,,RANK.EQ({pri_col_letter}{r},{pri_range},0))</f>
        <v/>
      </c>
    </row>
    <row r="551">
      <c r="A551" t="inlineStr">
        <is>
          <t>Georgia Tech Professional Education (GTPE) Chris Gaffney Managing Director, S</t>
        </is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5</v>
      </c>
      <c r="N551" t="inlineStr">
        <is>
          <t>Tier 4</t>
        </is>
      </c>
      <c r="O551" t="inlineStr">
        <is>
          <t>Chris Gaffney — Managing Director, Supply Chain &amp; Logistics Institute (SCL)</t>
        </is>
      </c>
      <c r="P551" t="inlineStr">
        <is>
          <t>Managing Director, Supply Chain &amp; Logistics Institute (SCL)</t>
        </is>
      </c>
      <c r="Y551" t="inlineStr">
        <is>
          <t>todo</t>
        </is>
      </c>
      <c r="Z551">
        <f>(M551*Weights!$B$2) + (MIN(Q551,Weights!$B$5)*Weights!$B$3*(W551/100)*Weights!$B$4)</f>
        <v/>
      </c>
      <c r="AA551">
        <f>IF(Z551= ,,RANK.EQ({pri_col_letter}{r},{pri_range},0))</f>
        <v/>
      </c>
    </row>
    <row r="552">
      <c r="A552" t="inlineStr">
        <is>
          <t>Gillespiemanners</t>
        </is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5</v>
      </c>
      <c r="N552" t="inlineStr">
        <is>
          <t>Tier 4</t>
        </is>
      </c>
      <c r="O552" t="inlineStr">
        <is>
          <t>Wayne Passmore — Manager Robotics &amp; Supply Chain Technology</t>
        </is>
      </c>
      <c r="P552" t="inlineStr">
        <is>
          <t>Manager Robotics &amp; Supply Chain Technology</t>
        </is>
      </c>
      <c r="Y552" t="inlineStr">
        <is>
          <t>todo</t>
        </is>
      </c>
      <c r="Z552">
        <f>(M552*Weights!$B$2) + (MIN(Q552,Weights!$B$5)*Weights!$B$3*(W552/100)*Weights!$B$4)</f>
        <v/>
      </c>
      <c r="AA552">
        <f>IF(Z552= ,,RANK.EQ({pri_col_letter}{r},{pri_range},0))</f>
        <v/>
      </c>
    </row>
    <row r="553">
      <c r="A553" t="inlineStr">
        <is>
          <t>GoPro</t>
        </is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5</v>
      </c>
      <c r="N553" t="inlineStr">
        <is>
          <t>Tier 4</t>
        </is>
      </c>
      <c r="O553" t="inlineStr">
        <is>
          <t>Leah Gionet — Sr. Analyst, Transportation &amp; Trade Compliance</t>
        </is>
      </c>
      <c r="P553" t="inlineStr">
        <is>
          <t>Sr. Analyst, Transportation &amp; Trade Compliance</t>
        </is>
      </c>
      <c r="Y553" t="inlineStr">
        <is>
          <t>todo</t>
        </is>
      </c>
      <c r="Z553">
        <f>(M553*Weights!$B$2) + (MIN(Q553,Weights!$B$5)*Weights!$B$3*(W553/100)*Weights!$B$4)</f>
        <v/>
      </c>
      <c r="AA553">
        <f>IF(Z553= ,,RANK.EQ({pri_col_letter}{r},{pri_range},0))</f>
        <v/>
      </c>
    </row>
    <row r="554">
      <c r="A554" t="inlineStr">
        <is>
          <t>Goodwill of Orange County</t>
        </is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5</v>
      </c>
      <c r="N554" t="inlineStr">
        <is>
          <t>Tier 4</t>
        </is>
      </c>
      <c r="O554" t="inlineStr">
        <is>
          <t>Chris Sewitsky — Senior Director of Operations</t>
        </is>
      </c>
      <c r="P554" t="inlineStr">
        <is>
          <t>Senior Director of Operations</t>
        </is>
      </c>
      <c r="Y554" t="inlineStr">
        <is>
          <t>todo</t>
        </is>
      </c>
      <c r="Z554">
        <f>(M554*Weights!$B$2) + (MIN(Q554,Weights!$B$5)*Weights!$B$3*(W554/100)*Weights!$B$4)</f>
        <v/>
      </c>
      <c r="AA554">
        <f>IF(Z554= ,,RANK.EQ({pri_col_letter}{r},{pri_range},0))</f>
        <v/>
      </c>
    </row>
    <row r="555">
      <c r="A555" t="inlineStr">
        <is>
          <t>Griffith Foods</t>
        </is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5</v>
      </c>
      <c r="N555" t="inlineStr">
        <is>
          <t>Tier 4</t>
        </is>
      </c>
      <c r="O555" t="inlineStr">
        <is>
          <t>Vijay Muralidaran — Director of Operations, Supply Chain</t>
        </is>
      </c>
      <c r="P555" t="inlineStr">
        <is>
          <t>Director of Operations, Supply Chain</t>
        </is>
      </c>
      <c r="Y555" t="inlineStr">
        <is>
          <t>todo</t>
        </is>
      </c>
      <c r="Z555">
        <f>(M555*Weights!$B$2) + (MIN(Q555,Weights!$B$5)*Weights!$B$3*(W555/100)*Weights!$B$4)</f>
        <v/>
      </c>
      <c r="AA555">
        <f>IF(Z555= ,,RANK.EQ({pri_col_letter}{r},{pri_range},0))</f>
        <v/>
      </c>
    </row>
    <row r="556">
      <c r="A556" t="inlineStr">
        <is>
          <t>Grupo Herdez</t>
        </is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5</v>
      </c>
      <c r="N556" t="inlineStr">
        <is>
          <t>Tier 4</t>
        </is>
      </c>
      <c r="O556" t="inlineStr">
        <is>
          <t>Miguel Collado — Logistics Director</t>
        </is>
      </c>
      <c r="P556" t="inlineStr">
        <is>
          <t>Logistics Director</t>
        </is>
      </c>
      <c r="Y556" t="inlineStr">
        <is>
          <t>todo</t>
        </is>
      </c>
      <c r="Z556">
        <f>(M556*Weights!$B$2) + (MIN(Q556,Weights!$B$5)*Weights!$B$3*(W556/100)*Weights!$B$4)</f>
        <v/>
      </c>
      <c r="AA556">
        <f>IF(Z556= ,,RANK.EQ({pri_col_letter}{r},{pri_range},0))</f>
        <v/>
      </c>
    </row>
    <row r="557">
      <c r="A557" t="inlineStr">
        <is>
          <t>HP</t>
        </is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5</v>
      </c>
      <c r="N557" t="inlineStr">
        <is>
          <t>Tier 4</t>
        </is>
      </c>
      <c r="O557" t="inlineStr">
        <is>
          <t>Sofia Rivas — Supply Chain Network Design and Optimization Manager</t>
        </is>
      </c>
      <c r="P557" t="inlineStr">
        <is>
          <t>Supply Chain Network Design and Optimization Manager</t>
        </is>
      </c>
      <c r="Y557" t="inlineStr">
        <is>
          <t>todo</t>
        </is>
      </c>
      <c r="Z557">
        <f>(M557*Weights!$B$2) + (MIN(Q557,Weights!$B$5)*Weights!$B$3*(W557/100)*Weights!$B$4)</f>
        <v/>
      </c>
      <c r="AA557">
        <f>IF(Z557= ,,RANK.EQ({pri_col_letter}{r},{pri_range},0))</f>
        <v/>
      </c>
    </row>
    <row r="558">
      <c r="A558" t="inlineStr">
        <is>
          <t>HP, Inc.</t>
        </is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5</v>
      </c>
      <c r="N558" t="inlineStr">
        <is>
          <t>Tier 4</t>
        </is>
      </c>
      <c r="O558" t="inlineStr">
        <is>
          <t>Donnie Boehnke — Logistics Manager</t>
        </is>
      </c>
      <c r="P558" t="inlineStr">
        <is>
          <t>Logistics Manager</t>
        </is>
      </c>
      <c r="Y558" t="inlineStr">
        <is>
          <t>todo</t>
        </is>
      </c>
      <c r="Z558">
        <f>(M558*Weights!$B$2) + (MIN(Q558,Weights!$B$5)*Weights!$B$3*(W558/100)*Weights!$B$4)</f>
        <v/>
      </c>
      <c r="AA558">
        <f>IF(Z558= ,,RANK.EQ({pri_col_letter}{r},{pri_range},0))</f>
        <v/>
      </c>
    </row>
    <row r="559">
      <c r="A559" t="inlineStr">
        <is>
          <t>Hanon Systems</t>
        </is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5</v>
      </c>
      <c r="N559" t="inlineStr">
        <is>
          <t>Tier 4</t>
        </is>
      </c>
      <c r="O559" t="inlineStr">
        <is>
          <t>Jerry Garcia — Americas Logistics Lead – MP&amp;L</t>
        </is>
      </c>
      <c r="P559" t="inlineStr">
        <is>
          <t>Americas Logistics Lead – MP&amp;L</t>
        </is>
      </c>
      <c r="Y559" t="inlineStr">
        <is>
          <t>todo</t>
        </is>
      </c>
      <c r="Z559">
        <f>(M559*Weights!$B$2) + (MIN(Q559,Weights!$B$5)*Weights!$B$3*(W559/100)*Weights!$B$4)</f>
        <v/>
      </c>
      <c r="AA559">
        <f>IF(Z559= ,,RANK.EQ({pri_col_letter}{r},{pri_range},0))</f>
        <v/>
      </c>
    </row>
    <row r="560">
      <c r="A560" t="inlineStr">
        <is>
          <t>Hanwha Vision</t>
        </is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5</v>
      </c>
      <c r="N560" t="inlineStr">
        <is>
          <t>Tier 4</t>
        </is>
      </c>
      <c r="O560" t="inlineStr">
        <is>
          <t>Jeff Radford — BDM - Logistics</t>
        </is>
      </c>
      <c r="P560" t="inlineStr">
        <is>
          <t>BDM - Logistics</t>
        </is>
      </c>
      <c r="Y560" t="inlineStr">
        <is>
          <t>todo</t>
        </is>
      </c>
      <c r="Z560">
        <f>(M560*Weights!$B$2) + (MIN(Q560,Weights!$B$5)*Weights!$B$3*(W560/100)*Weights!$B$4)</f>
        <v/>
      </c>
      <c r="AA560">
        <f>IF(Z560= ,,RANK.EQ({pri_col_letter}{r},{pri_range},0))</f>
        <v/>
      </c>
    </row>
    <row r="561">
      <c r="A561" t="inlineStr">
        <is>
          <t>Harley-Davidson</t>
        </is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5</v>
      </c>
      <c r="N561" t="inlineStr">
        <is>
          <t>Tier 4</t>
        </is>
      </c>
      <c r="O561" t="inlineStr">
        <is>
          <t>Jeremy James — Logistics Manager</t>
        </is>
      </c>
      <c r="P561" t="inlineStr">
        <is>
          <t>Logistics Manager</t>
        </is>
      </c>
      <c r="Y561" t="inlineStr">
        <is>
          <t>todo</t>
        </is>
      </c>
      <c r="Z561">
        <f>(M561*Weights!$B$2) + (MIN(Q561,Weights!$B$5)*Weights!$B$3*(W561/100)*Weights!$B$4)</f>
        <v/>
      </c>
      <c r="AA561">
        <f>IF(Z561= ,,RANK.EQ({pri_col_letter}{r},{pri_range},0))</f>
        <v/>
      </c>
    </row>
    <row r="562">
      <c r="A562" t="inlineStr">
        <is>
          <t>Hayes Co. dba; Knight-Swift Warehousing &amp; Fulfillment</t>
        </is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5</v>
      </c>
      <c r="N562" t="inlineStr">
        <is>
          <t>Tier 4</t>
        </is>
      </c>
      <c r="O562" t="inlineStr">
        <is>
          <t>Bobbie Kelley — Knight-Swift Warehousing &amp; Fulfillment</t>
        </is>
      </c>
      <c r="P562" t="inlineStr">
        <is>
          <t>Knight-Swift Warehousing &amp; Fulfillment</t>
        </is>
      </c>
      <c r="Y562" t="inlineStr">
        <is>
          <t>todo</t>
        </is>
      </c>
      <c r="Z562">
        <f>(M562*Weights!$B$2) + (MIN(Q562,Weights!$B$5)*Weights!$B$3*(W562/100)*Weights!$B$4)</f>
        <v/>
      </c>
      <c r="AA562">
        <f>IF(Z562= ,,RANK.EQ({pri_col_letter}{r},{pri_range},0))</f>
        <v/>
      </c>
    </row>
    <row r="563">
      <c r="A563" t="inlineStr">
        <is>
          <t>Hercules Inc</t>
        </is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5</v>
      </c>
      <c r="N563" t="inlineStr">
        <is>
          <t>Tier 4</t>
        </is>
      </c>
      <c r="O563" t="inlineStr">
        <is>
          <t>Tim Dewald — Director of Supply Chain</t>
        </is>
      </c>
      <c r="P563" t="inlineStr">
        <is>
          <t>Director of Supply Chain</t>
        </is>
      </c>
      <c r="Y563" t="inlineStr">
        <is>
          <t>todo</t>
        </is>
      </c>
      <c r="Z563">
        <f>(M563*Weights!$B$2) + (MIN(Q563,Weights!$B$5)*Weights!$B$3*(W563/100)*Weights!$B$4)</f>
        <v/>
      </c>
      <c r="AA563">
        <f>IF(Z563= ,,RANK.EQ({pri_col_letter}{r},{pri_range},0))</f>
        <v/>
      </c>
    </row>
    <row r="564">
      <c r="A564" t="inlineStr">
        <is>
          <t>Homewerks</t>
        </is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5</v>
      </c>
      <c r="N564" t="inlineStr">
        <is>
          <t>Tier 4</t>
        </is>
      </c>
      <c r="O564" t="inlineStr">
        <is>
          <t>Semir Basic — Director of Logistics</t>
        </is>
      </c>
      <c r="P564" t="inlineStr">
        <is>
          <t>Director of Logistics</t>
        </is>
      </c>
      <c r="Y564" t="inlineStr">
        <is>
          <t>todo</t>
        </is>
      </c>
      <c r="Z564">
        <f>(M564*Weights!$B$2) + (MIN(Q564,Weights!$B$5)*Weights!$B$3*(W564/100)*Weights!$B$4)</f>
        <v/>
      </c>
      <c r="AA564">
        <f>IF(Z564= ,,RANK.EQ({pri_col_letter}{r},{pri_range},0))</f>
        <v/>
      </c>
    </row>
    <row r="565">
      <c r="A565" t="inlineStr">
        <is>
          <t>Hotel Chocolat</t>
        </is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5</v>
      </c>
      <c r="N565" t="inlineStr">
        <is>
          <t>Tier 4</t>
        </is>
      </c>
      <c r="O565" t="inlineStr">
        <is>
          <t>Brian Sedlak — Operations &amp; Logistics Manager, US Expansion</t>
        </is>
      </c>
      <c r="P565" t="inlineStr">
        <is>
          <t>Operations &amp; Logistics Manager, US Expansion</t>
        </is>
      </c>
      <c r="Y565" t="inlineStr">
        <is>
          <t>todo</t>
        </is>
      </c>
      <c r="Z565">
        <f>(M565*Weights!$B$2) + (MIN(Q565,Weights!$B$5)*Weights!$B$3*(W565/100)*Weights!$B$4)</f>
        <v/>
      </c>
      <c r="AA565">
        <f>IF(Z565= ,,RANK.EQ({pri_col_letter}{r},{pri_range},0))</f>
        <v/>
      </c>
    </row>
    <row r="566">
      <c r="A566" t="inlineStr">
        <is>
          <t>ILIA Beauty</t>
        </is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5</v>
      </c>
      <c r="N566" t="inlineStr">
        <is>
          <t>Tier 4</t>
        </is>
      </c>
      <c r="O566" t="inlineStr">
        <is>
          <t>Madeline Heartt — Senior Director, Operations</t>
        </is>
      </c>
      <c r="P566" t="inlineStr">
        <is>
          <t>Senior Director, Operations</t>
        </is>
      </c>
      <c r="Y566" t="inlineStr">
        <is>
          <t>todo</t>
        </is>
      </c>
      <c r="Z566">
        <f>(M566*Weights!$B$2) + (MIN(Q566,Weights!$B$5)*Weights!$B$3*(W566/100)*Weights!$B$4)</f>
        <v/>
      </c>
      <c r="AA566">
        <f>IF(Z566= ,,RANK.EQ({pri_col_letter}{r},{pri_range},0))</f>
        <v/>
      </c>
    </row>
    <row r="567">
      <c r="A567" t="inlineStr">
        <is>
          <t>Identity Group</t>
        </is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5</v>
      </c>
      <c r="N567" t="inlineStr">
        <is>
          <t>Tier 4</t>
        </is>
      </c>
      <c r="O567" t="inlineStr">
        <is>
          <t>Justin Tayes — Supply Chain Manager</t>
        </is>
      </c>
      <c r="P567" t="inlineStr">
        <is>
          <t>Supply Chain Manager</t>
        </is>
      </c>
      <c r="Y567" t="inlineStr">
        <is>
          <t>todo</t>
        </is>
      </c>
      <c r="Z567">
        <f>(M567*Weights!$B$2) + (MIN(Q567,Weights!$B$5)*Weights!$B$3*(W567/100)*Weights!$B$4)</f>
        <v/>
      </c>
      <c r="AA567">
        <f>IF(Z567= ,,RANK.EQ({pri_col_letter}{r},{pri_range},0))</f>
        <v/>
      </c>
    </row>
    <row r="568">
      <c r="A568" t="inlineStr">
        <is>
          <t>Illuminate USA LLc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5</v>
      </c>
      <c r="N568" t="inlineStr">
        <is>
          <t>Tier 4</t>
        </is>
      </c>
      <c r="O568" t="inlineStr">
        <is>
          <t>Brock Garver — Operations Manager</t>
        </is>
      </c>
      <c r="P568" t="inlineStr">
        <is>
          <t>Operations Manager</t>
        </is>
      </c>
      <c r="Y568" t="inlineStr">
        <is>
          <t>todo</t>
        </is>
      </c>
      <c r="Z568">
        <f>(M568*Weights!$B$2) + (MIN(Q568,Weights!$B$5)*Weights!$B$3*(W568/100)*Weights!$B$4)</f>
        <v/>
      </c>
      <c r="AA568">
        <f>IF(Z568= ,,RANK.EQ({pri_col_letter}{r},{pri_range},0))</f>
        <v/>
      </c>
    </row>
    <row r="569">
      <c r="A569" t="inlineStr">
        <is>
          <t>Ingredion</t>
        </is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5</v>
      </c>
      <c r="N569" t="inlineStr">
        <is>
          <t>Tier 4</t>
        </is>
      </c>
      <c r="O569" t="inlineStr">
        <is>
          <t>Cara O'Hare — Senior Director, Global Logistics and Trade Compliance</t>
        </is>
      </c>
      <c r="P569" t="inlineStr">
        <is>
          <t>Senior Director, Global Logistics and Trade Compliance</t>
        </is>
      </c>
      <c r="Y569" t="inlineStr">
        <is>
          <t>todo</t>
        </is>
      </c>
      <c r="Z569">
        <f>(M569*Weights!$B$2) + (MIN(Q569,Weights!$B$5)*Weights!$B$3*(W569/100)*Weights!$B$4)</f>
        <v/>
      </c>
      <c r="AA569">
        <f>IF(Z569= ,,RANK.EQ({pri_col_letter}{r},{pri_range},0))</f>
        <v/>
      </c>
    </row>
    <row r="570">
      <c r="A570" t="inlineStr">
        <is>
          <t>International Food Solutions</t>
        </is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5</v>
      </c>
      <c r="N570" t="inlineStr">
        <is>
          <t>Tier 4</t>
        </is>
      </c>
      <c r="O570" t="inlineStr">
        <is>
          <t>Lirio Salvatierra — Logistics / CSR Manager</t>
        </is>
      </c>
      <c r="P570" t="inlineStr">
        <is>
          <t>Logistics / CSR Manager</t>
        </is>
      </c>
      <c r="Y570" t="inlineStr">
        <is>
          <t>todo</t>
        </is>
      </c>
      <c r="Z570">
        <f>(M570*Weights!$B$2) + (MIN(Q570,Weights!$B$5)*Weights!$B$3*(W570/100)*Weights!$B$4)</f>
        <v/>
      </c>
      <c r="AA570">
        <f>IF(Z570= ,,RANK.EQ({pri_col_letter}{r},{pri_range},0))</f>
        <v/>
      </c>
    </row>
    <row r="571">
      <c r="A571" t="inlineStr">
        <is>
          <t>Ivocar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5</v>
      </c>
      <c r="N571" t="inlineStr">
        <is>
          <t>Tier 4</t>
        </is>
      </c>
      <c r="O571" t="inlineStr">
        <is>
          <t>Nector Riviera-Tores — Director of Operations</t>
        </is>
      </c>
      <c r="P571" t="inlineStr">
        <is>
          <t>Director of Operations</t>
        </is>
      </c>
      <c r="Y571" t="inlineStr">
        <is>
          <t>todo</t>
        </is>
      </c>
      <c r="Z571">
        <f>(M571*Weights!$B$2) + (MIN(Q571,Weights!$B$5)*Weights!$B$3*(W571/100)*Weights!$B$4)</f>
        <v/>
      </c>
      <c r="AA571">
        <f>IF(Z571= ,,RANK.EQ({pri_col_letter}{r},{pri_range},0))</f>
        <v/>
      </c>
    </row>
    <row r="572">
      <c r="A572" t="inlineStr">
        <is>
          <t>J.P. Morgan</t>
        </is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5</v>
      </c>
      <c r="N572" t="inlineStr">
        <is>
          <t>Tier 4</t>
        </is>
      </c>
      <c r="O572" t="inlineStr">
        <is>
          <t>Tom Pavlou — Supply Chain Investment Banking</t>
        </is>
      </c>
      <c r="P572" t="inlineStr">
        <is>
          <t>Supply Chain Investment Banking</t>
        </is>
      </c>
      <c r="Y572" t="inlineStr">
        <is>
          <t>todo</t>
        </is>
      </c>
      <c r="Z572">
        <f>(M572*Weights!$B$2) + (MIN(Q572,Weights!$B$5)*Weights!$B$3*(W572/100)*Weights!$B$4)</f>
        <v/>
      </c>
      <c r="AA572">
        <f>IF(Z572= ,,RANK.EQ({pri_col_letter}{r},{pri_range},0))</f>
        <v/>
      </c>
    </row>
    <row r="573">
      <c r="A573" t="inlineStr">
        <is>
          <t>JEM Systems</t>
        </is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5</v>
      </c>
      <c r="N573" t="inlineStr">
        <is>
          <t>Tier 4</t>
        </is>
      </c>
      <c r="O573" t="inlineStr">
        <is>
          <t>Geoffrey Bailey — Global Director of Operations &amp; Logistics</t>
        </is>
      </c>
      <c r="P573" t="inlineStr">
        <is>
          <t>Global Director of Operations &amp; Logistics</t>
        </is>
      </c>
      <c r="Y573" t="inlineStr">
        <is>
          <t>todo</t>
        </is>
      </c>
      <c r="Z573">
        <f>(M573*Weights!$B$2) + (MIN(Q573,Weights!$B$5)*Weights!$B$3*(W573/100)*Weights!$B$4)</f>
        <v/>
      </c>
      <c r="AA573">
        <f>IF(Z573= ,,RANK.EQ({pri_col_letter}{r},{pri_range},0))</f>
        <v/>
      </c>
    </row>
    <row r="574">
      <c r="A574" t="inlineStr">
        <is>
          <t>James Group Intl</t>
        </is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5</v>
      </c>
      <c r="N574" t="inlineStr">
        <is>
          <t>Tier 4</t>
        </is>
      </c>
      <c r="O574" t="inlineStr">
        <is>
          <t>Robert Houston — Regional Director of Operations</t>
        </is>
      </c>
      <c r="P574" t="inlineStr">
        <is>
          <t>Regional Director of Operations</t>
        </is>
      </c>
      <c r="Y574" t="inlineStr">
        <is>
          <t>todo</t>
        </is>
      </c>
      <c r="Z574">
        <f>(M574*Weights!$B$2) + (MIN(Q574,Weights!$B$5)*Weights!$B$3*(W574/100)*Weights!$B$4)</f>
        <v/>
      </c>
      <c r="AA574">
        <f>IF(Z574= ,,RANK.EQ({pri_col_letter}{r},{pri_range},0))</f>
        <v/>
      </c>
    </row>
    <row r="575">
      <c r="A575" t="inlineStr">
        <is>
          <t>K18</t>
        </is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5</v>
      </c>
      <c r="N575" t="inlineStr">
        <is>
          <t>Tier 4</t>
        </is>
      </c>
      <c r="O575" t="inlineStr">
        <is>
          <t>Maria Elhafed — Distribution &amp; Logistics</t>
        </is>
      </c>
      <c r="P575" t="inlineStr">
        <is>
          <t>Distribution &amp; Logistics</t>
        </is>
      </c>
      <c r="Y575" t="inlineStr">
        <is>
          <t>todo</t>
        </is>
      </c>
      <c r="Z575">
        <f>(M575*Weights!$B$2) + (MIN(Q575,Weights!$B$5)*Weights!$B$3*(W575/100)*Weights!$B$4)</f>
        <v/>
      </c>
      <c r="AA575">
        <f>IF(Z575= ,,RANK.EQ({pri_col_letter}{r},{pri_range},0))</f>
        <v/>
      </c>
    </row>
    <row r="576">
      <c r="A576" t="inlineStr">
        <is>
          <t>KGP TELECOMMUNICATIONS LLC</t>
        </is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5</v>
      </c>
      <c r="N576" t="inlineStr">
        <is>
          <t>Tier 4</t>
        </is>
      </c>
      <c r="O576" t="inlineStr">
        <is>
          <t>Jerry Garcia — Sr. Director of Transportation &amp; Logistics</t>
        </is>
      </c>
      <c r="P576" t="inlineStr">
        <is>
          <t>Sr. Director of Transportation &amp; Logistics</t>
        </is>
      </c>
      <c r="Y576" t="inlineStr">
        <is>
          <t>todo</t>
        </is>
      </c>
      <c r="Z576">
        <f>(M576*Weights!$B$2) + (MIN(Q576,Weights!$B$5)*Weights!$B$3*(W576/100)*Weights!$B$4)</f>
        <v/>
      </c>
      <c r="AA576">
        <f>IF(Z576= ,,RANK.EQ({pri_col_letter}{r},{pri_range},0))</f>
        <v/>
      </c>
    </row>
    <row r="577">
      <c r="A577" t="inlineStr">
        <is>
          <t>Kellanova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5</v>
      </c>
      <c r="N577" t="inlineStr">
        <is>
          <t>Tier 4</t>
        </is>
      </c>
      <c r="O577" t="inlineStr">
        <is>
          <t>Adam Beuker — Senior Director, KNA Supply Chain Service / Continuous Improvement</t>
        </is>
      </c>
      <c r="P577" t="inlineStr">
        <is>
          <t>Senior Director, KNA Supply Chain Service / Continuous Improvement</t>
        </is>
      </c>
      <c r="Y577" t="inlineStr">
        <is>
          <t>todo</t>
        </is>
      </c>
      <c r="Z577">
        <f>(M577*Weights!$B$2) + (MIN(Q577,Weights!$B$5)*Weights!$B$3*(W577/100)*Weights!$B$4)</f>
        <v/>
      </c>
      <c r="AA577">
        <f>IF(Z577= ,,RANK.EQ({pri_col_letter}{r},{pri_range},0))</f>
        <v/>
      </c>
    </row>
    <row r="578">
      <c r="A578" t="inlineStr">
        <is>
          <t>Kenvue Inc</t>
        </is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5</v>
      </c>
      <c r="N578" t="inlineStr">
        <is>
          <t>Tier 4</t>
        </is>
      </c>
      <c r="O578" t="inlineStr">
        <is>
          <t>Rohit Gupta — Kenvue Distribution QA</t>
        </is>
      </c>
      <c r="P578" t="inlineStr">
        <is>
          <t>Kenvue Distribution QA</t>
        </is>
      </c>
      <c r="Y578" t="inlineStr">
        <is>
          <t>todo</t>
        </is>
      </c>
      <c r="Z578">
        <f>(M578*Weights!$B$2) + (MIN(Q578,Weights!$B$5)*Weights!$B$3*(W578/100)*Weights!$B$4)</f>
        <v/>
      </c>
      <c r="AA578">
        <f>IF(Z578= ,,RANK.EQ({pri_col_letter}{r},{pri_range},0))</f>
        <v/>
      </c>
    </row>
    <row r="579">
      <c r="A579" t="inlineStr">
        <is>
          <t>Kenvue LLC</t>
        </is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5</v>
      </c>
      <c r="N579" t="inlineStr">
        <is>
          <t>Tier 4</t>
        </is>
      </c>
      <c r="O579" t="inlineStr">
        <is>
          <t>Sebastian Blair — Sr. Manager, Distribution Operations</t>
        </is>
      </c>
      <c r="P579" t="inlineStr">
        <is>
          <t>Sr. Manager, Distribution Operations</t>
        </is>
      </c>
      <c r="Y579" t="inlineStr">
        <is>
          <t>todo</t>
        </is>
      </c>
      <c r="Z579">
        <f>(M579*Weights!$B$2) + (MIN(Q579,Weights!$B$5)*Weights!$B$3*(W579/100)*Weights!$B$4)</f>
        <v/>
      </c>
      <c r="AA579">
        <f>IF(Z579= ,,RANK.EQ({pri_col_letter}{r},{pri_range},0))</f>
        <v/>
      </c>
    </row>
    <row r="580">
      <c r="A580" t="inlineStr">
        <is>
          <t>Kerry Group</t>
        </is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5</v>
      </c>
      <c r="N580" t="inlineStr">
        <is>
          <t>Tier 4</t>
        </is>
      </c>
      <c r="O580" t="inlineStr">
        <is>
          <t>Berenice Harsh — Transportation Manager</t>
        </is>
      </c>
      <c r="P580" t="inlineStr">
        <is>
          <t>Transportation Manager</t>
        </is>
      </c>
      <c r="Y580" t="inlineStr">
        <is>
          <t>todo</t>
        </is>
      </c>
      <c r="Z580">
        <f>(M580*Weights!$B$2) + (MIN(Q580,Weights!$B$5)*Weights!$B$3*(W580/100)*Weights!$B$4)</f>
        <v/>
      </c>
      <c r="AA580">
        <f>IF(Z580= ,,RANK.EQ({pri_col_letter}{r},{pri_range},0))</f>
        <v/>
      </c>
    </row>
    <row r="581">
      <c r="A581" t="inlineStr">
        <is>
          <t>Kimberly Clark</t>
        </is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5</v>
      </c>
      <c r="N581" t="inlineStr">
        <is>
          <t>Tier 4</t>
        </is>
      </c>
      <c r="O581" t="inlineStr">
        <is>
          <t>Molly Poeschl — Director, Supply Chain Product Management</t>
        </is>
      </c>
      <c r="P581" t="inlineStr">
        <is>
          <t>Director, Supply Chain Product Management</t>
        </is>
      </c>
      <c r="Y581" t="inlineStr">
        <is>
          <t>todo</t>
        </is>
      </c>
      <c r="Z581">
        <f>(M581*Weights!$B$2) + (MIN(Q581,Weights!$B$5)*Weights!$B$3*(W581/100)*Weights!$B$4)</f>
        <v/>
      </c>
      <c r="AA581">
        <f>IF(Z581= ,,RANK.EQ({pri_col_letter}{r},{pri_range},0))</f>
        <v/>
      </c>
    </row>
    <row r="582">
      <c r="A582" t="inlineStr">
        <is>
          <t>Koala Eco</t>
        </is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5</v>
      </c>
      <c r="N582" t="inlineStr">
        <is>
          <t>Tier 4</t>
        </is>
      </c>
      <c r="O582" t="inlineStr">
        <is>
          <t>Stephen Martinez — Operations Consultant</t>
        </is>
      </c>
      <c r="P582" t="inlineStr">
        <is>
          <t>Operations Consultant</t>
        </is>
      </c>
      <c r="Y582" t="inlineStr">
        <is>
          <t>todo</t>
        </is>
      </c>
      <c r="Z582">
        <f>(M582*Weights!$B$2) + (MIN(Q582,Weights!$B$5)*Weights!$B$3*(W582/100)*Weights!$B$4)</f>
        <v/>
      </c>
      <c r="AA582">
        <f>IF(Z582= ,,RANK.EQ({pri_col_letter}{r},{pri_range},0))</f>
        <v/>
      </c>
    </row>
    <row r="583">
      <c r="A583" t="inlineStr">
        <is>
          <t>Kodak Alaris</t>
        </is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5</v>
      </c>
      <c r="N583" t="inlineStr">
        <is>
          <t>Tier 4</t>
        </is>
      </c>
      <c r="O583" t="inlineStr">
        <is>
          <t>Greg Young — Global Logistics Manager</t>
        </is>
      </c>
      <c r="P583" t="inlineStr">
        <is>
          <t>Global Logistics Manager</t>
        </is>
      </c>
      <c r="Y583" t="inlineStr">
        <is>
          <t>todo</t>
        </is>
      </c>
      <c r="Z583">
        <f>(M583*Weights!$B$2) + (MIN(Q583,Weights!$B$5)*Weights!$B$3*(W583/100)*Weights!$B$4)</f>
        <v/>
      </c>
      <c r="AA583">
        <f>IF(Z583= ,,RANK.EQ({pri_col_letter}{r},{pri_range},0))</f>
        <v/>
      </c>
    </row>
    <row r="584">
      <c r="A584" t="inlineStr">
        <is>
          <t>Kruger</t>
        </is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5</v>
      </c>
      <c r="N584" t="inlineStr">
        <is>
          <t>Tier 4</t>
        </is>
      </c>
      <c r="O584" t="inlineStr">
        <is>
          <t>Vincent Leduc — Regional Logistics Manager</t>
        </is>
      </c>
      <c r="P584" t="inlineStr">
        <is>
          <t>Regional Logistics Manager</t>
        </is>
      </c>
      <c r="Y584" t="inlineStr">
        <is>
          <t>todo</t>
        </is>
      </c>
      <c r="Z584">
        <f>(M584*Weights!$B$2) + (MIN(Q584,Weights!$B$5)*Weights!$B$3*(W584/100)*Weights!$B$4)</f>
        <v/>
      </c>
      <c r="AA584">
        <f>IF(Z584= ,,RANK.EQ({pri_col_letter}{r},{pri_range},0))</f>
        <v/>
      </c>
    </row>
    <row r="585">
      <c r="A585" t="inlineStr">
        <is>
          <t>Kruger Products Inc.</t>
        </is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5</v>
      </c>
      <c r="N585" t="inlineStr">
        <is>
          <t>Tier 4</t>
        </is>
      </c>
      <c r="O585" t="inlineStr">
        <is>
          <t>Brian Sookhai — Director, Transportation &amp; Logistics</t>
        </is>
      </c>
      <c r="P585" t="inlineStr">
        <is>
          <t>Director, Transportation &amp; Logistics</t>
        </is>
      </c>
      <c r="Y585" t="inlineStr">
        <is>
          <t>todo</t>
        </is>
      </c>
      <c r="Z585">
        <f>(M585*Weights!$B$2) + (MIN(Q585,Weights!$B$5)*Weights!$B$3*(W585/100)*Weights!$B$4)</f>
        <v/>
      </c>
      <c r="AA585">
        <f>IF(Z585= ,,RANK.EQ({pri_col_letter}{r},{pri_range},0))</f>
        <v/>
      </c>
    </row>
    <row r="586">
      <c r="A586" t="inlineStr">
        <is>
          <t>Land O'Lakes</t>
        </is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5</v>
      </c>
      <c r="N586" t="inlineStr">
        <is>
          <t>Tier 4</t>
        </is>
      </c>
      <c r="O586" t="inlineStr">
        <is>
          <t>Tyler Stowers — Director, Transportation</t>
        </is>
      </c>
      <c r="P586" t="inlineStr">
        <is>
          <t>Director, Transportation</t>
        </is>
      </c>
      <c r="Y586" t="inlineStr">
        <is>
          <t>todo</t>
        </is>
      </c>
      <c r="Z586">
        <f>(M586*Weights!$B$2) + (MIN(Q586,Weights!$B$5)*Weights!$B$3*(W586/100)*Weights!$B$4)</f>
        <v/>
      </c>
      <c r="AA586">
        <f>IF(Z586= ,,RANK.EQ({pri_col_letter}{r},{pri_range},0))</f>
        <v/>
      </c>
    </row>
    <row r="587">
      <c r="A587" t="inlineStr">
        <is>
          <t>Legend Freight Systems</t>
        </is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5</v>
      </c>
      <c r="N587" t="inlineStr">
        <is>
          <t>Tier 4</t>
        </is>
      </c>
      <c r="O587" t="inlineStr">
        <is>
          <t>Jack Minasyan — Senior Director of Operations</t>
        </is>
      </c>
      <c r="P587" t="inlineStr">
        <is>
          <t>Senior Director of Operations</t>
        </is>
      </c>
      <c r="Y587" t="inlineStr">
        <is>
          <t>todo</t>
        </is>
      </c>
      <c r="Z587">
        <f>(M587*Weights!$B$2) + (MIN(Q587,Weights!$B$5)*Weights!$B$3*(W587/100)*Weights!$B$4)</f>
        <v/>
      </c>
      <c r="AA587">
        <f>IF(Z587= ,,RANK.EQ({pri_col_letter}{r},{pri_range},0))</f>
        <v/>
      </c>
    </row>
    <row r="588">
      <c r="A588" t="inlineStr">
        <is>
          <t>Lennox International</t>
        </is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5</v>
      </c>
      <c r="N588" t="inlineStr">
        <is>
          <t>Tier 4</t>
        </is>
      </c>
      <c r="O588" t="inlineStr">
        <is>
          <t>Jeff Spengler — Director, Supply Chain Optimization</t>
        </is>
      </c>
      <c r="P588" t="inlineStr">
        <is>
          <t>Director, Supply Chain Optimization</t>
        </is>
      </c>
      <c r="Y588" t="inlineStr">
        <is>
          <t>todo</t>
        </is>
      </c>
      <c r="Z588">
        <f>(M588*Weights!$B$2) + (MIN(Q588,Weights!$B$5)*Weights!$B$3*(W588/100)*Weights!$B$4)</f>
        <v/>
      </c>
      <c r="AA588">
        <f>IF(Z588= ,,RANK.EQ({pri_col_letter}{r},{pri_range},0))</f>
        <v/>
      </c>
    </row>
    <row r="589">
      <c r="A589" t="inlineStr">
        <is>
          <t>Liquid Death</t>
        </is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5</v>
      </c>
      <c r="N589" t="inlineStr">
        <is>
          <t>Tier 4</t>
        </is>
      </c>
      <c r="O589" t="inlineStr">
        <is>
          <t>Jason Alto — Transportation Manager</t>
        </is>
      </c>
      <c r="P589" t="inlineStr">
        <is>
          <t>Transportation Manager</t>
        </is>
      </c>
      <c r="Y589" t="inlineStr">
        <is>
          <t>todo</t>
        </is>
      </c>
      <c r="Z589">
        <f>(M589*Weights!$B$2) + (MIN(Q589,Weights!$B$5)*Weights!$B$3*(W589/100)*Weights!$B$4)</f>
        <v/>
      </c>
      <c r="AA589">
        <f>IF(Z589= ,,RANK.EQ({pri_col_letter}{r},{pri_range},0))</f>
        <v/>
      </c>
    </row>
    <row r="590">
      <c r="A590" t="inlineStr">
        <is>
          <t>Living Spaces Furniture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5</v>
      </c>
      <c r="N590" t="inlineStr">
        <is>
          <t>Tier 4</t>
        </is>
      </c>
      <c r="O590" t="inlineStr">
        <is>
          <t>Steven Kempton — Senior Director Logistics &amp; Supply Chain</t>
        </is>
      </c>
      <c r="P590" t="inlineStr">
        <is>
          <t>Senior Director Logistics &amp; Supply Chain</t>
        </is>
      </c>
      <c r="Y590" t="inlineStr">
        <is>
          <t>todo</t>
        </is>
      </c>
      <c r="Z590">
        <f>(M590*Weights!$B$2) + (MIN(Q590,Weights!$B$5)*Weights!$B$3*(W590/100)*Weights!$B$4)</f>
        <v/>
      </c>
      <c r="AA590">
        <f>IF(Z590= ,,RANK.EQ({pri_col_letter}{r},{pri_range},0))</f>
        <v/>
      </c>
    </row>
    <row r="591">
      <c r="A591" t="inlineStr">
        <is>
          <t>Loblaw Companies</t>
        </is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5</v>
      </c>
      <c r="N591" t="inlineStr">
        <is>
          <t>Tier 4</t>
        </is>
      </c>
      <c r="O591" t="inlineStr">
        <is>
          <t>Jasmeet Sandhu — Senior Manager eCommerce Logistics</t>
        </is>
      </c>
      <c r="P591" t="inlineStr">
        <is>
          <t>Senior Manager eCommerce Logistics</t>
        </is>
      </c>
      <c r="Y591" t="inlineStr">
        <is>
          <t>todo</t>
        </is>
      </c>
      <c r="Z591">
        <f>(M591*Weights!$B$2) + (MIN(Q591,Weights!$B$5)*Weights!$B$3*(W591/100)*Weights!$B$4)</f>
        <v/>
      </c>
      <c r="AA591">
        <f>IF(Z591= ,,RANK.EQ({pri_col_letter}{r},{pri_range},0))</f>
        <v/>
      </c>
    </row>
    <row r="592">
      <c r="A592" t="inlineStr">
        <is>
          <t>Loop at Loop</t>
        </is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5</v>
      </c>
      <c r="N592" t="inlineStr">
        <is>
          <t>Tier 4</t>
        </is>
      </c>
      <c r="O592" t="inlineStr">
        <is>
          <t>Davy Dujardin — Director Global Logistics &amp; Customer Operations</t>
        </is>
      </c>
      <c r="P592" t="inlineStr">
        <is>
          <t>Director Global Logistics &amp; Customer Operations</t>
        </is>
      </c>
      <c r="Y592" t="inlineStr">
        <is>
          <t>todo</t>
        </is>
      </c>
      <c r="Z592">
        <f>(M592*Weights!$B$2) + (MIN(Q592,Weights!$B$5)*Weights!$B$3*(W592/100)*Weights!$B$4)</f>
        <v/>
      </c>
      <c r="AA592">
        <f>IF(Z592= ,,RANK.EQ({pri_col_letter}{r},{pri_range},0))</f>
        <v/>
      </c>
    </row>
    <row r="593">
      <c r="A593" t="inlineStr">
        <is>
          <t>Lowe's Companies</t>
        </is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5</v>
      </c>
      <c r="N593" t="inlineStr">
        <is>
          <t>Tier 4</t>
        </is>
      </c>
      <c r="O593" t="inlineStr">
        <is>
          <t>Prabhat Pinnaka — Technology Product Leader - Supply Chain &amp; AI</t>
        </is>
      </c>
      <c r="P593" t="inlineStr">
        <is>
          <t>Technology Product Leader - Supply Chain &amp; AI</t>
        </is>
      </c>
      <c r="Y593" t="inlineStr">
        <is>
          <t>todo</t>
        </is>
      </c>
      <c r="Z593">
        <f>(M593*Weights!$B$2) + (MIN(Q593,Weights!$B$5)*Weights!$B$3*(W593/100)*Weights!$B$4)</f>
        <v/>
      </c>
      <c r="AA593">
        <f>IF(Z593= ,,RANK.EQ({pri_col_letter}{r},{pri_range},0))</f>
        <v/>
      </c>
    </row>
    <row r="594">
      <c r="A594" t="inlineStr">
        <is>
          <t>MANN+HUMMEL</t>
        </is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5</v>
      </c>
      <c r="N594" t="inlineStr">
        <is>
          <t>Tier 4</t>
        </is>
      </c>
      <c r="O594" t="inlineStr">
        <is>
          <t>John Richards — Operations Manager</t>
        </is>
      </c>
      <c r="P594" t="inlineStr">
        <is>
          <t>Operations Manager</t>
        </is>
      </c>
      <c r="Y594" t="inlineStr">
        <is>
          <t>todo</t>
        </is>
      </c>
      <c r="Z594">
        <f>(M594*Weights!$B$2) + (MIN(Q594,Weights!$B$5)*Weights!$B$3*(W594/100)*Weights!$B$4)</f>
        <v/>
      </c>
      <c r="AA594">
        <f>IF(Z594= ,,RANK.EQ({pri_col_letter}{r},{pri_range},0))</f>
        <v/>
      </c>
    </row>
    <row r="595">
      <c r="A595" t="inlineStr">
        <is>
          <t>MLM Trans</t>
        </is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5</v>
      </c>
      <c r="N595" t="inlineStr">
        <is>
          <t>Tier 4</t>
        </is>
      </c>
      <c r="O595" t="inlineStr">
        <is>
          <t>Haley Brady — Director, Brokerage Operations</t>
        </is>
      </c>
      <c r="P595" t="inlineStr">
        <is>
          <t>Director, Brokerage Operations</t>
        </is>
      </c>
      <c r="Y595" t="inlineStr">
        <is>
          <t>todo</t>
        </is>
      </c>
      <c r="Z595">
        <f>(M595*Weights!$B$2) + (MIN(Q595,Weights!$B$5)*Weights!$B$3*(W595/100)*Weights!$B$4)</f>
        <v/>
      </c>
      <c r="AA595">
        <f>IF(Z595= ,,RANK.EQ({pri_col_letter}{r},{pri_range},0))</f>
        <v/>
      </c>
    </row>
    <row r="596">
      <c r="A596" t="inlineStr">
        <is>
          <t>Mann + Hummel</t>
        </is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5</v>
      </c>
      <c r="N596" t="inlineStr">
        <is>
          <t>Tier 4</t>
        </is>
      </c>
      <c r="O596" t="inlineStr">
        <is>
          <t>Stephen Vane — Operations Manager</t>
        </is>
      </c>
      <c r="P596" t="inlineStr">
        <is>
          <t>Operations Manager</t>
        </is>
      </c>
      <c r="Y596" t="inlineStr">
        <is>
          <t>todo</t>
        </is>
      </c>
      <c r="Z596">
        <f>(M596*Weights!$B$2) + (MIN(Q596,Weights!$B$5)*Weights!$B$3*(W596/100)*Weights!$B$4)</f>
        <v/>
      </c>
      <c r="AA596">
        <f>IF(Z596= ,,RANK.EQ({pri_col_letter}{r},{pri_range},0))</f>
        <v/>
      </c>
    </row>
    <row r="597">
      <c r="A597" t="inlineStr">
        <is>
          <t>Mary Kay Global</t>
        </is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5</v>
      </c>
      <c r="N597" t="inlineStr">
        <is>
          <t>Tier 4</t>
        </is>
      </c>
      <c r="O597" t="inlineStr">
        <is>
          <t>Lusine Atayan — Director of Logistics &amp; Distribution</t>
        </is>
      </c>
      <c r="P597" t="inlineStr">
        <is>
          <t>Director of Logistics &amp; Distribution</t>
        </is>
      </c>
      <c r="Y597" t="inlineStr">
        <is>
          <t>todo</t>
        </is>
      </c>
      <c r="Z597">
        <f>(M597*Weights!$B$2) + (MIN(Q597,Weights!$B$5)*Weights!$B$3*(W597/100)*Weights!$B$4)</f>
        <v/>
      </c>
      <c r="AA597">
        <f>IF(Z597= ,,RANK.EQ({pri_col_letter}{r},{pri_range},0))</f>
        <v/>
      </c>
    </row>
    <row r="598">
      <c r="A598" t="inlineStr">
        <is>
          <t>Mastronardi Produce</t>
        </is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5</v>
      </c>
      <c r="N598" t="inlineStr">
        <is>
          <t>Tier 4</t>
        </is>
      </c>
      <c r="O598" t="inlineStr">
        <is>
          <t>Connor Szabo — Operations Tech Lead</t>
        </is>
      </c>
      <c r="P598" t="inlineStr">
        <is>
          <t>Operations Tech Lead</t>
        </is>
      </c>
      <c r="Y598" t="inlineStr">
        <is>
          <t>todo</t>
        </is>
      </c>
      <c r="Z598">
        <f>(M598*Weights!$B$2) + (MIN(Q598,Weights!$B$5)*Weights!$B$3*(W598/100)*Weights!$B$4)</f>
        <v/>
      </c>
      <c r="AA598">
        <f>IF(Z598= ,,RANK.EQ({pri_col_letter}{r},{pri_range},0))</f>
        <v/>
      </c>
    </row>
    <row r="599">
      <c r="A599" t="inlineStr">
        <is>
          <t>McCain</t>
        </is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5</v>
      </c>
      <c r="N599" t="inlineStr">
        <is>
          <t>Tier 4</t>
        </is>
      </c>
      <c r="O599" t="inlineStr">
        <is>
          <t>Scott Wilkinson — Director DC Network Transformation</t>
        </is>
      </c>
      <c r="P599" t="inlineStr">
        <is>
          <t>Director DC Network Transformation</t>
        </is>
      </c>
      <c r="Y599" t="inlineStr">
        <is>
          <t>todo</t>
        </is>
      </c>
      <c r="Z599">
        <f>(M599*Weights!$B$2) + (MIN(Q599,Weights!$B$5)*Weights!$B$3*(W599/100)*Weights!$B$4)</f>
        <v/>
      </c>
      <c r="AA599">
        <f>IF(Z599= ,,RANK.EQ({pri_col_letter}{r},{pri_range},0))</f>
        <v/>
      </c>
    </row>
    <row r="600">
      <c r="A600" t="inlineStr">
        <is>
          <t>McLane</t>
        </is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5</v>
      </c>
      <c r="N600" t="inlineStr">
        <is>
          <t>Tier 4</t>
        </is>
      </c>
      <c r="O600" t="inlineStr">
        <is>
          <t>Charles Bostick — Sr Director of Operations</t>
        </is>
      </c>
      <c r="P600" t="inlineStr">
        <is>
          <t>Sr Director of Operations</t>
        </is>
      </c>
      <c r="Y600" t="inlineStr">
        <is>
          <t>todo</t>
        </is>
      </c>
      <c r="Z600">
        <f>(M600*Weights!$B$2) + (MIN(Q600,Weights!$B$5)*Weights!$B$3*(W600/100)*Weights!$B$4)</f>
        <v/>
      </c>
      <c r="AA600">
        <f>IF(Z600= ,,RANK.EQ({pri_col_letter}{r},{pri_range},0))</f>
        <v/>
      </c>
    </row>
    <row r="601">
      <c r="A601" t="inlineStr">
        <is>
          <t>Million Dollar Baby Co</t>
        </is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5</v>
      </c>
      <c r="N601" t="inlineStr">
        <is>
          <t>Tier 4</t>
        </is>
      </c>
      <c r="O601" t="inlineStr">
        <is>
          <t>James Gutierrez — Senior Warehouse Manager</t>
        </is>
      </c>
      <c r="P601" t="inlineStr">
        <is>
          <t>Senior Warehouse Manager</t>
        </is>
      </c>
      <c r="Y601" t="inlineStr">
        <is>
          <t>todo</t>
        </is>
      </c>
      <c r="Z601">
        <f>(M601*Weights!$B$2) + (MIN(Q601,Weights!$B$5)*Weights!$B$3*(W601/100)*Weights!$B$4)</f>
        <v/>
      </c>
      <c r="AA601">
        <f>IF(Z601= ,,RANK.EQ({pri_col_letter}{r},{pri_range},0))</f>
        <v/>
      </c>
    </row>
    <row r="602">
      <c r="A602" t="inlineStr">
        <is>
          <t>Mizkan America</t>
        </is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5</v>
      </c>
      <c r="N602" t="inlineStr">
        <is>
          <t>Tier 4</t>
        </is>
      </c>
      <c r="O602" t="inlineStr">
        <is>
          <t>Vishal Navneet — Senior Supply Chain Manager</t>
        </is>
      </c>
      <c r="P602" t="inlineStr">
        <is>
          <t>Senior Supply Chain Manager</t>
        </is>
      </c>
      <c r="Y602" t="inlineStr">
        <is>
          <t>todo</t>
        </is>
      </c>
      <c r="Z602">
        <f>(M602*Weights!$B$2) + (MIN(Q602,Weights!$B$5)*Weights!$B$3*(W602/100)*Weights!$B$4)</f>
        <v/>
      </c>
      <c r="AA602">
        <f>IF(Z602= ,,RANK.EQ({pri_col_letter}{r},{pri_range},0))</f>
        <v/>
      </c>
    </row>
    <row r="603">
      <c r="A603" t="inlineStr">
        <is>
          <t>Moderna</t>
        </is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5</v>
      </c>
      <c r="N603" t="inlineStr">
        <is>
          <t>Tier 4</t>
        </is>
      </c>
      <c r="O603" t="inlineStr">
        <is>
          <t>Jeff Lander — Director, Global Logistics Engineering</t>
        </is>
      </c>
      <c r="P603" t="inlineStr">
        <is>
          <t>Director, Global Logistics Engineering</t>
        </is>
      </c>
      <c r="Y603" t="inlineStr">
        <is>
          <t>todo</t>
        </is>
      </c>
      <c r="Z603">
        <f>(M603*Weights!$B$2) + (MIN(Q603,Weights!$B$5)*Weights!$B$3*(W603/100)*Weights!$B$4)</f>
        <v/>
      </c>
      <c r="AA603">
        <f>IF(Z603= ,,RANK.EQ({pri_col_letter}{r},{pri_range},0))</f>
        <v/>
      </c>
    </row>
    <row r="604">
      <c r="A604" t="inlineStr">
        <is>
          <t>Moelis &amp; Company</t>
        </is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5</v>
      </c>
      <c r="N604" t="inlineStr">
        <is>
          <t>Tier 4</t>
        </is>
      </c>
      <c r="O604" t="inlineStr">
        <is>
          <t>Alex Cameron — Executive Director - Transportation &amp; Logistics</t>
        </is>
      </c>
      <c r="P604" t="inlineStr">
        <is>
          <t>Executive Director - Transportation &amp; Logistics</t>
        </is>
      </c>
      <c r="Y604" t="inlineStr">
        <is>
          <t>todo</t>
        </is>
      </c>
      <c r="Z604">
        <f>(M604*Weights!$B$2) + (MIN(Q604,Weights!$B$5)*Weights!$B$3*(W604/100)*Weights!$B$4)</f>
        <v/>
      </c>
      <c r="AA604">
        <f>IF(Z604= ,,RANK.EQ({pri_col_letter}{r},{pri_range},0))</f>
        <v/>
      </c>
    </row>
    <row r="605">
      <c r="A605" t="inlineStr">
        <is>
          <t>Murad ( Unilever Prestige )</t>
        </is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5</v>
      </c>
      <c r="N605" t="inlineStr">
        <is>
          <t>Tier 4</t>
        </is>
      </c>
      <c r="O605" t="inlineStr">
        <is>
          <t>Chris Pearson — Manager, Logistics</t>
        </is>
      </c>
      <c r="P605" t="inlineStr">
        <is>
          <t>Manager, Logistics</t>
        </is>
      </c>
      <c r="Y605" t="inlineStr">
        <is>
          <t>todo</t>
        </is>
      </c>
      <c r="Z605">
        <f>(M605*Weights!$B$2) + (MIN(Q605,Weights!$B$5)*Weights!$B$3*(W605/100)*Weights!$B$4)</f>
        <v/>
      </c>
      <c r="AA605">
        <f>IF(Z605= ,,RANK.EQ({pri_col_letter}{r},{pri_range},0))</f>
        <v/>
      </c>
    </row>
    <row r="606">
      <c r="A606" t="inlineStr">
        <is>
          <t>My Skylight</t>
        </is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5</v>
      </c>
      <c r="N606" t="inlineStr">
        <is>
          <t>Tier 4</t>
        </is>
      </c>
      <c r="O606" t="inlineStr">
        <is>
          <t>Michael Rice — Senior Manager of Logistics</t>
        </is>
      </c>
      <c r="P606" t="inlineStr">
        <is>
          <t>Senior Manager of Logistics</t>
        </is>
      </c>
      <c r="Y606" t="inlineStr">
        <is>
          <t>todo</t>
        </is>
      </c>
      <c r="Z606">
        <f>(M606*Weights!$B$2) + (MIN(Q606,Weights!$B$5)*Weights!$B$3*(W606/100)*Weights!$B$4)</f>
        <v/>
      </c>
      <c r="AA606">
        <f>IF(Z606= ,,RANK.EQ({pri_col_letter}{r},{pri_range},0))</f>
        <v/>
      </c>
    </row>
    <row r="607">
      <c r="A607" t="inlineStr">
        <is>
          <t>NFI</t>
        </is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5</v>
      </c>
      <c r="N607" t="inlineStr">
        <is>
          <t>Tier 4</t>
        </is>
      </c>
      <c r="O607" t="inlineStr">
        <is>
          <t>Ryan Hranica — Director of Ecommerce Logistics &amp; Financial Strategy</t>
        </is>
      </c>
      <c r="P607" t="inlineStr">
        <is>
          <t>Director of Ecommerce Logistics &amp; Financial Strategy</t>
        </is>
      </c>
      <c r="Y607" t="inlineStr">
        <is>
          <t>todo</t>
        </is>
      </c>
      <c r="Z607">
        <f>(M607*Weights!$B$2) + (MIN(Q607,Weights!$B$5)*Weights!$B$3*(W607/100)*Weights!$B$4)</f>
        <v/>
      </c>
      <c r="AA607">
        <f>IF(Z607= ,,RANK.EQ({pri_col_letter}{r},{pri_range},0))</f>
        <v/>
      </c>
    </row>
    <row r="608">
      <c r="A608" t="inlineStr">
        <is>
          <t>NOBLE VENTURER</t>
        </is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5</v>
      </c>
      <c r="N608" t="inlineStr">
        <is>
          <t>Tier 4</t>
        </is>
      </c>
      <c r="O608" t="inlineStr">
        <is>
          <t>MOSES KWAKU ASHIGBI — LOGISTICS &amp; MATERIAL COORDINATORING</t>
        </is>
      </c>
      <c r="P608" t="inlineStr">
        <is>
          <t>LOGISTICS &amp; MATERIAL COORDINATORING</t>
        </is>
      </c>
      <c r="Y608" t="inlineStr">
        <is>
          <t>todo</t>
        </is>
      </c>
      <c r="Z608">
        <f>(M608*Weights!$B$2) + (MIN(Q608,Weights!$B$5)*Weights!$B$3*(W608/100)*Weights!$B$4)</f>
        <v/>
      </c>
      <c r="AA608">
        <f>IF(Z608= ,,RANK.EQ({pri_col_letter}{r},{pri_range},0))</f>
        <v/>
      </c>
    </row>
    <row r="609">
      <c r="A609" t="inlineStr">
        <is>
          <t>NOMAD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5</v>
      </c>
      <c r="N609" t="inlineStr">
        <is>
          <t>Tier 4</t>
        </is>
      </c>
      <c r="O609" t="inlineStr">
        <is>
          <t>Peter Kow — Sr. Supply Chain Operations Manager</t>
        </is>
      </c>
      <c r="P609" t="inlineStr">
        <is>
          <t>Sr. Supply Chain Operations Manager</t>
        </is>
      </c>
      <c r="Y609" t="inlineStr">
        <is>
          <t>todo</t>
        </is>
      </c>
      <c r="Z609">
        <f>(M609*Weights!$B$2) + (MIN(Q609,Weights!$B$5)*Weights!$B$3*(W609/100)*Weights!$B$4)</f>
        <v/>
      </c>
      <c r="AA609">
        <f>IF(Z609= ,,RANK.EQ({pri_col_letter}{r},{pri_range},0))</f>
        <v/>
      </c>
    </row>
    <row r="610">
      <c r="A610" t="inlineStr">
        <is>
          <t>Nespresson</t>
        </is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5</v>
      </c>
      <c r="N610" t="inlineStr">
        <is>
          <t>Tier 4</t>
        </is>
      </c>
      <c r="O610" t="inlineStr">
        <is>
          <t>Lia Jinoridze — Logistics Innovation Manager</t>
        </is>
      </c>
      <c r="P610" t="inlineStr">
        <is>
          <t>Logistics Innovation Manager</t>
        </is>
      </c>
      <c r="Y610" t="inlineStr">
        <is>
          <t>todo</t>
        </is>
      </c>
      <c r="Z610">
        <f>(M610*Weights!$B$2) + (MIN(Q610,Weights!$B$5)*Weights!$B$3*(W610/100)*Weights!$B$4)</f>
        <v/>
      </c>
      <c r="AA610">
        <f>IF(Z610= ,,RANK.EQ({pri_col_letter}{r},{pri_range},0))</f>
        <v/>
      </c>
    </row>
    <row r="611">
      <c r="A611" t="inlineStr">
        <is>
          <t>Nestle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5</v>
      </c>
      <c r="N611" t="inlineStr">
        <is>
          <t>Tier 4</t>
        </is>
      </c>
      <c r="O611" t="inlineStr">
        <is>
          <t>Caroline Korn — Sr Manager International Transportation</t>
        </is>
      </c>
      <c r="P611" t="inlineStr">
        <is>
          <t>Sr Manager International Transportation</t>
        </is>
      </c>
      <c r="Y611" t="inlineStr">
        <is>
          <t>todo</t>
        </is>
      </c>
      <c r="Z611">
        <f>(M611*Weights!$B$2) + (MIN(Q611,Weights!$B$5)*Weights!$B$3*(W611/100)*Weights!$B$4)</f>
        <v/>
      </c>
      <c r="AA611">
        <f>IF(Z611= ,,RANK.EQ({pri_col_letter}{r},{pri_range},0))</f>
        <v/>
      </c>
    </row>
    <row r="612">
      <c r="A612" t="inlineStr">
        <is>
          <t>Nextera Packaging</t>
        </is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5</v>
      </c>
      <c r="N612" t="inlineStr">
        <is>
          <t>Tier 4</t>
        </is>
      </c>
      <c r="O612" t="inlineStr">
        <is>
          <t>Jordan Srock — Director of Logistics</t>
        </is>
      </c>
      <c r="P612" t="inlineStr">
        <is>
          <t>Director of Logistics</t>
        </is>
      </c>
      <c r="Y612" t="inlineStr">
        <is>
          <t>todo</t>
        </is>
      </c>
      <c r="Z612">
        <f>(M612*Weights!$B$2) + (MIN(Q612,Weights!$B$5)*Weights!$B$3*(W612/100)*Weights!$B$4)</f>
        <v/>
      </c>
      <c r="AA612">
        <f>IF(Z612= ,,RANK.EQ({pri_col_letter}{r},{pri_range},0))</f>
        <v/>
      </c>
    </row>
    <row r="613">
      <c r="A613" t="inlineStr">
        <is>
          <t>OhioHealth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5</v>
      </c>
      <c r="N613" t="inlineStr">
        <is>
          <t>Tier 4</t>
        </is>
      </c>
      <c r="O613" t="inlineStr">
        <is>
          <t>Casey Sattler — Director, Supply Chain Logistics</t>
        </is>
      </c>
      <c r="P613" t="inlineStr">
        <is>
          <t>Director, Supply Chain Logistics</t>
        </is>
      </c>
      <c r="Y613" t="inlineStr">
        <is>
          <t>todo</t>
        </is>
      </c>
      <c r="Z613">
        <f>(M613*Weights!$B$2) + (MIN(Q613,Weights!$B$5)*Weights!$B$3*(W613/100)*Weights!$B$4)</f>
        <v/>
      </c>
      <c r="AA613">
        <f>IF(Z613= ,,RANK.EQ({pri_col_letter}{r},{pri_range},0))</f>
        <v/>
      </c>
    </row>
    <row r="614">
      <c r="A614" t="inlineStr">
        <is>
          <t>Ombraz</t>
        </is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5</v>
      </c>
      <c r="N614" t="inlineStr">
        <is>
          <t>Tier 4</t>
        </is>
      </c>
      <c r="O614" t="inlineStr">
        <is>
          <t>Samantha Putošová — Supply Chain Operations Manager</t>
        </is>
      </c>
      <c r="P614" t="inlineStr">
        <is>
          <t>Supply Chain Operations Manager</t>
        </is>
      </c>
      <c r="Y614" t="inlineStr">
        <is>
          <t>todo</t>
        </is>
      </c>
      <c r="Z614">
        <f>(M614*Weights!$B$2) + (MIN(Q614,Weights!$B$5)*Weights!$B$3*(W614/100)*Weights!$B$4)</f>
        <v/>
      </c>
      <c r="AA614">
        <f>IF(Z614= ,,RANK.EQ({pri_col_letter}{r},{pri_range},0))</f>
        <v/>
      </c>
    </row>
    <row r="615">
      <c r="A615" t="inlineStr">
        <is>
          <t>Omega Industrial Supply Inc</t>
        </is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5</v>
      </c>
      <c r="N615" t="inlineStr">
        <is>
          <t>Tier 4</t>
        </is>
      </c>
      <c r="O615" t="inlineStr">
        <is>
          <t>Brian Box — Director of Logistics</t>
        </is>
      </c>
      <c r="P615" t="inlineStr">
        <is>
          <t>Director of Logistics</t>
        </is>
      </c>
      <c r="Y615" t="inlineStr">
        <is>
          <t>todo</t>
        </is>
      </c>
      <c r="Z615">
        <f>(M615*Weights!$B$2) + (MIN(Q615,Weights!$B$5)*Weights!$B$3*(W615/100)*Weights!$B$4)</f>
        <v/>
      </c>
      <c r="AA615">
        <f>IF(Z615= ,,RANK.EQ({pri_col_letter}{r},{pri_range},0))</f>
        <v/>
      </c>
    </row>
    <row r="616">
      <c r="A616" t="inlineStr">
        <is>
          <t>Orbis Corp</t>
        </is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5</v>
      </c>
      <c r="N616" t="inlineStr">
        <is>
          <t>Tier 4</t>
        </is>
      </c>
      <c r="O616" t="inlineStr">
        <is>
          <t>Mike Heindselman — Senior Director - Global Logistics</t>
        </is>
      </c>
      <c r="P616" t="inlineStr">
        <is>
          <t>Senior Director - Global Logistics</t>
        </is>
      </c>
      <c r="Y616" t="inlineStr">
        <is>
          <t>todo</t>
        </is>
      </c>
      <c r="Z616">
        <f>(M616*Weights!$B$2) + (MIN(Q616,Weights!$B$5)*Weights!$B$3*(W616/100)*Weights!$B$4)</f>
        <v/>
      </c>
      <c r="AA616">
        <f>IF(Z616= ,,RANK.EQ({pri_col_letter}{r},{pri_range},0))</f>
        <v/>
      </c>
    </row>
    <row r="617">
      <c r="A617" t="inlineStr">
        <is>
          <t>Outback Toys</t>
        </is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5</v>
      </c>
      <c r="N617" t="inlineStr">
        <is>
          <t>Tier 4</t>
        </is>
      </c>
      <c r="O617" t="inlineStr">
        <is>
          <t>Samuel Payson — Director of Operations</t>
        </is>
      </c>
      <c r="P617" t="inlineStr">
        <is>
          <t>Director of Operations</t>
        </is>
      </c>
      <c r="Y617" t="inlineStr">
        <is>
          <t>todo</t>
        </is>
      </c>
      <c r="Z617">
        <f>(M617*Weights!$B$2) + (MIN(Q617,Weights!$B$5)*Weights!$B$3*(W617/100)*Weights!$B$4)</f>
        <v/>
      </c>
      <c r="AA617">
        <f>IF(Z617= ,,RANK.EQ({pri_col_letter}{r},{pri_range},0))</f>
        <v/>
      </c>
    </row>
    <row r="618">
      <c r="A618" t="inlineStr">
        <is>
          <t>Ovii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5</v>
      </c>
      <c r="N618" t="inlineStr">
        <is>
          <t>Tier 4</t>
        </is>
      </c>
      <c r="O618" t="inlineStr">
        <is>
          <t>Mike Thompson — Operations</t>
        </is>
      </c>
      <c r="P618" t="inlineStr">
        <is>
          <t>Operations</t>
        </is>
      </c>
      <c r="Y618" t="inlineStr">
        <is>
          <t>todo</t>
        </is>
      </c>
      <c r="Z618">
        <f>(M618*Weights!$B$2) + (MIN(Q618,Weights!$B$5)*Weights!$B$3*(W618/100)*Weights!$B$4)</f>
        <v/>
      </c>
      <c r="AA618">
        <f>IF(Z618= ,,RANK.EQ({pri_col_letter}{r},{pri_range},0))</f>
        <v/>
      </c>
    </row>
    <row r="619">
      <c r="A619" t="inlineStr">
        <is>
          <t>Pangaea Holdings, Inc</t>
        </is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5</v>
      </c>
      <c r="N619" t="inlineStr">
        <is>
          <t>Tier 4</t>
        </is>
      </c>
      <c r="O619" t="inlineStr">
        <is>
          <t>Michael Rice — Director of Logistics and Fulfillment</t>
        </is>
      </c>
      <c r="P619" t="inlineStr">
        <is>
          <t>Director of Logistics and Fulfillment</t>
        </is>
      </c>
      <c r="Y619" t="inlineStr">
        <is>
          <t>todo</t>
        </is>
      </c>
      <c r="Z619">
        <f>(M619*Weights!$B$2) + (MIN(Q619,Weights!$B$5)*Weights!$B$3*(W619/100)*Weights!$B$4)</f>
        <v/>
      </c>
      <c r="AA619">
        <f>IF(Z619= ,,RANK.EQ({pri_col_letter}{r},{pri_range},0))</f>
        <v/>
      </c>
    </row>
    <row r="620">
      <c r="A620" t="inlineStr">
        <is>
          <t>Parker Hannifin</t>
        </is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5</v>
      </c>
      <c r="N620" t="inlineStr">
        <is>
          <t>Tier 4</t>
        </is>
      </c>
      <c r="O620" t="inlineStr">
        <is>
          <t>Reed Tepper — Corporate Logistics &amp; Transportation</t>
        </is>
      </c>
      <c r="P620" t="inlineStr">
        <is>
          <t>Corporate Logistics &amp; Transportation</t>
        </is>
      </c>
      <c r="Y620" t="inlineStr">
        <is>
          <t>todo</t>
        </is>
      </c>
      <c r="Z620">
        <f>(M620*Weights!$B$2) + (MIN(Q620,Weights!$B$5)*Weights!$B$3*(W620/100)*Weights!$B$4)</f>
        <v/>
      </c>
      <c r="AA620">
        <f>IF(Z620= ,,RANK.EQ({pri_col_letter}{r},{pri_range},0))</f>
        <v/>
      </c>
    </row>
    <row r="621">
      <c r="A621" t="inlineStr">
        <is>
          <t>Paula's Choice</t>
        </is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5</v>
      </c>
      <c r="N621" t="inlineStr">
        <is>
          <t>Tier 4</t>
        </is>
      </c>
      <c r="O621" t="inlineStr">
        <is>
          <t>Dounia Zinbi — LOGISTICS PROJECT MANAGER</t>
        </is>
      </c>
      <c r="P621" t="inlineStr">
        <is>
          <t>LOGISTICS PROJECT MANAGER</t>
        </is>
      </c>
      <c r="Y621" t="inlineStr">
        <is>
          <t>todo</t>
        </is>
      </c>
      <c r="Z621">
        <f>(M621*Weights!$B$2) + (MIN(Q621,Weights!$B$5)*Weights!$B$3*(W621/100)*Weights!$B$4)</f>
        <v/>
      </c>
      <c r="AA621">
        <f>IF(Z621= ,,RANK.EQ({pri_col_letter}{r},{pri_range},0))</f>
        <v/>
      </c>
    </row>
    <row r="622">
      <c r="A622" t="inlineStr">
        <is>
          <t>Peloton</t>
        </is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5</v>
      </c>
      <c r="N622" t="inlineStr">
        <is>
          <t>Tier 4</t>
        </is>
      </c>
      <c r="O622" t="inlineStr">
        <is>
          <t>Martina Majstorovic — Sr. Director, Global Logistics</t>
        </is>
      </c>
      <c r="P622" t="inlineStr">
        <is>
          <t>Sr. Director, Global Logistics</t>
        </is>
      </c>
      <c r="Y622" t="inlineStr">
        <is>
          <t>todo</t>
        </is>
      </c>
      <c r="Z622">
        <f>(M622*Weights!$B$2) + (MIN(Q622,Weights!$B$5)*Weights!$B$3*(W622/100)*Weights!$B$4)</f>
        <v/>
      </c>
      <c r="AA622">
        <f>IF(Z622= ,,RANK.EQ({pri_col_letter}{r},{pri_range},0))</f>
        <v/>
      </c>
    </row>
    <row r="623">
      <c r="A623" t="inlineStr">
        <is>
          <t>Pitchbook</t>
        </is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5</v>
      </c>
      <c r="N623" t="inlineStr">
        <is>
          <t>Tier 4</t>
        </is>
      </c>
      <c r="O623" t="inlineStr">
        <is>
          <t>Jonathan Geurkink — Senior Analyst - Supply Chain and Mobility Tech</t>
        </is>
      </c>
      <c r="P623" t="inlineStr">
        <is>
          <t>Senior Analyst - Supply Chain and Mobility Tech</t>
        </is>
      </c>
      <c r="Y623" t="inlineStr">
        <is>
          <t>todo</t>
        </is>
      </c>
      <c r="Z623">
        <f>(M623*Weights!$B$2) + (MIN(Q623,Weights!$B$5)*Weights!$B$3*(W623/100)*Weights!$B$4)</f>
        <v/>
      </c>
      <c r="AA623">
        <f>IF(Z623= ,,RANK.EQ({pri_col_letter}{r},{pri_range},0))</f>
        <v/>
      </c>
    </row>
    <row r="624">
      <c r="A624" t="inlineStr">
        <is>
          <t>Pop Mart</t>
        </is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5</v>
      </c>
      <c r="N624" t="inlineStr">
        <is>
          <t>Tier 4</t>
        </is>
      </c>
      <c r="O624" t="inlineStr">
        <is>
          <t>Emma Reid — Logistics Data Analyst</t>
        </is>
      </c>
      <c r="P624" t="inlineStr">
        <is>
          <t>Logistics Data Analyst</t>
        </is>
      </c>
      <c r="Y624" t="inlineStr">
        <is>
          <t>todo</t>
        </is>
      </c>
      <c r="Z624">
        <f>(M624*Weights!$B$2) + (MIN(Q624,Weights!$B$5)*Weights!$B$3*(W624/100)*Weights!$B$4)</f>
        <v/>
      </c>
      <c r="AA624">
        <f>IF(Z624= ,,RANK.EQ({pri_col_letter}{r},{pri_range},0))</f>
        <v/>
      </c>
    </row>
    <row r="625">
      <c r="A625" t="inlineStr">
        <is>
          <t>Post Consumer Brands</t>
        </is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5</v>
      </c>
      <c r="N625" t="inlineStr">
        <is>
          <t>Tier 4</t>
        </is>
      </c>
      <c r="O625" t="inlineStr">
        <is>
          <t>Courtney Padgitt — Senior Director of Logistics</t>
        </is>
      </c>
      <c r="P625" t="inlineStr">
        <is>
          <t>Senior Director of Logistics</t>
        </is>
      </c>
      <c r="Y625" t="inlineStr">
        <is>
          <t>todo</t>
        </is>
      </c>
      <c r="Z625">
        <f>(M625*Weights!$B$2) + (MIN(Q625,Weights!$B$5)*Weights!$B$3*(W625/100)*Weights!$B$4)</f>
        <v/>
      </c>
      <c r="AA625">
        <f>IF(Z625= ,,RANK.EQ({pri_col_letter}{r},{pri_range},0))</f>
        <v/>
      </c>
    </row>
    <row r="626">
      <c r="A626" t="inlineStr">
        <is>
          <t>President</t>
        </is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5</v>
      </c>
      <c r="N626" t="inlineStr">
        <is>
          <t>Tier 4</t>
        </is>
      </c>
      <c r="O626" t="inlineStr">
        <is>
          <t>Tim Kreiner — Logistics Roundtable Freight Efficiency Group</t>
        </is>
      </c>
      <c r="P626" t="inlineStr">
        <is>
          <t>Logistics Roundtable Freight Efficiency Group</t>
        </is>
      </c>
      <c r="Y626" t="inlineStr">
        <is>
          <t>todo</t>
        </is>
      </c>
      <c r="Z626">
        <f>(M626*Weights!$B$2) + (MIN(Q626,Weights!$B$5)*Weights!$B$3*(W626/100)*Weights!$B$4)</f>
        <v/>
      </c>
      <c r="AA626">
        <f>IF(Z626= ,,RANK.EQ({pri_col_letter}{r},{pri_range},0))</f>
        <v/>
      </c>
    </row>
    <row r="627">
      <c r="A627" t="inlineStr">
        <is>
          <t>Prime Inc.</t>
        </is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5</v>
      </c>
      <c r="N627" t="inlineStr">
        <is>
          <t>Tier 4</t>
        </is>
      </c>
      <c r="O627" t="inlineStr">
        <is>
          <t>Ryan Harrington — Director of Intermodal</t>
        </is>
      </c>
      <c r="P627" t="inlineStr">
        <is>
          <t>Director of Intermodal</t>
        </is>
      </c>
      <c r="Y627" t="inlineStr">
        <is>
          <t>todo</t>
        </is>
      </c>
      <c r="Z627">
        <f>(M627*Weights!$B$2) + (MIN(Q627,Weights!$B$5)*Weights!$B$3*(W627/100)*Weights!$B$4)</f>
        <v/>
      </c>
      <c r="AA627">
        <f>IF(Z627= ,,RANK.EQ({pri_col_letter}{r},{pri_range},0))</f>
        <v/>
      </c>
    </row>
    <row r="628">
      <c r="A628" t="inlineStr">
        <is>
          <t>Puget Systems</t>
        </is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5</v>
      </c>
      <c r="N628" t="inlineStr">
        <is>
          <t>Tier 4</t>
        </is>
      </c>
      <c r="O628" t="inlineStr">
        <is>
          <t>Alicia Lingle — Supply Chain Manager</t>
        </is>
      </c>
      <c r="P628" t="inlineStr">
        <is>
          <t>Supply Chain Manager</t>
        </is>
      </c>
      <c r="Y628" t="inlineStr">
        <is>
          <t>todo</t>
        </is>
      </c>
      <c r="Z628">
        <f>(M628*Weights!$B$2) + (MIN(Q628,Weights!$B$5)*Weights!$B$3*(W628/100)*Weights!$B$4)</f>
        <v/>
      </c>
      <c r="AA628">
        <f>IF(Z628= ,,RANK.EQ({pri_col_letter}{r},{pri_range},0))</f>
        <v/>
      </c>
    </row>
    <row r="629">
      <c r="A629" t="inlineStr">
        <is>
          <t>QXO</t>
        </is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5</v>
      </c>
      <c r="N629" t="inlineStr">
        <is>
          <t>Tier 4</t>
        </is>
      </c>
      <c r="O629" t="inlineStr">
        <is>
          <t>Jenae Waddell — Director of Supply Chain, Product Management Operations</t>
        </is>
      </c>
      <c r="P629" t="inlineStr">
        <is>
          <t>Director of Supply Chain, Product Management Operations</t>
        </is>
      </c>
      <c r="Y629" t="inlineStr">
        <is>
          <t>todo</t>
        </is>
      </c>
      <c r="Z629">
        <f>(M629*Weights!$B$2) + (MIN(Q629,Weights!$B$5)*Weights!$B$3*(W629/100)*Weights!$B$4)</f>
        <v/>
      </c>
      <c r="AA629">
        <f>IF(Z629= ,,RANK.EQ({pri_col_letter}{r},{pri_range},0))</f>
        <v/>
      </c>
    </row>
    <row r="630">
      <c r="A630" t="inlineStr">
        <is>
          <t>Quanex</t>
        </is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5</v>
      </c>
      <c r="N630" t="inlineStr">
        <is>
          <t>Tier 4</t>
        </is>
      </c>
      <c r="O630" t="inlineStr">
        <is>
          <t>Gerardo Carreon — Director of Distribution, Transportation and Trade Compliance</t>
        </is>
      </c>
      <c r="P630" t="inlineStr">
        <is>
          <t>Director of Distribution, Transportation and Trade Compliance</t>
        </is>
      </c>
      <c r="Y630" t="inlineStr">
        <is>
          <t>todo</t>
        </is>
      </c>
      <c r="Z630">
        <f>(M630*Weights!$B$2) + (MIN(Q630,Weights!$B$5)*Weights!$B$3*(W630/100)*Weights!$B$4)</f>
        <v/>
      </c>
      <c r="AA630">
        <f>IF(Z630= ,,RANK.EQ({pri_col_letter}{r},{pri_range},0))</f>
        <v/>
      </c>
    </row>
    <row r="631">
      <c r="A631" t="inlineStr">
        <is>
          <t>REC Americas</t>
        </is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5</v>
      </c>
      <c r="N631" t="inlineStr">
        <is>
          <t>Tier 4</t>
        </is>
      </c>
      <c r="O631" t="inlineStr">
        <is>
          <t>Naoyuki Hasuike — Sr Logistics Manager</t>
        </is>
      </c>
      <c r="P631" t="inlineStr">
        <is>
          <t>Sr Logistics Manager</t>
        </is>
      </c>
      <c r="Y631" t="inlineStr">
        <is>
          <t>todo</t>
        </is>
      </c>
      <c r="Z631">
        <f>(M631*Weights!$B$2) + (MIN(Q631,Weights!$B$5)*Weights!$B$3*(W631/100)*Weights!$B$4)</f>
        <v/>
      </c>
      <c r="AA631">
        <f>IF(Z631= ,,RANK.EQ({pri_col_letter}{r},{pri_range},0))</f>
        <v/>
      </c>
    </row>
    <row r="632">
      <c r="A632" t="inlineStr">
        <is>
          <t>REI</t>
        </is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5</v>
      </c>
      <c r="N632" t="inlineStr">
        <is>
          <t>Tier 4</t>
        </is>
      </c>
      <c r="O632" t="inlineStr">
        <is>
          <t>Jennifer Kobus — DVP, Supply Chain Global Logistics</t>
        </is>
      </c>
      <c r="P632" t="inlineStr">
        <is>
          <t>DVP, Supply Chain Global Logistics</t>
        </is>
      </c>
      <c r="Y632" t="inlineStr">
        <is>
          <t>todo</t>
        </is>
      </c>
      <c r="Z632">
        <f>(M632*Weights!$B$2) + (MIN(Q632,Weights!$B$5)*Weights!$B$3*(W632/100)*Weights!$B$4)</f>
        <v/>
      </c>
      <c r="AA632">
        <f>IF(Z632= ,,RANK.EQ({pri_col_letter}{r},{pri_range},0))</f>
        <v/>
      </c>
    </row>
    <row r="633">
      <c r="A633" t="inlineStr">
        <is>
          <t>Racetrac</t>
        </is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5</v>
      </c>
      <c r="N633" t="inlineStr">
        <is>
          <t>Tier 4</t>
        </is>
      </c>
      <c r="O633" t="inlineStr">
        <is>
          <t>Daniel Vasseur — Executive Director of Supply Chain Merchandising</t>
        </is>
      </c>
      <c r="P633" t="inlineStr">
        <is>
          <t>Executive Director of Supply Chain Merchandising</t>
        </is>
      </c>
      <c r="Y633" t="inlineStr">
        <is>
          <t>todo</t>
        </is>
      </c>
      <c r="Z633">
        <f>(M633*Weights!$B$2) + (MIN(Q633,Weights!$B$5)*Weights!$B$3*(W633/100)*Weights!$B$4)</f>
        <v/>
      </c>
      <c r="AA633">
        <f>IF(Z633= ,,RANK.EQ({pri_col_letter}{r},{pri_range},0))</f>
        <v/>
      </c>
    </row>
    <row r="634">
      <c r="A634" t="inlineStr">
        <is>
          <t>Raynor</t>
        </is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5</v>
      </c>
      <c r="N634" t="inlineStr">
        <is>
          <t>Tier 4</t>
        </is>
      </c>
      <c r="O634" t="inlineStr">
        <is>
          <t>Jim Mills — Director, Transportation</t>
        </is>
      </c>
      <c r="P634" t="inlineStr">
        <is>
          <t>Director, Transportation</t>
        </is>
      </c>
      <c r="Y634" t="inlineStr">
        <is>
          <t>todo</t>
        </is>
      </c>
      <c r="Z634">
        <f>(M634*Weights!$B$2) + (MIN(Q634,Weights!$B$5)*Weights!$B$3*(W634/100)*Weights!$B$4)</f>
        <v/>
      </c>
      <c r="AA634">
        <f>IF(Z634= ,,RANK.EQ({pri_col_letter}{r},{pri_range},0))</f>
        <v/>
      </c>
    </row>
    <row r="635">
      <c r="A635" t="inlineStr">
        <is>
          <t>Rebound Returns</t>
        </is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5</v>
      </c>
      <c r="N635" t="inlineStr">
        <is>
          <t>Tier 4</t>
        </is>
      </c>
      <c r="O635" t="inlineStr">
        <is>
          <t>Kaitlyn Paradise — Senior Supply Chain Operations Manager</t>
        </is>
      </c>
      <c r="P635" t="inlineStr">
        <is>
          <t>Senior Supply Chain Operations Manager</t>
        </is>
      </c>
      <c r="Y635" t="inlineStr">
        <is>
          <t>todo</t>
        </is>
      </c>
      <c r="Z635">
        <f>(M635*Weights!$B$2) + (MIN(Q635,Weights!$B$5)*Weights!$B$3*(W635/100)*Weights!$B$4)</f>
        <v/>
      </c>
      <c r="AA635">
        <f>IF(Z635= ,,RANK.EQ({pri_col_letter}{r},{pri_range},0))</f>
        <v/>
      </c>
    </row>
    <row r="636">
      <c r="A636" t="inlineStr">
        <is>
          <t>Redo</t>
        </is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5</v>
      </c>
      <c r="N636" t="inlineStr">
        <is>
          <t>Tier 4</t>
        </is>
      </c>
      <c r="O636" t="inlineStr">
        <is>
          <t>Jake Wertner — Dir of Logistics</t>
        </is>
      </c>
      <c r="P636" t="inlineStr">
        <is>
          <t>Dir of Logistics</t>
        </is>
      </c>
      <c r="Y636" t="inlineStr">
        <is>
          <t>todo</t>
        </is>
      </c>
      <c r="Z636">
        <f>(M636*Weights!$B$2) + (MIN(Q636,Weights!$B$5)*Weights!$B$3*(W636/100)*Weights!$B$4)</f>
        <v/>
      </c>
      <c r="AA636">
        <f>IF(Z636= ,,RANK.EQ({pri_col_letter}{r},{pri_range},0))</f>
        <v/>
      </c>
    </row>
    <row r="637">
      <c r="A637" t="inlineStr">
        <is>
          <t>Reformation</t>
        </is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5</v>
      </c>
      <c r="N637" t="inlineStr">
        <is>
          <t>Tier 4</t>
        </is>
      </c>
      <c r="O637" t="inlineStr">
        <is>
          <t>Maor Moalem — Sr. Director of Operations</t>
        </is>
      </c>
      <c r="P637" t="inlineStr">
        <is>
          <t>Sr. Director of Operations</t>
        </is>
      </c>
      <c r="Y637" t="inlineStr">
        <is>
          <t>todo</t>
        </is>
      </c>
      <c r="Z637">
        <f>(M637*Weights!$B$2) + (MIN(Q637,Weights!$B$5)*Weights!$B$3*(W637/100)*Weights!$B$4)</f>
        <v/>
      </c>
      <c r="AA637">
        <f>IF(Z637= ,,RANK.EQ({pri_col_letter}{r},{pri_range},0))</f>
        <v/>
      </c>
    </row>
    <row r="638">
      <c r="A638" t="inlineStr">
        <is>
          <t>Rise Baking</t>
        </is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5</v>
      </c>
      <c r="N638" t="inlineStr">
        <is>
          <t>Tier 4</t>
        </is>
      </c>
      <c r="O638" t="inlineStr">
        <is>
          <t>Brian Wnuk — Director, Transportation</t>
        </is>
      </c>
      <c r="P638" t="inlineStr">
        <is>
          <t>Director, Transportation</t>
        </is>
      </c>
      <c r="Y638" t="inlineStr">
        <is>
          <t>todo</t>
        </is>
      </c>
      <c r="Z638">
        <f>(M638*Weights!$B$2) + (MIN(Q638,Weights!$B$5)*Weights!$B$3*(W638/100)*Weights!$B$4)</f>
        <v/>
      </c>
      <c r="AA638">
        <f>IF(Z638= ,,RANK.EQ({pri_col_letter}{r},{pri_range},0))</f>
        <v/>
      </c>
    </row>
    <row r="639">
      <c r="A639" t="inlineStr">
        <is>
          <t>Roc Skincare</t>
        </is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5</v>
      </c>
      <c r="N639" t="inlineStr">
        <is>
          <t>Tier 4</t>
        </is>
      </c>
      <c r="O639" t="inlineStr">
        <is>
          <t>Jeffrey Coto — Sr. Director of Global Logistics</t>
        </is>
      </c>
      <c r="P639" t="inlineStr">
        <is>
          <t>Sr. Director of Global Logistics</t>
        </is>
      </c>
      <c r="Y639" t="inlineStr">
        <is>
          <t>todo</t>
        </is>
      </c>
      <c r="Z639">
        <f>(M639*Weights!$B$2) + (MIN(Q639,Weights!$B$5)*Weights!$B$3*(W639/100)*Weights!$B$4)</f>
        <v/>
      </c>
      <c r="AA639">
        <f>IF(Z639= ,,RANK.EQ({pri_col_letter}{r},{pri_range},0))</f>
        <v/>
      </c>
    </row>
    <row r="640">
      <c r="A640" t="inlineStr">
        <is>
          <t>Rockwell Automation</t>
        </is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5</v>
      </c>
      <c r="N640" t="inlineStr">
        <is>
          <t>Tier 4</t>
        </is>
      </c>
      <c r="O640" t="inlineStr">
        <is>
          <t>Michele Elliott — Global Fulfillment Manager</t>
        </is>
      </c>
      <c r="P640" t="inlineStr">
        <is>
          <t>Global Fulfillment Manager</t>
        </is>
      </c>
      <c r="Y640" t="inlineStr">
        <is>
          <t>todo</t>
        </is>
      </c>
      <c r="Z640">
        <f>(M640*Weights!$B$2) + (MIN(Q640,Weights!$B$5)*Weights!$B$3*(W640/100)*Weights!$B$4)</f>
        <v/>
      </c>
      <c r="AA640">
        <f>IF(Z640= ,,RANK.EQ({pri_col_letter}{r},{pri_range},0))</f>
        <v/>
      </c>
    </row>
    <row r="641">
      <c r="A641" t="inlineStr">
        <is>
          <t>Rue Gilt Group</t>
        </is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5</v>
      </c>
      <c r="N641" t="inlineStr">
        <is>
          <t>Tier 4</t>
        </is>
      </c>
      <c r="O641" t="inlineStr">
        <is>
          <t>Joe Farry — Director of Logistics</t>
        </is>
      </c>
      <c r="P641" t="inlineStr">
        <is>
          <t>Director of Logistics</t>
        </is>
      </c>
      <c r="Y641" t="inlineStr">
        <is>
          <t>todo</t>
        </is>
      </c>
      <c r="Z641">
        <f>(M641*Weights!$B$2) + (MIN(Q641,Weights!$B$5)*Weights!$B$3*(W641/100)*Weights!$B$4)</f>
        <v/>
      </c>
      <c r="AA641">
        <f>IF(Z641= ,,RANK.EQ({pri_col_letter}{r},{pri_range},0))</f>
        <v/>
      </c>
    </row>
    <row r="642">
      <c r="A642" t="inlineStr">
        <is>
          <t>Ryder</t>
        </is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5</v>
      </c>
      <c r="N642" t="inlineStr">
        <is>
          <t>Tier 4</t>
        </is>
      </c>
      <c r="O642" t="inlineStr">
        <is>
          <t>Timothy Magyar — Group Director Parcel Strategy &amp; Operations</t>
        </is>
      </c>
      <c r="P642" t="inlineStr">
        <is>
          <t>Group Director Parcel Strategy &amp; Operations</t>
        </is>
      </c>
      <c r="Y642" t="inlineStr">
        <is>
          <t>todo</t>
        </is>
      </c>
      <c r="Z642">
        <f>(M642*Weights!$B$2) + (MIN(Q642,Weights!$B$5)*Weights!$B$3*(W642/100)*Weights!$B$4)</f>
        <v/>
      </c>
      <c r="AA642">
        <f>IF(Z642= ,,RANK.EQ({pri_col_letter}{r},{pri_range},0))</f>
        <v/>
      </c>
    </row>
    <row r="643">
      <c r="A643" t="inlineStr">
        <is>
          <t>S&amp;S Activewear</t>
        </is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5</v>
      </c>
      <c r="N643" t="inlineStr">
        <is>
          <t>Tier 4</t>
        </is>
      </c>
      <c r="O643" t="inlineStr">
        <is>
          <t>Kimberly Smith — Sr Director, Global Customs and Transportation</t>
        </is>
      </c>
      <c r="P643" t="inlineStr">
        <is>
          <t>Sr Director, Global Customs and Transportation</t>
        </is>
      </c>
      <c r="Y643" t="inlineStr">
        <is>
          <t>todo</t>
        </is>
      </c>
      <c r="Z643">
        <f>(M643*Weights!$B$2) + (MIN(Q643,Weights!$B$5)*Weights!$B$3*(W643/100)*Weights!$B$4)</f>
        <v/>
      </c>
      <c r="AA643">
        <f>IF(Z643= ,,RANK.EQ({pri_col_letter}{r},{pri_range},0))</f>
        <v/>
      </c>
    </row>
    <row r="644">
      <c r="A644" t="inlineStr">
        <is>
          <t>SC Johnson</t>
        </is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5</v>
      </c>
      <c r="N644" t="inlineStr">
        <is>
          <t>Tier 4</t>
        </is>
      </c>
      <c r="O644" t="inlineStr">
        <is>
          <t>Michael Lucas — Director - Logistics, North America</t>
        </is>
      </c>
      <c r="P644" t="inlineStr">
        <is>
          <t>Director - Logistics, North America</t>
        </is>
      </c>
      <c r="Y644" t="inlineStr">
        <is>
          <t>todo</t>
        </is>
      </c>
      <c r="Z644">
        <f>(M644*Weights!$B$2) + (MIN(Q644,Weights!$B$5)*Weights!$B$3*(W644/100)*Weights!$B$4)</f>
        <v/>
      </c>
      <c r="AA644">
        <f>IF(Z644= ,,RANK.EQ({pri_col_letter}{r},{pri_range},0))</f>
        <v/>
      </c>
    </row>
    <row r="645">
      <c r="A645" t="inlineStr">
        <is>
          <t>SCHEELS</t>
        </is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5</v>
      </c>
      <c r="N645" t="inlineStr">
        <is>
          <t>Tier 4</t>
        </is>
      </c>
      <c r="O645" t="inlineStr">
        <is>
          <t>Dylan Kopischke — Logistics Leader</t>
        </is>
      </c>
      <c r="P645" t="inlineStr">
        <is>
          <t>Logistics Leader</t>
        </is>
      </c>
      <c r="Y645" t="inlineStr">
        <is>
          <t>todo</t>
        </is>
      </c>
      <c r="Z645">
        <f>(M645*Weights!$B$2) + (MIN(Q645,Weights!$B$5)*Weights!$B$3*(W645/100)*Weights!$B$4)</f>
        <v/>
      </c>
      <c r="AA645">
        <f>IF(Z645= ,,RANK.EQ({pri_col_letter}{r},{pri_range},0))</f>
        <v/>
      </c>
    </row>
    <row r="646">
      <c r="A646" t="inlineStr">
        <is>
          <t>SIGMA ALIMENTOS</t>
        </is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5</v>
      </c>
      <c r="N646" t="inlineStr">
        <is>
          <t>Tier 4</t>
        </is>
      </c>
      <c r="O646" t="inlineStr">
        <is>
          <t>KARINA LEAL — SUPPLY CHAIN TRANSFORMATION MANAGER</t>
        </is>
      </c>
      <c r="P646" t="inlineStr">
        <is>
          <t>SUPPLY CHAIN TRANSFORMATION MANAGER</t>
        </is>
      </c>
      <c r="Y646" t="inlineStr">
        <is>
          <t>todo</t>
        </is>
      </c>
      <c r="Z646">
        <f>(M646*Weights!$B$2) + (MIN(Q646,Weights!$B$5)*Weights!$B$3*(W646/100)*Weights!$B$4)</f>
        <v/>
      </c>
      <c r="AA646">
        <f>IF(Z646= ,,RANK.EQ({pri_col_letter}{r},{pri_range},0))</f>
        <v/>
      </c>
    </row>
    <row r="647">
      <c r="A647" t="inlineStr">
        <is>
          <t>Saint Francis Health System</t>
        </is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5</v>
      </c>
      <c r="N647" t="inlineStr">
        <is>
          <t>Tier 4</t>
        </is>
      </c>
      <c r="O647" t="inlineStr">
        <is>
          <t>Phillip Smith — Executive Director, Supply Chain</t>
        </is>
      </c>
      <c r="P647" t="inlineStr">
        <is>
          <t>Executive Director, Supply Chain</t>
        </is>
      </c>
      <c r="Y647" t="inlineStr">
        <is>
          <t>todo</t>
        </is>
      </c>
      <c r="Z647">
        <f>(M647*Weights!$B$2) + (MIN(Q647,Weights!$B$5)*Weights!$B$3*(W647/100)*Weights!$B$4)</f>
        <v/>
      </c>
      <c r="AA647">
        <f>IF(Z647= ,,RANK.EQ({pri_col_letter}{r},{pri_range},0))</f>
        <v/>
      </c>
    </row>
    <row r="648">
      <c r="A648" t="inlineStr">
        <is>
          <t>Schreiber</t>
        </is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5</v>
      </c>
      <c r="N648" t="inlineStr">
        <is>
          <t>Tier 4</t>
        </is>
      </c>
      <c r="O648" t="inlineStr">
        <is>
          <t>Peter Andrews — Director of Transportation</t>
        </is>
      </c>
      <c r="P648" t="inlineStr">
        <is>
          <t>Director of Transportation</t>
        </is>
      </c>
      <c r="Y648" t="inlineStr">
        <is>
          <t>todo</t>
        </is>
      </c>
      <c r="Z648">
        <f>(M648*Weights!$B$2) + (MIN(Q648,Weights!$B$5)*Weights!$B$3*(W648/100)*Weights!$B$4)</f>
        <v/>
      </c>
      <c r="AA648">
        <f>IF(Z648= ,,RANK.EQ({pri_col_letter}{r},{pri_range},0))</f>
        <v/>
      </c>
    </row>
    <row r="649">
      <c r="A649" t="inlineStr">
        <is>
          <t>Schwan’s Company</t>
        </is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5</v>
      </c>
      <c r="N649" t="inlineStr">
        <is>
          <t>Tier 4</t>
        </is>
      </c>
      <c r="O649" t="inlineStr">
        <is>
          <t>Peter Zedler — Director of Logistics</t>
        </is>
      </c>
      <c r="P649" t="inlineStr">
        <is>
          <t>Director of Logistics</t>
        </is>
      </c>
      <c r="Y649" t="inlineStr">
        <is>
          <t>todo</t>
        </is>
      </c>
      <c r="Z649">
        <f>(M649*Weights!$B$2) + (MIN(Q649,Weights!$B$5)*Weights!$B$3*(W649/100)*Weights!$B$4)</f>
        <v/>
      </c>
      <c r="AA649">
        <f>IF(Z649= ,,RANK.EQ({pri_col_letter}{r},{pri_range},0))</f>
        <v/>
      </c>
    </row>
    <row r="650">
      <c r="A650" t="inlineStr">
        <is>
          <t>Scotts</t>
        </is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5</v>
      </c>
      <c r="N650" t="inlineStr">
        <is>
          <t>Tier 4</t>
        </is>
      </c>
      <c r="O650" t="inlineStr">
        <is>
          <t>Tony Botos — Director, Global Logistics</t>
        </is>
      </c>
      <c r="P650" t="inlineStr">
        <is>
          <t>Director, Global Logistics</t>
        </is>
      </c>
      <c r="Y650" t="inlineStr">
        <is>
          <t>todo</t>
        </is>
      </c>
      <c r="Z650">
        <f>(M650*Weights!$B$2) + (MIN(Q650,Weights!$B$5)*Weights!$B$3*(W650/100)*Weights!$B$4)</f>
        <v/>
      </c>
      <c r="AA650">
        <f>IF(Z650= ,,RANK.EQ({pri_col_letter}{r},{pri_range},0))</f>
        <v/>
      </c>
    </row>
    <row r="651">
      <c r="A651" t="inlineStr">
        <is>
          <t>Shearer’s Snacks</t>
        </is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5</v>
      </c>
      <c r="N651" t="inlineStr">
        <is>
          <t>Tier 4</t>
        </is>
      </c>
      <c r="O651" t="inlineStr">
        <is>
          <t>Brynne Johnson — Sr Director, Supply Chain Logistics</t>
        </is>
      </c>
      <c r="P651" t="inlineStr">
        <is>
          <t>Sr Director, Supply Chain Logistics</t>
        </is>
      </c>
      <c r="Y651" t="inlineStr">
        <is>
          <t>todo</t>
        </is>
      </c>
      <c r="Z651">
        <f>(M651*Weights!$B$2) + (MIN(Q651,Weights!$B$5)*Weights!$B$3*(W651/100)*Weights!$B$4)</f>
        <v/>
      </c>
      <c r="AA651">
        <f>IF(Z651= ,,RANK.EQ({pri_col_letter}{r},{pri_range},0))</f>
        <v/>
      </c>
    </row>
    <row r="652">
      <c r="A652" t="inlineStr">
        <is>
          <t>Shipware</t>
        </is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5</v>
      </c>
      <c r="N652" t="inlineStr">
        <is>
          <t>Tier 4</t>
        </is>
      </c>
      <c r="O652" t="inlineStr">
        <is>
          <t>Majeed Peffley — Senior Fulfillment Analyst and Consultant</t>
        </is>
      </c>
      <c r="P652" t="inlineStr">
        <is>
          <t>Senior Fulfillment Analyst and Consultant</t>
        </is>
      </c>
      <c r="Y652" t="inlineStr">
        <is>
          <t>todo</t>
        </is>
      </c>
      <c r="Z652">
        <f>(M652*Weights!$B$2) + (MIN(Q652,Weights!$B$5)*Weights!$B$3*(W652/100)*Weights!$B$4)</f>
        <v/>
      </c>
      <c r="AA652">
        <f>IF(Z652= ,,RANK.EQ({pri_col_letter}{r},{pri_range},0))</f>
        <v/>
      </c>
    </row>
    <row r="653">
      <c r="A653" t="inlineStr">
        <is>
          <t>Shipware LLC</t>
        </is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5</v>
      </c>
      <c r="N653" t="inlineStr">
        <is>
          <t>Tier 4</t>
        </is>
      </c>
      <c r="O653" t="inlineStr">
        <is>
          <t>Adam Napoli — Director, Fulfillment Optimization</t>
        </is>
      </c>
      <c r="P653" t="inlineStr">
        <is>
          <t>Director, Fulfillment Optimization</t>
        </is>
      </c>
      <c r="Y653" t="inlineStr">
        <is>
          <t>todo</t>
        </is>
      </c>
      <c r="Z653">
        <f>(M653*Weights!$B$2) + (MIN(Q653,Weights!$B$5)*Weights!$B$3*(W653/100)*Weights!$B$4)</f>
        <v/>
      </c>
      <c r="AA653">
        <f>IF(Z653= ,,RANK.EQ({pri_col_letter}{r},{pri_range},0))</f>
        <v/>
      </c>
    </row>
    <row r="654">
      <c r="A654" t="inlineStr">
        <is>
          <t>Shofu Dental Corporation</t>
        </is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5</v>
      </c>
      <c r="N654" t="inlineStr">
        <is>
          <t>Tier 4</t>
        </is>
      </c>
      <c r="O654" t="inlineStr">
        <is>
          <t>Sergio Pozos — Warehouse Supervisor</t>
        </is>
      </c>
      <c r="P654" t="inlineStr">
        <is>
          <t>Warehouse Supervisor</t>
        </is>
      </c>
      <c r="Y654" t="inlineStr">
        <is>
          <t>todo</t>
        </is>
      </c>
      <c r="Z654">
        <f>(M654*Weights!$B$2) + (MIN(Q654,Weights!$B$5)*Weights!$B$3*(W654/100)*Weights!$B$4)</f>
        <v/>
      </c>
      <c r="AA654">
        <f>IF(Z654= ,,RANK.EQ({pri_col_letter}{r},{pri_range},0))</f>
        <v/>
      </c>
    </row>
    <row r="655">
      <c r="A655" t="inlineStr">
        <is>
          <t>Siffron</t>
        </is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5</v>
      </c>
      <c r="N655" t="inlineStr">
        <is>
          <t>Tier 4</t>
        </is>
      </c>
      <c r="O655" t="inlineStr">
        <is>
          <t>Craig Hollet — Senior Director of Operations</t>
        </is>
      </c>
      <c r="P655" t="inlineStr">
        <is>
          <t>Senior Director of Operations</t>
        </is>
      </c>
      <c r="Y655" t="inlineStr">
        <is>
          <t>todo</t>
        </is>
      </c>
      <c r="Z655">
        <f>(M655*Weights!$B$2) + (MIN(Q655,Weights!$B$5)*Weights!$B$3*(W655/100)*Weights!$B$4)</f>
        <v/>
      </c>
      <c r="AA655">
        <f>IF(Z655= ,,RANK.EQ({pri_col_letter}{r},{pri_range},0))</f>
        <v/>
      </c>
    </row>
    <row r="656">
      <c r="A656" t="inlineStr">
        <is>
          <t>Sourcing Journal</t>
        </is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5</v>
      </c>
      <c r="N656" t="inlineStr">
        <is>
          <t>Tier 4</t>
        </is>
      </c>
      <c r="O656" t="inlineStr">
        <is>
          <t>Glenn Taylor — Logistics Editor</t>
        </is>
      </c>
      <c r="P656" t="inlineStr">
        <is>
          <t>Logistics Editor</t>
        </is>
      </c>
      <c r="Y656" t="inlineStr">
        <is>
          <t>todo</t>
        </is>
      </c>
      <c r="Z656">
        <f>(M656*Weights!$B$2) + (MIN(Q656,Weights!$B$5)*Weights!$B$3*(W656/100)*Weights!$B$4)</f>
        <v/>
      </c>
      <c r="AA656">
        <f>IF(Z656= ,,RANK.EQ({pri_col_letter}{r},{pri_range},0))</f>
        <v/>
      </c>
    </row>
    <row r="657">
      <c r="A657" t="inlineStr">
        <is>
          <t>Spyderco Inc.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5</v>
      </c>
      <c r="N657" t="inlineStr">
        <is>
          <t>Tier 4</t>
        </is>
      </c>
      <c r="O657" t="inlineStr">
        <is>
          <t>Douglas Hunter — Warehouse Ops Manager</t>
        </is>
      </c>
      <c r="P657" t="inlineStr">
        <is>
          <t>Warehouse Ops Manager</t>
        </is>
      </c>
      <c r="Y657" t="inlineStr">
        <is>
          <t>todo</t>
        </is>
      </c>
      <c r="Z657">
        <f>(M657*Weights!$B$2) + (MIN(Q657,Weights!$B$5)*Weights!$B$3*(W657/100)*Weights!$B$4)</f>
        <v/>
      </c>
      <c r="AA657">
        <f>IF(Z657= ,,RANK.EQ({pri_col_letter}{r},{pri_range},0))</f>
        <v/>
      </c>
    </row>
    <row r="658">
      <c r="A658" t="inlineStr">
        <is>
          <t>Standard Holding Corp. / SECO</t>
        </is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5</v>
      </c>
      <c r="N658" t="inlineStr">
        <is>
          <t>Tier 4</t>
        </is>
      </c>
      <c r="O658" t="inlineStr">
        <is>
          <t>Joe Carlson — Director Business Ops Solutions</t>
        </is>
      </c>
      <c r="P658" t="inlineStr">
        <is>
          <t>Director Business Ops Solutions</t>
        </is>
      </c>
      <c r="Y658" t="inlineStr">
        <is>
          <t>todo</t>
        </is>
      </c>
      <c r="Z658">
        <f>(M658*Weights!$B$2) + (MIN(Q658,Weights!$B$5)*Weights!$B$3*(W658/100)*Weights!$B$4)</f>
        <v/>
      </c>
      <c r="AA658">
        <f>IF(Z658= ,,RANK.EQ({pri_col_letter}{r},{pri_range},0))</f>
        <v/>
      </c>
    </row>
    <row r="659">
      <c r="A659" t="inlineStr">
        <is>
          <t>StandardAero</t>
        </is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5</v>
      </c>
      <c r="N659" t="inlineStr">
        <is>
          <t>Tier 4</t>
        </is>
      </c>
      <c r="O659" t="inlineStr">
        <is>
          <t>Jon Stewart — Sr. Director, Global Logistics &amp; Warehousing</t>
        </is>
      </c>
      <c r="P659" t="inlineStr">
        <is>
          <t>Sr. Director, Global Logistics &amp; Warehousing</t>
        </is>
      </c>
      <c r="Y659" t="inlineStr">
        <is>
          <t>todo</t>
        </is>
      </c>
      <c r="Z659">
        <f>(M659*Weights!$B$2) + (MIN(Q659,Weights!$B$5)*Weights!$B$3*(W659/100)*Weights!$B$4)</f>
        <v/>
      </c>
      <c r="AA659">
        <f>IF(Z659= ,,RANK.EQ({pri_col_letter}{r},{pri_range},0))</f>
        <v/>
      </c>
    </row>
    <row r="660">
      <c r="A660" t="inlineStr">
        <is>
          <t>Strattec</t>
        </is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5</v>
      </c>
      <c r="N660" t="inlineStr">
        <is>
          <t>Tier 4</t>
        </is>
      </c>
      <c r="O660" t="inlineStr">
        <is>
          <t>Zach Vossekuil — Senior Transportation Manager</t>
        </is>
      </c>
      <c r="P660" t="inlineStr">
        <is>
          <t>Senior Transportation Manager</t>
        </is>
      </c>
      <c r="Y660" t="inlineStr">
        <is>
          <t>todo</t>
        </is>
      </c>
      <c r="Z660">
        <f>(M660*Weights!$B$2) + (MIN(Q660,Weights!$B$5)*Weights!$B$3*(W660/100)*Weights!$B$4)</f>
        <v/>
      </c>
      <c r="AA660">
        <f>IF(Z660= ,,RANK.EQ({pri_col_letter}{r},{pri_range},0))</f>
        <v/>
      </c>
    </row>
    <row r="661">
      <c r="A661" t="inlineStr">
        <is>
          <t>Sysco</t>
        </is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5</v>
      </c>
      <c r="N661" t="inlineStr">
        <is>
          <t>Tier 4</t>
        </is>
      </c>
      <c r="O661" t="inlineStr">
        <is>
          <t>Ron Czerniakowski — Director of Operations</t>
        </is>
      </c>
      <c r="P661" t="inlineStr">
        <is>
          <t>Director of Operations</t>
        </is>
      </c>
      <c r="Y661" t="inlineStr">
        <is>
          <t>todo</t>
        </is>
      </c>
      <c r="Z661">
        <f>(M661*Weights!$B$2) + (MIN(Q661,Weights!$B$5)*Weights!$B$3*(W661/100)*Weights!$B$4)</f>
        <v/>
      </c>
      <c r="AA661">
        <f>IF(Z661= ,,RANK.EQ({pri_col_letter}{r},{pri_range},0))</f>
        <v/>
      </c>
    </row>
    <row r="662">
      <c r="A662" t="inlineStr">
        <is>
          <t>TC Energy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5</v>
      </c>
      <c r="N662" t="inlineStr">
        <is>
          <t>Tier 4</t>
        </is>
      </c>
      <c r="O662" t="inlineStr">
        <is>
          <t>Melissa Martin — Manager, Asset Recovery &amp; Logistics</t>
        </is>
      </c>
      <c r="P662" t="inlineStr">
        <is>
          <t>Manager, Asset Recovery &amp; Logistics</t>
        </is>
      </c>
      <c r="Y662" t="inlineStr">
        <is>
          <t>todo</t>
        </is>
      </c>
      <c r="Z662">
        <f>(M662*Weights!$B$2) + (MIN(Q662,Weights!$B$5)*Weights!$B$3*(W662/100)*Weights!$B$4)</f>
        <v/>
      </c>
      <c r="AA662">
        <f>IF(Z662= ,,RANK.EQ({pri_col_letter}{r},{pri_range},0))</f>
        <v/>
      </c>
    </row>
    <row r="663">
      <c r="A663" t="inlineStr">
        <is>
          <t>TEMU</t>
        </is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5</v>
      </c>
      <c r="N663" t="inlineStr">
        <is>
          <t>Tier 4</t>
        </is>
      </c>
      <c r="O663" t="inlineStr">
        <is>
          <t>Aaron Gao — Director of Logistics</t>
        </is>
      </c>
      <c r="P663" t="inlineStr">
        <is>
          <t>Director of Logistics</t>
        </is>
      </c>
      <c r="Y663" t="inlineStr">
        <is>
          <t>todo</t>
        </is>
      </c>
      <c r="Z663">
        <f>(M663*Weights!$B$2) + (MIN(Q663,Weights!$B$5)*Weights!$B$3*(W663/100)*Weights!$B$4)</f>
        <v/>
      </c>
      <c r="AA663">
        <f>IF(Z663= ,,RANK.EQ({pri_col_letter}{r},{pri_range},0))</f>
        <v/>
      </c>
    </row>
    <row r="664">
      <c r="A664" t="inlineStr">
        <is>
          <t>TRAFFIX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5</v>
      </c>
      <c r="N664" t="inlineStr">
        <is>
          <t>Tier 4</t>
        </is>
      </c>
      <c r="O664" t="inlineStr">
        <is>
          <t>Gary Palin — Senior Director, Transportation Solutions</t>
        </is>
      </c>
      <c r="P664" t="inlineStr">
        <is>
          <t>Senior Director, Transportation Solutions</t>
        </is>
      </c>
      <c r="Y664" t="inlineStr">
        <is>
          <t>todo</t>
        </is>
      </c>
      <c r="Z664">
        <f>(M664*Weights!$B$2) + (MIN(Q664,Weights!$B$5)*Weights!$B$3*(W664/100)*Weights!$B$4)</f>
        <v/>
      </c>
      <c r="AA664">
        <f>IF(Z664= ,,RANK.EQ({pri_col_letter}{r},{pri_range},0))</f>
        <v/>
      </c>
    </row>
    <row r="665">
      <c r="A665" t="inlineStr">
        <is>
          <t>Tacony Corporation</t>
        </is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5</v>
      </c>
      <c r="N665" t="inlineStr">
        <is>
          <t>Tier 4</t>
        </is>
      </c>
      <c r="O665" t="inlineStr">
        <is>
          <t>Kyle Trumble — Senior Manager, Warehouse &amp; Distribution</t>
        </is>
      </c>
      <c r="P665" t="inlineStr">
        <is>
          <t>Senior Manager, Warehouse &amp; Distribution</t>
        </is>
      </c>
      <c r="Y665" t="inlineStr">
        <is>
          <t>todo</t>
        </is>
      </c>
      <c r="Z665">
        <f>(M665*Weights!$B$2) + (MIN(Q665,Weights!$B$5)*Weights!$B$3*(W665/100)*Weights!$B$4)</f>
        <v/>
      </c>
      <c r="AA665">
        <f>IF(Z665= ,,RANK.EQ({pri_col_letter}{r},{pri_range},0))</f>
        <v/>
      </c>
    </row>
    <row r="666">
      <c r="A666" t="inlineStr">
        <is>
          <t>Tatcha</t>
        </is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5</v>
      </c>
      <c r="N666" t="inlineStr">
        <is>
          <t>Tier 4</t>
        </is>
      </c>
      <c r="O666" t="inlineStr">
        <is>
          <t>Amanda Krantz — Director of Distribution</t>
        </is>
      </c>
      <c r="P666" t="inlineStr">
        <is>
          <t>Director of Distribution</t>
        </is>
      </c>
      <c r="Y666" t="inlineStr">
        <is>
          <t>todo</t>
        </is>
      </c>
      <c r="Z666">
        <f>(M666*Weights!$B$2) + (MIN(Q666,Weights!$B$5)*Weights!$B$3*(W666/100)*Weights!$B$4)</f>
        <v/>
      </c>
      <c r="AA666">
        <f>IF(Z666= ,,RANK.EQ({pri_col_letter}{r},{pri_range},0))</f>
        <v/>
      </c>
    </row>
    <row r="667">
      <c r="A667" t="inlineStr">
        <is>
          <t>TechStyleOS</t>
        </is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5</v>
      </c>
      <c r="N667" t="inlineStr">
        <is>
          <t>Tier 4</t>
        </is>
      </c>
      <c r="O667" t="inlineStr">
        <is>
          <t>Kathy Chinchilla — Director, Logistics</t>
        </is>
      </c>
      <c r="P667" t="inlineStr">
        <is>
          <t>Director, Logistics</t>
        </is>
      </c>
      <c r="Y667" t="inlineStr">
        <is>
          <t>todo</t>
        </is>
      </c>
      <c r="Z667">
        <f>(M667*Weights!$B$2) + (MIN(Q667,Weights!$B$5)*Weights!$B$3*(W667/100)*Weights!$B$4)</f>
        <v/>
      </c>
      <c r="AA667">
        <f>IF(Z667= ,,RANK.EQ({pri_col_letter}{r},{pri_range},0))</f>
        <v/>
      </c>
    </row>
    <row r="668">
      <c r="A668" t="inlineStr">
        <is>
          <t>Temu</t>
        </is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5</v>
      </c>
      <c r="N668" t="inlineStr">
        <is>
          <t>Tier 4</t>
        </is>
      </c>
      <c r="O668" t="inlineStr">
        <is>
          <t>Zack Li — Director of Logistics</t>
        </is>
      </c>
      <c r="P668" t="inlineStr">
        <is>
          <t>Director of Logistics</t>
        </is>
      </c>
      <c r="Y668" t="inlineStr">
        <is>
          <t>todo</t>
        </is>
      </c>
      <c r="Z668">
        <f>(M668*Weights!$B$2) + (MIN(Q668,Weights!$B$5)*Weights!$B$3*(W668/100)*Weights!$B$4)</f>
        <v/>
      </c>
      <c r="AA668">
        <f>IF(Z668= ,,RANK.EQ({pri_col_letter}{r},{pri_range},0))</f>
        <v/>
      </c>
    </row>
    <row r="669">
      <c r="A669" t="inlineStr">
        <is>
          <t>Tesla</t>
        </is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5</v>
      </c>
      <c r="N669" t="inlineStr">
        <is>
          <t>Tier 4</t>
        </is>
      </c>
      <c r="O669" t="inlineStr">
        <is>
          <t>Ximena Castanon — Lead, Staff TPM Service Distribution Optimization</t>
        </is>
      </c>
      <c r="P669" t="inlineStr">
        <is>
          <t>Lead, Staff TPM Service Distribution Optimization</t>
        </is>
      </c>
      <c r="Y669" t="inlineStr">
        <is>
          <t>todo</t>
        </is>
      </c>
      <c r="Z669">
        <f>(M669*Weights!$B$2) + (MIN(Q669,Weights!$B$5)*Weights!$B$3*(W669/100)*Weights!$B$4)</f>
        <v/>
      </c>
      <c r="AA669">
        <f>IF(Z669= ,,RANK.EQ({pri_col_letter}{r},{pri_range},0))</f>
        <v/>
      </c>
    </row>
    <row r="670">
      <c r="A670" t="inlineStr">
        <is>
          <t>The Farmer's Dog</t>
        </is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5</v>
      </c>
      <c r="N670" t="inlineStr">
        <is>
          <t>Tier 4</t>
        </is>
      </c>
      <c r="O670" t="inlineStr">
        <is>
          <t>Zach Gantt — Sr. Director, Fulfillment &amp; Last Mile</t>
        </is>
      </c>
      <c r="P670" t="inlineStr">
        <is>
          <t>Sr. Director, Fulfillment &amp; Last Mile</t>
        </is>
      </c>
      <c r="Y670" t="inlineStr">
        <is>
          <t>todo</t>
        </is>
      </c>
      <c r="Z670">
        <f>(M670*Weights!$B$2) + (MIN(Q670,Weights!$B$5)*Weights!$B$3*(W670/100)*Weights!$B$4)</f>
        <v/>
      </c>
      <c r="AA670">
        <f>IF(Z670= ,,RANK.EQ({pri_col_letter}{r},{pri_range},0))</f>
        <v/>
      </c>
    </row>
    <row r="671">
      <c r="A671" t="inlineStr">
        <is>
          <t>The Farmers Dog</t>
        </is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5</v>
      </c>
      <c r="N671" t="inlineStr">
        <is>
          <t>Tier 4</t>
        </is>
      </c>
      <c r="O671" t="inlineStr">
        <is>
          <t>Adam Bieber — Senior Manager Logistics</t>
        </is>
      </c>
      <c r="P671" t="inlineStr">
        <is>
          <t>Senior Manager Logistics</t>
        </is>
      </c>
      <c r="Y671" t="inlineStr">
        <is>
          <t>todo</t>
        </is>
      </c>
      <c r="Z671">
        <f>(M671*Weights!$B$2) + (MIN(Q671,Weights!$B$5)*Weights!$B$3*(W671/100)*Weights!$B$4)</f>
        <v/>
      </c>
      <c r="AA671">
        <f>IF(Z671= ,,RANK.EQ({pri_col_letter}{r},{pri_range},0))</f>
        <v/>
      </c>
    </row>
    <row r="672">
      <c r="A672" t="inlineStr">
        <is>
          <t>The Hershey Company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5</v>
      </c>
      <c r="N672" t="inlineStr">
        <is>
          <t>Tier 4</t>
        </is>
      </c>
      <c r="O672" t="inlineStr">
        <is>
          <t>Oliver Lindsey — Sr. Manager Transportation Operations</t>
        </is>
      </c>
      <c r="P672" t="inlineStr">
        <is>
          <t>Sr. Manager Transportation Operations</t>
        </is>
      </c>
      <c r="Y672" t="inlineStr">
        <is>
          <t>todo</t>
        </is>
      </c>
      <c r="Z672">
        <f>(M672*Weights!$B$2) + (MIN(Q672,Weights!$B$5)*Weights!$B$3*(W672/100)*Weights!$B$4)</f>
        <v/>
      </c>
      <c r="AA672">
        <f>IF(Z672= ,,RANK.EQ({pri_col_letter}{r},{pri_range},0))</f>
        <v/>
      </c>
    </row>
    <row r="673">
      <c r="A673" t="inlineStr">
        <is>
          <t>The Port of Virginia</t>
        </is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5</v>
      </c>
      <c r="N673" t="inlineStr">
        <is>
          <t>Tier 4</t>
        </is>
      </c>
      <c r="O673" t="inlineStr">
        <is>
          <t>Aaron Ouellette — Manager, Port Centric Logistics</t>
        </is>
      </c>
      <c r="P673" t="inlineStr">
        <is>
          <t>Manager, Port Centric Logistics</t>
        </is>
      </c>
      <c r="Y673" t="inlineStr">
        <is>
          <t>todo</t>
        </is>
      </c>
      <c r="Z673">
        <f>(M673*Weights!$B$2) + (MIN(Q673,Weights!$B$5)*Weights!$B$3*(W673/100)*Weights!$B$4)</f>
        <v/>
      </c>
      <c r="AA673">
        <f>IF(Z673= ,,RANK.EQ({pri_col_letter}{r},{pri_range},0))</f>
        <v/>
      </c>
    </row>
    <row r="674">
      <c r="A674" t="inlineStr">
        <is>
          <t>Thrasio</t>
        </is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5</v>
      </c>
      <c r="N674" t="inlineStr">
        <is>
          <t>Tier 4</t>
        </is>
      </c>
      <c r="O674" t="inlineStr">
        <is>
          <t>Alex Garey — Senior Operations Manager</t>
        </is>
      </c>
      <c r="P674" t="inlineStr">
        <is>
          <t>Senior Operations Manager</t>
        </is>
      </c>
      <c r="Y674" t="inlineStr">
        <is>
          <t>todo</t>
        </is>
      </c>
      <c r="Z674">
        <f>(M674*Weights!$B$2) + (MIN(Q674,Weights!$B$5)*Weights!$B$3*(W674/100)*Weights!$B$4)</f>
        <v/>
      </c>
      <c r="AA674">
        <f>IF(Z674= ,,RANK.EQ({pri_col_letter}{r},{pri_range},0))</f>
        <v/>
      </c>
    </row>
    <row r="675">
      <c r="A675" t="inlineStr">
        <is>
          <t>Thuma</t>
        </is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5</v>
      </c>
      <c r="N675" t="inlineStr">
        <is>
          <t>Tier 4</t>
        </is>
      </c>
      <c r="O675" t="inlineStr">
        <is>
          <t>Sam Lacy — Director of Outbound Logistics</t>
        </is>
      </c>
      <c r="P675" t="inlineStr">
        <is>
          <t>Director of Outbound Logistics</t>
        </is>
      </c>
      <c r="Y675" t="inlineStr">
        <is>
          <t>todo</t>
        </is>
      </c>
      <c r="Z675">
        <f>(M675*Weights!$B$2) + (MIN(Q675,Weights!$B$5)*Weights!$B$3*(W675/100)*Weights!$B$4)</f>
        <v/>
      </c>
      <c r="AA675">
        <f>IF(Z675= ,,RANK.EQ({pri_col_letter}{r},{pri_range},0))</f>
        <v/>
      </c>
    </row>
    <row r="676">
      <c r="A676" t="inlineStr">
        <is>
          <t>Triple S Steel</t>
        </is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5</v>
      </c>
      <c r="N676" t="inlineStr">
        <is>
          <t>Tier 4</t>
        </is>
      </c>
      <c r="O676" t="inlineStr">
        <is>
          <t>Lexy Malbrue — Director of Logistics</t>
        </is>
      </c>
      <c r="P676" t="inlineStr">
        <is>
          <t>Director of Logistics</t>
        </is>
      </c>
      <c r="Y676" t="inlineStr">
        <is>
          <t>todo</t>
        </is>
      </c>
      <c r="Z676">
        <f>(M676*Weights!$B$2) + (MIN(Q676,Weights!$B$5)*Weights!$B$3*(W676/100)*Weights!$B$4)</f>
        <v/>
      </c>
      <c r="AA676">
        <f>IF(Z676= ,,RANK.EQ({pri_col_letter}{r},{pri_range},0))</f>
        <v/>
      </c>
    </row>
    <row r="677">
      <c r="A677" t="inlineStr">
        <is>
          <t>Tyers Foods</t>
        </is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5</v>
      </c>
      <c r="N677" t="inlineStr">
        <is>
          <t>Tier 4</t>
        </is>
      </c>
      <c r="O677" t="inlineStr">
        <is>
          <t>Victoria Jones — Supply Chain Specialist</t>
        </is>
      </c>
      <c r="P677" t="inlineStr">
        <is>
          <t>Supply Chain Specialist</t>
        </is>
      </c>
      <c r="Y677" t="inlineStr">
        <is>
          <t>todo</t>
        </is>
      </c>
      <c r="Z677">
        <f>(M677*Weights!$B$2) + (MIN(Q677,Weights!$B$5)*Weights!$B$3*(W677/100)*Weights!$B$4)</f>
        <v/>
      </c>
      <c r="AA677">
        <f>IF(Z677= ,,RANK.EQ({pri_col_letter}{r},{pri_range},0))</f>
        <v/>
      </c>
    </row>
    <row r="678">
      <c r="A678" t="inlineStr">
        <is>
          <t>US Cold Storage</t>
        </is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5</v>
      </c>
      <c r="N678" t="inlineStr">
        <is>
          <t>Tier 4</t>
        </is>
      </c>
      <c r="O678" t="inlineStr">
        <is>
          <t>Mike Carlisle — Senior Director , Logistics Operations</t>
        </is>
      </c>
      <c r="P678" t="inlineStr">
        <is>
          <t>Senior Director , Logistics Operations</t>
        </is>
      </c>
      <c r="Y678" t="inlineStr">
        <is>
          <t>todo</t>
        </is>
      </c>
      <c r="Z678">
        <f>(M678*Weights!$B$2) + (MIN(Q678,Weights!$B$5)*Weights!$B$3*(W678/100)*Weights!$B$4)</f>
        <v/>
      </c>
      <c r="AA678">
        <f>IF(Z678= ,,RANK.EQ({pri_col_letter}{r},{pri_range},0))</f>
        <v/>
      </c>
    </row>
    <row r="679">
      <c r="A679" t="inlineStr">
        <is>
          <t>US Silica</t>
        </is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5</v>
      </c>
      <c r="N679" t="inlineStr">
        <is>
          <t>Tier 4</t>
        </is>
      </c>
      <c r="O679" t="inlineStr">
        <is>
          <t>Kyle Rubright — Director of Logistics</t>
        </is>
      </c>
      <c r="P679" t="inlineStr">
        <is>
          <t>Director of Logistics</t>
        </is>
      </c>
      <c r="Y679" t="inlineStr">
        <is>
          <t>todo</t>
        </is>
      </c>
      <c r="Z679">
        <f>(M679*Weights!$B$2) + (MIN(Q679,Weights!$B$5)*Weights!$B$3*(W679/100)*Weights!$B$4)</f>
        <v/>
      </c>
      <c r="AA679">
        <f>IF(Z679= ,,RANK.EQ({pri_col_letter}{r},{pri_range},0))</f>
        <v/>
      </c>
    </row>
    <row r="680">
      <c r="A680" t="inlineStr">
        <is>
          <t>UScellular</t>
        </is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5</v>
      </c>
      <c r="N680" t="inlineStr">
        <is>
          <t>Tier 4</t>
        </is>
      </c>
      <c r="O680" t="inlineStr">
        <is>
          <t>Amy Augustine — Senior Director Network Supply Chain</t>
        </is>
      </c>
      <c r="P680" t="inlineStr">
        <is>
          <t>Senior Director Network Supply Chain</t>
        </is>
      </c>
      <c r="Y680" t="inlineStr">
        <is>
          <t>todo</t>
        </is>
      </c>
      <c r="Z680">
        <f>(M680*Weights!$B$2) + (MIN(Q680,Weights!$B$5)*Weights!$B$3*(W680/100)*Weights!$B$4)</f>
        <v/>
      </c>
      <c r="AA680">
        <f>IF(Z680= ,,RANK.EQ({pri_col_letter}{r},{pri_range},0))</f>
        <v/>
      </c>
    </row>
    <row r="681">
      <c r="A681" t="inlineStr">
        <is>
          <t>Unilever Prestige - Hourglass Cosmetics</t>
        </is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5</v>
      </c>
      <c r="N681" t="inlineStr">
        <is>
          <t>Tier 4</t>
        </is>
      </c>
      <c r="O681" t="inlineStr">
        <is>
          <t>Mindy Luong — Senior Director, Supply Chain</t>
        </is>
      </c>
      <c r="P681" t="inlineStr">
        <is>
          <t>Senior Director, Supply Chain</t>
        </is>
      </c>
      <c r="Y681" t="inlineStr">
        <is>
          <t>todo</t>
        </is>
      </c>
      <c r="Z681">
        <f>(M681*Weights!$B$2) + (MIN(Q681,Weights!$B$5)*Weights!$B$3*(W681/100)*Weights!$B$4)</f>
        <v/>
      </c>
      <c r="AA681">
        <f>IF(Z681= ,,RANK.EQ({pri_col_letter}{r},{pri_range},0))</f>
        <v/>
      </c>
    </row>
    <row r="682">
      <c r="A682" t="inlineStr">
        <is>
          <t>United Art &amp; Education</t>
        </is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5</v>
      </c>
      <c r="N682" t="inlineStr">
        <is>
          <t>Tier 4</t>
        </is>
      </c>
      <c r="O682" t="inlineStr">
        <is>
          <t>Jacob Johnloz — Operations Manager</t>
        </is>
      </c>
      <c r="P682" t="inlineStr">
        <is>
          <t>Operations Manager</t>
        </is>
      </c>
      <c r="Y682" t="inlineStr">
        <is>
          <t>todo</t>
        </is>
      </c>
      <c r="Z682">
        <f>(M682*Weights!$B$2) + (MIN(Q682,Weights!$B$5)*Weights!$B$3*(W682/100)*Weights!$B$4)</f>
        <v/>
      </c>
      <c r="AA682">
        <f>IF(Z682= ,,RANK.EQ({pri_col_letter}{r},{pri_range},0))</f>
        <v/>
      </c>
    </row>
    <row r="683">
      <c r="A683" t="inlineStr">
        <is>
          <t>United Warehouse Company</t>
        </is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5</v>
      </c>
      <c r="N683" t="inlineStr">
        <is>
          <t>Tier 4</t>
        </is>
      </c>
      <c r="O683" t="inlineStr">
        <is>
          <t>Chad Schaefer — Manager of Engineered Logistics Systems</t>
        </is>
      </c>
      <c r="P683" t="inlineStr">
        <is>
          <t>Manager of Engineered Logistics Systems</t>
        </is>
      </c>
      <c r="Y683" t="inlineStr">
        <is>
          <t>todo</t>
        </is>
      </c>
      <c r="Z683">
        <f>(M683*Weights!$B$2) + (MIN(Q683,Weights!$B$5)*Weights!$B$3*(W683/100)*Weights!$B$4)</f>
        <v/>
      </c>
      <c r="AA683">
        <f>IF(Z683= ,,RANK.EQ({pri_col_letter}{r},{pri_range},0))</f>
        <v/>
      </c>
    </row>
    <row r="684">
      <c r="A684" t="inlineStr">
        <is>
          <t>University of Tennessee</t>
        </is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5</v>
      </c>
      <c r="N684" t="inlineStr">
        <is>
          <t>Tier 4</t>
        </is>
      </c>
      <c r="O684" t="inlineStr">
        <is>
          <t>Scott DeGroot — Managing Director - Global Supply Chain Institute</t>
        </is>
      </c>
      <c r="P684" t="inlineStr">
        <is>
          <t>Managing Director - Global Supply Chain Institute</t>
        </is>
      </c>
      <c r="Y684" t="inlineStr">
        <is>
          <t>todo</t>
        </is>
      </c>
      <c r="Z684">
        <f>(M684*Weights!$B$2) + (MIN(Q684,Weights!$B$5)*Weights!$B$3*(W684/100)*Weights!$B$4)</f>
        <v/>
      </c>
      <c r="AA684">
        <f>IF(Z684= ,,RANK.EQ({pri_col_letter}{r},{pri_range},0))</f>
        <v/>
      </c>
    </row>
    <row r="685">
      <c r="A685" t="inlineStr">
        <is>
          <t>Vesta Fitness</t>
        </is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5</v>
      </c>
      <c r="N685" t="inlineStr">
        <is>
          <t>Tier 4</t>
        </is>
      </c>
      <c r="O685" t="inlineStr">
        <is>
          <t>Justin Lu — Operations Manager</t>
        </is>
      </c>
      <c r="P685" t="inlineStr">
        <is>
          <t>Operations Manager</t>
        </is>
      </c>
      <c r="Y685" t="inlineStr">
        <is>
          <t>todo</t>
        </is>
      </c>
      <c r="Z685">
        <f>(M685*Weights!$B$2) + (MIN(Q685,Weights!$B$5)*Weights!$B$3*(W685/100)*Weights!$B$4)</f>
        <v/>
      </c>
      <c r="AA685">
        <f>IF(Z685= ,,RANK.EQ({pri_col_letter}{r},{pri_range},0))</f>
        <v/>
      </c>
    </row>
    <row r="686">
      <c r="A686" t="inlineStr">
        <is>
          <t>VusionGroup Inc.</t>
        </is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5</v>
      </c>
      <c r="N686" t="inlineStr">
        <is>
          <t>Tier 4</t>
        </is>
      </c>
      <c r="O686" t="inlineStr">
        <is>
          <t>Gabrielle Ford — Logistics Coordinator</t>
        </is>
      </c>
      <c r="P686" t="inlineStr">
        <is>
          <t>Logistics Coordinator</t>
        </is>
      </c>
      <c r="Y686" t="inlineStr">
        <is>
          <t>todo</t>
        </is>
      </c>
      <c r="Z686">
        <f>(M686*Weights!$B$2) + (MIN(Q686,Weights!$B$5)*Weights!$B$3*(W686/100)*Weights!$B$4)</f>
        <v/>
      </c>
      <c r="AA686">
        <f>IF(Z686= ,,RANK.EQ({pri_col_letter}{r},{pri_range},0))</f>
        <v/>
      </c>
    </row>
    <row r="687">
      <c r="A687" t="inlineStr">
        <is>
          <t>WECS</t>
        </is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5</v>
      </c>
      <c r="N687" t="inlineStr">
        <is>
          <t>Tier 4</t>
        </is>
      </c>
      <c r="O687" t="inlineStr">
        <is>
          <t>Jonathan Ferla — Warehouse Technician</t>
        </is>
      </c>
      <c r="P687" t="inlineStr">
        <is>
          <t>Warehouse Technician</t>
        </is>
      </c>
      <c r="Y687" t="inlineStr">
        <is>
          <t>todo</t>
        </is>
      </c>
      <c r="Z687">
        <f>(M687*Weights!$B$2) + (MIN(Q687,Weights!$B$5)*Weights!$B$3*(W687/100)*Weights!$B$4)</f>
        <v/>
      </c>
      <c r="AA687">
        <f>IF(Z687= ,,RANK.EQ({pri_col_letter}{r},{pri_range},0))</f>
        <v/>
      </c>
    </row>
    <row r="688">
      <c r="A688" t="inlineStr">
        <is>
          <t>Water Pik</t>
        </is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5</v>
      </c>
      <c r="N688" t="inlineStr">
        <is>
          <t>Tier 4</t>
        </is>
      </c>
      <c r="O688" t="inlineStr">
        <is>
          <t>Tracy Milam — Logistics Manager</t>
        </is>
      </c>
      <c r="P688" t="inlineStr">
        <is>
          <t>Logistics Manager</t>
        </is>
      </c>
      <c r="Y688" t="inlineStr">
        <is>
          <t>todo</t>
        </is>
      </c>
      <c r="Z688">
        <f>(M688*Weights!$B$2) + (MIN(Q688,Weights!$B$5)*Weights!$B$3*(W688/100)*Weights!$B$4)</f>
        <v/>
      </c>
      <c r="AA688">
        <f>IF(Z688= ,,RANK.EQ({pri_col_letter}{r},{pri_range},0))</f>
        <v/>
      </c>
    </row>
    <row r="689">
      <c r="A689" t="inlineStr">
        <is>
          <t>We Can Move It Logistics LLC</t>
        </is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5</v>
      </c>
      <c r="N689" t="inlineStr">
        <is>
          <t>Tier 4</t>
        </is>
      </c>
      <c r="O689" t="inlineStr">
        <is>
          <t>Cody Byars — Director of Logistics &amp; Development</t>
        </is>
      </c>
      <c r="P689" t="inlineStr">
        <is>
          <t>Director of Logistics &amp; Development</t>
        </is>
      </c>
      <c r="Y689" t="inlineStr">
        <is>
          <t>todo</t>
        </is>
      </c>
      <c r="Z689">
        <f>(M689*Weights!$B$2) + (MIN(Q689,Weights!$B$5)*Weights!$B$3*(W689/100)*Weights!$B$4)</f>
        <v/>
      </c>
      <c r="AA689">
        <f>IF(Z689= ,,RANK.EQ({pri_col_letter}{r},{pri_range},0))</f>
        <v/>
      </c>
    </row>
    <row r="690">
      <c r="A690" t="inlineStr">
        <is>
          <t>Wella</t>
        </is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5</v>
      </c>
      <c r="N690" t="inlineStr">
        <is>
          <t>Tier 4</t>
        </is>
      </c>
      <c r="O690" t="inlineStr">
        <is>
          <t>Rick McKinley — NA Transportation Manager</t>
        </is>
      </c>
      <c r="P690" t="inlineStr">
        <is>
          <t>NA Transportation Manager</t>
        </is>
      </c>
      <c r="Y690" t="inlineStr">
        <is>
          <t>todo</t>
        </is>
      </c>
      <c r="Z690">
        <f>(M690*Weights!$B$2) + (MIN(Q690,Weights!$B$5)*Weights!$B$3*(W690/100)*Weights!$B$4)</f>
        <v/>
      </c>
      <c r="AA690">
        <f>IF(Z690= ,,RANK.EQ({pri_col_letter}{r},{pri_range},0))</f>
        <v/>
      </c>
    </row>
    <row r="691">
      <c r="A691" t="inlineStr">
        <is>
          <t>Wella Company</t>
        </is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5</v>
      </c>
      <c r="N691" t="inlineStr">
        <is>
          <t>Tier 4</t>
        </is>
      </c>
      <c r="O691" t="inlineStr">
        <is>
          <t>Joe Rogers — Director, Transportation NA</t>
        </is>
      </c>
      <c r="P691" t="inlineStr">
        <is>
          <t>Director, Transportation NA</t>
        </is>
      </c>
      <c r="Y691" t="inlineStr">
        <is>
          <t>todo</t>
        </is>
      </c>
      <c r="Z691">
        <f>(M691*Weights!$B$2) + (MIN(Q691,Weights!$B$5)*Weights!$B$3*(W691/100)*Weights!$B$4)</f>
        <v/>
      </c>
      <c r="AA691">
        <f>IF(Z691= ,,RANK.EQ({pri_col_letter}{r},{pri_range},0))</f>
        <v/>
      </c>
    </row>
    <row r="692">
      <c r="A692" t="inlineStr">
        <is>
          <t>Western Glove Works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5</v>
      </c>
      <c r="N692" t="inlineStr">
        <is>
          <t>Tier 4</t>
        </is>
      </c>
      <c r="O692" t="inlineStr">
        <is>
          <t>Dave Funk — Director of Logistics and Distribution</t>
        </is>
      </c>
      <c r="P692" t="inlineStr">
        <is>
          <t>Director of Logistics and Distribution</t>
        </is>
      </c>
      <c r="Y692" t="inlineStr">
        <is>
          <t>todo</t>
        </is>
      </c>
      <c r="Z692">
        <f>(M692*Weights!$B$2) + (MIN(Q692,Weights!$B$5)*Weights!$B$3*(W692/100)*Weights!$B$4)</f>
        <v/>
      </c>
      <c r="AA692">
        <f>IF(Z692= ,,RANK.EQ({pri_col_letter}{r},{pri_range},0))</f>
        <v/>
      </c>
    </row>
    <row r="693">
      <c r="A693" t="inlineStr">
        <is>
          <t>Westlake Corporation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5</v>
      </c>
      <c r="N693" t="inlineStr">
        <is>
          <t>Tier 4</t>
        </is>
      </c>
      <c r="O693" t="inlineStr">
        <is>
          <t>Ben Adams — Director of Logistics</t>
        </is>
      </c>
      <c r="P693" t="inlineStr">
        <is>
          <t>Director of Logistics</t>
        </is>
      </c>
      <c r="Y693" t="inlineStr">
        <is>
          <t>todo</t>
        </is>
      </c>
      <c r="Z693">
        <f>(M693*Weights!$B$2) + (MIN(Q693,Weights!$B$5)*Weights!$B$3*(W693/100)*Weights!$B$4)</f>
        <v/>
      </c>
      <c r="AA693">
        <f>IF(Z693= ,,RANK.EQ({pri_col_letter}{r},{pri_range},0))</f>
        <v/>
      </c>
    </row>
    <row r="694">
      <c r="A694" t="inlineStr">
        <is>
          <t>Winsupply Inc.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5</v>
      </c>
      <c r="N694" t="inlineStr">
        <is>
          <t>Tier 4</t>
        </is>
      </c>
      <c r="O694" t="inlineStr">
        <is>
          <t>Ryan Whitney — Director, Transportation Logistics</t>
        </is>
      </c>
      <c r="P694" t="inlineStr">
        <is>
          <t>Director, Transportation Logistics</t>
        </is>
      </c>
      <c r="Y694" t="inlineStr">
        <is>
          <t>todo</t>
        </is>
      </c>
      <c r="Z694">
        <f>(M694*Weights!$B$2) + (MIN(Q694,Weights!$B$5)*Weights!$B$3*(W694/100)*Weights!$B$4)</f>
        <v/>
      </c>
      <c r="AA694">
        <f>IF(Z694= ,,RANK.EQ({pri_col_letter}{r},{pri_range},0))</f>
        <v/>
      </c>
    </row>
    <row r="695">
      <c r="A695" t="inlineStr">
        <is>
          <t>World Wide Technology</t>
        </is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5</v>
      </c>
      <c r="N695" t="inlineStr">
        <is>
          <t>Tier 4</t>
        </is>
      </c>
      <c r="O695" t="inlineStr">
        <is>
          <t>Steve Halachoulis — Lead Global Supply Chain Engineer</t>
        </is>
      </c>
      <c r="P695" t="inlineStr">
        <is>
          <t>Lead Global Supply Chain Engineer</t>
        </is>
      </c>
      <c r="Y695" t="inlineStr">
        <is>
          <t>todo</t>
        </is>
      </c>
      <c r="Z695">
        <f>(M695*Weights!$B$2) + (MIN(Q695,Weights!$B$5)*Weights!$B$3*(W695/100)*Weights!$B$4)</f>
        <v/>
      </c>
      <c r="AA695">
        <f>IF(Z695= ,,RANK.EQ({pri_col_letter}{r},{pri_range},0))</f>
        <v/>
      </c>
    </row>
    <row r="696">
      <c r="A696" t="inlineStr">
        <is>
          <t>Yuhaaviatam of San Manuel Nation</t>
        </is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5</v>
      </c>
      <c r="N696" t="inlineStr">
        <is>
          <t>Tier 4</t>
        </is>
      </c>
      <c r="O696" t="inlineStr">
        <is>
          <t>Shawn McManigal — Director of Logistic &amp; Fleet</t>
        </is>
      </c>
      <c r="P696" t="inlineStr">
        <is>
          <t>Director of Logistic &amp; Fleet</t>
        </is>
      </c>
      <c r="Y696" t="inlineStr">
        <is>
          <t>todo</t>
        </is>
      </c>
      <c r="Z696">
        <f>(M696*Weights!$B$2) + (MIN(Q696,Weights!$B$5)*Weights!$B$3*(W696/100)*Weights!$B$4)</f>
        <v/>
      </c>
      <c r="AA696">
        <f>IF(Z696= ,,RANK.EQ({pri_col_letter}{r},{pri_range},0))</f>
        <v/>
      </c>
    </row>
    <row r="697">
      <c r="A697" t="inlineStr">
        <is>
          <t>Zurich Transport</t>
        </is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5</v>
      </c>
      <c r="N697" t="inlineStr">
        <is>
          <t>Tier 4</t>
        </is>
      </c>
      <c r="O697" t="inlineStr">
        <is>
          <t>Robert Guzman — Logistics Director</t>
        </is>
      </c>
      <c r="P697" t="inlineStr">
        <is>
          <t>Logistics Director</t>
        </is>
      </c>
      <c r="Y697" t="inlineStr">
        <is>
          <t>todo</t>
        </is>
      </c>
      <c r="Z697">
        <f>(M697*Weights!$B$2) + (MIN(Q697,Weights!$B$5)*Weights!$B$3*(W697/100)*Weights!$B$4)</f>
        <v/>
      </c>
      <c r="AA697">
        <f>IF(Z697= ,,RANK.EQ({pri_col_letter}{r},{pri_range},0))</f>
        <v/>
      </c>
    </row>
    <row r="698">
      <c r="A698" t="inlineStr">
        <is>
          <t>lululemon</t>
        </is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5</v>
      </c>
      <c r="N698" t="inlineStr">
        <is>
          <t>Tier 4</t>
        </is>
      </c>
      <c r="O698" t="inlineStr">
        <is>
          <t>Camden Buchanan — Manager, Global Fulfillment Strategy</t>
        </is>
      </c>
      <c r="P698" t="inlineStr">
        <is>
          <t>Manager, Global Fulfillment Strategy</t>
        </is>
      </c>
      <c r="Y698" t="inlineStr">
        <is>
          <t>todo</t>
        </is>
      </c>
      <c r="Z698">
        <f>(M698*Weights!$B$2) + (MIN(Q698,Weights!$B$5)*Weights!$B$3*(W698/100)*Weights!$B$4)</f>
        <v/>
      </c>
      <c r="AA698">
        <f>IF(Z698= ,,RANK.EQ({pri_col_letter}{r},{pri_range},0))</f>
        <v/>
      </c>
    </row>
    <row r="699">
      <c r="A699" t="inlineStr">
        <is>
          <t>Cycle Labs</t>
        </is>
      </c>
      <c r="B699" t="n">
        <v>6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4</v>
      </c>
      <c r="N699" t="inlineStr">
        <is>
          <t>Tier 4</t>
        </is>
      </c>
      <c r="O699" t="inlineStr">
        <is>
          <t>David Stephans — CEO; Josh Owen — Founder, President, &amp; Executive Chairman; Layla Levine — Key Account Director; Michael Morin — Key Account Director; Rick Kimball — Key Account Director</t>
        </is>
      </c>
      <c r="P699" t="inlineStr">
        <is>
          <t>CEO | Founder, President, &amp; Executive Chairman | Key Account Director</t>
        </is>
      </c>
      <c r="Y699" t="inlineStr">
        <is>
          <t>todo</t>
        </is>
      </c>
      <c r="Z699">
        <f>(M699*Weights!$B$2) + (MIN(Q699,Weights!$B$5)*Weights!$B$3*(W699/100)*Weights!$B$4)</f>
        <v/>
      </c>
      <c r="AA699">
        <f>IF(Z699= ,,RANK.EQ({pri_col_letter}{r},{pri_range},0))</f>
        <v/>
      </c>
    </row>
    <row r="700">
      <c r="A700" t="inlineStr">
        <is>
          <t>OneRail</t>
        </is>
      </c>
      <c r="B700" t="n">
        <v>6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4</v>
      </c>
      <c r="N700" t="inlineStr">
        <is>
          <t>Tier 4</t>
        </is>
      </c>
      <c r="O700" t="inlineStr">
        <is>
          <t>Bill Catania — CEO &amp; Founder; Jason McAndrew — Chief Commercial Officer; Jason Quintana — AVP, Strategy; Stacy Schaefer — AVP, Solutions Consulting; Joe Spaccarelli — Event Manager</t>
        </is>
      </c>
      <c r="P700" t="inlineStr">
        <is>
          <t>CEO &amp; Founder | Chief Commercial Officer | AVP, Strategy</t>
        </is>
      </c>
      <c r="Y700" t="inlineStr">
        <is>
          <t>todo</t>
        </is>
      </c>
      <c r="Z700">
        <f>(M700*Weights!$B$2) + (MIN(Q700,Weights!$B$5)*Weights!$B$3*(W700/100)*Weights!$B$4)</f>
        <v/>
      </c>
      <c r="AA700">
        <f>IF(Z700= ,,RANK.EQ({pri_col_letter}{r},{pri_range},0))</f>
        <v/>
      </c>
    </row>
    <row r="701">
      <c r="A701" t="inlineStr">
        <is>
          <t>Vecna Robotics</t>
        </is>
      </c>
      <c r="B701" t="n">
        <v>6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4</v>
      </c>
      <c r="N701" t="inlineStr">
        <is>
          <t>Tier 4</t>
        </is>
      </c>
      <c r="O701" t="inlineStr">
        <is>
          <t>Karl Iagnemma — CEO; Rich Bohne — Chief Commercial Officer; Yifan Lu — Senior Director, Strategy and Chief of Staff; Brooks Pauly — Solutions Design Manager; Scott Shaffer — Strategic Account Manager</t>
        </is>
      </c>
      <c r="P701" t="inlineStr">
        <is>
          <t>CEO | Chief Commercial Officer | Senior Director, Strategy and Chief of Staff</t>
        </is>
      </c>
      <c r="Y701" t="inlineStr">
        <is>
          <t>todo</t>
        </is>
      </c>
      <c r="Z701">
        <f>(M701*Weights!$B$2) + (MIN(Q701,Weights!$B$5)*Weights!$B$3*(W701/100)*Weights!$B$4)</f>
        <v/>
      </c>
      <c r="AA701">
        <f>IF(Z701= ,,RANK.EQ({pri_col_letter}{r},{pri_range},0))</f>
        <v/>
      </c>
    </row>
    <row r="702">
      <c r="A702" t="inlineStr">
        <is>
          <t>Arrive Logistics</t>
        </is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4</v>
      </c>
      <c r="N702" t="inlineStr">
        <is>
          <t>Tier 4</t>
        </is>
      </c>
      <c r="O702" t="inlineStr">
        <is>
          <t>Aaron Galer — Senior Vice President, Partnerships; Bryan Keller — Senior Vice President, Partnerships; Darlene Wolf — SVP Strategic Partners; Eric Lien — EVP</t>
        </is>
      </c>
      <c r="P702" t="inlineStr">
        <is>
          <t>Senior Vice President, Partnerships | SVP Strategic Partners | EVP</t>
        </is>
      </c>
      <c r="Y702" t="inlineStr">
        <is>
          <t>todo</t>
        </is>
      </c>
      <c r="Z702">
        <f>(M702*Weights!$B$2) + (MIN(Q702,Weights!$B$5)*Weights!$B$3*(W702/100)*Weights!$B$4)</f>
        <v/>
      </c>
      <c r="AA702">
        <f>IF(Z702= ,,RANK.EQ({pri_col_letter}{r},{pri_range},0))</f>
        <v/>
      </c>
    </row>
    <row r="703">
      <c r="A703" t="inlineStr">
        <is>
          <t>BoxC</t>
        </is>
      </c>
      <c r="B703" t="n">
        <v>4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4</v>
      </c>
      <c r="N703" t="inlineStr">
        <is>
          <t>Tier 4</t>
        </is>
      </c>
      <c r="O703" t="inlineStr">
        <is>
          <t>Chad Schofield — Chief Digital Officer; Craig Strickland — CSO; Tawnee Steinke — VP of Partnerships; Madisyn Starks — Director of Client Support</t>
        </is>
      </c>
      <c r="P703" t="inlineStr">
        <is>
          <t>Chief Digital Officer | CSO | VP of Partnerships</t>
        </is>
      </c>
      <c r="Y703" t="inlineStr">
        <is>
          <t>todo</t>
        </is>
      </c>
      <c r="Z703">
        <f>(M703*Weights!$B$2) + (MIN(Q703,Weights!$B$5)*Weights!$B$3*(W703/100)*Weights!$B$4)</f>
        <v/>
      </c>
      <c r="AA703">
        <f>IF(Z703= ,,RANK.EQ({pri_col_letter}{r},{pri_range},0))</f>
        <v/>
      </c>
    </row>
    <row r="704">
      <c r="A704" t="inlineStr">
        <is>
          <t>C12 Community</t>
        </is>
      </c>
      <c r="B704" t="n">
        <v>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4</v>
      </c>
      <c r="N704" t="inlineStr">
        <is>
          <t>Tier 4</t>
        </is>
      </c>
      <c r="O704" t="inlineStr">
        <is>
          <t>Elías Gamboa — CEO; Susan Paz — Head of Members; Roberto Sosa — Co-Founder; Ximena Mendoza — Content Coordinator</t>
        </is>
      </c>
      <c r="P704" t="inlineStr">
        <is>
          <t>CEO | Head of Members | Co-Founder</t>
        </is>
      </c>
      <c r="Y704" t="inlineStr">
        <is>
          <t>todo</t>
        </is>
      </c>
      <c r="Z704">
        <f>(M704*Weights!$B$2) + (MIN(Q704,Weights!$B$5)*Weights!$B$3*(W704/100)*Weights!$B$4)</f>
        <v/>
      </c>
      <c r="AA704">
        <f>IF(Z704= ,,RANK.EQ({pri_col_letter}{r},{pri_range},0))</f>
        <v/>
      </c>
    </row>
    <row r="705">
      <c r="A705" t="inlineStr">
        <is>
          <t>DCLI</t>
        </is>
      </c>
      <c r="B705" t="n">
        <v>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4</v>
      </c>
      <c r="N705" t="inlineStr">
        <is>
          <t>Tier 4</t>
        </is>
      </c>
      <c r="O705" t="inlineStr">
        <is>
          <t>Jonathan Beltrán — Assistant Vice President; Kendall Ohmes — Commercial Project Analyst; Alex Martino — National Account Manager; Romy Kirchhoff — National Account Manager</t>
        </is>
      </c>
      <c r="P705" t="inlineStr">
        <is>
          <t>Assistant Vice President | Commercial Project Analyst | National Account Manager</t>
        </is>
      </c>
      <c r="Y705" t="inlineStr">
        <is>
          <t>todo</t>
        </is>
      </c>
      <c r="Z705">
        <f>(M705*Weights!$B$2) + (MIN(Q705,Weights!$B$5)*Weights!$B$3*(W705/100)*Weights!$B$4)</f>
        <v/>
      </c>
      <c r="AA705">
        <f>IF(Z705= ,,RANK.EQ({pri_col_letter}{r},{pri_range},0))</f>
        <v/>
      </c>
    </row>
    <row r="706">
      <c r="A706" t="inlineStr">
        <is>
          <t>FR8BOT</t>
        </is>
      </c>
      <c r="B706" t="n">
        <v>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4</v>
      </c>
      <c r="N706" t="inlineStr">
        <is>
          <t>Tier 4</t>
        </is>
      </c>
      <c r="O706" t="inlineStr">
        <is>
          <t>Andre Kodanov — CEO &amp; Founder; Oleh Holovatiuk — Co-founder; Alex Pugachov — manager; Constantine Alimov — Manager</t>
        </is>
      </c>
      <c r="P706" t="inlineStr">
        <is>
          <t>CEO &amp; Founder | Co-founder | manager</t>
        </is>
      </c>
      <c r="Y706" t="inlineStr">
        <is>
          <t>todo</t>
        </is>
      </c>
      <c r="Z706">
        <f>(M706*Weights!$B$2) + (MIN(Q706,Weights!$B$5)*Weights!$B$3*(W706/100)*Weights!$B$4)</f>
        <v/>
      </c>
      <c r="AA706">
        <f>IF(Z706= ,,RANK.EQ({pri_col_letter}{r},{pri_range},0))</f>
        <v/>
      </c>
    </row>
    <row r="707">
      <c r="A707" t="inlineStr">
        <is>
          <t>GOFO INC.</t>
        </is>
      </c>
      <c r="B707" t="n">
        <v>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4</v>
      </c>
      <c r="N707" t="inlineStr">
        <is>
          <t>Tier 4</t>
        </is>
      </c>
      <c r="O707" t="inlineStr">
        <is>
          <t>Max Baehr — Director of Partnerships; Mike Carven — Director, National Accounts; Chad Emerson — Director, National Accounts; Derek Kissel — Director, National Accounts</t>
        </is>
      </c>
      <c r="P707" t="inlineStr">
        <is>
          <t>Director of Partnerships | Director, National Accounts</t>
        </is>
      </c>
      <c r="Y707" t="inlineStr">
        <is>
          <t>todo</t>
        </is>
      </c>
      <c r="Z707">
        <f>(M707*Weights!$B$2) + (MIN(Q707,Weights!$B$5)*Weights!$B$3*(W707/100)*Weights!$B$4)</f>
        <v/>
      </c>
      <c r="AA707">
        <f>IF(Z707= ,,RANK.EQ({pri_col_letter}{r},{pri_range},0))</f>
        <v/>
      </c>
    </row>
    <row r="708">
      <c r="A708" t="inlineStr">
        <is>
          <t>Hankook Tire U.S.A</t>
        </is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4</v>
      </c>
      <c r="N708" t="inlineStr">
        <is>
          <t>Tier 4</t>
        </is>
      </c>
      <c r="O708" t="inlineStr">
        <is>
          <t>Hanbyeol Kim — Deputy General Manager; Kyuwang Cho — Vice President; Daehee Han — Team leader; Wonseok Kang — Team leader</t>
        </is>
      </c>
      <c r="P708" t="inlineStr">
        <is>
          <t>Deputy General Manager | Vice President | Team leader</t>
        </is>
      </c>
      <c r="Y708" t="inlineStr">
        <is>
          <t>todo</t>
        </is>
      </c>
      <c r="Z708">
        <f>(M708*Weights!$B$2) + (MIN(Q708,Weights!$B$5)*Weights!$B$3*(W708/100)*Weights!$B$4)</f>
        <v/>
      </c>
      <c r="AA708">
        <f>IF(Z708= ,,RANK.EQ({pri_col_letter}{r},{pri_range},0))</f>
        <v/>
      </c>
    </row>
    <row r="709">
      <c r="A709" t="inlineStr">
        <is>
          <t>Hirschbach</t>
        </is>
      </c>
      <c r="B709" t="n">
        <v>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4</v>
      </c>
      <c r="N709" t="inlineStr">
        <is>
          <t>Tier 4</t>
        </is>
      </c>
      <c r="O709" t="inlineStr">
        <is>
          <t>Ivan Ramirez — CTO; Tim Guin — President, Hirschbach Solutions; Cory Manzi — VP Brokerage; Mo Bashir — VP of Tech</t>
        </is>
      </c>
      <c r="P709" t="inlineStr">
        <is>
          <t>CTO | President, Hirschbach Solutions | VP Brokerage</t>
        </is>
      </c>
      <c r="Y709" t="inlineStr">
        <is>
          <t>todo</t>
        </is>
      </c>
      <c r="Z709">
        <f>(M709*Weights!$B$2) + (MIN(Q709,Weights!$B$5)*Weights!$B$3*(W709/100)*Weights!$B$4)</f>
        <v/>
      </c>
      <c r="AA709">
        <f>IF(Z709= ,,RANK.EQ({pri_col_letter}{r},{pri_range},0))</f>
        <v/>
      </c>
    </row>
    <row r="710">
      <c r="A710" t="inlineStr">
        <is>
          <t>Hoopo</t>
        </is>
      </c>
      <c r="B710" t="n">
        <v>4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4</v>
      </c>
      <c r="N710" t="inlineStr">
        <is>
          <t>Tier 4</t>
        </is>
      </c>
      <c r="O710" t="inlineStr">
        <is>
          <t>Ty Hayut — Co-founder &amp; CEO; Al Tama — SVP, GM North America; Marco Mularoni — VP North America; Jeanne Flavian — CBO</t>
        </is>
      </c>
      <c r="P710" t="inlineStr">
        <is>
          <t>SVP, GM North America | VP North America | Co-founder &amp; CEO</t>
        </is>
      </c>
      <c r="Y710" t="inlineStr">
        <is>
          <t>todo</t>
        </is>
      </c>
      <c r="Z710">
        <f>(M710*Weights!$B$2) + (MIN(Q710,Weights!$B$5)*Weights!$B$3*(W710/100)*Weights!$B$4)</f>
        <v/>
      </c>
      <c r="AA710">
        <f>IF(Z710= ,,RANK.EQ({pri_col_letter}{r},{pri_range},0))</f>
        <v/>
      </c>
    </row>
    <row r="711">
      <c r="A711" t="inlineStr">
        <is>
          <t>Luxor Staffing</t>
        </is>
      </c>
      <c r="B711" t="n">
        <v>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4</v>
      </c>
      <c r="N711" t="inlineStr">
        <is>
          <t>Tier 4</t>
        </is>
      </c>
      <c r="O711" t="inlineStr">
        <is>
          <t>April Peacock — Account Manager; Denise Witt — Account Manager; Jacob Caughell — Account Manager; Tiffany Martinez — Account Manager</t>
        </is>
      </c>
      <c r="P711" t="inlineStr">
        <is>
          <t>Account Manager</t>
        </is>
      </c>
      <c r="Y711" t="inlineStr">
        <is>
          <t>todo</t>
        </is>
      </c>
      <c r="Z711">
        <f>(M711*Weights!$B$2) + (MIN(Q711,Weights!$B$5)*Weights!$B$3*(W711/100)*Weights!$B$4)</f>
        <v/>
      </c>
      <c r="AA711">
        <f>IF(Z711= ,,RANK.EQ({pri_col_letter}{r},{pri_range},0))</f>
        <v/>
      </c>
    </row>
    <row r="712">
      <c r="A712" t="inlineStr">
        <is>
          <t>Meter</t>
        </is>
      </c>
      <c r="B712" t="n">
        <v>4</v>
      </c>
      <c r="C712" t="n">
        <v>0</v>
      </c>
      <c r="D712" t="n">
        <v>1</v>
      </c>
      <c r="E712" t="n">
        <v>0</v>
      </c>
      <c r="F712" t="n">
        <v>2</v>
      </c>
      <c r="G712" t="n">
        <v>0</v>
      </c>
      <c r="I712" t="n">
        <v>2</v>
      </c>
      <c r="J712" t="n">
        <v>0.25</v>
      </c>
      <c r="K712" t="n">
        <v>0</v>
      </c>
      <c r="L712" t="n">
        <v>0</v>
      </c>
      <c r="M712" t="n">
        <v>4</v>
      </c>
      <c r="N712" t="inlineStr">
        <is>
          <t>Tier 4</t>
        </is>
      </c>
      <c r="O712" t="inlineStr">
        <is>
          <t>Michele Woods — Distribution Operations Manager; Hannah Itzkowitz — Field &amp; Events; Grant Hurd — Sales, West Coast; Jon Paddock — Sales, Enterprise</t>
        </is>
      </c>
      <c r="P712" t="inlineStr">
        <is>
          <t>Distribution Operations Manager | Field &amp; Events | Sales, West Coast</t>
        </is>
      </c>
      <c r="Y712" t="inlineStr">
        <is>
          <t>todo</t>
        </is>
      </c>
      <c r="Z712">
        <f>(M712*Weights!$B$2) + (MIN(Q712,Weights!$B$5)*Weights!$B$3*(W712/100)*Weights!$B$4)</f>
        <v/>
      </c>
      <c r="AA712">
        <f>IF(Z712= ,,RANK.EQ({pri_col_letter}{r},{pri_range},0))</f>
        <v/>
      </c>
    </row>
    <row r="713">
      <c r="A713" t="inlineStr">
        <is>
          <t>PortPro</t>
        </is>
      </c>
      <c r="B713" t="n">
        <v>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4</v>
      </c>
      <c r="N713" t="inlineStr">
        <is>
          <t>Tier 4</t>
        </is>
      </c>
      <c r="O713" t="inlineStr">
        <is>
          <t>Toni Pisano — Chief Customer Officer; Walker Banks — Chief Operating Officer; Michael Mecca — Chief Executive Officer; Premie Walsh — Global Accounts Director</t>
        </is>
      </c>
      <c r="P713" t="inlineStr">
        <is>
          <t>Chief Customer Officer | Chief Operating Officer | Chief Executive Officer</t>
        </is>
      </c>
      <c r="Y713" t="inlineStr">
        <is>
          <t>todo</t>
        </is>
      </c>
      <c r="Z713">
        <f>(M713*Weights!$B$2) + (MIN(Q713,Weights!$B$5)*Weights!$B$3*(W713/100)*Weights!$B$4)</f>
        <v/>
      </c>
      <c r="AA713">
        <f>IF(Z713= ,,RANK.EQ({pri_col_letter}{r},{pri_range},0))</f>
        <v/>
      </c>
    </row>
    <row r="714">
      <c r="A714" t="inlineStr">
        <is>
          <t>Rosemont Industries</t>
        </is>
      </c>
      <c r="B714" t="n">
        <v>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4</v>
      </c>
      <c r="N714" t="inlineStr">
        <is>
          <t>Tier 4</t>
        </is>
      </c>
      <c r="O714" t="inlineStr">
        <is>
          <t>Ben Rodriguez — Director; Kate Applebaum — Sr. Director; Trevor Wright — Analyst; Rachel Smithers — CoFounder</t>
        </is>
      </c>
      <c r="P714" t="inlineStr">
        <is>
          <t>CoFounder | Director | Sr. Director</t>
        </is>
      </c>
      <c r="Y714" t="inlineStr">
        <is>
          <t>todo</t>
        </is>
      </c>
      <c r="Z714">
        <f>(M714*Weights!$B$2) + (MIN(Q714,Weights!$B$5)*Weights!$B$3*(W714/100)*Weights!$B$4)</f>
        <v/>
      </c>
      <c r="AA714">
        <f>IF(Z714= ,,RANK.EQ({pri_col_letter}{r},{pri_range},0))</f>
        <v/>
      </c>
    </row>
    <row r="715">
      <c r="A715" t="inlineStr">
        <is>
          <t>Scopelitis Garvin Light Hanson &amp; Feary PC</t>
        </is>
      </c>
      <c r="B715" t="n">
        <v>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4</v>
      </c>
      <c r="N715" t="inlineStr">
        <is>
          <t>Tier 4</t>
        </is>
      </c>
      <c r="O715" t="inlineStr">
        <is>
          <t>Andrew Butcher — Attorney/Partner; Charles Andrewscavage — Attorney/Partner; Kevin Phillips — Attorney/Partner; Ryan Wright — Attorney/Partner</t>
        </is>
      </c>
      <c r="P715" t="inlineStr">
        <is>
          <t>Attorney/Partner</t>
        </is>
      </c>
      <c r="Y715" t="inlineStr">
        <is>
          <t>todo</t>
        </is>
      </c>
      <c r="Z715">
        <f>(M715*Weights!$B$2) + (MIN(Q715,Weights!$B$5)*Weights!$B$3*(W715/100)*Weights!$B$4)</f>
        <v/>
      </c>
      <c r="AA715">
        <f>IF(Z715= ,,RANK.EQ({pri_col_letter}{r},{pri_range},0))</f>
        <v/>
      </c>
    </row>
    <row r="716">
      <c r="A716" t="inlineStr">
        <is>
          <t>Sendcloud</t>
        </is>
      </c>
      <c r="B716" t="n">
        <v>4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4</v>
      </c>
      <c r="N716" t="inlineStr">
        <is>
          <t>Tier 4</t>
        </is>
      </c>
      <c r="O716" t="inlineStr">
        <is>
          <t>Rob van den Heuvel — CEO; Ronald Delpeut — VP Partnerships; Sander Hak — VP Product; Sabi Tolou — CCO</t>
        </is>
      </c>
      <c r="P716" t="inlineStr">
        <is>
          <t>CEO | VP Partnerships | VP Product</t>
        </is>
      </c>
      <c r="Y716" t="inlineStr">
        <is>
          <t>todo</t>
        </is>
      </c>
      <c r="Z716">
        <f>(M716*Weights!$B$2) + (MIN(Q716,Weights!$B$5)*Weights!$B$3*(W716/100)*Weights!$B$4)</f>
        <v/>
      </c>
      <c r="AA716">
        <f>IF(Z716= ,,RANK.EQ({pri_col_letter}{r},{pri_range},0))</f>
        <v/>
      </c>
    </row>
    <row r="717">
      <c r="A717" t="inlineStr">
        <is>
          <t>TRANSPORT CORPORATION OF INDIA LIMITED</t>
        </is>
      </c>
      <c r="B717" t="n">
        <v>4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4</v>
      </c>
      <c r="N717" t="inlineStr">
        <is>
          <t>Tier 4</t>
        </is>
      </c>
      <c r="O717" t="inlineStr">
        <is>
          <t>ASHISH KUMAR TRIPATHI — GENERAL MANAGER IT; PRASHANT KUMAR NAYAK — GENERAL MANAGER; ATUL ENDLAY — VICE PRESIDENT; VARUN KUMAR MAHESHWARI — HEAD CENTER OF EXCELLENCE</t>
        </is>
      </c>
      <c r="P717" t="inlineStr">
        <is>
          <t>GENERAL MANAGER IT | GENERAL MANAGER | VICE PRESIDENT</t>
        </is>
      </c>
      <c r="Y717" t="inlineStr">
        <is>
          <t>todo</t>
        </is>
      </c>
      <c r="Z717">
        <f>(M717*Weights!$B$2) + (MIN(Q717,Weights!$B$5)*Weights!$B$3*(W717/100)*Weights!$B$4)</f>
        <v/>
      </c>
      <c r="AA717">
        <f>IF(Z717= ,,RANK.EQ({pri_col_letter}{r},{pri_range},0))</f>
        <v/>
      </c>
    </row>
    <row r="718">
      <c r="A718" t="inlineStr">
        <is>
          <t>Vooma</t>
        </is>
      </c>
      <c r="B718" t="n">
        <v>4</v>
      </c>
      <c r="C718" t="n">
        <v>0</v>
      </c>
      <c r="D718" t="n">
        <v>1</v>
      </c>
      <c r="E718" t="n">
        <v>0</v>
      </c>
      <c r="F718" t="n">
        <v>2</v>
      </c>
      <c r="G718" t="n">
        <v>0</v>
      </c>
      <c r="I718" t="n">
        <v>2</v>
      </c>
      <c r="J718" t="n">
        <v>0.25</v>
      </c>
      <c r="K718" t="n">
        <v>0</v>
      </c>
      <c r="L718" t="n">
        <v>0</v>
      </c>
      <c r="M718" t="n">
        <v>4</v>
      </c>
      <c r="N718" t="inlineStr">
        <is>
          <t>Tier 4</t>
        </is>
      </c>
      <c r="O718" t="inlineStr">
        <is>
          <t>Nurina Ayyoub — Operations; Jesse Buckingham — Founder; Jesse Taylor — Sales; Luke Walquist — Sales</t>
        </is>
      </c>
      <c r="P718" t="inlineStr">
        <is>
          <t>Operations | Founder | Sales</t>
        </is>
      </c>
      <c r="Y718" t="inlineStr">
        <is>
          <t>todo</t>
        </is>
      </c>
      <c r="Z718">
        <f>(M718*Weights!$B$2) + (MIN(Q718,Weights!$B$5)*Weights!$B$3*(W718/100)*Weights!$B$4)</f>
        <v/>
      </c>
      <c r="AA718">
        <f>IF(Z718= ,,RANK.EQ({pri_col_letter}{r},{pri_range},0))</f>
        <v/>
      </c>
    </row>
    <row r="719">
      <c r="A719" t="inlineStr">
        <is>
          <t>AWS Cloud</t>
        </is>
      </c>
      <c r="B719" t="n">
        <v>2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4</v>
      </c>
      <c r="N719" t="inlineStr">
        <is>
          <t>Tier 4</t>
        </is>
      </c>
      <c r="O719" t="inlineStr">
        <is>
          <t>Cory Desmarais — Sr Mgr, Global Procurement; Jordan Watkins — Sr Mgr, Americas</t>
        </is>
      </c>
      <c r="P719" t="inlineStr">
        <is>
          <t>Sr Mgr, Global Procurement | Sr Mgr, Americas</t>
        </is>
      </c>
      <c r="Y719" t="inlineStr">
        <is>
          <t>todo</t>
        </is>
      </c>
      <c r="Z719">
        <f>(M719*Weights!$B$2) + (MIN(Q719,Weights!$B$5)*Weights!$B$3*(W719/100)*Weights!$B$4)</f>
        <v/>
      </c>
      <c r="AA719">
        <f>IF(Z719= ,,RANK.EQ({pri_col_letter}{r},{pri_range},0))</f>
        <v/>
      </c>
    </row>
    <row r="720">
      <c r="A720" t="inlineStr">
        <is>
          <t>HG TRANSPORTACIONES</t>
        </is>
      </c>
      <c r="B720" t="n">
        <v>2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4</v>
      </c>
      <c r="N720" t="inlineStr">
        <is>
          <t>Tier 4</t>
        </is>
      </c>
      <c r="O720" t="inlineStr">
        <is>
          <t>victor ramos — PROCUREMENT; OCTAVIO GARCIA — IT DIRECTOR</t>
        </is>
      </c>
      <c r="P720" t="inlineStr">
        <is>
          <t>PROCUREMENT | IT DIRECTOR</t>
        </is>
      </c>
      <c r="Y720" t="inlineStr">
        <is>
          <t>todo</t>
        </is>
      </c>
      <c r="Z720">
        <f>(M720*Weights!$B$2) + (MIN(Q720,Weights!$B$5)*Weights!$B$3*(W720/100)*Weights!$B$4)</f>
        <v/>
      </c>
      <c r="AA720">
        <f>IF(Z720= ,,RANK.EQ({pri_col_letter}{r},{pri_range},0))</f>
        <v/>
      </c>
    </row>
    <row r="721">
      <c r="A721" t="inlineStr">
        <is>
          <t>Hologic</t>
        </is>
      </c>
      <c r="B721" t="n">
        <v>2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4</v>
      </c>
      <c r="N721" t="inlineStr">
        <is>
          <t>Tier 4</t>
        </is>
      </c>
      <c r="O721" t="inlineStr">
        <is>
          <t>Grayson DeGraff — Senior Manager, Global Sourcing; Ryan Wallace — VP &amp; CPO</t>
        </is>
      </c>
      <c r="P721" t="inlineStr">
        <is>
          <t>VP &amp; CPO | Senior Manager, Global Sourcing</t>
        </is>
      </c>
      <c r="Y721" t="inlineStr">
        <is>
          <t>todo</t>
        </is>
      </c>
      <c r="Z721">
        <f>(M721*Weights!$B$2) + (MIN(Q721,Weights!$B$5)*Weights!$B$3*(W721/100)*Weights!$B$4)</f>
        <v/>
      </c>
      <c r="AA721">
        <f>IF(Z721= ,,RANK.EQ({pri_col_letter}{r},{pri_range},0))</f>
        <v/>
      </c>
    </row>
    <row r="722">
      <c r="A722" t="inlineStr">
        <is>
          <t>Innovations Express, LLC</t>
        </is>
      </c>
      <c r="B722" t="n">
        <v>2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I722" t="n">
        <v>1</v>
      </c>
      <c r="J722" t="n">
        <v>0.5</v>
      </c>
      <c r="K722" t="n">
        <v>0</v>
      </c>
      <c r="L722" t="n">
        <v>0</v>
      </c>
      <c r="M722" t="n">
        <v>4</v>
      </c>
      <c r="N722" t="inlineStr">
        <is>
          <t>Tier 4</t>
        </is>
      </c>
      <c r="O722" t="inlineStr">
        <is>
          <t>Jake Goldberg — Operations Manager; Tyler Craton — Vice President of Sales</t>
        </is>
      </c>
      <c r="P722" t="inlineStr">
        <is>
          <t>Operations Manager | Vice President of Sales</t>
        </is>
      </c>
      <c r="Y722" t="inlineStr">
        <is>
          <t>todo</t>
        </is>
      </c>
      <c r="Z722">
        <f>(M722*Weights!$B$2) + (MIN(Q722,Weights!$B$5)*Weights!$B$3*(W722/100)*Weights!$B$4)</f>
        <v/>
      </c>
      <c r="AA722">
        <f>IF(Z722= ,,RANK.EQ({pri_col_letter}{r},{pri_range},0))</f>
        <v/>
      </c>
    </row>
    <row r="723">
      <c r="A723" t="inlineStr">
        <is>
          <t>Renaissant</t>
        </is>
      </c>
      <c r="B723" t="n">
        <v>2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I723" t="n">
        <v>1</v>
      </c>
      <c r="J723" t="n">
        <v>0.5</v>
      </c>
      <c r="K723" t="n">
        <v>0</v>
      </c>
      <c r="L723" t="n">
        <v>0</v>
      </c>
      <c r="M723" t="n">
        <v>4</v>
      </c>
      <c r="N723" t="inlineStr">
        <is>
          <t>Tier 4</t>
        </is>
      </c>
      <c r="O723" t="inlineStr">
        <is>
          <t>Tom Dean — CEO; Kevin Casper — Director of Sales - Ops</t>
        </is>
      </c>
      <c r="P723" t="inlineStr">
        <is>
          <t>CEO | Director of Sales - Ops</t>
        </is>
      </c>
      <c r="Y723" t="inlineStr">
        <is>
          <t>todo</t>
        </is>
      </c>
      <c r="Z723">
        <f>(M723*Weights!$B$2) + (MIN(Q723,Weights!$B$5)*Weights!$B$3*(W723/100)*Weights!$B$4)</f>
        <v/>
      </c>
      <c r="AA723">
        <f>IF(Z723= ,,RANK.EQ({pri_col_letter}{r},{pri_range},0))</f>
        <v/>
      </c>
    </row>
    <row r="724">
      <c r="A724" t="inlineStr">
        <is>
          <t>Transportation Marketing and Sales Association (TMSA)</t>
        </is>
      </c>
      <c r="B724" t="n">
        <v>2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I724" t="n">
        <v>1</v>
      </c>
      <c r="J724" t="n">
        <v>0.5</v>
      </c>
      <c r="K724" t="n">
        <v>0</v>
      </c>
      <c r="L724" t="n">
        <v>0</v>
      </c>
      <c r="M724" t="n">
        <v>4</v>
      </c>
      <c r="N724" t="inlineStr">
        <is>
          <t>Tier 4</t>
        </is>
      </c>
      <c r="O724" t="inlineStr">
        <is>
          <t>Jennifer Karpus-Romain — Transportation Marketing &amp; Sales Association; Jennifer Karpus-Romain — Executive Director</t>
        </is>
      </c>
      <c r="P724" t="inlineStr">
        <is>
          <t>Executive Director | Transportation Marketing &amp; Sales Association</t>
        </is>
      </c>
      <c r="Y724" t="inlineStr">
        <is>
          <t>todo</t>
        </is>
      </c>
      <c r="Z724">
        <f>(M724*Weights!$B$2) + (MIN(Q724,Weights!$B$5)*Weights!$B$3*(W724/100)*Weights!$B$4)</f>
        <v/>
      </c>
      <c r="AA724">
        <f>IF(Z724= ,,RANK.EQ({pri_col_letter}{r},{pri_range},0))</f>
        <v/>
      </c>
    </row>
    <row r="725">
      <c r="A725" t="inlineStr">
        <is>
          <t>Yondu AI</t>
        </is>
      </c>
      <c r="B725" t="n">
        <v>2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I725" t="n">
        <v>1</v>
      </c>
      <c r="J725" t="n">
        <v>0.5</v>
      </c>
      <c r="K725" t="n">
        <v>0</v>
      </c>
      <c r="L725" t="n">
        <v>0</v>
      </c>
      <c r="M725" t="n">
        <v>4</v>
      </c>
      <c r="N725" t="inlineStr">
        <is>
          <t>Tier 4</t>
        </is>
      </c>
      <c r="O725" t="inlineStr">
        <is>
          <t>Cassidy Kovell — Robotics Operations &amp; Communications Coordinator; Kenta Itow — Head of Growth</t>
        </is>
      </c>
      <c r="P725" t="inlineStr">
        <is>
          <t>Robotics Operations &amp; Communications Coordinator | Head of Growth</t>
        </is>
      </c>
      <c r="Y725" t="inlineStr">
        <is>
          <t>todo</t>
        </is>
      </c>
      <c r="Z725">
        <f>(M725*Weights!$B$2) + (MIN(Q725,Weights!$B$5)*Weights!$B$3*(W725/100)*Weights!$B$4)</f>
        <v/>
      </c>
      <c r="AA725">
        <f>IF(Z725= ,,RANK.EQ({pri_col_letter}{r},{pri_range},0))</f>
        <v/>
      </c>
    </row>
    <row r="726">
      <c r="A726" t="inlineStr">
        <is>
          <t>Hardis Supply Chain</t>
        </is>
      </c>
      <c r="B726" t="n">
        <v>6</v>
      </c>
      <c r="C726" t="n">
        <v>1</v>
      </c>
      <c r="D726" t="n">
        <v>1</v>
      </c>
      <c r="E726" t="n">
        <v>0</v>
      </c>
      <c r="F726" t="n">
        <v>5</v>
      </c>
      <c r="G726" t="n">
        <v>0</v>
      </c>
      <c r="I726" t="n">
        <v>5</v>
      </c>
      <c r="J726" t="n">
        <v>0.1666666666666667</v>
      </c>
      <c r="K726" t="n">
        <v>12</v>
      </c>
      <c r="L726" t="n">
        <v>0</v>
      </c>
      <c r="M726" t="n">
        <v>3</v>
      </c>
      <c r="N726" t="inlineStr">
        <is>
          <t>Tier 4</t>
        </is>
      </c>
      <c r="O726" t="inlineStr">
        <is>
          <t>Florent Boizard — VP - General Manager Hardis Supply Chain; Michel Ramelet — Director of Solutions Alliances; Alexandre Knight — Pre-Sales Consultant; Justin Babich — Pre Sales Consultant; Laura Monroe — Marketing Manager-US</t>
        </is>
      </c>
      <c r="P726" t="inlineStr">
        <is>
          <t>VP - General Manager Hardis Supply Chain | Director of Solutions Alliances | Pre-Sales Consultant</t>
        </is>
      </c>
      <c r="Y726" t="inlineStr">
        <is>
          <t>todo</t>
        </is>
      </c>
      <c r="Z726">
        <f>(M726*Weights!$B$2) + (MIN(Q726,Weights!$B$5)*Weights!$B$3*(W726/100)*Weights!$B$4)</f>
        <v/>
      </c>
      <c r="AA726">
        <f>IF(Z726= ,,RANK.EQ({pri_col_letter}{r},{pri_range},0))</f>
        <v/>
      </c>
    </row>
    <row r="727">
      <c r="A727" t="inlineStr">
        <is>
          <t>Arkestro</t>
        </is>
      </c>
      <c r="B727" t="n">
        <v>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3</v>
      </c>
      <c r="N727" t="inlineStr">
        <is>
          <t>Tier 4</t>
        </is>
      </c>
      <c r="O727" t="inlineStr">
        <is>
          <t>Ben Leiken — Chief Technology Officer; Bill Neal — Strategic Client Advisor; Brad Klaus — Strategic Accounts; Matt Mills — Solutions Consultant; Brian Wells — Senior Account Executive</t>
        </is>
      </c>
      <c r="P727" t="inlineStr">
        <is>
          <t>Chief Technology Officer | Strategic Client Advisor | Strategic Accounts</t>
        </is>
      </c>
      <c r="Y727" t="inlineStr">
        <is>
          <t>todo</t>
        </is>
      </c>
      <c r="Z727">
        <f>(M727*Weights!$B$2) + (MIN(Q727,Weights!$B$5)*Weights!$B$3*(W727/100)*Weights!$B$4)</f>
        <v/>
      </c>
      <c r="AA727">
        <f>IF(Z727= ,,RANK.EQ({pri_col_letter}{r},{pri_range},0))</f>
        <v/>
      </c>
    </row>
    <row r="728">
      <c r="A728" t="inlineStr">
        <is>
          <t>Canary7</t>
        </is>
      </c>
      <c r="B728" t="n">
        <v>5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3</v>
      </c>
      <c r="N728" t="inlineStr">
        <is>
          <t>Tier 4</t>
        </is>
      </c>
      <c r="O728" t="inlineStr">
        <is>
          <t>Jamie Roos — Chief Technology Officer; Eoin Conway — CEO; Maeve Gallagher — Solutions Consultant; Ruairi Devlin — Accounts Executive; Colleen Ballantine — Marketing Manager</t>
        </is>
      </c>
      <c r="P728" t="inlineStr">
        <is>
          <t>Chief Technology Officer | CEO | Solutions Consultant</t>
        </is>
      </c>
      <c r="Y728" t="inlineStr">
        <is>
          <t>todo</t>
        </is>
      </c>
      <c r="Z728">
        <f>(M728*Weights!$B$2) + (MIN(Q728,Weights!$B$5)*Weights!$B$3*(W728/100)*Weights!$B$4)</f>
        <v/>
      </c>
      <c r="AA728">
        <f>IF(Z728= ,,RANK.EQ({pri_col_letter}{r},{pri_range},0))</f>
        <v/>
      </c>
    </row>
    <row r="729">
      <c r="A729" t="inlineStr">
        <is>
          <t>SuperCircle</t>
        </is>
      </c>
      <c r="B729" t="n">
        <v>5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6100000</v>
      </c>
      <c r="I729" t="n">
        <v>1</v>
      </c>
      <c r="J729" t="n">
        <v>0</v>
      </c>
      <c r="K729" t="n">
        <v>0</v>
      </c>
      <c r="L729" t="n">
        <v>0</v>
      </c>
      <c r="M729" t="n">
        <v>3</v>
      </c>
      <c r="N729" t="inlineStr">
        <is>
          <t>Tier 4</t>
        </is>
      </c>
      <c r="O729" t="inlineStr">
        <is>
          <t>Stuart Ahlum — COO &amp; Co-Founder; Carol Park — Vice President, Inventory Solutions; Shane Knowles — Vice President, Post Consumer; Chloe Songer — Co-founder &amp; CEO; Vishal Duvvuru — Senior Director, Business Development</t>
        </is>
      </c>
      <c r="P729" t="inlineStr">
        <is>
          <t>Vice President, Inventory Solutions | Vice President, Post Consumer | Co-founder &amp; CEO</t>
        </is>
      </c>
      <c r="Y729" t="inlineStr">
        <is>
          <t>todo</t>
        </is>
      </c>
      <c r="Z729">
        <f>(M729*Weights!$B$2) + (MIN(Q729,Weights!$B$5)*Weights!$B$3*(W729/100)*Weights!$B$4)</f>
        <v/>
      </c>
      <c r="AA729">
        <f>IF(Z729= ,,RANK.EQ({pri_col_letter}{r},{pri_range},0))</f>
        <v/>
      </c>
    </row>
    <row r="730">
      <c r="A730" t="inlineStr">
        <is>
          <t>Venture 53</t>
        </is>
      </c>
      <c r="B730" t="n">
        <v>5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3</v>
      </c>
      <c r="N730" t="inlineStr">
        <is>
          <t>Tier 4</t>
        </is>
      </c>
      <c r="O730" t="inlineStr">
        <is>
          <t>Dan White — Founder / General Partner; John Larkin — Advisor; Nancy Bojorquez — Principal; Pat Martin — Founder / General Partner; Amy Mack — Marketing/Operating Partner</t>
        </is>
      </c>
      <c r="P730" t="inlineStr">
        <is>
          <t>Founder / General Partner | Advisor | Principal</t>
        </is>
      </c>
      <c r="Y730" t="inlineStr">
        <is>
          <t>todo</t>
        </is>
      </c>
      <c r="Z730">
        <f>(M730*Weights!$B$2) + (MIN(Q730,Weights!$B$5)*Weights!$B$3*(W730/100)*Weights!$B$4)</f>
        <v/>
      </c>
      <c r="AA730">
        <f>IF(Z730= ,,RANK.EQ({pri_col_letter}{r},{pri_range},0))</f>
        <v/>
      </c>
    </row>
    <row r="731">
      <c r="A731" t="inlineStr">
        <is>
          <t>ALOM</t>
        </is>
      </c>
      <c r="B731" t="n">
        <v>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3</v>
      </c>
      <c r="N731" t="inlineStr">
        <is>
          <t>Tier 4</t>
        </is>
      </c>
      <c r="O731" t="inlineStr">
        <is>
          <t>Brandon Marugg — COO; David Edwards — VP, Technology; Hannah Kain — CEO</t>
        </is>
      </c>
      <c r="P731" t="inlineStr">
        <is>
          <t>COO | VP, Technology | CEO</t>
        </is>
      </c>
      <c r="Y731" t="inlineStr">
        <is>
          <t>todo</t>
        </is>
      </c>
      <c r="Z731">
        <f>(M731*Weights!$B$2) + (MIN(Q731,Weights!$B$5)*Weights!$B$3*(W731/100)*Weights!$B$4)</f>
        <v/>
      </c>
      <c r="AA731">
        <f>IF(Z731= ,,RANK.EQ({pri_col_letter}{r},{pri_range},0))</f>
        <v/>
      </c>
    </row>
    <row r="732">
      <c r="A732" t="inlineStr">
        <is>
          <t>ATC Computer Transport &amp; Logistics Part of Arvato</t>
        </is>
      </c>
      <c r="B732" t="n">
        <v>3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3</v>
      </c>
      <c r="N732" t="inlineStr">
        <is>
          <t>Tier 4</t>
        </is>
      </c>
      <c r="O732" t="inlineStr">
        <is>
          <t>FILIP IVANKOVIC — Head of Technical Services; Lize Simon — Head of Commercial; Keith Young — Managing Director</t>
        </is>
      </c>
      <c r="P732" t="inlineStr">
        <is>
          <t>Head of Technical Services | Head of Commercial | Managing Director</t>
        </is>
      </c>
      <c r="Y732" t="inlineStr">
        <is>
          <t>todo</t>
        </is>
      </c>
      <c r="Z732">
        <f>(M732*Weights!$B$2) + (MIN(Q732,Weights!$B$5)*Weights!$B$3*(W732/100)*Weights!$B$4)</f>
        <v/>
      </c>
      <c r="AA732">
        <f>IF(Z732= ,,RANK.EQ({pri_col_letter}{r},{pri_range},0))</f>
        <v/>
      </c>
    </row>
    <row r="733">
      <c r="A733" t="inlineStr">
        <is>
          <t>AWI</t>
        </is>
      </c>
      <c r="B733" t="n">
        <v>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3</v>
      </c>
      <c r="N733" t="inlineStr">
        <is>
          <t>Tier 4</t>
        </is>
      </c>
      <c r="O733" t="inlineStr">
        <is>
          <t>Aaron Richards — Vice President; Mark Richards — President; Tim Richards — Vice President</t>
        </is>
      </c>
      <c r="P733" t="inlineStr">
        <is>
          <t>Vice President | President</t>
        </is>
      </c>
      <c r="Y733" t="inlineStr">
        <is>
          <t>todo</t>
        </is>
      </c>
      <c r="Z733">
        <f>(M733*Weights!$B$2) + (MIN(Q733,Weights!$B$5)*Weights!$B$3*(W733/100)*Weights!$B$4)</f>
        <v/>
      </c>
      <c r="AA733">
        <f>IF(Z733= ,,RANK.EQ({pri_col_letter}{r},{pri_range},0))</f>
        <v/>
      </c>
    </row>
    <row r="734">
      <c r="A734" t="inlineStr">
        <is>
          <t>Apax Partners</t>
        </is>
      </c>
      <c r="B734" t="n">
        <v>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</v>
      </c>
      <c r="N734" t="inlineStr">
        <is>
          <t>Tier 4</t>
        </is>
      </c>
      <c r="O734" t="inlineStr">
        <is>
          <t>Jack Hayden — Principal; Jesus Rueda Molins — Principal; Joy Fu — Associate</t>
        </is>
      </c>
      <c r="P734" t="inlineStr">
        <is>
          <t>Principal | Associate</t>
        </is>
      </c>
      <c r="Y734" t="inlineStr">
        <is>
          <t>todo</t>
        </is>
      </c>
      <c r="Z734">
        <f>(M734*Weights!$B$2) + (MIN(Q734,Weights!$B$5)*Weights!$B$3*(W734/100)*Weights!$B$4)</f>
        <v/>
      </c>
      <c r="AA734">
        <f>IF(Z734= ,,RANK.EQ({pri_col_letter}{r},{pri_range},0))</f>
        <v/>
      </c>
    </row>
    <row r="735">
      <c r="A735" t="inlineStr">
        <is>
          <t>CHEP</t>
        </is>
      </c>
      <c r="B735" t="n">
        <v>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3</v>
      </c>
      <c r="N735" t="inlineStr">
        <is>
          <t>Tier 4</t>
        </is>
      </c>
      <c r="O735" t="inlineStr">
        <is>
          <t>James Glover — VP Customer Experience; Sandra Leyva Martinez — Head of Sustainability; Raman Tanwar — Senior Director of Digital Solutions</t>
        </is>
      </c>
      <c r="P735" t="inlineStr">
        <is>
          <t>VP Customer Experience | Head of Sustainability | Senior Director of Digital Solutions</t>
        </is>
      </c>
      <c r="Y735" t="inlineStr">
        <is>
          <t>todo</t>
        </is>
      </c>
      <c r="Z735">
        <f>(M735*Weights!$B$2) + (MIN(Q735,Weights!$B$5)*Weights!$B$3*(W735/100)*Weights!$B$4)</f>
        <v/>
      </c>
      <c r="AA735">
        <f>IF(Z735= ,,RANK.EQ({pri_col_letter}{r},{pri_range},0))</f>
        <v/>
      </c>
    </row>
    <row r="736">
      <c r="A736" t="inlineStr">
        <is>
          <t>DC Velocity</t>
        </is>
      </c>
      <c r="B736" t="n">
        <v>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3</v>
      </c>
      <c r="N736" t="inlineStr">
        <is>
          <t>Tier 4</t>
        </is>
      </c>
      <c r="O736" t="inlineStr">
        <is>
          <t>Gary Master — Publisher, President, &amp; CEO; Chris Goldsholl — Media Consultant; Patricia Wolf — Media Consultant</t>
        </is>
      </c>
      <c r="P736" t="inlineStr">
        <is>
          <t>Publisher, President, &amp; CEO | Media Consultant</t>
        </is>
      </c>
      <c r="Y736" t="inlineStr">
        <is>
          <t>todo</t>
        </is>
      </c>
      <c r="Z736">
        <f>(M736*Weights!$B$2) + (MIN(Q736,Weights!$B$5)*Weights!$B$3*(W736/100)*Weights!$B$4)</f>
        <v/>
      </c>
      <c r="AA736">
        <f>IF(Z736= ,,RANK.EQ({pri_col_letter}{r},{pri_range},0))</f>
        <v/>
      </c>
    </row>
    <row r="737">
      <c r="A737" t="inlineStr">
        <is>
          <t>Dash Express, LLC</t>
        </is>
      </c>
      <c r="B737" t="n">
        <v>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3</v>
      </c>
      <c r="N737" t="inlineStr">
        <is>
          <t>Tier 4</t>
        </is>
      </c>
      <c r="O737" t="inlineStr">
        <is>
          <t>Jason Hatling — CEO; Rebecca Hatling — President/CFO; Aaron Bursch — Regional Manager</t>
        </is>
      </c>
      <c r="P737" t="inlineStr">
        <is>
          <t>CEO | President/CFO | Regional Manager</t>
        </is>
      </c>
      <c r="Y737" t="inlineStr">
        <is>
          <t>todo</t>
        </is>
      </c>
      <c r="Z737">
        <f>(M737*Weights!$B$2) + (MIN(Q737,Weights!$B$5)*Weights!$B$3*(W737/100)*Weights!$B$4)</f>
        <v/>
      </c>
      <c r="AA737">
        <f>IF(Z737= ,,RANK.EQ({pri_col_letter}{r},{pri_range},0))</f>
        <v/>
      </c>
    </row>
    <row r="738">
      <c r="A738" t="inlineStr">
        <is>
          <t>DeSpir Logistics</t>
        </is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</v>
      </c>
      <c r="N738" t="inlineStr">
        <is>
          <t>Tier 4</t>
        </is>
      </c>
      <c r="O738" t="inlineStr">
        <is>
          <t>Joe Van Der Bosch — President; Kevin Nelson — Chief Commerical Officer; John Carr — Managing Partner</t>
        </is>
      </c>
      <c r="P738" t="inlineStr">
        <is>
          <t>President | Chief Commerical Officer | Managing Partner</t>
        </is>
      </c>
      <c r="Y738" t="inlineStr">
        <is>
          <t>todo</t>
        </is>
      </c>
      <c r="Z738">
        <f>(M738*Weights!$B$2) + (MIN(Q738,Weights!$B$5)*Weights!$B$3*(W738/100)*Weights!$B$4)</f>
        <v/>
      </c>
      <c r="AA738">
        <f>IF(Z738= ,,RANK.EQ({pri_col_letter}{r},{pri_range},0))</f>
        <v/>
      </c>
    </row>
    <row r="739">
      <c r="A739" t="inlineStr">
        <is>
          <t>Distributors &amp; Consolidators of America (DACA)</t>
        </is>
      </c>
      <c r="B739" t="n">
        <v>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</v>
      </c>
      <c r="N739" t="inlineStr">
        <is>
          <t>Tier 4</t>
        </is>
      </c>
      <c r="O739" t="inlineStr">
        <is>
          <t>Chris Ballard — Board of Director; David Fowler — Secretary; Kevin Nevison — Chairman</t>
        </is>
      </c>
      <c r="P739" t="inlineStr">
        <is>
          <t>Board of Director | Secretary | Chairman</t>
        </is>
      </c>
      <c r="Y739" t="inlineStr">
        <is>
          <t>todo</t>
        </is>
      </c>
      <c r="Z739">
        <f>(M739*Weights!$B$2) + (MIN(Q739,Weights!$B$5)*Weights!$B$3*(W739/100)*Weights!$B$4)</f>
        <v/>
      </c>
      <c r="AA739">
        <f>IF(Z739= ,,RANK.EQ({pri_col_letter}{r},{pri_range},0))</f>
        <v/>
      </c>
    </row>
    <row r="740">
      <c r="A740" t="inlineStr">
        <is>
          <t>Dot Foods</t>
        </is>
      </c>
      <c r="B740" t="n">
        <v>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3</v>
      </c>
      <c r="N740" t="inlineStr">
        <is>
          <t>Tier 4</t>
        </is>
      </c>
      <c r="O740" t="inlineStr">
        <is>
          <t>Brad Coons — Sr Director of Enterprise Architecture; Jeff Barry — Director, Innovation; Troy Schenk — Director of Automation</t>
        </is>
      </c>
      <c r="P740" t="inlineStr">
        <is>
          <t>Sr Director of Enterprise Architecture | Director, Innovation | Director of Automation</t>
        </is>
      </c>
      <c r="Y740" t="inlineStr">
        <is>
          <t>todo</t>
        </is>
      </c>
      <c r="Z740">
        <f>(M740*Weights!$B$2) + (MIN(Q740,Weights!$B$5)*Weights!$B$3*(W740/100)*Weights!$B$4)</f>
        <v/>
      </c>
      <c r="AA740">
        <f>IF(Z740= ,,RANK.EQ({pri_col_letter}{r},{pri_range},0))</f>
        <v/>
      </c>
    </row>
    <row r="741">
      <c r="A741" t="inlineStr">
        <is>
          <t>Echo Global Logistics</t>
        </is>
      </c>
      <c r="B741" t="n">
        <v>3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3</v>
      </c>
      <c r="N741" t="inlineStr">
        <is>
          <t>Tier 4</t>
        </is>
      </c>
      <c r="O741" t="inlineStr">
        <is>
          <t>Cassandra Baas — VP of Parcel; Marty Martin — SVP LTL; Zach Jecklin — CIO</t>
        </is>
      </c>
      <c r="P741" t="inlineStr">
        <is>
          <t>VP of Parcel | SVP LTL | CIO</t>
        </is>
      </c>
      <c r="Y741" t="inlineStr">
        <is>
          <t>todo</t>
        </is>
      </c>
      <c r="Z741">
        <f>(M741*Weights!$B$2) + (MIN(Q741,Weights!$B$5)*Weights!$B$3*(W741/100)*Weights!$B$4)</f>
        <v/>
      </c>
      <c r="AA741">
        <f>IF(Z741= ,,RANK.EQ({pri_col_letter}{r},{pri_range},0))</f>
        <v/>
      </c>
    </row>
    <row r="742">
      <c r="A742" t="inlineStr">
        <is>
          <t>Ethos Capital</t>
        </is>
      </c>
      <c r="B742" t="n">
        <v>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3</v>
      </c>
      <c r="N742" t="inlineStr">
        <is>
          <t>Tier 4</t>
        </is>
      </c>
      <c r="O742" t="inlineStr">
        <is>
          <t>Gregg Monastiero — Partner; Hayley Kirman — Principal, Investments; Nicole Owens — Senior Associate</t>
        </is>
      </c>
      <c r="P742" t="inlineStr">
        <is>
          <t>Partner | Principal, Investments | Senior Associate</t>
        </is>
      </c>
      <c r="Y742" t="inlineStr">
        <is>
          <t>todo</t>
        </is>
      </c>
      <c r="Z742">
        <f>(M742*Weights!$B$2) + (MIN(Q742,Weights!$B$5)*Weights!$B$3*(W742/100)*Weights!$B$4)</f>
        <v/>
      </c>
      <c r="AA742">
        <f>IF(Z742= ,,RANK.EQ({pri_col_letter}{r},{pri_range},0))</f>
        <v/>
      </c>
    </row>
    <row r="743">
      <c r="A743" t="inlineStr">
        <is>
          <t>Fulfillment IQ | eCom Logistics Podcast</t>
        </is>
      </c>
      <c r="B743" t="n">
        <v>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  <c r="N743" t="inlineStr">
        <is>
          <t>Tier 4</t>
        </is>
      </c>
      <c r="O743" t="inlineStr">
        <is>
          <t>Harshida Acharya — Partner &amp; Chief Strategy Officer | Creator &amp; Co-Host; Ninaad Acharya — Co-Founder &amp; CEO | Co-Host; Bailey Clark — Head of Global Partnerships | Media Partner Representative</t>
        </is>
      </c>
      <c r="P743" t="inlineStr">
        <is>
          <t>Partner &amp; Chief Strategy Officer | Creator &amp; Co-Host | Co-Founder &amp; CEO | Co-Host | Head of Global Partnerships | Media Partner Representative</t>
        </is>
      </c>
      <c r="Y743" t="inlineStr">
        <is>
          <t>todo</t>
        </is>
      </c>
      <c r="Z743">
        <f>(M743*Weights!$B$2) + (MIN(Q743,Weights!$B$5)*Weights!$B$3*(W743/100)*Weights!$B$4)</f>
        <v/>
      </c>
      <c r="AA743">
        <f>IF(Z743= ,,RANK.EQ({pri_col_letter}{r},{pri_range},0))</f>
        <v/>
      </c>
    </row>
    <row r="744">
      <c r="A744" t="inlineStr">
        <is>
          <t>GA LOGISTICS LLC</t>
        </is>
      </c>
      <c r="B744" t="n">
        <v>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3</v>
      </c>
      <c r="N744" t="inlineStr">
        <is>
          <t>Tier 4</t>
        </is>
      </c>
      <c r="O744" t="inlineStr">
        <is>
          <t>Paata Terterashvili — CEO; Avik Mkrtichyan — Founder; Giorgi Kiknadze — Founder</t>
        </is>
      </c>
      <c r="P744" t="inlineStr">
        <is>
          <t>CEO | Founder</t>
        </is>
      </c>
      <c r="Y744" t="inlineStr">
        <is>
          <t>todo</t>
        </is>
      </c>
      <c r="Z744">
        <f>(M744*Weights!$B$2) + (MIN(Q744,Weights!$B$5)*Weights!$B$3*(W744/100)*Weights!$B$4)</f>
        <v/>
      </c>
      <c r="AA744">
        <f>IF(Z744= ,,RANK.EQ({pri_col_letter}{r},{pri_range},0))</f>
        <v/>
      </c>
    </row>
    <row r="745">
      <c r="A745" t="inlineStr">
        <is>
          <t>GESG</t>
        </is>
      </c>
      <c r="B745" t="n">
        <v>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3</v>
      </c>
      <c r="N745" t="inlineStr">
        <is>
          <t>Tier 4</t>
        </is>
      </c>
      <c r="O745" t="inlineStr">
        <is>
          <t>Chris Hostettler — Sr. Practice Leader; Katelyn Reed — Sr. Director; Mike Knox — Sr. Managing Partner</t>
        </is>
      </c>
      <c r="P745" t="inlineStr">
        <is>
          <t>Sr. Practice Leader | Sr. Director | Sr. Managing Partner</t>
        </is>
      </c>
      <c r="Y745" t="inlineStr">
        <is>
          <t>todo</t>
        </is>
      </c>
      <c r="Z745">
        <f>(M745*Weights!$B$2) + (MIN(Q745,Weights!$B$5)*Weights!$B$3*(W745/100)*Weights!$B$4)</f>
        <v/>
      </c>
      <c r="AA745">
        <f>IF(Z745= ,,RANK.EQ({pri_col_letter}{r},{pri_range},0))</f>
        <v/>
      </c>
    </row>
    <row r="746">
      <c r="A746" t="inlineStr">
        <is>
          <t>GLCS</t>
        </is>
      </c>
      <c r="B746" t="n">
        <v>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3</v>
      </c>
      <c r="N746" t="inlineStr">
        <is>
          <t>Tier 4</t>
        </is>
      </c>
      <c r="O746" t="inlineStr">
        <is>
          <t>Nate Johnson — Founder &amp; CEO; Robert Bain — Director of Partnerships; Maria Luepke — Strategic Support Manager</t>
        </is>
      </c>
      <c r="P746" t="inlineStr">
        <is>
          <t>Founder &amp; CEO | Strategic Support Manager | Director of Partnerships</t>
        </is>
      </c>
      <c r="Y746" t="inlineStr">
        <is>
          <t>todo</t>
        </is>
      </c>
      <c r="Z746">
        <f>(M746*Weights!$B$2) + (MIN(Q746,Weights!$B$5)*Weights!$B$3*(W746/100)*Weights!$B$4)</f>
        <v/>
      </c>
      <c r="AA746">
        <f>IF(Z746= ,,RANK.EQ({pri_col_letter}{r},{pri_range},0))</f>
        <v/>
      </c>
    </row>
    <row r="747">
      <c r="A747" t="inlineStr">
        <is>
          <t>GRUPO AMPM</t>
        </is>
      </c>
      <c r="B747" t="n">
        <v>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3</v>
      </c>
      <c r="N747" t="inlineStr">
        <is>
          <t>Tier 4</t>
        </is>
      </c>
      <c r="O747" t="inlineStr">
        <is>
          <t>PABLO MORENO CARRANDI — HEAD OF INTERNATIONAL COMMERCE; PABLO MORENO VALENZUELA — CEO; GABRIEL RAMIREZ — CCO</t>
        </is>
      </c>
      <c r="P747" t="inlineStr">
        <is>
          <t>HEAD OF INTERNATIONAL COMMERCE | CEO | CCO</t>
        </is>
      </c>
      <c r="Y747" t="inlineStr">
        <is>
          <t>todo</t>
        </is>
      </c>
      <c r="Z747">
        <f>(M747*Weights!$B$2) + (MIN(Q747,Weights!$B$5)*Weights!$B$3*(W747/100)*Weights!$B$4)</f>
        <v/>
      </c>
      <c r="AA747">
        <f>IF(Z747= ,,RANK.EQ({pri_col_letter}{r},{pri_range},0))</f>
        <v/>
      </c>
    </row>
    <row r="748">
      <c r="A748" t="inlineStr">
        <is>
          <t>Ingka Investments</t>
        </is>
      </c>
      <c r="B748" t="n">
        <v>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3</v>
      </c>
      <c r="N748" t="inlineStr">
        <is>
          <t>Tier 4</t>
        </is>
      </c>
      <c r="O748" t="inlineStr">
        <is>
          <t>Cees Aanhaanen — Investment/ M&amp;A Director; Laurien Verster — Investment Director; René Wouters — Investment Manager</t>
        </is>
      </c>
      <c r="P748" t="inlineStr">
        <is>
          <t>Investment/ M&amp;A Director | Investment Director | Investment Manager</t>
        </is>
      </c>
      <c r="Y748" t="inlineStr">
        <is>
          <t>todo</t>
        </is>
      </c>
      <c r="Z748">
        <f>(M748*Weights!$B$2) + (MIN(Q748,Weights!$B$5)*Weights!$B$3*(W748/100)*Weights!$B$4)</f>
        <v/>
      </c>
      <c r="AA748">
        <f>IF(Z748= ,,RANK.EQ({pri_col_letter}{r},{pri_range},0))</f>
        <v/>
      </c>
    </row>
    <row r="749">
      <c r="A749" t="inlineStr">
        <is>
          <t>JLL</t>
        </is>
      </c>
      <c r="B749" t="n">
        <v>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3</v>
      </c>
      <c r="N749" t="inlineStr">
        <is>
          <t>Tier 4</t>
        </is>
      </c>
      <c r="O749" t="inlineStr">
        <is>
          <t>Brian Thene — Senior Vice President; Rob Wheeler — Managing Director; Robert Tamillo — Managing Director</t>
        </is>
      </c>
      <c r="P749" t="inlineStr">
        <is>
          <t>Senior Vice President | Managing Director</t>
        </is>
      </c>
      <c r="Y749" t="inlineStr">
        <is>
          <t>todo</t>
        </is>
      </c>
      <c r="Z749">
        <f>(M749*Weights!$B$2) + (MIN(Q749,Weights!$B$5)*Weights!$B$3*(W749/100)*Weights!$B$4)</f>
        <v/>
      </c>
      <c r="AA749">
        <f>IF(Z749= ,,RANK.EQ({pri_col_letter}{r},{pri_range},0))</f>
        <v/>
      </c>
    </row>
    <row r="750">
      <c r="A750" t="inlineStr">
        <is>
          <t>KOMPAS VC</t>
        </is>
      </c>
      <c r="B750" t="n">
        <v>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3</v>
      </c>
      <c r="N750" t="inlineStr">
        <is>
          <t>Tier 4</t>
        </is>
      </c>
      <c r="O750" t="inlineStr">
        <is>
          <t>Ilena Mece — Principal; Yoobin Jung — Portfolio Development Manager; Talia Rafaeli — Partner</t>
        </is>
      </c>
      <c r="P750" t="inlineStr">
        <is>
          <t>Principal | Portfolio Development Manager | Partner</t>
        </is>
      </c>
      <c r="Y750" t="inlineStr">
        <is>
          <t>todo</t>
        </is>
      </c>
      <c r="Z750">
        <f>(M750*Weights!$B$2) + (MIN(Q750,Weights!$B$5)*Weights!$B$3*(W750/100)*Weights!$B$4)</f>
        <v/>
      </c>
      <c r="AA750">
        <f>IF(Z750= ,,RANK.EQ({pri_col_letter}{r},{pri_range},0))</f>
        <v/>
      </c>
    </row>
    <row r="751">
      <c r="A751" t="inlineStr">
        <is>
          <t>Logitalent</t>
        </is>
      </c>
      <c r="B751" t="n">
        <v>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3</v>
      </c>
      <c r="N751" t="inlineStr">
        <is>
          <t>Tier 4</t>
        </is>
      </c>
      <c r="O751" t="inlineStr">
        <is>
          <t>Bill Paul — CEO; Ryan Paul — President; Valerie Carlson — Vice President of Talent Acquisition</t>
        </is>
      </c>
      <c r="P751" t="inlineStr">
        <is>
          <t>CEO | President | Vice President of Talent Acquisition</t>
        </is>
      </c>
      <c r="Y751" t="inlineStr">
        <is>
          <t>todo</t>
        </is>
      </c>
      <c r="Z751">
        <f>(M751*Weights!$B$2) + (MIN(Q751,Weights!$B$5)*Weights!$B$3*(W751/100)*Weights!$B$4)</f>
        <v/>
      </c>
      <c r="AA751">
        <f>IF(Z751= ,,RANK.EQ({pri_col_letter}{r},{pri_range},0))</f>
        <v/>
      </c>
    </row>
    <row r="752">
      <c r="A752" t="inlineStr">
        <is>
          <t>Lynxis</t>
        </is>
      </c>
      <c r="B752" t="n">
        <v>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3</v>
      </c>
      <c r="N752" t="inlineStr">
        <is>
          <t>Tier 4</t>
        </is>
      </c>
      <c r="O752" t="inlineStr">
        <is>
          <t>Allen Thomas — Chief Commercial Officer; Larry Cuddy — CEO; Mark Traynor — CTO</t>
        </is>
      </c>
      <c r="P752" t="inlineStr">
        <is>
          <t>Chief Commercial Officer | CEO | CTO</t>
        </is>
      </c>
      <c r="Y752" t="inlineStr">
        <is>
          <t>todo</t>
        </is>
      </c>
      <c r="Z752">
        <f>(M752*Weights!$B$2) + (MIN(Q752,Weights!$B$5)*Weights!$B$3*(W752/100)*Weights!$B$4)</f>
        <v/>
      </c>
      <c r="AA752">
        <f>IF(Z752= ,,RANK.EQ({pri_col_letter}{r},{pri_range},0))</f>
        <v/>
      </c>
    </row>
    <row r="753">
      <c r="A753" t="inlineStr">
        <is>
          <t>Manifest</t>
        </is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3</v>
      </c>
      <c r="N753" t="inlineStr">
        <is>
          <t>Tier 4</t>
        </is>
      </c>
      <c r="O753" t="inlineStr">
        <is>
          <t>Courtney Muller — President; Tanzil Uddin — SVP, Content &amp; Partnerships; Pam Simon — Conference Chair</t>
        </is>
      </c>
      <c r="P753" t="inlineStr">
        <is>
          <t>President | SVP, Content &amp; Partnerships | Conference Chair</t>
        </is>
      </c>
      <c r="Y753" t="inlineStr">
        <is>
          <t>todo</t>
        </is>
      </c>
      <c r="Z753">
        <f>(M753*Weights!$B$2) + (MIN(Q753,Weights!$B$5)*Weights!$B$3*(W753/100)*Weights!$B$4)</f>
        <v/>
      </c>
      <c r="AA753">
        <f>IF(Z753= ,,RANK.EQ({pri_col_letter}{r},{pri_range},0))</f>
        <v/>
      </c>
    </row>
    <row r="754">
      <c r="A754" t="inlineStr">
        <is>
          <t>MapQuest</t>
        </is>
      </c>
      <c r="B754" t="n">
        <v>3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3</v>
      </c>
      <c r="N754" t="inlineStr">
        <is>
          <t>Tier 4</t>
        </is>
      </c>
      <c r="O754" t="inlineStr">
        <is>
          <t>Doug Berger — GM; Walter Baum — VP; Yosef Rosenberg — Product</t>
        </is>
      </c>
      <c r="P754" t="inlineStr">
        <is>
          <t>GM | VP | Product</t>
        </is>
      </c>
      <c r="Y754" t="inlineStr">
        <is>
          <t>todo</t>
        </is>
      </c>
      <c r="Z754">
        <f>(M754*Weights!$B$2) + (MIN(Q754,Weights!$B$5)*Weights!$B$3*(W754/100)*Weights!$B$4)</f>
        <v/>
      </c>
      <c r="AA754">
        <f>IF(Z754= ,,RANK.EQ({pri_col_letter}{r},{pri_range},0))</f>
        <v/>
      </c>
    </row>
    <row r="755">
      <c r="A755" t="inlineStr">
        <is>
          <t>Modern Expo</t>
        </is>
      </c>
      <c r="B755" t="n">
        <v>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3</v>
      </c>
      <c r="N755" t="inlineStr">
        <is>
          <t>Tier 4</t>
        </is>
      </c>
      <c r="O755" t="inlineStr">
        <is>
          <t>Jacek Powałka — OOH Solutions Director; Lukasz Talaga — Solutions &amp; Partnerships Manager; Nazar Klets — Solutions and Partnerships Manager</t>
        </is>
      </c>
      <c r="P755" t="inlineStr">
        <is>
          <t>OOH Solutions Director | Solutions &amp; Partnerships Manager | Solutions and Partnerships Manager</t>
        </is>
      </c>
      <c r="Y755" t="inlineStr">
        <is>
          <t>todo</t>
        </is>
      </c>
      <c r="Z755">
        <f>(M755*Weights!$B$2) + (MIN(Q755,Weights!$B$5)*Weights!$B$3*(W755/100)*Weights!$B$4)</f>
        <v/>
      </c>
      <c r="AA755">
        <f>IF(Z755= ,,RANK.EQ({pri_col_letter}{r},{pri_range},0))</f>
        <v/>
      </c>
    </row>
    <row r="756">
      <c r="A756" t="inlineStr">
        <is>
          <t>NT Logistics</t>
        </is>
      </c>
      <c r="B756" t="n">
        <v>3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inlineStr">
        <is>
          <t>Tier 4</t>
        </is>
      </c>
      <c r="O756" t="inlineStr">
        <is>
          <t>Alex Fritz — CFO; Lynn Gravley — CEO; Chris Todd — CCO</t>
        </is>
      </c>
      <c r="P756" t="inlineStr">
        <is>
          <t>CFO | CEO | CCO</t>
        </is>
      </c>
      <c r="Y756" t="inlineStr">
        <is>
          <t>todo</t>
        </is>
      </c>
      <c r="Z756">
        <f>(M756*Weights!$B$2) + (MIN(Q756,Weights!$B$5)*Weights!$B$3*(W756/100)*Weights!$B$4)</f>
        <v/>
      </c>
      <c r="AA756">
        <f>IF(Z756= ,,RANK.EQ({pri_col_letter}{r},{pri_range},0))</f>
        <v/>
      </c>
    </row>
    <row r="757">
      <c r="A757" t="inlineStr">
        <is>
          <t>OOCL Logistics</t>
        </is>
      </c>
      <c r="B757" t="n">
        <v>3</v>
      </c>
      <c r="C757" t="n">
        <v>0</v>
      </c>
      <c r="D757" t="n">
        <v>1</v>
      </c>
      <c r="E757" t="n">
        <v>0</v>
      </c>
      <c r="F757" t="n">
        <v>2</v>
      </c>
      <c r="G757" t="n">
        <v>0</v>
      </c>
      <c r="I757" t="n">
        <v>2</v>
      </c>
      <c r="J757" t="n">
        <v>0.3333333333333333</v>
      </c>
      <c r="K757" t="n">
        <v>0</v>
      </c>
      <c r="L757" t="n">
        <v>0</v>
      </c>
      <c r="M757" t="n">
        <v>3</v>
      </c>
      <c r="N757" t="inlineStr">
        <is>
          <t>Tier 4</t>
        </is>
      </c>
      <c r="O757" t="inlineStr">
        <is>
          <t>Tom Donnelly — VP of Business Process Systems; David Croft — Director of Marketing &amp; Supply Chain Strategy; Zora Jamil-Oden — Sr. Vice President of Sales</t>
        </is>
      </c>
      <c r="P757" t="inlineStr">
        <is>
          <t>VP of Business Process Systems | Sr. Vice President of Sales | Director of Marketing &amp; Supply Chain Strategy</t>
        </is>
      </c>
      <c r="Y757" t="inlineStr">
        <is>
          <t>todo</t>
        </is>
      </c>
      <c r="Z757">
        <f>(M757*Weights!$B$2) + (MIN(Q757,Weights!$B$5)*Weights!$B$3*(W757/100)*Weights!$B$4)</f>
        <v/>
      </c>
      <c r="AA757">
        <f>IF(Z757= ,,RANK.EQ({pri_col_letter}{r},{pri_range},0))</f>
        <v/>
      </c>
    </row>
    <row r="758">
      <c r="A758" t="inlineStr">
        <is>
          <t>Passport</t>
        </is>
      </c>
      <c r="B758" t="n">
        <v>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</v>
      </c>
      <c r="N758" t="inlineStr">
        <is>
          <t>Tier 4</t>
        </is>
      </c>
      <c r="O758" t="inlineStr">
        <is>
          <t>David Field — Head of Strategic Partnerships; Andre Storm — Director - 3PL Partnerships; Matt Hofer — Enterprise Brand Partnerships</t>
        </is>
      </c>
      <c r="P758" t="inlineStr">
        <is>
          <t>Head of Strategic Partnerships | Director - 3PL Partnerships | Enterprise Brand Partnerships</t>
        </is>
      </c>
      <c r="Y758" t="inlineStr">
        <is>
          <t>todo</t>
        </is>
      </c>
      <c r="Z758">
        <f>(M758*Weights!$B$2) + (MIN(Q758,Weights!$B$5)*Weights!$B$3*(W758/100)*Weights!$B$4)</f>
        <v/>
      </c>
      <c r="AA758">
        <f>IF(Z758= ,,RANK.EQ({pri_col_letter}{r},{pri_range},0))</f>
        <v/>
      </c>
    </row>
    <row r="759">
      <c r="A759" t="inlineStr">
        <is>
          <t>PeakSpan Capital</t>
        </is>
      </c>
      <c r="B759" t="n">
        <v>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3</v>
      </c>
      <c r="N759" t="inlineStr">
        <is>
          <t>Tier 4</t>
        </is>
      </c>
      <c r="O759" t="inlineStr">
        <is>
          <t>Eavan Murray — Investment Analyst; Jack Freeman — Partner; Mikayla Brenman — Associate</t>
        </is>
      </c>
      <c r="P759" t="inlineStr">
        <is>
          <t>Investment Analyst | Partner | Associate</t>
        </is>
      </c>
      <c r="Y759" t="inlineStr">
        <is>
          <t>todo</t>
        </is>
      </c>
      <c r="Z759">
        <f>(M759*Weights!$B$2) + (MIN(Q759,Weights!$B$5)*Weights!$B$3*(W759/100)*Weights!$B$4)</f>
        <v/>
      </c>
      <c r="AA759">
        <f>IF(Z759= ,,RANK.EQ({pri_col_letter}{r},{pri_range},0))</f>
        <v/>
      </c>
    </row>
    <row r="760">
      <c r="A760" t="inlineStr">
        <is>
          <t>Peerless Media</t>
        </is>
      </c>
      <c r="B760" t="n">
        <v>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3</v>
      </c>
      <c r="N760" t="inlineStr">
        <is>
          <t>Tier 4</t>
        </is>
      </c>
      <c r="O760" t="inlineStr">
        <is>
          <t>Brian Ceraolo — President/CEO; Amy Vallance — Editor; Nick Venetico — Manager</t>
        </is>
      </c>
      <c r="P760" t="inlineStr">
        <is>
          <t>President/CEO | Editor | Manager</t>
        </is>
      </c>
      <c r="Y760" t="inlineStr">
        <is>
          <t>todo</t>
        </is>
      </c>
      <c r="Z760">
        <f>(M760*Weights!$B$2) + (MIN(Q760,Weights!$B$5)*Weights!$B$3*(W760/100)*Weights!$B$4)</f>
        <v/>
      </c>
      <c r="AA760">
        <f>IF(Z760= ,,RANK.EQ({pri_col_letter}{r},{pri_range},0))</f>
        <v/>
      </c>
    </row>
    <row r="761">
      <c r="A761" t="inlineStr">
        <is>
          <t>PepsiCo Labs</t>
        </is>
      </c>
      <c r="B761" t="n">
        <v>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3</v>
      </c>
      <c r="N761" t="inlineStr">
        <is>
          <t>Tier 4</t>
        </is>
      </c>
      <c r="O761" t="inlineStr">
        <is>
          <t>Anna Farberov — Technology Strat &amp; Innov Sr. Director; Paul Lomax — Tech Venturing and Transformation; Sean Davis — Technology Strat &amp; Innov Director</t>
        </is>
      </c>
      <c r="P761" t="inlineStr">
        <is>
          <t>Technology Strat &amp; Innov Sr. Director | Tech Venturing and Transformation | Technology Strat &amp; Innov Director</t>
        </is>
      </c>
      <c r="Y761" t="inlineStr">
        <is>
          <t>todo</t>
        </is>
      </c>
      <c r="Z761">
        <f>(M761*Weights!$B$2) + (MIN(Q761,Weights!$B$5)*Weights!$B$3*(W761/100)*Weights!$B$4)</f>
        <v/>
      </c>
      <c r="AA761">
        <f>IF(Z761= ,,RANK.EQ({pri_col_letter}{r},{pri_range},0))</f>
        <v/>
      </c>
    </row>
    <row r="762">
      <c r="A762" t="inlineStr">
        <is>
          <t>Qcells U.S.A.</t>
        </is>
      </c>
      <c r="B762" t="n">
        <v>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3</v>
      </c>
      <c r="N762" t="inlineStr">
        <is>
          <t>Tier 4</t>
        </is>
      </c>
      <c r="O762" t="inlineStr">
        <is>
          <t>Bong Soo — Vice President (COO); SungWoon Min — Team leader; TaeGun Yoon — Team leader</t>
        </is>
      </c>
      <c r="P762" t="inlineStr">
        <is>
          <t>Vice President (COO) | Team leader</t>
        </is>
      </c>
      <c r="Y762" t="inlineStr">
        <is>
          <t>todo</t>
        </is>
      </c>
      <c r="Z762">
        <f>(M762*Weights!$B$2) + (MIN(Q762,Weights!$B$5)*Weights!$B$3*(W762/100)*Weights!$B$4)</f>
        <v/>
      </c>
      <c r="AA762">
        <f>IF(Z762= ,,RANK.EQ({pri_col_letter}{r},{pri_range},0))</f>
        <v/>
      </c>
    </row>
    <row r="763">
      <c r="A763" t="inlineStr">
        <is>
          <t>Retina Robotics</t>
        </is>
      </c>
      <c r="B763" t="n">
        <v>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3</v>
      </c>
      <c r="N763" t="inlineStr">
        <is>
          <t>Tier 4</t>
        </is>
      </c>
      <c r="O763" t="inlineStr">
        <is>
          <t>Maanav Iyengar — CEO &amp; Co-Founder; Vishrut Bohara — Co-founder &amp; CTO; Srinivasan Sarnath — Advisor</t>
        </is>
      </c>
      <c r="P763" t="inlineStr">
        <is>
          <t>CEO &amp; Co-Founder | Co-founder &amp; CTO | Advisor</t>
        </is>
      </c>
      <c r="Y763" t="inlineStr">
        <is>
          <t>todo</t>
        </is>
      </c>
      <c r="Z763">
        <f>(M763*Weights!$B$2) + (MIN(Q763,Weights!$B$5)*Weights!$B$3*(W763/100)*Weights!$B$4)</f>
        <v/>
      </c>
      <c r="AA763">
        <f>IF(Z763= ,,RANK.EQ({pri_col_letter}{r},{pri_range},0))</f>
        <v/>
      </c>
    </row>
    <row r="764">
      <c r="A764" t="inlineStr">
        <is>
          <t>S2G Investments</t>
        </is>
      </c>
      <c r="B764" t="n">
        <v>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3</v>
      </c>
      <c r="N764" t="inlineStr">
        <is>
          <t>Tier 4</t>
        </is>
      </c>
      <c r="O764" t="inlineStr">
        <is>
          <t>Maggie Fried — Vice President, Corporate Development; Mitch Worden — VP of Corporate Development - Energy; Vikram SHARMA — Operating Partner</t>
        </is>
      </c>
      <c r="P764" t="inlineStr">
        <is>
          <t>Vice President, Corporate Development | VP of Corporate Development - Energy | Operating Partner</t>
        </is>
      </c>
      <c r="Y764" t="inlineStr">
        <is>
          <t>todo</t>
        </is>
      </c>
      <c r="Z764">
        <f>(M764*Weights!$B$2) + (MIN(Q764,Weights!$B$5)*Weights!$B$3*(W764/100)*Weights!$B$4)</f>
        <v/>
      </c>
      <c r="AA764">
        <f>IF(Z764= ,,RANK.EQ({pri_col_letter}{r},{pri_range},0))</f>
        <v/>
      </c>
    </row>
    <row r="765">
      <c r="A765" t="inlineStr">
        <is>
          <t>SPS Commerce</t>
        </is>
      </c>
      <c r="B765" t="n">
        <v>3</v>
      </c>
      <c r="C765" t="n">
        <v>0</v>
      </c>
      <c r="D765" t="n">
        <v>1</v>
      </c>
      <c r="E765" t="n">
        <v>0</v>
      </c>
      <c r="F765" t="n">
        <v>2</v>
      </c>
      <c r="G765" t="n">
        <v>1</v>
      </c>
      <c r="I765" t="n">
        <v>3</v>
      </c>
      <c r="J765" t="n">
        <v>0.3333333333333333</v>
      </c>
      <c r="K765" t="n">
        <v>0</v>
      </c>
      <c r="L765" t="n">
        <v>0</v>
      </c>
      <c r="M765" t="n">
        <v>3</v>
      </c>
      <c r="N765" t="inlineStr">
        <is>
          <t>Tier 4</t>
        </is>
      </c>
      <c r="O765" t="inlineStr">
        <is>
          <t>Briana Birkholz — VP, Product Management; Wesley Arentson — Sr Manager, Logistics Sales; David Muri — Sr Channel Sales Manager</t>
        </is>
      </c>
      <c r="P765" t="inlineStr">
        <is>
          <t>VP, Product Management | Sr Manager, Logistics Sales | Sr Channel Sales Manager</t>
        </is>
      </c>
      <c r="Y765" t="inlineStr">
        <is>
          <t>todo</t>
        </is>
      </c>
      <c r="Z765">
        <f>(M765*Weights!$B$2) + (MIN(Q765,Weights!$B$5)*Weights!$B$3*(W765/100)*Weights!$B$4)</f>
        <v/>
      </c>
      <c r="AA765">
        <f>IF(Z765= ,,RANK.EQ({pri_col_letter}{r},{pri_range},0))</f>
        <v/>
      </c>
    </row>
    <row r="766">
      <c r="A766" t="inlineStr">
        <is>
          <t>Sapphire Ventures</t>
        </is>
      </c>
      <c r="B766" t="n">
        <v>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</v>
      </c>
      <c r="N766" t="inlineStr">
        <is>
          <t>Tier 4</t>
        </is>
      </c>
      <c r="O766" t="inlineStr">
        <is>
          <t>Demi Obayomi — Vice President; Chloe Lin — Investor; Julie Nguyen — Investor</t>
        </is>
      </c>
      <c r="P766" t="inlineStr">
        <is>
          <t>Vice President | Investor</t>
        </is>
      </c>
      <c r="Y766" t="inlineStr">
        <is>
          <t>todo</t>
        </is>
      </c>
      <c r="Z766">
        <f>(M766*Weights!$B$2) + (MIN(Q766,Weights!$B$5)*Weights!$B$3*(W766/100)*Weights!$B$4)</f>
        <v/>
      </c>
      <c r="AA766">
        <f>IF(Z766= ,,RANK.EQ({pri_col_letter}{r},{pri_range},0))</f>
        <v/>
      </c>
    </row>
    <row r="767">
      <c r="A767" t="inlineStr">
        <is>
          <t>Scarbrough Global</t>
        </is>
      </c>
      <c r="B767" t="n">
        <v>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3</v>
      </c>
      <c r="N767" t="inlineStr">
        <is>
          <t>Tier 4</t>
        </is>
      </c>
      <c r="O767" t="inlineStr">
        <is>
          <t>Adam Hill — CEO; Matthew Wilcox — COO; Erin O'Leary — Director, Information Technology</t>
        </is>
      </c>
      <c r="P767" t="inlineStr">
        <is>
          <t>CEO | COO | Director, Information Technology</t>
        </is>
      </c>
      <c r="Y767" t="inlineStr">
        <is>
          <t>todo</t>
        </is>
      </c>
      <c r="Z767">
        <f>(M767*Weights!$B$2) + (MIN(Q767,Weights!$B$5)*Weights!$B$3*(W767/100)*Weights!$B$4)</f>
        <v/>
      </c>
      <c r="AA767">
        <f>IF(Z767= ,,RANK.EQ({pri_col_letter}{r},{pri_range},0))</f>
        <v/>
      </c>
    </row>
    <row r="768">
      <c r="A768" t="inlineStr">
        <is>
          <t>ShipTime</t>
        </is>
      </c>
      <c r="B768" t="n">
        <v>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3</v>
      </c>
      <c r="N768" t="inlineStr">
        <is>
          <t>Tier 4</t>
        </is>
      </c>
      <c r="O768" t="inlineStr">
        <is>
          <t>Austin Lewis — CEO; David Scott — Chief Operating Officer; Michael Trueman — President</t>
        </is>
      </c>
      <c r="P768" t="inlineStr">
        <is>
          <t>CEO | Chief Operating Officer | President</t>
        </is>
      </c>
      <c r="Y768" t="inlineStr">
        <is>
          <t>todo</t>
        </is>
      </c>
      <c r="Z768">
        <f>(M768*Weights!$B$2) + (MIN(Q768,Weights!$B$5)*Weights!$B$3*(W768/100)*Weights!$B$4)</f>
        <v/>
      </c>
      <c r="AA768">
        <f>IF(Z768= ,,RANK.EQ({pri_col_letter}{r},{pri_range},0))</f>
        <v/>
      </c>
    </row>
    <row r="769">
      <c r="A769" t="inlineStr">
        <is>
          <t>Shipflow</t>
        </is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3</v>
      </c>
      <c r="N769" t="inlineStr">
        <is>
          <t>Tier 4</t>
        </is>
      </c>
      <c r="O769" t="inlineStr">
        <is>
          <t>David Avidan — COO; Frank Lin — CEO; Ezra Avidan — CEO</t>
        </is>
      </c>
      <c r="P769" t="inlineStr">
        <is>
          <t>COO | CEO</t>
        </is>
      </c>
      <c r="Y769" t="inlineStr">
        <is>
          <t>todo</t>
        </is>
      </c>
      <c r="Z769">
        <f>(M769*Weights!$B$2) + (MIN(Q769,Weights!$B$5)*Weights!$B$3*(W769/100)*Weights!$B$4)</f>
        <v/>
      </c>
      <c r="AA769">
        <f>IF(Z769= ,,RANK.EQ({pri_col_letter}{r},{pri_range},0))</f>
        <v/>
      </c>
    </row>
    <row r="770">
      <c r="A770" t="inlineStr">
        <is>
          <t>Spot</t>
        </is>
      </c>
      <c r="B770" t="n">
        <v>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3</v>
      </c>
      <c r="N770" t="inlineStr">
        <is>
          <t>Tier 4</t>
        </is>
      </c>
      <c r="O770" t="inlineStr">
        <is>
          <t>Ben Garvin — VP of Technology; Andrew Elsner — Co -Founder; Andy Shenk — Owner</t>
        </is>
      </c>
      <c r="P770" t="inlineStr">
        <is>
          <t>VP of Technology | Co -Founder | Owner</t>
        </is>
      </c>
      <c r="Y770" t="inlineStr">
        <is>
          <t>todo</t>
        </is>
      </c>
      <c r="Z770">
        <f>(M770*Weights!$B$2) + (MIN(Q770,Weights!$B$5)*Weights!$B$3*(W770/100)*Weights!$B$4)</f>
        <v/>
      </c>
      <c r="AA770">
        <f>IF(Z770= ,,RANK.EQ({pri_col_letter}{r},{pri_range},0))</f>
        <v/>
      </c>
    </row>
    <row r="771">
      <c r="A771" t="inlineStr">
        <is>
          <t>Supply &amp; Demand Show</t>
        </is>
      </c>
      <c r="B771" t="n">
        <v>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3</v>
      </c>
      <c r="N771" t="inlineStr">
        <is>
          <t>Tier 4</t>
        </is>
      </c>
      <c r="O771" t="inlineStr">
        <is>
          <t>Alain Maiki — Director of Media; Kerim Antoine Kfuri — Co-Founder; Richard Crawford — Co-Founder</t>
        </is>
      </c>
      <c r="P771" t="inlineStr">
        <is>
          <t>Director of Media | Co-Founder</t>
        </is>
      </c>
      <c r="Y771" t="inlineStr">
        <is>
          <t>todo</t>
        </is>
      </c>
      <c r="Z771">
        <f>(M771*Weights!$B$2) + (MIN(Q771,Weights!$B$5)*Weights!$B$3*(W771/100)*Weights!$B$4)</f>
        <v/>
      </c>
      <c r="AA771">
        <f>IF(Z771= ,,RANK.EQ({pri_col_letter}{r},{pri_range},0))</f>
        <v/>
      </c>
    </row>
    <row r="772">
      <c r="A772" t="inlineStr">
        <is>
          <t>Supply Chain Brain</t>
        </is>
      </c>
      <c r="B772" t="n">
        <v>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3</v>
      </c>
      <c r="N772" t="inlineStr">
        <is>
          <t>Tier 4</t>
        </is>
      </c>
      <c r="O772" t="inlineStr">
        <is>
          <t>Gerald Keller — Owner, SupplyChainBrain; Priscilla Odisho — Makeup Artist; Erick Larin — Asst. Videographer</t>
        </is>
      </c>
      <c r="P772" t="inlineStr">
        <is>
          <t>Owner, SupplyChainBrain | Makeup Artist | Asst. Videographer</t>
        </is>
      </c>
      <c r="Y772" t="inlineStr">
        <is>
          <t>todo</t>
        </is>
      </c>
      <c r="Z772">
        <f>(M772*Weights!$B$2) + (MIN(Q772,Weights!$B$5)*Weights!$B$3*(W772/100)*Weights!$B$4)</f>
        <v/>
      </c>
      <c r="AA772">
        <f>IF(Z772= ,,RANK.EQ({pri_col_letter}{r},{pri_range},0))</f>
        <v/>
      </c>
    </row>
    <row r="773">
      <c r="A773" t="inlineStr">
        <is>
          <t>Tag-N-Trac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3</v>
      </c>
      <c r="N773" t="inlineStr">
        <is>
          <t>Tier 4</t>
        </is>
      </c>
      <c r="O773" t="inlineStr">
        <is>
          <t>Raj Dodhiawala — CEO; Robert Pridgen — Commercial Director; Venu Gutlapalli — CDO</t>
        </is>
      </c>
      <c r="P773" t="inlineStr">
        <is>
          <t>CEO | Commercial Director | CDO</t>
        </is>
      </c>
      <c r="Y773" t="inlineStr">
        <is>
          <t>todo</t>
        </is>
      </c>
      <c r="Z773">
        <f>(M773*Weights!$B$2) + (MIN(Q773,Weights!$B$5)*Weights!$B$3*(W773/100)*Weights!$B$4)</f>
        <v/>
      </c>
      <c r="AA773">
        <f>IF(Z773= ,,RANK.EQ({pri_col_letter}{r},{pri_range},0))</f>
        <v/>
      </c>
    </row>
    <row r="774">
      <c r="A774" t="inlineStr">
        <is>
          <t>Tow4Tech</t>
        </is>
      </c>
      <c r="B774" t="n">
        <v>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3</v>
      </c>
      <c r="N774" t="inlineStr">
        <is>
          <t>Tier 4</t>
        </is>
      </c>
      <c r="O774" t="inlineStr">
        <is>
          <t>Craig Schneider — CEO &amp; Co-Founder; Ziv Gillat — Co-Founder &amp; CTO; Dana Schneider — CRO</t>
        </is>
      </c>
      <c r="P774" t="inlineStr">
        <is>
          <t>Co-Founder &amp; CTO | CEO &amp; Co-Founder | CRO</t>
        </is>
      </c>
      <c r="Y774" t="inlineStr">
        <is>
          <t>todo</t>
        </is>
      </c>
      <c r="Z774">
        <f>(M774*Weights!$B$2) + (MIN(Q774,Weights!$B$5)*Weights!$B$3*(W774/100)*Weights!$B$4)</f>
        <v/>
      </c>
      <c r="AA774">
        <f>IF(Z774= ,,RANK.EQ({pri_col_letter}{r},{pri_range},0))</f>
        <v/>
      </c>
    </row>
    <row r="775">
      <c r="A775" t="inlineStr">
        <is>
          <t>Traba</t>
        </is>
      </c>
      <c r="B775" t="n">
        <v>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3</v>
      </c>
      <c r="N775" t="inlineStr">
        <is>
          <t>Tier 4</t>
        </is>
      </c>
      <c r="O775" t="inlineStr">
        <is>
          <t>Gregory Truong — Head of National Partnerships; David Hutto — National Partnerships; Jake Bloom — National Partnerships</t>
        </is>
      </c>
      <c r="P775" t="inlineStr">
        <is>
          <t>Head of National Partnerships | National Partnerships</t>
        </is>
      </c>
      <c r="Y775" t="inlineStr">
        <is>
          <t>todo</t>
        </is>
      </c>
      <c r="Z775">
        <f>(M775*Weights!$B$2) + (MIN(Q775,Weights!$B$5)*Weights!$B$3*(W775/100)*Weights!$B$4)</f>
        <v/>
      </c>
      <c r="AA775">
        <f>IF(Z775= ,,RANK.EQ({pri_col_letter}{r},{pri_range},0))</f>
        <v/>
      </c>
    </row>
    <row r="776">
      <c r="A776" t="inlineStr">
        <is>
          <t>Tractor Supply Company</t>
        </is>
      </c>
      <c r="B776" t="n">
        <v>3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3</v>
      </c>
      <c r="N776" t="inlineStr">
        <is>
          <t>Tier 4</t>
        </is>
      </c>
      <c r="O776" t="inlineStr">
        <is>
          <t>Kyle Langley — VP, Final Mile; Brannon McGrotha — Director, Final Mile &amp; Delivery Experience; Chandler Crawford — Process Manager, Final Mile</t>
        </is>
      </c>
      <c r="P776" t="inlineStr">
        <is>
          <t>VP, Final Mile | Director, Final Mile &amp; Delivery Experience | Process Manager, Final Mile</t>
        </is>
      </c>
      <c r="Y776" t="inlineStr">
        <is>
          <t>todo</t>
        </is>
      </c>
      <c r="Z776">
        <f>(M776*Weights!$B$2) + (MIN(Q776,Weights!$B$5)*Weights!$B$3*(W776/100)*Weights!$B$4)</f>
        <v/>
      </c>
      <c r="AA776">
        <f>IF(Z776= ,,RANK.EQ({pri_col_letter}{r},{pri_range},0))</f>
        <v/>
      </c>
    </row>
    <row r="777">
      <c r="A777" t="inlineStr">
        <is>
          <t>United States Postal Service</t>
        </is>
      </c>
      <c r="B777" t="n">
        <v>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</v>
      </c>
      <c r="N777" t="inlineStr">
        <is>
          <t>Tier 4</t>
        </is>
      </c>
      <c r="O777" t="inlineStr">
        <is>
          <t>Greg Mack — Key Business Accounts Executive; James Garthwait — Key Business Accounts Executive; Jay Smith — Director New Business Acquisition</t>
        </is>
      </c>
      <c r="P777" t="inlineStr">
        <is>
          <t>Key Business Accounts Executive | Director New Business Acquisition</t>
        </is>
      </c>
      <c r="Y777" t="inlineStr">
        <is>
          <t>todo</t>
        </is>
      </c>
      <c r="Z777">
        <f>(M777*Weights!$B$2) + (MIN(Q777,Weights!$B$5)*Weights!$B$3*(W777/100)*Weights!$B$4)</f>
        <v/>
      </c>
      <c r="AA777">
        <f>IF(Z777= ,,RANK.EQ({pri_col_letter}{r},{pri_range},0))</f>
        <v/>
      </c>
    </row>
    <row r="778">
      <c r="A778" t="inlineStr">
        <is>
          <t>V. Alexander &amp; Co., Inc.</t>
        </is>
      </c>
      <c r="B778" t="n">
        <v>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3</v>
      </c>
      <c r="N778" t="inlineStr">
        <is>
          <t>Tier 4</t>
        </is>
      </c>
      <c r="O778" t="inlineStr">
        <is>
          <t>Brodie Foster — Sr. VP &amp; CFO; Chris Schmid — Advisor to the Board; Daniel Hallock — CDO</t>
        </is>
      </c>
      <c r="P778" t="inlineStr">
        <is>
          <t>Sr. VP &amp; CFO | Advisor to the Board | CDO</t>
        </is>
      </c>
      <c r="Y778" t="inlineStr">
        <is>
          <t>todo</t>
        </is>
      </c>
      <c r="Z778">
        <f>(M778*Weights!$B$2) + (MIN(Q778,Weights!$B$5)*Weights!$B$3*(W778/100)*Weights!$B$4)</f>
        <v/>
      </c>
      <c r="AA778">
        <f>IF(Z778= ,,RANK.EQ({pri_col_letter}{r},{pri_range},0))</f>
        <v/>
      </c>
    </row>
    <row r="779">
      <c r="A779" t="inlineStr">
        <is>
          <t>WARP</t>
        </is>
      </c>
      <c r="B779" t="n">
        <v>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3</v>
      </c>
      <c r="N779" t="inlineStr">
        <is>
          <t>Tier 4</t>
        </is>
      </c>
      <c r="O779" t="inlineStr">
        <is>
          <t>Daniel Sokolovsky — CEO; Lior Adorian — Head Of Business Opertions; Garrett Johnson — Director of Strategic Solutions</t>
        </is>
      </c>
      <c r="P779" t="inlineStr">
        <is>
          <t>CEO | Head Of Business Opertions | Director of Strategic Solutions</t>
        </is>
      </c>
      <c r="Y779" t="inlineStr">
        <is>
          <t>todo</t>
        </is>
      </c>
      <c r="Z779">
        <f>(M779*Weights!$B$2) + (MIN(Q779,Weights!$B$5)*Weights!$B$3*(W779/100)*Weights!$B$4)</f>
        <v/>
      </c>
      <c r="AA779">
        <f>IF(Z779= ,,RANK.EQ({pri_col_letter}{r},{pri_range},0))</f>
        <v/>
      </c>
    </row>
    <row r="780">
      <c r="A780" t="inlineStr">
        <is>
          <t>Werner Enterprises</t>
        </is>
      </c>
      <c r="B780" t="n">
        <v>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3</v>
      </c>
      <c r="N780" t="inlineStr">
        <is>
          <t>Tier 4</t>
        </is>
      </c>
      <c r="O780" t="inlineStr">
        <is>
          <t>Jordan Strawn — SVP - Brokerage &amp; Powerlink; Daragh Mahon — EVP &amp; CIO; Ronnie Thomas — Vice President, Technology Solutions</t>
        </is>
      </c>
      <c r="P780" t="inlineStr">
        <is>
          <t>SVP - Brokerage &amp; Powerlink | EVP &amp; CIO | Vice President, Technology Solutions</t>
        </is>
      </c>
      <c r="Y780" t="inlineStr">
        <is>
          <t>todo</t>
        </is>
      </c>
      <c r="Z780">
        <f>(M780*Weights!$B$2) + (MIN(Q780,Weights!$B$5)*Weights!$B$3*(W780/100)*Weights!$B$4)</f>
        <v/>
      </c>
      <c r="AA780">
        <f>IF(Z780= ,,RANK.EQ({pri_col_letter}{r},{pri_range},0))</f>
        <v/>
      </c>
    </row>
    <row r="781">
      <c r="A781" t="inlineStr">
        <is>
          <t>Allied Group</t>
        </is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</v>
      </c>
      <c r="N781" t="inlineStr">
        <is>
          <t>Tier 4</t>
        </is>
      </c>
      <c r="O781" t="inlineStr">
        <is>
          <t>Chad Robinson — VP Procurement</t>
        </is>
      </c>
      <c r="P781" t="inlineStr">
        <is>
          <t>VP Procurement</t>
        </is>
      </c>
      <c r="Y781" t="inlineStr">
        <is>
          <t>todo</t>
        </is>
      </c>
      <c r="Z781">
        <f>(M781*Weights!$B$2) + (MIN(Q781,Weights!$B$5)*Weights!$B$3*(W781/100)*Weights!$B$4)</f>
        <v/>
      </c>
      <c r="AA781">
        <f>IF(Z781= ,,RANK.EQ({pri_col_letter}{r},{pri_range},0))</f>
        <v/>
      </c>
    </row>
    <row r="782">
      <c r="A782" t="inlineStr">
        <is>
          <t>Alligiant</t>
        </is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3</v>
      </c>
      <c r="N782" t="inlineStr">
        <is>
          <t>Tier 4</t>
        </is>
      </c>
      <c r="O782" t="inlineStr">
        <is>
          <t>Amanda Federer — Fuel Procurement</t>
        </is>
      </c>
      <c r="P782" t="inlineStr">
        <is>
          <t>Fuel Procurement</t>
        </is>
      </c>
      <c r="Y782" t="inlineStr">
        <is>
          <t>todo</t>
        </is>
      </c>
      <c r="Z782">
        <f>(M782*Weights!$B$2) + (MIN(Q782,Weights!$B$5)*Weights!$B$3*(W782/100)*Weights!$B$4)</f>
        <v/>
      </c>
      <c r="AA782">
        <f>IF(Z782= ,,RANK.EQ({pri_col_letter}{r},{pri_range},0))</f>
        <v/>
      </c>
    </row>
    <row r="783">
      <c r="A783" t="inlineStr">
        <is>
          <t>Alo Yoga &amp; Bella+Canvas</t>
        </is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3</v>
      </c>
      <c r="N783" t="inlineStr">
        <is>
          <t>Tier 4</t>
        </is>
      </c>
      <c r="O783" t="inlineStr">
        <is>
          <t>David Padula — Director of Procurement</t>
        </is>
      </c>
      <c r="P783" t="inlineStr">
        <is>
          <t>Director of Procurement</t>
        </is>
      </c>
      <c r="Y783" t="inlineStr">
        <is>
          <t>todo</t>
        </is>
      </c>
      <c r="Z783">
        <f>(M783*Weights!$B$2) + (MIN(Q783,Weights!$B$5)*Weights!$B$3*(W783/100)*Weights!$B$4)</f>
        <v/>
      </c>
      <c r="AA783">
        <f>IF(Z783= ,,RANK.EQ({pri_col_letter}{r},{pri_range},0))</f>
        <v/>
      </c>
    </row>
    <row r="784">
      <c r="A784" t="inlineStr">
        <is>
          <t>American Axle &amp; Manufacturing (AAM)</t>
        </is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3</v>
      </c>
      <c r="N784" t="inlineStr">
        <is>
          <t>Tier 4</t>
        </is>
      </c>
      <c r="O784" t="inlineStr">
        <is>
          <t>Mark S. Barrett — Group Vice President Procurement, Program Management and Driveshaft Business Unit</t>
        </is>
      </c>
      <c r="P784" t="inlineStr">
        <is>
          <t>Group Vice President Procurement, Program Management and Driveshaft Business Unit</t>
        </is>
      </c>
      <c r="Y784" t="inlineStr">
        <is>
          <t>todo</t>
        </is>
      </c>
      <c r="Z784">
        <f>(M784*Weights!$B$2) + (MIN(Q784,Weights!$B$5)*Weights!$B$3*(W784/100)*Weights!$B$4)</f>
        <v/>
      </c>
      <c r="AA784">
        <f>IF(Z784= ,,RANK.EQ({pri_col_letter}{r},{pri_range},0))</f>
        <v/>
      </c>
    </row>
    <row r="785">
      <c r="A785" t="inlineStr">
        <is>
          <t>Cargill</t>
        </is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3</v>
      </c>
      <c r="N785" t="inlineStr">
        <is>
          <t>Tier 4</t>
        </is>
      </c>
      <c r="O785" t="inlineStr">
        <is>
          <t>Bradley Krusa — Sr. Director Risk Management &amp; Sourcing</t>
        </is>
      </c>
      <c r="P785" t="inlineStr">
        <is>
          <t>Sr. Director Risk Management &amp; Sourcing</t>
        </is>
      </c>
      <c r="Y785" t="inlineStr">
        <is>
          <t>todo</t>
        </is>
      </c>
      <c r="Z785">
        <f>(M785*Weights!$B$2) + (MIN(Q785,Weights!$B$5)*Weights!$B$3*(W785/100)*Weights!$B$4)</f>
        <v/>
      </c>
      <c r="AA785">
        <f>IF(Z785= ,,RANK.EQ({pri_col_letter}{r},{pri_range},0))</f>
        <v/>
      </c>
    </row>
    <row r="786">
      <c r="A786" t="inlineStr">
        <is>
          <t>Colgate-Palmolive &amp; Hill's Pet Nutrition</t>
        </is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</v>
      </c>
      <c r="N786" t="inlineStr">
        <is>
          <t>Tier 4</t>
        </is>
      </c>
      <c r="O786" t="inlineStr">
        <is>
          <t>David Gray — Sr. Manager, Demand Services Procurement</t>
        </is>
      </c>
      <c r="P786" t="inlineStr">
        <is>
          <t>Sr. Manager, Demand Services Procurement</t>
        </is>
      </c>
      <c r="Y786" t="inlineStr">
        <is>
          <t>todo</t>
        </is>
      </c>
      <c r="Z786">
        <f>(M786*Weights!$B$2) + (MIN(Q786,Weights!$B$5)*Weights!$B$3*(W786/100)*Weights!$B$4)</f>
        <v/>
      </c>
      <c r="AA786">
        <f>IF(Z786= ,,RANK.EQ({pri_col_letter}{r},{pri_range},0))</f>
        <v/>
      </c>
    </row>
    <row r="787">
      <c r="A787" t="inlineStr">
        <is>
          <t>DURA Automotive Systems</t>
        </is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3</v>
      </c>
      <c r="N787" t="inlineStr">
        <is>
          <t>Tier 4</t>
        </is>
      </c>
      <c r="O787" t="inlineStr">
        <is>
          <t>Ron Bregin — VP Global Purchasing</t>
        </is>
      </c>
      <c r="P787" t="inlineStr">
        <is>
          <t>VP Global Purchasing</t>
        </is>
      </c>
      <c r="Y787" t="inlineStr">
        <is>
          <t>todo</t>
        </is>
      </c>
      <c r="Z787">
        <f>(M787*Weights!$B$2) + (MIN(Q787,Weights!$B$5)*Weights!$B$3*(W787/100)*Weights!$B$4)</f>
        <v/>
      </c>
      <c r="AA787">
        <f>IF(Z787= ,,RANK.EQ({pri_col_letter}{r},{pri_range},0))</f>
        <v/>
      </c>
    </row>
    <row r="788">
      <c r="A788" t="inlineStr">
        <is>
          <t>East Penn Manufacturing Co.</t>
        </is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3</v>
      </c>
      <c r="N788" t="inlineStr">
        <is>
          <t>Tier 4</t>
        </is>
      </c>
      <c r="O788" t="inlineStr">
        <is>
          <t>Ken Schadler — VP Manufacturing and Purchasing</t>
        </is>
      </c>
      <c r="P788" t="inlineStr">
        <is>
          <t>VP Manufacturing and Purchasing</t>
        </is>
      </c>
      <c r="Y788" t="inlineStr">
        <is>
          <t>todo</t>
        </is>
      </c>
      <c r="Z788">
        <f>(M788*Weights!$B$2) + (MIN(Q788,Weights!$B$5)*Weights!$B$3*(W788/100)*Weights!$B$4)</f>
        <v/>
      </c>
      <c r="AA788">
        <f>IF(Z788= ,,RANK.EQ({pri_col_letter}{r},{pri_range},0))</f>
        <v/>
      </c>
    </row>
    <row r="789">
      <c r="A789" t="inlineStr">
        <is>
          <t>Flex-N-Gate</t>
        </is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3</v>
      </c>
      <c r="N789" t="inlineStr">
        <is>
          <t>Tier 4</t>
        </is>
      </c>
      <c r="O789" t="inlineStr">
        <is>
          <t>Bill Beistline — VP Procurement</t>
        </is>
      </c>
      <c r="P789" t="inlineStr">
        <is>
          <t>VP Procurement</t>
        </is>
      </c>
      <c r="Y789" t="inlineStr">
        <is>
          <t>todo</t>
        </is>
      </c>
      <c r="Z789">
        <f>(M789*Weights!$B$2) + (MIN(Q789,Weights!$B$5)*Weights!$B$3*(W789/100)*Weights!$B$4)</f>
        <v/>
      </c>
      <c r="AA789">
        <f>IF(Z789= ,,RANK.EQ({pri_col_letter}{r},{pri_range},0))</f>
        <v/>
      </c>
    </row>
    <row r="790">
      <c r="A790" t="inlineStr">
        <is>
          <t>Gap inc</t>
        </is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3</v>
      </c>
      <c r="N790" t="inlineStr">
        <is>
          <t>Tier 4</t>
        </is>
      </c>
      <c r="O790" t="inlineStr">
        <is>
          <t>Antione Bennett — Head of Procurement</t>
        </is>
      </c>
      <c r="P790" t="inlineStr">
        <is>
          <t>Head of Procurement</t>
        </is>
      </c>
      <c r="Y790" t="inlineStr">
        <is>
          <t>todo</t>
        </is>
      </c>
      <c r="Z790">
        <f>(M790*Weights!$B$2) + (MIN(Q790,Weights!$B$5)*Weights!$B$3*(W790/100)*Weights!$B$4)</f>
        <v/>
      </c>
      <c r="AA790">
        <f>IF(Z790= ,,RANK.EQ({pri_col_letter}{r},{pri_range},0))</f>
        <v/>
      </c>
    </row>
    <row r="791">
      <c r="A791" t="inlineStr">
        <is>
          <t>HP Hood</t>
        </is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3</v>
      </c>
      <c r="N791" t="inlineStr">
        <is>
          <t>Tier 4</t>
        </is>
      </c>
      <c r="O791" t="inlineStr">
        <is>
          <t>Dennis Forest — Sr Manager of Strategic Sourcing</t>
        </is>
      </c>
      <c r="P791" t="inlineStr">
        <is>
          <t>Sr Manager of Strategic Sourcing</t>
        </is>
      </c>
      <c r="Y791" t="inlineStr">
        <is>
          <t>todo</t>
        </is>
      </c>
      <c r="Z791">
        <f>(M791*Weights!$B$2) + (MIN(Q791,Weights!$B$5)*Weights!$B$3*(W791/100)*Weights!$B$4)</f>
        <v/>
      </c>
      <c r="AA791">
        <f>IF(Z791= ,,RANK.EQ({pri_col_letter}{r},{pri_range},0))</f>
        <v/>
      </c>
    </row>
    <row r="792">
      <c r="A792" t="inlineStr">
        <is>
          <t>Harman International</t>
        </is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3</v>
      </c>
      <c r="N792" t="inlineStr">
        <is>
          <t>Tier 4</t>
        </is>
      </c>
      <c r="O792" t="inlineStr">
        <is>
          <t>Elena Rasmussen — VP Purchasing</t>
        </is>
      </c>
      <c r="P792" t="inlineStr">
        <is>
          <t>VP Purchasing</t>
        </is>
      </c>
      <c r="Y792" t="inlineStr">
        <is>
          <t>todo</t>
        </is>
      </c>
      <c r="Z792">
        <f>(M792*Weights!$B$2) + (MIN(Q792,Weights!$B$5)*Weights!$B$3*(W792/100)*Weights!$B$4)</f>
        <v/>
      </c>
      <c r="AA792">
        <f>IF(Z792= ,,RANK.EQ({pri_col_letter}{r},{pri_range},0))</f>
        <v/>
      </c>
    </row>
    <row r="793">
      <c r="A793" t="inlineStr">
        <is>
          <t>Henniges Automotive</t>
        </is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3</v>
      </c>
      <c r="N793" t="inlineStr">
        <is>
          <t>Tier 4</t>
        </is>
      </c>
      <c r="O793" t="inlineStr">
        <is>
          <t>Michael Ostrander — Global Vice President Purchasing</t>
        </is>
      </c>
      <c r="P793" t="inlineStr">
        <is>
          <t>Global Vice President Purchasing</t>
        </is>
      </c>
      <c r="Y793" t="inlineStr">
        <is>
          <t>todo</t>
        </is>
      </c>
      <c r="Z793">
        <f>(M793*Weights!$B$2) + (MIN(Q793,Weights!$B$5)*Weights!$B$3*(W793/100)*Weights!$B$4)</f>
        <v/>
      </c>
      <c r="AA793">
        <f>IF(Z793= ,,RANK.EQ({pri_col_letter}{r},{pri_range},0))</f>
        <v/>
      </c>
    </row>
    <row r="794">
      <c r="A794" t="inlineStr">
        <is>
          <t>IAC Group</t>
        </is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3</v>
      </c>
      <c r="N794" t="inlineStr">
        <is>
          <t>Tier 4</t>
        </is>
      </c>
      <c r="O794" t="inlineStr">
        <is>
          <t>Larry Vano — Chief Procurement Officer</t>
        </is>
      </c>
      <c r="P794" t="inlineStr">
        <is>
          <t>Chief Procurement Officer</t>
        </is>
      </c>
      <c r="Y794" t="inlineStr">
        <is>
          <t>todo</t>
        </is>
      </c>
      <c r="Z794">
        <f>(M794*Weights!$B$2) + (MIN(Q794,Weights!$B$5)*Weights!$B$3*(W794/100)*Weights!$B$4)</f>
        <v/>
      </c>
      <c r="AA794">
        <f>IF(Z794= ,,RANK.EQ({pri_col_letter}{r},{pri_range},0))</f>
        <v/>
      </c>
    </row>
    <row r="795">
      <c r="A795" t="inlineStr">
        <is>
          <t>JTEKT North America Corporation</t>
        </is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3</v>
      </c>
      <c r="N795" t="inlineStr">
        <is>
          <t>Tier 4</t>
        </is>
      </c>
      <c r="O795" t="inlineStr">
        <is>
          <t>Paul Dygert — Executive Director Of Purchasing</t>
        </is>
      </c>
      <c r="P795" t="inlineStr">
        <is>
          <t>Executive Director Of Purchasing</t>
        </is>
      </c>
      <c r="Y795" t="inlineStr">
        <is>
          <t>todo</t>
        </is>
      </c>
      <c r="Z795">
        <f>(M795*Weights!$B$2) + (MIN(Q795,Weights!$B$5)*Weights!$B$3*(W795/100)*Weights!$B$4)</f>
        <v/>
      </c>
      <c r="AA795">
        <f>IF(Z795= ,,RANK.EQ({pri_col_letter}{r},{pri_range},0))</f>
        <v/>
      </c>
    </row>
    <row r="796">
      <c r="A796" t="inlineStr">
        <is>
          <t>Joyson Safety Systems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inlineStr">
        <is>
          <t>Tier 4</t>
        </is>
      </c>
      <c r="O796" t="inlineStr">
        <is>
          <t>Velat Özkilinc — Chief Purchasing Officer</t>
        </is>
      </c>
      <c r="P796" t="inlineStr">
        <is>
          <t>Chief Purchasing Officer</t>
        </is>
      </c>
      <c r="Y796" t="inlineStr">
        <is>
          <t>todo</t>
        </is>
      </c>
      <c r="Z796">
        <f>(M796*Weights!$B$2) + (MIN(Q796,Weights!$B$5)*Weights!$B$3*(W796/100)*Weights!$B$4)</f>
        <v/>
      </c>
      <c r="AA796">
        <f>IF(Z796= ,,RANK.EQ({pri_col_letter}{r},{pri_range},0))</f>
        <v/>
      </c>
    </row>
    <row r="797">
      <c r="A797" t="inlineStr">
        <is>
          <t>Mahavir Shree International Pvt. Ltd.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3</v>
      </c>
      <c r="N797" t="inlineStr">
        <is>
          <t>Tier 4</t>
        </is>
      </c>
      <c r="O797" t="inlineStr">
        <is>
          <t>Ujjwal Basnet — Procurement Officer</t>
        </is>
      </c>
      <c r="P797" t="inlineStr">
        <is>
          <t>Procurement Officer</t>
        </is>
      </c>
      <c r="Y797" t="inlineStr">
        <is>
          <t>todo</t>
        </is>
      </c>
      <c r="Z797">
        <f>(M797*Weights!$B$2) + (MIN(Q797,Weights!$B$5)*Weights!$B$3*(W797/100)*Weights!$B$4)</f>
        <v/>
      </c>
      <c r="AA797">
        <f>IF(Z797= ,,RANK.EQ({pri_col_letter}{r},{pri_range},0))</f>
        <v/>
      </c>
    </row>
    <row r="798">
      <c r="A798" t="inlineStr">
        <is>
          <t>MediaNews Group</t>
        </is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3</v>
      </c>
      <c r="N798" t="inlineStr">
        <is>
          <t>Tier 4</t>
        </is>
      </c>
      <c r="O798" t="inlineStr">
        <is>
          <t>Jeffrey Ball — Chief Procurement Officer</t>
        </is>
      </c>
      <c r="P798" t="inlineStr">
        <is>
          <t>Chief Procurement Officer</t>
        </is>
      </c>
      <c r="Y798" t="inlineStr">
        <is>
          <t>todo</t>
        </is>
      </c>
      <c r="Z798">
        <f>(M798*Weights!$B$2) + (MIN(Q798,Weights!$B$5)*Weights!$B$3*(W798/100)*Weights!$B$4)</f>
        <v/>
      </c>
      <c r="AA798">
        <f>IF(Z798= ,,RANK.EQ({pri_col_letter}{r},{pri_range},0))</f>
        <v/>
      </c>
    </row>
    <row r="799">
      <c r="A799" t="inlineStr">
        <is>
          <t>Niagra Bottling</t>
        </is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3</v>
      </c>
      <c r="N799" t="inlineStr">
        <is>
          <t>Tier 4</t>
        </is>
      </c>
      <c r="O799" t="inlineStr">
        <is>
          <t>Paul Estrada — Director of Procurement</t>
        </is>
      </c>
      <c r="P799" t="inlineStr">
        <is>
          <t>Director of Procurement</t>
        </is>
      </c>
      <c r="Y799" t="inlineStr">
        <is>
          <t>todo</t>
        </is>
      </c>
      <c r="Z799">
        <f>(M799*Weights!$B$2) + (MIN(Q799,Weights!$B$5)*Weights!$B$3*(W799/100)*Weights!$B$4)</f>
        <v/>
      </c>
      <c r="AA799">
        <f>IF(Z799= ,,RANK.EQ({pri_col_letter}{r},{pri_range},0))</f>
        <v/>
      </c>
    </row>
    <row r="800">
      <c r="A800" t="inlineStr">
        <is>
          <t>Northern Lights Technology Development</t>
        </is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3</v>
      </c>
      <c r="N800" t="inlineStr">
        <is>
          <t>Tier 4</t>
        </is>
      </c>
      <c r="O800" t="inlineStr">
        <is>
          <t>Steph Sharp — Dir of Strategic Sales, Supply Chain &amp; Mfg</t>
        </is>
      </c>
      <c r="P800" t="inlineStr">
        <is>
          <t>Dir of Strategic Sales, Supply Chain &amp; Mfg</t>
        </is>
      </c>
      <c r="Y800" t="inlineStr">
        <is>
          <t>todo</t>
        </is>
      </c>
      <c r="Z800">
        <f>(M800*Weights!$B$2) + (MIN(Q800,Weights!$B$5)*Weights!$B$3*(W800/100)*Weights!$B$4)</f>
        <v/>
      </c>
      <c r="AA800">
        <f>IF(Z800= ,,RANK.EQ({pri_col_letter}{r},{pri_range},0))</f>
        <v/>
      </c>
    </row>
    <row r="801">
      <c r="A801" t="inlineStr">
        <is>
          <t>Novelis</t>
        </is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3</v>
      </c>
      <c r="N801" t="inlineStr">
        <is>
          <t>Tier 4</t>
        </is>
      </c>
      <c r="O801" t="inlineStr">
        <is>
          <t>Steve Fehling — VP Procurement</t>
        </is>
      </c>
      <c r="P801" t="inlineStr">
        <is>
          <t>VP Procurement</t>
        </is>
      </c>
      <c r="Y801" t="inlineStr">
        <is>
          <t>todo</t>
        </is>
      </c>
      <c r="Z801">
        <f>(M801*Weights!$B$2) + (MIN(Q801,Weights!$B$5)*Weights!$B$3*(W801/100)*Weights!$B$4)</f>
        <v/>
      </c>
      <c r="AA801">
        <f>IF(Z801= ,,RANK.EQ({pri_col_letter}{r},{pri_range},0))</f>
        <v/>
      </c>
    </row>
    <row r="802">
      <c r="A802" t="inlineStr">
        <is>
          <t>NuSource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</v>
      </c>
      <c r="N802" t="inlineStr">
        <is>
          <t>Tier 4</t>
        </is>
      </c>
      <c r="O802" t="inlineStr">
        <is>
          <t>Angela Blain — Director, Sourcing Solutions</t>
        </is>
      </c>
      <c r="P802" t="inlineStr">
        <is>
          <t>Director, Sourcing Solutions</t>
        </is>
      </c>
      <c r="Y802" t="inlineStr">
        <is>
          <t>todo</t>
        </is>
      </c>
      <c r="Z802">
        <f>(M802*Weights!$B$2) + (MIN(Q802,Weights!$B$5)*Weights!$B$3*(W802/100)*Weights!$B$4)</f>
        <v/>
      </c>
      <c r="AA802">
        <f>IF(Z802= ,,RANK.EQ({pri_col_letter}{r},{pri_range},0))</f>
        <v/>
      </c>
    </row>
    <row r="803">
      <c r="A803" t="inlineStr">
        <is>
          <t>Pfizer</t>
        </is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3</v>
      </c>
      <c r="N803" t="inlineStr">
        <is>
          <t>Tier 4</t>
        </is>
      </c>
      <c r="O803" t="inlineStr">
        <is>
          <t>Sirsij Peshin — Chief Procurement Officer, Global Lead - Source to Pay</t>
        </is>
      </c>
      <c r="P803" t="inlineStr">
        <is>
          <t>Chief Procurement Officer, Global Lead - Source to Pay</t>
        </is>
      </c>
      <c r="Y803" t="inlineStr">
        <is>
          <t>todo</t>
        </is>
      </c>
      <c r="Z803">
        <f>(M803*Weights!$B$2) + (MIN(Q803,Weights!$B$5)*Weights!$B$3*(W803/100)*Weights!$B$4)</f>
        <v/>
      </c>
      <c r="AA803">
        <f>IF(Z803= ,,RANK.EQ({pri_col_letter}{r},{pri_range},0))</f>
        <v/>
      </c>
    </row>
    <row r="804">
      <c r="A804" t="inlineStr">
        <is>
          <t>R+L Global Logistics/Paramount Transportation</t>
        </is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3</v>
      </c>
      <c r="N804" t="inlineStr">
        <is>
          <t>Tier 4</t>
        </is>
      </c>
      <c r="O804" t="inlineStr">
        <is>
          <t>Traci Nash — Corporate Sales/Managed Transportation</t>
        </is>
      </c>
      <c r="P804" t="inlineStr">
        <is>
          <t>Corporate Sales/Managed Transportation</t>
        </is>
      </c>
      <c r="Y804" t="inlineStr">
        <is>
          <t>todo</t>
        </is>
      </c>
      <c r="Z804">
        <f>(M804*Weights!$B$2) + (MIN(Q804,Weights!$B$5)*Weights!$B$3*(W804/100)*Weights!$B$4)</f>
        <v/>
      </c>
      <c r="AA804">
        <f>IF(Z804= ,,RANK.EQ({pri_col_letter}{r},{pri_range},0))</f>
        <v/>
      </c>
    </row>
    <row r="805">
      <c r="A805" t="inlineStr">
        <is>
          <t>Robertson Trucks LLC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3</v>
      </c>
      <c r="N805" t="inlineStr">
        <is>
          <t>Tier 4</t>
        </is>
      </c>
      <c r="O805" t="inlineStr">
        <is>
          <t>Shah Salomov — Director of Strategic Partnerships and Procurement</t>
        </is>
      </c>
      <c r="P805" t="inlineStr">
        <is>
          <t>Director of Strategic Partnerships and Procurement</t>
        </is>
      </c>
      <c r="Y805" t="inlineStr">
        <is>
          <t>todo</t>
        </is>
      </c>
      <c r="Z805">
        <f>(M805*Weights!$B$2) + (MIN(Q805,Weights!$B$5)*Weights!$B$3*(W805/100)*Weights!$B$4)</f>
        <v/>
      </c>
      <c r="AA805">
        <f>IF(Z805= ,,RANK.EQ({pri_col_letter}{r},{pri_range},0))</f>
        <v/>
      </c>
    </row>
    <row r="806">
      <c r="A806" t="inlineStr">
        <is>
          <t>SAGE Automotive Interiors</t>
        </is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3</v>
      </c>
      <c r="N806" t="inlineStr">
        <is>
          <t>Tier 4</t>
        </is>
      </c>
      <c r="O806" t="inlineStr">
        <is>
          <t>Sidney Locke — Global Vice President - HR, Purchasing and Communication</t>
        </is>
      </c>
      <c r="P806" t="inlineStr">
        <is>
          <t>Global Vice President - HR, Purchasing and Communication</t>
        </is>
      </c>
      <c r="Y806" t="inlineStr">
        <is>
          <t>todo</t>
        </is>
      </c>
      <c r="Z806">
        <f>(M806*Weights!$B$2) + (MIN(Q806,Weights!$B$5)*Weights!$B$3*(W806/100)*Weights!$B$4)</f>
        <v/>
      </c>
      <c r="AA806">
        <f>IF(Z806= ,,RANK.EQ({pri_col_letter}{r},{pri_range},0))</f>
        <v/>
      </c>
    </row>
    <row r="807">
      <c r="A807" t="inlineStr">
        <is>
          <t>Shape Corp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3</v>
      </c>
      <c r="N807" t="inlineStr">
        <is>
          <t>Tier 4</t>
        </is>
      </c>
      <c r="O807" t="inlineStr">
        <is>
          <t>Christine Dochod — North America Director of Purchasing</t>
        </is>
      </c>
      <c r="P807" t="inlineStr">
        <is>
          <t>North America Director of Purchasing</t>
        </is>
      </c>
      <c r="Y807" t="inlineStr">
        <is>
          <t>todo</t>
        </is>
      </c>
      <c r="Z807">
        <f>(M807*Weights!$B$2) + (MIN(Q807,Weights!$B$5)*Weights!$B$3*(W807/100)*Weights!$B$4)</f>
        <v/>
      </c>
      <c r="AA807">
        <f>IF(Z807= ,,RANK.EQ({pri_col_letter}{r},{pri_range},0))</f>
        <v/>
      </c>
    </row>
    <row r="808">
      <c r="A808" t="inlineStr">
        <is>
          <t>States Logistics Services</t>
        </is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3</v>
      </c>
      <c r="N808" t="inlineStr">
        <is>
          <t>Tier 4</t>
        </is>
      </c>
      <c r="O808" t="inlineStr">
        <is>
          <t>Jesse Sevilla — Director of Sales and Operations</t>
        </is>
      </c>
      <c r="P808" t="inlineStr">
        <is>
          <t>Director of Sales and Operations</t>
        </is>
      </c>
      <c r="Y808" t="inlineStr">
        <is>
          <t>todo</t>
        </is>
      </c>
      <c r="Z808">
        <f>(M808*Weights!$B$2) + (MIN(Q808,Weights!$B$5)*Weights!$B$3*(W808/100)*Weights!$B$4)</f>
        <v/>
      </c>
      <c r="AA808">
        <f>IF(Z808= ,,RANK.EQ({pri_col_letter}{r},{pri_range},0))</f>
        <v/>
      </c>
    </row>
    <row r="809">
      <c r="A809" t="inlineStr">
        <is>
          <t>TGW Systems, Inc.</t>
        </is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3</v>
      </c>
      <c r="N809" t="inlineStr">
        <is>
          <t>Tier 4</t>
        </is>
      </c>
      <c r="O809" t="inlineStr">
        <is>
          <t>Dex Weber — Business Development Manager - Warehouse Automation Integration</t>
        </is>
      </c>
      <c r="P809" t="inlineStr">
        <is>
          <t>Business Development Manager - Warehouse Automation Integration</t>
        </is>
      </c>
      <c r="Y809" t="inlineStr">
        <is>
          <t>todo</t>
        </is>
      </c>
      <c r="Z809">
        <f>(M809*Weights!$B$2) + (MIN(Q809,Weights!$B$5)*Weights!$B$3*(W809/100)*Weights!$B$4)</f>
        <v/>
      </c>
      <c r="AA809">
        <f>IF(Z809= ,,RANK.EQ({pri_col_letter}{r},{pri_range},0))</f>
        <v/>
      </c>
    </row>
    <row r="810">
      <c r="A810" t="inlineStr">
        <is>
          <t>Tenneco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3</v>
      </c>
      <c r="N810" t="inlineStr">
        <is>
          <t>Tier 4</t>
        </is>
      </c>
      <c r="O810" t="inlineStr">
        <is>
          <t>Paul Nelson — Global Executive in Real Estate, Facilities and Indirect Procurement</t>
        </is>
      </c>
      <c r="P810" t="inlineStr">
        <is>
          <t>Global Executive in Real Estate, Facilities and Indirect Procurement</t>
        </is>
      </c>
      <c r="Y810" t="inlineStr">
        <is>
          <t>todo</t>
        </is>
      </c>
      <c r="Z810">
        <f>(M810*Weights!$B$2) + (MIN(Q810,Weights!$B$5)*Weights!$B$3*(W810/100)*Weights!$B$4)</f>
        <v/>
      </c>
      <c r="AA810">
        <f>IF(Z810= ,,RANK.EQ({pri_col_letter}{r},{pri_range},0))</f>
        <v/>
      </c>
    </row>
    <row r="811">
      <c r="A811" t="inlineStr">
        <is>
          <t>The Goodyear Tire &amp; Rubber Company</t>
        </is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3</v>
      </c>
      <c r="N811" t="inlineStr">
        <is>
          <t>Tier 4</t>
        </is>
      </c>
      <c r="O811" t="inlineStr">
        <is>
          <t>Shawn Pace — Chief Procurement Officer</t>
        </is>
      </c>
      <c r="P811" t="inlineStr">
        <is>
          <t>Chief Procurement Officer</t>
        </is>
      </c>
      <c r="Y811" t="inlineStr">
        <is>
          <t>todo</t>
        </is>
      </c>
      <c r="Z811">
        <f>(M811*Weights!$B$2) + (MIN(Q811,Weights!$B$5)*Weights!$B$3*(W811/100)*Weights!$B$4)</f>
        <v/>
      </c>
      <c r="AA811">
        <f>IF(Z811= ,,RANK.EQ({pri_col_letter}{r},{pri_range},0))</f>
        <v/>
      </c>
    </row>
    <row r="812">
      <c r="A812" t="inlineStr">
        <is>
          <t>Vitro Automotive Glass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3</v>
      </c>
      <c r="N812" t="inlineStr">
        <is>
          <t>Tier 4</t>
        </is>
      </c>
      <c r="O812" t="inlineStr">
        <is>
          <t>Adrian Meouchi — VP Corporate Procurement</t>
        </is>
      </c>
      <c r="P812" t="inlineStr">
        <is>
          <t>VP Corporate Procurement</t>
        </is>
      </c>
      <c r="Y812" t="inlineStr">
        <is>
          <t>todo</t>
        </is>
      </c>
      <c r="Z812">
        <f>(M812*Weights!$B$2) + (MIN(Q812,Weights!$B$5)*Weights!$B$3*(W812/100)*Weights!$B$4)</f>
        <v/>
      </c>
      <c r="AA812">
        <f>IF(Z812= ,,RANK.EQ({pri_col_letter}{r},{pri_range},0))</f>
        <v/>
      </c>
    </row>
    <row r="813">
      <c r="A813" t="inlineStr">
        <is>
          <t>Amplex Corporation</t>
        </is>
      </c>
      <c r="B813" t="n">
        <v>4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2</v>
      </c>
      <c r="N813" t="inlineStr">
        <is>
          <t>Tier 4</t>
        </is>
      </c>
      <c r="O813" t="inlineStr">
        <is>
          <t>Adam Jensen — CEO; Mika Jaaskelainen — COO; Daniel Castanon — Assistant Shipping Manager; Brad Thompson — Sales &amp; Marketing Director</t>
        </is>
      </c>
      <c r="P813" t="inlineStr">
        <is>
          <t>CEO | COO | Assistant Shipping Manager</t>
        </is>
      </c>
      <c r="Y813" t="inlineStr">
        <is>
          <t>todo</t>
        </is>
      </c>
      <c r="Z813">
        <f>(M813*Weights!$B$2) + (MIN(Q813,Weights!$B$5)*Weights!$B$3*(W813/100)*Weights!$B$4)</f>
        <v/>
      </c>
      <c r="AA813">
        <f>IF(Z813= ,,RANK.EQ({pri_col_letter}{r},{pri_range},0))</f>
        <v/>
      </c>
    </row>
    <row r="814">
      <c r="A814" t="inlineStr">
        <is>
          <t>Armada Talent Group</t>
        </is>
      </c>
      <c r="B814" t="n">
        <v>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2</v>
      </c>
      <c r="N814" t="inlineStr">
        <is>
          <t>Tier 4</t>
        </is>
      </c>
      <c r="O814" t="inlineStr">
        <is>
          <t>Alio Gasbarro — CFO; Blake Collins — Co-Founder; John Lincoln II — Co-Founder; Marino Gasbarro — Business Development Manager</t>
        </is>
      </c>
      <c r="P814" t="inlineStr">
        <is>
          <t>CFO | Co-Founder | Business Development Manager</t>
        </is>
      </c>
      <c r="Y814" t="inlineStr">
        <is>
          <t>todo</t>
        </is>
      </c>
      <c r="Z814">
        <f>(M814*Weights!$B$2) + (MIN(Q814,Weights!$B$5)*Weights!$B$3*(W814/100)*Weights!$B$4)</f>
        <v/>
      </c>
      <c r="AA814">
        <f>IF(Z814= ,,RANK.EQ({pri_col_letter}{r},{pri_range},0))</f>
        <v/>
      </c>
    </row>
    <row r="815">
      <c r="A815" t="inlineStr">
        <is>
          <t>Expedite All</t>
        </is>
      </c>
      <c r="B815" t="n">
        <v>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2</v>
      </c>
      <c r="N815" t="inlineStr">
        <is>
          <t>Tier 4</t>
        </is>
      </c>
      <c r="O815" t="inlineStr">
        <is>
          <t>Kristin Ruder — VP of Strategic Partnerships; Dan Koume — Manager of Strategic Partnerships; Jake Elliott — Manager of Strategic Partnerships; Ted McClain — Senior Vice President Sales</t>
        </is>
      </c>
      <c r="P815" t="inlineStr">
        <is>
          <t>VP of Strategic Partnerships | Senior Vice President Sales | Manager of Strategic Partnerships</t>
        </is>
      </c>
      <c r="Y815" t="inlineStr">
        <is>
          <t>todo</t>
        </is>
      </c>
      <c r="Z815">
        <f>(M815*Weights!$B$2) + (MIN(Q815,Weights!$B$5)*Weights!$B$3*(W815/100)*Weights!$B$4)</f>
        <v/>
      </c>
      <c r="AA815">
        <f>IF(Z815= ,,RANK.EQ({pri_col_letter}{r},{pri_range},0))</f>
        <v/>
      </c>
    </row>
    <row r="816">
      <c r="A816" t="inlineStr">
        <is>
          <t>Hexight</t>
        </is>
      </c>
      <c r="B816" t="n">
        <v>4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2</v>
      </c>
      <c r="N816" t="inlineStr">
        <is>
          <t>Tier 4</t>
        </is>
      </c>
      <c r="O816" t="inlineStr">
        <is>
          <t>Oren Hecht — VP Technology; Tamar Eeiser — CEO &amp; Co-Founder; Netanel Touson — vp solution; Jameson Wachtell — Head of US Sales</t>
        </is>
      </c>
      <c r="P816" t="inlineStr">
        <is>
          <t>vp solution | VP Technology | CEO &amp; Co-Founder</t>
        </is>
      </c>
      <c r="Y816" t="inlineStr">
        <is>
          <t>todo</t>
        </is>
      </c>
      <c r="Z816">
        <f>(M816*Weights!$B$2) + (MIN(Q816,Weights!$B$5)*Weights!$B$3*(W816/100)*Weights!$B$4)</f>
        <v/>
      </c>
      <c r="AA816">
        <f>IF(Z816= ,,RANK.EQ({pri_col_letter}{r},{pri_range},0))</f>
        <v/>
      </c>
    </row>
    <row r="817">
      <c r="A817" t="inlineStr">
        <is>
          <t>NXTPoint Logistics</t>
        </is>
      </c>
      <c r="B817" t="n">
        <v>4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2</v>
      </c>
      <c r="N817" t="inlineStr">
        <is>
          <t>Tier 4</t>
        </is>
      </c>
      <c r="O817" t="inlineStr">
        <is>
          <t>Andrew Lockwood — Vice President, Client Development; Michelle Bailey — COO, Home Delivery; Mark Frazier — Chief Commercial Officer; Mary Anne Hensley — Senior Manager, Marketing Content &amp; Campaigns</t>
        </is>
      </c>
      <c r="P817" t="inlineStr">
        <is>
          <t>Vice President, Client Development | COO, Home Delivery | Chief Commercial Officer</t>
        </is>
      </c>
      <c r="Y817" t="inlineStr">
        <is>
          <t>todo</t>
        </is>
      </c>
      <c r="Z817">
        <f>(M817*Weights!$B$2) + (MIN(Q817,Weights!$B$5)*Weights!$B$3*(W817/100)*Weights!$B$4)</f>
        <v/>
      </c>
      <c r="AA817">
        <f>IF(Z817= ,,RANK.EQ({pri_col_letter}{r},{pri_range},0))</f>
        <v/>
      </c>
    </row>
    <row r="818">
      <c r="A818" t="inlineStr">
        <is>
          <t>OneTrack</t>
        </is>
      </c>
      <c r="B818" t="n">
        <v>4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2</v>
      </c>
      <c r="N818" t="inlineStr">
        <is>
          <t>Tier 4</t>
        </is>
      </c>
      <c r="O818" t="inlineStr">
        <is>
          <t>Marc Gyöngyösi — CEO &amp; Founder; Nick Palczynski — Director of Strategic Partnerships; Steven Melvin — Director, Client Management; Wesley Smart — Senior Account Executive</t>
        </is>
      </c>
      <c r="P818" t="inlineStr">
        <is>
          <t>CEO &amp; Founder | Director of Strategic Partnerships | Director, Client Management</t>
        </is>
      </c>
      <c r="Y818" t="inlineStr">
        <is>
          <t>todo</t>
        </is>
      </c>
      <c r="Z818">
        <f>(M818*Weights!$B$2) + (MIN(Q818,Weights!$B$5)*Weights!$B$3*(W818/100)*Weights!$B$4)</f>
        <v/>
      </c>
      <c r="AA818">
        <f>IF(Z818= ,,RANK.EQ({pri_col_letter}{r},{pri_range},0))</f>
        <v/>
      </c>
    </row>
    <row r="819">
      <c r="A819" t="inlineStr">
        <is>
          <t>Samsung SDS</t>
        </is>
      </c>
      <c r="B819" t="n">
        <v>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2</v>
      </c>
      <c r="N819" t="inlineStr">
        <is>
          <t>Tier 4</t>
        </is>
      </c>
      <c r="O819" t="inlineStr">
        <is>
          <t>Joe McCaul — VP and General Manager of SRM Solutions; TK Lee — Senior Consultant; Jung Choi — Senior Project Manager; Ian Silver — Global Head of Alliances &amp; Partner Delivery</t>
        </is>
      </c>
      <c r="P819" t="inlineStr">
        <is>
          <t>VP and General Manager of SRM Solutions | Global Head of Alliances &amp; Partner Delivery | Senior Consultant</t>
        </is>
      </c>
      <c r="Y819" t="inlineStr">
        <is>
          <t>todo</t>
        </is>
      </c>
      <c r="Z819">
        <f>(M819*Weights!$B$2) + (MIN(Q819,Weights!$B$5)*Weights!$B$3*(W819/100)*Weights!$B$4)</f>
        <v/>
      </c>
      <c r="AA819">
        <f>IF(Z819= ,,RANK.EQ({pri_col_letter}{r},{pri_range},0))</f>
        <v/>
      </c>
    </row>
    <row r="820">
      <c r="A820" t="inlineStr">
        <is>
          <t>ShipBob</t>
        </is>
      </c>
      <c r="B820" t="n">
        <v>4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2</v>
      </c>
      <c r="N820" t="inlineStr">
        <is>
          <t>Tier 4</t>
        </is>
      </c>
      <c r="O820" t="inlineStr">
        <is>
          <t>Divey Gulati — COO &amp; Co- Founder; Eshaan Bhatnagar — Director, Powered By; Joel Bebermeyer — Manager, Client Acquisition; Gibson O'Neill — Sr Account Executive</t>
        </is>
      </c>
      <c r="P820" t="inlineStr">
        <is>
          <t>COO &amp; Co- Founder | Director, Powered By | Manager, Client Acquisition</t>
        </is>
      </c>
      <c r="Y820" t="inlineStr">
        <is>
          <t>todo</t>
        </is>
      </c>
      <c r="Z820">
        <f>(M820*Weights!$B$2) + (MIN(Q820,Weights!$B$5)*Weights!$B$3*(W820/100)*Weights!$B$4)</f>
        <v/>
      </c>
      <c r="AA820">
        <f>IF(Z820= ,,RANK.EQ({pri_col_letter}{r},{pri_range},0))</f>
        <v/>
      </c>
    </row>
    <row r="821">
      <c r="A821" t="inlineStr">
        <is>
          <t>Shiplify, LLC</t>
        </is>
      </c>
      <c r="B821" t="n">
        <v>4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2</v>
      </c>
      <c r="N821" t="inlineStr">
        <is>
          <t>Tier 4</t>
        </is>
      </c>
      <c r="O821" t="inlineStr">
        <is>
          <t>Blanton Winship — CEO &amp; Founder; Emree Woods — CFO; North Winship — President; Tracy Glueck — Director of Marketing</t>
        </is>
      </c>
      <c r="P821" t="inlineStr">
        <is>
          <t>CEO &amp; Founder | CFO | President</t>
        </is>
      </c>
      <c r="Y821" t="inlineStr">
        <is>
          <t>todo</t>
        </is>
      </c>
      <c r="Z821">
        <f>(M821*Weights!$B$2) + (MIN(Q821,Weights!$B$5)*Weights!$B$3*(W821/100)*Weights!$B$4)</f>
        <v/>
      </c>
      <c r="AA821">
        <f>IF(Z821= ,,RANK.EQ({pri_col_letter}{r},{pri_range},0))</f>
        <v/>
      </c>
    </row>
    <row r="822">
      <c r="A822" t="inlineStr">
        <is>
          <t>38 Degrees North</t>
        </is>
      </c>
      <c r="B822" t="n">
        <v>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2</v>
      </c>
      <c r="N822" t="inlineStr">
        <is>
          <t>Tier 4</t>
        </is>
      </c>
      <c r="O822" t="inlineStr">
        <is>
          <t>Chris Bailey — Owner/Partner; Ryan Mikkelsen — Partner</t>
        </is>
      </c>
      <c r="P822" t="inlineStr">
        <is>
          <t>Owner/Partner | Partner</t>
        </is>
      </c>
      <c r="Y822" t="inlineStr">
        <is>
          <t>todo</t>
        </is>
      </c>
      <c r="Z822">
        <f>(M822*Weights!$B$2) + (MIN(Q822,Weights!$B$5)*Weights!$B$3*(W822/100)*Weights!$B$4)</f>
        <v/>
      </c>
      <c r="AA822">
        <f>IF(Z822= ,,RANK.EQ({pri_col_letter}{r},{pri_range},0))</f>
        <v/>
      </c>
    </row>
    <row r="823">
      <c r="A823" t="inlineStr">
        <is>
          <t>A-Eye Vision</t>
        </is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2</v>
      </c>
      <c r="N823" t="inlineStr">
        <is>
          <t>Tier 4</t>
        </is>
      </c>
      <c r="O823" t="inlineStr">
        <is>
          <t>Bryan Kelly — Founder; Jeff Allen — Product Manager</t>
        </is>
      </c>
      <c r="P823" t="inlineStr">
        <is>
          <t>Founder | Product Manager</t>
        </is>
      </c>
      <c r="Y823" t="inlineStr">
        <is>
          <t>todo</t>
        </is>
      </c>
      <c r="Z823">
        <f>(M823*Weights!$B$2) + (MIN(Q823,Weights!$B$5)*Weights!$B$3*(W823/100)*Weights!$B$4)</f>
        <v/>
      </c>
      <c r="AA823">
        <f>IF(Z823= ,,RANK.EQ({pri_col_letter}{r},{pri_range},0))</f>
        <v/>
      </c>
    </row>
    <row r="824">
      <c r="A824" t="inlineStr">
        <is>
          <t>A3 Freight Payment</t>
        </is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inlineStr">
        <is>
          <t>Tier 4</t>
        </is>
      </c>
      <c r="O824" t="inlineStr">
        <is>
          <t>Ross Harris — CEO; Craig Cameron — CMO</t>
        </is>
      </c>
      <c r="P824" t="inlineStr">
        <is>
          <t>CEO | CMO</t>
        </is>
      </c>
      <c r="Y824" t="inlineStr">
        <is>
          <t>todo</t>
        </is>
      </c>
      <c r="Z824">
        <f>(M824*Weights!$B$2) + (MIN(Q824,Weights!$B$5)*Weights!$B$3*(W824/100)*Weights!$B$4)</f>
        <v/>
      </c>
      <c r="AA824">
        <f>IF(Z824= ,,RANK.EQ({pri_col_letter}{r},{pri_range},0))</f>
        <v/>
      </c>
    </row>
    <row r="825">
      <c r="A825" t="inlineStr">
        <is>
          <t>ADL Final Mile</t>
        </is>
      </c>
      <c r="B825" t="n">
        <v>2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2</v>
      </c>
      <c r="N825" t="inlineStr">
        <is>
          <t>Tier 4</t>
        </is>
      </c>
      <c r="O825" t="inlineStr">
        <is>
          <t>Bryan Bilchik — Senior Vice President of Technology; Monte OHara — CEO</t>
        </is>
      </c>
      <c r="P825" t="inlineStr">
        <is>
          <t>Senior Vice President of Technology | CEO</t>
        </is>
      </c>
      <c r="Y825" t="inlineStr">
        <is>
          <t>todo</t>
        </is>
      </c>
      <c r="Z825">
        <f>(M825*Weights!$B$2) + (MIN(Q825,Weights!$B$5)*Weights!$B$3*(W825/100)*Weights!$B$4)</f>
        <v/>
      </c>
      <c r="AA825">
        <f>IF(Z825= ,,RANK.EQ({pri_col_letter}{r},{pri_range},0))</f>
        <v/>
      </c>
    </row>
    <row r="826">
      <c r="A826" t="inlineStr">
        <is>
          <t>AIKEY Inc</t>
        </is>
      </c>
      <c r="B826" t="n">
        <v>2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inlineStr">
        <is>
          <t>Tier 4</t>
        </is>
      </c>
      <c r="O826" t="inlineStr">
        <is>
          <t>Kevin Changsoo Jeong — CEO; Luke Lee — CBO</t>
        </is>
      </c>
      <c r="P826" t="inlineStr">
        <is>
          <t>CEO | CBO</t>
        </is>
      </c>
      <c r="Y826" t="inlineStr">
        <is>
          <t>todo</t>
        </is>
      </c>
      <c r="Z826">
        <f>(M826*Weights!$B$2) + (MIN(Q826,Weights!$B$5)*Weights!$B$3*(W826/100)*Weights!$B$4)</f>
        <v/>
      </c>
      <c r="AA826">
        <f>IF(Z826= ,,RANK.EQ({pri_col_letter}{r},{pri_range},0))</f>
        <v/>
      </c>
    </row>
    <row r="827">
      <c r="A827" t="inlineStr">
        <is>
          <t>Abacus</t>
        </is>
      </c>
      <c r="B827" t="n">
        <v>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inlineStr">
        <is>
          <t>Tier 4</t>
        </is>
      </c>
      <c r="O827" t="inlineStr">
        <is>
          <t>Brad POTTERFIELD — President, National Accounts; Greg Wohlfort — SVP, Strategy</t>
        </is>
      </c>
      <c r="P827" t="inlineStr">
        <is>
          <t>President, National Accounts | SVP, Strategy</t>
        </is>
      </c>
      <c r="Y827" t="inlineStr">
        <is>
          <t>todo</t>
        </is>
      </c>
      <c r="Z827">
        <f>(M827*Weights!$B$2) + (MIN(Q827,Weights!$B$5)*Weights!$B$3*(W827/100)*Weights!$B$4)</f>
        <v/>
      </c>
      <c r="AA827">
        <f>IF(Z827= ,,RANK.EQ({pri_col_letter}{r},{pri_range},0))</f>
        <v/>
      </c>
    </row>
    <row r="828">
      <c r="A828" t="inlineStr">
        <is>
          <t>Abacus Corporation</t>
        </is>
      </c>
      <c r="B828" t="n">
        <v>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</v>
      </c>
      <c r="N828" t="inlineStr">
        <is>
          <t>Tier 4</t>
        </is>
      </c>
      <c r="O828" t="inlineStr">
        <is>
          <t>Michele Massaro — COO; Trey McGee — Executive Vice President</t>
        </is>
      </c>
      <c r="P828" t="inlineStr">
        <is>
          <t>COO | Executive Vice President</t>
        </is>
      </c>
      <c r="Y828" t="inlineStr">
        <is>
          <t>todo</t>
        </is>
      </c>
      <c r="Z828">
        <f>(M828*Weights!$B$2) + (MIN(Q828,Weights!$B$5)*Weights!$B$3*(W828/100)*Weights!$B$4)</f>
        <v/>
      </c>
      <c r="AA828">
        <f>IF(Z828= ,,RANK.EQ({pri_col_letter}{r},{pri_range},0))</f>
        <v/>
      </c>
    </row>
    <row r="829">
      <c r="A829" t="inlineStr">
        <is>
          <t>Administracion Portuaria integral de Quintana Roo</t>
        </is>
      </c>
      <c r="B829" t="n">
        <v>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2</v>
      </c>
      <c r="N829" t="inlineStr">
        <is>
          <t>Tier 4</t>
        </is>
      </c>
      <c r="O829" t="inlineStr">
        <is>
          <t>Vagner Elbiorn Vega — Director General (CEO); francisco diaz lara — director ejecutivo operacional y de transparencia</t>
        </is>
      </c>
      <c r="P829" t="inlineStr">
        <is>
          <t>Director General (CEO) | director ejecutivo operacional y de transparencia</t>
        </is>
      </c>
      <c r="Y829" t="inlineStr">
        <is>
          <t>todo</t>
        </is>
      </c>
      <c r="Z829">
        <f>(M829*Weights!$B$2) + (MIN(Q829,Weights!$B$5)*Weights!$B$3*(W829/100)*Weights!$B$4)</f>
        <v/>
      </c>
      <c r="AA829">
        <f>IF(Z829= ,,RANK.EQ({pri_col_letter}{r},{pri_range},0))</f>
        <v/>
      </c>
    </row>
    <row r="830">
      <c r="A830" t="inlineStr">
        <is>
          <t>Alicia Bots Pte Ltd</t>
        </is>
      </c>
      <c r="B830" t="n">
        <v>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2</v>
      </c>
      <c r="N830" t="inlineStr">
        <is>
          <t>Tier 4</t>
        </is>
      </c>
      <c r="O830" t="inlineStr">
        <is>
          <t>Inder Mukhopadhyay — CEO &amp; Founder; Priyanka Munsi — CSO</t>
        </is>
      </c>
      <c r="P830" t="inlineStr">
        <is>
          <t>CEO &amp; Founder | CSO</t>
        </is>
      </c>
      <c r="Y830" t="inlineStr">
        <is>
          <t>todo</t>
        </is>
      </c>
      <c r="Z830">
        <f>(M830*Weights!$B$2) + (MIN(Q830,Weights!$B$5)*Weights!$B$3*(W830/100)*Weights!$B$4)</f>
        <v/>
      </c>
      <c r="AA830">
        <f>IF(Z830= ,,RANK.EQ({pri_col_letter}{r},{pri_range},0))</f>
        <v/>
      </c>
    </row>
    <row r="831">
      <c r="A831" t="inlineStr">
        <is>
          <t>Alliance for Chemical Distribution</t>
        </is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</v>
      </c>
      <c r="N831" t="inlineStr">
        <is>
          <t>Tier 4</t>
        </is>
      </c>
      <c r="O831" t="inlineStr">
        <is>
          <t>Joe Donadoni — Senior Vice President, Development; Nick Breslin — Senior Manager, Regulatory Affairs</t>
        </is>
      </c>
      <c r="P831" t="inlineStr">
        <is>
          <t>Senior Vice President, Development | Senior Manager, Regulatory Affairs</t>
        </is>
      </c>
      <c r="Y831" t="inlineStr">
        <is>
          <t>todo</t>
        </is>
      </c>
      <c r="Z831">
        <f>(M831*Weights!$B$2) + (MIN(Q831,Weights!$B$5)*Weights!$B$3*(W831/100)*Weights!$B$4)</f>
        <v/>
      </c>
      <c r="AA831">
        <f>IF(Z831= ,,RANK.EQ({pri_col_letter}{r},{pri_range},0))</f>
        <v/>
      </c>
    </row>
    <row r="832">
      <c r="A832" t="inlineStr">
        <is>
          <t>Amsterdam Airport Area</t>
        </is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  <c r="N832" t="inlineStr">
        <is>
          <t>Tier 4</t>
        </is>
      </c>
      <c r="O832" t="inlineStr">
        <is>
          <t>Olav Steffers — Director Foreign Investments; Daniël Laurens — Amsterdam Airport Area (AAA)</t>
        </is>
      </c>
      <c r="P832" t="inlineStr">
        <is>
          <t>Director Foreign Investments | Amsterdam Airport Area (AAA)</t>
        </is>
      </c>
      <c r="Y832" t="inlineStr">
        <is>
          <t>todo</t>
        </is>
      </c>
      <c r="Z832">
        <f>(M832*Weights!$B$2) + (MIN(Q832,Weights!$B$5)*Weights!$B$3*(W832/100)*Weights!$B$4)</f>
        <v/>
      </c>
      <c r="AA832">
        <f>IF(Z832= ,,RANK.EQ({pri_col_letter}{r},{pri_range},0))</f>
        <v/>
      </c>
    </row>
    <row r="833">
      <c r="A833" t="inlineStr">
        <is>
          <t>Aristocrat</t>
        </is>
      </c>
      <c r="B833" t="n">
        <v>2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2</v>
      </c>
      <c r="N833" t="inlineStr">
        <is>
          <t>Tier 4</t>
        </is>
      </c>
      <c r="O833" t="inlineStr">
        <is>
          <t>Jason Raimer — VP Quality; Christopher Scherschel — Manufacturing Engineer</t>
        </is>
      </c>
      <c r="P833" t="inlineStr">
        <is>
          <t>VP Quality | Manufacturing Engineer</t>
        </is>
      </c>
      <c r="Y833" t="inlineStr">
        <is>
          <t>todo</t>
        </is>
      </c>
      <c r="Z833">
        <f>(M833*Weights!$B$2) + (MIN(Q833,Weights!$B$5)*Weights!$B$3*(W833/100)*Weights!$B$4)</f>
        <v/>
      </c>
      <c r="AA833">
        <f>IF(Z833= ,,RANK.EQ({pri_col_letter}{r},{pri_range},0))</f>
        <v/>
      </c>
    </row>
    <row r="834">
      <c r="A834" t="inlineStr">
        <is>
          <t>Autotech Ventures</t>
        </is>
      </c>
      <c r="B834" t="n">
        <v>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2</v>
      </c>
      <c r="N834" t="inlineStr">
        <is>
          <t>Tier 4</t>
        </is>
      </c>
      <c r="O834" t="inlineStr">
        <is>
          <t>Burak Cendek — Partner; Todd Fowler — Director</t>
        </is>
      </c>
      <c r="P834" t="inlineStr">
        <is>
          <t>Partner | Director</t>
        </is>
      </c>
      <c r="Y834" t="inlineStr">
        <is>
          <t>todo</t>
        </is>
      </c>
      <c r="Z834">
        <f>(M834*Weights!$B$2) + (MIN(Q834,Weights!$B$5)*Weights!$B$3*(W834/100)*Weights!$B$4)</f>
        <v/>
      </c>
      <c r="AA834">
        <f>IF(Z834= ,,RANK.EQ({pri_col_letter}{r},{pri_range},0))</f>
        <v/>
      </c>
    </row>
    <row r="835">
      <c r="A835" t="inlineStr">
        <is>
          <t>B2E Media</t>
        </is>
      </c>
      <c r="B835" t="n">
        <v>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inlineStr">
        <is>
          <t>Tier 4</t>
        </is>
      </c>
      <c r="O835" t="inlineStr">
        <is>
          <t>Josh Peck — Head of Video and Photography; Andrew Woods — Editor in Chief</t>
        </is>
      </c>
      <c r="P835" t="inlineStr">
        <is>
          <t>Head of Video and Photography | Editor in Chief</t>
        </is>
      </c>
      <c r="Y835" t="inlineStr">
        <is>
          <t>todo</t>
        </is>
      </c>
      <c r="Z835">
        <f>(M835*Weights!$B$2) + (MIN(Q835,Weights!$B$5)*Weights!$B$3*(W835/100)*Weights!$B$4)</f>
        <v/>
      </c>
      <c r="AA835">
        <f>IF(Z835= ,,RANK.EQ({pri_col_letter}{r},{pri_range},0))</f>
        <v/>
      </c>
    </row>
    <row r="836">
      <c r="A836" t="inlineStr">
        <is>
          <t>Beans.ai</t>
        </is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2</v>
      </c>
      <c r="N836" t="inlineStr">
        <is>
          <t>Tier 4</t>
        </is>
      </c>
      <c r="O836" t="inlineStr">
        <is>
          <t>Cameron Pearson — Head of Enterprise Strategy; Akash Agarwal — Founder</t>
        </is>
      </c>
      <c r="P836" t="inlineStr">
        <is>
          <t>Head of Enterprise Strategy | Founder</t>
        </is>
      </c>
      <c r="Y836" t="inlineStr">
        <is>
          <t>todo</t>
        </is>
      </c>
      <c r="Z836">
        <f>(M836*Weights!$B$2) + (MIN(Q836,Weights!$B$5)*Weights!$B$3*(W836/100)*Weights!$B$4)</f>
        <v/>
      </c>
      <c r="AA836">
        <f>IF(Z836= ,,RANK.EQ({pri_col_letter}{r},{pri_range},0))</f>
        <v/>
      </c>
    </row>
    <row r="837">
      <c r="A837" t="inlineStr">
        <is>
          <t>Bear Icebox Communications</t>
        </is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2</v>
      </c>
      <c r="N837" t="inlineStr">
        <is>
          <t>Tier 4</t>
        </is>
      </c>
      <c r="O837" t="inlineStr">
        <is>
          <t>Bob Spoerl — CEO; Audrey Carroll — Account Manager</t>
        </is>
      </c>
      <c r="P837" t="inlineStr">
        <is>
          <t>CEO | Account Manager</t>
        </is>
      </c>
      <c r="Y837" t="inlineStr">
        <is>
          <t>todo</t>
        </is>
      </c>
      <c r="Z837">
        <f>(M837*Weights!$B$2) + (MIN(Q837,Weights!$B$5)*Weights!$B$3*(W837/100)*Weights!$B$4)</f>
        <v/>
      </c>
      <c r="AA837">
        <f>IF(Z837= ,,RANK.EQ({pri_col_letter}{r},{pri_range},0))</f>
        <v/>
      </c>
    </row>
    <row r="838">
      <c r="A838" t="inlineStr">
        <is>
          <t>Benore Logistic Systems, Inc.</t>
        </is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2</v>
      </c>
      <c r="N838" t="inlineStr">
        <is>
          <t>Tier 4</t>
        </is>
      </c>
      <c r="O838" t="inlineStr">
        <is>
          <t>Daniel Hauer — CFO; Dennis Kunz — Vice President</t>
        </is>
      </c>
      <c r="P838" t="inlineStr">
        <is>
          <t>CFO | Vice President</t>
        </is>
      </c>
      <c r="Y838" t="inlineStr">
        <is>
          <t>todo</t>
        </is>
      </c>
      <c r="Z838">
        <f>(M838*Weights!$B$2) + (MIN(Q838,Weights!$B$5)*Weights!$B$3*(W838/100)*Weights!$B$4)</f>
        <v/>
      </c>
      <c r="AA838">
        <f>IF(Z838= ,,RANK.EQ({pri_col_letter}{r},{pri_range},0))</f>
        <v/>
      </c>
    </row>
    <row r="839">
      <c r="A839" t="inlineStr">
        <is>
          <t>Berpar</t>
        </is>
      </c>
      <c r="B839" t="n">
        <v>2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2</v>
      </c>
      <c r="N839" t="inlineStr">
        <is>
          <t>Tier 4</t>
        </is>
      </c>
      <c r="O839" t="inlineStr">
        <is>
          <t>Ernesto Enriquez — Head of Digital Transformation; Diego Berchelmann — Founder</t>
        </is>
      </c>
      <c r="P839" t="inlineStr">
        <is>
          <t>Head of Digital Transformation | Founder</t>
        </is>
      </c>
      <c r="Y839" t="inlineStr">
        <is>
          <t>todo</t>
        </is>
      </c>
      <c r="Z839">
        <f>(M839*Weights!$B$2) + (MIN(Q839,Weights!$B$5)*Weights!$B$3*(W839/100)*Weights!$B$4)</f>
        <v/>
      </c>
      <c r="AA839">
        <f>IF(Z839= ,,RANK.EQ({pri_col_letter}{r},{pri_range},0))</f>
        <v/>
      </c>
    </row>
    <row r="840">
      <c r="A840" t="inlineStr">
        <is>
          <t>Best &amp; Basic</t>
        </is>
      </c>
      <c r="B840" t="n">
        <v>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inlineStr">
        <is>
          <t>Tier 4</t>
        </is>
      </c>
      <c r="O840" t="inlineStr">
        <is>
          <t>Karolina Smith — President; Austin Smith — COO</t>
        </is>
      </c>
      <c r="P840" t="inlineStr">
        <is>
          <t>COO | President</t>
        </is>
      </c>
      <c r="Y840" t="inlineStr">
        <is>
          <t>todo</t>
        </is>
      </c>
      <c r="Z840">
        <f>(M840*Weights!$B$2) + (MIN(Q840,Weights!$B$5)*Weights!$B$3*(W840/100)*Weights!$B$4)</f>
        <v/>
      </c>
      <c r="AA840">
        <f>IF(Z840= ,,RANK.EQ({pri_col_letter}{r},{pri_range},0))</f>
        <v/>
      </c>
    </row>
    <row r="841">
      <c r="A841" t="inlineStr">
        <is>
          <t>Best Drayage</t>
        </is>
      </c>
      <c r="B841" t="n">
        <v>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2</v>
      </c>
      <c r="N841" t="inlineStr">
        <is>
          <t>Tier 4</t>
        </is>
      </c>
      <c r="O841" t="inlineStr">
        <is>
          <t>Cory Peters — CFO; Marcus Vierra — CEO</t>
        </is>
      </c>
      <c r="P841" t="inlineStr">
        <is>
          <t>CFO | CEO</t>
        </is>
      </c>
      <c r="Y841" t="inlineStr">
        <is>
          <t>todo</t>
        </is>
      </c>
      <c r="Z841">
        <f>(M841*Weights!$B$2) + (MIN(Q841,Weights!$B$5)*Weights!$B$3*(W841/100)*Weights!$B$4)</f>
        <v/>
      </c>
      <c r="AA841">
        <f>IF(Z841= ,,RANK.EQ({pri_col_letter}{r},{pri_range},0))</f>
        <v/>
      </c>
    </row>
    <row r="842">
      <c r="A842" t="inlineStr">
        <is>
          <t>Big Joe Forklifts</t>
        </is>
      </c>
      <c r="B842" t="n">
        <v>2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inlineStr">
        <is>
          <t>Tier 4</t>
        </is>
      </c>
      <c r="O842" t="inlineStr">
        <is>
          <t>Nick Malewicki — General Manager, Autonomous Division; Brendan Brett — Director, Strategic Partnerships</t>
        </is>
      </c>
      <c r="P842" t="inlineStr">
        <is>
          <t>General Manager, Autonomous Division | Director, Strategic Partnerships</t>
        </is>
      </c>
      <c r="Y842" t="inlineStr">
        <is>
          <t>todo</t>
        </is>
      </c>
      <c r="Z842">
        <f>(M842*Weights!$B$2) + (MIN(Q842,Weights!$B$5)*Weights!$B$3*(W842/100)*Weights!$B$4)</f>
        <v/>
      </c>
      <c r="AA842">
        <f>IF(Z842= ,,RANK.EQ({pri_col_letter}{r},{pri_range},0))</f>
        <v/>
      </c>
    </row>
    <row r="843">
      <c r="A843" t="inlineStr">
        <is>
          <t>Blue Yonder</t>
        </is>
      </c>
      <c r="B843" t="n">
        <v>2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2</v>
      </c>
      <c r="N843" t="inlineStr">
        <is>
          <t>Tier 4</t>
        </is>
      </c>
      <c r="O843" t="inlineStr">
        <is>
          <t>Annmarie Jonkman — Vice President, Global Industry Strategy; Andrew Galland — Sr. Principal Software Engineer, Product Management</t>
        </is>
      </c>
      <c r="P843" t="inlineStr">
        <is>
          <t>Vice President, Global Industry Strategy | Sr. Principal Software Engineer, Product Management</t>
        </is>
      </c>
      <c r="Y843" t="inlineStr">
        <is>
          <t>todo</t>
        </is>
      </c>
      <c r="Z843">
        <f>(M843*Weights!$B$2) + (MIN(Q843,Weights!$B$5)*Weights!$B$3*(W843/100)*Weights!$B$4)</f>
        <v/>
      </c>
      <c r="AA843">
        <f>IF(Z843= ,,RANK.EQ({pri_col_letter}{r},{pri_range},0))</f>
        <v/>
      </c>
    </row>
    <row r="844">
      <c r="A844" t="inlineStr">
        <is>
          <t>Bregal Sagemount</t>
        </is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</v>
      </c>
      <c r="N844" t="inlineStr">
        <is>
          <t>Tier 4</t>
        </is>
      </c>
      <c r="O844" t="inlineStr">
        <is>
          <t>Harrison Brunelli — Vice President; Phil Yates — Partner</t>
        </is>
      </c>
      <c r="P844" t="inlineStr">
        <is>
          <t>Vice President | Partner</t>
        </is>
      </c>
      <c r="Y844" t="inlineStr">
        <is>
          <t>todo</t>
        </is>
      </c>
      <c r="Z844">
        <f>(M844*Weights!$B$2) + (MIN(Q844,Weights!$B$5)*Weights!$B$3*(W844/100)*Weights!$B$4)</f>
        <v/>
      </c>
      <c r="AA844">
        <f>IF(Z844= ,,RANK.EQ({pri_col_letter}{r},{pri_range},0))</f>
        <v/>
      </c>
    </row>
    <row r="845">
      <c r="A845" t="inlineStr">
        <is>
          <t>Brown Gibbons Lang &amp; Company</t>
        </is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</v>
      </c>
      <c r="N845" t="inlineStr">
        <is>
          <t>Tier 4</t>
        </is>
      </c>
      <c r="O845" t="inlineStr">
        <is>
          <t>Michael Magruder — Managing Director; Scott Mattson — Managing Director</t>
        </is>
      </c>
      <c r="P845" t="inlineStr">
        <is>
          <t>Managing Director</t>
        </is>
      </c>
      <c r="Y845" t="inlineStr">
        <is>
          <t>todo</t>
        </is>
      </c>
      <c r="Z845">
        <f>(M845*Weights!$B$2) + (MIN(Q845,Weights!$B$5)*Weights!$B$3*(W845/100)*Weights!$B$4)</f>
        <v/>
      </c>
      <c r="AA845">
        <f>IF(Z845= ,,RANK.EQ({pri_col_letter}{r},{pri_range},0))</f>
        <v/>
      </c>
    </row>
    <row r="846">
      <c r="A846" t="inlineStr">
        <is>
          <t>Business Facilitating</t>
        </is>
      </c>
      <c r="B846" t="n">
        <v>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2</v>
      </c>
      <c r="N846" t="inlineStr">
        <is>
          <t>Tier 4</t>
        </is>
      </c>
      <c r="O846" t="inlineStr">
        <is>
          <t>Joseph Barsano — CEO; Sammy Barsano — COO</t>
        </is>
      </c>
      <c r="P846" t="inlineStr">
        <is>
          <t>CEO | COO</t>
        </is>
      </c>
      <c r="Y846" t="inlineStr">
        <is>
          <t>todo</t>
        </is>
      </c>
      <c r="Z846">
        <f>(M846*Weights!$B$2) + (MIN(Q846,Weights!$B$5)*Weights!$B$3*(W846/100)*Weights!$B$4)</f>
        <v/>
      </c>
      <c r="AA846">
        <f>IF(Z846= ,,RANK.EQ({pri_col_letter}{r},{pri_range},0))</f>
        <v/>
      </c>
    </row>
    <row r="847">
      <c r="A847" t="inlineStr">
        <is>
          <t>CROSSMOTION LOGISTICS</t>
        </is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2</v>
      </c>
      <c r="N847" t="inlineStr">
        <is>
          <t>Tier 4</t>
        </is>
      </c>
      <c r="O847" t="inlineStr">
        <is>
          <t>RENE ROJAS — CEO; SAMUEL MARTINEZ — IT TEAM LEADER</t>
        </is>
      </c>
      <c r="P847" t="inlineStr">
        <is>
          <t>CEO | IT TEAM LEADER</t>
        </is>
      </c>
      <c r="Y847" t="inlineStr">
        <is>
          <t>todo</t>
        </is>
      </c>
      <c r="Z847">
        <f>(M847*Weights!$B$2) + (MIN(Q847,Weights!$B$5)*Weights!$B$3*(W847/100)*Weights!$B$4)</f>
        <v/>
      </c>
      <c r="AA847">
        <f>IF(Z847= ,,RANK.EQ({pri_col_letter}{r},{pri_range},0))</f>
        <v/>
      </c>
    </row>
    <row r="848">
      <c r="A848" t="inlineStr">
        <is>
          <t>Cantor Fitzgerald</t>
        </is>
      </c>
      <c r="B848" t="n">
        <v>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inlineStr">
        <is>
          <t>Tier 4</t>
        </is>
      </c>
      <c r="O848" t="inlineStr">
        <is>
          <t>Sammy Goldfarb — Vice President; Mark Baillie — Managing Director</t>
        </is>
      </c>
      <c r="P848" t="inlineStr">
        <is>
          <t>Vice President | Managing Director</t>
        </is>
      </c>
      <c r="Y848" t="inlineStr">
        <is>
          <t>todo</t>
        </is>
      </c>
      <c r="Z848">
        <f>(M848*Weights!$B$2) + (MIN(Q848,Weights!$B$5)*Weights!$B$3*(W848/100)*Weights!$B$4)</f>
        <v/>
      </c>
      <c r="AA848">
        <f>IF(Z848= ,,RANK.EQ({pri_col_letter}{r},{pri_range},0))</f>
        <v/>
      </c>
    </row>
    <row r="849">
      <c r="A849" t="inlineStr">
        <is>
          <t>Cargobase</t>
        </is>
      </c>
      <c r="B849" t="n">
        <v>2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2</v>
      </c>
      <c r="N849" t="inlineStr">
        <is>
          <t>Tier 4</t>
        </is>
      </c>
      <c r="O849" t="inlineStr">
        <is>
          <t>Alex Van Kampen — Head of Product, Engineering and Customer Excellence; Wiebe Helder — CEO</t>
        </is>
      </c>
      <c r="P849" t="inlineStr">
        <is>
          <t>Head of Product, Engineering and Customer Excellence | CEO</t>
        </is>
      </c>
      <c r="Y849" t="inlineStr">
        <is>
          <t>todo</t>
        </is>
      </c>
      <c r="Z849">
        <f>(M849*Weights!$B$2) + (MIN(Q849,Weights!$B$5)*Weights!$B$3*(W849/100)*Weights!$B$4)</f>
        <v/>
      </c>
      <c r="AA849">
        <f>IF(Z849= ,,RANK.EQ({pri_col_letter}{r},{pri_range},0))</f>
        <v/>
      </c>
    </row>
    <row r="850">
      <c r="A850" t="inlineStr">
        <is>
          <t>Carrier Logistics Inc.</t>
        </is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</v>
      </c>
      <c r="N850" t="inlineStr">
        <is>
          <t>Tier 4</t>
        </is>
      </c>
      <c r="O850" t="inlineStr">
        <is>
          <t>Ben Wiesen — President; Kevin Linardic — Chief Technology Officer</t>
        </is>
      </c>
      <c r="P850" t="inlineStr">
        <is>
          <t>President | Chief Technology Officer</t>
        </is>
      </c>
      <c r="Y850" t="inlineStr">
        <is>
          <t>todo</t>
        </is>
      </c>
      <c r="Z850">
        <f>(M850*Weights!$B$2) + (MIN(Q850,Weights!$B$5)*Weights!$B$3*(W850/100)*Weights!$B$4)</f>
        <v/>
      </c>
      <c r="AA850">
        <f>IF(Z850= ,,RANK.EQ({pri_col_letter}{r},{pri_range},0))</f>
        <v/>
      </c>
    </row>
    <row r="851">
      <c r="A851" t="inlineStr">
        <is>
          <t>Carrier1</t>
        </is>
      </c>
      <c r="B851" t="n">
        <v>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2</v>
      </c>
      <c r="N851" t="inlineStr">
        <is>
          <t>Tier 4</t>
        </is>
      </c>
      <c r="O851" t="inlineStr">
        <is>
          <t>Travis Rhyan — CEO &amp; Founder; Jake Papa — Co-founder</t>
        </is>
      </c>
      <c r="P851" t="inlineStr">
        <is>
          <t>CEO &amp; Founder | Co-founder</t>
        </is>
      </c>
      <c r="Y851" t="inlineStr">
        <is>
          <t>todo</t>
        </is>
      </c>
      <c r="Z851">
        <f>(M851*Weights!$B$2) + (MIN(Q851,Weights!$B$5)*Weights!$B$3*(W851/100)*Weights!$B$4)</f>
        <v/>
      </c>
      <c r="AA851">
        <f>IF(Z851= ,,RANK.EQ({pri_col_letter}{r},{pri_range},0))</f>
        <v/>
      </c>
    </row>
    <row r="852">
      <c r="A852" t="inlineStr">
        <is>
          <t>Cerity Partners Ventures</t>
        </is>
      </c>
      <c r="B852" t="n">
        <v>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inlineStr">
        <is>
          <t>Tier 4</t>
        </is>
      </c>
      <c r="O852" t="inlineStr">
        <is>
          <t>Kevin Jones — Senior Principal, Cooperative Ventures; Melissa Tse — Senior Principal</t>
        </is>
      </c>
      <c r="P852" t="inlineStr">
        <is>
          <t>Senior Principal, Cooperative Ventures | Senior Principal</t>
        </is>
      </c>
      <c r="Y852" t="inlineStr">
        <is>
          <t>todo</t>
        </is>
      </c>
      <c r="Z852">
        <f>(M852*Weights!$B$2) + (MIN(Q852,Weights!$B$5)*Weights!$B$3*(W852/100)*Weights!$B$4)</f>
        <v/>
      </c>
      <c r="AA852">
        <f>IF(Z852= ,,RANK.EQ({pri_col_letter}{r},{pri_range},0))</f>
        <v/>
      </c>
    </row>
    <row r="853">
      <c r="A853" t="inlineStr">
        <is>
          <t>Cervo AI, Inc.</t>
        </is>
      </c>
      <c r="B853" t="n">
        <v>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2</v>
      </c>
      <c r="N853" t="inlineStr">
        <is>
          <t>Tier 4</t>
        </is>
      </c>
      <c r="O853" t="inlineStr">
        <is>
          <t>Thomas Jiang — Co-founder; Troy Shen — Co-founder</t>
        </is>
      </c>
      <c r="P853" t="inlineStr">
        <is>
          <t>Co-founder</t>
        </is>
      </c>
      <c r="Y853" t="inlineStr">
        <is>
          <t>todo</t>
        </is>
      </c>
      <c r="Z853">
        <f>(M853*Weights!$B$2) + (MIN(Q853,Weights!$B$5)*Weights!$B$3*(W853/100)*Weights!$B$4)</f>
        <v/>
      </c>
      <c r="AA853">
        <f>IF(Z853= ,,RANK.EQ({pri_col_letter}{r},{pri_range},0))</f>
        <v/>
      </c>
    </row>
    <row r="854">
      <c r="A854" t="inlineStr">
        <is>
          <t>Claryo</t>
        </is>
      </c>
      <c r="B854" t="n">
        <v>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</v>
      </c>
      <c r="N854" t="inlineStr">
        <is>
          <t>Tier 4</t>
        </is>
      </c>
      <c r="O854" t="inlineStr">
        <is>
          <t>Mohamed Amer — CEO; Pierre Evreux — COO</t>
        </is>
      </c>
      <c r="P854" t="inlineStr">
        <is>
          <t>CEO | COO</t>
        </is>
      </c>
      <c r="Y854" t="inlineStr">
        <is>
          <t>todo</t>
        </is>
      </c>
      <c r="Z854">
        <f>(M854*Weights!$B$2) + (MIN(Q854,Weights!$B$5)*Weights!$B$3*(W854/100)*Weights!$B$4)</f>
        <v/>
      </c>
      <c r="AA854">
        <f>IF(Z854= ,,RANK.EQ({pri_col_letter}{r},{pri_range},0))</f>
        <v/>
      </c>
    </row>
    <row r="855">
      <c r="A855" t="inlineStr">
        <is>
          <t>Clever Transco</t>
        </is>
      </c>
      <c r="B855" t="n">
        <v>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</v>
      </c>
      <c r="N855" t="inlineStr">
        <is>
          <t>Tier 4</t>
        </is>
      </c>
      <c r="O855" t="inlineStr">
        <is>
          <t>Jake Morrow — COO; Nicholas Nicholson — CEO &amp; Founder</t>
        </is>
      </c>
      <c r="P855" t="inlineStr">
        <is>
          <t>COO | CEO &amp; Founder</t>
        </is>
      </c>
      <c r="Y855" t="inlineStr">
        <is>
          <t>todo</t>
        </is>
      </c>
      <c r="Z855">
        <f>(M855*Weights!$B$2) + (MIN(Q855,Weights!$B$5)*Weights!$B$3*(W855/100)*Weights!$B$4)</f>
        <v/>
      </c>
      <c r="AA855">
        <f>IF(Z855= ,,RANK.EQ({pri_col_letter}{r},{pri_range},0))</f>
        <v/>
      </c>
    </row>
    <row r="856">
      <c r="A856" t="inlineStr">
        <is>
          <t>Congebec</t>
        </is>
      </c>
      <c r="B856" t="n">
        <v>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</v>
      </c>
      <c r="N856" t="inlineStr">
        <is>
          <t>Tier 4</t>
        </is>
      </c>
      <c r="O856" t="inlineStr">
        <is>
          <t>Doug Malcolm — VP, Corporate Dev &amp; Strategy; Tim Ludwig — Chief Commercial Officer</t>
        </is>
      </c>
      <c r="P856" t="inlineStr">
        <is>
          <t>VP, Corporate Dev &amp; Strategy | Chief Commercial Officer</t>
        </is>
      </c>
      <c r="Y856" t="inlineStr">
        <is>
          <t>todo</t>
        </is>
      </c>
      <c r="Z856">
        <f>(M856*Weights!$B$2) + (MIN(Q856,Weights!$B$5)*Weights!$B$3*(W856/100)*Weights!$B$4)</f>
        <v/>
      </c>
      <c r="AA856">
        <f>IF(Z856= ,,RANK.EQ({pri_col_letter}{r},{pri_range},0))</f>
        <v/>
      </c>
    </row>
    <row r="857">
      <c r="A857" t="inlineStr">
        <is>
          <t>Construct Capital</t>
        </is>
      </c>
      <c r="B857" t="n">
        <v>2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2</v>
      </c>
      <c r="N857" t="inlineStr">
        <is>
          <t>Tier 4</t>
        </is>
      </c>
      <c r="O857" t="inlineStr">
        <is>
          <t>Rachel Holt — Co-Founder &amp; General Partner; Leland Chamlin — Investor</t>
        </is>
      </c>
      <c r="P857" t="inlineStr">
        <is>
          <t>Investor | Co-Founder &amp; General Partner</t>
        </is>
      </c>
      <c r="Y857" t="inlineStr">
        <is>
          <t>todo</t>
        </is>
      </c>
      <c r="Z857">
        <f>(M857*Weights!$B$2) + (MIN(Q857,Weights!$B$5)*Weights!$B$3*(W857/100)*Weights!$B$4)</f>
        <v/>
      </c>
      <c r="AA857">
        <f>IF(Z857= ,,RANK.EQ({pri_col_letter}{r},{pri_range},0))</f>
        <v/>
      </c>
    </row>
    <row r="858">
      <c r="A858" t="inlineStr">
        <is>
          <t>Corporate Ink</t>
        </is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2</v>
      </c>
      <c r="N858" t="inlineStr">
        <is>
          <t>Tier 4</t>
        </is>
      </c>
      <c r="O858" t="inlineStr">
        <is>
          <t>Greg Hakim — CEO; Victoria Stevenson — Vice President</t>
        </is>
      </c>
      <c r="P858" t="inlineStr">
        <is>
          <t>CEO | Vice President</t>
        </is>
      </c>
      <c r="Y858" t="inlineStr">
        <is>
          <t>todo</t>
        </is>
      </c>
      <c r="Z858">
        <f>(M858*Weights!$B$2) + (MIN(Q858,Weights!$B$5)*Weights!$B$3*(W858/100)*Weights!$B$4)</f>
        <v/>
      </c>
      <c r="AA858">
        <f>IF(Z858= ,,RANK.EQ({pri_col_letter}{r},{pri_range},0))</f>
        <v/>
      </c>
    </row>
    <row r="859">
      <c r="A859" t="inlineStr">
        <is>
          <t>Cushman &amp; Wakefield</t>
        </is>
      </c>
      <c r="B859" t="n">
        <v>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2</v>
      </c>
      <c r="N859" t="inlineStr">
        <is>
          <t>Tier 4</t>
        </is>
      </c>
      <c r="O859" t="inlineStr">
        <is>
          <t>Ben Harris — Head of Industrial Consulting; Andres Camacho — Corporate Real Estate Advisor</t>
        </is>
      </c>
      <c r="P859" t="inlineStr">
        <is>
          <t>Head of Industrial Consulting | Corporate Real Estate Advisor</t>
        </is>
      </c>
      <c r="Y859" t="inlineStr">
        <is>
          <t>todo</t>
        </is>
      </c>
      <c r="Z859">
        <f>(M859*Weights!$B$2) + (MIN(Q859,Weights!$B$5)*Weights!$B$3*(W859/100)*Weights!$B$4)</f>
        <v/>
      </c>
      <c r="AA859">
        <f>IF(Z859= ,,RANK.EQ({pri_col_letter}{r},{pri_range},0))</f>
        <v/>
      </c>
    </row>
    <row r="860">
      <c r="A860" t="inlineStr">
        <is>
          <t>DHL Global Forwarding</t>
        </is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2</v>
      </c>
      <c r="N860" t="inlineStr">
        <is>
          <t>Tier 4</t>
        </is>
      </c>
      <c r="O860" t="inlineStr">
        <is>
          <t>Tim Robertson — EVP, Accelerated Digitalization; Thomas Grunau — SVP Global Head of Business Strategy &amp; Digitalization</t>
        </is>
      </c>
      <c r="P860" t="inlineStr">
        <is>
          <t>EVP, Accelerated Digitalization | SVP Global Head of Business Strategy &amp; Digitalization</t>
        </is>
      </c>
      <c r="Y860" t="inlineStr">
        <is>
          <t>todo</t>
        </is>
      </c>
      <c r="Z860">
        <f>(M860*Weights!$B$2) + (MIN(Q860,Weights!$B$5)*Weights!$B$3*(W860/100)*Weights!$B$4)</f>
        <v/>
      </c>
      <c r="AA860">
        <f>IF(Z860= ,,RANK.EQ({pri_col_letter}{r},{pri_range},0))</f>
        <v/>
      </c>
    </row>
    <row r="861">
      <c r="A861" t="inlineStr">
        <is>
          <t>DSS Final Mile</t>
        </is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inlineStr">
        <is>
          <t>Tier 4</t>
        </is>
      </c>
      <c r="O861" t="inlineStr">
        <is>
          <t>Charley Walker — COO; Andy Rowan — CCO</t>
        </is>
      </c>
      <c r="P861" t="inlineStr">
        <is>
          <t>COO | CCO</t>
        </is>
      </c>
      <c r="Y861" t="inlineStr">
        <is>
          <t>todo</t>
        </is>
      </c>
      <c r="Z861">
        <f>(M861*Weights!$B$2) + (MIN(Q861,Weights!$B$5)*Weights!$B$3*(W861/100)*Weights!$B$4)</f>
        <v/>
      </c>
      <c r="AA861">
        <f>IF(Z861= ,,RANK.EQ({pri_col_letter}{r},{pri_range},0))</f>
        <v/>
      </c>
    </row>
    <row r="862">
      <c r="A862" t="inlineStr">
        <is>
          <t>Datatrac</t>
        </is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2</v>
      </c>
      <c r="N862" t="inlineStr">
        <is>
          <t>Tier 4</t>
        </is>
      </c>
      <c r="O862" t="inlineStr">
        <is>
          <t>Chris Neal — API &amp; Integrations Engineer; Raman Paulovich — Managing Director</t>
        </is>
      </c>
      <c r="P862" t="inlineStr">
        <is>
          <t>API &amp; Integrations Engineer | Managing Director</t>
        </is>
      </c>
      <c r="Y862" t="inlineStr">
        <is>
          <t>todo</t>
        </is>
      </c>
      <c r="Z862">
        <f>(M862*Weights!$B$2) + (MIN(Q862,Weights!$B$5)*Weights!$B$3*(W862/100)*Weights!$B$4)</f>
        <v/>
      </c>
      <c r="AA862">
        <f>IF(Z862= ,,RANK.EQ({pri_col_letter}{r},{pri_range},0))</f>
        <v/>
      </c>
    </row>
    <row r="863">
      <c r="A863" t="inlineStr">
        <is>
          <t>Datex</t>
        </is>
      </c>
      <c r="B863" t="n">
        <v>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</v>
      </c>
      <c r="N863" t="inlineStr">
        <is>
          <t>Tier 4</t>
        </is>
      </c>
      <c r="O863" t="inlineStr">
        <is>
          <t>Michael Armanious — President &amp; CEO; McCord Frampton — Solutions Consultant</t>
        </is>
      </c>
      <c r="P863" t="inlineStr">
        <is>
          <t>President &amp; CEO | Solutions Consultant</t>
        </is>
      </c>
      <c r="Y863" t="inlineStr">
        <is>
          <t>todo</t>
        </is>
      </c>
      <c r="Z863">
        <f>(M863*Weights!$B$2) + (MIN(Q863,Weights!$B$5)*Weights!$B$3*(W863/100)*Weights!$B$4)</f>
        <v/>
      </c>
      <c r="AA863">
        <f>IF(Z863= ,,RANK.EQ({pri_col_letter}{r},{pri_range},0))</f>
        <v/>
      </c>
    </row>
    <row r="864">
      <c r="A864" t="inlineStr">
        <is>
          <t>Deliver Logistics Solutions</t>
        </is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inlineStr">
        <is>
          <t>Tier 4</t>
        </is>
      </c>
      <c r="O864" t="inlineStr">
        <is>
          <t>Oliver Lindsay — President; Bryan Taylor — Principal Consultant</t>
        </is>
      </c>
      <c r="P864" t="inlineStr">
        <is>
          <t>President | Principal Consultant</t>
        </is>
      </c>
      <c r="Y864" t="inlineStr">
        <is>
          <t>todo</t>
        </is>
      </c>
      <c r="Z864">
        <f>(M864*Weights!$B$2) + (MIN(Q864,Weights!$B$5)*Weights!$B$3*(W864/100)*Weights!$B$4)</f>
        <v/>
      </c>
      <c r="AA864">
        <f>IF(Z864= ,,RANK.EQ({pri_col_letter}{r},{pri_range},0))</f>
        <v/>
      </c>
    </row>
    <row r="865">
      <c r="A865" t="inlineStr">
        <is>
          <t>Deloitte</t>
        </is>
      </c>
      <c r="B865" t="n">
        <v>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2</v>
      </c>
      <c r="N865" t="inlineStr">
        <is>
          <t>Tier 4</t>
        </is>
      </c>
      <c r="O865" t="inlineStr">
        <is>
          <t>Joanne Strong — Senior Manager; Wanda Johnson — Technology Fellow</t>
        </is>
      </c>
      <c r="P865" t="inlineStr">
        <is>
          <t>Senior Manager | Technology Fellow</t>
        </is>
      </c>
      <c r="Y865" t="inlineStr">
        <is>
          <t>todo</t>
        </is>
      </c>
      <c r="Z865">
        <f>(M865*Weights!$B$2) + (MIN(Q865,Weights!$B$5)*Weights!$B$3*(W865/100)*Weights!$B$4)</f>
        <v/>
      </c>
      <c r="AA865">
        <f>IF(Z865= ,,RANK.EQ({pri_col_letter}{r},{pri_range},0))</f>
        <v/>
      </c>
    </row>
    <row r="866">
      <c r="A866" t="inlineStr">
        <is>
          <t>DemandForecast.ai</t>
        </is>
      </c>
      <c r="B866" t="n">
        <v>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2</v>
      </c>
      <c r="N866" t="inlineStr">
        <is>
          <t>Tier 4</t>
        </is>
      </c>
      <c r="O866" t="inlineStr">
        <is>
          <t>david barker — Global Head of Enterprise; Zohar Bronfman — CEO</t>
        </is>
      </c>
      <c r="P866" t="inlineStr">
        <is>
          <t>Global Head of Enterprise | CEO</t>
        </is>
      </c>
      <c r="Y866" t="inlineStr">
        <is>
          <t>todo</t>
        </is>
      </c>
      <c r="Z866">
        <f>(M866*Weights!$B$2) + (MIN(Q866,Weights!$B$5)*Weights!$B$3*(W866/100)*Weights!$B$4)</f>
        <v/>
      </c>
      <c r="AA866">
        <f>IF(Z866= ,,RANK.EQ({pri_col_letter}{r},{pri_range},0))</f>
        <v/>
      </c>
    </row>
    <row r="867">
      <c r="A867" t="inlineStr">
        <is>
          <t>Digital Supply Chain Institute</t>
        </is>
      </c>
      <c r="B867" t="n">
        <v>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</v>
      </c>
      <c r="N867" t="inlineStr">
        <is>
          <t>Tier 4</t>
        </is>
      </c>
      <c r="O867" t="inlineStr">
        <is>
          <t>Vivek Ghelani — Director of Research; Marko Kovacevic — Managing Director</t>
        </is>
      </c>
      <c r="P867" t="inlineStr">
        <is>
          <t>Director of Research | Managing Director</t>
        </is>
      </c>
      <c r="Y867" t="inlineStr">
        <is>
          <t>todo</t>
        </is>
      </c>
      <c r="Z867">
        <f>(M867*Weights!$B$2) + (MIN(Q867,Weights!$B$5)*Weights!$B$3*(W867/100)*Weights!$B$4)</f>
        <v/>
      </c>
      <c r="AA867">
        <f>IF(Z867= ,,RANK.EQ({pri_col_letter}{r},{pri_range},0))</f>
        <v/>
      </c>
    </row>
    <row r="868">
      <c r="A868" t="inlineStr">
        <is>
          <t>Dispatch</t>
        </is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2</v>
      </c>
      <c r="N868" t="inlineStr">
        <is>
          <t>Tier 4</t>
        </is>
      </c>
      <c r="O868" t="inlineStr">
        <is>
          <t>Joyce Schofield — VP, Product &amp; UXD; Natasha Hamid — Head of Enterprise Partnerships</t>
        </is>
      </c>
      <c r="P868" t="inlineStr">
        <is>
          <t>VP, Product &amp; UXD | Head of Enterprise Partnerships</t>
        </is>
      </c>
      <c r="Y868" t="inlineStr">
        <is>
          <t>todo</t>
        </is>
      </c>
      <c r="Z868">
        <f>(M868*Weights!$B$2) + (MIN(Q868,Weights!$B$5)*Weights!$B$3*(W868/100)*Weights!$B$4)</f>
        <v/>
      </c>
      <c r="AA868">
        <f>IF(Z868= ,,RANK.EQ({pri_col_letter}{r},{pri_range},0))</f>
        <v/>
      </c>
    </row>
    <row r="869">
      <c r="A869" t="inlineStr">
        <is>
          <t>Docktime</t>
        </is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2</v>
      </c>
      <c r="N869" t="inlineStr">
        <is>
          <t>Tier 4</t>
        </is>
      </c>
      <c r="O869" t="inlineStr">
        <is>
          <t>Connor Bradley — CEO; Tim Roberts — COO</t>
        </is>
      </c>
      <c r="P869" t="inlineStr">
        <is>
          <t>CEO | COO</t>
        </is>
      </c>
      <c r="Y869" t="inlineStr">
        <is>
          <t>todo</t>
        </is>
      </c>
      <c r="Z869">
        <f>(M869*Weights!$B$2) + (MIN(Q869,Weights!$B$5)*Weights!$B$3*(W869/100)*Weights!$B$4)</f>
        <v/>
      </c>
      <c r="AA869">
        <f>IF(Z869= ,,RANK.EQ({pri_col_letter}{r},{pri_range},0))</f>
        <v/>
      </c>
    </row>
    <row r="870">
      <c r="A870" t="inlineStr">
        <is>
          <t>Dream Logistics Llc</t>
        </is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inlineStr">
        <is>
          <t>Tier 4</t>
        </is>
      </c>
      <c r="O870" t="inlineStr">
        <is>
          <t>Joshua Robbins — President and Co-Founder; Taylor Steadman — CEO &amp; Co-Founder</t>
        </is>
      </c>
      <c r="P870" t="inlineStr">
        <is>
          <t>President and Co-Founder | CEO &amp; Co-Founder</t>
        </is>
      </c>
      <c r="Y870" t="inlineStr">
        <is>
          <t>todo</t>
        </is>
      </c>
      <c r="Z870">
        <f>(M870*Weights!$B$2) + (MIN(Q870,Weights!$B$5)*Weights!$B$3*(W870/100)*Weights!$B$4)</f>
        <v/>
      </c>
      <c r="AA870">
        <f>IF(Z870= ,,RANK.EQ({pri_col_letter}{r},{pri_range},0))</f>
        <v/>
      </c>
    </row>
    <row r="871">
      <c r="A871" t="inlineStr">
        <is>
          <t>Dynamic Logistix</t>
        </is>
      </c>
      <c r="B871" t="n">
        <v>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</v>
      </c>
      <c r="N871" t="inlineStr">
        <is>
          <t>Tier 4</t>
        </is>
      </c>
      <c r="O871" t="inlineStr">
        <is>
          <t>Jason Yeager — Chief Operating Officer &amp; Managing Partner; Ryan Koenig — Chief Executive Officer</t>
        </is>
      </c>
      <c r="P871" t="inlineStr">
        <is>
          <t>Chief Operating Officer &amp; Managing Partner | Chief Executive Officer</t>
        </is>
      </c>
      <c r="Y871" t="inlineStr">
        <is>
          <t>todo</t>
        </is>
      </c>
      <c r="Z871">
        <f>(M871*Weights!$B$2) + (MIN(Q871,Weights!$B$5)*Weights!$B$3*(W871/100)*Weights!$B$4)</f>
        <v/>
      </c>
      <c r="AA871">
        <f>IF(Z871= ,,RANK.EQ({pri_col_letter}{r},{pri_range},0))</f>
        <v/>
      </c>
    </row>
    <row r="872">
      <c r="A872" t="inlineStr">
        <is>
          <t>E3 Group</t>
        </is>
      </c>
      <c r="B872" t="n">
        <v>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2</v>
      </c>
      <c r="N872" t="inlineStr">
        <is>
          <t>Tier 4</t>
        </is>
      </c>
      <c r="O872" t="inlineStr">
        <is>
          <t>Aqil Naeem — CEO; Caleb Sirak — President</t>
        </is>
      </c>
      <c r="P872" t="inlineStr">
        <is>
          <t>CEO | President</t>
        </is>
      </c>
      <c r="Y872" t="inlineStr">
        <is>
          <t>todo</t>
        </is>
      </c>
      <c r="Z872">
        <f>(M872*Weights!$B$2) + (MIN(Q872,Weights!$B$5)*Weights!$B$3*(W872/100)*Weights!$B$4)</f>
        <v/>
      </c>
      <c r="AA872">
        <f>IF(Z872= ,,RANK.EQ({pri_col_letter}{r},{pri_range},0))</f>
        <v/>
      </c>
    </row>
    <row r="873">
      <c r="A873" t="inlineStr">
        <is>
          <t>EGOURMET SOLUTIONS</t>
        </is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2</v>
      </c>
      <c r="N873" t="inlineStr">
        <is>
          <t>Tier 4</t>
        </is>
      </c>
      <c r="O873" t="inlineStr">
        <is>
          <t>ARIANE KEMPER — COO; GERMAIN MONTAGNER — PRESIDENT</t>
        </is>
      </c>
      <c r="P873" t="inlineStr">
        <is>
          <t>COO | PRESIDENT</t>
        </is>
      </c>
      <c r="Y873" t="inlineStr">
        <is>
          <t>todo</t>
        </is>
      </c>
      <c r="Z873">
        <f>(M873*Weights!$B$2) + (MIN(Q873,Weights!$B$5)*Weights!$B$3*(W873/100)*Weights!$B$4)</f>
        <v/>
      </c>
      <c r="AA873">
        <f>IF(Z873= ,,RANK.EQ({pri_col_letter}{r},{pri_range},0))</f>
        <v/>
      </c>
    </row>
    <row r="874">
      <c r="A874" t="inlineStr">
        <is>
          <t>Einride</t>
        </is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2</v>
      </c>
      <c r="N874" t="inlineStr">
        <is>
          <t>Tier 4</t>
        </is>
      </c>
      <c r="O874" t="inlineStr">
        <is>
          <t>Baptiste Le Poittevin — Commercial Director - Autonomous; Warren Cheely — Commercial Director NA</t>
        </is>
      </c>
      <c r="P874" t="inlineStr">
        <is>
          <t>Commercial Director - Autonomous | Commercial Director NA</t>
        </is>
      </c>
      <c r="Y874" t="inlineStr">
        <is>
          <t>todo</t>
        </is>
      </c>
      <c r="Z874">
        <f>(M874*Weights!$B$2) + (MIN(Q874,Weights!$B$5)*Weights!$B$3*(W874/100)*Weights!$B$4)</f>
        <v/>
      </c>
      <c r="AA874">
        <f>IF(Z874= ,,RANK.EQ({pri_col_letter}{r},{pri_range},0))</f>
        <v/>
      </c>
    </row>
    <row r="875">
      <c r="A875" t="inlineStr">
        <is>
          <t>Estes Logistics</t>
        </is>
      </c>
      <c r="B875" t="n">
        <v>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  <c r="N875" t="inlineStr">
        <is>
          <t>Tier 4</t>
        </is>
      </c>
      <c r="O875" t="inlineStr">
        <is>
          <t>Joshua Funkhouser — Analyst; Mike Koch — Analyst</t>
        </is>
      </c>
      <c r="P875" t="inlineStr">
        <is>
          <t>Analyst</t>
        </is>
      </c>
      <c r="Y875" t="inlineStr">
        <is>
          <t>todo</t>
        </is>
      </c>
      <c r="Z875">
        <f>(M875*Weights!$B$2) + (MIN(Q875,Weights!$B$5)*Weights!$B$3*(W875/100)*Weights!$B$4)</f>
        <v/>
      </c>
      <c r="AA875">
        <f>IF(Z875= ,,RANK.EQ({pri_col_letter}{r},{pri_range},0))</f>
        <v/>
      </c>
    </row>
    <row r="876">
      <c r="A876" t="inlineStr">
        <is>
          <t>Evercore</t>
        </is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</v>
      </c>
      <c r="N876" t="inlineStr">
        <is>
          <t>Tier 4</t>
        </is>
      </c>
      <c r="O876" t="inlineStr">
        <is>
          <t>Greg O'Connor — Vice President; James Hyland — Managing Director</t>
        </is>
      </c>
      <c r="P876" t="inlineStr">
        <is>
          <t>Vice President | Managing Director</t>
        </is>
      </c>
      <c r="Y876" t="inlineStr">
        <is>
          <t>todo</t>
        </is>
      </c>
      <c r="Z876">
        <f>(M876*Weights!$B$2) + (MIN(Q876,Weights!$B$5)*Weights!$B$3*(W876/100)*Weights!$B$4)</f>
        <v/>
      </c>
      <c r="AA876">
        <f>IF(Z876= ,,RANK.EQ({pri_col_letter}{r},{pri_range},0))</f>
        <v/>
      </c>
    </row>
    <row r="877">
      <c r="A877" t="inlineStr">
        <is>
          <t>Express Logistics Inc.</t>
        </is>
      </c>
      <c r="B877" t="n">
        <v>2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inlineStr">
        <is>
          <t>Tier 4</t>
        </is>
      </c>
      <c r="O877" t="inlineStr">
        <is>
          <t>Chad Baker — CFO; Chad Rubner — CEO</t>
        </is>
      </c>
      <c r="P877" t="inlineStr">
        <is>
          <t>CFO | CEO</t>
        </is>
      </c>
      <c r="Y877" t="inlineStr">
        <is>
          <t>todo</t>
        </is>
      </c>
      <c r="Z877">
        <f>(M877*Weights!$B$2) + (MIN(Q877,Weights!$B$5)*Weights!$B$3*(W877/100)*Weights!$B$4)</f>
        <v/>
      </c>
      <c r="AA877">
        <f>IF(Z877= ,,RANK.EQ({pri_col_letter}{r},{pri_range},0))</f>
        <v/>
      </c>
    </row>
    <row r="878">
      <c r="A878" t="inlineStr">
        <is>
          <t>FB CANADA EXPRESS</t>
        </is>
      </c>
      <c r="B878" t="n">
        <v>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2</v>
      </c>
      <c r="N878" t="inlineStr">
        <is>
          <t>Tier 4</t>
        </is>
      </c>
      <c r="O878" t="inlineStr">
        <is>
          <t>John Sproat — COO; Nicholas Timmins — President</t>
        </is>
      </c>
      <c r="P878" t="inlineStr">
        <is>
          <t>COO | President</t>
        </is>
      </c>
      <c r="Y878" t="inlineStr">
        <is>
          <t>todo</t>
        </is>
      </c>
      <c r="Z878">
        <f>(M878*Weights!$B$2) + (MIN(Q878,Weights!$B$5)*Weights!$B$3*(W878/100)*Weights!$B$4)</f>
        <v/>
      </c>
      <c r="AA878">
        <f>IF(Z878= ,,RANK.EQ({pri_col_letter}{r},{pri_range},0))</f>
        <v/>
      </c>
    </row>
    <row r="879">
      <c r="A879" t="inlineStr">
        <is>
          <t>FINN Partners</t>
        </is>
      </c>
      <c r="B879" t="n">
        <v>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</v>
      </c>
      <c r="N879" t="inlineStr">
        <is>
          <t>Tier 4</t>
        </is>
      </c>
      <c r="O879" t="inlineStr">
        <is>
          <t>Jon Stone — VP - Corporate Reputation Specialist; Casy Jones — Managing Partner</t>
        </is>
      </c>
      <c r="P879" t="inlineStr">
        <is>
          <t>VP - Corporate Reputation Specialist | Managing Partner</t>
        </is>
      </c>
      <c r="Y879" t="inlineStr">
        <is>
          <t>todo</t>
        </is>
      </c>
      <c r="Z879">
        <f>(M879*Weights!$B$2) + (MIN(Q879,Weights!$B$5)*Weights!$B$3*(W879/100)*Weights!$B$4)</f>
        <v/>
      </c>
      <c r="AA879">
        <f>IF(Z879= ,,RANK.EQ({pri_col_letter}{r},{pri_range},0))</f>
        <v/>
      </c>
    </row>
    <row r="880">
      <c r="A880" t="inlineStr">
        <is>
          <t>FTV Capital</t>
        </is>
      </c>
      <c r="B880" t="n">
        <v>2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</v>
      </c>
      <c r="N880" t="inlineStr">
        <is>
          <t>Tier 4</t>
        </is>
      </c>
      <c r="O880" t="inlineStr">
        <is>
          <t>Arun Singh — Principal; Kyle Eng — Investor</t>
        </is>
      </c>
      <c r="P880" t="inlineStr">
        <is>
          <t>Principal | Investor</t>
        </is>
      </c>
      <c r="Y880" t="inlineStr">
        <is>
          <t>todo</t>
        </is>
      </c>
      <c r="Z880">
        <f>(M880*Weights!$B$2) + (MIN(Q880,Weights!$B$5)*Weights!$B$3*(W880/100)*Weights!$B$4)</f>
        <v/>
      </c>
      <c r="AA880">
        <f>IF(Z880= ,,RANK.EQ({pri_col_letter}{r},{pri_range},0))</f>
        <v/>
      </c>
    </row>
    <row r="881">
      <c r="A881" t="inlineStr">
        <is>
          <t>First Analysis</t>
        </is>
      </c>
      <c r="B881" t="n">
        <v>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inlineStr">
        <is>
          <t>Tier 4</t>
        </is>
      </c>
      <c r="O881" t="inlineStr">
        <is>
          <t>Walid Elmekki — Associate; Corey Greedale — Research Analyst</t>
        </is>
      </c>
      <c r="P881" t="inlineStr">
        <is>
          <t>Associate | Research Analyst</t>
        </is>
      </c>
      <c r="Y881" t="inlineStr">
        <is>
          <t>todo</t>
        </is>
      </c>
      <c r="Z881">
        <f>(M881*Weights!$B$2) + (MIN(Q881,Weights!$B$5)*Weights!$B$3*(W881/100)*Weights!$B$4)</f>
        <v/>
      </c>
      <c r="AA881">
        <f>IF(Z881= ,,RANK.EQ({pri_col_letter}{r},{pri_range},0))</f>
        <v/>
      </c>
    </row>
    <row r="882">
      <c r="A882" t="inlineStr">
        <is>
          <t>Fleet Defender</t>
        </is>
      </c>
      <c r="B882" t="n">
        <v>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2</v>
      </c>
      <c r="N882" t="inlineStr">
        <is>
          <t>Tier 4</t>
        </is>
      </c>
      <c r="O882" t="inlineStr">
        <is>
          <t>Courtney Reinert — COO; Terry Reinert — CEO</t>
        </is>
      </c>
      <c r="P882" t="inlineStr">
        <is>
          <t>COO | CEO</t>
        </is>
      </c>
      <c r="Y882" t="inlineStr">
        <is>
          <t>todo</t>
        </is>
      </c>
      <c r="Z882">
        <f>(M882*Weights!$B$2) + (MIN(Q882,Weights!$B$5)*Weights!$B$3*(W882/100)*Weights!$B$4)</f>
        <v/>
      </c>
      <c r="AA882">
        <f>IF(Z882= ,,RANK.EQ({pri_col_letter}{r},{pri_range},0))</f>
        <v/>
      </c>
    </row>
    <row r="883">
      <c r="A883" t="inlineStr">
        <is>
          <t>Fracht FWO</t>
        </is>
      </c>
      <c r="B883" t="n">
        <v>2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2</v>
      </c>
      <c r="N883" t="inlineStr">
        <is>
          <t>Tier 4</t>
        </is>
      </c>
      <c r="O883" t="inlineStr">
        <is>
          <t>Chad Smutny — Director of IT; Janick Bujiiks — Technology Innovation Manager</t>
        </is>
      </c>
      <c r="P883" t="inlineStr">
        <is>
          <t>Director of IT | Technology Innovation Manager</t>
        </is>
      </c>
      <c r="Y883" t="inlineStr">
        <is>
          <t>todo</t>
        </is>
      </c>
      <c r="Z883">
        <f>(M883*Weights!$B$2) + (MIN(Q883,Weights!$B$5)*Weights!$B$3*(W883/100)*Weights!$B$4)</f>
        <v/>
      </c>
      <c r="AA883">
        <f>IF(Z883= ,,RANK.EQ({pri_col_letter}{r},{pri_range},0))</f>
        <v/>
      </c>
    </row>
    <row r="884">
      <c r="A884" t="inlineStr">
        <is>
          <t>Fraction.work</t>
        </is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2</v>
      </c>
      <c r="N884" t="inlineStr">
        <is>
          <t>Tier 4</t>
        </is>
      </c>
      <c r="O884" t="inlineStr">
        <is>
          <t>Zahra Ladiwala — Head of Developer Relations; Jeffrey Baker Baker — Co-Founder</t>
        </is>
      </c>
      <c r="P884" t="inlineStr">
        <is>
          <t>Head of Developer Relations | Co-Founder</t>
        </is>
      </c>
      <c r="Y884" t="inlineStr">
        <is>
          <t>todo</t>
        </is>
      </c>
      <c r="Z884">
        <f>(M884*Weights!$B$2) + (MIN(Q884,Weights!$B$5)*Weights!$B$3*(W884/100)*Weights!$B$4)</f>
        <v/>
      </c>
      <c r="AA884">
        <f>IF(Z884= ,,RANK.EQ({pri_col_letter}{r},{pri_range},0))</f>
        <v/>
      </c>
    </row>
    <row r="885">
      <c r="A885" t="inlineStr">
        <is>
          <t>Freightify</t>
        </is>
      </c>
      <c r="B885" t="n">
        <v>2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2</v>
      </c>
      <c r="N885" t="inlineStr">
        <is>
          <t>Tier 4</t>
        </is>
      </c>
      <c r="O885" t="inlineStr">
        <is>
          <t>Aadithya V — Co-Founder; Pankaj Giroti — Co-Founder</t>
        </is>
      </c>
      <c r="P885" t="inlineStr">
        <is>
          <t>Co-Founder</t>
        </is>
      </c>
      <c r="Y885" t="inlineStr">
        <is>
          <t>todo</t>
        </is>
      </c>
      <c r="Z885">
        <f>(M885*Weights!$B$2) + (MIN(Q885,Weights!$B$5)*Weights!$B$3*(W885/100)*Weights!$B$4)</f>
        <v/>
      </c>
      <c r="AA885">
        <f>IF(Z885= ,,RANK.EQ({pri_col_letter}{r},{pri_range},0))</f>
        <v/>
      </c>
    </row>
    <row r="886">
      <c r="A886" t="inlineStr">
        <is>
          <t>Freightmate AI</t>
        </is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2</v>
      </c>
      <c r="N886" t="inlineStr">
        <is>
          <t>Tier 4</t>
        </is>
      </c>
      <c r="O886" t="inlineStr">
        <is>
          <t>Bryan Lacaillade — CEO; Rishab Gadroo — CTO</t>
        </is>
      </c>
      <c r="P886" t="inlineStr">
        <is>
          <t>CEO | CTO</t>
        </is>
      </c>
      <c r="Y886" t="inlineStr">
        <is>
          <t>todo</t>
        </is>
      </c>
      <c r="Z886">
        <f>(M886*Weights!$B$2) + (MIN(Q886,Weights!$B$5)*Weights!$B$3*(W886/100)*Weights!$B$4)</f>
        <v/>
      </c>
      <c r="AA886">
        <f>IF(Z886= ,,RANK.EQ({pri_col_letter}{r},{pri_range},0))</f>
        <v/>
      </c>
    </row>
    <row r="887">
      <c r="A887" t="inlineStr">
        <is>
          <t>FreshX</t>
        </is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  <c r="N887" t="inlineStr">
        <is>
          <t>Tier 4</t>
        </is>
      </c>
      <c r="O887" t="inlineStr">
        <is>
          <t>Lance Hackney — COO &amp; Co-Founder; Nick Janson — Commercial Director</t>
        </is>
      </c>
      <c r="P887" t="inlineStr">
        <is>
          <t>COO &amp; Co-Founder | Commercial Director</t>
        </is>
      </c>
      <c r="Y887" t="inlineStr">
        <is>
          <t>todo</t>
        </is>
      </c>
      <c r="Z887">
        <f>(M887*Weights!$B$2) + (MIN(Q887,Weights!$B$5)*Weights!$B$3*(W887/100)*Weights!$B$4)</f>
        <v/>
      </c>
      <c r="AA887">
        <f>IF(Z887= ,,RANK.EQ({pri_col_letter}{r},{pri_range},0))</f>
        <v/>
      </c>
    </row>
    <row r="888">
      <c r="A888" t="inlineStr">
        <is>
          <t>Froid News</t>
        </is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</v>
      </c>
      <c r="N888" t="inlineStr">
        <is>
          <t>Tier 4</t>
        </is>
      </c>
      <c r="O888" t="inlineStr">
        <is>
          <t>Jennifer Besomi — Editor; Sylvie Warnet — Editor</t>
        </is>
      </c>
      <c r="P888" t="inlineStr">
        <is>
          <t>Editor</t>
        </is>
      </c>
      <c r="Y888" t="inlineStr">
        <is>
          <t>todo</t>
        </is>
      </c>
      <c r="Z888">
        <f>(M888*Weights!$B$2) + (MIN(Q888,Weights!$B$5)*Weights!$B$3*(W888/100)*Weights!$B$4)</f>
        <v/>
      </c>
      <c r="AA888">
        <f>IF(Z888= ,,RANK.EQ({pri_col_letter}{r},{pri_range},0))</f>
        <v/>
      </c>
    </row>
    <row r="889">
      <c r="A889" t="inlineStr">
        <is>
          <t>GLS US</t>
        </is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2</v>
      </c>
      <c r="N889" t="inlineStr">
        <is>
          <t>Tier 4</t>
        </is>
      </c>
      <c r="O889" t="inlineStr">
        <is>
          <t>Chris Thurman — Director of Partnerships, Solutions and National Accounts; Stacey King — National Account Manager</t>
        </is>
      </c>
      <c r="P889" t="inlineStr">
        <is>
          <t>Director of Partnerships, Solutions and National Accounts | National Account Manager</t>
        </is>
      </c>
      <c r="Y889" t="inlineStr">
        <is>
          <t>todo</t>
        </is>
      </c>
      <c r="Z889">
        <f>(M889*Weights!$B$2) + (MIN(Q889,Weights!$B$5)*Weights!$B$3*(W889/100)*Weights!$B$4)</f>
        <v/>
      </c>
      <c r="AA889">
        <f>IF(Z889= ,,RANK.EQ({pri_col_letter}{r},{pri_range},0))</f>
        <v/>
      </c>
    </row>
    <row r="890">
      <c r="A890" t="inlineStr">
        <is>
          <t>GP LOGISTICS</t>
        </is>
      </c>
      <c r="B890" t="n">
        <v>2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2</v>
      </c>
      <c r="N890" t="inlineStr">
        <is>
          <t>Tier 4</t>
        </is>
      </c>
      <c r="O890" t="inlineStr">
        <is>
          <t>Juan Jose Ponce Martinez — CO-FOUNDER / CO-CEO; Paul Sarrapy Priede — CO-FOUNDER / CO-CEO</t>
        </is>
      </c>
      <c r="P890" t="inlineStr">
        <is>
          <t>CO-FOUNDER / CO-CEO</t>
        </is>
      </c>
      <c r="Y890" t="inlineStr">
        <is>
          <t>todo</t>
        </is>
      </c>
      <c r="Z890">
        <f>(M890*Weights!$B$2) + (MIN(Q890,Weights!$B$5)*Weights!$B$3*(W890/100)*Weights!$B$4)</f>
        <v/>
      </c>
      <c r="AA890">
        <f>IF(Z890= ,,RANK.EQ({pri_col_letter}{r},{pri_range},0))</f>
        <v/>
      </c>
    </row>
    <row r="891">
      <c r="A891" t="inlineStr">
        <is>
          <t>Gaia Dynamics</t>
        </is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</v>
      </c>
      <c r="N891" t="inlineStr">
        <is>
          <t>Tier 4</t>
        </is>
      </c>
      <c r="O891" t="inlineStr">
        <is>
          <t>Emil Stefanutti — CEO; Tom Gould — Chief Strategy and Compliance Officer</t>
        </is>
      </c>
      <c r="P891" t="inlineStr">
        <is>
          <t>CEO | Chief Strategy and Compliance Officer</t>
        </is>
      </c>
      <c r="Y891" t="inlineStr">
        <is>
          <t>todo</t>
        </is>
      </c>
      <c r="Z891">
        <f>(M891*Weights!$B$2) + (MIN(Q891,Weights!$B$5)*Weights!$B$3*(W891/100)*Weights!$B$4)</f>
        <v/>
      </c>
      <c r="AA891">
        <f>IF(Z891= ,,RANK.EQ({pri_col_letter}{r},{pri_range},0))</f>
        <v/>
      </c>
    </row>
    <row r="892">
      <c r="A892" t="inlineStr">
        <is>
          <t>Glympse</t>
        </is>
      </c>
      <c r="B892" t="n">
        <v>2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2</v>
      </c>
      <c r="N892" t="inlineStr">
        <is>
          <t>Tier 4</t>
        </is>
      </c>
      <c r="O892" t="inlineStr">
        <is>
          <t>Chris Ruff — CEO and President; Cami Zimmer — CBO</t>
        </is>
      </c>
      <c r="P892" t="inlineStr">
        <is>
          <t>CEO and President | CBO</t>
        </is>
      </c>
      <c r="Y892" t="inlineStr">
        <is>
          <t>todo</t>
        </is>
      </c>
      <c r="Z892">
        <f>(M892*Weights!$B$2) + (MIN(Q892,Weights!$B$5)*Weights!$B$3*(W892/100)*Weights!$B$4)</f>
        <v/>
      </c>
      <c r="AA892">
        <f>IF(Z892= ,,RANK.EQ({pri_col_letter}{r},{pri_range},0))</f>
        <v/>
      </c>
    </row>
    <row r="893">
      <c r="A893" t="inlineStr">
        <is>
          <t>Gori Company</t>
        </is>
      </c>
      <c r="B893" t="n">
        <v>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inlineStr">
        <is>
          <t>Tier 4</t>
        </is>
      </c>
      <c r="O893" t="inlineStr">
        <is>
          <t>Sean Robertson — VP of Partnerships; Sky Kim — CEO &amp; Founder</t>
        </is>
      </c>
      <c r="P893" t="inlineStr">
        <is>
          <t>VP of Partnerships | CEO &amp; Founder</t>
        </is>
      </c>
      <c r="Y893" t="inlineStr">
        <is>
          <t>todo</t>
        </is>
      </c>
      <c r="Z893">
        <f>(M893*Weights!$B$2) + (MIN(Q893,Weights!$B$5)*Weights!$B$3*(W893/100)*Weights!$B$4)</f>
        <v/>
      </c>
      <c r="AA893">
        <f>IF(Z893= ,,RANK.EQ({pri_col_letter}{r},{pri_range},0))</f>
        <v/>
      </c>
    </row>
    <row r="894">
      <c r="A894" t="inlineStr">
        <is>
          <t>Gregory FCA</t>
        </is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inlineStr">
        <is>
          <t>Tier 4</t>
        </is>
      </c>
      <c r="O894" t="inlineStr">
        <is>
          <t>Katie Vroom — Senior Vice President; Nicole Sullivan — Senior Vice President</t>
        </is>
      </c>
      <c r="P894" t="inlineStr">
        <is>
          <t>Senior Vice President</t>
        </is>
      </c>
      <c r="Y894" t="inlineStr">
        <is>
          <t>todo</t>
        </is>
      </c>
      <c r="Z894">
        <f>(M894*Weights!$B$2) + (MIN(Q894,Weights!$B$5)*Weights!$B$3*(W894/100)*Weights!$B$4)</f>
        <v/>
      </c>
      <c r="AA894">
        <f>IF(Z894= ,,RANK.EQ({pri_col_letter}{r},{pri_range},0))</f>
        <v/>
      </c>
    </row>
    <row r="895">
      <c r="A895" t="inlineStr">
        <is>
          <t>Grid Capital</t>
        </is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</v>
      </c>
      <c r="N895" t="inlineStr">
        <is>
          <t>Tier 4</t>
        </is>
      </c>
      <c r="O895" t="inlineStr">
        <is>
          <t>Jackie DiMonte — General Partner; Peter Christman — General Partner</t>
        </is>
      </c>
      <c r="P895" t="inlineStr">
        <is>
          <t>General Partner</t>
        </is>
      </c>
      <c r="Y895" t="inlineStr">
        <is>
          <t>todo</t>
        </is>
      </c>
      <c r="Z895">
        <f>(M895*Weights!$B$2) + (MIN(Q895,Weights!$B$5)*Weights!$B$3*(W895/100)*Weights!$B$4)</f>
        <v/>
      </c>
      <c r="AA895">
        <f>IF(Z895= ,,RANK.EQ({pri_col_letter}{r},{pri_range},0))</f>
        <v/>
      </c>
    </row>
    <row r="896">
      <c r="A896" t="inlineStr">
        <is>
          <t>HD LOGISTICS &amp; WAREHOUSING SOLUTIONS LLC</t>
        </is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2</v>
      </c>
      <c r="N896" t="inlineStr">
        <is>
          <t>Tier 4</t>
        </is>
      </c>
      <c r="O896" t="inlineStr">
        <is>
          <t>Chad Hildebrandt — Owner / COO; Jen Dixon — Owner / CEO</t>
        </is>
      </c>
      <c r="P896" t="inlineStr">
        <is>
          <t>Owner / COO | Owner / CEO</t>
        </is>
      </c>
      <c r="Y896" t="inlineStr">
        <is>
          <t>todo</t>
        </is>
      </c>
      <c r="Z896">
        <f>(M896*Weights!$B$2) + (MIN(Q896,Weights!$B$5)*Weights!$B$3*(W896/100)*Weights!$B$4)</f>
        <v/>
      </c>
      <c r="AA896">
        <f>IF(Z896= ,,RANK.EQ({pri_col_letter}{r},{pri_range},0))</f>
        <v/>
      </c>
    </row>
    <row r="897">
      <c r="A897" t="inlineStr">
        <is>
          <t>HOIST AI</t>
        </is>
      </c>
      <c r="B897" t="n">
        <v>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2</v>
      </c>
      <c r="N897" t="inlineStr">
        <is>
          <t>Tier 4</t>
        </is>
      </c>
      <c r="O897" t="inlineStr">
        <is>
          <t>Hidayat Hamidov — CEO; Srinivas Gunturu — CTO</t>
        </is>
      </c>
      <c r="P897" t="inlineStr">
        <is>
          <t>CEO | CTO</t>
        </is>
      </c>
      <c r="Y897" t="inlineStr">
        <is>
          <t>todo</t>
        </is>
      </c>
      <c r="Z897">
        <f>(M897*Weights!$B$2) + (MIN(Q897,Weights!$B$5)*Weights!$B$3*(W897/100)*Weights!$B$4)</f>
        <v/>
      </c>
      <c r="AA897">
        <f>IF(Z897= ,,RANK.EQ({pri_col_letter}{r},{pri_range},0))</f>
        <v/>
      </c>
    </row>
    <row r="898">
      <c r="A898" t="inlineStr">
        <is>
          <t>HTR Logistics</t>
        </is>
      </c>
      <c r="B898" t="n">
        <v>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inlineStr">
        <is>
          <t>Tier 4</t>
        </is>
      </c>
      <c r="O898" t="inlineStr">
        <is>
          <t>Lindsey Haught — President; Ryan Suckow — Director and Managing Partner</t>
        </is>
      </c>
      <c r="P898" t="inlineStr">
        <is>
          <t>President | Director and Managing Partner</t>
        </is>
      </c>
      <c r="Y898" t="inlineStr">
        <is>
          <t>todo</t>
        </is>
      </c>
      <c r="Z898">
        <f>(M898*Weights!$B$2) + (MIN(Q898,Weights!$B$5)*Weights!$B$3*(W898/100)*Weights!$B$4)</f>
        <v/>
      </c>
      <c r="AA898">
        <f>IF(Z898= ,,RANK.EQ({pri_col_letter}{r},{pri_range},0))</f>
        <v/>
      </c>
    </row>
    <row r="899">
      <c r="A899" t="inlineStr">
        <is>
          <t>Harris Williams LLC</t>
        </is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2</v>
      </c>
      <c r="N899" t="inlineStr">
        <is>
          <t>Tier 4</t>
        </is>
      </c>
      <c r="O899" t="inlineStr">
        <is>
          <t>Nick Petrick — Director; Ryan Costa — Director</t>
        </is>
      </c>
      <c r="P899" t="inlineStr">
        <is>
          <t>Director</t>
        </is>
      </c>
      <c r="Y899" t="inlineStr">
        <is>
          <t>todo</t>
        </is>
      </c>
      <c r="Z899">
        <f>(M899*Weights!$B$2) + (MIN(Q899,Weights!$B$5)*Weights!$B$3*(W899/100)*Weights!$B$4)</f>
        <v/>
      </c>
      <c r="AA899">
        <f>IF(Z899= ,,RANK.EQ({pri_col_letter}{r},{pri_range},0))</f>
        <v/>
      </c>
    </row>
    <row r="900">
      <c r="A900" t="inlineStr">
        <is>
          <t>Hg Capital</t>
        </is>
      </c>
      <c r="B900" t="n">
        <v>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2</v>
      </c>
      <c r="N900" t="inlineStr">
        <is>
          <t>Tier 4</t>
        </is>
      </c>
      <c r="O900" t="inlineStr">
        <is>
          <t>Anthony Bartucci — Associate; David Rivoir — Senior Associate</t>
        </is>
      </c>
      <c r="P900" t="inlineStr">
        <is>
          <t>Associate | Senior Associate</t>
        </is>
      </c>
      <c r="Y900" t="inlineStr">
        <is>
          <t>todo</t>
        </is>
      </c>
      <c r="Z900">
        <f>(M900*Weights!$B$2) + (MIN(Q900,Weights!$B$5)*Weights!$B$3*(W900/100)*Weights!$B$4)</f>
        <v/>
      </c>
      <c r="AA900">
        <f>IF(Z900= ,,RANK.EQ({pri_col_letter}{r},{pri_range},0))</f>
        <v/>
      </c>
    </row>
    <row r="901">
      <c r="A901" t="inlineStr">
        <is>
          <t>Hyperscale Systems, Inc.</t>
        </is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inlineStr">
        <is>
          <t>Tier 4</t>
        </is>
      </c>
      <c r="O901" t="inlineStr">
        <is>
          <t>Bo DellaMaria — CEO; Oliver Song — Co-Founder</t>
        </is>
      </c>
      <c r="P901" t="inlineStr">
        <is>
          <t>CEO | Co-Founder</t>
        </is>
      </c>
      <c r="Y901" t="inlineStr">
        <is>
          <t>todo</t>
        </is>
      </c>
      <c r="Z901">
        <f>(M901*Weights!$B$2) + (MIN(Q901,Weights!$B$5)*Weights!$B$3*(W901/100)*Weights!$B$4)</f>
        <v/>
      </c>
      <c r="AA901">
        <f>IF(Z901= ,,RANK.EQ({pri_col_letter}{r},{pri_range},0))</f>
        <v/>
      </c>
    </row>
    <row r="902">
      <c r="A902" t="inlineStr">
        <is>
          <t>ITOrizon Inc.</t>
        </is>
      </c>
      <c r="B902" t="n">
        <v>2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inlineStr">
        <is>
          <t>Tier 4</t>
        </is>
      </c>
      <c r="O902" t="inlineStr">
        <is>
          <t>Prabhakaran Chelladurai — Vice President, Customer Technology &amp; Transformation Partnerships; Senthil Murugaiyan — Senior Vice President - Manhattan Services</t>
        </is>
      </c>
      <c r="P902" t="inlineStr">
        <is>
          <t>Vice President, Customer Technology &amp; Transformation Partnerships | Senior Vice President - Manhattan Services</t>
        </is>
      </c>
      <c r="Y902" t="inlineStr">
        <is>
          <t>todo</t>
        </is>
      </c>
      <c r="Z902">
        <f>(M902*Weights!$B$2) + (MIN(Q902,Weights!$B$5)*Weights!$B$3*(W902/100)*Weights!$B$4)</f>
        <v/>
      </c>
      <c r="AA902">
        <f>IF(Z902= ,,RANK.EQ({pri_col_letter}{r},{pri_range},0))</f>
        <v/>
      </c>
    </row>
    <row r="903">
      <c r="A903" t="inlineStr">
        <is>
          <t>Impledge Xpress Pvt Ltd</t>
        </is>
      </c>
      <c r="B903" t="n">
        <v>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2</v>
      </c>
      <c r="N903" t="inlineStr">
        <is>
          <t>Tier 4</t>
        </is>
      </c>
      <c r="O903" t="inlineStr">
        <is>
          <t>Anugrah Atreya — CEO; Jitendra Mohan Verma — VP</t>
        </is>
      </c>
      <c r="P903" t="inlineStr">
        <is>
          <t>CEO | VP</t>
        </is>
      </c>
      <c r="Y903" t="inlineStr">
        <is>
          <t>todo</t>
        </is>
      </c>
      <c r="Z903">
        <f>(M903*Weights!$B$2) + (MIN(Q903,Weights!$B$5)*Weights!$B$3*(W903/100)*Weights!$B$4)</f>
        <v/>
      </c>
      <c r="AA903">
        <f>IF(Z903= ,,RANK.EQ({pri_col_letter}{r},{pri_range},0))</f>
        <v/>
      </c>
    </row>
    <row r="904">
      <c r="A904" t="inlineStr">
        <is>
          <t>Indemni</t>
        </is>
      </c>
      <c r="B904" t="n">
        <v>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inlineStr">
        <is>
          <t>Tier 4</t>
        </is>
      </c>
      <c r="O904" t="inlineStr">
        <is>
          <t>Omar Draz — Co-founder &amp; COO; Zach En'Wezoh — Co-founder &amp; CEO</t>
        </is>
      </c>
      <c r="P904" t="inlineStr">
        <is>
          <t>Co-founder &amp; COO | Co-founder &amp; CEO</t>
        </is>
      </c>
      <c r="Y904" t="inlineStr">
        <is>
          <t>todo</t>
        </is>
      </c>
      <c r="Z904">
        <f>(M904*Weights!$B$2) + (MIN(Q904,Weights!$B$5)*Weights!$B$3*(W904/100)*Weights!$B$4)</f>
        <v/>
      </c>
      <c r="AA904">
        <f>IF(Z904= ,,RANK.EQ({pri_col_letter}{r},{pri_range},0))</f>
        <v/>
      </c>
    </row>
    <row r="905">
      <c r="A905" t="inlineStr">
        <is>
          <t>Infinity Loop Technologies Inc (Infinity Loop)</t>
        </is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2</v>
      </c>
      <c r="N905" t="inlineStr">
        <is>
          <t>Tier 4</t>
        </is>
      </c>
      <c r="O905" t="inlineStr">
        <is>
          <t>Kevin Liang — Head of Technology; Nithin Mummaneni — CEO</t>
        </is>
      </c>
      <c r="P905" t="inlineStr">
        <is>
          <t>CEO | Head of Technology</t>
        </is>
      </c>
      <c r="Y905" t="inlineStr">
        <is>
          <t>todo</t>
        </is>
      </c>
      <c r="Z905">
        <f>(M905*Weights!$B$2) + (MIN(Q905,Weights!$B$5)*Weights!$B$3*(W905/100)*Weights!$B$4)</f>
        <v/>
      </c>
      <c r="AA905">
        <f>IF(Z905= ,,RANK.EQ({pri_col_letter}{r},{pri_range},0))</f>
        <v/>
      </c>
    </row>
    <row r="906">
      <c r="A906" t="inlineStr">
        <is>
          <t>Inside Logistics</t>
        </is>
      </c>
      <c r="B906" t="n">
        <v>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2</v>
      </c>
      <c r="N906" t="inlineStr">
        <is>
          <t>Tier 4</t>
        </is>
      </c>
      <c r="O906" t="inlineStr">
        <is>
          <t>Delon Rashid — Managing Partner; Derek Clouthier — Editor</t>
        </is>
      </c>
      <c r="P906" t="inlineStr">
        <is>
          <t>Managing Partner | Editor</t>
        </is>
      </c>
      <c r="Y906" t="inlineStr">
        <is>
          <t>todo</t>
        </is>
      </c>
      <c r="Z906">
        <f>(M906*Weights!$B$2) + (MIN(Q906,Weights!$B$5)*Weights!$B$3*(W906/100)*Weights!$B$4)</f>
        <v/>
      </c>
      <c r="AA906">
        <f>IF(Z906= ,,RANK.EQ({pri_col_letter}{r},{pri_range},0))</f>
        <v/>
      </c>
    </row>
    <row r="907">
      <c r="A907" t="inlineStr">
        <is>
          <t>Inside Logistics Magazine</t>
        </is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</v>
      </c>
      <c r="N907" t="inlineStr">
        <is>
          <t>Tier 4</t>
        </is>
      </c>
      <c r="O907" t="inlineStr">
        <is>
          <t>Delon Rashid — President; Kenza Bahbaz — Associate Publisher</t>
        </is>
      </c>
      <c r="P907" t="inlineStr">
        <is>
          <t>President | Associate Publisher</t>
        </is>
      </c>
      <c r="Y907" t="inlineStr">
        <is>
          <t>todo</t>
        </is>
      </c>
      <c r="Z907">
        <f>(M907*Weights!$B$2) + (MIN(Q907,Weights!$B$5)*Weights!$B$3*(W907/100)*Weights!$B$4)</f>
        <v/>
      </c>
      <c r="AA907">
        <f>IF(Z907= ,,RANK.EQ({pri_col_letter}{r},{pri_range},0))</f>
        <v/>
      </c>
    </row>
    <row r="908">
      <c r="A908" t="inlineStr">
        <is>
          <t>Intermodal Association of North America</t>
        </is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10000000</v>
      </c>
      <c r="I908" t="n">
        <v>0</v>
      </c>
      <c r="J908" t="n">
        <v>0</v>
      </c>
      <c r="K908" t="n">
        <v>0</v>
      </c>
      <c r="L908" t="n">
        <v>0</v>
      </c>
      <c r="M908" t="n">
        <v>2</v>
      </c>
      <c r="N908" t="inlineStr">
        <is>
          <t>Tier 4</t>
        </is>
      </c>
      <c r="O908" t="inlineStr">
        <is>
          <t>David Garofalo — Assistant Vice President, Membership &amp; Communications; Robin Troy — Assistant Vice President, Events and Partnerships</t>
        </is>
      </c>
      <c r="P908" t="inlineStr">
        <is>
          <t>Assistant Vice President, Membership &amp; Communications | Assistant Vice President, Events and Partnerships</t>
        </is>
      </c>
      <c r="Y908" t="inlineStr">
        <is>
          <t>todo</t>
        </is>
      </c>
      <c r="Z908">
        <f>(M908*Weights!$B$2) + (MIN(Q908,Weights!$B$5)*Weights!$B$3*(W908/100)*Weights!$B$4)</f>
        <v/>
      </c>
      <c r="AA908">
        <f>IF(Z908= ,,RANK.EQ({pri_col_letter}{r},{pri_range},0))</f>
        <v/>
      </c>
    </row>
    <row r="909">
      <c r="A909" t="inlineStr">
        <is>
          <t>Interwoven Ventures</t>
        </is>
      </c>
      <c r="B909" t="n">
        <v>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inlineStr">
        <is>
          <t>Tier 4</t>
        </is>
      </c>
      <c r="O909" t="inlineStr">
        <is>
          <t>Erez Agmoni — Partner; Lisa Chai — General Partner</t>
        </is>
      </c>
      <c r="P909" t="inlineStr">
        <is>
          <t>General Partner | Partner</t>
        </is>
      </c>
      <c r="Y909" t="inlineStr">
        <is>
          <t>todo</t>
        </is>
      </c>
      <c r="Z909">
        <f>(M909*Weights!$B$2) + (MIN(Q909,Weights!$B$5)*Weights!$B$3*(W909/100)*Weights!$B$4)</f>
        <v/>
      </c>
      <c r="AA909">
        <f>IF(Z909= ,,RANK.EQ({pri_col_letter}{r},{pri_range},0))</f>
        <v/>
      </c>
    </row>
    <row r="910">
      <c r="A910" t="inlineStr">
        <is>
          <t>Japan Post</t>
        </is>
      </c>
      <c r="B910" t="n">
        <v>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</v>
      </c>
      <c r="N910" t="inlineStr">
        <is>
          <t>Tier 4</t>
        </is>
      </c>
      <c r="O910" t="inlineStr">
        <is>
          <t>Yuichi Ando — Head of Silicon Valley Office; Shotaro Nakamura — Innovation Manager</t>
        </is>
      </c>
      <c r="P910" t="inlineStr">
        <is>
          <t>Head of Silicon Valley Office | Innovation Manager</t>
        </is>
      </c>
      <c r="Y910" t="inlineStr">
        <is>
          <t>todo</t>
        </is>
      </c>
      <c r="Z910">
        <f>(M910*Weights!$B$2) + (MIN(Q910,Weights!$B$5)*Weights!$B$3*(W910/100)*Weights!$B$4)</f>
        <v/>
      </c>
      <c r="AA910">
        <f>IF(Z910= ,,RANK.EQ({pri_col_letter}{r},{pri_range},0))</f>
        <v/>
      </c>
    </row>
    <row r="911">
      <c r="A911" t="inlineStr">
        <is>
          <t>Journey</t>
        </is>
      </c>
      <c r="B911" t="n">
        <v>2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</v>
      </c>
      <c r="N911" t="inlineStr">
        <is>
          <t>Tier 4</t>
        </is>
      </c>
      <c r="O911" t="inlineStr">
        <is>
          <t>Will Jenkins — CEO &amp; Founder; Justin Turner — Managing Partner</t>
        </is>
      </c>
      <c r="P911" t="inlineStr">
        <is>
          <t>CEO &amp; Founder | Managing Partner</t>
        </is>
      </c>
      <c r="Y911" t="inlineStr">
        <is>
          <t>todo</t>
        </is>
      </c>
      <c r="Z911">
        <f>(M911*Weights!$B$2) + (MIN(Q911,Weights!$B$5)*Weights!$B$3*(W911/100)*Weights!$B$4)</f>
        <v/>
      </c>
      <c r="AA911">
        <f>IF(Z911= ,,RANK.EQ({pri_col_letter}{r},{pri_range},0))</f>
        <v/>
      </c>
    </row>
    <row r="912">
      <c r="A912" t="inlineStr">
        <is>
          <t>K &amp; C Warehouse LLC</t>
        </is>
      </c>
      <c r="B912" t="n">
        <v>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2</v>
      </c>
      <c r="N912" t="inlineStr">
        <is>
          <t>Tier 4</t>
        </is>
      </c>
      <c r="O912" t="inlineStr">
        <is>
          <t>Casey Lenahan — President; Kelly O'Leary — COO</t>
        </is>
      </c>
      <c r="P912" t="inlineStr">
        <is>
          <t>President | COO</t>
        </is>
      </c>
      <c r="Y912" t="inlineStr">
        <is>
          <t>todo</t>
        </is>
      </c>
      <c r="Z912">
        <f>(M912*Weights!$B$2) + (MIN(Q912,Weights!$B$5)*Weights!$B$3*(W912/100)*Weights!$B$4)</f>
        <v/>
      </c>
      <c r="AA912">
        <f>IF(Z912= ,,RANK.EQ({pri_col_letter}{r},{pri_range},0))</f>
        <v/>
      </c>
    </row>
    <row r="913">
      <c r="A913" t="inlineStr">
        <is>
          <t>KCE Logistics</t>
        </is>
      </c>
      <c r="B913" t="n">
        <v>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2</v>
      </c>
      <c r="N913" t="inlineStr">
        <is>
          <t>Tier 4</t>
        </is>
      </c>
      <c r="O913" t="inlineStr">
        <is>
          <t>Young Park — Director; Jae Yang — Director</t>
        </is>
      </c>
      <c r="P913" t="inlineStr">
        <is>
          <t>Director</t>
        </is>
      </c>
      <c r="Y913" t="inlineStr">
        <is>
          <t>todo</t>
        </is>
      </c>
      <c r="Z913">
        <f>(M913*Weights!$B$2) + (MIN(Q913,Weights!$B$5)*Weights!$B$3*(W913/100)*Weights!$B$4)</f>
        <v/>
      </c>
      <c r="AA913">
        <f>IF(Z913= ,,RANK.EQ({pri_col_letter}{r},{pri_range},0))</f>
        <v/>
      </c>
    </row>
    <row r="914">
      <c r="A914" t="inlineStr">
        <is>
          <t>KL Convergence</t>
        </is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inlineStr">
        <is>
          <t>Tier 4</t>
        </is>
      </c>
      <c r="O914" t="inlineStr">
        <is>
          <t>Arjun Khurana — CEO; David Lubawski — CTO</t>
        </is>
      </c>
      <c r="P914" t="inlineStr">
        <is>
          <t>CEO | CTO</t>
        </is>
      </c>
      <c r="Y914" t="inlineStr">
        <is>
          <t>todo</t>
        </is>
      </c>
      <c r="Z914">
        <f>(M914*Weights!$B$2) + (MIN(Q914,Weights!$B$5)*Weights!$B$3*(W914/100)*Weights!$B$4)</f>
        <v/>
      </c>
      <c r="AA914">
        <f>IF(Z914= ,,RANK.EQ({pri_col_letter}{r},{pri_range},0))</f>
        <v/>
      </c>
    </row>
    <row r="915">
      <c r="A915" t="inlineStr">
        <is>
          <t>KTI</t>
        </is>
      </c>
      <c r="B915" t="n">
        <v>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</v>
      </c>
      <c r="N915" t="inlineStr">
        <is>
          <t>Tier 4</t>
        </is>
      </c>
      <c r="O915" t="inlineStr">
        <is>
          <t>Andrew Peschong — President; Michael Kroul — CEO</t>
        </is>
      </c>
      <c r="P915" t="inlineStr">
        <is>
          <t>President | CEO</t>
        </is>
      </c>
      <c r="Y915" t="inlineStr">
        <is>
          <t>todo</t>
        </is>
      </c>
      <c r="Z915">
        <f>(M915*Weights!$B$2) + (MIN(Q915,Weights!$B$5)*Weights!$B$3*(W915/100)*Weights!$B$4)</f>
        <v/>
      </c>
      <c r="AA915">
        <f>IF(Z915= ,,RANK.EQ({pri_col_letter}{r},{pri_range},0))</f>
        <v/>
      </c>
    </row>
    <row r="916">
      <c r="A916" t="inlineStr">
        <is>
          <t>Kanmon</t>
        </is>
      </c>
      <c r="B916" t="n">
        <v>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2</v>
      </c>
      <c r="N916" t="inlineStr">
        <is>
          <t>Tier 4</t>
        </is>
      </c>
      <c r="O916" t="inlineStr">
        <is>
          <t>Maarten van der Putten — VP Partnerships; Ari Myers — Co-founder &amp; CRO</t>
        </is>
      </c>
      <c r="P916" t="inlineStr">
        <is>
          <t>VP Partnerships | Co-founder &amp; CRO</t>
        </is>
      </c>
      <c r="Y916" t="inlineStr">
        <is>
          <t>todo</t>
        </is>
      </c>
      <c r="Z916">
        <f>(M916*Weights!$B$2) + (MIN(Q916,Weights!$B$5)*Weights!$B$3*(W916/100)*Weights!$B$4)</f>
        <v/>
      </c>
      <c r="AA916">
        <f>IF(Z916= ,,RANK.EQ({pri_col_letter}{r},{pri_range},0))</f>
        <v/>
      </c>
    </row>
    <row r="917">
      <c r="A917" t="inlineStr">
        <is>
          <t>Koch Disruptive Technologies</t>
        </is>
      </c>
      <c r="B917" t="n">
        <v>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</v>
      </c>
      <c r="N917" t="inlineStr">
        <is>
          <t>Tier 4</t>
        </is>
      </c>
      <c r="O917" t="inlineStr">
        <is>
          <t>Keaton Goedert — Investment Director; Nate Purdum — Director</t>
        </is>
      </c>
      <c r="P917" t="inlineStr">
        <is>
          <t>Investment Director | Director</t>
        </is>
      </c>
      <c r="Y917" t="inlineStr">
        <is>
          <t>todo</t>
        </is>
      </c>
      <c r="Z917">
        <f>(M917*Weights!$B$2) + (MIN(Q917,Weights!$B$5)*Weights!$B$3*(W917/100)*Weights!$B$4)</f>
        <v/>
      </c>
      <c r="AA917">
        <f>IF(Z917= ,,RANK.EQ({pri_col_letter}{r},{pri_range},0))</f>
        <v/>
      </c>
    </row>
    <row r="918">
      <c r="A918" t="inlineStr">
        <is>
          <t>Kodif</t>
        </is>
      </c>
      <c r="B918" t="n">
        <v>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</v>
      </c>
      <c r="N918" t="inlineStr">
        <is>
          <t>Tier 4</t>
        </is>
      </c>
      <c r="O918" t="inlineStr">
        <is>
          <t>Chyngyz Dzhumanazarov — CEO &amp; Co-Founder; Mike Zayonc — Co-Founder</t>
        </is>
      </c>
      <c r="P918" t="inlineStr">
        <is>
          <t>CEO &amp; Co-Founder | Co-Founder</t>
        </is>
      </c>
      <c r="Y918" t="inlineStr">
        <is>
          <t>todo</t>
        </is>
      </c>
      <c r="Z918">
        <f>(M918*Weights!$B$2) + (MIN(Q918,Weights!$B$5)*Weights!$B$3*(W918/100)*Weights!$B$4)</f>
        <v/>
      </c>
      <c r="AA918">
        <f>IF(Z918= ,,RANK.EQ({pri_col_letter}{r},{pri_range},0))</f>
        <v/>
      </c>
    </row>
    <row r="919">
      <c r="A919" t="inlineStr">
        <is>
          <t>Kpler</t>
        </is>
      </c>
      <c r="B919" t="n">
        <v>2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2</v>
      </c>
      <c r="N919" t="inlineStr">
        <is>
          <t>Tier 4</t>
        </is>
      </c>
      <c r="O919" t="inlineStr">
        <is>
          <t>Katie Chester — Commercial Team Lead, Maritime; Rebecca Gerdes — Product Analyst</t>
        </is>
      </c>
      <c r="P919" t="inlineStr">
        <is>
          <t>Commercial Team Lead, Maritime | Product Analyst</t>
        </is>
      </c>
      <c r="Y919" t="inlineStr">
        <is>
          <t>todo</t>
        </is>
      </c>
      <c r="Z919">
        <f>(M919*Weights!$B$2) + (MIN(Q919,Weights!$B$5)*Weights!$B$3*(W919/100)*Weights!$B$4)</f>
        <v/>
      </c>
      <c r="AA919">
        <f>IF(Z919= ,,RANK.EQ({pri_col_letter}{r},{pri_range},0))</f>
        <v/>
      </c>
    </row>
    <row r="920">
      <c r="A920" t="inlineStr">
        <is>
          <t>LaborAI</t>
        </is>
      </c>
      <c r="B920" t="n">
        <v>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2</v>
      </c>
      <c r="N920" t="inlineStr">
        <is>
          <t>Tier 4</t>
        </is>
      </c>
      <c r="O920" t="inlineStr">
        <is>
          <t>Lee Rector — CEO; Malcolm Friedberg — CRO</t>
        </is>
      </c>
      <c r="P920" t="inlineStr">
        <is>
          <t>CEO | CRO</t>
        </is>
      </c>
      <c r="Y920" t="inlineStr">
        <is>
          <t>todo</t>
        </is>
      </c>
      <c r="Z920">
        <f>(M920*Weights!$B$2) + (MIN(Q920,Weights!$B$5)*Weights!$B$3*(W920/100)*Weights!$B$4)</f>
        <v/>
      </c>
      <c r="AA920">
        <f>IF(Z920= ,,RANK.EQ({pri_col_letter}{r},{pri_range},0))</f>
        <v/>
      </c>
    </row>
    <row r="921">
      <c r="A921" t="inlineStr">
        <is>
          <t>Lanaco</t>
        </is>
      </c>
      <c r="B921" t="n">
        <v>2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inlineStr">
        <is>
          <t>Tier 4</t>
        </is>
      </c>
      <c r="O921" t="inlineStr">
        <is>
          <t>Dragan Ninić — VP, Strategic Development; Milos Trkulja — Lead, Strategic Development</t>
        </is>
      </c>
      <c r="P921" t="inlineStr">
        <is>
          <t>VP, Strategic Development | Lead, Strategic Development</t>
        </is>
      </c>
      <c r="Y921" t="inlineStr">
        <is>
          <t>todo</t>
        </is>
      </c>
      <c r="Z921">
        <f>(M921*Weights!$B$2) + (MIN(Q921,Weights!$B$5)*Weights!$B$3*(W921/100)*Weights!$B$4)</f>
        <v/>
      </c>
      <c r="AA921">
        <f>IF(Z921= ,,RANK.EQ({pri_col_letter}{r},{pri_range},0))</f>
        <v/>
      </c>
    </row>
    <row r="922">
      <c r="A922" t="inlineStr">
        <is>
          <t>Last Mile Solutions, LLC</t>
        </is>
      </c>
      <c r="B922" t="n">
        <v>2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2</v>
      </c>
      <c r="N922" t="inlineStr">
        <is>
          <t>Tier 4</t>
        </is>
      </c>
      <c r="O922" t="inlineStr">
        <is>
          <t>Doug Schwartz — CEO &amp; Founder; Tom Gasparini — Founder / President</t>
        </is>
      </c>
      <c r="P922" t="inlineStr">
        <is>
          <t>CEO &amp; Founder | Founder / President</t>
        </is>
      </c>
      <c r="Y922" t="inlineStr">
        <is>
          <t>todo</t>
        </is>
      </c>
      <c r="Z922">
        <f>(M922*Weights!$B$2) + (MIN(Q922,Weights!$B$5)*Weights!$B$3*(W922/100)*Weights!$B$4)</f>
        <v/>
      </c>
      <c r="AA922">
        <f>IF(Z922= ,,RANK.EQ({pri_col_letter}{r},{pri_range},0))</f>
        <v/>
      </c>
    </row>
    <row r="923">
      <c r="A923" t="inlineStr">
        <is>
          <t>Lee &amp; Associates - LA - LB</t>
        </is>
      </c>
      <c r="B923" t="n">
        <v>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inlineStr">
        <is>
          <t>Tier 4</t>
        </is>
      </c>
      <c r="O923" t="inlineStr">
        <is>
          <t>Craig Poropat — Senior Vice President; Joseph Stanko — Senior Vice President</t>
        </is>
      </c>
      <c r="P923" t="inlineStr">
        <is>
          <t>Senior Vice President</t>
        </is>
      </c>
      <c r="Y923" t="inlineStr">
        <is>
          <t>todo</t>
        </is>
      </c>
      <c r="Z923">
        <f>(M923*Weights!$B$2) + (MIN(Q923,Weights!$B$5)*Weights!$B$3*(W923/100)*Weights!$B$4)</f>
        <v/>
      </c>
      <c r="AA923">
        <f>IF(Z923= ,,RANK.EQ({pri_col_letter}{r},{pri_range},0))</f>
        <v/>
      </c>
    </row>
    <row r="924">
      <c r="A924" t="inlineStr">
        <is>
          <t>Level5Fleet Corp</t>
        </is>
      </c>
      <c r="B924" t="n">
        <v>2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2</v>
      </c>
      <c r="N924" t="inlineStr">
        <is>
          <t>Tier 4</t>
        </is>
      </c>
      <c r="O924" t="inlineStr">
        <is>
          <t>Harold Ishebabi — Co-Founder &amp; CEO; Peter Stroud — COO</t>
        </is>
      </c>
      <c r="P924" t="inlineStr">
        <is>
          <t>Co-Founder &amp; CEO | COO</t>
        </is>
      </c>
      <c r="Y924" t="inlineStr">
        <is>
          <t>todo</t>
        </is>
      </c>
      <c r="Z924">
        <f>(M924*Weights!$B$2) + (MIN(Q924,Weights!$B$5)*Weights!$B$3*(W924/100)*Weights!$B$4)</f>
        <v/>
      </c>
      <c r="AA924">
        <f>IF(Z924= ,,RANK.EQ({pri_col_letter}{r},{pri_range},0))</f>
        <v/>
      </c>
    </row>
    <row r="925">
      <c r="A925" t="inlineStr">
        <is>
          <t>Loadar</t>
        </is>
      </c>
      <c r="B925" t="n">
        <v>2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2</v>
      </c>
      <c r="N925" t="inlineStr">
        <is>
          <t>Tier 4</t>
        </is>
      </c>
      <c r="O925" t="inlineStr">
        <is>
          <t>Ciaran Doherty — CEO; Rob Paterick — North America Strategic Solutions Director</t>
        </is>
      </c>
      <c r="P925" t="inlineStr">
        <is>
          <t>CEO | North America Strategic Solutions Director</t>
        </is>
      </c>
      <c r="Y925" t="inlineStr">
        <is>
          <t>todo</t>
        </is>
      </c>
      <c r="Z925">
        <f>(M925*Weights!$B$2) + (MIN(Q925,Weights!$B$5)*Weights!$B$3*(W925/100)*Weights!$B$4)</f>
        <v/>
      </c>
      <c r="AA925">
        <f>IF(Z925= ,,RANK.EQ({pri_col_letter}{r},{pri_range},0))</f>
        <v/>
      </c>
    </row>
    <row r="926">
      <c r="A926" t="inlineStr">
        <is>
          <t>Loadsure</t>
        </is>
      </c>
      <c r="B926" t="n">
        <v>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2</v>
      </c>
      <c r="N926" t="inlineStr">
        <is>
          <t>Tier 4</t>
        </is>
      </c>
      <c r="O926" t="inlineStr">
        <is>
          <t>Jim Heide — COO &amp; Cofounder; Taylor Walker — Chief Insurance Officer</t>
        </is>
      </c>
      <c r="P926" t="inlineStr">
        <is>
          <t>COO &amp; Cofounder | Chief Insurance Officer</t>
        </is>
      </c>
      <c r="Y926" t="inlineStr">
        <is>
          <t>todo</t>
        </is>
      </c>
      <c r="Z926">
        <f>(M926*Weights!$B$2) + (MIN(Q926,Weights!$B$5)*Weights!$B$3*(W926/100)*Weights!$B$4)</f>
        <v/>
      </c>
      <c r="AA926">
        <f>IF(Z926= ,,RANK.EQ({pri_col_letter}{r},{pri_range},0))</f>
        <v/>
      </c>
    </row>
    <row r="927">
      <c r="A927" t="inlineStr">
        <is>
          <t>LogiVeo</t>
        </is>
      </c>
      <c r="B927" t="n">
        <v>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2</v>
      </c>
      <c r="N927" t="inlineStr">
        <is>
          <t>Tier 4</t>
        </is>
      </c>
      <c r="O927" t="inlineStr">
        <is>
          <t>Ron Bester — CEO; Connor Sheehey — CGO</t>
        </is>
      </c>
      <c r="P927" t="inlineStr">
        <is>
          <t>CEO | CGO</t>
        </is>
      </c>
      <c r="Y927" t="inlineStr">
        <is>
          <t>todo</t>
        </is>
      </c>
      <c r="Z927">
        <f>(M927*Weights!$B$2) + (MIN(Q927,Weights!$B$5)*Weights!$B$3*(W927/100)*Weights!$B$4)</f>
        <v/>
      </c>
      <c r="AA927">
        <f>IF(Z927= ,,RANK.EQ({pri_col_letter}{r},{pri_range},0))</f>
        <v/>
      </c>
    </row>
    <row r="928">
      <c r="A928" t="inlineStr">
        <is>
          <t>Logineer</t>
        </is>
      </c>
      <c r="B928" t="n">
        <v>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2</v>
      </c>
      <c r="N928" t="inlineStr">
        <is>
          <t>Tier 4</t>
        </is>
      </c>
      <c r="O928" t="inlineStr">
        <is>
          <t>Dennis Palma Albuquerque — Head of Commercial Strategy; Marco Holdorf — Manager Managed Service Oceania</t>
        </is>
      </c>
      <c r="P928" t="inlineStr">
        <is>
          <t>Head of Commercial Strategy | Manager Managed Service Oceania</t>
        </is>
      </c>
      <c r="Y928" t="inlineStr">
        <is>
          <t>todo</t>
        </is>
      </c>
      <c r="Z928">
        <f>(M928*Weights!$B$2) + (MIN(Q928,Weights!$B$5)*Weights!$B$3*(W928/100)*Weights!$B$4)</f>
        <v/>
      </c>
      <c r="AA928">
        <f>IF(Z928= ,,RANK.EQ({pri_col_letter}{r},{pri_range},0))</f>
        <v/>
      </c>
    </row>
    <row r="929">
      <c r="A929" t="inlineStr">
        <is>
          <t>Logistics Plus Inc</t>
        </is>
      </c>
      <c r="B929" t="n">
        <v>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2</v>
      </c>
      <c r="N929" t="inlineStr">
        <is>
          <t>Tier 4</t>
        </is>
      </c>
      <c r="O929" t="inlineStr">
        <is>
          <t>Jonathan Ackerman — Senior Vice President; Jonathan Evans — VP</t>
        </is>
      </c>
      <c r="P929" t="inlineStr">
        <is>
          <t>Senior Vice President | VP</t>
        </is>
      </c>
      <c r="Y929" t="inlineStr">
        <is>
          <t>todo</t>
        </is>
      </c>
      <c r="Z929">
        <f>(M929*Weights!$B$2) + (MIN(Q929,Weights!$B$5)*Weights!$B$3*(W929/100)*Weights!$B$4)</f>
        <v/>
      </c>
      <c r="AA929">
        <f>IF(Z929= ,,RANK.EQ({pri_col_letter}{r},{pri_range},0))</f>
        <v/>
      </c>
    </row>
    <row r="930">
      <c r="A930" t="inlineStr">
        <is>
          <t>Logistics Technology HQ Corporation (LTHQ)</t>
        </is>
      </c>
      <c r="B930" t="n">
        <v>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2</v>
      </c>
      <c r="N930" t="inlineStr">
        <is>
          <t>Tier 4</t>
        </is>
      </c>
      <c r="O930" t="inlineStr">
        <is>
          <t>Daniel Adams — COO; Timothy Kravitz — CEO/CTO</t>
        </is>
      </c>
      <c r="P930" t="inlineStr">
        <is>
          <t>COO | CEO/CTO</t>
        </is>
      </c>
      <c r="Y930" t="inlineStr">
        <is>
          <t>todo</t>
        </is>
      </c>
      <c r="Z930">
        <f>(M930*Weights!$B$2) + (MIN(Q930,Weights!$B$5)*Weights!$B$3*(W930/100)*Weights!$B$4)</f>
        <v/>
      </c>
      <c r="AA930">
        <f>IF(Z930= ,,RANK.EQ({pri_col_letter}{r},{pri_range},0))</f>
        <v/>
      </c>
    </row>
    <row r="931">
      <c r="A931" t="inlineStr">
        <is>
          <t>Logisyn Advisors</t>
        </is>
      </c>
      <c r="B931" t="n">
        <v>2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inlineStr">
        <is>
          <t>Tier 4</t>
        </is>
      </c>
      <c r="O931" t="inlineStr">
        <is>
          <t>Cody Rothwell — Buy-Side Director; Max Ibata-Arens — Director: Technology Sector</t>
        </is>
      </c>
      <c r="P931" t="inlineStr">
        <is>
          <t>Buy-Side Director | Director: Technology Sector</t>
        </is>
      </c>
      <c r="Y931" t="inlineStr">
        <is>
          <t>todo</t>
        </is>
      </c>
      <c r="Z931">
        <f>(M931*Weights!$B$2) + (MIN(Q931,Weights!$B$5)*Weights!$B$3*(W931/100)*Weights!$B$4)</f>
        <v/>
      </c>
      <c r="AA931">
        <f>IF(Z931= ,,RANK.EQ({pri_col_letter}{r},{pri_range},0))</f>
        <v/>
      </c>
    </row>
    <row r="932">
      <c r="A932" t="inlineStr">
        <is>
          <t>MBIS</t>
        </is>
      </c>
      <c r="B932" t="n">
        <v>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2</v>
      </c>
      <c r="N932" t="inlineStr">
        <is>
          <t>Tier 4</t>
        </is>
      </c>
      <c r="O932" t="inlineStr">
        <is>
          <t>Sorabh Mishra — CEO`; Julie Dionne — Director of Professional Services</t>
        </is>
      </c>
      <c r="P932" t="inlineStr">
        <is>
          <t>CEO` | Director of Professional Services</t>
        </is>
      </c>
      <c r="Y932" t="inlineStr">
        <is>
          <t>todo</t>
        </is>
      </c>
      <c r="Z932">
        <f>(M932*Weights!$B$2) + (MIN(Q932,Weights!$B$5)*Weights!$B$3*(W932/100)*Weights!$B$4)</f>
        <v/>
      </c>
      <c r="AA932">
        <f>IF(Z932= ,,RANK.EQ({pri_col_letter}{r},{pri_range},0))</f>
        <v/>
      </c>
    </row>
    <row r="933">
      <c r="A933" t="inlineStr">
        <is>
          <t>MHI</t>
        </is>
      </c>
      <c r="B933" t="n">
        <v>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</v>
      </c>
      <c r="N933" t="inlineStr">
        <is>
          <t>Tier 4</t>
        </is>
      </c>
      <c r="O933" t="inlineStr">
        <is>
          <t>John Paxton — CEO; Daniel McKinnon — CxO</t>
        </is>
      </c>
      <c r="P933" t="inlineStr">
        <is>
          <t>CEO | CxO</t>
        </is>
      </c>
      <c r="Y933" t="inlineStr">
        <is>
          <t>todo</t>
        </is>
      </c>
      <c r="Z933">
        <f>(M933*Weights!$B$2) + (MIN(Q933,Weights!$B$5)*Weights!$B$3*(W933/100)*Weights!$B$4)</f>
        <v/>
      </c>
      <c r="AA933">
        <f>IF(Z933= ,,RANK.EQ({pri_col_letter}{r},{pri_range},0))</f>
        <v/>
      </c>
    </row>
    <row r="934">
      <c r="A934" t="inlineStr">
        <is>
          <t>Magaya</t>
        </is>
      </c>
      <c r="B934" t="n">
        <v>2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</v>
      </c>
      <c r="N934" t="inlineStr">
        <is>
          <t>Tier 4</t>
        </is>
      </c>
      <c r="O934" t="inlineStr">
        <is>
          <t>Eric Ingram — CFO; Kristjan Lillemets — CPO</t>
        </is>
      </c>
      <c r="P934" t="inlineStr">
        <is>
          <t>CFO | CPO</t>
        </is>
      </c>
      <c r="Y934" t="inlineStr">
        <is>
          <t>todo</t>
        </is>
      </c>
      <c r="Z934">
        <f>(M934*Weights!$B$2) + (MIN(Q934,Weights!$B$5)*Weights!$B$3*(W934/100)*Weights!$B$4)</f>
        <v/>
      </c>
      <c r="AA934">
        <f>IF(Z934= ,,RANK.EQ({pri_col_letter}{r},{pri_range},0))</f>
        <v/>
      </c>
    </row>
    <row r="935">
      <c r="A935" t="inlineStr">
        <is>
          <t>Maniv</t>
        </is>
      </c>
      <c r="B935" t="n">
        <v>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</v>
      </c>
      <c r="N935" t="inlineStr">
        <is>
          <t>Tier 4</t>
        </is>
      </c>
      <c r="O935" t="inlineStr">
        <is>
          <t>Meir Dardashti — Partner; Kyle Spottiswood — Investor</t>
        </is>
      </c>
      <c r="P935" t="inlineStr">
        <is>
          <t>Investor | Partner</t>
        </is>
      </c>
      <c r="Y935" t="inlineStr">
        <is>
          <t>todo</t>
        </is>
      </c>
      <c r="Z935">
        <f>(M935*Weights!$B$2) + (MIN(Q935,Weights!$B$5)*Weights!$B$3*(W935/100)*Weights!$B$4)</f>
        <v/>
      </c>
      <c r="AA935">
        <f>IF(Z935= ,,RANK.EQ({pri_col_letter}{r},{pri_range},0))</f>
        <v/>
      </c>
    </row>
    <row r="936">
      <c r="A936" t="inlineStr">
        <is>
          <t>Map Transit</t>
        </is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</v>
      </c>
      <c r="N936" t="inlineStr">
        <is>
          <t>Tier 4</t>
        </is>
      </c>
      <c r="O936" t="inlineStr">
        <is>
          <t>Maxwell Fenger — President; Andrew Lee — Owner/Managing Partner</t>
        </is>
      </c>
      <c r="P936" t="inlineStr">
        <is>
          <t>President | Owner/Managing Partner</t>
        </is>
      </c>
      <c r="Y936" t="inlineStr">
        <is>
          <t>todo</t>
        </is>
      </c>
      <c r="Z936">
        <f>(M936*Weights!$B$2) + (MIN(Q936,Weights!$B$5)*Weights!$B$3*(W936/100)*Weights!$B$4)</f>
        <v/>
      </c>
      <c r="AA936">
        <f>IF(Z936= ,,RANK.EQ({pri_col_letter}{r},{pri_range},0))</f>
        <v/>
      </c>
    </row>
    <row r="937">
      <c r="A937" t="inlineStr">
        <is>
          <t>McGriff</t>
        </is>
      </c>
      <c r="B937" t="n">
        <v>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inlineStr">
        <is>
          <t>Tier 4</t>
        </is>
      </c>
      <c r="O937" t="inlineStr">
        <is>
          <t>Hamilton Bridges — Vice President; Wyatt Roop — Insurance Broker</t>
        </is>
      </c>
      <c r="P937" t="inlineStr">
        <is>
          <t>Vice President | Insurance Broker</t>
        </is>
      </c>
      <c r="Y937" t="inlineStr">
        <is>
          <t>todo</t>
        </is>
      </c>
      <c r="Z937">
        <f>(M937*Weights!$B$2) + (MIN(Q937,Weights!$B$5)*Weights!$B$3*(W937/100)*Weights!$B$4)</f>
        <v/>
      </c>
      <c r="AA937">
        <f>IF(Z937= ,,RANK.EQ({pri_col_letter}{r},{pri_range},0))</f>
        <v/>
      </c>
    </row>
    <row r="938">
      <c r="A938" t="inlineStr">
        <is>
          <t>McKinsey &amp; Company</t>
        </is>
      </c>
      <c r="B938" t="n">
        <v>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2</v>
      </c>
      <c r="N938" t="inlineStr">
        <is>
          <t>Tier 4</t>
        </is>
      </c>
      <c r="O938" t="inlineStr">
        <is>
          <t>Arsenio Martinez — Partner; Mike Thompson — Senior Partner</t>
        </is>
      </c>
      <c r="P938" t="inlineStr">
        <is>
          <t>Partner | Senior Partner</t>
        </is>
      </c>
      <c r="Y938" t="inlineStr">
        <is>
          <t>todo</t>
        </is>
      </c>
      <c r="Z938">
        <f>(M938*Weights!$B$2) + (MIN(Q938,Weights!$B$5)*Weights!$B$3*(W938/100)*Weights!$B$4)</f>
        <v/>
      </c>
      <c r="AA938">
        <f>IF(Z938= ,,RANK.EQ({pri_col_letter}{r},{pri_range},0))</f>
        <v/>
      </c>
    </row>
    <row r="939">
      <c r="A939" t="inlineStr">
        <is>
          <t>Metro Logics, Inc.</t>
        </is>
      </c>
      <c r="B939" t="n">
        <v>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inlineStr">
        <is>
          <t>Tier 4</t>
        </is>
      </c>
      <c r="O939" t="inlineStr">
        <is>
          <t>Isaac Byrd — Owner; Justin Miller — Director Of Commercial Division</t>
        </is>
      </c>
      <c r="P939" t="inlineStr">
        <is>
          <t>Owner | Director Of Commercial Division</t>
        </is>
      </c>
      <c r="Y939" t="inlineStr">
        <is>
          <t>todo</t>
        </is>
      </c>
      <c r="Z939">
        <f>(M939*Weights!$B$2) + (MIN(Q939,Weights!$B$5)*Weights!$B$3*(W939/100)*Weights!$B$4)</f>
        <v/>
      </c>
      <c r="AA939">
        <f>IF(Z939= ,,RANK.EQ({pri_col_letter}{r},{pri_range},0))</f>
        <v/>
      </c>
    </row>
    <row r="940">
      <c r="A940" t="inlineStr">
        <is>
          <t>Mitsubishi Electric Automation</t>
        </is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2</v>
      </c>
      <c r="N940" t="inlineStr">
        <is>
          <t>Tier 4</t>
        </is>
      </c>
      <c r="O940" t="inlineStr">
        <is>
          <t>Takashi Kai — Strategy Manager; Takehiro Ishiguro — Sr. Manager Open Innovation</t>
        </is>
      </c>
      <c r="P940" t="inlineStr">
        <is>
          <t>Strategy Manager | Sr. Manager Open Innovation</t>
        </is>
      </c>
      <c r="Y940" t="inlineStr">
        <is>
          <t>todo</t>
        </is>
      </c>
      <c r="Z940">
        <f>(M940*Weights!$B$2) + (MIN(Q940,Weights!$B$5)*Weights!$B$3*(W940/100)*Weights!$B$4)</f>
        <v/>
      </c>
      <c r="AA940">
        <f>IF(Z940= ,,RANK.EQ({pri_col_letter}{r},{pri_range},0))</f>
        <v/>
      </c>
    </row>
    <row r="941">
      <c r="A941" t="inlineStr">
        <is>
          <t>Move For Hunger</t>
        </is>
      </c>
      <c r="B941" t="n">
        <v>2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</v>
      </c>
      <c r="N941" t="inlineStr">
        <is>
          <t>Tier 4</t>
        </is>
      </c>
      <c r="O941" t="inlineStr">
        <is>
          <t>Alexa Mezzacappa — Special Events Coordinator; Kyla Crisp — Food Recovery Coordinator</t>
        </is>
      </c>
      <c r="P941" t="inlineStr">
        <is>
          <t>Special Events Coordinator | Food Recovery Coordinator</t>
        </is>
      </c>
      <c r="Y941" t="inlineStr">
        <is>
          <t>todo</t>
        </is>
      </c>
      <c r="Z941">
        <f>(M941*Weights!$B$2) + (MIN(Q941,Weights!$B$5)*Weights!$B$3*(W941/100)*Weights!$B$4)</f>
        <v/>
      </c>
      <c r="AA941">
        <f>IF(Z941= ,,RANK.EQ({pri_col_letter}{r},{pri_range},0))</f>
        <v/>
      </c>
    </row>
    <row r="942">
      <c r="A942" t="inlineStr">
        <is>
          <t>Move For Hunger, Inc</t>
        </is>
      </c>
      <c r="B942" t="n">
        <v>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2</v>
      </c>
      <c r="N942" t="inlineStr">
        <is>
          <t>Tier 4</t>
        </is>
      </c>
      <c r="O942" t="inlineStr">
        <is>
          <t>Kristy Ryan — COO; Taylor Heideman — Director of Corporate Engagement</t>
        </is>
      </c>
      <c r="P942" t="inlineStr">
        <is>
          <t>COO | Director of Corporate Engagement</t>
        </is>
      </c>
      <c r="Y942" t="inlineStr">
        <is>
          <t>todo</t>
        </is>
      </c>
      <c r="Z942">
        <f>(M942*Weights!$B$2) + (MIN(Q942,Weights!$B$5)*Weights!$B$3*(W942/100)*Weights!$B$4)</f>
        <v/>
      </c>
      <c r="AA942">
        <f>IF(Z942= ,,RANK.EQ({pri_col_letter}{r},{pri_range},0))</f>
        <v/>
      </c>
    </row>
    <row r="943">
      <c r="A943" t="inlineStr">
        <is>
          <t>MyCarrier, LLC</t>
        </is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2</v>
      </c>
      <c r="N943" t="inlineStr">
        <is>
          <t>Tier 4</t>
        </is>
      </c>
      <c r="O943" t="inlineStr">
        <is>
          <t>Chris Schied — Co-Founder &amp; Chief Product Officer; Michael Bookout — CEO</t>
        </is>
      </c>
      <c r="P943" t="inlineStr">
        <is>
          <t>Co-Founder &amp; Chief Product Officer | CEO</t>
        </is>
      </c>
      <c r="Y943" t="inlineStr">
        <is>
          <t>todo</t>
        </is>
      </c>
      <c r="Z943">
        <f>(M943*Weights!$B$2) + (MIN(Q943,Weights!$B$5)*Weights!$B$3*(W943/100)*Weights!$B$4)</f>
        <v/>
      </c>
      <c r="AA943">
        <f>IF(Z943= ,,RANK.EQ({pri_col_letter}{r},{pri_range},0))</f>
        <v/>
      </c>
    </row>
    <row r="944">
      <c r="A944" t="inlineStr">
        <is>
          <t>MySavant.ai</t>
        </is>
      </c>
      <c r="B944" t="n">
        <v>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</v>
      </c>
      <c r="N944" t="inlineStr">
        <is>
          <t>Tier 4</t>
        </is>
      </c>
      <c r="O944" t="inlineStr">
        <is>
          <t>Drew Charles — VP, Commercial Strategy; Hunter Bell — CEO</t>
        </is>
      </c>
      <c r="P944" t="inlineStr">
        <is>
          <t>VP, Commercial Strategy | CEO</t>
        </is>
      </c>
      <c r="Y944" t="inlineStr">
        <is>
          <t>todo</t>
        </is>
      </c>
      <c r="Z944">
        <f>(M944*Weights!$B$2) + (MIN(Q944,Weights!$B$5)*Weights!$B$3*(W944/100)*Weights!$B$4)</f>
        <v/>
      </c>
      <c r="AA944">
        <f>IF(Z944= ,,RANK.EQ({pri_col_letter}{r},{pri_range},0))</f>
        <v/>
      </c>
    </row>
    <row r="945">
      <c r="A945" t="inlineStr">
        <is>
          <t>NAW</t>
        </is>
      </c>
      <c r="B945" t="n">
        <v>2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</v>
      </c>
      <c r="N945" t="inlineStr">
        <is>
          <t>Tier 4</t>
        </is>
      </c>
      <c r="O945" t="inlineStr">
        <is>
          <t>Adam Isenberg — Senior Vice President of Strategic Partnerships; Katie Jo Moery — Manager of Strategic Partnerships</t>
        </is>
      </c>
      <c r="P945" t="inlineStr">
        <is>
          <t>Senior Vice President of Strategic Partnerships | Manager of Strategic Partnerships</t>
        </is>
      </c>
      <c r="Y945" t="inlineStr">
        <is>
          <t>todo</t>
        </is>
      </c>
      <c r="Z945">
        <f>(M945*Weights!$B$2) + (MIN(Q945,Weights!$B$5)*Weights!$B$3*(W945/100)*Weights!$B$4)</f>
        <v/>
      </c>
      <c r="AA945">
        <f>IF(Z945= ,,RANK.EQ({pri_col_letter}{r},{pri_range},0))</f>
        <v/>
      </c>
    </row>
    <row r="946">
      <c r="A946" t="inlineStr">
        <is>
          <t>NFI Industries</t>
        </is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2</v>
      </c>
      <c r="N946" t="inlineStr">
        <is>
          <t>Tier 4</t>
        </is>
      </c>
      <c r="O946" t="inlineStr">
        <is>
          <t>Jeff Lolli — Sr. Director, eCommerce; Clint Stoeck — Senior Manager, Engineering Technology &amp; Automation</t>
        </is>
      </c>
      <c r="P946" t="inlineStr">
        <is>
          <t>Sr. Director, eCommerce | Senior Manager, Engineering Technology &amp; Automation</t>
        </is>
      </c>
      <c r="Y946" t="inlineStr">
        <is>
          <t>todo</t>
        </is>
      </c>
      <c r="Z946">
        <f>(M946*Weights!$B$2) + (MIN(Q946,Weights!$B$5)*Weights!$B$3*(W946/100)*Weights!$B$4)</f>
        <v/>
      </c>
      <c r="AA946">
        <f>IF(Z946= ,,RANK.EQ({pri_col_letter}{r},{pri_range},0))</f>
        <v/>
      </c>
    </row>
    <row r="947">
      <c r="A947" t="inlineStr">
        <is>
          <t>NYSHEX</t>
        </is>
      </c>
      <c r="B947" t="n">
        <v>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2</v>
      </c>
      <c r="N947" t="inlineStr">
        <is>
          <t>Tier 4</t>
        </is>
      </c>
      <c r="O947" t="inlineStr">
        <is>
          <t>Glen Ives — SVP, Commercial; Martin Coudurier — Director of Commercial</t>
        </is>
      </c>
      <c r="P947" t="inlineStr">
        <is>
          <t>SVP, Commercial | Director of Commercial</t>
        </is>
      </c>
      <c r="Y947" t="inlineStr">
        <is>
          <t>todo</t>
        </is>
      </c>
      <c r="Z947">
        <f>(M947*Weights!$B$2) + (MIN(Q947,Weights!$B$5)*Weights!$B$3*(W947/100)*Weights!$B$4)</f>
        <v/>
      </c>
      <c r="AA947">
        <f>IF(Z947= ,,RANK.EQ({pri_col_letter}{r},{pri_range},0))</f>
        <v/>
      </c>
    </row>
    <row r="948">
      <c r="A948" t="inlineStr">
        <is>
          <t>Nexterus</t>
        </is>
      </c>
      <c r="B948" t="n">
        <v>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inlineStr">
        <is>
          <t>Tier 4</t>
        </is>
      </c>
      <c r="O948" t="inlineStr">
        <is>
          <t>Ryan Polakoff — President &amp; CEO; Chris Schramm — Director of Solutions</t>
        </is>
      </c>
      <c r="P948" t="inlineStr">
        <is>
          <t>President &amp; CEO | Director of Solutions</t>
        </is>
      </c>
      <c r="Y948" t="inlineStr">
        <is>
          <t>todo</t>
        </is>
      </c>
      <c r="Z948">
        <f>(M948*Weights!$B$2) + (MIN(Q948,Weights!$B$5)*Weights!$B$3*(W948/100)*Weights!$B$4)</f>
        <v/>
      </c>
      <c r="AA948">
        <f>IF(Z948= ,,RANK.EQ({pri_col_letter}{r},{pri_range},0))</f>
        <v/>
      </c>
    </row>
    <row r="949">
      <c r="A949" t="inlineStr">
        <is>
          <t>Node Systems Inc</t>
        </is>
      </c>
      <c r="B949" t="n">
        <v>2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2</v>
      </c>
      <c r="N949" t="inlineStr">
        <is>
          <t>Tier 4</t>
        </is>
      </c>
      <c r="O949" t="inlineStr">
        <is>
          <t>Ilia Smolov — CEO; Nikita Rushmanov — CTO</t>
        </is>
      </c>
      <c r="P949" t="inlineStr">
        <is>
          <t>CEO | CTO</t>
        </is>
      </c>
      <c r="Y949" t="inlineStr">
        <is>
          <t>todo</t>
        </is>
      </c>
      <c r="Z949">
        <f>(M949*Weights!$B$2) + (MIN(Q949,Weights!$B$5)*Weights!$B$3*(W949/100)*Weights!$B$4)</f>
        <v/>
      </c>
      <c r="AA949">
        <f>IF(Z949= ,,RANK.EQ({pri_col_letter}{r},{pri_range},0))</f>
        <v/>
      </c>
    </row>
    <row r="950">
      <c r="A950" t="inlineStr">
        <is>
          <t>OTR Load Board</t>
        </is>
      </c>
      <c r="B950" t="n">
        <v>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2</v>
      </c>
      <c r="N950" t="inlineStr">
        <is>
          <t>Tier 4</t>
        </is>
      </c>
      <c r="O950" t="inlineStr">
        <is>
          <t>Alden Gomez — Co-Founder; Thomas Estrella — Co-Founder</t>
        </is>
      </c>
      <c r="P950" t="inlineStr">
        <is>
          <t>Co-Founder</t>
        </is>
      </c>
      <c r="Y950" t="inlineStr">
        <is>
          <t>todo</t>
        </is>
      </c>
      <c r="Z950">
        <f>(M950*Weights!$B$2) + (MIN(Q950,Weights!$B$5)*Weights!$B$3*(W950/100)*Weights!$B$4)</f>
        <v/>
      </c>
      <c r="AA950">
        <f>IF(Z950= ,,RANK.EQ({pri_col_letter}{r},{pri_range},0))</f>
        <v/>
      </c>
    </row>
    <row r="951">
      <c r="A951" t="inlineStr">
        <is>
          <t>Oak Harbor Freight Lines</t>
        </is>
      </c>
      <c r="B951" t="n">
        <v>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</v>
      </c>
      <c r="N951" t="inlineStr">
        <is>
          <t>Tier 4</t>
        </is>
      </c>
      <c r="O951" t="inlineStr">
        <is>
          <t>Eric Vander Pol — Co-President; Jack Barden — National Account Manager</t>
        </is>
      </c>
      <c r="P951" t="inlineStr">
        <is>
          <t>Co-President | National Account Manager</t>
        </is>
      </c>
      <c r="Y951" t="inlineStr">
        <is>
          <t>todo</t>
        </is>
      </c>
      <c r="Z951">
        <f>(M951*Weights!$B$2) + (MIN(Q951,Weights!$B$5)*Weights!$B$3*(W951/100)*Weights!$B$4)</f>
        <v/>
      </c>
      <c r="AA951">
        <f>IF(Z951= ,,RANK.EQ({pri_col_letter}{r},{pri_range},0))</f>
        <v/>
      </c>
    </row>
    <row r="952">
      <c r="A952" t="inlineStr">
        <is>
          <t>OfficeWorld</t>
        </is>
      </c>
      <c r="B952" t="n">
        <v>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</v>
      </c>
      <c r="N952" t="inlineStr">
        <is>
          <t>Tier 4</t>
        </is>
      </c>
      <c r="O952" t="inlineStr">
        <is>
          <t>Brent Combs — President; Nathan Weber — Project Manager</t>
        </is>
      </c>
      <c r="P952" t="inlineStr">
        <is>
          <t>President | Project Manager</t>
        </is>
      </c>
      <c r="Y952" t="inlineStr">
        <is>
          <t>todo</t>
        </is>
      </c>
      <c r="Z952">
        <f>(M952*Weights!$B$2) + (MIN(Q952,Weights!$B$5)*Weights!$B$3*(W952/100)*Weights!$B$4)</f>
        <v/>
      </c>
      <c r="AA952">
        <f>IF(Z952= ,,RANK.EQ({pri_col_letter}{r},{pri_range},0))</f>
        <v/>
      </c>
    </row>
    <row r="953">
      <c r="A953" t="inlineStr">
        <is>
          <t>OpenRoad Global</t>
        </is>
      </c>
      <c r="B953" t="n">
        <v>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2</v>
      </c>
      <c r="N953" t="inlineStr">
        <is>
          <t>Tier 4</t>
        </is>
      </c>
      <c r="O953" t="inlineStr">
        <is>
          <t>Mark Weisensee — CEO; Elizabeth Weisensee — Secretary/Treasurer</t>
        </is>
      </c>
      <c r="P953" t="inlineStr">
        <is>
          <t>CEO | Secretary/Treasurer</t>
        </is>
      </c>
      <c r="Y953" t="inlineStr">
        <is>
          <t>todo</t>
        </is>
      </c>
      <c r="Z953">
        <f>(M953*Weights!$B$2) + (MIN(Q953,Weights!$B$5)*Weights!$B$3*(W953/100)*Weights!$B$4)</f>
        <v/>
      </c>
      <c r="AA953">
        <f>IF(Z953= ,,RANK.EQ({pri_col_letter}{r},{pri_range},0))</f>
        <v/>
      </c>
    </row>
    <row r="954">
      <c r="A954" t="inlineStr">
        <is>
          <t>Operating Crew</t>
        </is>
      </c>
      <c r="B954" t="n">
        <v>2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</v>
      </c>
      <c r="N954" t="inlineStr">
        <is>
          <t>Tier 4</t>
        </is>
      </c>
      <c r="O954" t="inlineStr">
        <is>
          <t>Xunyu Foo — Founder; Yan Sim — Founder</t>
        </is>
      </c>
      <c r="P954" t="inlineStr">
        <is>
          <t>Founder</t>
        </is>
      </c>
      <c r="Y954" t="inlineStr">
        <is>
          <t>todo</t>
        </is>
      </c>
      <c r="Z954">
        <f>(M954*Weights!$B$2) + (MIN(Q954,Weights!$B$5)*Weights!$B$3*(W954/100)*Weights!$B$4)</f>
        <v/>
      </c>
      <c r="AA954">
        <f>IF(Z954= ,,RANK.EQ({pri_col_letter}{r},{pri_range},0))</f>
        <v/>
      </c>
    </row>
    <row r="955">
      <c r="A955" t="inlineStr">
        <is>
          <t>P.B. Industries</t>
        </is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</v>
      </c>
      <c r="N955" t="inlineStr">
        <is>
          <t>Tier 4</t>
        </is>
      </c>
      <c r="O955" t="inlineStr">
        <is>
          <t>Andrew Park — President &amp; CEO; Jasmine Han — COO</t>
        </is>
      </c>
      <c r="P955" t="inlineStr">
        <is>
          <t>President &amp; CEO | COO</t>
        </is>
      </c>
      <c r="Y955" t="inlineStr">
        <is>
          <t>todo</t>
        </is>
      </c>
      <c r="Z955">
        <f>(M955*Weights!$B$2) + (MIN(Q955,Weights!$B$5)*Weights!$B$3*(W955/100)*Weights!$B$4)</f>
        <v/>
      </c>
      <c r="AA955">
        <f>IF(Z955= ,,RANK.EQ({pri_col_letter}{r},{pri_range},0))</f>
        <v/>
      </c>
    </row>
    <row r="956">
      <c r="A956" t="inlineStr">
        <is>
          <t>PLS Logistics Services</t>
        </is>
      </c>
      <c r="B956" t="n">
        <v>2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2</v>
      </c>
      <c r="N956" t="inlineStr">
        <is>
          <t>Tier 4</t>
        </is>
      </c>
      <c r="O956" t="inlineStr">
        <is>
          <t>Christian Lach — Project Manager to the CEO; Josh Lightcap — VP, Product Development</t>
        </is>
      </c>
      <c r="P956" t="inlineStr">
        <is>
          <t>Project Manager to the CEO | VP, Product Development</t>
        </is>
      </c>
      <c r="Y956" t="inlineStr">
        <is>
          <t>todo</t>
        </is>
      </c>
      <c r="Z956">
        <f>(M956*Weights!$B$2) + (MIN(Q956,Weights!$B$5)*Weights!$B$3*(W956/100)*Weights!$B$4)</f>
        <v/>
      </c>
      <c r="AA956">
        <f>IF(Z956= ,,RANK.EQ({pri_col_letter}{r},{pri_range},0))</f>
        <v/>
      </c>
    </row>
    <row r="957">
      <c r="A957" t="inlineStr">
        <is>
          <t>PSG Equity</t>
        </is>
      </c>
      <c r="B957" t="n">
        <v>2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inlineStr">
        <is>
          <t>Tier 4</t>
        </is>
      </c>
      <c r="O957" t="inlineStr">
        <is>
          <t>Ashley Markow — Vice President; James Tanner Austin — Principal</t>
        </is>
      </c>
      <c r="P957" t="inlineStr">
        <is>
          <t>Vice President | Principal</t>
        </is>
      </c>
      <c r="Y957" t="inlineStr">
        <is>
          <t>todo</t>
        </is>
      </c>
      <c r="Z957">
        <f>(M957*Weights!$B$2) + (MIN(Q957,Weights!$B$5)*Weights!$B$3*(W957/100)*Weights!$B$4)</f>
        <v/>
      </c>
      <c r="AA957">
        <f>IF(Z957= ,,RANK.EQ({pri_col_letter}{r},{pri_range},0))</f>
        <v/>
      </c>
    </row>
    <row r="958">
      <c r="A958" t="inlineStr">
        <is>
          <t>Palletized</t>
        </is>
      </c>
      <c r="B958" t="n">
        <v>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2</v>
      </c>
      <c r="N958" t="inlineStr">
        <is>
          <t>Tier 4</t>
        </is>
      </c>
      <c r="O958" t="inlineStr">
        <is>
          <t>Guillermo “Billy” Tillero — coFounder CFO; Maximiliano Trujillo — CoFounder CEO</t>
        </is>
      </c>
      <c r="P958" t="inlineStr">
        <is>
          <t>coFounder CFO | CoFounder CEO</t>
        </is>
      </c>
      <c r="Y958" t="inlineStr">
        <is>
          <t>todo</t>
        </is>
      </c>
      <c r="Z958">
        <f>(M958*Weights!$B$2) + (MIN(Q958,Weights!$B$5)*Weights!$B$3*(W958/100)*Weights!$B$4)</f>
        <v/>
      </c>
      <c r="AA958">
        <f>IF(Z958= ,,RANK.EQ({pri_col_letter}{r},{pri_range},0))</f>
        <v/>
      </c>
    </row>
    <row r="959">
      <c r="A959" t="inlineStr">
        <is>
          <t>Panasonic Connect Co., Ltd.</t>
        </is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2</v>
      </c>
      <c r="N959" t="inlineStr">
        <is>
          <t>Tier 4</t>
        </is>
      </c>
      <c r="O959" t="inlineStr">
        <is>
          <t>CHAOYUN CHEN — Software Engineer; NAOYA MISHIMA — Specialist</t>
        </is>
      </c>
      <c r="P959" t="inlineStr">
        <is>
          <t>Software Engineer | Specialist</t>
        </is>
      </c>
      <c r="Y959" t="inlineStr">
        <is>
          <t>todo</t>
        </is>
      </c>
      <c r="Z959">
        <f>(M959*Weights!$B$2) + (MIN(Q959,Weights!$B$5)*Weights!$B$3*(W959/100)*Weights!$B$4)</f>
        <v/>
      </c>
      <c r="AA959">
        <f>IF(Z959= ,,RANK.EQ({pri_col_letter}{r},{pri_range},0))</f>
        <v/>
      </c>
    </row>
    <row r="960">
      <c r="A960" t="inlineStr">
        <is>
          <t>Patrick Ta Beauty</t>
        </is>
      </c>
      <c r="B960" t="n">
        <v>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30000000</v>
      </c>
      <c r="I960" t="n">
        <v>0</v>
      </c>
      <c r="J960" t="n">
        <v>0</v>
      </c>
      <c r="K960" t="n">
        <v>0</v>
      </c>
      <c r="L960" t="n">
        <v>0</v>
      </c>
      <c r="M960" t="n">
        <v>2</v>
      </c>
      <c r="N960" t="inlineStr">
        <is>
          <t>Tier 4</t>
        </is>
      </c>
      <c r="O960" t="inlineStr">
        <is>
          <t>Sarah Bethel — Chief Operating Officer; Brian Lipkins-Scott — Director, Demand &amp; Supply Planning</t>
        </is>
      </c>
      <c r="P960" t="inlineStr">
        <is>
          <t>Chief Operating Officer | Director, Demand &amp; Supply Planning</t>
        </is>
      </c>
      <c r="Y960" t="inlineStr">
        <is>
          <t>todo</t>
        </is>
      </c>
      <c r="Z960">
        <f>(M960*Weights!$B$2) + (MIN(Q960,Weights!$B$5)*Weights!$B$3*(W960/100)*Weights!$B$4)</f>
        <v/>
      </c>
      <c r="AA960">
        <f>IF(Z960= ,,RANK.EQ({pri_col_letter}{r},{pri_range},0))</f>
        <v/>
      </c>
    </row>
    <row r="961">
      <c r="A961" t="inlineStr">
        <is>
          <t>Pesti Group</t>
        </is>
      </c>
      <c r="B961" t="n">
        <v>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inlineStr">
        <is>
          <t>Tier 4</t>
        </is>
      </c>
      <c r="O961" t="inlineStr">
        <is>
          <t>Ernesto Rinaldi — Director; Vlad Karetnikov - — Media Buyer</t>
        </is>
      </c>
      <c r="P961" t="inlineStr">
        <is>
          <t>Director | Media Buyer</t>
        </is>
      </c>
      <c r="Y961" t="inlineStr">
        <is>
          <t>todo</t>
        </is>
      </c>
      <c r="Z961">
        <f>(M961*Weights!$B$2) + (MIN(Q961,Weights!$B$5)*Weights!$B$3*(W961/100)*Weights!$B$4)</f>
        <v/>
      </c>
      <c r="AA961">
        <f>IF(Z961= ,,RANK.EQ({pri_col_letter}{r},{pri_range},0))</f>
        <v/>
      </c>
    </row>
    <row r="962">
      <c r="A962" t="inlineStr">
        <is>
          <t>Petrafi</t>
        </is>
      </c>
      <c r="B962" t="n">
        <v>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</v>
      </c>
      <c r="N962" t="inlineStr">
        <is>
          <t>Tier 4</t>
        </is>
      </c>
      <c r="O962" t="inlineStr">
        <is>
          <t>Alejandro Cusco — Executive Vice President; Ricardo Vargas — COO</t>
        </is>
      </c>
      <c r="P962" t="inlineStr">
        <is>
          <t>Executive Vice President | COO</t>
        </is>
      </c>
      <c r="Y962" t="inlineStr">
        <is>
          <t>todo</t>
        </is>
      </c>
      <c r="Z962">
        <f>(M962*Weights!$B$2) + (MIN(Q962,Weights!$B$5)*Weights!$B$3*(W962/100)*Weights!$B$4)</f>
        <v/>
      </c>
      <c r="AA962">
        <f>IF(Z962= ,,RANK.EQ({pri_col_letter}{r},{pri_range},0))</f>
        <v/>
      </c>
    </row>
    <row r="963">
      <c r="A963" t="inlineStr">
        <is>
          <t>Pinch AI</t>
        </is>
      </c>
      <c r="B963" t="n">
        <v>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2</v>
      </c>
      <c r="N963" t="inlineStr">
        <is>
          <t>Tier 4</t>
        </is>
      </c>
      <c r="O963" t="inlineStr">
        <is>
          <t>Arthi Makhija — Co-Founder, CEO; Jayan Tharayil — Co-Founder, COO</t>
        </is>
      </c>
      <c r="P963" t="inlineStr">
        <is>
          <t>Co-Founder, CEO | Co-Founder, COO</t>
        </is>
      </c>
      <c r="Y963" t="inlineStr">
        <is>
          <t>todo</t>
        </is>
      </c>
      <c r="Z963">
        <f>(M963*Weights!$B$2) + (MIN(Q963,Weights!$B$5)*Weights!$B$3*(W963/100)*Weights!$B$4)</f>
        <v/>
      </c>
      <c r="AA963">
        <f>IF(Z963= ,,RANK.EQ({pri_col_letter}{r},{pri_range},0))</f>
        <v/>
      </c>
    </row>
    <row r="964">
      <c r="A964" t="inlineStr">
        <is>
          <t>Pivot Supply Chain Solutions, Inc</t>
        </is>
      </c>
      <c r="B964" t="n">
        <v>2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2</v>
      </c>
      <c r="N964" t="inlineStr">
        <is>
          <t>Tier 4</t>
        </is>
      </c>
      <c r="O964" t="inlineStr">
        <is>
          <t>John Ferguson — Founder &amp; CEO; Naval Rajpurkar — COO</t>
        </is>
      </c>
      <c r="P964" t="inlineStr">
        <is>
          <t>Founder &amp; CEO | COO</t>
        </is>
      </c>
      <c r="Y964" t="inlineStr">
        <is>
          <t>todo</t>
        </is>
      </c>
      <c r="Z964">
        <f>(M964*Weights!$B$2) + (MIN(Q964,Weights!$B$5)*Weights!$B$3*(W964/100)*Weights!$B$4)</f>
        <v/>
      </c>
      <c r="AA964">
        <f>IF(Z964= ,,RANK.EQ({pri_col_letter}{r},{pri_range},0))</f>
        <v/>
      </c>
    </row>
    <row r="965">
      <c r="A965" t="inlineStr">
        <is>
          <t>Prism Logistics</t>
        </is>
      </c>
      <c r="B965" t="n">
        <v>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</v>
      </c>
      <c r="N965" t="inlineStr">
        <is>
          <t>Tier 4</t>
        </is>
      </c>
      <c r="O965" t="inlineStr">
        <is>
          <t>Jeremiah Van Puffelen — President; Jeremy Van Puffelen — President</t>
        </is>
      </c>
      <c r="P965" t="inlineStr">
        <is>
          <t>President</t>
        </is>
      </c>
      <c r="Y965" t="inlineStr">
        <is>
          <t>todo</t>
        </is>
      </c>
      <c r="Z965">
        <f>(M965*Weights!$B$2) + (MIN(Q965,Weights!$B$5)*Weights!$B$3*(W965/100)*Weights!$B$4)</f>
        <v/>
      </c>
      <c r="AA965">
        <f>IF(Z965= ,,RANK.EQ({pri_col_letter}{r},{pri_range},0))</f>
        <v/>
      </c>
    </row>
    <row r="966">
      <c r="A966" t="inlineStr">
        <is>
          <t>Prism Solutions Inc</t>
        </is>
      </c>
      <c r="B966" t="n">
        <v>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2</v>
      </c>
      <c r="N966" t="inlineStr">
        <is>
          <t>Tier 4</t>
        </is>
      </c>
      <c r="O966" t="inlineStr">
        <is>
          <t>Bryan Perkins — Managing Director; Jon Johnson — Managing Director</t>
        </is>
      </c>
      <c r="P966" t="inlineStr">
        <is>
          <t>Managing Director</t>
        </is>
      </c>
      <c r="Y966" t="inlineStr">
        <is>
          <t>todo</t>
        </is>
      </c>
      <c r="Z966">
        <f>(M966*Weights!$B$2) + (MIN(Q966,Weights!$B$5)*Weights!$B$3*(W966/100)*Weights!$B$4)</f>
        <v/>
      </c>
      <c r="AA966">
        <f>IF(Z966= ,,RANK.EQ({pri_col_letter}{r},{pri_range},0))</f>
        <v/>
      </c>
    </row>
    <row r="967">
      <c r="A967" t="inlineStr">
        <is>
          <t>Prologis Ventures</t>
        </is>
      </c>
      <c r="B967" t="n">
        <v>2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2</v>
      </c>
      <c r="N967" t="inlineStr">
        <is>
          <t>Tier 4</t>
        </is>
      </c>
      <c r="O967" t="inlineStr">
        <is>
          <t>Charlie Walker — Vice President; Victoria Deems — Head of Community</t>
        </is>
      </c>
      <c r="P967" t="inlineStr">
        <is>
          <t>Vice President | Head of Community</t>
        </is>
      </c>
      <c r="Y967" t="inlineStr">
        <is>
          <t>todo</t>
        </is>
      </c>
      <c r="Z967">
        <f>(M967*Weights!$B$2) + (MIN(Q967,Weights!$B$5)*Weights!$B$3*(W967/100)*Weights!$B$4)</f>
        <v/>
      </c>
      <c r="AA967">
        <f>IF(Z967= ,,RANK.EQ({pri_col_letter}{r},{pri_range},0))</f>
        <v/>
      </c>
    </row>
    <row r="968">
      <c r="A968" t="inlineStr">
        <is>
          <t>Prox</t>
        </is>
      </c>
      <c r="B968" t="n">
        <v>2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2</v>
      </c>
      <c r="N968" t="inlineStr">
        <is>
          <t>Tier 4</t>
        </is>
      </c>
      <c r="O968" t="inlineStr">
        <is>
          <t>Dima Yanovsky — CEO; Anton Melnyk — AI Engineer</t>
        </is>
      </c>
      <c r="P968" t="inlineStr">
        <is>
          <t>CEO | AI Engineer</t>
        </is>
      </c>
      <c r="Y968" t="inlineStr">
        <is>
          <t>todo</t>
        </is>
      </c>
      <c r="Z968">
        <f>(M968*Weights!$B$2) + (MIN(Q968,Weights!$B$5)*Weights!$B$3*(W968/100)*Weights!$B$4)</f>
        <v/>
      </c>
      <c r="AA968">
        <f>IF(Z968= ,,RANK.EQ({pri_col_letter}{r},{pri_range},0))</f>
        <v/>
      </c>
    </row>
    <row r="969">
      <c r="A969" t="inlineStr">
        <is>
          <t>Purple Rose Supply</t>
        </is>
      </c>
      <c r="B969" t="n">
        <v>2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2</v>
      </c>
      <c r="N969" t="inlineStr">
        <is>
          <t>Tier 4</t>
        </is>
      </c>
      <c r="O969" t="inlineStr">
        <is>
          <t>Johnson Wu — COO; Sidney Quitorio — CEO</t>
        </is>
      </c>
      <c r="P969" t="inlineStr">
        <is>
          <t>COO | CEO</t>
        </is>
      </c>
      <c r="Y969" t="inlineStr">
        <is>
          <t>todo</t>
        </is>
      </c>
      <c r="Z969">
        <f>(M969*Weights!$B$2) + (MIN(Q969,Weights!$B$5)*Weights!$B$3*(W969/100)*Weights!$B$4)</f>
        <v/>
      </c>
      <c r="AA969">
        <f>IF(Z969= ,,RANK.EQ({pri_col_letter}{r},{pri_range},0))</f>
        <v/>
      </c>
    </row>
    <row r="970">
      <c r="A970" t="inlineStr">
        <is>
          <t>Qcells AXIA</t>
        </is>
      </c>
      <c r="B970" t="n">
        <v>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2</v>
      </c>
      <c r="N970" t="inlineStr">
        <is>
          <t>Tier 4</t>
        </is>
      </c>
      <c r="O970" t="inlineStr">
        <is>
          <t>Dongjun Lee — Part Leader; Hank Lim — Team leader</t>
        </is>
      </c>
      <c r="P970" t="inlineStr">
        <is>
          <t>Part Leader | Team leader</t>
        </is>
      </c>
      <c r="Y970" t="inlineStr">
        <is>
          <t>todo</t>
        </is>
      </c>
      <c r="Z970">
        <f>(M970*Weights!$B$2) + (MIN(Q970,Weights!$B$5)*Weights!$B$3*(W970/100)*Weights!$B$4)</f>
        <v/>
      </c>
      <c r="AA970">
        <f>IF(Z970= ,,RANK.EQ({pri_col_letter}{r},{pri_range},0))</f>
        <v/>
      </c>
    </row>
    <row r="971">
      <c r="A971" t="inlineStr">
        <is>
          <t>Quickcode</t>
        </is>
      </c>
      <c r="B971" t="n">
        <v>2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2</v>
      </c>
      <c r="N971" t="inlineStr">
        <is>
          <t>Tier 4</t>
        </is>
      </c>
      <c r="O971" t="inlineStr">
        <is>
          <t>Ross Nordstrom — Principal Engineer; Thomas Ray — Director</t>
        </is>
      </c>
      <c r="P971" t="inlineStr">
        <is>
          <t>Principal Engineer | Director</t>
        </is>
      </c>
      <c r="Y971" t="inlineStr">
        <is>
          <t>todo</t>
        </is>
      </c>
      <c r="Z971">
        <f>(M971*Weights!$B$2) + (MIN(Q971,Weights!$B$5)*Weights!$B$3*(W971/100)*Weights!$B$4)</f>
        <v/>
      </c>
      <c r="AA971">
        <f>IF(Z971= ,,RANK.EQ({pri_col_letter}{r},{pri_range},0))</f>
        <v/>
      </c>
    </row>
    <row r="972">
      <c r="A972" t="inlineStr">
        <is>
          <t>RWB Trucking LLC</t>
        </is>
      </c>
      <c r="B972" t="n">
        <v>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2</v>
      </c>
      <c r="N972" t="inlineStr">
        <is>
          <t>Tier 4</t>
        </is>
      </c>
      <c r="O972" t="inlineStr">
        <is>
          <t>Craig Rehak — President; James Rehak — Chief Operating Officer</t>
        </is>
      </c>
      <c r="P972" t="inlineStr">
        <is>
          <t>President | Chief Operating Officer</t>
        </is>
      </c>
      <c r="Y972" t="inlineStr">
        <is>
          <t>todo</t>
        </is>
      </c>
      <c r="Z972">
        <f>(M972*Weights!$B$2) + (MIN(Q972,Weights!$B$5)*Weights!$B$3*(W972/100)*Weights!$B$4)</f>
        <v/>
      </c>
      <c r="AA972">
        <f>IF(Z972= ,,RANK.EQ({pri_col_letter}{r},{pri_range},0))</f>
        <v/>
      </c>
    </row>
    <row r="973">
      <c r="A973" t="inlineStr">
        <is>
          <t>Rapid KC</t>
        </is>
      </c>
      <c r="B973" t="n">
        <v>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2</v>
      </c>
      <c r="N973" t="inlineStr">
        <is>
          <t>Tier 4</t>
        </is>
      </c>
      <c r="O973" t="inlineStr">
        <is>
          <t>Seth Tramble — General Manager; Daniel Erickson — CEO &amp; Founder</t>
        </is>
      </c>
      <c r="P973" t="inlineStr">
        <is>
          <t>General Manager | CEO &amp; Founder</t>
        </is>
      </c>
      <c r="Y973" t="inlineStr">
        <is>
          <t>todo</t>
        </is>
      </c>
      <c r="Z973">
        <f>(M973*Weights!$B$2) + (MIN(Q973,Weights!$B$5)*Weights!$B$3*(W973/100)*Weights!$B$4)</f>
        <v/>
      </c>
      <c r="AA973">
        <f>IF(Z973= ,,RANK.EQ({pri_col_letter}{r},{pri_range},0))</f>
        <v/>
      </c>
    </row>
    <row r="974">
      <c r="A974" t="inlineStr">
        <is>
          <t>Reefer Van Network</t>
        </is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2</v>
      </c>
      <c r="N974" t="inlineStr">
        <is>
          <t>Tier 4</t>
        </is>
      </c>
      <c r="O974" t="inlineStr">
        <is>
          <t>Alex Winston — Chief Strategy Officer; Mike Ernst — President</t>
        </is>
      </c>
      <c r="P974" t="inlineStr">
        <is>
          <t>Chief Strategy Officer | President</t>
        </is>
      </c>
      <c r="Y974" t="inlineStr">
        <is>
          <t>todo</t>
        </is>
      </c>
      <c r="Z974">
        <f>(M974*Weights!$B$2) + (MIN(Q974,Weights!$B$5)*Weights!$B$3*(W974/100)*Weights!$B$4)</f>
        <v/>
      </c>
      <c r="AA974">
        <f>IF(Z974= ,,RANK.EQ({pri_col_letter}{r},{pri_range},0))</f>
        <v/>
      </c>
    </row>
    <row r="975">
      <c r="A975" t="inlineStr">
        <is>
          <t>Registix</t>
        </is>
      </c>
      <c r="B975" t="n">
        <v>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</v>
      </c>
      <c r="N975" t="inlineStr">
        <is>
          <t>Tier 4</t>
        </is>
      </c>
      <c r="O975" t="inlineStr">
        <is>
          <t>Grant Shriver — President; Tam Ayers — CTO</t>
        </is>
      </c>
      <c r="P975" t="inlineStr">
        <is>
          <t>President | CTO</t>
        </is>
      </c>
      <c r="Y975" t="inlineStr">
        <is>
          <t>todo</t>
        </is>
      </c>
      <c r="Z975">
        <f>(M975*Weights!$B$2) + (MIN(Q975,Weights!$B$5)*Weights!$B$3*(W975/100)*Weights!$B$4)</f>
        <v/>
      </c>
      <c r="AA975">
        <f>IF(Z975= ,,RANK.EQ({pri_col_letter}{r},{pri_range},0))</f>
        <v/>
      </c>
    </row>
    <row r="976">
      <c r="A976" t="inlineStr">
        <is>
          <t>Remington Logistics Software</t>
        </is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2</v>
      </c>
      <c r="N976" t="inlineStr">
        <is>
          <t>Tier 4</t>
        </is>
      </c>
      <c r="O976" t="inlineStr">
        <is>
          <t>Lance King — CTO; Ryan Ball — CEO</t>
        </is>
      </c>
      <c r="P976" t="inlineStr">
        <is>
          <t>CTO | CEO</t>
        </is>
      </c>
      <c r="Y976" t="inlineStr">
        <is>
          <t>todo</t>
        </is>
      </c>
      <c r="Z976">
        <f>(M976*Weights!$B$2) + (MIN(Q976,Weights!$B$5)*Weights!$B$3*(W976/100)*Weights!$B$4)</f>
        <v/>
      </c>
      <c r="AA976">
        <f>IF(Z976= ,,RANK.EQ({pri_col_letter}{r},{pri_range},0))</f>
        <v/>
      </c>
    </row>
    <row r="977">
      <c r="A977" t="inlineStr">
        <is>
          <t>Reputation Partners</t>
        </is>
      </c>
      <c r="B977" t="n">
        <v>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Tier 4</t>
        </is>
      </c>
      <c r="O977" t="inlineStr">
        <is>
          <t>Paige Borgman — SVP; Haley Hartmann — Senior Account Supervisor</t>
        </is>
      </c>
      <c r="P977" t="inlineStr">
        <is>
          <t>SVP | Senior Account Supervisor</t>
        </is>
      </c>
      <c r="Y977" t="inlineStr">
        <is>
          <t>todo</t>
        </is>
      </c>
      <c r="Z977">
        <f>(M977*Weights!$B$2) + (MIN(Q977,Weights!$B$5)*Weights!$B$3*(W977/100)*Weights!$B$4)</f>
        <v/>
      </c>
      <c r="AA977">
        <f>IF(Z977= ,,RANK.EQ({pri_col_letter}{r},{pri_range},0))</f>
        <v/>
      </c>
    </row>
    <row r="978">
      <c r="A978" t="inlineStr">
        <is>
          <t>Resale.com</t>
        </is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2</v>
      </c>
      <c r="N978" t="inlineStr">
        <is>
          <t>Tier 4</t>
        </is>
      </c>
      <c r="O978" t="inlineStr">
        <is>
          <t>Ryan Treft — Co-Founder; Sachin Pawa — Co-Founder</t>
        </is>
      </c>
      <c r="P978" t="inlineStr">
        <is>
          <t>Co-Founder</t>
        </is>
      </c>
      <c r="Y978" t="inlineStr">
        <is>
          <t>todo</t>
        </is>
      </c>
      <c r="Z978">
        <f>(M978*Weights!$B$2) + (MIN(Q978,Weights!$B$5)*Weights!$B$3*(W978/100)*Weights!$B$4)</f>
        <v/>
      </c>
      <c r="AA978">
        <f>IF(Z978= ,,RANK.EQ({pri_col_letter}{r},{pri_range},0))</f>
        <v/>
      </c>
    </row>
    <row r="979">
      <c r="A979" t="inlineStr">
        <is>
          <t>RetailReadyAI, Inc.</t>
        </is>
      </c>
      <c r="B979" t="n">
        <v>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</v>
      </c>
      <c r="N979" t="inlineStr">
        <is>
          <t>Tier 4</t>
        </is>
      </c>
      <c r="O979" t="inlineStr">
        <is>
          <t>Elle Smyth — CEO / Co-Founder; Sarah Hamer — COO / Co-Founder</t>
        </is>
      </c>
      <c r="P979" t="inlineStr">
        <is>
          <t>CEO / Co-Founder | COO / Co-Founder</t>
        </is>
      </c>
      <c r="Y979" t="inlineStr">
        <is>
          <t>todo</t>
        </is>
      </c>
      <c r="Z979">
        <f>(M979*Weights!$B$2) + (MIN(Q979,Weights!$B$5)*Weights!$B$3*(W979/100)*Weights!$B$4)</f>
        <v/>
      </c>
      <c r="AA979">
        <f>IF(Z979= ,,RANK.EQ({pri_col_letter}{r},{pri_range},0))</f>
        <v/>
      </c>
    </row>
    <row r="980">
      <c r="A980" t="inlineStr">
        <is>
          <t>SJF Ventures</t>
        </is>
      </c>
      <c r="B980" t="n">
        <v>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inlineStr">
        <is>
          <t>Tier 4</t>
        </is>
      </c>
      <c r="O980" t="inlineStr">
        <is>
          <t>David Griest — Managing Director; Jackie Lipkin — Partner</t>
        </is>
      </c>
      <c r="P980" t="inlineStr">
        <is>
          <t>Managing Director | Partner</t>
        </is>
      </c>
      <c r="Y980" t="inlineStr">
        <is>
          <t>todo</t>
        </is>
      </c>
      <c r="Z980">
        <f>(M980*Weights!$B$2) + (MIN(Q980,Weights!$B$5)*Weights!$B$3*(W980/100)*Weights!$B$4)</f>
        <v/>
      </c>
      <c r="AA980">
        <f>IF(Z980= ,,RANK.EQ({pri_col_letter}{r},{pri_range},0))</f>
        <v/>
      </c>
    </row>
    <row r="981">
      <c r="A981" t="inlineStr">
        <is>
          <t>SNS</t>
        </is>
      </c>
      <c r="B981" t="n">
        <v>2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</v>
      </c>
      <c r="N981" t="inlineStr">
        <is>
          <t>Tier 4</t>
        </is>
      </c>
      <c r="O981" t="inlineStr">
        <is>
          <t>Mario Ghosn — CEO; Wadih Assouad — Business Manager NA</t>
        </is>
      </c>
      <c r="P981" t="inlineStr">
        <is>
          <t>CEO | Business Manager NA</t>
        </is>
      </c>
      <c r="Y981" t="inlineStr">
        <is>
          <t>todo</t>
        </is>
      </c>
      <c r="Z981">
        <f>(M981*Weights!$B$2) + (MIN(Q981,Weights!$B$5)*Weights!$B$3*(W981/100)*Weights!$B$4)</f>
        <v/>
      </c>
      <c r="AA981">
        <f>IF(Z981= ,,RANK.EQ({pri_col_letter}{r},{pri_range},0))</f>
        <v/>
      </c>
    </row>
    <row r="982">
      <c r="A982" t="inlineStr">
        <is>
          <t>SPI Logistics</t>
        </is>
      </c>
      <c r="B982" t="n">
        <v>2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</v>
      </c>
      <c r="N982" t="inlineStr">
        <is>
          <t>Tier 4</t>
        </is>
      </c>
      <c r="O982" t="inlineStr">
        <is>
          <t>James Lemon — Vice President of Finance; Michael Mikulik — CRO</t>
        </is>
      </c>
      <c r="P982" t="inlineStr">
        <is>
          <t>Vice President of Finance | CRO</t>
        </is>
      </c>
      <c r="Y982" t="inlineStr">
        <is>
          <t>todo</t>
        </is>
      </c>
      <c r="Z982">
        <f>(M982*Weights!$B$2) + (MIN(Q982,Weights!$B$5)*Weights!$B$3*(W982/100)*Weights!$B$4)</f>
        <v/>
      </c>
      <c r="AA982">
        <f>IF(Z982= ,,RANK.EQ({pri_col_letter}{r},{pri_range},0))</f>
        <v/>
      </c>
    </row>
    <row r="983">
      <c r="A983" t="inlineStr">
        <is>
          <t>Sage</t>
        </is>
      </c>
      <c r="B983" t="n">
        <v>2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2</v>
      </c>
      <c r="N983" t="inlineStr">
        <is>
          <t>Tier 4</t>
        </is>
      </c>
      <c r="O983" t="inlineStr">
        <is>
          <t>Rob Sinfield — Global Senior Vice President Product and Head of ERP; Rodney Manzo — Head of SSCI</t>
        </is>
      </c>
      <c r="P983" t="inlineStr">
        <is>
          <t>Global Senior Vice President Product and Head of ERP | Head of SSCI</t>
        </is>
      </c>
      <c r="Y983" t="inlineStr">
        <is>
          <t>todo</t>
        </is>
      </c>
      <c r="Z983">
        <f>(M983*Weights!$B$2) + (MIN(Q983,Weights!$B$5)*Weights!$B$3*(W983/100)*Weights!$B$4)</f>
        <v/>
      </c>
      <c r="AA983">
        <f>IF(Z983= ,,RANK.EQ({pri_col_letter}{r},{pri_range},0))</f>
        <v/>
      </c>
    </row>
    <row r="984">
      <c r="A984" t="inlineStr">
        <is>
          <t>Sage Freight</t>
        </is>
      </c>
      <c r="B984" t="n">
        <v>2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2</v>
      </c>
      <c r="N984" t="inlineStr">
        <is>
          <t>Tier 4</t>
        </is>
      </c>
      <c r="O984" t="inlineStr">
        <is>
          <t>Andrew Shults — Senior Director, Pricing Strategies; Patrick Jones — Senior Director of IT</t>
        </is>
      </c>
      <c r="P984" t="inlineStr">
        <is>
          <t>Senior Director, Pricing Strategies | Senior Director of IT</t>
        </is>
      </c>
      <c r="Y984" t="inlineStr">
        <is>
          <t>todo</t>
        </is>
      </c>
      <c r="Z984">
        <f>(M984*Weights!$B$2) + (MIN(Q984,Weights!$B$5)*Weights!$B$3*(W984/100)*Weights!$B$4)</f>
        <v/>
      </c>
      <c r="AA984">
        <f>IF(Z984= ,,RANK.EQ({pri_col_letter}{r},{pri_range},0))</f>
        <v/>
      </c>
    </row>
    <row r="985">
      <c r="A985" t="inlineStr">
        <is>
          <t>Sentinel Global</t>
        </is>
      </c>
      <c r="B985" t="n">
        <v>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2</v>
      </c>
      <c r="N985" t="inlineStr">
        <is>
          <t>Tier 4</t>
        </is>
      </c>
      <c r="O985" t="inlineStr">
        <is>
          <t>Austin Meacham — Investor; David Renne — Partner</t>
        </is>
      </c>
      <c r="P985" t="inlineStr">
        <is>
          <t>Investor | Partner</t>
        </is>
      </c>
      <c r="Y985" t="inlineStr">
        <is>
          <t>todo</t>
        </is>
      </c>
      <c r="Z985">
        <f>(M985*Weights!$B$2) + (MIN(Q985,Weights!$B$5)*Weights!$B$3*(W985/100)*Weights!$B$4)</f>
        <v/>
      </c>
      <c r="AA985">
        <f>IF(Z985= ,,RANK.EQ({pri_col_letter}{r},{pri_range},0))</f>
        <v/>
      </c>
    </row>
    <row r="986">
      <c r="A986" t="inlineStr">
        <is>
          <t>Servo7</t>
        </is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2</v>
      </c>
      <c r="N986" t="inlineStr">
        <is>
          <t>Tier 4</t>
        </is>
      </c>
      <c r="O986" t="inlineStr">
        <is>
          <t>Jasper van Leuven — CTO/Co-Founder; Pieter Becking — CEO/Co-Founder</t>
        </is>
      </c>
      <c r="P986" t="inlineStr">
        <is>
          <t>CTO/Co-Founder | CEO/Co-Founder</t>
        </is>
      </c>
      <c r="Y986" t="inlineStr">
        <is>
          <t>todo</t>
        </is>
      </c>
      <c r="Z986">
        <f>(M986*Weights!$B$2) + (MIN(Q986,Weights!$B$5)*Weights!$B$3*(W986/100)*Weights!$B$4)</f>
        <v/>
      </c>
      <c r="AA986">
        <f>IF(Z986= ,,RANK.EQ({pri_col_letter}{r},{pri_range},0))</f>
        <v/>
      </c>
    </row>
    <row r="987">
      <c r="A987" t="inlineStr">
        <is>
          <t>Shipper CRM</t>
        </is>
      </c>
      <c r="B987" t="n">
        <v>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</v>
      </c>
      <c r="N987" t="inlineStr">
        <is>
          <t>Tier 4</t>
        </is>
      </c>
      <c r="O987" t="inlineStr">
        <is>
          <t>Krystian Gebis — Co-Founder; Krystian Gebis — Co-Founder</t>
        </is>
      </c>
      <c r="P987" t="inlineStr">
        <is>
          <t>Co-Founder</t>
        </is>
      </c>
      <c r="Y987" t="inlineStr">
        <is>
          <t>todo</t>
        </is>
      </c>
      <c r="Z987">
        <f>(M987*Weights!$B$2) + (MIN(Q987,Weights!$B$5)*Weights!$B$3*(W987/100)*Weights!$B$4)</f>
        <v/>
      </c>
      <c r="AA987">
        <f>IF(Z987= ,,RANK.EQ({pri_col_letter}{r},{pri_range},0))</f>
        <v/>
      </c>
    </row>
    <row r="988">
      <c r="A988" t="inlineStr">
        <is>
          <t>ShipsALot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inlineStr">
        <is>
          <t>Tier 4</t>
        </is>
      </c>
      <c r="O988" t="inlineStr">
        <is>
          <t>Brian Baskin — CEO; Brandon Sizemore — CRO</t>
        </is>
      </c>
      <c r="P988" t="inlineStr">
        <is>
          <t>CEO | CRO</t>
        </is>
      </c>
      <c r="Y988" t="inlineStr">
        <is>
          <t>todo</t>
        </is>
      </c>
      <c r="Z988">
        <f>(M988*Weights!$B$2) + (MIN(Q988,Weights!$B$5)*Weights!$B$3*(W988/100)*Weights!$B$4)</f>
        <v/>
      </c>
      <c r="AA988">
        <f>IF(Z988= ,,RANK.EQ({pri_col_letter}{r},{pri_range},0))</f>
        <v/>
      </c>
    </row>
    <row r="989">
      <c r="A989" t="inlineStr">
        <is>
          <t>SkyMirr</t>
        </is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</v>
      </c>
      <c r="N989" t="inlineStr">
        <is>
          <t>Tier 4</t>
        </is>
      </c>
      <c r="O989" t="inlineStr">
        <is>
          <t>Kerry Greer — Co-Founder and Chief Strategy Officer; Graham Foster — Customer Support Manager</t>
        </is>
      </c>
      <c r="P989" t="inlineStr">
        <is>
          <t>Co-Founder and Chief Strategy Officer | Customer Support Manager</t>
        </is>
      </c>
      <c r="Y989" t="inlineStr">
        <is>
          <t>todo</t>
        </is>
      </c>
      <c r="Z989">
        <f>(M989*Weights!$B$2) + (MIN(Q989,Weights!$B$5)*Weights!$B$3*(W989/100)*Weights!$B$4)</f>
        <v/>
      </c>
      <c r="AA989">
        <f>IF(Z989= ,,RANK.EQ({pri_col_letter}{r},{pri_range},0))</f>
        <v/>
      </c>
    </row>
    <row r="990">
      <c r="A990" t="inlineStr">
        <is>
          <t>Slotted</t>
        </is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2</v>
      </c>
      <c r="N990" t="inlineStr">
        <is>
          <t>Tier 4</t>
        </is>
      </c>
      <c r="O990" t="inlineStr">
        <is>
          <t>Joe McIntyre — General Manager; Aaron Alpeter — Founder</t>
        </is>
      </c>
      <c r="P990" t="inlineStr">
        <is>
          <t>General Manager | Founder</t>
        </is>
      </c>
      <c r="Y990" t="inlineStr">
        <is>
          <t>todo</t>
        </is>
      </c>
      <c r="Z990">
        <f>(M990*Weights!$B$2) + (MIN(Q990,Weights!$B$5)*Weights!$B$3*(W990/100)*Weights!$B$4)</f>
        <v/>
      </c>
      <c r="AA990">
        <f>IF(Z990= ,,RANK.EQ({pri_col_letter}{r},{pri_range},0))</f>
        <v/>
      </c>
    </row>
    <row r="991">
      <c r="A991" t="inlineStr">
        <is>
          <t>Soralyx</t>
        </is>
      </c>
      <c r="B991" t="n">
        <v>2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2</v>
      </c>
      <c r="N991" t="inlineStr">
        <is>
          <t>Tier 4</t>
        </is>
      </c>
      <c r="O991" t="inlineStr">
        <is>
          <t>Jenny Perlitch — CEO; Mariya Perlitch — CTO</t>
        </is>
      </c>
      <c r="P991" t="inlineStr">
        <is>
          <t>CEO | CTO</t>
        </is>
      </c>
      <c r="Y991" t="inlineStr">
        <is>
          <t>todo</t>
        </is>
      </c>
      <c r="Z991">
        <f>(M991*Weights!$B$2) + (MIN(Q991,Weights!$B$5)*Weights!$B$3*(W991/100)*Weights!$B$4)</f>
        <v/>
      </c>
      <c r="AA991">
        <f>IF(Z991= ,,RANK.EQ({pri_col_letter}{r},{pri_range},0))</f>
        <v/>
      </c>
    </row>
    <row r="992">
      <c r="A992" t="inlineStr">
        <is>
          <t>Spartan Logistics</t>
        </is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2</v>
      </c>
      <c r="N992" t="inlineStr">
        <is>
          <t>Tier 4</t>
        </is>
      </c>
      <c r="O992" t="inlineStr">
        <is>
          <t>Amber Romando — COO; Ronnie Reineke — COO</t>
        </is>
      </c>
      <c r="P992" t="inlineStr">
        <is>
          <t>COO</t>
        </is>
      </c>
      <c r="Y992" t="inlineStr">
        <is>
          <t>todo</t>
        </is>
      </c>
      <c r="Z992">
        <f>(M992*Weights!$B$2) + (MIN(Q992,Weights!$B$5)*Weights!$B$3*(W992/100)*Weights!$B$4)</f>
        <v/>
      </c>
      <c r="AA992">
        <f>IF(Z992= ,,RANK.EQ({pri_col_letter}{r},{pri_range},0))</f>
        <v/>
      </c>
    </row>
    <row r="993">
      <c r="A993" t="inlineStr">
        <is>
          <t>Speedmaster</t>
        </is>
      </c>
      <c r="B993" t="n">
        <v>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2</v>
      </c>
      <c r="N993" t="inlineStr">
        <is>
          <t>Tier 4</t>
        </is>
      </c>
      <c r="O993" t="inlineStr">
        <is>
          <t>Jason Kencevski — CEO; Melissa Parra — COO</t>
        </is>
      </c>
      <c r="P993" t="inlineStr">
        <is>
          <t>CEO | COO</t>
        </is>
      </c>
      <c r="Y993" t="inlineStr">
        <is>
          <t>todo</t>
        </is>
      </c>
      <c r="Z993">
        <f>(M993*Weights!$B$2) + (MIN(Q993,Weights!$B$5)*Weights!$B$3*(W993/100)*Weights!$B$4)</f>
        <v/>
      </c>
      <c r="AA993">
        <f>IF(Z993= ,,RANK.EQ({pri_col_letter}{r},{pri_range},0))</f>
        <v/>
      </c>
    </row>
    <row r="994">
      <c r="A994" t="inlineStr">
        <is>
          <t>Spotwork</t>
        </is>
      </c>
      <c r="B994" t="n">
        <v>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2</v>
      </c>
      <c r="N994" t="inlineStr">
        <is>
          <t>Tier 4</t>
        </is>
      </c>
      <c r="O994" t="inlineStr">
        <is>
          <t>Asher Lichtman — Head of Strategic Partnerships; Benita Thayalathasan — Partnerships Manager</t>
        </is>
      </c>
      <c r="P994" t="inlineStr">
        <is>
          <t>Head of Strategic Partnerships | Partnerships Manager</t>
        </is>
      </c>
      <c r="Y994" t="inlineStr">
        <is>
          <t>todo</t>
        </is>
      </c>
      <c r="Z994">
        <f>(M994*Weights!$B$2) + (MIN(Q994,Weights!$B$5)*Weights!$B$3*(W994/100)*Weights!$B$4)</f>
        <v/>
      </c>
      <c r="AA994">
        <f>IF(Z994= ,,RANK.EQ({pri_col_letter}{r},{pri_range},0))</f>
        <v/>
      </c>
    </row>
    <row r="995">
      <c r="A995" t="inlineStr">
        <is>
          <t>Stable Software</t>
        </is>
      </c>
      <c r="B995" t="n">
        <v>2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2</v>
      </c>
      <c r="N995" t="inlineStr">
        <is>
          <t>Tier 4</t>
        </is>
      </c>
      <c r="O995" t="inlineStr">
        <is>
          <t>David Pietrusa — Software Engineer; Reis Renneker — Founder</t>
        </is>
      </c>
      <c r="P995" t="inlineStr">
        <is>
          <t>Software Engineer | Founder</t>
        </is>
      </c>
      <c r="Y995" t="inlineStr">
        <is>
          <t>todo</t>
        </is>
      </c>
      <c r="Z995">
        <f>(M995*Weights!$B$2) + (MIN(Q995,Weights!$B$5)*Weights!$B$3*(W995/100)*Weights!$B$4)</f>
        <v/>
      </c>
      <c r="AA995">
        <f>IF(Z995= ,,RANK.EQ({pri_col_letter}{r},{pri_range},0))</f>
        <v/>
      </c>
    </row>
    <row r="996">
      <c r="A996" t="inlineStr">
        <is>
          <t>Sumitomo Corporation of Americas</t>
        </is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inlineStr">
        <is>
          <t>Tier 4</t>
        </is>
      </c>
      <c r="O996" t="inlineStr">
        <is>
          <t>Seth Nishida — VP, Business Innovation Group; Hiroshi Tomogae — Director</t>
        </is>
      </c>
      <c r="P996" t="inlineStr">
        <is>
          <t>VP, Business Innovation Group | Director</t>
        </is>
      </c>
      <c r="Y996" t="inlineStr">
        <is>
          <t>todo</t>
        </is>
      </c>
      <c r="Z996">
        <f>(M996*Weights!$B$2) + (MIN(Q996,Weights!$B$5)*Weights!$B$3*(W996/100)*Weights!$B$4)</f>
        <v/>
      </c>
      <c r="AA996">
        <f>IF(Z996= ,,RANK.EQ({pri_col_letter}{r},{pri_range},0))</f>
        <v/>
      </c>
    </row>
    <row r="997">
      <c r="A997" t="inlineStr">
        <is>
          <t>Sunnybrook TMS</t>
        </is>
      </c>
      <c r="B997" t="n">
        <v>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inlineStr">
        <is>
          <t>Tier 4</t>
        </is>
      </c>
      <c r="O997" t="inlineStr">
        <is>
          <t>John Kuhlmann — CEO; Adam Lang — Co-Founder</t>
        </is>
      </c>
      <c r="P997" t="inlineStr">
        <is>
          <t>CEO | Co-Founder</t>
        </is>
      </c>
      <c r="Y997" t="inlineStr">
        <is>
          <t>todo</t>
        </is>
      </c>
      <c r="Z997">
        <f>(M997*Weights!$B$2) + (MIN(Q997,Weights!$B$5)*Weights!$B$3*(W997/100)*Weights!$B$4)</f>
        <v/>
      </c>
      <c r="AA997">
        <f>IF(Z997= ,,RANK.EQ({pri_col_letter}{r},{pri_range},0))</f>
        <v/>
      </c>
    </row>
    <row r="998">
      <c r="A998" t="inlineStr">
        <is>
          <t>Synergis Capital</t>
        </is>
      </c>
      <c r="B998" t="n">
        <v>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2</v>
      </c>
      <c r="N998" t="inlineStr">
        <is>
          <t>Tier 4</t>
        </is>
      </c>
      <c r="O998" t="inlineStr">
        <is>
          <t>Jerry Shi — Managing Partner; Angel Zhou — Principal</t>
        </is>
      </c>
      <c r="P998" t="inlineStr">
        <is>
          <t>Managing Partner | Principal</t>
        </is>
      </c>
      <c r="Y998" t="inlineStr">
        <is>
          <t>todo</t>
        </is>
      </c>
      <c r="Z998">
        <f>(M998*Weights!$B$2) + (MIN(Q998,Weights!$B$5)*Weights!$B$3*(W998/100)*Weights!$B$4)</f>
        <v/>
      </c>
      <c r="AA998">
        <f>IF(Z998= ,,RANK.EQ({pri_col_letter}{r},{pri_range},0))</f>
        <v/>
      </c>
    </row>
    <row r="999">
      <c r="A999" t="inlineStr">
        <is>
          <t>TD Securities</t>
        </is>
      </c>
      <c r="B999" t="n">
        <v>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</v>
      </c>
      <c r="N999" t="inlineStr">
        <is>
          <t>Tier 4</t>
        </is>
      </c>
      <c r="O999" t="inlineStr">
        <is>
          <t>Aleks Moser — Managing Director; Alex Brickman — Director</t>
        </is>
      </c>
      <c r="P999" t="inlineStr">
        <is>
          <t>Managing Director | Director</t>
        </is>
      </c>
      <c r="Y999" t="inlineStr">
        <is>
          <t>todo</t>
        </is>
      </c>
      <c r="Z999">
        <f>(M999*Weights!$B$2) + (MIN(Q999,Weights!$B$5)*Weights!$B$3*(W999/100)*Weights!$B$4)</f>
        <v/>
      </c>
      <c r="AA999">
        <f>IF(Z999= ,,RANK.EQ({pri_col_letter}{r},{pri_range},0))</f>
        <v/>
      </c>
    </row>
    <row r="1000">
      <c r="A1000" t="inlineStr">
        <is>
          <t>TLR</t>
        </is>
      </c>
      <c r="B1000" t="n">
        <v>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</v>
      </c>
      <c r="N1000" t="inlineStr">
        <is>
          <t>Tier 4</t>
        </is>
      </c>
      <c r="O1000" t="inlineStr">
        <is>
          <t>Heather Kiesel — President; Jennifer Domin — Vice President</t>
        </is>
      </c>
      <c r="P1000" t="inlineStr">
        <is>
          <t>President | Vice President</t>
        </is>
      </c>
      <c r="Y1000" t="inlineStr">
        <is>
          <t>todo</t>
        </is>
      </c>
      <c r="Z1000">
        <f>(M1000*Weights!$B$2) + (MIN(Q1000,Weights!$B$5)*Weights!$B$3*(W1000/100)*Weights!$B$4)</f>
        <v/>
      </c>
      <c r="AA1000">
        <f>IF(Z1000= ,,RANK.EQ({pri_col_letter}{r},{pri_range},0))</f>
        <v/>
      </c>
    </row>
    <row r="1001">
      <c r="A1001" t="inlineStr">
        <is>
          <t>TPG Growth</t>
        </is>
      </c>
      <c r="B1001" t="n">
        <v>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inlineStr">
        <is>
          <t>Tier 4</t>
        </is>
      </c>
      <c r="O1001" t="inlineStr">
        <is>
          <t>Braden Casady — Vice President; Michelle Hu — Vice President</t>
        </is>
      </c>
      <c r="P1001" t="inlineStr">
        <is>
          <t>Vice President</t>
        </is>
      </c>
      <c r="Y1001" t="inlineStr">
        <is>
          <t>todo</t>
        </is>
      </c>
      <c r="Z1001">
        <f>(M1001*Weights!$B$2) + (MIN(Q1001,Weights!$B$5)*Weights!$B$3*(W1001/100)*Weights!$B$4)</f>
        <v/>
      </c>
      <c r="AA1001">
        <f>IF(Z1001= ,,RANK.EQ({pri_col_letter}{r},{pri_range},0))</f>
        <v/>
      </c>
    </row>
    <row r="1002">
      <c r="A1002" t="inlineStr">
        <is>
          <t>TRANEX</t>
        </is>
      </c>
      <c r="B1002" t="n">
        <v>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2</v>
      </c>
      <c r="N1002" t="inlineStr">
        <is>
          <t>Tier 4</t>
        </is>
      </c>
      <c r="O1002" t="inlineStr">
        <is>
          <t>CRISTIAN MUNOZ — COO; martin munoz — ceo</t>
        </is>
      </c>
      <c r="P1002" t="inlineStr">
        <is>
          <t>COO | ceo</t>
        </is>
      </c>
      <c r="Y1002" t="inlineStr">
        <is>
          <t>todo</t>
        </is>
      </c>
      <c r="Z1002">
        <f>(M1002*Weights!$B$2) + (MIN(Q1002,Weights!$B$5)*Weights!$B$3*(W1002/100)*Weights!$B$4)</f>
        <v/>
      </c>
      <c r="AA1002">
        <f>IF(Z1002= ,,RANK.EQ({pri_col_letter}{r},{pri_range},0))</f>
        <v/>
      </c>
    </row>
    <row r="1003">
      <c r="A1003" t="inlineStr">
        <is>
          <t>TRAXION TECHNOLOGIES</t>
        </is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</v>
      </c>
      <c r="N1003" t="inlineStr">
        <is>
          <t>Tier 4</t>
        </is>
      </c>
      <c r="O1003" t="inlineStr">
        <is>
          <t>BEN GREENE — COO; NICOLAS FLORES — Strategy Manager</t>
        </is>
      </c>
      <c r="P1003" t="inlineStr">
        <is>
          <t>COO | Strategy Manager</t>
        </is>
      </c>
      <c r="Y1003" t="inlineStr">
        <is>
          <t>todo</t>
        </is>
      </c>
      <c r="Z1003">
        <f>(M1003*Weights!$B$2) + (MIN(Q1003,Weights!$B$5)*Weights!$B$3*(W1003/100)*Weights!$B$4)</f>
        <v/>
      </c>
      <c r="AA1003">
        <f>IF(Z1003= ,,RANK.EQ({pri_col_letter}{r},{pri_range},0))</f>
        <v/>
      </c>
    </row>
    <row r="1004">
      <c r="A1004" t="inlineStr">
        <is>
          <t>TRC Companies</t>
        </is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2</v>
      </c>
      <c r="N1004" t="inlineStr">
        <is>
          <t>Tier 4</t>
        </is>
      </c>
      <c r="O1004" t="inlineStr">
        <is>
          <t>Nate Springer — Vice President, Market Development; Henry Pines — Senior Program Manager</t>
        </is>
      </c>
      <c r="P1004" t="inlineStr">
        <is>
          <t>Vice President, Market Development | Senior Program Manager</t>
        </is>
      </c>
      <c r="Y1004" t="inlineStr">
        <is>
          <t>todo</t>
        </is>
      </c>
      <c r="Z1004">
        <f>(M1004*Weights!$B$2) + (MIN(Q1004,Weights!$B$5)*Weights!$B$3*(W1004/100)*Weights!$B$4)</f>
        <v/>
      </c>
      <c r="AA1004">
        <f>IF(Z1004= ,,RANK.EQ({pri_col_letter}{r},{pri_range},0))</f>
        <v/>
      </c>
    </row>
    <row r="1005">
      <c r="A1005" t="inlineStr">
        <is>
          <t>Tavio Integrations</t>
        </is>
      </c>
      <c r="B1005" t="n">
        <v>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</v>
      </c>
      <c r="N1005" t="inlineStr">
        <is>
          <t>Tier 4</t>
        </is>
      </c>
      <c r="O1005" t="inlineStr">
        <is>
          <t>Jeff Tremblay — Co-President &amp; CTO; Paul Mladineo — CFO &amp; Chairman</t>
        </is>
      </c>
      <c r="P1005" t="inlineStr">
        <is>
          <t>Co-President &amp; CTO | CFO &amp; Chairman</t>
        </is>
      </c>
      <c r="Y1005" t="inlineStr">
        <is>
          <t>todo</t>
        </is>
      </c>
      <c r="Z1005">
        <f>(M1005*Weights!$B$2) + (MIN(Q1005,Weights!$B$5)*Weights!$B$3*(W1005/100)*Weights!$B$4)</f>
        <v/>
      </c>
      <c r="AA1005">
        <f>IF(Z1005= ,,RANK.EQ({pri_col_letter}{r},{pri_range},0))</f>
        <v/>
      </c>
    </row>
    <row r="1006">
      <c r="A1006" t="inlineStr">
        <is>
          <t>TeamViewer</t>
        </is>
      </c>
      <c r="B1006" t="n">
        <v>2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2</v>
      </c>
      <c r="N1006" t="inlineStr">
        <is>
          <t>Tier 4</t>
        </is>
      </c>
      <c r="O1006" t="inlineStr">
        <is>
          <t>Tom Stille — Principal Enterprise Solutions Engineer; Rachael Wright — Strategic Alliance Manager</t>
        </is>
      </c>
      <c r="P1006" t="inlineStr">
        <is>
          <t>Principal Enterprise Solutions Engineer | Strategic Alliance Manager</t>
        </is>
      </c>
      <c r="Y1006" t="inlineStr">
        <is>
          <t>todo</t>
        </is>
      </c>
      <c r="Z1006">
        <f>(M1006*Weights!$B$2) + (MIN(Q1006,Weights!$B$5)*Weights!$B$3*(W1006/100)*Weights!$B$4)</f>
        <v/>
      </c>
      <c r="AA1006">
        <f>IF(Z1006= ,,RANK.EQ({pri_col_letter}{r},{pri_range},0))</f>
        <v/>
      </c>
    </row>
    <row r="1007">
      <c r="A1007" t="inlineStr">
        <is>
          <t>Technova Industries</t>
        </is>
      </c>
      <c r="B1007" t="n">
        <v>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2</v>
      </c>
      <c r="N1007" t="inlineStr">
        <is>
          <t>Tier 4</t>
        </is>
      </c>
      <c r="O1007" t="inlineStr">
        <is>
          <t>Aymen Azim — CEO; Jenna Faville — Co-Founder</t>
        </is>
      </c>
      <c r="P1007" t="inlineStr">
        <is>
          <t>CEO | Co-Founder</t>
        </is>
      </c>
      <c r="Y1007" t="inlineStr">
        <is>
          <t>todo</t>
        </is>
      </c>
      <c r="Z1007">
        <f>(M1007*Weights!$B$2) + (MIN(Q1007,Weights!$B$5)*Weights!$B$3*(W1007/100)*Weights!$B$4)</f>
        <v/>
      </c>
      <c r="AA1007">
        <f>IF(Z1007= ,,RANK.EQ({pri_col_letter}{r},{pri_range},0))</f>
        <v/>
      </c>
    </row>
    <row r="1008">
      <c r="A1008" t="inlineStr">
        <is>
          <t>Temper AI</t>
        </is>
      </c>
      <c r="B1008" t="n">
        <v>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2</v>
      </c>
      <c r="N1008" t="inlineStr">
        <is>
          <t>Tier 4</t>
        </is>
      </c>
      <c r="O1008" t="inlineStr">
        <is>
          <t>Heinrich Brunhöber — CEO &amp; Co-Founder; Nick Raziborsky — Co-Founder &amp; CTO</t>
        </is>
      </c>
      <c r="P1008" t="inlineStr">
        <is>
          <t>CEO &amp; Co-Founder | Co-Founder &amp; CTO</t>
        </is>
      </c>
      <c r="Y1008" t="inlineStr">
        <is>
          <t>todo</t>
        </is>
      </c>
      <c r="Z1008">
        <f>(M1008*Weights!$B$2) + (MIN(Q1008,Weights!$B$5)*Weights!$B$3*(W1008/100)*Weights!$B$4)</f>
        <v/>
      </c>
      <c r="AA1008">
        <f>IF(Z1008= ,,RANK.EQ({pri_col_letter}{r},{pri_range},0))</f>
        <v/>
      </c>
    </row>
    <row r="1009">
      <c r="A1009" t="inlineStr">
        <is>
          <t>Tetro</t>
        </is>
      </c>
      <c r="B1009" t="n">
        <v>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2</v>
      </c>
      <c r="N1009" t="inlineStr">
        <is>
          <t>Tier 4</t>
        </is>
      </c>
      <c r="O1009" t="inlineStr">
        <is>
          <t>Erik Malin — CEO &amp; Founder; Gautam Valecha — Co-Founder + CTO</t>
        </is>
      </c>
      <c r="P1009" t="inlineStr">
        <is>
          <t>CEO &amp; Founder | Co-Founder + CTO</t>
        </is>
      </c>
      <c r="Y1009" t="inlineStr">
        <is>
          <t>todo</t>
        </is>
      </c>
      <c r="Z1009">
        <f>(M1009*Weights!$B$2) + (MIN(Q1009,Weights!$B$5)*Weights!$B$3*(W1009/100)*Weights!$B$4)</f>
        <v/>
      </c>
      <c r="AA1009">
        <f>IF(Z1009= ,,RANK.EQ({pri_col_letter}{r},{pri_range},0))</f>
        <v/>
      </c>
    </row>
    <row r="1010">
      <c r="A1010" t="inlineStr">
        <is>
          <t>The Association for Supply Chain Management (ASCM)</t>
        </is>
      </c>
      <c r="B1010" t="n">
        <v>2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2</v>
      </c>
      <c r="N1010" t="inlineStr">
        <is>
          <t>Tier 4</t>
        </is>
      </c>
      <c r="O1010" t="inlineStr">
        <is>
          <t>Douglas Kent — EVP; Jason Robke — Associate Director of Market Development</t>
        </is>
      </c>
      <c r="P1010" t="inlineStr">
        <is>
          <t>EVP | Associate Director of Market Development</t>
        </is>
      </c>
      <c r="Y1010" t="inlineStr">
        <is>
          <t>todo</t>
        </is>
      </c>
      <c r="Z1010">
        <f>(M1010*Weights!$B$2) + (MIN(Q1010,Weights!$B$5)*Weights!$B$3*(W1010/100)*Weights!$B$4)</f>
        <v/>
      </c>
      <c r="AA1010">
        <f>IF(Z1010= ,,RANK.EQ({pri_col_letter}{r},{pri_range},0))</f>
        <v/>
      </c>
    </row>
    <row r="1011">
      <c r="A1011" t="inlineStr">
        <is>
          <t>The Block Logistics</t>
        </is>
      </c>
      <c r="B1011" t="n">
        <v>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</v>
      </c>
      <c r="N1011" t="inlineStr">
        <is>
          <t>Tier 4</t>
        </is>
      </c>
      <c r="O1011" t="inlineStr">
        <is>
          <t>Charles St. Jeor — President; Efrain Maldonado — CFO</t>
        </is>
      </c>
      <c r="P1011" t="inlineStr">
        <is>
          <t>President | CFO</t>
        </is>
      </c>
      <c r="Y1011" t="inlineStr">
        <is>
          <t>todo</t>
        </is>
      </c>
      <c r="Z1011">
        <f>(M1011*Weights!$B$2) + (MIN(Q1011,Weights!$B$5)*Weights!$B$3*(W1011/100)*Weights!$B$4)</f>
        <v/>
      </c>
      <c r="AA1011">
        <f>IF(Z1011= ,,RANK.EQ({pri_col_letter}{r},{pri_range},0))</f>
        <v/>
      </c>
    </row>
    <row r="1012">
      <c r="A1012" t="inlineStr">
        <is>
          <t>The DOT Corp</t>
        </is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</v>
      </c>
      <c r="N1012" t="inlineStr">
        <is>
          <t>Tier 4</t>
        </is>
      </c>
      <c r="O1012" t="inlineStr">
        <is>
          <t>Natalia Ortiz — General Manager; Ruben Gonsalez — Fullfillemt Specialist</t>
        </is>
      </c>
      <c r="P1012" t="inlineStr">
        <is>
          <t>General Manager | Fullfillemt Specialist</t>
        </is>
      </c>
      <c r="Y1012" t="inlineStr">
        <is>
          <t>todo</t>
        </is>
      </c>
      <c r="Z1012">
        <f>(M1012*Weights!$B$2) + (MIN(Q1012,Weights!$B$5)*Weights!$B$3*(W1012/100)*Weights!$B$4)</f>
        <v/>
      </c>
      <c r="AA1012">
        <f>IF(Z1012= ,,RANK.EQ({pri_col_letter}{r},{pri_range},0))</f>
        <v/>
      </c>
    </row>
    <row r="1013">
      <c r="A1013" t="inlineStr">
        <is>
          <t>The Evans Network</t>
        </is>
      </c>
      <c r="B1013" t="n">
        <v>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</v>
      </c>
      <c r="N1013" t="inlineStr">
        <is>
          <t>Tier 4</t>
        </is>
      </c>
      <c r="O1013" t="inlineStr">
        <is>
          <t>Gary Press — CTO; Karla Viglasky — CIO</t>
        </is>
      </c>
      <c r="P1013" t="inlineStr">
        <is>
          <t>CTO | CIO</t>
        </is>
      </c>
      <c r="Y1013" t="inlineStr">
        <is>
          <t>todo</t>
        </is>
      </c>
      <c r="Z1013">
        <f>(M1013*Weights!$B$2) + (MIN(Q1013,Weights!$B$5)*Weights!$B$3*(W1013/100)*Weights!$B$4)</f>
        <v/>
      </c>
      <c r="AA1013">
        <f>IF(Z1013= ,,RANK.EQ({pri_col_letter}{r},{pri_range},0))</f>
        <v/>
      </c>
    </row>
    <row r="1014">
      <c r="A1014" t="inlineStr">
        <is>
          <t>The Loadstar</t>
        </is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2</v>
      </c>
      <c r="N1014" t="inlineStr">
        <is>
          <t>Tier 4</t>
        </is>
      </c>
      <c r="O1014" t="inlineStr">
        <is>
          <t>Nick Marsh — Editor; Charlotte Goldstone — News Reporter</t>
        </is>
      </c>
      <c r="P1014" t="inlineStr">
        <is>
          <t>Editor | News Reporter</t>
        </is>
      </c>
      <c r="Y1014" t="inlineStr">
        <is>
          <t>todo</t>
        </is>
      </c>
      <c r="Z1014">
        <f>(M1014*Weights!$B$2) + (MIN(Q1014,Weights!$B$5)*Weights!$B$3*(W1014/100)*Weights!$B$4)</f>
        <v/>
      </c>
      <c r="AA1014">
        <f>IF(Z1014= ,,RANK.EQ({pri_col_letter}{r},{pri_range},0))</f>
        <v/>
      </c>
    </row>
    <row r="1015">
      <c r="A1015" t="inlineStr">
        <is>
          <t>The New Warehouse</t>
        </is>
      </c>
      <c r="B1015" t="n">
        <v>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</v>
      </c>
      <c r="N1015" t="inlineStr">
        <is>
          <t>Tier 4</t>
        </is>
      </c>
      <c r="O1015" t="inlineStr">
        <is>
          <t>Kevin Lawton — Founder &amp; Host; Ricky Lorenzo — Videographer</t>
        </is>
      </c>
      <c r="P1015" t="inlineStr">
        <is>
          <t>Founder &amp; Host | Videographer</t>
        </is>
      </c>
      <c r="Y1015" t="inlineStr">
        <is>
          <t>todo</t>
        </is>
      </c>
      <c r="Z1015">
        <f>(M1015*Weights!$B$2) + (MIN(Q1015,Weights!$B$5)*Weights!$B$3*(W1015/100)*Weights!$B$4)</f>
        <v/>
      </c>
      <c r="AA1015">
        <f>IF(Z1015= ,,RANK.EQ({pri_col_letter}{r},{pri_range},0))</f>
        <v/>
      </c>
    </row>
    <row r="1016">
      <c r="A1016" t="inlineStr">
        <is>
          <t>Thomson Reuters</t>
        </is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2</v>
      </c>
      <c r="N1016" t="inlineStr">
        <is>
          <t>Tier 4</t>
        </is>
      </c>
      <c r="O1016" t="inlineStr">
        <is>
          <t>Aseem Sainudheen — Director; Aseem Saindunheen — Director</t>
        </is>
      </c>
      <c r="P1016" t="inlineStr">
        <is>
          <t>Director</t>
        </is>
      </c>
      <c r="Y1016" t="inlineStr">
        <is>
          <t>todo</t>
        </is>
      </c>
      <c r="Z1016">
        <f>(M1016*Weights!$B$2) + (MIN(Q1016,Weights!$B$5)*Weights!$B$3*(W1016/100)*Weights!$B$4)</f>
        <v/>
      </c>
      <c r="AA1016">
        <f>IF(Z1016= ,,RANK.EQ({pri_col_letter}{r},{pri_range},0))</f>
        <v/>
      </c>
    </row>
    <row r="1017">
      <c r="A1017" t="inlineStr">
        <is>
          <t>Trackstar</t>
        </is>
      </c>
      <c r="B1017" t="n">
        <v>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inlineStr">
        <is>
          <t>Tier 4</t>
        </is>
      </c>
      <c r="O1017" t="inlineStr">
        <is>
          <t>Daniel Langer — CTO; Jeremy Schneck — Co-CEO</t>
        </is>
      </c>
      <c r="P1017" t="inlineStr">
        <is>
          <t>CTO | Co-CEO</t>
        </is>
      </c>
      <c r="Y1017" t="inlineStr">
        <is>
          <t>todo</t>
        </is>
      </c>
      <c r="Z1017">
        <f>(M1017*Weights!$B$2) + (MIN(Q1017,Weights!$B$5)*Weights!$B$3*(W1017/100)*Weights!$B$4)</f>
        <v/>
      </c>
      <c r="AA1017">
        <f>IF(Z1017= ,,RANK.EQ({pri_col_letter}{r},{pri_range},0))</f>
        <v/>
      </c>
    </row>
    <row r="1018">
      <c r="A1018" t="inlineStr">
        <is>
          <t>Transportation Marketing &amp; Sales Association</t>
        </is>
      </c>
      <c r="B1018" t="n">
        <v>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2</v>
      </c>
      <c r="N1018" t="inlineStr">
        <is>
          <t>Tier 4</t>
        </is>
      </c>
      <c r="O1018" t="inlineStr">
        <is>
          <t>Jennifer Karpus-Romain — Executive Director; Eileen Dabrowski — Programs &amp; Member Director</t>
        </is>
      </c>
      <c r="P1018" t="inlineStr">
        <is>
          <t>Executive Director | Programs &amp; Member Director</t>
        </is>
      </c>
      <c r="Y1018" t="inlineStr">
        <is>
          <t>todo</t>
        </is>
      </c>
      <c r="Z1018">
        <f>(M1018*Weights!$B$2) + (MIN(Q1018,Weights!$B$5)*Weights!$B$3*(W1018/100)*Weights!$B$4)</f>
        <v/>
      </c>
      <c r="AA1018">
        <f>IF(Z1018= ,,RANK.EQ({pri_col_letter}{r},{pri_range},0))</f>
        <v/>
      </c>
    </row>
    <row r="1019">
      <c r="A1019" t="inlineStr">
        <is>
          <t>Transporte.mx</t>
        </is>
      </c>
      <c r="B1019" t="n">
        <v>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</v>
      </c>
      <c r="N1019" t="inlineStr">
        <is>
          <t>Tier 4</t>
        </is>
      </c>
      <c r="O1019" t="inlineStr">
        <is>
          <t>Clemente Villalpando — CEO; Elisa Veronica Zermeño Gutiérrez — Content Creator</t>
        </is>
      </c>
      <c r="P1019" t="inlineStr">
        <is>
          <t>CEO | Content Creator</t>
        </is>
      </c>
      <c r="Y1019" t="inlineStr">
        <is>
          <t>todo</t>
        </is>
      </c>
      <c r="Z1019">
        <f>(M1019*Weights!$B$2) + (MIN(Q1019,Weights!$B$5)*Weights!$B$3*(W1019/100)*Weights!$B$4)</f>
        <v/>
      </c>
      <c r="AA1019">
        <f>IF(Z1019= ,,RANK.EQ({pri_col_letter}{r},{pri_range},0))</f>
        <v/>
      </c>
    </row>
    <row r="1020">
      <c r="A1020" t="inlineStr">
        <is>
          <t>Truck Parking Club</t>
        </is>
      </c>
      <c r="B1020" t="n">
        <v>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inlineStr">
        <is>
          <t>Tier 4</t>
        </is>
      </c>
      <c r="O1020" t="inlineStr">
        <is>
          <t>Evan Shelley — Co-Founder CEO; Reed Loustalot — CMO</t>
        </is>
      </c>
      <c r="P1020" t="inlineStr">
        <is>
          <t>Co-Founder CEO | CMO</t>
        </is>
      </c>
      <c r="Y1020" t="inlineStr">
        <is>
          <t>todo</t>
        </is>
      </c>
      <c r="Z1020">
        <f>(M1020*Weights!$B$2) + (MIN(Q1020,Weights!$B$5)*Weights!$B$3*(W1020/100)*Weights!$B$4)</f>
        <v/>
      </c>
      <c r="AA1020">
        <f>IF(Z1020= ,,RANK.EQ({pri_col_letter}{r},{pri_range},0))</f>
        <v/>
      </c>
    </row>
    <row r="1021">
      <c r="A1021" t="inlineStr">
        <is>
          <t>Truckstop.com</t>
        </is>
      </c>
      <c r="B1021" t="n">
        <v>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2</v>
      </c>
      <c r="N1021" t="inlineStr">
        <is>
          <t>Tier 4</t>
        </is>
      </c>
      <c r="O1021" t="inlineStr">
        <is>
          <t>Lynsey Schumacher — Head of Legal; Colleen Kurtz — Sr. Event Market Manager</t>
        </is>
      </c>
      <c r="P1021" t="inlineStr">
        <is>
          <t>Head of Legal | Sr. Event Market Manager</t>
        </is>
      </c>
      <c r="Y1021" t="inlineStr">
        <is>
          <t>todo</t>
        </is>
      </c>
      <c r="Z1021">
        <f>(M1021*Weights!$B$2) + (MIN(Q1021,Weights!$B$5)*Weights!$B$3*(W1021/100)*Weights!$B$4)</f>
        <v/>
      </c>
      <c r="AA1021">
        <f>IF(Z1021= ,,RANK.EQ({pri_col_letter}{r},{pri_range},0))</f>
        <v/>
      </c>
    </row>
    <row r="1022">
      <c r="A1022" t="inlineStr">
        <is>
          <t>Two Boxes</t>
        </is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2</v>
      </c>
      <c r="N1022" t="inlineStr">
        <is>
          <t>Tier 4</t>
        </is>
      </c>
      <c r="O1022" t="inlineStr">
        <is>
          <t>Kyle Bertin — Co-Founder &amp; CEO; Sumita Gangwani — 3PL Relationship Manager</t>
        </is>
      </c>
      <c r="P1022" t="inlineStr">
        <is>
          <t>Co-Founder &amp; CEO | 3PL Relationship Manager</t>
        </is>
      </c>
      <c r="Y1022" t="inlineStr">
        <is>
          <t>todo</t>
        </is>
      </c>
      <c r="Z1022">
        <f>(M1022*Weights!$B$2) + (MIN(Q1022,Weights!$B$5)*Weights!$B$3*(W1022/100)*Weights!$B$4)</f>
        <v/>
      </c>
      <c r="AA1022">
        <f>IF(Z1022= ,,RANK.EQ({pri_col_letter}{r},{pri_range},0))</f>
        <v/>
      </c>
    </row>
    <row r="1023">
      <c r="A1023" t="inlineStr">
        <is>
          <t>UBS</t>
        </is>
      </c>
      <c r="B1023" t="n">
        <v>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  <c r="N1023" t="inlineStr">
        <is>
          <t>Tier 4</t>
        </is>
      </c>
      <c r="O1023" t="inlineStr">
        <is>
          <t>Robert Michlovich — Managing Director; William Hayes — Executive Director</t>
        </is>
      </c>
      <c r="P1023" t="inlineStr">
        <is>
          <t>Managing Director | Executive Director</t>
        </is>
      </c>
      <c r="Y1023" t="inlineStr">
        <is>
          <t>todo</t>
        </is>
      </c>
      <c r="Z1023">
        <f>(M1023*Weights!$B$2) + (MIN(Q1023,Weights!$B$5)*Weights!$B$3*(W1023/100)*Weights!$B$4)</f>
        <v/>
      </c>
      <c r="AA1023">
        <f>IF(Z1023= ,,RANK.EQ({pri_col_letter}{r},{pri_range},0))</f>
        <v/>
      </c>
    </row>
    <row r="1024">
      <c r="A1024" t="inlineStr">
        <is>
          <t>UKG</t>
        </is>
      </c>
      <c r="B1024" t="n">
        <v>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</v>
      </c>
      <c r="N1024" t="inlineStr">
        <is>
          <t>Tier 4</t>
        </is>
      </c>
      <c r="O1024" t="inlineStr">
        <is>
          <t>Fiona Nolan — Principal Industry Strategist; Heidi Harman — Sr. Principal Industry, Retail &amp; Hospitality</t>
        </is>
      </c>
      <c r="P1024" t="inlineStr">
        <is>
          <t>Principal Industry Strategist | Sr. Principal Industry, Retail &amp; Hospitality</t>
        </is>
      </c>
      <c r="Y1024" t="inlineStr">
        <is>
          <t>todo</t>
        </is>
      </c>
      <c r="Z1024">
        <f>(M1024*Weights!$B$2) + (MIN(Q1024,Weights!$B$5)*Weights!$B$3*(W1024/100)*Weights!$B$4)</f>
        <v/>
      </c>
      <c r="AA1024">
        <f>IF(Z1024= ,,RANK.EQ({pri_col_letter}{r},{pri_range},0))</f>
        <v/>
      </c>
    </row>
    <row r="1025">
      <c r="A1025" t="inlineStr">
        <is>
          <t>Ultra</t>
        </is>
      </c>
      <c r="B1025" t="n">
        <v>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2</v>
      </c>
      <c r="N1025" t="inlineStr">
        <is>
          <t>Tier 4</t>
        </is>
      </c>
      <c r="O1025" t="inlineStr">
        <is>
          <t>Jon Miller Schwartz — CEO; Max Friefeld — Co-Founder &amp; COO</t>
        </is>
      </c>
      <c r="P1025" t="inlineStr">
        <is>
          <t>CEO | Co-Founder &amp; COO</t>
        </is>
      </c>
      <c r="Y1025" t="inlineStr">
        <is>
          <t>todo</t>
        </is>
      </c>
      <c r="Z1025">
        <f>(M1025*Weights!$B$2) + (MIN(Q1025,Weights!$B$5)*Weights!$B$3*(W1025/100)*Weights!$B$4)</f>
        <v/>
      </c>
      <c r="AA1025">
        <f>IF(Z1025= ,,RANK.EQ({pri_col_letter}{r},{pri_range},0))</f>
        <v/>
      </c>
    </row>
    <row r="1026">
      <c r="A1026" t="inlineStr">
        <is>
          <t>Ultraship TMS</t>
        </is>
      </c>
      <c r="B1026" t="n">
        <v>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</v>
      </c>
      <c r="N1026" t="inlineStr">
        <is>
          <t>Tier 4</t>
        </is>
      </c>
      <c r="O1026" t="inlineStr">
        <is>
          <t>Nick Madahar — Chief Executive Officer; Ganesh Saravanakumar — Co-Founder</t>
        </is>
      </c>
      <c r="P1026" t="inlineStr">
        <is>
          <t>Chief Executive Officer | Co-Founder</t>
        </is>
      </c>
      <c r="Y1026" t="inlineStr">
        <is>
          <t>todo</t>
        </is>
      </c>
      <c r="Z1026">
        <f>(M1026*Weights!$B$2) + (MIN(Q1026,Weights!$B$5)*Weights!$B$3*(W1026/100)*Weights!$B$4)</f>
        <v/>
      </c>
      <c r="AA1026">
        <f>IF(Z1026= ,,RANK.EQ({pri_col_letter}{r},{pri_range},0))</f>
        <v/>
      </c>
    </row>
    <row r="1027">
      <c r="A1027" t="inlineStr">
        <is>
          <t>Vendelux</t>
        </is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</v>
      </c>
      <c r="N1027" t="inlineStr">
        <is>
          <t>Tier 4</t>
        </is>
      </c>
      <c r="O1027" t="inlineStr">
        <is>
          <t>Deb Spigner — Market Research Specialist; Joseph Mausler — Market Research Specialist</t>
        </is>
      </c>
      <c r="P1027" t="inlineStr">
        <is>
          <t>Market Research Specialist</t>
        </is>
      </c>
      <c r="Y1027" t="inlineStr">
        <is>
          <t>todo</t>
        </is>
      </c>
      <c r="Z1027">
        <f>(M1027*Weights!$B$2) + (MIN(Q1027,Weights!$B$5)*Weights!$B$3*(W1027/100)*Weights!$B$4)</f>
        <v/>
      </c>
      <c r="AA1027">
        <f>IF(Z1027= ,,RANK.EQ({pri_col_letter}{r},{pri_range},0))</f>
        <v/>
      </c>
    </row>
    <row r="1028">
      <c r="A1028" t="inlineStr">
        <is>
          <t>Vendidit</t>
        </is>
      </c>
      <c r="B1028" t="n">
        <v>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2</v>
      </c>
      <c r="N1028" t="inlineStr">
        <is>
          <t>Tier 4</t>
        </is>
      </c>
      <c r="O1028" t="inlineStr">
        <is>
          <t>Doug Moss — VP of Partnerships; Michael Harmer — Director of Corporate Partnerships</t>
        </is>
      </c>
      <c r="P1028" t="inlineStr">
        <is>
          <t>VP of Partnerships | Director of Corporate Partnerships</t>
        </is>
      </c>
      <c r="Y1028" t="inlineStr">
        <is>
          <t>todo</t>
        </is>
      </c>
      <c r="Z1028">
        <f>(M1028*Weights!$B$2) + (MIN(Q1028,Weights!$B$5)*Weights!$B$3*(W1028/100)*Weights!$B$4)</f>
        <v/>
      </c>
      <c r="AA1028">
        <f>IF(Z1028= ,,RANK.EQ({pri_col_letter}{r},{pri_range},0))</f>
        <v/>
      </c>
    </row>
    <row r="1029">
      <c r="A1029" t="inlineStr">
        <is>
          <t>Ventagium Data Consulting</t>
        </is>
      </c>
      <c r="B1029" t="n">
        <v>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</v>
      </c>
      <c r="N1029" t="inlineStr">
        <is>
          <t>Tier 4</t>
        </is>
      </c>
      <c r="O1029" t="inlineStr">
        <is>
          <t>Benjamin Aguillon — Co-Founder; Edgar Cetina — CRO</t>
        </is>
      </c>
      <c r="P1029" t="inlineStr">
        <is>
          <t>Co-Founder | CRO</t>
        </is>
      </c>
      <c r="Y1029" t="inlineStr">
        <is>
          <t>todo</t>
        </is>
      </c>
      <c r="Z1029">
        <f>(M1029*Weights!$B$2) + (MIN(Q1029,Weights!$B$5)*Weights!$B$3*(W1029/100)*Weights!$B$4)</f>
        <v/>
      </c>
      <c r="AA1029">
        <f>IF(Z1029= ,,RANK.EQ({pri_col_letter}{r},{pri_range},0))</f>
        <v/>
      </c>
    </row>
    <row r="1030">
      <c r="A1030" t="inlineStr">
        <is>
          <t>Ventus</t>
        </is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inlineStr">
        <is>
          <t>Tier 4</t>
        </is>
      </c>
      <c r="O1030" t="inlineStr">
        <is>
          <t>Peter Qian — CEO &amp; Co-Founder; Vincent Lu — CTO</t>
        </is>
      </c>
      <c r="P1030" t="inlineStr">
        <is>
          <t>CTO | CEO &amp; Co-Founder</t>
        </is>
      </c>
      <c r="Y1030" t="inlineStr">
        <is>
          <t>todo</t>
        </is>
      </c>
      <c r="Z1030">
        <f>(M1030*Weights!$B$2) + (MIN(Q1030,Weights!$B$5)*Weights!$B$3*(W1030/100)*Weights!$B$4)</f>
        <v/>
      </c>
      <c r="AA1030">
        <f>IF(Z1030= ,,RANK.EQ({pri_col_letter}{r},{pri_range},0))</f>
        <v/>
      </c>
    </row>
    <row r="1031">
      <c r="A1031" t="inlineStr">
        <is>
          <t>Verified Carrier</t>
        </is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2</v>
      </c>
      <c r="N1031" t="inlineStr">
        <is>
          <t>Tier 4</t>
        </is>
      </c>
      <c r="O1031" t="inlineStr">
        <is>
          <t>Alex Panfilov — CEO; Scott Cornell — Lead Strategic Advisor</t>
        </is>
      </c>
      <c r="P1031" t="inlineStr">
        <is>
          <t>CEO | Lead Strategic Advisor</t>
        </is>
      </c>
      <c r="Y1031" t="inlineStr">
        <is>
          <t>todo</t>
        </is>
      </c>
      <c r="Z1031">
        <f>(M1031*Weights!$B$2) + (MIN(Q1031,Weights!$B$5)*Weights!$B$3*(W1031/100)*Weights!$B$4)</f>
        <v/>
      </c>
      <c r="AA1031">
        <f>IF(Z1031= ,,RANK.EQ({pri_col_letter}{r},{pri_range},0))</f>
        <v/>
      </c>
    </row>
    <row r="1032">
      <c r="A1032" t="inlineStr">
        <is>
          <t>Vetra Technologies</t>
        </is>
      </c>
      <c r="B1032" t="n">
        <v>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2</v>
      </c>
      <c r="N1032" t="inlineStr">
        <is>
          <t>Tier 4</t>
        </is>
      </c>
      <c r="O1032" t="inlineStr">
        <is>
          <t>Kylie Perales — Co-Founder and CEO; Richard Shure — Co-Founder and CEO</t>
        </is>
      </c>
      <c r="P1032" t="inlineStr">
        <is>
          <t>Co-Founder and CEO</t>
        </is>
      </c>
      <c r="Y1032" t="inlineStr">
        <is>
          <t>todo</t>
        </is>
      </c>
      <c r="Z1032">
        <f>(M1032*Weights!$B$2) + (MIN(Q1032,Weights!$B$5)*Weights!$B$3*(W1032/100)*Weights!$B$4)</f>
        <v/>
      </c>
      <c r="AA1032">
        <f>IF(Z1032= ,,RANK.EQ({pri_col_letter}{r},{pri_range},0))</f>
        <v/>
      </c>
    </row>
    <row r="1033">
      <c r="A1033" t="inlineStr">
        <is>
          <t>Vink</t>
        </is>
      </c>
      <c r="B1033" t="n">
        <v>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inlineStr">
        <is>
          <t>Tier 4</t>
        </is>
      </c>
      <c r="O1033" t="inlineStr">
        <is>
          <t>Gad Levy — CTO; Isaac Kohab — Founder of Vink</t>
        </is>
      </c>
      <c r="P1033" t="inlineStr">
        <is>
          <t>CTO | Founder of Vink</t>
        </is>
      </c>
      <c r="Y1033" t="inlineStr">
        <is>
          <t>todo</t>
        </is>
      </c>
      <c r="Z1033">
        <f>(M1033*Weights!$B$2) + (MIN(Q1033,Weights!$B$5)*Weights!$B$3*(W1033/100)*Weights!$B$4)</f>
        <v/>
      </c>
      <c r="AA1033">
        <f>IF(Z1033= ,,RANK.EQ({pri_col_letter}{r},{pri_range},0))</f>
        <v/>
      </c>
    </row>
    <row r="1034">
      <c r="A1034" t="inlineStr">
        <is>
          <t>Vinturas</t>
        </is>
      </c>
      <c r="B1034" t="n">
        <v>2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inlineStr">
        <is>
          <t>Tier 4</t>
        </is>
      </c>
      <c r="O1034" t="inlineStr">
        <is>
          <t>Alexander Style — General Manager; Nick Neises — Director of Commercial Strategy</t>
        </is>
      </c>
      <c r="P1034" t="inlineStr">
        <is>
          <t>General Manager | Director of Commercial Strategy</t>
        </is>
      </c>
      <c r="Y1034" t="inlineStr">
        <is>
          <t>todo</t>
        </is>
      </c>
      <c r="Z1034">
        <f>(M1034*Weights!$B$2) + (MIN(Q1034,Weights!$B$5)*Weights!$B$3*(W1034/100)*Weights!$B$4)</f>
        <v/>
      </c>
      <c r="AA1034">
        <f>IF(Z1034= ,,RANK.EQ({pri_col_letter}{r},{pri_range},0))</f>
        <v/>
      </c>
    </row>
    <row r="1035">
      <c r="A1035" t="inlineStr">
        <is>
          <t>Vista Equity Partners</t>
        </is>
      </c>
      <c r="B1035" t="n">
        <v>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2</v>
      </c>
      <c r="N1035" t="inlineStr">
        <is>
          <t>Tier 4</t>
        </is>
      </c>
      <c r="O1035" t="inlineStr">
        <is>
          <t>Ryan McMorrow — Senior Vice President; Eric Maestri — Investor</t>
        </is>
      </c>
      <c r="P1035" t="inlineStr">
        <is>
          <t>Senior Vice President | Investor</t>
        </is>
      </c>
      <c r="Y1035" t="inlineStr">
        <is>
          <t>todo</t>
        </is>
      </c>
      <c r="Z1035">
        <f>(M1035*Weights!$B$2) + (MIN(Q1035,Weights!$B$5)*Weights!$B$3*(W1035/100)*Weights!$B$4)</f>
        <v/>
      </c>
      <c r="AA1035">
        <f>IF(Z1035= ,,RANK.EQ({pri_col_letter}{r},{pri_range},0))</f>
        <v/>
      </c>
    </row>
    <row r="1036">
      <c r="A1036" t="inlineStr">
        <is>
          <t>Vizion</t>
        </is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2</v>
      </c>
      <c r="N1036" t="inlineStr">
        <is>
          <t>Tier 4</t>
        </is>
      </c>
      <c r="O1036" t="inlineStr">
        <is>
          <t>Tyler Hughes — CTO + Co-Founder; Kyle Henderson — CEO + Co-Founder</t>
        </is>
      </c>
      <c r="P1036" t="inlineStr">
        <is>
          <t>CTO + Co-Founder | CEO + Co-Founder</t>
        </is>
      </c>
      <c r="Y1036" t="inlineStr">
        <is>
          <t>todo</t>
        </is>
      </c>
      <c r="Z1036">
        <f>(M1036*Weights!$B$2) + (MIN(Q1036,Weights!$B$5)*Weights!$B$3*(W1036/100)*Weights!$B$4)</f>
        <v/>
      </c>
      <c r="AA1036">
        <f>IF(Z1036= ,,RANK.EQ({pri_col_letter}{r},{pri_range},0))</f>
        <v/>
      </c>
    </row>
    <row r="1037">
      <c r="A1037" t="inlineStr">
        <is>
          <t>Volition Capital</t>
        </is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2</v>
      </c>
      <c r="N1037" t="inlineStr">
        <is>
          <t>Tier 4</t>
        </is>
      </c>
      <c r="O1037" t="inlineStr">
        <is>
          <t>Tiger Henderson — Vice President; Ella Steinhilber — Investor</t>
        </is>
      </c>
      <c r="P1037" t="inlineStr">
        <is>
          <t>Vice President | Investor</t>
        </is>
      </c>
      <c r="Y1037" t="inlineStr">
        <is>
          <t>todo</t>
        </is>
      </c>
      <c r="Z1037">
        <f>(M1037*Weights!$B$2) + (MIN(Q1037,Weights!$B$5)*Weights!$B$3*(W1037/100)*Weights!$B$4)</f>
        <v/>
      </c>
      <c r="AA1037">
        <f>IF(Z1037= ,,RANK.EQ({pri_col_letter}{r},{pri_range},0))</f>
        <v/>
      </c>
    </row>
    <row r="1038">
      <c r="A1038" t="inlineStr">
        <is>
          <t>Wofford Advisors</t>
        </is>
      </c>
      <c r="B1038" t="n">
        <v>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2</v>
      </c>
      <c r="N1038" t="inlineStr">
        <is>
          <t>Tier 4</t>
        </is>
      </c>
      <c r="O1038" t="inlineStr">
        <is>
          <t>Kevork Atinizian — Associate; Ron Chang — Managing Director</t>
        </is>
      </c>
      <c r="P1038" t="inlineStr">
        <is>
          <t>Associate | Managing Director</t>
        </is>
      </c>
      <c r="Y1038" t="inlineStr">
        <is>
          <t>todo</t>
        </is>
      </c>
      <c r="Z1038">
        <f>(M1038*Weights!$B$2) + (MIN(Q1038,Weights!$B$5)*Weights!$B$3*(W1038/100)*Weights!$B$4)</f>
        <v/>
      </c>
      <c r="AA1038">
        <f>IF(Z1038= ,,RANK.EQ({pri_col_letter}{r},{pri_range},0))</f>
        <v/>
      </c>
    </row>
    <row r="1039">
      <c r="A1039" t="inlineStr">
        <is>
          <t>Woolpert Digital Innovations</t>
        </is>
      </c>
      <c r="B1039" t="n">
        <v>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2</v>
      </c>
      <c r="N1039" t="inlineStr">
        <is>
          <t>Tier 4</t>
        </is>
      </c>
      <c r="O1039" t="inlineStr">
        <is>
          <t>Jeremy Quam — FSR; Justin McKinney — BDR</t>
        </is>
      </c>
      <c r="P1039" t="inlineStr">
        <is>
          <t>FSR | BDR</t>
        </is>
      </c>
      <c r="Y1039" t="inlineStr">
        <is>
          <t>todo</t>
        </is>
      </c>
      <c r="Z1039">
        <f>(M1039*Weights!$B$2) + (MIN(Q1039,Weights!$B$5)*Weights!$B$3*(W1039/100)*Weights!$B$4)</f>
        <v/>
      </c>
      <c r="AA1039">
        <f>IF(Z1039= ,,RANK.EQ({pri_col_letter}{r},{pri_range},0))</f>
        <v/>
      </c>
    </row>
    <row r="1040">
      <c r="A1040" t="inlineStr">
        <is>
          <t>Yamato transport</t>
        </is>
      </c>
      <c r="B1040" t="n">
        <v>2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2</v>
      </c>
      <c r="N1040" t="inlineStr">
        <is>
          <t>Tier 4</t>
        </is>
      </c>
      <c r="O1040" t="inlineStr">
        <is>
          <t>Keiichi Matsumoto — Head of Open Innovation; Maho Tachibana — Innovation Analyst</t>
        </is>
      </c>
      <c r="P1040" t="inlineStr">
        <is>
          <t>Head of Open Innovation | Innovation Analyst</t>
        </is>
      </c>
      <c r="Y1040" t="inlineStr">
        <is>
          <t>todo</t>
        </is>
      </c>
      <c r="Z1040">
        <f>(M1040*Weights!$B$2) + (MIN(Q1040,Weights!$B$5)*Weights!$B$3*(W1040/100)*Weights!$B$4)</f>
        <v/>
      </c>
      <c r="AA1040">
        <f>IF(Z1040= ,,RANK.EQ({pri_col_letter}{r},{pri_range},0))</f>
        <v/>
      </c>
    </row>
    <row r="1041">
      <c r="A1041" t="inlineStr">
        <is>
          <t>Zeal</t>
        </is>
      </c>
      <c r="B1041" t="n">
        <v>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2</v>
      </c>
      <c r="N1041" t="inlineStr">
        <is>
          <t>Tier 4</t>
        </is>
      </c>
      <c r="O1041" t="inlineStr">
        <is>
          <t>Emmanuil Mytryk — CEO; Igor Mytryk — CFO</t>
        </is>
      </c>
      <c r="P1041" t="inlineStr">
        <is>
          <t>CEO | CFO</t>
        </is>
      </c>
      <c r="Y1041" t="inlineStr">
        <is>
          <t>todo</t>
        </is>
      </c>
      <c r="Z1041">
        <f>(M1041*Weights!$B$2) + (MIN(Q1041,Weights!$B$5)*Weights!$B$3*(W1041/100)*Weights!$B$4)</f>
        <v/>
      </c>
      <c r="AA1041">
        <f>IF(Z1041= ,,RANK.EQ({pri_col_letter}{r},{pri_range},0))</f>
        <v/>
      </c>
    </row>
    <row r="1042">
      <c r="A1042" t="inlineStr">
        <is>
          <t>ZeroError</t>
        </is>
      </c>
      <c r="B1042" t="n">
        <v>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2</v>
      </c>
      <c r="N1042" t="inlineStr">
        <is>
          <t>Tier 4</t>
        </is>
      </c>
      <c r="O1042" t="inlineStr">
        <is>
          <t>Maria J Marti — CEO; Victor Gelpi — Co-Founder</t>
        </is>
      </c>
      <c r="P1042" t="inlineStr">
        <is>
          <t>CEO | Co-Founder</t>
        </is>
      </c>
      <c r="Y1042" t="inlineStr">
        <is>
          <t>todo</t>
        </is>
      </c>
      <c r="Z1042">
        <f>(M1042*Weights!$B$2) + (MIN(Q1042,Weights!$B$5)*Weights!$B$3*(W1042/100)*Weights!$B$4)</f>
        <v/>
      </c>
      <c r="AA1042">
        <f>IF(Z1042= ,,RANK.EQ({pri_col_letter}{r},{pri_range},0))</f>
        <v/>
      </c>
    </row>
    <row r="1043">
      <c r="A1043" t="inlineStr">
        <is>
          <t>aThingz</t>
        </is>
      </c>
      <c r="B1043" t="n">
        <v>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2</v>
      </c>
      <c r="N1043" t="inlineStr">
        <is>
          <t>Tier 4</t>
        </is>
      </c>
      <c r="O1043" t="inlineStr">
        <is>
          <t>Kannan Ramachandran — Chief Commercial Officer &amp; Chief AI Offer; Vijaya Neela — President &amp; CEO</t>
        </is>
      </c>
      <c r="P1043" t="inlineStr">
        <is>
          <t>Chief Commercial Officer &amp; Chief AI Offer | President &amp; CEO</t>
        </is>
      </c>
      <c r="Y1043" t="inlineStr">
        <is>
          <t>todo</t>
        </is>
      </c>
      <c r="Z1043">
        <f>(M1043*Weights!$B$2) + (MIN(Q1043,Weights!$B$5)*Weights!$B$3*(W1043/100)*Weights!$B$4)</f>
        <v/>
      </c>
      <c r="AA1043">
        <f>IF(Z1043= ,,RANK.EQ({pri_col_letter}{r},{pri_range},0))</f>
        <v/>
      </c>
    </row>
    <row r="1044">
      <c r="A1044" t="inlineStr">
        <is>
          <t>Gather AI</t>
        </is>
      </c>
      <c r="B1044" t="n">
        <v>14</v>
      </c>
      <c r="C1044" t="n">
        <v>1</v>
      </c>
      <c r="D1044" t="n">
        <v>1</v>
      </c>
      <c r="E1044" t="n">
        <v>0</v>
      </c>
      <c r="F1044" t="n">
        <v>10</v>
      </c>
      <c r="G1044" t="n">
        <v>3</v>
      </c>
      <c r="I1044" t="n">
        <v>13</v>
      </c>
      <c r="J1044" t="n">
        <v>0.07142857142857142</v>
      </c>
      <c r="K1044" t="n">
        <v>12</v>
      </c>
      <c r="L1044" t="n">
        <v>0</v>
      </c>
      <c r="M1044" t="n">
        <v>1</v>
      </c>
      <c r="N1044" t="inlineStr">
        <is>
          <t>Tier 4</t>
        </is>
      </c>
      <c r="O1044" t="inlineStr">
        <is>
          <t>Sean Mitchell — VP of Customer Operations; Sankalp Arora — CEO &amp; Co-Founder; Alex Powell — Solution Engineer; Zach Barnitt — Solutions Engineer; Rob Rozicki — Head of Marketing</t>
        </is>
      </c>
      <c r="P1044" t="inlineStr">
        <is>
          <t>VP of Customer Operations | CEO &amp; Co-Founder | Solution Engineer</t>
        </is>
      </c>
      <c r="Y1044" t="inlineStr">
        <is>
          <t>todo</t>
        </is>
      </c>
      <c r="Z1044">
        <f>(M1044*Weights!$B$2) + (MIN(Q1044,Weights!$B$5)*Weights!$B$3*(W1044/100)*Weights!$B$4)</f>
        <v/>
      </c>
      <c r="AA1044">
        <f>IF(Z1044= ,,RANK.EQ({pri_col_letter}{r},{pri_range},0))</f>
        <v/>
      </c>
    </row>
    <row r="1045">
      <c r="A1045" t="inlineStr">
        <is>
          <t>3PL Systems, Inc.</t>
        </is>
      </c>
      <c r="B1045" t="n">
        <v>3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>
        <is>
          <t>Tier 4</t>
        </is>
      </c>
      <c r="O1045" t="inlineStr">
        <is>
          <t>Cameron Robertson — President &amp; CEO; Sid Kato — Chairman; Michael Sternberg — Director of Sales</t>
        </is>
      </c>
      <c r="P1045" t="inlineStr">
        <is>
          <t>President &amp; CEO | Chairman | Director of Sales</t>
        </is>
      </c>
      <c r="Y1045" t="inlineStr">
        <is>
          <t>todo</t>
        </is>
      </c>
      <c r="Z1045">
        <f>(M1045*Weights!$B$2) + (MIN(Q1045,Weights!$B$5)*Weights!$B$3*(W1045/100)*Weights!$B$4)</f>
        <v/>
      </c>
      <c r="AA1045">
        <f>IF(Z1045= ,,RANK.EQ({pri_col_letter}{r},{pri_range},0))</f>
        <v/>
      </c>
    </row>
    <row r="1046">
      <c r="A1046" t="inlineStr">
        <is>
          <t>American Eagle Solutions</t>
        </is>
      </c>
      <c r="B1046" t="n">
        <v>3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>
        <is>
          <t>Tier 4</t>
        </is>
      </c>
      <c r="O1046" t="inlineStr">
        <is>
          <t>Michael Peters — Director of Strategic Partnerships; Ryan Huffman — Director of Strategic Partnerships; Ryan Robinson — VP Sales</t>
        </is>
      </c>
      <c r="P1046" t="inlineStr">
        <is>
          <t>Director of Strategic Partnerships | VP Sales</t>
        </is>
      </c>
      <c r="Y1046" t="inlineStr">
        <is>
          <t>todo</t>
        </is>
      </c>
      <c r="Z1046">
        <f>(M1046*Weights!$B$2) + (MIN(Q1046,Weights!$B$5)*Weights!$B$3*(W1046/100)*Weights!$B$4)</f>
        <v/>
      </c>
      <c r="AA1046">
        <f>IF(Z1046= ,,RANK.EQ({pri_col_letter}{r},{pri_range},0))</f>
        <v/>
      </c>
    </row>
    <row r="1047">
      <c r="A1047" t="inlineStr">
        <is>
          <t>Bot Auto</t>
        </is>
      </c>
      <c r="B1047" t="n">
        <v>3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>
        <is>
          <t>Tier 4</t>
        </is>
      </c>
      <c r="O1047" t="inlineStr">
        <is>
          <t>Paul Lam — CSO &amp; Head of Finance; Robert Brown — VP of Partnerships; Jason Lau — Director of Business Development</t>
        </is>
      </c>
      <c r="P1047" t="inlineStr">
        <is>
          <t>CSO &amp; Head of Finance | VP of Partnerships | Director of Business Development</t>
        </is>
      </c>
      <c r="Y1047" t="inlineStr">
        <is>
          <t>todo</t>
        </is>
      </c>
      <c r="Z1047">
        <f>(M1047*Weights!$B$2) + (MIN(Q1047,Weights!$B$5)*Weights!$B$3*(W1047/100)*Weights!$B$4)</f>
        <v/>
      </c>
      <c r="AA1047">
        <f>IF(Z1047= ,,RANK.EQ({pri_col_letter}{r},{pri_range},0))</f>
        <v/>
      </c>
    </row>
    <row r="1048">
      <c r="A1048" t="inlineStr">
        <is>
          <t>Broad Reach</t>
        </is>
      </c>
      <c r="B1048" t="n">
        <v>3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>
        <is>
          <t>Tier 4</t>
        </is>
      </c>
      <c r="O1048" t="inlineStr">
        <is>
          <t>Alex Moore — Partner; Craig Radford — Partner; Mark Neal — Sales</t>
        </is>
      </c>
      <c r="P1048" t="inlineStr">
        <is>
          <t>Partner | Sales</t>
        </is>
      </c>
      <c r="Y1048" t="inlineStr">
        <is>
          <t>todo</t>
        </is>
      </c>
      <c r="Z1048">
        <f>(M1048*Weights!$B$2) + (MIN(Q1048,Weights!$B$5)*Weights!$B$3*(W1048/100)*Weights!$B$4)</f>
        <v/>
      </c>
      <c r="AA1048">
        <f>IF(Z1048= ,,RANK.EQ({pri_col_letter}{r},{pri_range},0))</f>
        <v/>
      </c>
    </row>
    <row r="1049">
      <c r="A1049" t="inlineStr">
        <is>
          <t>CJ Logistics America</t>
        </is>
      </c>
      <c r="B1049" t="n">
        <v>3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>
        <is>
          <t>Tier 4</t>
        </is>
      </c>
      <c r="O1049" t="inlineStr">
        <is>
          <t>Laura Adams — Senior Vice President, CI &amp; TES; Sam Sharp — Executive Vice President, Customer Development; Matt Brzica — Senior Director, Business Development</t>
        </is>
      </c>
      <c r="P1049" t="inlineStr">
        <is>
          <t>Senior Vice President, CI &amp; TES | Executive Vice President, Customer Development | Senior Director, Business Development</t>
        </is>
      </c>
      <c r="Y1049" t="inlineStr">
        <is>
          <t>todo</t>
        </is>
      </c>
      <c r="Z1049">
        <f>(M1049*Weights!$B$2) + (MIN(Q1049,Weights!$B$5)*Weights!$B$3*(W1049/100)*Weights!$B$4)</f>
        <v/>
      </c>
      <c r="AA1049">
        <f>IF(Z1049= ,,RANK.EQ({pri_col_letter}{r},{pri_range},0))</f>
        <v/>
      </c>
    </row>
    <row r="1050">
      <c r="A1050" t="inlineStr">
        <is>
          <t>CTSI-Global</t>
        </is>
      </c>
      <c r="B1050" t="n">
        <v>3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>
        <is>
          <t>Tier 4</t>
        </is>
      </c>
      <c r="O1050" t="inlineStr">
        <is>
          <t>Marly Ynigues — Chief Transformation Officer; Michele Vernola — VP Parcel Spend Management; Brian Scott — EVP Global Sales</t>
        </is>
      </c>
      <c r="P1050" t="inlineStr">
        <is>
          <t>Chief Transformation Officer | VP Parcel Spend Management | EVP Global Sales</t>
        </is>
      </c>
      <c r="Y1050" t="inlineStr">
        <is>
          <t>todo</t>
        </is>
      </c>
      <c r="Z1050">
        <f>(M1050*Weights!$B$2) + (MIN(Q1050,Weights!$B$5)*Weights!$B$3*(W1050/100)*Weights!$B$4)</f>
        <v/>
      </c>
      <c r="AA1050">
        <f>IF(Z1050= ,,RANK.EQ({pri_col_letter}{r},{pri_range},0))</f>
        <v/>
      </c>
    </row>
    <row r="1051">
      <c r="A1051" t="inlineStr">
        <is>
          <t>Complete Shipping Solutions</t>
        </is>
      </c>
      <c r="B1051" t="n">
        <v>3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>
        <is>
          <t>Tier 4</t>
        </is>
      </c>
      <c r="O1051" t="inlineStr">
        <is>
          <t>David Niebach — President &amp; CEO; Levi Newman — Account Manager; Mark Evans — Vice President of Business Development</t>
        </is>
      </c>
      <c r="P1051" t="inlineStr">
        <is>
          <t>President &amp; CEO | Account Manager | Vice President of Business Development</t>
        </is>
      </c>
      <c r="Y1051" t="inlineStr">
        <is>
          <t>todo</t>
        </is>
      </c>
      <c r="Z1051">
        <f>(M1051*Weights!$B$2) + (MIN(Q1051,Weights!$B$5)*Weights!$B$3*(W1051/100)*Weights!$B$4)</f>
        <v/>
      </c>
      <c r="AA1051">
        <f>IF(Z1051= ,,RANK.EQ({pri_col_letter}{r},{pri_range},0))</f>
        <v/>
      </c>
    </row>
    <row r="1052">
      <c r="A1052" t="inlineStr">
        <is>
          <t>CustomsCity</t>
        </is>
      </c>
      <c r="B1052" t="n">
        <v>3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>
        <is>
          <t>Tier 4</t>
        </is>
      </c>
      <c r="O1052" t="inlineStr">
        <is>
          <t>James May — CEO; Paola Mendoza — Support Team Manager; Valeria Sandoval — Marketing Executive</t>
        </is>
      </c>
      <c r="P1052" t="inlineStr">
        <is>
          <t>CEO | Support Team Manager | Marketing Executive</t>
        </is>
      </c>
      <c r="Y1052" t="inlineStr">
        <is>
          <t>todo</t>
        </is>
      </c>
      <c r="Z1052">
        <f>(M1052*Weights!$B$2) + (MIN(Q1052,Weights!$B$5)*Weights!$B$3*(W1052/100)*Weights!$B$4)</f>
        <v/>
      </c>
      <c r="AA1052">
        <f>IF(Z1052= ,,RANK.EQ({pri_col_letter}{r},{pri_range},0))</f>
        <v/>
      </c>
    </row>
    <row r="1053">
      <c r="A1053" t="inlineStr">
        <is>
          <t>Datatruck</t>
        </is>
      </c>
      <c r="B1053" t="n">
        <v>3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>
        <is>
          <t>Tier 4</t>
        </is>
      </c>
      <c r="O1053" t="inlineStr">
        <is>
          <t>Aziz Ergashev — CTO; Ulugbek Ergashev — Co-Founder; Mackenzie Van Leuvan — Customer Success Manager</t>
        </is>
      </c>
      <c r="P1053" t="inlineStr">
        <is>
          <t>CTO | Co-Founder | Customer Success Manager</t>
        </is>
      </c>
      <c r="Y1053" t="inlineStr">
        <is>
          <t>todo</t>
        </is>
      </c>
      <c r="Z1053">
        <f>(M1053*Weights!$B$2) + (MIN(Q1053,Weights!$B$5)*Weights!$B$3*(W1053/100)*Weights!$B$4)</f>
        <v/>
      </c>
      <c r="AA1053">
        <f>IF(Z1053= ,,RANK.EQ({pri_col_letter}{r},{pri_range},0))</f>
        <v/>
      </c>
    </row>
    <row r="1054">
      <c r="A1054" t="inlineStr">
        <is>
          <t>Dispatch Science</t>
        </is>
      </c>
      <c r="B1054" t="n">
        <v>3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>
        <is>
          <t>Tier 4</t>
        </is>
      </c>
      <c r="O1054" t="inlineStr">
        <is>
          <t>Arthur Axelrad — CEO; Alex Proteau — CTO; Jacqueline Epifanie — Chief Marketing Officer</t>
        </is>
      </c>
      <c r="P1054" t="inlineStr">
        <is>
          <t>CTO | CEO | Chief Marketing Officer</t>
        </is>
      </c>
      <c r="Y1054" t="inlineStr">
        <is>
          <t>todo</t>
        </is>
      </c>
      <c r="Z1054">
        <f>(M1054*Weights!$B$2) + (MIN(Q1054,Weights!$B$5)*Weights!$B$3*(W1054/100)*Weights!$B$4)</f>
        <v/>
      </c>
      <c r="AA1054">
        <f>IF(Z1054= ,,RANK.EQ({pri_col_letter}{r},{pri_range},0))</f>
        <v/>
      </c>
    </row>
    <row r="1055">
      <c r="A1055" t="inlineStr">
        <is>
          <t>GoBolt</t>
        </is>
      </c>
      <c r="B1055" t="n">
        <v>3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33000000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>
        <is>
          <t>Tier 4</t>
        </is>
      </c>
      <c r="O1055" t="inlineStr">
        <is>
          <t>Mark Ang — CEO; Renae Farough — VP, Customer; Sana Chishti — Enterprise Account Executive</t>
        </is>
      </c>
      <c r="P1055" t="inlineStr">
        <is>
          <t>CEO | VP, Customer | Enterprise Account Executive</t>
        </is>
      </c>
      <c r="Y1055" t="inlineStr">
        <is>
          <t>todo</t>
        </is>
      </c>
      <c r="Z1055">
        <f>(M1055*Weights!$B$2) + (MIN(Q1055,Weights!$B$5)*Weights!$B$3*(W1055/100)*Weights!$B$4)</f>
        <v/>
      </c>
      <c r="AA1055">
        <f>IF(Z1055= ,,RANK.EQ({pri_col_letter}{r},{pri_range},0))</f>
        <v/>
      </c>
    </row>
    <row r="1056">
      <c r="A1056" t="inlineStr">
        <is>
          <t>IMS</t>
        </is>
      </c>
      <c r="B1056" t="n">
        <v>3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>
        <is>
          <t>Tier 4</t>
        </is>
      </c>
      <c r="O1056" t="inlineStr">
        <is>
          <t>Slava Kleyman — Co-Founder &amp; EVP; Tom O'Brien — Director, Client Development; James Frostick — VP of Sales and Marketing</t>
        </is>
      </c>
      <c r="P1056" t="inlineStr">
        <is>
          <t>Co-Founder &amp; EVP | VP of Sales and Marketing | Director, Client Development</t>
        </is>
      </c>
      <c r="Y1056" t="inlineStr">
        <is>
          <t>todo</t>
        </is>
      </c>
      <c r="Z1056">
        <f>(M1056*Weights!$B$2) + (MIN(Q1056,Weights!$B$5)*Weights!$B$3*(W1056/100)*Weights!$B$4)</f>
        <v/>
      </c>
      <c r="AA1056">
        <f>IF(Z1056= ,,RANK.EQ({pri_col_letter}{r},{pri_range},0))</f>
        <v/>
      </c>
    </row>
    <row r="1057">
      <c r="A1057" t="inlineStr">
        <is>
          <t>Intelligent Audit</t>
        </is>
      </c>
      <c r="B1057" t="n">
        <v>3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>
        <is>
          <t>Tier 4</t>
        </is>
      </c>
      <c r="O1057" t="inlineStr">
        <is>
          <t>Hannah Testani — CEO; Jorie Ramsaur — Vice President of Strategic Accounts; George Lorenze — Vice President, Business Development</t>
        </is>
      </c>
      <c r="P1057" t="inlineStr">
        <is>
          <t>CEO | Vice President of Strategic Accounts | Vice President, Business Development</t>
        </is>
      </c>
      <c r="Y1057" t="inlineStr">
        <is>
          <t>todo</t>
        </is>
      </c>
      <c r="Z1057">
        <f>(M1057*Weights!$B$2) + (MIN(Q1057,Weights!$B$5)*Weights!$B$3*(W1057/100)*Weights!$B$4)</f>
        <v/>
      </c>
      <c r="AA1057">
        <f>IF(Z1057= ,,RANK.EQ({pri_col_letter}{r},{pri_range},0))</f>
        <v/>
      </c>
    </row>
    <row r="1058">
      <c r="A1058" t="inlineStr">
        <is>
          <t>Keelvar</t>
        </is>
      </c>
      <c r="B1058" t="n">
        <v>3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>
        <is>
          <t>Tier 4</t>
        </is>
      </c>
      <c r="O1058" t="inlineStr">
        <is>
          <t>Dylan Alperin — Chief Customer Officer; David Siedt — Principal Solution Consultant; Kayla Pettenger — Enterprise Account Executive</t>
        </is>
      </c>
      <c r="P1058" t="inlineStr">
        <is>
          <t>Chief Customer Officer | Principal Solution Consultant | Enterprise Account Executive</t>
        </is>
      </c>
      <c r="Y1058" t="inlineStr">
        <is>
          <t>todo</t>
        </is>
      </c>
      <c r="Z1058">
        <f>(M1058*Weights!$B$2) + (MIN(Q1058,Weights!$B$5)*Weights!$B$3*(W1058/100)*Weights!$B$4)</f>
        <v/>
      </c>
      <c r="AA1058">
        <f>IF(Z1058= ,,RANK.EQ({pri_col_letter}{r},{pri_range},0))</f>
        <v/>
      </c>
    </row>
    <row r="1059">
      <c r="A1059" t="inlineStr">
        <is>
          <t>LogistiVIEW</t>
        </is>
      </c>
      <c r="B1059" t="n">
        <v>3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>
        <is>
          <t>Tier 4</t>
        </is>
      </c>
      <c r="O1059" t="inlineStr">
        <is>
          <t>Mark Boedecker — COO; Seth Patin — CEO; Michal Noelle Culler — VP of Sales and Marketing</t>
        </is>
      </c>
      <c r="P1059" t="inlineStr">
        <is>
          <t>COO | CEO | VP of Sales and Marketing</t>
        </is>
      </c>
      <c r="Y1059" t="inlineStr">
        <is>
          <t>todo</t>
        </is>
      </c>
      <c r="Z1059">
        <f>(M1059*Weights!$B$2) + (MIN(Q1059,Weights!$B$5)*Weights!$B$3*(W1059/100)*Weights!$B$4)</f>
        <v/>
      </c>
      <c r="AA1059">
        <f>IF(Z1059= ,,RANK.EQ({pri_col_letter}{r},{pri_range},0))</f>
        <v/>
      </c>
    </row>
    <row r="1060">
      <c r="A1060" t="inlineStr">
        <is>
          <t>Moddule</t>
        </is>
      </c>
      <c r="B1060" t="n">
        <v>3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>
        <is>
          <t>Tier 4</t>
        </is>
      </c>
      <c r="O1060" t="inlineStr">
        <is>
          <t>David Marshall — COO; Hans Elmegaard — CEO &amp; Co-founder; Ben Jones — Head of Sales &amp; Co-founder</t>
        </is>
      </c>
      <c r="P1060" t="inlineStr">
        <is>
          <t>COO | CEO &amp; Co-founder | Head of Sales &amp; Co-founder</t>
        </is>
      </c>
      <c r="Y1060" t="inlineStr">
        <is>
          <t>todo</t>
        </is>
      </c>
      <c r="Z1060">
        <f>(M1060*Weights!$B$2) + (MIN(Q1060,Weights!$B$5)*Weights!$B$3*(W1060/100)*Weights!$B$4)</f>
        <v/>
      </c>
      <c r="AA1060">
        <f>IF(Z1060= ,,RANK.EQ({pri_col_letter}{r},{pri_range},0))</f>
        <v/>
      </c>
    </row>
    <row r="1061">
      <c r="A1061" t="inlineStr">
        <is>
          <t>Nauta</t>
        </is>
      </c>
      <c r="B1061" t="n">
        <v>3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>
        <is>
          <t>Tier 4</t>
        </is>
      </c>
      <c r="O1061" t="inlineStr">
        <is>
          <t>Rafael Santiago — COO; Valentina Jordan — CEO; Gabriela Dominguez — Head of Growth</t>
        </is>
      </c>
      <c r="P1061" t="inlineStr">
        <is>
          <t>COO | CEO | Head of Growth</t>
        </is>
      </c>
      <c r="Y1061" t="inlineStr">
        <is>
          <t>todo</t>
        </is>
      </c>
      <c r="Z1061">
        <f>(M1061*Weights!$B$2) + (MIN(Q1061,Weights!$B$5)*Weights!$B$3*(W1061/100)*Weights!$B$4)</f>
        <v/>
      </c>
      <c r="AA1061">
        <f>IF(Z1061= ,,RANK.EQ({pri_col_letter}{r},{pri_range},0))</f>
        <v/>
      </c>
    </row>
    <row r="1062">
      <c r="A1062" t="inlineStr">
        <is>
          <t>OTR Solutions</t>
        </is>
      </c>
      <c r="B1062" t="n">
        <v>3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>
        <is>
          <t>Tier 4</t>
        </is>
      </c>
      <c r="O1062" t="inlineStr">
        <is>
          <t>Brent Evans — Vice President - Emerging Products; Jonathan McCormack — Senior Vice President - Broker Services; John Landrum — Vice President of Marketing</t>
        </is>
      </c>
      <c r="P1062" t="inlineStr">
        <is>
          <t>Vice President - Emerging Products | Senior Vice President - Broker Services | Vice President of Marketing</t>
        </is>
      </c>
      <c r="Y1062" t="inlineStr">
        <is>
          <t>todo</t>
        </is>
      </c>
      <c r="Z1062">
        <f>(M1062*Weights!$B$2) + (MIN(Q1062,Weights!$B$5)*Weights!$B$3*(W1062/100)*Weights!$B$4)</f>
        <v/>
      </c>
      <c r="AA1062">
        <f>IF(Z1062= ,,RANK.EQ({pri_col_letter}{r},{pri_range},0))</f>
        <v/>
      </c>
    </row>
    <row r="1063">
      <c r="A1063" t="inlineStr">
        <is>
          <t>READYCLOUD</t>
        </is>
      </c>
      <c r="B1063" t="n">
        <v>3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>
        <is>
          <t>Tier 4</t>
        </is>
      </c>
      <c r="O1063" t="inlineStr">
        <is>
          <t>Boris Romic — Partner Development; Chris Dunn — Director; Brandon Batchelor — VP Sales</t>
        </is>
      </c>
      <c r="P1063" t="inlineStr">
        <is>
          <t>Partner Development | Director | VP Sales</t>
        </is>
      </c>
      <c r="Y1063" t="inlineStr">
        <is>
          <t>todo</t>
        </is>
      </c>
      <c r="Z1063">
        <f>(M1063*Weights!$B$2) + (MIN(Q1063,Weights!$B$5)*Weights!$B$3*(W1063/100)*Weights!$B$4)</f>
        <v/>
      </c>
      <c r="AA1063">
        <f>IF(Z1063= ,,RANK.EQ({pri_col_letter}{r},{pri_range},0))</f>
        <v/>
      </c>
    </row>
    <row r="1064">
      <c r="A1064" t="inlineStr">
        <is>
          <t>Ramp Systems</t>
        </is>
      </c>
      <c r="B1064" t="n">
        <v>3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>
        <is>
          <t>Tier 4</t>
        </is>
      </c>
      <c r="O1064" t="inlineStr">
        <is>
          <t>Brian Mozhdehi — President / CEO; Don Carr — Client Solutions Specialist; Steve Crook — VP of Sales and Marketing</t>
        </is>
      </c>
      <c r="P1064" t="inlineStr">
        <is>
          <t>President / CEO | VP of Sales and Marketing | Client Solutions Specialist</t>
        </is>
      </c>
      <c r="Y1064" t="inlineStr">
        <is>
          <t>todo</t>
        </is>
      </c>
      <c r="Z1064">
        <f>(M1064*Weights!$B$2) + (MIN(Q1064,Weights!$B$5)*Weights!$B$3*(W1064/100)*Weights!$B$4)</f>
        <v/>
      </c>
      <c r="AA1064">
        <f>IF(Z1064= ,,RANK.EQ({pri_col_letter}{r},{pri_range},0))</f>
        <v/>
      </c>
    </row>
    <row r="1065">
      <c r="A1065" t="inlineStr">
        <is>
          <t>Scurri</t>
        </is>
      </c>
      <c r="B1065" t="n">
        <v>3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>
        <is>
          <t>Tier 4</t>
        </is>
      </c>
      <c r="O1065" t="inlineStr">
        <is>
          <t>Rory O'Connor — CEO; Gavin Murphy — CMO; Kate Joyce — Head of Sales</t>
        </is>
      </c>
      <c r="P1065" t="inlineStr">
        <is>
          <t>CEO | CMO | Head of Sales</t>
        </is>
      </c>
      <c r="Y1065" t="inlineStr">
        <is>
          <t>todo</t>
        </is>
      </c>
      <c r="Z1065">
        <f>(M1065*Weights!$B$2) + (MIN(Q1065,Weights!$B$5)*Weights!$B$3*(W1065/100)*Weights!$B$4)</f>
        <v/>
      </c>
      <c r="AA1065">
        <f>IF(Z1065= ,,RANK.EQ({pri_col_letter}{r},{pri_range},0))</f>
        <v/>
      </c>
    </row>
    <row r="1066">
      <c r="A1066" t="inlineStr">
        <is>
          <t>Sharetown</t>
        </is>
      </c>
      <c r="B1066" t="n">
        <v>3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>
        <is>
          <t>Tier 4</t>
        </is>
      </c>
      <c r="O1066" t="inlineStr">
        <is>
          <t>Ryan Polley — EVP of Innovation; Tyler Allred — Senior Director of Partnerships; Eric Owen — Chief Growth Officer</t>
        </is>
      </c>
      <c r="P1066" t="inlineStr">
        <is>
          <t>EVP of Innovation | Senior Director of Partnerships | Chief Growth Officer</t>
        </is>
      </c>
      <c r="Y1066" t="inlineStr">
        <is>
          <t>todo</t>
        </is>
      </c>
      <c r="Z1066">
        <f>(M1066*Weights!$B$2) + (MIN(Q1066,Weights!$B$5)*Weights!$B$3*(W1066/100)*Weights!$B$4)</f>
        <v/>
      </c>
      <c r="AA1066">
        <f>IF(Z1066= ,,RANK.EQ({pri_col_letter}{r},{pri_range},0))</f>
        <v/>
      </c>
    </row>
    <row r="1067">
      <c r="A1067" t="inlineStr">
        <is>
          <t>Spoiler Alert</t>
        </is>
      </c>
      <c r="B1067" t="n">
        <v>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>
        <is>
          <t>Tier 4</t>
        </is>
      </c>
      <c r="O1067" t="inlineStr">
        <is>
          <t>Ricky Ashenfelter — CEO; Dave Byman — Director of Strategic Accounts; Matt Greene — SVP, Sales</t>
        </is>
      </c>
      <c r="P1067" t="inlineStr">
        <is>
          <t>CEO | Director of Strategic Accounts | SVP, Sales</t>
        </is>
      </c>
      <c r="Y1067" t="inlineStr">
        <is>
          <t>todo</t>
        </is>
      </c>
      <c r="Z1067">
        <f>(M1067*Weights!$B$2) + (MIN(Q1067,Weights!$B$5)*Weights!$B$3*(W1067/100)*Weights!$B$4)</f>
        <v/>
      </c>
      <c r="AA1067">
        <f>IF(Z1067= ,,RANK.EQ({pri_col_letter}{r},{pri_range},0))</f>
        <v/>
      </c>
    </row>
    <row r="1068">
      <c r="A1068" t="inlineStr">
        <is>
          <t>Synkrato</t>
        </is>
      </c>
      <c r="B1068" t="n">
        <v>3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>
        <is>
          <t>Tier 4</t>
        </is>
      </c>
      <c r="O1068" t="inlineStr">
        <is>
          <t>Amin Sikander — CEO; Jason Mancuso — Practice Director; Juan Lopez — Business Development Executive</t>
        </is>
      </c>
      <c r="P1068" t="inlineStr">
        <is>
          <t>CEO | Practice Director | Business Development Executive</t>
        </is>
      </c>
      <c r="Y1068" t="inlineStr">
        <is>
          <t>todo</t>
        </is>
      </c>
      <c r="Z1068">
        <f>(M1068*Weights!$B$2) + (MIN(Q1068,Weights!$B$5)*Weights!$B$3*(W1068/100)*Weights!$B$4)</f>
        <v/>
      </c>
      <c r="AA1068">
        <f>IF(Z1068= ,,RANK.EQ({pri_col_letter}{r},{pri_range},0))</f>
        <v/>
      </c>
    </row>
    <row r="1069">
      <c r="A1069" t="inlineStr">
        <is>
          <t>TOC Logistics</t>
        </is>
      </c>
      <c r="B1069" t="n">
        <v>3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>
        <is>
          <t>Tier 4</t>
        </is>
      </c>
      <c r="O1069" t="inlineStr">
        <is>
          <t>Owen Nash — President and CEO; Jason Evans — Director, Systems and Planning; Bill Rammos — Director, Business Development</t>
        </is>
      </c>
      <c r="P1069" t="inlineStr">
        <is>
          <t>President and CEO | Director, Systems and Planning | Director, Business Development</t>
        </is>
      </c>
      <c r="Y1069" t="inlineStr">
        <is>
          <t>todo</t>
        </is>
      </c>
      <c r="Z1069">
        <f>(M1069*Weights!$B$2) + (MIN(Q1069,Weights!$B$5)*Weights!$B$3*(W1069/100)*Weights!$B$4)</f>
        <v/>
      </c>
      <c r="AA1069">
        <f>IF(Z1069= ,,RANK.EQ({pri_col_letter}{r},{pri_range},0))</f>
        <v/>
      </c>
    </row>
    <row r="1070">
      <c r="A1070" t="inlineStr">
        <is>
          <t>Talent Solvers</t>
        </is>
      </c>
      <c r="B1070" t="n">
        <v>3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>
        <is>
          <t>Tier 4</t>
        </is>
      </c>
      <c r="O1070" t="inlineStr">
        <is>
          <t>Brendan Colwell — Senior Recruitment Analyst; Ryan McGuinness — Partner; Coleman Ruffin — Partner, Head of Growth</t>
        </is>
      </c>
      <c r="P1070" t="inlineStr">
        <is>
          <t>Senior Recruitment Analyst | Partner, Head of Growth | Partner</t>
        </is>
      </c>
      <c r="Y1070" t="inlineStr">
        <is>
          <t>todo</t>
        </is>
      </c>
      <c r="Z1070">
        <f>(M1070*Weights!$B$2) + (MIN(Q1070,Weights!$B$5)*Weights!$B$3*(W1070/100)*Weights!$B$4)</f>
        <v/>
      </c>
      <c r="AA1070">
        <f>IF(Z1070= ,,RANK.EQ({pri_col_letter}{r},{pri_range},0))</f>
        <v/>
      </c>
    </row>
    <row r="1071">
      <c r="A1071" t="inlineStr">
        <is>
          <t>Techdinamics</t>
        </is>
      </c>
      <c r="B1071" t="n">
        <v>3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>
        <is>
          <t>Tier 4</t>
        </is>
      </c>
      <c r="O1071" t="inlineStr">
        <is>
          <t>Scott Adams — VP of Partnerships; Nathan Goobie — Director, Parcel Solutions; Clare Zeltner — Account Executive</t>
        </is>
      </c>
      <c r="P1071" t="inlineStr">
        <is>
          <t>VP of Partnerships | Director, Parcel Solutions | Account Executive</t>
        </is>
      </c>
      <c r="Y1071" t="inlineStr">
        <is>
          <t>todo</t>
        </is>
      </c>
      <c r="Z1071">
        <f>(M1071*Weights!$B$2) + (MIN(Q1071,Weights!$B$5)*Weights!$B$3*(W1071/100)*Weights!$B$4)</f>
        <v/>
      </c>
      <c r="AA1071">
        <f>IF(Z1071= ,,RANK.EQ({pri_col_letter}{r},{pri_range},0))</f>
        <v/>
      </c>
    </row>
    <row r="1072">
      <c r="A1072" t="inlineStr">
        <is>
          <t>Tryon Solutions</t>
        </is>
      </c>
      <c r="B1072" t="n">
        <v>3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>
        <is>
          <t>Tier 4</t>
        </is>
      </c>
      <c r="O1072" t="inlineStr">
        <is>
          <t>Dan Ahearn — Client Advisor; Greg Malinowski — Client Executive; Jeff Constable — VP Business Development</t>
        </is>
      </c>
      <c r="P1072" t="inlineStr">
        <is>
          <t>Client Advisor | Client Executive | VP Business Development</t>
        </is>
      </c>
      <c r="Y1072" t="inlineStr">
        <is>
          <t>todo</t>
        </is>
      </c>
      <c r="Z1072">
        <f>(M1072*Weights!$B$2) + (MIN(Q1072,Weights!$B$5)*Weights!$B$3*(W1072/100)*Weights!$B$4)</f>
        <v/>
      </c>
      <c r="AA1072">
        <f>IF(Z1072= ,,RANK.EQ({pri_col_letter}{r},{pri_range},0))</f>
        <v/>
      </c>
    </row>
    <row r="1073">
      <c r="A1073" t="inlineStr">
        <is>
          <t>Verity</t>
        </is>
      </c>
      <c r="B1073" t="n">
        <v>3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>
        <is>
          <t>Tier 4</t>
        </is>
      </c>
      <c r="O1073" t="inlineStr">
        <is>
          <t>Lenzy Rimensberger — Client Executive; Gianluca Tumiatti — Client Executive; Michael DeLeonardis — Chief Revenue Officer</t>
        </is>
      </c>
      <c r="P1073" t="inlineStr">
        <is>
          <t>Chief Revenue Officer | Client Executive</t>
        </is>
      </c>
      <c r="Y1073" t="inlineStr">
        <is>
          <t>todo</t>
        </is>
      </c>
      <c r="Z1073">
        <f>(M1073*Weights!$B$2) + (MIN(Q1073,Weights!$B$5)*Weights!$B$3*(W1073/100)*Weights!$B$4)</f>
        <v/>
      </c>
      <c r="AA1073">
        <f>IF(Z1073= ,,RANK.EQ({pri_col_letter}{r},{pri_range},0))</f>
        <v/>
      </c>
    </row>
    <row r="1074">
      <c r="A1074" t="inlineStr">
        <is>
          <t>Waabi</t>
        </is>
      </c>
      <c r="B1074" t="n">
        <v>3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>
        <is>
          <t>Tier 4</t>
        </is>
      </c>
      <c r="O1074" t="inlineStr">
        <is>
          <t>Andrew Price — Head of Commercial Products; Brad Kreider — Head of Commercial; Joe Shone — Head of Shipper Sales</t>
        </is>
      </c>
      <c r="P1074" t="inlineStr">
        <is>
          <t>Head of Commercial Products | Head of Commercial | Head of Shipper Sales</t>
        </is>
      </c>
      <c r="Y1074" t="inlineStr">
        <is>
          <t>todo</t>
        </is>
      </c>
      <c r="Z1074">
        <f>(M1074*Weights!$B$2) + (MIN(Q1074,Weights!$B$5)*Weights!$B$3*(W1074/100)*Weights!$B$4)</f>
        <v/>
      </c>
      <c r="AA1074">
        <f>IF(Z1074= ,,RANK.EQ({pri_col_letter}{r},{pri_range},0))</f>
        <v/>
      </c>
    </row>
    <row r="1075">
      <c r="A1075" t="inlineStr">
        <is>
          <t>1Logtech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inlineStr">
        <is>
          <t>Tier 4</t>
        </is>
      </c>
      <c r="O1075" t="inlineStr">
        <is>
          <t>JP Wiggins — CEO</t>
        </is>
      </c>
      <c r="P1075" t="inlineStr">
        <is>
          <t>CEO</t>
        </is>
      </c>
      <c r="Y1075" t="inlineStr">
        <is>
          <t>todo</t>
        </is>
      </c>
      <c r="Z1075">
        <f>(M1075*Weights!$B$2) + (MIN(Q1075,Weights!$B$5)*Weights!$B$3*(W1075/100)*Weights!$B$4)</f>
        <v/>
      </c>
      <c r="AA1075">
        <f>IF(Z1075= ,,RANK.EQ({pri_col_letter}{r},{pri_range},0))</f>
        <v/>
      </c>
    </row>
    <row r="1076">
      <c r="A1076" t="inlineStr">
        <is>
          <t>3Linx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inlineStr">
        <is>
          <t>Tier 4</t>
        </is>
      </c>
      <c r="O1076" t="inlineStr">
        <is>
          <t>Kashif Raza — CEO</t>
        </is>
      </c>
      <c r="P1076" t="inlineStr">
        <is>
          <t>CEO</t>
        </is>
      </c>
      <c r="Y1076" t="inlineStr">
        <is>
          <t>todo</t>
        </is>
      </c>
      <c r="Z1076">
        <f>(M1076*Weights!$B$2) + (MIN(Q1076,Weights!$B$5)*Weights!$B$3*(W1076/100)*Weights!$B$4)</f>
        <v/>
      </c>
      <c r="AA1076">
        <f>IF(Z1076= ,,RANK.EQ({pri_col_letter}{r},{pri_range},0))</f>
        <v/>
      </c>
    </row>
    <row r="1077">
      <c r="A1077" t="inlineStr">
        <is>
          <t>AAPA Latam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inlineStr">
        <is>
          <t>Tier 4</t>
        </is>
      </c>
      <c r="O1077" t="inlineStr">
        <is>
          <t>Juan Duarte — Executive President</t>
        </is>
      </c>
      <c r="P1077" t="inlineStr">
        <is>
          <t>Executive President</t>
        </is>
      </c>
      <c r="Y1077" t="inlineStr">
        <is>
          <t>todo</t>
        </is>
      </c>
      <c r="Z1077">
        <f>(M1077*Weights!$B$2) + (MIN(Q1077,Weights!$B$5)*Weights!$B$3*(W1077/100)*Weights!$B$4)</f>
        <v/>
      </c>
      <c r="AA1077">
        <f>IF(Z1077= ,,RANK.EQ({pri_col_letter}{r},{pri_range},0))</f>
        <v/>
      </c>
    </row>
    <row r="1078">
      <c r="A1078" t="inlineStr">
        <is>
          <t>ADAMA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inlineStr">
        <is>
          <t>Tier 4</t>
        </is>
      </c>
      <c r="O1078" t="inlineStr">
        <is>
          <t>Hezi Benzaken — Head of AI Enablement</t>
        </is>
      </c>
      <c r="P1078" t="inlineStr">
        <is>
          <t>Head of AI Enablement</t>
        </is>
      </c>
      <c r="Y1078" t="inlineStr">
        <is>
          <t>todo</t>
        </is>
      </c>
      <c r="Z1078">
        <f>(M1078*Weights!$B$2) + (MIN(Q1078,Weights!$B$5)*Weights!$B$3*(W1078/100)*Weights!$B$4)</f>
        <v/>
      </c>
      <c r="AA1078">
        <f>IF(Z1078= ,,RANK.EQ({pri_col_letter}{r},{pri_range},0))</f>
        <v/>
      </c>
    </row>
    <row r="1079">
      <c r="A1079" t="inlineStr">
        <is>
          <t>AEO, Inc &amp; Cardinal Health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inlineStr">
        <is>
          <t>Tier 4</t>
        </is>
      </c>
      <c r="O1079" t="inlineStr">
        <is>
          <t>Suja Chandrasekaran — Member Board of Directors</t>
        </is>
      </c>
      <c r="P1079" t="inlineStr">
        <is>
          <t>Member Board of Directors</t>
        </is>
      </c>
      <c r="Y1079" t="inlineStr">
        <is>
          <t>todo</t>
        </is>
      </c>
      <c r="Z1079">
        <f>(M1079*Weights!$B$2) + (MIN(Q1079,Weights!$B$5)*Weights!$B$3*(W1079/100)*Weights!$B$4)</f>
        <v/>
      </c>
      <c r="AA1079">
        <f>IF(Z1079= ,,RANK.EQ({pri_col_letter}{r},{pri_range},0))</f>
        <v/>
      </c>
    </row>
    <row r="1080">
      <c r="A1080" t="inlineStr">
        <is>
          <t>AFS Logistics LLC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inlineStr">
        <is>
          <t>Tier 4</t>
        </is>
      </c>
      <c r="O1080" t="inlineStr">
        <is>
          <t>Marcus Arbelbide — VP of Enterprise Accounts</t>
        </is>
      </c>
      <c r="P1080" t="inlineStr">
        <is>
          <t>VP of Enterprise Accounts</t>
        </is>
      </c>
      <c r="Y1080" t="inlineStr">
        <is>
          <t>todo</t>
        </is>
      </c>
      <c r="Z1080">
        <f>(M1080*Weights!$B$2) + (MIN(Q1080,Weights!$B$5)*Weights!$B$3*(W1080/100)*Weights!$B$4)</f>
        <v/>
      </c>
      <c r="AA1080">
        <f>IF(Z1080= ,,RANK.EQ({pri_col_letter}{r},{pri_range},0))</f>
        <v/>
      </c>
    </row>
    <row r="1081">
      <c r="A1081" t="inlineStr">
        <is>
          <t>AFS Logsitics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inlineStr">
        <is>
          <t>Tier 4</t>
        </is>
      </c>
      <c r="O1081" t="inlineStr">
        <is>
          <t>Skip Keene — Vice President, Enterprise Accounts</t>
        </is>
      </c>
      <c r="P1081" t="inlineStr">
        <is>
          <t>Vice President, Enterprise Accounts</t>
        </is>
      </c>
      <c r="Y1081" t="inlineStr">
        <is>
          <t>todo</t>
        </is>
      </c>
      <c r="Z1081">
        <f>(M1081*Weights!$B$2) + (MIN(Q1081,Weights!$B$5)*Weights!$B$3*(W1081/100)*Weights!$B$4)</f>
        <v/>
      </c>
      <c r="AA1081">
        <f>IF(Z1081= ,,RANK.EQ({pri_col_letter}{r},{pri_range},0))</f>
        <v/>
      </c>
    </row>
    <row r="1082">
      <c r="A1082" t="inlineStr">
        <is>
          <t>AGC Partners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>
        <is>
          <t>Tier 4</t>
        </is>
      </c>
      <c r="O1082" t="inlineStr">
        <is>
          <t>Steven Willis — Partner</t>
        </is>
      </c>
      <c r="P1082" t="inlineStr">
        <is>
          <t>Partner</t>
        </is>
      </c>
      <c r="Y1082" t="inlineStr">
        <is>
          <t>todo</t>
        </is>
      </c>
      <c r="Z1082">
        <f>(M1082*Weights!$B$2) + (MIN(Q1082,Weights!$B$5)*Weights!$B$3*(W1082/100)*Weights!$B$4)</f>
        <v/>
      </c>
      <c r="AA1082">
        <f>IF(Z1082= ,,RANK.EQ({pri_col_letter}{r},{pri_range},0))</f>
        <v/>
      </c>
    </row>
    <row r="1083">
      <c r="A1083" t="inlineStr">
        <is>
          <t>AIT Worldwide Logistics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inlineStr">
        <is>
          <t>Tier 4</t>
        </is>
      </c>
      <c r="O1083" t="inlineStr">
        <is>
          <t>Ray Fennelly — EVP &amp; Chief Development Officer</t>
        </is>
      </c>
      <c r="P1083" t="inlineStr">
        <is>
          <t>EVP &amp; Chief Development Officer</t>
        </is>
      </c>
      <c r="Y1083" t="inlineStr">
        <is>
          <t>todo</t>
        </is>
      </c>
      <c r="Z1083">
        <f>(M1083*Weights!$B$2) + (MIN(Q1083,Weights!$B$5)*Weights!$B$3*(W1083/100)*Weights!$B$4)</f>
        <v/>
      </c>
      <c r="AA1083">
        <f>IF(Z1083= ,,RANK.EQ({pri_col_letter}{r},{pri_range},0))</f>
        <v/>
      </c>
    </row>
    <row r="1084">
      <c r="A1084" t="inlineStr">
        <is>
          <t>AKFI Association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>
        <is>
          <t>Tier 4</t>
        </is>
      </c>
      <c r="O1084" t="inlineStr">
        <is>
          <t>Manuel Vexler — Executive Director</t>
        </is>
      </c>
      <c r="P1084" t="inlineStr">
        <is>
          <t>Executive Director</t>
        </is>
      </c>
      <c r="Y1084" t="inlineStr">
        <is>
          <t>todo</t>
        </is>
      </c>
      <c r="Z1084">
        <f>(M1084*Weights!$B$2) + (MIN(Q1084,Weights!$B$5)*Weights!$B$3*(W1084/100)*Weights!$B$4)</f>
        <v/>
      </c>
      <c r="AA1084">
        <f>IF(Z1084= ,,RANK.EQ({pri_col_letter}{r},{pri_range},0))</f>
        <v/>
      </c>
    </row>
    <row r="1085">
      <c r="A1085" t="inlineStr">
        <is>
          <t>ALBA WHEELS UP INTERNATIONAL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inlineStr">
        <is>
          <t>Tier 4</t>
        </is>
      </c>
      <c r="O1085" t="inlineStr">
        <is>
          <t>Alex Kleinschmidt — Executive Vice President, Commercial</t>
        </is>
      </c>
      <c r="P1085" t="inlineStr">
        <is>
          <t>Executive Vice President, Commercial</t>
        </is>
      </c>
      <c r="Y1085" t="inlineStr">
        <is>
          <t>todo</t>
        </is>
      </c>
      <c r="Z1085">
        <f>(M1085*Weights!$B$2) + (MIN(Q1085,Weights!$B$5)*Weights!$B$3*(W1085/100)*Weights!$B$4)</f>
        <v/>
      </c>
      <c r="AA1085">
        <f>IF(Z1085= ,,RANK.EQ({pri_col_letter}{r},{pri_range},0))</f>
        <v/>
      </c>
    </row>
    <row r="1086">
      <c r="A1086" t="inlineStr">
        <is>
          <t>ALM Crown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inlineStr">
        <is>
          <t>Tier 4</t>
        </is>
      </c>
      <c r="O1086" t="inlineStr">
        <is>
          <t>Jason Crown — CEO</t>
        </is>
      </c>
      <c r="P1086" t="inlineStr">
        <is>
          <t>CEO</t>
        </is>
      </c>
      <c r="Y1086" t="inlineStr">
        <is>
          <t>todo</t>
        </is>
      </c>
      <c r="Z1086">
        <f>(M1086*Weights!$B$2) + (MIN(Q1086,Weights!$B$5)*Weights!$B$3*(W1086/100)*Weights!$B$4)</f>
        <v/>
      </c>
      <c r="AA1086">
        <f>IF(Z1086= ,,RANK.EQ({pri_col_letter}{r},{pri_range},0))</f>
        <v/>
      </c>
    </row>
    <row r="1087">
      <c r="A1087" t="inlineStr">
        <is>
          <t>AM Trans Expedite (Fusion Transport)</t>
        </is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inlineStr">
        <is>
          <t>Tier 4</t>
        </is>
      </c>
      <c r="O1087" t="inlineStr">
        <is>
          <t>Dan Colonna — President</t>
        </is>
      </c>
      <c r="P1087" t="inlineStr">
        <is>
          <t>President</t>
        </is>
      </c>
      <c r="Y1087" t="inlineStr">
        <is>
          <t>todo</t>
        </is>
      </c>
      <c r="Z1087">
        <f>(M1087*Weights!$B$2) + (MIN(Q1087,Weights!$B$5)*Weights!$B$3*(W1087/100)*Weights!$B$4)</f>
        <v/>
      </c>
      <c r="AA1087">
        <f>IF(Z1087= ,,RANK.EQ({pri_col_letter}{r},{pri_range},0))</f>
        <v/>
      </c>
    </row>
    <row r="1088">
      <c r="A1088" t="inlineStr">
        <is>
          <t>AQ Technology Partners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inlineStr">
        <is>
          <t>Tier 4</t>
        </is>
      </c>
      <c r="O1088" t="inlineStr">
        <is>
          <t>Zack Buzzatto — Managing Director</t>
        </is>
      </c>
      <c r="P1088" t="inlineStr">
        <is>
          <t>Managing Director</t>
        </is>
      </c>
      <c r="Y1088" t="inlineStr">
        <is>
          <t>todo</t>
        </is>
      </c>
      <c r="Z1088">
        <f>(M1088*Weights!$B$2) + (MIN(Q1088,Weights!$B$5)*Weights!$B$3*(W1088/100)*Weights!$B$4)</f>
        <v/>
      </c>
      <c r="AA1088">
        <f>IF(Z1088= ,,RANK.EQ({pri_col_letter}{r},{pri_range},0))</f>
        <v/>
      </c>
    </row>
    <row r="1089">
      <c r="A1089" t="inlineStr">
        <is>
          <t>ASAP DISTRIBUTION INC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inlineStr">
        <is>
          <t>Tier 4</t>
        </is>
      </c>
      <c r="O1089" t="inlineStr">
        <is>
          <t>Tam Kaccem — CEO</t>
        </is>
      </c>
      <c r="P1089" t="inlineStr">
        <is>
          <t>CEO</t>
        </is>
      </c>
      <c r="Y1089" t="inlineStr">
        <is>
          <t>todo</t>
        </is>
      </c>
      <c r="Z1089">
        <f>(M1089*Weights!$B$2) + (MIN(Q1089,Weights!$B$5)*Weights!$B$3*(W1089/100)*Weights!$B$4)</f>
        <v/>
      </c>
      <c r="AA1089">
        <f>IF(Z1089= ,,RANK.EQ({pri_col_letter}{r},{pri_range},0))</f>
        <v/>
      </c>
    </row>
    <row r="1090">
      <c r="A1090" t="inlineStr">
        <is>
          <t>ASYGN Inc</t>
        </is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>
        <is>
          <t>Tier 4</t>
        </is>
      </c>
      <c r="O1090" t="inlineStr">
        <is>
          <t>Stefano Bernabovi — Business Developer</t>
        </is>
      </c>
      <c r="P1090" t="inlineStr">
        <is>
          <t>Business Developer</t>
        </is>
      </c>
      <c r="Y1090" t="inlineStr">
        <is>
          <t>todo</t>
        </is>
      </c>
      <c r="Z1090">
        <f>(M1090*Weights!$B$2) + (MIN(Q1090,Weights!$B$5)*Weights!$B$3*(W1090/100)*Weights!$B$4)</f>
        <v/>
      </c>
      <c r="AA1090">
        <f>IF(Z1090= ,,RANK.EQ({pri_col_letter}{r},{pri_range},0))</f>
        <v/>
      </c>
    </row>
    <row r="1091">
      <c r="A1091" t="inlineStr">
        <is>
          <t>ATA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inlineStr">
        <is>
          <t>Tier 4</t>
        </is>
      </c>
      <c r="O1091" t="inlineStr">
        <is>
          <t>Matt Goker — CEO</t>
        </is>
      </c>
      <c r="P1091" t="inlineStr">
        <is>
          <t>CEO</t>
        </is>
      </c>
      <c r="Y1091" t="inlineStr">
        <is>
          <t>todo</t>
        </is>
      </c>
      <c r="Z1091">
        <f>(M1091*Weights!$B$2) + (MIN(Q1091,Weights!$B$5)*Weights!$B$3*(W1091/100)*Weights!$B$4)</f>
        <v/>
      </c>
      <c r="AA1091">
        <f>IF(Z1091= ,,RANK.EQ({pri_col_letter}{r},{pri_range},0))</f>
        <v/>
      </c>
    </row>
    <row r="1092">
      <c r="A1092" t="inlineStr">
        <is>
          <t>ATALNT</t>
        </is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>
        <is>
          <t>Tier 4</t>
        </is>
      </c>
      <c r="O1092" t="inlineStr">
        <is>
          <t>Kelly Brown — Founding &amp; Managing Partner</t>
        </is>
      </c>
      <c r="P1092" t="inlineStr">
        <is>
          <t>Founding &amp; Managing Partner</t>
        </is>
      </c>
      <c r="Y1092" t="inlineStr">
        <is>
          <t>todo</t>
        </is>
      </c>
      <c r="Z1092">
        <f>(M1092*Weights!$B$2) + (MIN(Q1092,Weights!$B$5)*Weights!$B$3*(W1092/100)*Weights!$B$4)</f>
        <v/>
      </c>
      <c r="AA1092">
        <f>IF(Z1092= ,,RANK.EQ({pri_col_letter}{r},{pri_range},0))</f>
        <v/>
      </c>
    </row>
    <row r="1093">
      <c r="A1093" t="inlineStr">
        <is>
          <t>ATL Partners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>
        <is>
          <t>Tier 4</t>
        </is>
      </c>
      <c r="O1093" t="inlineStr">
        <is>
          <t>Sanjay Arora — Partner</t>
        </is>
      </c>
      <c r="P1093" t="inlineStr">
        <is>
          <t>Partner</t>
        </is>
      </c>
      <c r="Y1093" t="inlineStr">
        <is>
          <t>todo</t>
        </is>
      </c>
      <c r="Z1093">
        <f>(M1093*Weights!$B$2) + (MIN(Q1093,Weights!$B$5)*Weights!$B$3*(W1093/100)*Weights!$B$4)</f>
        <v/>
      </c>
      <c r="AA1093">
        <f>IF(Z1093= ,,RANK.EQ({pri_col_letter}{r},{pri_range},0))</f>
        <v/>
      </c>
    </row>
    <row r="1094">
      <c r="A1094" t="inlineStr">
        <is>
          <t>ATLSRG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>
        <is>
          <t>Tier 4</t>
        </is>
      </c>
      <c r="O1094" t="inlineStr">
        <is>
          <t>Joshuwa Charles — CEO</t>
        </is>
      </c>
      <c r="P1094" t="inlineStr">
        <is>
          <t>CEO</t>
        </is>
      </c>
      <c r="Y1094" t="inlineStr">
        <is>
          <t>todo</t>
        </is>
      </c>
      <c r="Z1094">
        <f>(M1094*Weights!$B$2) + (MIN(Q1094,Weights!$B$5)*Weights!$B$3*(W1094/100)*Weights!$B$4)</f>
        <v/>
      </c>
      <c r="AA1094">
        <f>IF(Z1094= ,,RANK.EQ({pri_col_letter}{r},{pri_range},0))</f>
        <v/>
      </c>
    </row>
    <row r="1095">
      <c r="A1095" t="inlineStr">
        <is>
          <t>Accelera, Inc.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inlineStr">
        <is>
          <t>Tier 4</t>
        </is>
      </c>
      <c r="O1095" t="inlineStr">
        <is>
          <t>Asis Biswas — CEO</t>
        </is>
      </c>
      <c r="P1095" t="inlineStr">
        <is>
          <t>CEO</t>
        </is>
      </c>
      <c r="Y1095" t="inlineStr">
        <is>
          <t>todo</t>
        </is>
      </c>
      <c r="Z1095">
        <f>(M1095*Weights!$B$2) + (MIN(Q1095,Weights!$B$5)*Weights!$B$3*(W1095/100)*Weights!$B$4)</f>
        <v/>
      </c>
      <c r="AA1095">
        <f>IF(Z1095= ,,RANK.EQ({pri_col_letter}{r},{pri_range},0))</f>
        <v/>
      </c>
    </row>
    <row r="1096">
      <c r="A1096" t="inlineStr">
        <is>
          <t>Access Supply SolutionsT</t>
        </is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inlineStr">
        <is>
          <t>Tier 4</t>
        </is>
      </c>
      <c r="O1096" t="inlineStr">
        <is>
          <t>Chris Kammer — Technology Chairperson- Association VP</t>
        </is>
      </c>
      <c r="P1096" t="inlineStr">
        <is>
          <t>Technology Chairperson- Association VP</t>
        </is>
      </c>
      <c r="Y1096" t="inlineStr">
        <is>
          <t>todo</t>
        </is>
      </c>
      <c r="Z1096">
        <f>(M1096*Weights!$B$2) + (MIN(Q1096,Weights!$B$5)*Weights!$B$3*(W1096/100)*Weights!$B$4)</f>
        <v/>
      </c>
      <c r="AA1096">
        <f>IF(Z1096= ,,RANK.EQ({pri_col_letter}{r},{pri_range},0))</f>
        <v/>
      </c>
    </row>
    <row r="1097">
      <c r="A1097" t="inlineStr">
        <is>
          <t>Ace Relocation Systems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inlineStr">
        <is>
          <t>Tier 4</t>
        </is>
      </c>
      <c r="O1097" t="inlineStr">
        <is>
          <t>Jeff Layton — Chief Information Officer</t>
        </is>
      </c>
      <c r="P1097" t="inlineStr">
        <is>
          <t>Chief Information Officer</t>
        </is>
      </c>
      <c r="Y1097" t="inlineStr">
        <is>
          <t>todo</t>
        </is>
      </c>
      <c r="Z1097">
        <f>(M1097*Weights!$B$2) + (MIN(Q1097,Weights!$B$5)*Weights!$B$3*(W1097/100)*Weights!$B$4)</f>
        <v/>
      </c>
      <c r="AA1097">
        <f>IF(Z1097= ,,RANK.EQ({pri_col_letter}{r},{pri_range},0))</f>
        <v/>
      </c>
    </row>
    <row r="1098">
      <c r="A1098" t="inlineStr">
        <is>
          <t>Acme Distribution Inc.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>
        <is>
          <t>Tier 4</t>
        </is>
      </c>
      <c r="O1098" t="inlineStr">
        <is>
          <t>Doug Sampson — Chief Commercial Officer, Shareholder</t>
        </is>
      </c>
      <c r="P1098" t="inlineStr">
        <is>
          <t>Chief Commercial Officer, Shareholder</t>
        </is>
      </c>
      <c r="Y1098" t="inlineStr">
        <is>
          <t>todo</t>
        </is>
      </c>
      <c r="Z1098">
        <f>(M1098*Weights!$B$2) + (MIN(Q1098,Weights!$B$5)*Weights!$B$3*(W1098/100)*Weights!$B$4)</f>
        <v/>
      </c>
      <c r="AA1098">
        <f>IF(Z1098= ,,RANK.EQ({pri_col_letter}{r},{pri_range},0))</f>
        <v/>
      </c>
    </row>
    <row r="1099">
      <c r="A1099" t="inlineStr">
        <is>
          <t>Adlinc, LLC</t>
        </is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inlineStr">
        <is>
          <t>Tier 4</t>
        </is>
      </c>
      <c r="O1099" t="inlineStr">
        <is>
          <t>David Douglas — CEO</t>
        </is>
      </c>
      <c r="P1099" t="inlineStr">
        <is>
          <t>CEO</t>
        </is>
      </c>
      <c r="Y1099" t="inlineStr">
        <is>
          <t>todo</t>
        </is>
      </c>
      <c r="Z1099">
        <f>(M1099*Weights!$B$2) + (MIN(Q1099,Weights!$B$5)*Weights!$B$3*(W1099/100)*Weights!$B$4)</f>
        <v/>
      </c>
      <c r="AA1099">
        <f>IF(Z1099= ,,RANK.EQ({pri_col_letter}{r},{pri_range},0))</f>
        <v/>
      </c>
    </row>
    <row r="1100">
      <c r="A1100" t="inlineStr">
        <is>
          <t>Advanced Drainage Systems</t>
        </is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>
        <is>
          <t>Tier 4</t>
        </is>
      </c>
      <c r="O1100" t="inlineStr">
        <is>
          <t>Evan McNamara — Manager Demand Planning</t>
        </is>
      </c>
      <c r="P1100" t="inlineStr">
        <is>
          <t>Manager Demand Planning</t>
        </is>
      </c>
      <c r="Y1100" t="inlineStr">
        <is>
          <t>todo</t>
        </is>
      </c>
      <c r="Z1100">
        <f>(M1100*Weights!$B$2) + (MIN(Q1100,Weights!$B$5)*Weights!$B$3*(W1100/100)*Weights!$B$4)</f>
        <v/>
      </c>
      <c r="AA1100">
        <f>IF(Z1100= ,,RANK.EQ({pri_col_letter}{r},{pri_range},0))</f>
        <v/>
      </c>
    </row>
    <row r="1101">
      <c r="A1101" t="inlineStr">
        <is>
          <t>Advanced Marketing International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inlineStr">
        <is>
          <t>Tier 4</t>
        </is>
      </c>
      <c r="O1101" t="inlineStr">
        <is>
          <t>Tammy Benson — President/CEO</t>
        </is>
      </c>
      <c r="P1101" t="inlineStr">
        <is>
          <t>President/CEO</t>
        </is>
      </c>
      <c r="Y1101" t="inlineStr">
        <is>
          <t>todo</t>
        </is>
      </c>
      <c r="Z1101">
        <f>(M1101*Weights!$B$2) + (MIN(Q1101,Weights!$B$5)*Weights!$B$3*(W1101/100)*Weights!$B$4)</f>
        <v/>
      </c>
      <c r="AA1101">
        <f>IF(Z1101= ,,RANK.EQ({pri_col_letter}{r},{pri_range},0))</f>
        <v/>
      </c>
    </row>
    <row r="1102">
      <c r="A1102" t="inlineStr">
        <is>
          <t>Adventure CPG</t>
        </is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>
        <is>
          <t>Tier 4</t>
        </is>
      </c>
      <c r="O1102" t="inlineStr">
        <is>
          <t>Torah Tores — Founder/ CEO</t>
        </is>
      </c>
      <c r="P1102" t="inlineStr">
        <is>
          <t>Founder/ CEO</t>
        </is>
      </c>
      <c r="Y1102" t="inlineStr">
        <is>
          <t>todo</t>
        </is>
      </c>
      <c r="Z1102">
        <f>(M1102*Weights!$B$2) + (MIN(Q1102,Weights!$B$5)*Weights!$B$3*(W1102/100)*Weights!$B$4)</f>
        <v/>
      </c>
      <c r="AA1102">
        <f>IF(Z1102= ,,RANK.EQ({pri_col_letter}{r},{pri_range},0))</f>
        <v/>
      </c>
    </row>
    <row r="1103">
      <c r="A1103" t="inlineStr">
        <is>
          <t>Agency Robotics</t>
        </is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>
        <is>
          <t>Tier 4</t>
        </is>
      </c>
      <c r="O1103" t="inlineStr">
        <is>
          <t>Ryan Jacobs — CEO and Co-Founder</t>
        </is>
      </c>
      <c r="P1103" t="inlineStr">
        <is>
          <t>CEO and Co-Founder</t>
        </is>
      </c>
      <c r="Y1103" t="inlineStr">
        <is>
          <t>todo</t>
        </is>
      </c>
      <c r="Z1103">
        <f>(M1103*Weights!$B$2) + (MIN(Q1103,Weights!$B$5)*Weights!$B$3*(W1103/100)*Weights!$B$4)</f>
        <v/>
      </c>
      <c r="AA1103">
        <f>IF(Z1103= ,,RANK.EQ({pri_col_letter}{r},{pri_range},0))</f>
        <v/>
      </c>
    </row>
    <row r="1104">
      <c r="A1104" t="inlineStr">
        <is>
          <t>Agillitics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inlineStr">
        <is>
          <t>Tier 4</t>
        </is>
      </c>
      <c r="O1104" t="inlineStr">
        <is>
          <t>Timothy Judge — CEO</t>
        </is>
      </c>
      <c r="P1104" t="inlineStr">
        <is>
          <t>CEO</t>
        </is>
      </c>
      <c r="Y1104" t="inlineStr">
        <is>
          <t>todo</t>
        </is>
      </c>
      <c r="Z1104">
        <f>(M1104*Weights!$B$2) + (MIN(Q1104,Weights!$B$5)*Weights!$B$3*(W1104/100)*Weights!$B$4)</f>
        <v/>
      </c>
      <c r="AA1104">
        <f>IF(Z1104= ,,RANK.EQ({pri_col_letter}{r},{pri_range},0))</f>
        <v/>
      </c>
    </row>
    <row r="1105">
      <c r="A1105" t="inlineStr">
        <is>
          <t>Aircon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>
        <is>
          <t>Tier 4</t>
        </is>
      </c>
      <c r="O1105" t="inlineStr">
        <is>
          <t>Chris Condon — Founder</t>
        </is>
      </c>
      <c r="P1105" t="inlineStr">
        <is>
          <t>Founder</t>
        </is>
      </c>
      <c r="Y1105" t="inlineStr">
        <is>
          <t>todo</t>
        </is>
      </c>
      <c r="Z1105">
        <f>(M1105*Weights!$B$2) + (MIN(Q1105,Weights!$B$5)*Weights!$B$3*(W1105/100)*Weights!$B$4)</f>
        <v/>
      </c>
      <c r="AA1105">
        <f>IF(Z1105= ,,RANK.EQ({pri_col_letter}{r},{pri_range},0))</f>
        <v/>
      </c>
    </row>
    <row r="1106">
      <c r="A1106" t="inlineStr">
        <is>
          <t>Alaska Airline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>
        <is>
          <t>Tier 4</t>
        </is>
      </c>
      <c r="O1106" t="inlineStr">
        <is>
          <t>Ryan Speis — Managing Director, Sustainability</t>
        </is>
      </c>
      <c r="P1106" t="inlineStr">
        <is>
          <t>Managing Director, Sustainability</t>
        </is>
      </c>
      <c r="Y1106" t="inlineStr">
        <is>
          <t>todo</t>
        </is>
      </c>
      <c r="Z1106">
        <f>(M1106*Weights!$B$2) + (MIN(Q1106,Weights!$B$5)*Weights!$B$3*(W1106/100)*Weights!$B$4)</f>
        <v/>
      </c>
      <c r="AA1106">
        <f>IF(Z1106= ,,RANK.EQ({pri_col_letter}{r},{pri_range},0))</f>
        <v/>
      </c>
    </row>
    <row r="1107">
      <c r="A1107" t="inlineStr">
        <is>
          <t>Aleje Cosmetics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>
        <is>
          <t>Tier 4</t>
        </is>
      </c>
      <c r="O1107" t="inlineStr">
        <is>
          <t>Alejandra Elizabeth — CEO</t>
        </is>
      </c>
      <c r="P1107" t="inlineStr">
        <is>
          <t>CEO</t>
        </is>
      </c>
      <c r="Y1107" t="inlineStr">
        <is>
          <t>todo</t>
        </is>
      </c>
      <c r="Z1107">
        <f>(M1107*Weights!$B$2) + (MIN(Q1107,Weights!$B$5)*Weights!$B$3*(W1107/100)*Weights!$B$4)</f>
        <v/>
      </c>
      <c r="AA1107">
        <f>IF(Z1107= ,,RANK.EQ({pri_col_letter}{r},{pri_range},0))</f>
        <v/>
      </c>
    </row>
    <row r="1108">
      <c r="A1108" t="inlineStr">
        <is>
          <t>AliExpress</t>
        </is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inlineStr">
        <is>
          <t>Tier 4</t>
        </is>
      </c>
      <c r="O1108" t="inlineStr">
        <is>
          <t>Phil Hongwei Ding — President</t>
        </is>
      </c>
      <c r="P1108" t="inlineStr">
        <is>
          <t>President</t>
        </is>
      </c>
      <c r="Y1108" t="inlineStr">
        <is>
          <t>todo</t>
        </is>
      </c>
      <c r="Z1108">
        <f>(M1108*Weights!$B$2) + (MIN(Q1108,Weights!$B$5)*Weights!$B$3*(W1108/100)*Weights!$B$4)</f>
        <v/>
      </c>
      <c r="AA1108">
        <f>IF(Z1108= ,,RANK.EQ({pri_col_letter}{r},{pri_range},0))</f>
        <v/>
      </c>
    </row>
    <row r="1109">
      <c r="A1109" t="inlineStr">
        <is>
          <t>AlixPartners LLP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>
        <is>
          <t>Tier 4</t>
        </is>
      </c>
      <c r="O1109" t="inlineStr">
        <is>
          <t>Derek Knueve — Director</t>
        </is>
      </c>
      <c r="P1109" t="inlineStr">
        <is>
          <t>Director</t>
        </is>
      </c>
      <c r="Y1109" t="inlineStr">
        <is>
          <t>todo</t>
        </is>
      </c>
      <c r="Z1109">
        <f>(M1109*Weights!$B$2) + (MIN(Q1109,Weights!$B$5)*Weights!$B$3*(W1109/100)*Weights!$B$4)</f>
        <v/>
      </c>
      <c r="AA1109">
        <f>IF(Z1109= ,,RANK.EQ({pri_col_letter}{r},{pri_range},0))</f>
        <v/>
      </c>
    </row>
    <row r="1110">
      <c r="A1110" t="inlineStr">
        <is>
          <t>AllTran Logistics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inlineStr">
        <is>
          <t>Tier 4</t>
        </is>
      </c>
      <c r="O1110" t="inlineStr">
        <is>
          <t>Kasey Butler — President</t>
        </is>
      </c>
      <c r="P1110" t="inlineStr">
        <is>
          <t>President</t>
        </is>
      </c>
      <c r="Y1110" t="inlineStr">
        <is>
          <t>todo</t>
        </is>
      </c>
      <c r="Z1110">
        <f>(M1110*Weights!$B$2) + (MIN(Q1110,Weights!$B$5)*Weights!$B$3*(W1110/100)*Weights!$B$4)</f>
        <v/>
      </c>
      <c r="AA1110">
        <f>IF(Z1110= ,,RANK.EQ({pri_col_letter}{r},{pri_range},0))</f>
        <v/>
      </c>
    </row>
    <row r="1111">
      <c r="A1111" t="inlineStr">
        <is>
          <t>Allen Lund Company</t>
        </is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>
        <is>
          <t>Tier 4</t>
        </is>
      </c>
      <c r="O1111" t="inlineStr">
        <is>
          <t>Matt Blackledge — Sr. Director-Pricing Strategy/Market intel</t>
        </is>
      </c>
      <c r="P1111" t="inlineStr">
        <is>
          <t>Sr. Director-Pricing Strategy/Market intel</t>
        </is>
      </c>
      <c r="Y1111" t="inlineStr">
        <is>
          <t>todo</t>
        </is>
      </c>
      <c r="Z1111">
        <f>(M1111*Weights!$B$2) + (MIN(Q1111,Weights!$B$5)*Weights!$B$3*(W1111/100)*Weights!$B$4)</f>
        <v/>
      </c>
      <c r="AA1111">
        <f>IF(Z1111= ,,RANK.EQ({pri_col_letter}{r},{pri_range},0))</f>
        <v/>
      </c>
    </row>
    <row r="1112">
      <c r="A1112" t="inlineStr">
        <is>
          <t>Allen Lund Company, Inc. - La Canada Flintridge, CA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>
        <is>
          <t>Tier 4</t>
        </is>
      </c>
      <c r="O1112" t="inlineStr">
        <is>
          <t>Chetan Tandon — CIO</t>
        </is>
      </c>
      <c r="P1112" t="inlineStr">
        <is>
          <t>CIO</t>
        </is>
      </c>
      <c r="Y1112" t="inlineStr">
        <is>
          <t>todo</t>
        </is>
      </c>
      <c r="Z1112">
        <f>(M1112*Weights!$B$2) + (MIN(Q1112,Weights!$B$5)*Weights!$B$3*(W1112/100)*Weights!$B$4)</f>
        <v/>
      </c>
      <c r="AA1112">
        <f>IF(Z1112= ,,RANK.EQ({pri_col_letter}{r},{pri_range},0))</f>
        <v/>
      </c>
    </row>
    <row r="1113">
      <c r="A1113" t="inlineStr">
        <is>
          <t>Alley Corp</t>
        </is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inlineStr">
        <is>
          <t>Tier 4</t>
        </is>
      </c>
      <c r="O1113" t="inlineStr">
        <is>
          <t>Brannon Jones — Venture Partner</t>
        </is>
      </c>
      <c r="P1113" t="inlineStr">
        <is>
          <t>Venture Partner</t>
        </is>
      </c>
      <c r="Y1113" t="inlineStr">
        <is>
          <t>todo</t>
        </is>
      </c>
      <c r="Z1113">
        <f>(M1113*Weights!$B$2) + (MIN(Q1113,Weights!$B$5)*Weights!$B$3*(W1113/100)*Weights!$B$4)</f>
        <v/>
      </c>
      <c r="AA1113">
        <f>IF(Z1113= ,,RANK.EQ({pri_col_letter}{r},{pri_range},0))</f>
        <v/>
      </c>
    </row>
    <row r="1114">
      <c r="A1114" t="inlineStr">
        <is>
          <t>Allied Distribution Services, LLC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inlineStr">
        <is>
          <t>Tier 4</t>
        </is>
      </c>
      <c r="O1114" t="inlineStr">
        <is>
          <t>Rob Nemeth — President</t>
        </is>
      </c>
      <c r="P1114" t="inlineStr">
        <is>
          <t>President</t>
        </is>
      </c>
      <c r="Y1114" t="inlineStr">
        <is>
          <t>todo</t>
        </is>
      </c>
      <c r="Z1114">
        <f>(M1114*Weights!$B$2) + (MIN(Q1114,Weights!$B$5)*Weights!$B$3*(W1114/100)*Weights!$B$4)</f>
        <v/>
      </c>
      <c r="AA1114">
        <f>IF(Z1114= ,,RANK.EQ({pri_col_letter}{r},{pri_range},0))</f>
        <v/>
      </c>
    </row>
    <row r="1115">
      <c r="A1115" t="inlineStr">
        <is>
          <t>Alpaca Ventures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inlineStr">
        <is>
          <t>Tier 4</t>
        </is>
      </c>
      <c r="O1115" t="inlineStr">
        <is>
          <t>Aubrie Pagano — Partner</t>
        </is>
      </c>
      <c r="P1115" t="inlineStr">
        <is>
          <t>Partner</t>
        </is>
      </c>
      <c r="Y1115" t="inlineStr">
        <is>
          <t>todo</t>
        </is>
      </c>
      <c r="Z1115">
        <f>(M1115*Weights!$B$2) + (MIN(Q1115,Weights!$B$5)*Weights!$B$3*(W1115/100)*Weights!$B$4)</f>
        <v/>
      </c>
      <c r="AA1115">
        <f>IF(Z1115= ,,RANK.EQ({pri_col_letter}{r},{pri_range},0))</f>
        <v/>
      </c>
    </row>
    <row r="1116">
      <c r="A1116" t="inlineStr">
        <is>
          <t>Alpha Partners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inlineStr">
        <is>
          <t>Tier 4</t>
        </is>
      </c>
      <c r="O1116" t="inlineStr">
        <is>
          <t>Zoe van den Bol — Investor</t>
        </is>
      </c>
      <c r="P1116" t="inlineStr">
        <is>
          <t>Investor</t>
        </is>
      </c>
      <c r="Y1116" t="inlineStr">
        <is>
          <t>todo</t>
        </is>
      </c>
      <c r="Z1116">
        <f>(M1116*Weights!$B$2) + (MIN(Q1116,Weights!$B$5)*Weights!$B$3*(W1116/100)*Weights!$B$4)</f>
        <v/>
      </c>
      <c r="AA1116">
        <f>IF(Z1116= ,,RANK.EQ({pri_col_letter}{r},{pri_range},0))</f>
        <v/>
      </c>
    </row>
    <row r="1117">
      <c r="A1117" t="inlineStr">
        <is>
          <t>Altamount Consulting Services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inlineStr">
        <is>
          <t>Tier 4</t>
        </is>
      </c>
      <c r="O1117" t="inlineStr">
        <is>
          <t>Mit Gandhi — CEO</t>
        </is>
      </c>
      <c r="P1117" t="inlineStr">
        <is>
          <t>CEO</t>
        </is>
      </c>
      <c r="Y1117" t="inlineStr">
        <is>
          <t>todo</t>
        </is>
      </c>
      <c r="Z1117">
        <f>(M1117*Weights!$B$2) + (MIN(Q1117,Weights!$B$5)*Weights!$B$3*(W1117/100)*Weights!$B$4)</f>
        <v/>
      </c>
      <c r="AA1117">
        <f>IF(Z1117= ,,RANK.EQ({pri_col_letter}{r},{pri_range},0))</f>
        <v/>
      </c>
    </row>
    <row r="1118">
      <c r="A1118" t="inlineStr">
        <is>
          <t>Amari AI - Cut your customs clearance time</t>
        </is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>
        <is>
          <t>Tier 4</t>
        </is>
      </c>
      <c r="O1118" t="inlineStr">
        <is>
          <t>Sam Basu — CEO</t>
        </is>
      </c>
      <c r="P1118" t="inlineStr">
        <is>
          <t>CEO</t>
        </is>
      </c>
      <c r="Y1118" t="inlineStr">
        <is>
          <t>todo</t>
        </is>
      </c>
      <c r="Z1118">
        <f>(M1118*Weights!$B$2) + (MIN(Q1118,Weights!$B$5)*Weights!$B$3*(W1118/100)*Weights!$B$4)</f>
        <v/>
      </c>
      <c r="AA1118">
        <f>IF(Z1118= ,,RANK.EQ({pri_col_letter}{r},{pri_range},0))</f>
        <v/>
      </c>
    </row>
    <row r="1119">
      <c r="A1119" t="inlineStr">
        <is>
          <t>American Chain Of Warehouses</t>
        </is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inlineStr">
        <is>
          <t>Tier 4</t>
        </is>
      </c>
      <c r="O1119" t="inlineStr">
        <is>
          <t>Chris Kane — President</t>
        </is>
      </c>
      <c r="P1119" t="inlineStr">
        <is>
          <t>President</t>
        </is>
      </c>
      <c r="Y1119" t="inlineStr">
        <is>
          <t>todo</t>
        </is>
      </c>
      <c r="Z1119">
        <f>(M1119*Weights!$B$2) + (MIN(Q1119,Weights!$B$5)*Weights!$B$3*(W1119/100)*Weights!$B$4)</f>
        <v/>
      </c>
      <c r="AA1119">
        <f>IF(Z1119= ,,RANK.EQ({pri_col_letter}{r},{pri_range},0))</f>
        <v/>
      </c>
    </row>
    <row r="1120">
      <c r="A1120" t="inlineStr">
        <is>
          <t>American Furukawa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inlineStr">
        <is>
          <t>Tier 4</t>
        </is>
      </c>
      <c r="O1120" t="inlineStr">
        <is>
          <t>Lee Conquest — Manager</t>
        </is>
      </c>
      <c r="P1120" t="inlineStr">
        <is>
          <t>Manager</t>
        </is>
      </c>
      <c r="Y1120" t="inlineStr">
        <is>
          <t>todo</t>
        </is>
      </c>
      <c r="Z1120">
        <f>(M1120*Weights!$B$2) + (MIN(Q1120,Weights!$B$5)*Weights!$B$3*(W1120/100)*Weights!$B$4)</f>
        <v/>
      </c>
      <c r="AA1120">
        <f>IF(Z1120= ,,RANK.EQ({pri_col_letter}{r},{pri_range},0))</f>
        <v/>
      </c>
    </row>
    <row r="1121">
      <c r="A1121" t="inlineStr">
        <is>
          <t>Amware</t>
        </is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>
        <is>
          <t>Tier 4</t>
        </is>
      </c>
      <c r="O1121" t="inlineStr">
        <is>
          <t>Scott Elliott — CRO</t>
        </is>
      </c>
      <c r="P1121" t="inlineStr">
        <is>
          <t>CRO</t>
        </is>
      </c>
      <c r="Y1121" t="inlineStr">
        <is>
          <t>todo</t>
        </is>
      </c>
      <c r="Z1121">
        <f>(M1121*Weights!$B$2) + (MIN(Q1121,Weights!$B$5)*Weights!$B$3*(W1121/100)*Weights!$B$4)</f>
        <v/>
      </c>
      <c r="AA1121">
        <f>IF(Z1121= ,,RANK.EQ({pri_col_letter}{r},{pri_range},0))</f>
        <v/>
      </c>
    </row>
    <row r="1122">
      <c r="A1122" t="inlineStr">
        <is>
          <t>Anansi - Parcel Insurance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inlineStr">
        <is>
          <t>Tier 4</t>
        </is>
      </c>
      <c r="O1122" t="inlineStr">
        <is>
          <t>Megan Bingham-Walker — Founder &amp; CEO</t>
        </is>
      </c>
      <c r="P1122" t="inlineStr">
        <is>
          <t>Founder &amp; CEO</t>
        </is>
      </c>
      <c r="Y1122" t="inlineStr">
        <is>
          <t>todo</t>
        </is>
      </c>
      <c r="Z1122">
        <f>(M1122*Weights!$B$2) + (MIN(Q1122,Weights!$B$5)*Weights!$B$3*(W1122/100)*Weights!$B$4)</f>
        <v/>
      </c>
      <c r="AA1122">
        <f>IF(Z1122= ,,RANK.EQ({pri_col_letter}{r},{pri_range},0))</f>
        <v/>
      </c>
    </row>
    <row r="1123">
      <c r="A1123" t="inlineStr">
        <is>
          <t>Anchor Ingrediants</t>
        </is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inlineStr">
        <is>
          <t>Tier 4</t>
        </is>
      </c>
      <c r="O1123" t="inlineStr">
        <is>
          <t>Rachael Bodensteiner — Freight Specialist</t>
        </is>
      </c>
      <c r="P1123" t="inlineStr">
        <is>
          <t>Freight Specialist</t>
        </is>
      </c>
      <c r="Y1123" t="inlineStr">
        <is>
          <t>todo</t>
        </is>
      </c>
      <c r="Z1123">
        <f>(M1123*Weights!$B$2) + (MIN(Q1123,Weights!$B$5)*Weights!$B$3*(W1123/100)*Weights!$B$4)</f>
        <v/>
      </c>
      <c r="AA1123">
        <f>IF(Z1123= ,,RANK.EQ({pri_col_letter}{r},{pri_range},0))</f>
        <v/>
      </c>
    </row>
    <row r="1124">
      <c r="A1124" t="inlineStr">
        <is>
          <t>Anchor Ingredients</t>
        </is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inlineStr">
        <is>
          <t>Tier 4</t>
        </is>
      </c>
      <c r="O1124" t="inlineStr">
        <is>
          <t>Emily Mohror — Imports Manager</t>
        </is>
      </c>
      <c r="P1124" t="inlineStr">
        <is>
          <t>Imports Manager</t>
        </is>
      </c>
      <c r="Y1124" t="inlineStr">
        <is>
          <t>todo</t>
        </is>
      </c>
      <c r="Z1124">
        <f>(M1124*Weights!$B$2) + (MIN(Q1124,Weights!$B$5)*Weights!$B$3*(W1124/100)*Weights!$B$4)</f>
        <v/>
      </c>
      <c r="AA1124">
        <f>IF(Z1124= ,,RANK.EQ({pri_col_letter}{r},{pri_range},0))</f>
        <v/>
      </c>
    </row>
    <row r="1125">
      <c r="A1125" t="inlineStr">
        <is>
          <t>Andreessen Horowitz</t>
        </is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inlineStr">
        <is>
          <t>Tier 4</t>
        </is>
      </c>
      <c r="O1125" t="inlineStr">
        <is>
          <t>Paul Oates — Operating Partner, Head of Energy &amp; Industrials</t>
        </is>
      </c>
      <c r="P1125" t="inlineStr">
        <is>
          <t>Operating Partner, Head of Energy &amp; Industrials</t>
        </is>
      </c>
      <c r="Y1125" t="inlineStr">
        <is>
          <t>todo</t>
        </is>
      </c>
      <c r="Z1125">
        <f>(M1125*Weights!$B$2) + (MIN(Q1125,Weights!$B$5)*Weights!$B$3*(W1125/100)*Weights!$B$4)</f>
        <v/>
      </c>
      <c r="AA1125">
        <f>IF(Z1125= ,,RANK.EQ({pri_col_letter}{r},{pri_range},0))</f>
        <v/>
      </c>
    </row>
    <row r="1126">
      <c r="A1126" t="inlineStr">
        <is>
          <t>Anthem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inlineStr">
        <is>
          <t>Tier 4</t>
        </is>
      </c>
      <c r="O1126" t="inlineStr">
        <is>
          <t>Tobias Nielsen — Founder</t>
        </is>
      </c>
      <c r="P1126" t="inlineStr">
        <is>
          <t>Founder</t>
        </is>
      </c>
      <c r="Y1126" t="inlineStr">
        <is>
          <t>todo</t>
        </is>
      </c>
      <c r="Z1126">
        <f>(M1126*Weights!$B$2) + (MIN(Q1126,Weights!$B$5)*Weights!$B$3*(W1126/100)*Weights!$B$4)</f>
        <v/>
      </c>
      <c r="AA1126">
        <f>IF(Z1126= ,,RANK.EQ({pri_col_letter}{r},{pri_range},0))</f>
        <v/>
      </c>
    </row>
    <row r="1127">
      <c r="A1127" t="inlineStr">
        <is>
          <t>Apex Capital Corp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>
        <is>
          <t>Tier 4</t>
        </is>
      </c>
      <c r="O1127" t="inlineStr">
        <is>
          <t>Michael Foster — Senior Product Manager - NextLOAD</t>
        </is>
      </c>
      <c r="P1127" t="inlineStr">
        <is>
          <t>Senior Product Manager - NextLOAD</t>
        </is>
      </c>
      <c r="Y1127" t="inlineStr">
        <is>
          <t>todo</t>
        </is>
      </c>
      <c r="Z1127">
        <f>(M1127*Weights!$B$2) + (MIN(Q1127,Weights!$B$5)*Weights!$B$3*(W1127/100)*Weights!$B$4)</f>
        <v/>
      </c>
      <c r="AA1127">
        <f>IF(Z1127= ,,RANK.EQ({pri_col_letter}{r},{pri_range},0))</f>
        <v/>
      </c>
    </row>
    <row r="1128">
      <c r="A1128" t="inlineStr">
        <is>
          <t>Apex Companies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inlineStr">
        <is>
          <t>Tier 4</t>
        </is>
      </c>
      <c r="O1128" t="inlineStr">
        <is>
          <t>Stephen Wilson — Director of National Accounts</t>
        </is>
      </c>
      <c r="P1128" t="inlineStr">
        <is>
          <t>Director of National Accounts</t>
        </is>
      </c>
      <c r="Y1128" t="inlineStr">
        <is>
          <t>todo</t>
        </is>
      </c>
      <c r="Z1128">
        <f>(M1128*Weights!$B$2) + (MIN(Q1128,Weights!$B$5)*Weights!$B$3*(W1128/100)*Weights!$B$4)</f>
        <v/>
      </c>
      <c r="AA1128">
        <f>IF(Z1128= ,,RANK.EQ({pri_col_letter}{r},{pri_range},0))</f>
        <v/>
      </c>
    </row>
    <row r="1129">
      <c r="A1129" t="inlineStr">
        <is>
          <t>Apex Transit</t>
        </is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inlineStr">
        <is>
          <t>Tier 4</t>
        </is>
      </c>
      <c r="O1129" t="inlineStr">
        <is>
          <t>Marina Ivanov — CEO &amp; Co-Founder</t>
        </is>
      </c>
      <c r="P1129" t="inlineStr">
        <is>
          <t>CEO &amp; Co-Founder</t>
        </is>
      </c>
      <c r="Y1129" t="inlineStr">
        <is>
          <t>todo</t>
        </is>
      </c>
      <c r="Z1129">
        <f>(M1129*Weights!$B$2) + (MIN(Q1129,Weights!$B$5)*Weights!$B$3*(W1129/100)*Weights!$B$4)</f>
        <v/>
      </c>
      <c r="AA1129">
        <f>IF(Z1129= ,,RANK.EQ({pri_col_letter}{r},{pri_range},0))</f>
        <v/>
      </c>
    </row>
    <row r="1130">
      <c r="A1130" t="inlineStr">
        <is>
          <t>Aquatio Software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inlineStr">
        <is>
          <t>Tier 4</t>
        </is>
      </c>
      <c r="O1130" t="inlineStr">
        <is>
          <t>Juan Cora — CEO &amp; Founder</t>
        </is>
      </c>
      <c r="P1130" t="inlineStr">
        <is>
          <t>CEO &amp; Founder</t>
        </is>
      </c>
      <c r="Y1130" t="inlineStr">
        <is>
          <t>todo</t>
        </is>
      </c>
      <c r="Z1130">
        <f>(M1130*Weights!$B$2) + (MIN(Q1130,Weights!$B$5)*Weights!$B$3*(W1130/100)*Weights!$B$4)</f>
        <v/>
      </c>
      <c r="AA1130">
        <f>IF(Z1130= ,,RANK.EQ({pri_col_letter}{r},{pri_range},0))</f>
        <v/>
      </c>
    </row>
    <row r="1131">
      <c r="A1131" t="inlineStr">
        <is>
          <t>Arco DB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inlineStr">
        <is>
          <t>Tier 4</t>
        </is>
      </c>
      <c r="O1131" t="inlineStr">
        <is>
          <t>Dan Croft — President</t>
        </is>
      </c>
      <c r="P1131" t="inlineStr">
        <is>
          <t>President</t>
        </is>
      </c>
      <c r="Y1131" t="inlineStr">
        <is>
          <t>todo</t>
        </is>
      </c>
      <c r="Z1131">
        <f>(M1131*Weights!$B$2) + (MIN(Q1131,Weights!$B$5)*Weights!$B$3*(W1131/100)*Weights!$B$4)</f>
        <v/>
      </c>
      <c r="AA1131">
        <f>IF(Z1131= ,,RANK.EQ({pri_col_letter}{r},{pri_range},0))</f>
        <v/>
      </c>
    </row>
    <row r="1132">
      <c r="A1132" t="inlineStr">
        <is>
          <t>Arcwise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inlineStr">
        <is>
          <t>Tier 4</t>
        </is>
      </c>
      <c r="O1132" t="inlineStr">
        <is>
          <t>Rahul Bali — CEO, Founder</t>
        </is>
      </c>
      <c r="P1132" t="inlineStr">
        <is>
          <t>CEO, Founder</t>
        </is>
      </c>
      <c r="Y1132" t="inlineStr">
        <is>
          <t>todo</t>
        </is>
      </c>
      <c r="Z1132">
        <f>(M1132*Weights!$B$2) + (MIN(Q1132,Weights!$B$5)*Weights!$B$3*(W1132/100)*Weights!$B$4)</f>
        <v/>
      </c>
      <c r="AA1132">
        <f>IF(Z1132= ,,RANK.EQ({pri_col_letter}{r},{pri_range},0))</f>
        <v/>
      </c>
    </row>
    <row r="1133">
      <c r="A1133" t="inlineStr">
        <is>
          <t>Arda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inlineStr">
        <is>
          <t>Tier 4</t>
        </is>
      </c>
      <c r="O1133" t="inlineStr">
        <is>
          <t>Kyle Henson — CEO &amp; Co-Founder</t>
        </is>
      </c>
      <c r="P1133" t="inlineStr">
        <is>
          <t>CEO &amp; Co-Founder</t>
        </is>
      </c>
      <c r="Y1133" t="inlineStr">
        <is>
          <t>todo</t>
        </is>
      </c>
      <c r="Z1133">
        <f>(M1133*Weights!$B$2) + (MIN(Q1133,Weights!$B$5)*Weights!$B$3*(W1133/100)*Weights!$B$4)</f>
        <v/>
      </c>
      <c r="AA1133">
        <f>IF(Z1133= ,,RANK.EQ({pri_col_letter}{r},{pri_range},0))</f>
        <v/>
      </c>
    </row>
    <row r="1134">
      <c r="A1134" t="inlineStr">
        <is>
          <t>Argents Express Group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inlineStr">
        <is>
          <t>Tier 4</t>
        </is>
      </c>
      <c r="O1134" t="inlineStr">
        <is>
          <t>David Weigand — COO</t>
        </is>
      </c>
      <c r="P1134" t="inlineStr">
        <is>
          <t>COO</t>
        </is>
      </c>
      <c r="Y1134" t="inlineStr">
        <is>
          <t>todo</t>
        </is>
      </c>
      <c r="Z1134">
        <f>(M1134*Weights!$B$2) + (MIN(Q1134,Weights!$B$5)*Weights!$B$3*(W1134/100)*Weights!$B$4)</f>
        <v/>
      </c>
      <c r="AA1134">
        <f>IF(Z1134= ,,RANK.EQ({pri_col_letter}{r},{pri_range},0))</f>
        <v/>
      </c>
    </row>
    <row r="1135">
      <c r="A1135" t="inlineStr">
        <is>
          <t>Arka Inc.</t>
        </is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inlineStr">
        <is>
          <t>Tier 4</t>
        </is>
      </c>
      <c r="O1135" t="inlineStr">
        <is>
          <t>Phillip Akhzar — CEO &amp; Founder</t>
        </is>
      </c>
      <c r="P1135" t="inlineStr">
        <is>
          <t>CEO &amp; Founder</t>
        </is>
      </c>
      <c r="Y1135" t="inlineStr">
        <is>
          <t>todo</t>
        </is>
      </c>
      <c r="Z1135">
        <f>(M1135*Weights!$B$2) + (MIN(Q1135,Weights!$B$5)*Weights!$B$3*(W1135/100)*Weights!$B$4)</f>
        <v/>
      </c>
      <c r="AA1135">
        <f>IF(Z1135= ,,RANK.EQ({pri_col_letter}{r},{pri_range},0))</f>
        <v/>
      </c>
    </row>
    <row r="1136">
      <c r="A1136" t="inlineStr">
        <is>
          <t>Armchair Attorney, LLC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inlineStr">
        <is>
          <t>Tier 4</t>
        </is>
      </c>
      <c r="O1136" t="inlineStr">
        <is>
          <t>Matthew Leffler — Managing Partner</t>
        </is>
      </c>
      <c r="P1136" t="inlineStr">
        <is>
          <t>Managing Partner</t>
        </is>
      </c>
      <c r="Y1136" t="inlineStr">
        <is>
          <t>todo</t>
        </is>
      </c>
      <c r="Z1136">
        <f>(M1136*Weights!$B$2) + (MIN(Q1136,Weights!$B$5)*Weights!$B$3*(W1136/100)*Weights!$B$4)</f>
        <v/>
      </c>
      <c r="AA1136">
        <f>IF(Z1136= ,,RANK.EQ({pri_col_letter}{r},{pri_range},0))</f>
        <v/>
      </c>
    </row>
    <row r="1137">
      <c r="A1137" t="inlineStr">
        <is>
          <t>Arthur J. Gallagher &amp; Co.</t>
        </is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inlineStr">
        <is>
          <t>Tier 4</t>
        </is>
      </c>
      <c r="O1137" t="inlineStr">
        <is>
          <t>Ryan Pfeiffer — Area Executive Vice President</t>
        </is>
      </c>
      <c r="P1137" t="inlineStr">
        <is>
          <t>Area Executive Vice President</t>
        </is>
      </c>
      <c r="Y1137" t="inlineStr">
        <is>
          <t>todo</t>
        </is>
      </c>
      <c r="Z1137">
        <f>(M1137*Weights!$B$2) + (MIN(Q1137,Weights!$B$5)*Weights!$B$3*(W1137/100)*Weights!$B$4)</f>
        <v/>
      </c>
      <c r="AA1137">
        <f>IF(Z1137= ,,RANK.EQ({pri_col_letter}{r},{pri_range},0))</f>
        <v/>
      </c>
    </row>
    <row r="1138">
      <c r="A1138" t="inlineStr">
        <is>
          <t>Artyc</t>
        </is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inlineStr">
        <is>
          <t>Tier 4</t>
        </is>
      </c>
      <c r="O1138" t="inlineStr">
        <is>
          <t>Hannah Sieber — CEO &amp; Co Founder</t>
        </is>
      </c>
      <c r="P1138" t="inlineStr">
        <is>
          <t>CEO &amp; Co Founder</t>
        </is>
      </c>
      <c r="Y1138" t="inlineStr">
        <is>
          <t>todo</t>
        </is>
      </c>
      <c r="Z1138">
        <f>(M1138*Weights!$B$2) + (MIN(Q1138,Weights!$B$5)*Weights!$B$3*(W1138/100)*Weights!$B$4)</f>
        <v/>
      </c>
      <c r="AA1138">
        <f>IF(Z1138= ,,RANK.EQ({pri_col_letter}{r},{pri_range},0))</f>
        <v/>
      </c>
    </row>
    <row r="1139">
      <c r="A1139" t="inlineStr">
        <is>
          <t>Arup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inlineStr">
        <is>
          <t>Tier 4</t>
        </is>
      </c>
      <c r="O1139" t="inlineStr">
        <is>
          <t>Catarina Carvalho — Associate Principal</t>
        </is>
      </c>
      <c r="P1139" t="inlineStr">
        <is>
          <t>Associate Principal</t>
        </is>
      </c>
      <c r="Y1139" t="inlineStr">
        <is>
          <t>todo</t>
        </is>
      </c>
      <c r="Z1139">
        <f>(M1139*Weights!$B$2) + (MIN(Q1139,Weights!$B$5)*Weights!$B$3*(W1139/100)*Weights!$B$4)</f>
        <v/>
      </c>
      <c r="AA1139">
        <f>IF(Z1139= ,,RANK.EQ({pri_col_letter}{r},{pri_range},0))</f>
        <v/>
      </c>
    </row>
    <row r="1140">
      <c r="A1140" t="inlineStr">
        <is>
          <t>Arvist</t>
        </is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inlineStr">
        <is>
          <t>Tier 4</t>
        </is>
      </c>
      <c r="O1140" t="inlineStr">
        <is>
          <t>Paul Brisson — Chief Operating Officer</t>
        </is>
      </c>
      <c r="P1140" t="inlineStr">
        <is>
          <t>Chief Operating Officer</t>
        </is>
      </c>
      <c r="Y1140" t="inlineStr">
        <is>
          <t>todo</t>
        </is>
      </c>
      <c r="Z1140">
        <f>(M1140*Weights!$B$2) + (MIN(Q1140,Weights!$B$5)*Weights!$B$3*(W1140/100)*Weights!$B$4)</f>
        <v/>
      </c>
      <c r="AA1140">
        <f>IF(Z1140= ,,RANK.EQ({pri_col_letter}{r},{pri_range},0))</f>
        <v/>
      </c>
    </row>
    <row r="1141">
      <c r="A1141" t="inlineStr">
        <is>
          <t>Ascent Global Logistics</t>
        </is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inlineStr">
        <is>
          <t>Tier 4</t>
        </is>
      </c>
      <c r="O1141" t="inlineStr">
        <is>
          <t>Anthony Decanti — Chief Technology Officer</t>
        </is>
      </c>
      <c r="P1141" t="inlineStr">
        <is>
          <t>Chief Technology Officer</t>
        </is>
      </c>
      <c r="Y1141" t="inlineStr">
        <is>
          <t>todo</t>
        </is>
      </c>
      <c r="Z1141">
        <f>(M1141*Weights!$B$2) + (MIN(Q1141,Weights!$B$5)*Weights!$B$3*(W1141/100)*Weights!$B$4)</f>
        <v/>
      </c>
      <c r="AA1141">
        <f>IF(Z1141= ,,RANK.EQ({pri_col_letter}{r},{pri_range},0))</f>
        <v/>
      </c>
    </row>
    <row r="1142">
      <c r="A1142" t="inlineStr">
        <is>
          <t>Asendia USA at Asendia USA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inlineStr">
        <is>
          <t>Tier 4</t>
        </is>
      </c>
      <c r="O1142" t="inlineStr">
        <is>
          <t>Jason Rowland — Director of Compliance and Risk &amp; Compliance Officer - North America</t>
        </is>
      </c>
      <c r="P1142" t="inlineStr">
        <is>
          <t>Director of Compliance and Risk &amp; Compliance Officer - North America</t>
        </is>
      </c>
      <c r="Y1142" t="inlineStr">
        <is>
          <t>todo</t>
        </is>
      </c>
      <c r="Z1142">
        <f>(M1142*Weights!$B$2) + (MIN(Q1142,Weights!$B$5)*Weights!$B$3*(W1142/100)*Weights!$B$4)</f>
        <v/>
      </c>
      <c r="AA1142">
        <f>IF(Z1142= ,,RANK.EQ({pri_col_letter}{r},{pri_range},0))</f>
        <v/>
      </c>
    </row>
    <row r="1143">
      <c r="A1143" t="inlineStr">
        <is>
          <t>Assembly Ventures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inlineStr">
        <is>
          <t>Tier 4</t>
        </is>
      </c>
      <c r="O1143" t="inlineStr">
        <is>
          <t>Jessica Robinson — Partner</t>
        </is>
      </c>
      <c r="P1143" t="inlineStr">
        <is>
          <t>Partner</t>
        </is>
      </c>
      <c r="Y1143" t="inlineStr">
        <is>
          <t>todo</t>
        </is>
      </c>
      <c r="Z1143">
        <f>(M1143*Weights!$B$2) + (MIN(Q1143,Weights!$B$5)*Weights!$B$3*(W1143/100)*Weights!$B$4)</f>
        <v/>
      </c>
      <c r="AA1143">
        <f>IF(Z1143= ,,RANK.EQ({pri_col_letter}{r},{pri_range},0))</f>
        <v/>
      </c>
    </row>
    <row r="1144">
      <c r="A1144" t="inlineStr">
        <is>
          <t>Astira Capital Partners</t>
        </is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inlineStr">
        <is>
          <t>Tier 4</t>
        </is>
      </c>
      <c r="O1144" t="inlineStr">
        <is>
          <t>Scott Stevens — Principal</t>
        </is>
      </c>
      <c r="P1144" t="inlineStr">
        <is>
          <t>Principal</t>
        </is>
      </c>
      <c r="Y1144" t="inlineStr">
        <is>
          <t>todo</t>
        </is>
      </c>
      <c r="Z1144">
        <f>(M1144*Weights!$B$2) + (MIN(Q1144,Weights!$B$5)*Weights!$B$3*(W1144/100)*Weights!$B$4)</f>
        <v/>
      </c>
      <c r="AA1144">
        <f>IF(Z1144= ,,RANK.EQ({pri_col_letter}{r},{pri_range},0))</f>
        <v/>
      </c>
    </row>
    <row r="1145">
      <c r="A1145" t="inlineStr">
        <is>
          <t>AtomIQ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inlineStr">
        <is>
          <t>Tier 4</t>
        </is>
      </c>
      <c r="O1145" t="inlineStr">
        <is>
          <t>NITIN CHOUDHARI — Founder</t>
        </is>
      </c>
      <c r="P1145" t="inlineStr">
        <is>
          <t>Founder</t>
        </is>
      </c>
      <c r="Y1145" t="inlineStr">
        <is>
          <t>todo</t>
        </is>
      </c>
      <c r="Z1145">
        <f>(M1145*Weights!$B$2) + (MIN(Q1145,Weights!$B$5)*Weights!$B$3*(W1145/100)*Weights!$B$4)</f>
        <v/>
      </c>
      <c r="AA1145">
        <f>IF(Z1145= ,,RANK.EQ({pri_col_letter}{r},{pri_range},0))</f>
        <v/>
      </c>
    </row>
    <row r="1146">
      <c r="A1146" t="inlineStr">
        <is>
          <t>Atomic Supply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inlineStr">
        <is>
          <t>Tier 4</t>
        </is>
      </c>
      <c r="O1146" t="inlineStr">
        <is>
          <t>Michael Rossiter — Co-Founder</t>
        </is>
      </c>
      <c r="P1146" t="inlineStr">
        <is>
          <t>Co-Founder</t>
        </is>
      </c>
      <c r="Y1146" t="inlineStr">
        <is>
          <t>todo</t>
        </is>
      </c>
      <c r="Z1146">
        <f>(M1146*Weights!$B$2) + (MIN(Q1146,Weights!$B$5)*Weights!$B$3*(W1146/100)*Weights!$B$4)</f>
        <v/>
      </c>
      <c r="AA1146">
        <f>IF(Z1146= ,,RANK.EQ({pri_col_letter}{r},{pri_range},0))</f>
        <v/>
      </c>
    </row>
    <row r="1147">
      <c r="A1147" t="inlineStr">
        <is>
          <t>Auger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inlineStr">
        <is>
          <t>Tier 4</t>
        </is>
      </c>
      <c r="O1147" t="inlineStr">
        <is>
          <t>Dave Clark — CEO &amp; Founder</t>
        </is>
      </c>
      <c r="P1147" t="inlineStr">
        <is>
          <t>CEO &amp; Founder</t>
        </is>
      </c>
      <c r="Y1147" t="inlineStr">
        <is>
          <t>todo</t>
        </is>
      </c>
      <c r="Z1147">
        <f>(M1147*Weights!$B$2) + (MIN(Q1147,Weights!$B$5)*Weights!$B$3*(W1147/100)*Weights!$B$4)</f>
        <v/>
      </c>
      <c r="AA1147">
        <f>IF(Z1147= ,,RANK.EQ({pri_col_letter}{r},{pri_range},0))</f>
        <v/>
      </c>
    </row>
    <row r="1148">
      <c r="A1148" t="inlineStr">
        <is>
          <t>Augment Technologies Inc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inlineStr">
        <is>
          <t>Tier 4</t>
        </is>
      </c>
      <c r="O1148" t="inlineStr">
        <is>
          <t>Justin Hall — Co-Founder &amp; CCO</t>
        </is>
      </c>
      <c r="P1148" t="inlineStr">
        <is>
          <t>Co-Founder &amp; CCO</t>
        </is>
      </c>
      <c r="Y1148" t="inlineStr">
        <is>
          <t>todo</t>
        </is>
      </c>
      <c r="Z1148">
        <f>(M1148*Weights!$B$2) + (MIN(Q1148,Weights!$B$5)*Weights!$B$3*(W1148/100)*Weights!$B$4)</f>
        <v/>
      </c>
      <c r="AA1148">
        <f>IF(Z1148= ,,RANK.EQ({pri_col_letter}{r},{pri_range},0))</f>
        <v/>
      </c>
    </row>
    <row r="1149">
      <c r="A1149" t="inlineStr">
        <is>
          <t>Auto-FX</t>
        </is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inlineStr">
        <is>
          <t>Tier 4</t>
        </is>
      </c>
      <c r="O1149" t="inlineStr">
        <is>
          <t>Ryan Chesterifled — CEO</t>
        </is>
      </c>
      <c r="P1149" t="inlineStr">
        <is>
          <t>CEO</t>
        </is>
      </c>
      <c r="Y1149" t="inlineStr">
        <is>
          <t>todo</t>
        </is>
      </c>
      <c r="Z1149">
        <f>(M1149*Weights!$B$2) + (MIN(Q1149,Weights!$B$5)*Weights!$B$3*(W1149/100)*Weights!$B$4)</f>
        <v/>
      </c>
      <c r="AA1149">
        <f>IF(Z1149= ,,RANK.EQ({pri_col_letter}{r},{pri_range},0))</f>
        <v/>
      </c>
    </row>
    <row r="1150">
      <c r="A1150" t="inlineStr">
        <is>
          <t>Avalon CSC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>
        <is>
          <t>Tier 4</t>
        </is>
      </c>
      <c r="O1150" t="inlineStr">
        <is>
          <t>David Latona — Chief Strategy Officer</t>
        </is>
      </c>
      <c r="P1150" t="inlineStr">
        <is>
          <t>Chief Strategy Officer</t>
        </is>
      </c>
      <c r="Y1150" t="inlineStr">
        <is>
          <t>todo</t>
        </is>
      </c>
      <c r="Z1150">
        <f>(M1150*Weights!$B$2) + (MIN(Q1150,Weights!$B$5)*Weights!$B$3*(W1150/100)*Weights!$B$4)</f>
        <v/>
      </c>
      <c r="AA1150">
        <f>IF(Z1150= ,,RANK.EQ({pri_col_letter}{r},{pri_range},0))</f>
        <v/>
      </c>
    </row>
    <row r="1151">
      <c r="A1151" t="inlineStr">
        <is>
          <t>Avatar Engines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>
        <is>
          <t>Tier 4</t>
        </is>
      </c>
      <c r="O1151" t="inlineStr">
        <is>
          <t>Dirk Schulte — Founder</t>
        </is>
      </c>
      <c r="P1151" t="inlineStr">
        <is>
          <t>Founder</t>
        </is>
      </c>
      <c r="Y1151" t="inlineStr">
        <is>
          <t>todo</t>
        </is>
      </c>
      <c r="Z1151">
        <f>(M1151*Weights!$B$2) + (MIN(Q1151,Weights!$B$5)*Weights!$B$3*(W1151/100)*Weights!$B$4)</f>
        <v/>
      </c>
      <c r="AA1151">
        <f>IF(Z1151= ,,RANK.EQ({pri_col_letter}{r},{pri_range},0))</f>
        <v/>
      </c>
    </row>
    <row r="1152">
      <c r="A1152" t="inlineStr">
        <is>
          <t>Avery Dennison Corporation</t>
        </is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inlineStr">
        <is>
          <t>Tier 4</t>
        </is>
      </c>
      <c r="O1152" t="inlineStr">
        <is>
          <t>Julie Vargas — VP &amp; GM, Identification Solutions</t>
        </is>
      </c>
      <c r="P1152" t="inlineStr">
        <is>
          <t>VP &amp; GM, Identification Solutions</t>
        </is>
      </c>
      <c r="Y1152" t="inlineStr">
        <is>
          <t>todo</t>
        </is>
      </c>
      <c r="Z1152">
        <f>(M1152*Weights!$B$2) + (MIN(Q1152,Weights!$B$5)*Weights!$B$3*(W1152/100)*Weights!$B$4)</f>
        <v/>
      </c>
      <c r="AA1152">
        <f>IF(Z1152= ,,RANK.EQ({pri_col_letter}{r},{pri_range},0))</f>
        <v/>
      </c>
    </row>
    <row r="1153">
      <c r="A1153" t="inlineStr">
        <is>
          <t>Avnet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>
        <is>
          <t>Tier 4</t>
        </is>
      </c>
      <c r="O1153" t="inlineStr">
        <is>
          <t>Vincent Marotta — Digital Product Manager</t>
        </is>
      </c>
      <c r="P1153" t="inlineStr">
        <is>
          <t>Digital Product Manager</t>
        </is>
      </c>
      <c r="Y1153" t="inlineStr">
        <is>
          <t>todo</t>
        </is>
      </c>
      <c r="Z1153">
        <f>(M1153*Weights!$B$2) + (MIN(Q1153,Weights!$B$5)*Weights!$B$3*(W1153/100)*Weights!$B$4)</f>
        <v/>
      </c>
      <c r="AA1153">
        <f>IF(Z1153= ,,RANK.EQ({pri_col_letter}{r},{pri_range},0))</f>
        <v/>
      </c>
    </row>
    <row r="1154">
      <c r="A1154" t="inlineStr">
        <is>
          <t>Axalta Coating Systems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inlineStr">
        <is>
          <t>Tier 4</t>
        </is>
      </c>
      <c r="O1154" t="inlineStr">
        <is>
          <t>Mark Dixon — CPO</t>
        </is>
      </c>
      <c r="P1154" t="inlineStr">
        <is>
          <t>CPO</t>
        </is>
      </c>
      <c r="Y1154" t="inlineStr">
        <is>
          <t>todo</t>
        </is>
      </c>
      <c r="Z1154">
        <f>(M1154*Weights!$B$2) + (MIN(Q1154,Weights!$B$5)*Weights!$B$3*(W1154/100)*Weights!$B$4)</f>
        <v/>
      </c>
      <c r="AA1154">
        <f>IF(Z1154= ,,RANK.EQ({pri_col_letter}{r},{pri_range},0))</f>
        <v/>
      </c>
    </row>
    <row r="1155">
      <c r="A1155" t="inlineStr">
        <is>
          <t>Azimut.ai LTD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inlineStr">
        <is>
          <t>Tier 4</t>
        </is>
      </c>
      <c r="O1155" t="inlineStr">
        <is>
          <t>Matan Saat — CEO</t>
        </is>
      </c>
      <c r="P1155" t="inlineStr">
        <is>
          <t>CEO</t>
        </is>
      </c>
      <c r="Y1155" t="inlineStr">
        <is>
          <t>todo</t>
        </is>
      </c>
      <c r="Z1155">
        <f>(M1155*Weights!$B$2) + (MIN(Q1155,Weights!$B$5)*Weights!$B$3*(W1155/100)*Weights!$B$4)</f>
        <v/>
      </c>
      <c r="AA1155">
        <f>IF(Z1155= ,,RANK.EQ({pri_col_letter}{r},{pri_range},0))</f>
        <v/>
      </c>
    </row>
    <row r="1156">
      <c r="A1156" t="inlineStr">
        <is>
          <t>B Lab U.S. &amp; Canada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inlineStr">
        <is>
          <t>Tier 4</t>
        </is>
      </c>
      <c r="O1156" t="inlineStr">
        <is>
          <t>Ellonda Williams — Interim Co-Executive Director &amp; Senior Director of Community</t>
        </is>
      </c>
      <c r="P1156" t="inlineStr">
        <is>
          <t>Interim Co-Executive Director &amp; Senior Director of Community</t>
        </is>
      </c>
      <c r="Y1156" t="inlineStr">
        <is>
          <t>todo</t>
        </is>
      </c>
      <c r="Z1156">
        <f>(M1156*Weights!$B$2) + (MIN(Q1156,Weights!$B$5)*Weights!$B$3*(W1156/100)*Weights!$B$4)</f>
        <v/>
      </c>
      <c r="AA1156">
        <f>IF(Z1156= ,,RANK.EQ({pri_col_letter}{r},{pri_range},0))</f>
        <v/>
      </c>
    </row>
    <row r="1157">
      <c r="A1157" t="inlineStr">
        <is>
          <t>B&amp;C Logistics Group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>
        <is>
          <t>Tier 4</t>
        </is>
      </c>
      <c r="O1157" t="inlineStr">
        <is>
          <t>Brian Severson — President</t>
        </is>
      </c>
      <c r="P1157" t="inlineStr">
        <is>
          <t>President</t>
        </is>
      </c>
      <c r="Y1157" t="inlineStr">
        <is>
          <t>todo</t>
        </is>
      </c>
      <c r="Z1157">
        <f>(M1157*Weights!$B$2) + (MIN(Q1157,Weights!$B$5)*Weights!$B$3*(W1157/100)*Weights!$B$4)</f>
        <v/>
      </c>
      <c r="AA1157">
        <f>IF(Z1157= ,,RANK.EQ({pri_col_letter}{r},{pri_range},0))</f>
        <v/>
      </c>
    </row>
    <row r="1158">
      <c r="A1158" t="inlineStr">
        <is>
          <t>BBL Black Box Logistics BV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inlineStr">
        <is>
          <t>Tier 4</t>
        </is>
      </c>
      <c r="O1158" t="inlineStr">
        <is>
          <t>Michiel Schröder — Vice president</t>
        </is>
      </c>
      <c r="P1158" t="inlineStr">
        <is>
          <t>Vice president</t>
        </is>
      </c>
      <c r="Y1158" t="inlineStr">
        <is>
          <t>todo</t>
        </is>
      </c>
      <c r="Z1158">
        <f>(M1158*Weights!$B$2) + (MIN(Q1158,Weights!$B$5)*Weights!$B$3*(W1158/100)*Weights!$B$4)</f>
        <v/>
      </c>
      <c r="AA1158">
        <f>IF(Z1158= ,,RANK.EQ({pri_col_letter}{r},{pri_range},0))</f>
        <v/>
      </c>
    </row>
    <row r="1159">
      <c r="A1159" t="inlineStr">
        <is>
          <t>BCI Global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>
        <is>
          <t>Tier 4</t>
        </is>
      </c>
      <c r="O1159" t="inlineStr">
        <is>
          <t>Allison Turner — VP NA</t>
        </is>
      </c>
      <c r="P1159" t="inlineStr">
        <is>
          <t>VP NA</t>
        </is>
      </c>
      <c r="Y1159" t="inlineStr">
        <is>
          <t>todo</t>
        </is>
      </c>
      <c r="Z1159">
        <f>(M1159*Weights!$B$2) + (MIN(Q1159,Weights!$B$5)*Weights!$B$3*(W1159/100)*Weights!$B$4)</f>
        <v/>
      </c>
      <c r="AA1159">
        <f>IF(Z1159= ,,RANK.EQ({pri_col_letter}{r},{pri_range},0))</f>
        <v/>
      </c>
    </row>
    <row r="1160">
      <c r="A1160" t="inlineStr">
        <is>
          <t>BDA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>
        <is>
          <t>Tier 4</t>
        </is>
      </c>
      <c r="O1160" t="inlineStr">
        <is>
          <t>Prashant Shah — DVP</t>
        </is>
      </c>
      <c r="P1160" t="inlineStr">
        <is>
          <t>DVP</t>
        </is>
      </c>
      <c r="Y1160" t="inlineStr">
        <is>
          <t>todo</t>
        </is>
      </c>
      <c r="Z1160">
        <f>(M1160*Weights!$B$2) + (MIN(Q1160,Weights!$B$5)*Weights!$B$3*(W1160/100)*Weights!$B$4)</f>
        <v/>
      </c>
      <c r="AA1160">
        <f>IF(Z1160= ,,RANK.EQ({pri_col_letter}{r},{pri_range},0))</f>
        <v/>
      </c>
    </row>
    <row r="1161">
      <c r="A1161" t="inlineStr">
        <is>
          <t>BEON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>
        <is>
          <t>Tier 4</t>
        </is>
      </c>
      <c r="O1161" t="inlineStr">
        <is>
          <t>Anthony Dugarte — Dev</t>
        </is>
      </c>
      <c r="P1161" t="inlineStr">
        <is>
          <t>Dev</t>
        </is>
      </c>
      <c r="Y1161" t="inlineStr">
        <is>
          <t>todo</t>
        </is>
      </c>
      <c r="Z1161">
        <f>(M1161*Weights!$B$2) + (MIN(Q1161,Weights!$B$5)*Weights!$B$3*(W1161/100)*Weights!$B$4)</f>
        <v/>
      </c>
      <c r="AA1161">
        <f>IF(Z1161= ,,RANK.EQ({pri_col_letter}{r},{pri_range},0))</f>
        <v/>
      </c>
    </row>
    <row r="1162">
      <c r="A1162" t="inlineStr">
        <is>
          <t>BETA Consulting Group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inlineStr">
        <is>
          <t>Tier 4</t>
        </is>
      </c>
      <c r="O1162" t="inlineStr">
        <is>
          <t>Trey Griggs — Fractional CRO, Executive Coach, Author &amp; Speaker</t>
        </is>
      </c>
      <c r="P1162" t="inlineStr">
        <is>
          <t>Fractional CRO, Executive Coach, Author &amp; Speaker</t>
        </is>
      </c>
      <c r="Y1162" t="inlineStr">
        <is>
          <t>todo</t>
        </is>
      </c>
      <c r="Z1162">
        <f>(M1162*Weights!$B$2) + (MIN(Q1162,Weights!$B$5)*Weights!$B$3*(W1162/100)*Weights!$B$4)</f>
        <v/>
      </c>
      <c r="AA1162">
        <f>IF(Z1162= ,,RANK.EQ({pri_col_letter}{r},{pri_range},0))</f>
        <v/>
      </c>
    </row>
    <row r="1163">
      <c r="A1163" t="inlineStr">
        <is>
          <t>BG Products Inc.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inlineStr">
        <is>
          <t>Tier 4</t>
        </is>
      </c>
      <c r="O1163" t="inlineStr">
        <is>
          <t>Nicholas Day — Inventory Control Manager</t>
        </is>
      </c>
      <c r="P1163" t="inlineStr">
        <is>
          <t>Inventory Control Manager</t>
        </is>
      </c>
      <c r="Y1163" t="inlineStr">
        <is>
          <t>todo</t>
        </is>
      </c>
      <c r="Z1163">
        <f>(M1163*Weights!$B$2) + (MIN(Q1163,Weights!$B$5)*Weights!$B$3*(W1163/100)*Weights!$B$4)</f>
        <v/>
      </c>
      <c r="AA1163">
        <f>IF(Z1163= ,,RANK.EQ({pri_col_letter}{r},{pri_range},0))</f>
        <v/>
      </c>
    </row>
    <row r="1164">
      <c r="A1164" t="inlineStr">
        <is>
          <t>BGF EcoMaterials</t>
        </is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inlineStr">
        <is>
          <t>Tier 4</t>
        </is>
      </c>
      <c r="O1164" t="inlineStr">
        <is>
          <t>Yulwoo Jang — Managing Director</t>
        </is>
      </c>
      <c r="P1164" t="inlineStr">
        <is>
          <t>Managing Director</t>
        </is>
      </c>
      <c r="Y1164" t="inlineStr">
        <is>
          <t>todo</t>
        </is>
      </c>
      <c r="Z1164">
        <f>(M1164*Weights!$B$2) + (MIN(Q1164,Weights!$B$5)*Weights!$B$3*(W1164/100)*Weights!$B$4)</f>
        <v/>
      </c>
      <c r="AA1164">
        <f>IF(Z1164= ,,RANK.EQ({pri_col_letter}{r},{pri_range},0))</f>
        <v/>
      </c>
    </row>
    <row r="1165">
      <c r="A1165" t="inlineStr">
        <is>
          <t>BGO</t>
        </is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>
        <is>
          <t>Tier 4</t>
        </is>
      </c>
      <c r="O1165" t="inlineStr">
        <is>
          <t>Will Nelson — Principal</t>
        </is>
      </c>
      <c r="P1165" t="inlineStr">
        <is>
          <t>Principal</t>
        </is>
      </c>
      <c r="Y1165" t="inlineStr">
        <is>
          <t>todo</t>
        </is>
      </c>
      <c r="Z1165">
        <f>(M1165*Weights!$B$2) + (MIN(Q1165,Weights!$B$5)*Weights!$B$3*(W1165/100)*Weights!$B$4)</f>
        <v/>
      </c>
      <c r="AA1165">
        <f>IF(Z1165= ,,RANK.EQ({pri_col_letter}{r},{pri_range},0))</f>
        <v/>
      </c>
    </row>
    <row r="1166">
      <c r="A1166" t="inlineStr">
        <is>
          <t>BNP Media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>
        <is>
          <t>Tier 4</t>
        </is>
      </c>
      <c r="O1166" t="inlineStr">
        <is>
          <t>Kelly Rodriguez — Editor in Chief</t>
        </is>
      </c>
      <c r="P1166" t="inlineStr">
        <is>
          <t>Editor in Chief</t>
        </is>
      </c>
      <c r="Y1166" t="inlineStr">
        <is>
          <t>todo</t>
        </is>
      </c>
      <c r="Z1166">
        <f>(M1166*Weights!$B$2) + (MIN(Q1166,Weights!$B$5)*Weights!$B$3*(W1166/100)*Weights!$B$4)</f>
        <v/>
      </c>
      <c r="AA1166">
        <f>IF(Z1166= ,,RANK.EQ({pri_col_letter}{r},{pri_range},0))</f>
        <v/>
      </c>
    </row>
    <row r="1167">
      <c r="A1167" t="inlineStr">
        <is>
          <t>BNSF</t>
        </is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>
        <is>
          <t>Tier 4</t>
        </is>
      </c>
      <c r="O1167" t="inlineStr">
        <is>
          <t>Will Johnson — AVP, Chief Special Agent</t>
        </is>
      </c>
      <c r="P1167" t="inlineStr">
        <is>
          <t>AVP, Chief Special Agent</t>
        </is>
      </c>
      <c r="Y1167" t="inlineStr">
        <is>
          <t>todo</t>
        </is>
      </c>
      <c r="Z1167">
        <f>(M1167*Weights!$B$2) + (MIN(Q1167,Weights!$B$5)*Weights!$B$3*(W1167/100)*Weights!$B$4)</f>
        <v/>
      </c>
      <c r="AA1167">
        <f>IF(Z1167= ,,RANK.EQ({pri_col_letter}{r},{pri_range},0))</f>
        <v/>
      </c>
    </row>
    <row r="1168">
      <c r="A1168" t="inlineStr">
        <is>
          <t>BNSF Railway, Inc.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>
        <is>
          <t>Tier 4</t>
        </is>
      </c>
      <c r="O1168" t="inlineStr">
        <is>
          <t>Gregg Zody — General Director</t>
        </is>
      </c>
      <c r="P1168" t="inlineStr">
        <is>
          <t>General Director</t>
        </is>
      </c>
      <c r="Y1168" t="inlineStr">
        <is>
          <t>todo</t>
        </is>
      </c>
      <c r="Z1168">
        <f>(M1168*Weights!$B$2) + (MIN(Q1168,Weights!$B$5)*Weights!$B$3*(W1168/100)*Weights!$B$4)</f>
        <v/>
      </c>
      <c r="AA1168">
        <f>IF(Z1168= ,,RANK.EQ({pri_col_letter}{r},{pri_range},0))</f>
        <v/>
      </c>
    </row>
    <row r="1169">
      <c r="A1169" t="inlineStr">
        <is>
          <t>BRT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>
        <is>
          <t>Tier 4</t>
        </is>
      </c>
      <c r="O1169" t="inlineStr">
        <is>
          <t>Marcel Barascout — CEO</t>
        </is>
      </c>
      <c r="P1169" t="inlineStr">
        <is>
          <t>CEO</t>
        </is>
      </c>
      <c r="Y1169" t="inlineStr">
        <is>
          <t>todo</t>
        </is>
      </c>
      <c r="Z1169">
        <f>(M1169*Weights!$B$2) + (MIN(Q1169,Weights!$B$5)*Weights!$B$3*(W1169/100)*Weights!$B$4)</f>
        <v/>
      </c>
      <c r="AA1169">
        <f>IF(Z1169= ,,RANK.EQ({pri_col_letter}{r},{pri_range},0))</f>
        <v/>
      </c>
    </row>
    <row r="1170">
      <c r="A1170" t="inlineStr">
        <is>
          <t>BYD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>
        <is>
          <t>Tier 4</t>
        </is>
      </c>
      <c r="O1170" t="inlineStr">
        <is>
          <t>Holmes An — Branch Manager</t>
        </is>
      </c>
      <c r="P1170" t="inlineStr">
        <is>
          <t>Branch Manager</t>
        </is>
      </c>
      <c r="Y1170" t="inlineStr">
        <is>
          <t>todo</t>
        </is>
      </c>
      <c r="Z1170">
        <f>(M1170*Weights!$B$2) + (MIN(Q1170,Weights!$B$5)*Weights!$B$3*(W1170/100)*Weights!$B$4)</f>
        <v/>
      </c>
      <c r="AA1170">
        <f>IF(Z1170= ,,RANK.EQ({pri_col_letter}{r},{pri_range},0))</f>
        <v/>
      </c>
    </row>
    <row r="1171">
      <c r="A1171" t="inlineStr">
        <is>
          <t>Backhaul Direct, LLC.</t>
        </is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>
        <is>
          <t>Tier 4</t>
        </is>
      </c>
      <c r="O1171" t="inlineStr">
        <is>
          <t>Nicholas Hoagland — CFO</t>
        </is>
      </c>
      <c r="P1171" t="inlineStr">
        <is>
          <t>CFO</t>
        </is>
      </c>
      <c r="Y1171" t="inlineStr">
        <is>
          <t>todo</t>
        </is>
      </c>
      <c r="Z1171">
        <f>(M1171*Weights!$B$2) + (MIN(Q1171,Weights!$B$5)*Weights!$B$3*(W1171/100)*Weights!$B$4)</f>
        <v/>
      </c>
      <c r="AA1171">
        <f>IF(Z1171= ,,RANK.EQ({pri_col_letter}{r},{pri_range},0))</f>
        <v/>
      </c>
    </row>
    <row r="1172">
      <c r="A1172" t="inlineStr">
        <is>
          <t>Bain Capital Ventures</t>
        </is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>
        <is>
          <t>Tier 4</t>
        </is>
      </c>
      <c r="O1172" t="inlineStr">
        <is>
          <t>Kevin Zhang — Partner</t>
        </is>
      </c>
      <c r="P1172" t="inlineStr">
        <is>
          <t>Partner</t>
        </is>
      </c>
      <c r="Y1172" t="inlineStr">
        <is>
          <t>todo</t>
        </is>
      </c>
      <c r="Z1172">
        <f>(M1172*Weights!$B$2) + (MIN(Q1172,Weights!$B$5)*Weights!$B$3*(W1172/100)*Weights!$B$4)</f>
        <v/>
      </c>
      <c r="AA1172">
        <f>IF(Z1172= ,,RANK.EQ({pri_col_letter}{r},{pri_range},0))</f>
        <v/>
      </c>
    </row>
    <row r="1173">
      <c r="A1173" t="inlineStr">
        <is>
          <t>Baja Fulfllment</t>
        </is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inlineStr">
        <is>
          <t>Tier 4</t>
        </is>
      </c>
      <c r="O1173" t="inlineStr">
        <is>
          <t>John Borsini — CEO</t>
        </is>
      </c>
      <c r="P1173" t="inlineStr">
        <is>
          <t>CEO</t>
        </is>
      </c>
      <c r="Y1173" t="inlineStr">
        <is>
          <t>todo</t>
        </is>
      </c>
      <c r="Z1173">
        <f>(M1173*Weights!$B$2) + (MIN(Q1173,Weights!$B$5)*Weights!$B$3*(W1173/100)*Weights!$B$4)</f>
        <v/>
      </c>
      <c r="AA1173">
        <f>IF(Z1173= ,,RANK.EQ({pri_col_letter}{r},{pri_range},0))</f>
        <v/>
      </c>
    </row>
    <row r="1174">
      <c r="A1174" t="inlineStr">
        <is>
          <t>Balyasny Asset Management</t>
        </is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>
        <is>
          <t>Tier 4</t>
        </is>
      </c>
      <c r="O1174" t="inlineStr">
        <is>
          <t>Rachel Premack — Senior Researcher</t>
        </is>
      </c>
      <c r="P1174" t="inlineStr">
        <is>
          <t>Senior Researcher</t>
        </is>
      </c>
      <c r="Y1174" t="inlineStr">
        <is>
          <t>todo</t>
        </is>
      </c>
      <c r="Z1174">
        <f>(M1174*Weights!$B$2) + (MIN(Q1174,Weights!$B$5)*Weights!$B$3*(W1174/100)*Weights!$B$4)</f>
        <v/>
      </c>
      <c r="AA1174">
        <f>IF(Z1174= ,,RANK.EQ({pri_col_letter}{r},{pri_range},0))</f>
        <v/>
      </c>
    </row>
    <row r="1175">
      <c r="A1175" t="inlineStr">
        <is>
          <t>Banneker Partners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inlineStr">
        <is>
          <t>Tier 4</t>
        </is>
      </c>
      <c r="O1175" t="inlineStr">
        <is>
          <t>Harjot Sachdeva — Partner</t>
        </is>
      </c>
      <c r="P1175" t="inlineStr">
        <is>
          <t>Partner</t>
        </is>
      </c>
      <c r="Y1175" t="inlineStr">
        <is>
          <t>todo</t>
        </is>
      </c>
      <c r="Z1175">
        <f>(M1175*Weights!$B$2) + (MIN(Q1175,Weights!$B$5)*Weights!$B$3*(W1175/100)*Weights!$B$4)</f>
        <v/>
      </c>
      <c r="AA1175">
        <f>IF(Z1175= ,,RANK.EQ({pri_col_letter}{r},{pri_range},0))</f>
        <v/>
      </c>
    </row>
    <row r="1176">
      <c r="A1176" t="inlineStr">
        <is>
          <t>Banyan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inlineStr">
        <is>
          <t>Tier 4</t>
        </is>
      </c>
      <c r="O1176" t="inlineStr">
        <is>
          <t>Brian Smith — CEO</t>
        </is>
      </c>
      <c r="P1176" t="inlineStr">
        <is>
          <t>CEO</t>
        </is>
      </c>
      <c r="Y1176" t="inlineStr">
        <is>
          <t>todo</t>
        </is>
      </c>
      <c r="Z1176">
        <f>(M1176*Weights!$B$2) + (MIN(Q1176,Weights!$B$5)*Weights!$B$3*(W1176/100)*Weights!$B$4)</f>
        <v/>
      </c>
      <c r="AA1176">
        <f>IF(Z1176= ,,RANK.EQ({pri_col_letter}{r},{pri_range},0))</f>
        <v/>
      </c>
    </row>
    <row r="1177">
      <c r="A1177" t="inlineStr">
        <is>
          <t>Banyan Software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inlineStr">
        <is>
          <t>Tier 4</t>
        </is>
      </c>
      <c r="O1177" t="inlineStr">
        <is>
          <t>Joshua Burkart — Director of Corporate Development</t>
        </is>
      </c>
      <c r="P1177" t="inlineStr">
        <is>
          <t>Director of Corporate Development</t>
        </is>
      </c>
      <c r="Y1177" t="inlineStr">
        <is>
          <t>todo</t>
        </is>
      </c>
      <c r="Z1177">
        <f>(M1177*Weights!$B$2) + (MIN(Q1177,Weights!$B$5)*Weights!$B$3*(W1177/100)*Weights!$B$4)</f>
        <v/>
      </c>
      <c r="AA1177">
        <f>IF(Z1177= ,,RANK.EQ({pri_col_letter}{r},{pri_range},0))</f>
        <v/>
      </c>
    </row>
    <row r="1178">
      <c r="A1178" t="inlineStr">
        <is>
          <t>Banyan Square Partners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>
        <is>
          <t>Tier 4</t>
        </is>
      </c>
      <c r="O1178" t="inlineStr">
        <is>
          <t>Afo Olowolafe — Vice President</t>
        </is>
      </c>
      <c r="P1178" t="inlineStr">
        <is>
          <t>Vice President</t>
        </is>
      </c>
      <c r="Y1178" t="inlineStr">
        <is>
          <t>todo</t>
        </is>
      </c>
      <c r="Z1178">
        <f>(M1178*Weights!$B$2) + (MIN(Q1178,Weights!$B$5)*Weights!$B$3*(W1178/100)*Weights!$B$4)</f>
        <v/>
      </c>
      <c r="AA1178">
        <f>IF(Z1178= ,,RANK.EQ({pri_col_letter}{r},{pri_range},0))</f>
        <v/>
      </c>
    </row>
    <row r="1179">
      <c r="A1179" t="inlineStr">
        <is>
          <t>Bart De Muynck LLC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>
        <is>
          <t>Tier 4</t>
        </is>
      </c>
      <c r="O1179" t="inlineStr">
        <is>
          <t>Bart De Muynck — Strategic Advisor</t>
        </is>
      </c>
      <c r="P1179" t="inlineStr">
        <is>
          <t>Strategic Advisor</t>
        </is>
      </c>
      <c r="Y1179" t="inlineStr">
        <is>
          <t>todo</t>
        </is>
      </c>
      <c r="Z1179">
        <f>(M1179*Weights!$B$2) + (MIN(Q1179,Weights!$B$5)*Weights!$B$3*(W1179/100)*Weights!$B$4)</f>
        <v/>
      </c>
      <c r="AA1179">
        <f>IF(Z1179= ,,RANK.EQ({pri_col_letter}{r},{pri_range},0))</f>
        <v/>
      </c>
    </row>
    <row r="1180">
      <c r="A1180" t="inlineStr">
        <is>
          <t>Basic American Foods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>
        <is>
          <t>Tier 4</t>
        </is>
      </c>
      <c r="O1180" t="inlineStr">
        <is>
          <t>Errick Tashro — Director of Logisitcs</t>
        </is>
      </c>
      <c r="P1180" t="inlineStr">
        <is>
          <t>Director of Logisitcs</t>
        </is>
      </c>
      <c r="Y1180" t="inlineStr">
        <is>
          <t>todo</t>
        </is>
      </c>
      <c r="Z1180">
        <f>(M1180*Weights!$B$2) + (MIN(Q1180,Weights!$B$5)*Weights!$B$3*(W1180/100)*Weights!$B$4)</f>
        <v/>
      </c>
      <c r="AA1180">
        <f>IF(Z1180= ,,RANK.EQ({pri_col_letter}{r},{pri_range},0))</f>
        <v/>
      </c>
    </row>
    <row r="1181">
      <c r="A1181" t="inlineStr">
        <is>
          <t>Bay Logistics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>
        <is>
          <t>Tier 4</t>
        </is>
      </c>
      <c r="O1181" t="inlineStr">
        <is>
          <t>Ryan Elenbaum — CI Manager</t>
        </is>
      </c>
      <c r="P1181" t="inlineStr">
        <is>
          <t>CI Manager</t>
        </is>
      </c>
      <c r="Y1181" t="inlineStr">
        <is>
          <t>todo</t>
        </is>
      </c>
      <c r="Z1181">
        <f>(M1181*Weights!$B$2) + (MIN(Q1181,Weights!$B$5)*Weights!$B$3*(W1181/100)*Weights!$B$4)</f>
        <v/>
      </c>
      <c r="AA1181">
        <f>IF(Z1181= ,,RANK.EQ({pri_col_letter}{r},{pri_range},0))</f>
        <v/>
      </c>
    </row>
    <row r="1182">
      <c r="A1182" t="inlineStr">
        <is>
          <t>Bcomp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>
        <is>
          <t>Tier 4</t>
        </is>
      </c>
      <c r="O1182" t="inlineStr">
        <is>
          <t>Christian Fischer — CEO &amp; Co-Founder</t>
        </is>
      </c>
      <c r="P1182" t="inlineStr">
        <is>
          <t>CEO &amp; Co-Founder</t>
        </is>
      </c>
      <c r="Y1182" t="inlineStr">
        <is>
          <t>todo</t>
        </is>
      </c>
      <c r="Z1182">
        <f>(M1182*Weights!$B$2) + (MIN(Q1182,Weights!$B$5)*Weights!$B$3*(W1182/100)*Weights!$B$4)</f>
        <v/>
      </c>
      <c r="AA1182">
        <f>IF(Z1182= ,,RANK.EQ({pri_col_letter}{r},{pri_range},0))</f>
        <v/>
      </c>
    </row>
    <row r="1183">
      <c r="A1183" t="inlineStr">
        <is>
          <t>Be Fulfilled</t>
        </is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>
        <is>
          <t>Tier 4</t>
        </is>
      </c>
      <c r="O1183" t="inlineStr">
        <is>
          <t>John Brown — CEO</t>
        </is>
      </c>
      <c r="P1183" t="inlineStr">
        <is>
          <t>CEO</t>
        </is>
      </c>
      <c r="Y1183" t="inlineStr">
        <is>
          <t>todo</t>
        </is>
      </c>
      <c r="Z1183">
        <f>(M1183*Weights!$B$2) + (MIN(Q1183,Weights!$B$5)*Weights!$B$3*(W1183/100)*Weights!$B$4)</f>
        <v/>
      </c>
      <c r="AA1183">
        <f>IF(Z1183= ,,RANK.EQ({pri_col_letter}{r},{pri_range},0))</f>
        <v/>
      </c>
    </row>
    <row r="1184">
      <c r="A1184" t="inlineStr">
        <is>
          <t>Beam Distributing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>
        <is>
          <t>Tier 4</t>
        </is>
      </c>
      <c r="O1184" t="inlineStr">
        <is>
          <t>Jayde Duris — Product Data Coordinator</t>
        </is>
      </c>
      <c r="P1184" t="inlineStr">
        <is>
          <t>Product Data Coordinator</t>
        </is>
      </c>
      <c r="Y1184" t="inlineStr">
        <is>
          <t>todo</t>
        </is>
      </c>
      <c r="Z1184">
        <f>(M1184*Weights!$B$2) + (MIN(Q1184,Weights!$B$5)*Weights!$B$3*(W1184/100)*Weights!$B$4)</f>
        <v/>
      </c>
      <c r="AA1184">
        <f>IF(Z1184= ,,RANK.EQ({pri_col_letter}{r},{pri_range},0))</f>
        <v/>
      </c>
    </row>
    <row r="1185">
      <c r="A1185" t="inlineStr">
        <is>
          <t>Beamup</t>
        </is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>
        <is>
          <t>Tier 4</t>
        </is>
      </c>
      <c r="O1185" t="inlineStr">
        <is>
          <t>Stephane Levy — CEO</t>
        </is>
      </c>
      <c r="P1185" t="inlineStr">
        <is>
          <t>CEO</t>
        </is>
      </c>
      <c r="Y1185" t="inlineStr">
        <is>
          <t>todo</t>
        </is>
      </c>
      <c r="Z1185">
        <f>(M1185*Weights!$B$2) + (MIN(Q1185,Weights!$B$5)*Weights!$B$3*(W1185/100)*Weights!$B$4)</f>
        <v/>
      </c>
      <c r="AA1185">
        <f>IF(Z1185= ,,RANK.EQ({pri_col_letter}{r},{pri_range},0))</f>
        <v/>
      </c>
    </row>
    <row r="1186">
      <c r="A1186" t="inlineStr">
        <is>
          <t>Bedrock Logistics</t>
        </is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>
        <is>
          <t>Tier 4</t>
        </is>
      </c>
      <c r="O1186" t="inlineStr">
        <is>
          <t>Andrew Birkins — President</t>
        </is>
      </c>
      <c r="P1186" t="inlineStr">
        <is>
          <t>President</t>
        </is>
      </c>
      <c r="Y1186" t="inlineStr">
        <is>
          <t>todo</t>
        </is>
      </c>
      <c r="Z1186">
        <f>(M1186*Weights!$B$2) + (MIN(Q1186,Weights!$B$5)*Weights!$B$3*(W1186/100)*Weights!$B$4)</f>
        <v/>
      </c>
      <c r="AA1186">
        <f>IF(Z1186= ,,RANK.EQ({pri_col_letter}{r},{pri_range},0))</f>
        <v/>
      </c>
    </row>
    <row r="1187">
      <c r="A1187" t="inlineStr">
        <is>
          <t>Beitler Logistics Services, Inc.</t>
        </is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>
        <is>
          <t>Tier 4</t>
        </is>
      </c>
      <c r="O1187" t="inlineStr">
        <is>
          <t>Michael Shaver — Vice President</t>
        </is>
      </c>
      <c r="P1187" t="inlineStr">
        <is>
          <t>Vice President</t>
        </is>
      </c>
      <c r="Y1187" t="inlineStr">
        <is>
          <t>todo</t>
        </is>
      </c>
      <c r="Z1187">
        <f>(M1187*Weights!$B$2) + (MIN(Q1187,Weights!$B$5)*Weights!$B$3*(W1187/100)*Weights!$B$4)</f>
        <v/>
      </c>
      <c r="AA1187">
        <f>IF(Z1187= ,,RANK.EQ({pri_col_letter}{r},{pri_range},0))</f>
        <v/>
      </c>
    </row>
    <row r="1188">
      <c r="A1188" t="inlineStr">
        <is>
          <t>Benore Logistics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>
        <is>
          <t>Tier 4</t>
        </is>
      </c>
      <c r="O1188" t="inlineStr">
        <is>
          <t>John Pall — CTO</t>
        </is>
      </c>
      <c r="P1188" t="inlineStr">
        <is>
          <t>CTO</t>
        </is>
      </c>
      <c r="Y1188" t="inlineStr">
        <is>
          <t>todo</t>
        </is>
      </c>
      <c r="Z1188">
        <f>(M1188*Weights!$B$2) + (MIN(Q1188,Weights!$B$5)*Weights!$B$3*(W1188/100)*Weights!$B$4)</f>
        <v/>
      </c>
      <c r="AA1188">
        <f>IF(Z1188= ,,RANK.EQ({pri_col_letter}{r},{pri_range},0))</f>
        <v/>
      </c>
    </row>
    <row r="1189">
      <c r="A1189" t="inlineStr">
        <is>
          <t>Beon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>
        <is>
          <t>Tier 4</t>
        </is>
      </c>
      <c r="O1189" t="inlineStr">
        <is>
          <t>David Perez — QA</t>
        </is>
      </c>
      <c r="P1189" t="inlineStr">
        <is>
          <t>QA</t>
        </is>
      </c>
      <c r="Y1189" t="inlineStr">
        <is>
          <t>todo</t>
        </is>
      </c>
      <c r="Z1189">
        <f>(M1189*Weights!$B$2) + (MIN(Q1189,Weights!$B$5)*Weights!$B$3*(W1189/100)*Weights!$B$4)</f>
        <v/>
      </c>
      <c r="AA1189">
        <f>IF(Z1189= ,,RANK.EQ({pri_col_letter}{r},{pri_range},0))</f>
        <v/>
      </c>
    </row>
    <row r="1190">
      <c r="A1190" t="inlineStr">
        <is>
          <t>Bergen Logistics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>
        <is>
          <t>Tier 4</t>
        </is>
      </c>
      <c r="O1190" t="inlineStr">
        <is>
          <t>Charles Ickes — CEO</t>
        </is>
      </c>
      <c r="P1190" t="inlineStr">
        <is>
          <t>CEO</t>
        </is>
      </c>
      <c r="Y1190" t="inlineStr">
        <is>
          <t>todo</t>
        </is>
      </c>
      <c r="Z1190">
        <f>(M1190*Weights!$B$2) + (MIN(Q1190,Weights!$B$5)*Weights!$B$3*(W1190/100)*Weights!$B$4)</f>
        <v/>
      </c>
      <c r="AA1190">
        <f>IF(Z1190= ,,RANK.EQ({pri_col_letter}{r},{pri_range},0))</f>
        <v/>
      </c>
    </row>
    <row r="1191">
      <c r="A1191" t="inlineStr">
        <is>
          <t>Berkshire Partners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>
        <is>
          <t>Tier 4</t>
        </is>
      </c>
      <c r="O1191" t="inlineStr">
        <is>
          <t>Liam Bolster — Vice President</t>
        </is>
      </c>
      <c r="P1191" t="inlineStr">
        <is>
          <t>Vice President</t>
        </is>
      </c>
      <c r="Y1191" t="inlineStr">
        <is>
          <t>todo</t>
        </is>
      </c>
      <c r="Z1191">
        <f>(M1191*Weights!$B$2) + (MIN(Q1191,Weights!$B$5)*Weights!$B$3*(W1191/100)*Weights!$B$4)</f>
        <v/>
      </c>
      <c r="AA1191">
        <f>IF(Z1191= ,,RANK.EQ({pri_col_letter}{r},{pri_range},0))</f>
        <v/>
      </c>
    </row>
    <row r="1192">
      <c r="A1192" t="inlineStr">
        <is>
          <t>Beye.ai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>
        <is>
          <t>Tier 4</t>
        </is>
      </c>
      <c r="O1192" t="inlineStr">
        <is>
          <t>Farhad Hussain — Co-founder &amp; CEO</t>
        </is>
      </c>
      <c r="P1192" t="inlineStr">
        <is>
          <t>Co-founder &amp; CEO</t>
        </is>
      </c>
      <c r="Y1192" t="inlineStr">
        <is>
          <t>todo</t>
        </is>
      </c>
      <c r="Z1192">
        <f>(M1192*Weights!$B$2) + (MIN(Q1192,Weights!$B$5)*Weights!$B$3*(W1192/100)*Weights!$B$4)</f>
        <v/>
      </c>
      <c r="AA1192">
        <f>IF(Z1192= ,,RANK.EQ({pri_col_letter}{r},{pri_range},0))</f>
        <v/>
      </c>
    </row>
    <row r="1193">
      <c r="A1193" t="inlineStr">
        <is>
          <t>BiggerPicture</t>
        </is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>
        <is>
          <t>Tier 4</t>
        </is>
      </c>
      <c r="O1193" t="inlineStr">
        <is>
          <t>Deema Adada — Co-Founder &amp; CEO</t>
        </is>
      </c>
      <c r="P1193" t="inlineStr">
        <is>
          <t>Co-Founder &amp; CEO</t>
        </is>
      </c>
      <c r="Y1193" t="inlineStr">
        <is>
          <t>todo</t>
        </is>
      </c>
      <c r="Z1193">
        <f>(M1193*Weights!$B$2) + (MIN(Q1193,Weights!$B$5)*Weights!$B$3*(W1193/100)*Weights!$B$4)</f>
        <v/>
      </c>
      <c r="AA1193">
        <f>IF(Z1193= ,,RANK.EQ({pri_col_letter}{r},{pri_range},0))</f>
        <v/>
      </c>
    </row>
    <row r="1194">
      <c r="A1194" t="inlineStr">
        <is>
          <t>Bloodhound Tracking Device</t>
        </is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>
        <is>
          <t>Tier 4</t>
        </is>
      </c>
      <c r="O1194" t="inlineStr">
        <is>
          <t>Curtis Spencer — CEO</t>
        </is>
      </c>
      <c r="P1194" t="inlineStr">
        <is>
          <t>CEO</t>
        </is>
      </c>
      <c r="Y1194" t="inlineStr">
        <is>
          <t>todo</t>
        </is>
      </c>
      <c r="Z1194">
        <f>(M1194*Weights!$B$2) + (MIN(Q1194,Weights!$B$5)*Weights!$B$3*(W1194/100)*Weights!$B$4)</f>
        <v/>
      </c>
      <c r="AA1194">
        <f>IF(Z1194= ,,RANK.EQ({pri_col_letter}{r},{pri_range},0))</f>
        <v/>
      </c>
    </row>
    <row r="1195">
      <c r="A1195" t="inlineStr">
        <is>
          <t>Bloodhound Tracking Device Inc.</t>
        </is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>
        <is>
          <t>Tier 4</t>
        </is>
      </c>
      <c r="O1195" t="inlineStr">
        <is>
          <t>Brian Roberts — Consultant</t>
        </is>
      </c>
      <c r="P1195" t="inlineStr">
        <is>
          <t>Consultant</t>
        </is>
      </c>
      <c r="Y1195" t="inlineStr">
        <is>
          <t>todo</t>
        </is>
      </c>
      <c r="Z1195">
        <f>(M1195*Weights!$B$2) + (MIN(Q1195,Weights!$B$5)*Weights!$B$3*(W1195/100)*Weights!$B$4)</f>
        <v/>
      </c>
      <c r="AA1195">
        <f>IF(Z1195= ,,RANK.EQ({pri_col_letter}{r},{pri_range},0))</f>
        <v/>
      </c>
    </row>
    <row r="1196">
      <c r="A1196" t="inlineStr">
        <is>
          <t>Bloomberg LP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>
        <is>
          <t>Tier 4</t>
        </is>
      </c>
      <c r="O1196" t="inlineStr">
        <is>
          <t>Romaine Bostick — TV Anchor</t>
        </is>
      </c>
      <c r="P1196" t="inlineStr">
        <is>
          <t>TV Anchor</t>
        </is>
      </c>
      <c r="Y1196" t="inlineStr">
        <is>
          <t>todo</t>
        </is>
      </c>
      <c r="Z1196">
        <f>(M1196*Weights!$B$2) + (MIN(Q1196,Weights!$B$5)*Weights!$B$3*(W1196/100)*Weights!$B$4)</f>
        <v/>
      </c>
      <c r="AA1196">
        <f>IF(Z1196= ,,RANK.EQ({pri_col_letter}{r},{pri_range},0))</f>
        <v/>
      </c>
    </row>
    <row r="1197">
      <c r="A1197" t="inlineStr">
        <is>
          <t>Blue Impact Ventures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>
        <is>
          <t>Tier 4</t>
        </is>
      </c>
      <c r="O1197" t="inlineStr">
        <is>
          <t>Marlon Ramirez — Founder &amp; GP</t>
        </is>
      </c>
      <c r="P1197" t="inlineStr">
        <is>
          <t>Founder &amp; GP</t>
        </is>
      </c>
      <c r="Y1197" t="inlineStr">
        <is>
          <t>todo</t>
        </is>
      </c>
      <c r="Z1197">
        <f>(M1197*Weights!$B$2) + (MIN(Q1197,Weights!$B$5)*Weights!$B$3*(W1197/100)*Weights!$B$4)</f>
        <v/>
      </c>
      <c r="AA1197">
        <f>IF(Z1197= ,,RANK.EQ({pri_col_letter}{r},{pri_range},0))</f>
        <v/>
      </c>
    </row>
    <row r="1198">
      <c r="A1198" t="inlineStr">
        <is>
          <t>Blue Ocean</t>
        </is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>
        <is>
          <t>Tier 4</t>
        </is>
      </c>
      <c r="O1198" t="inlineStr">
        <is>
          <t>kim hyejeong — ceo</t>
        </is>
      </c>
      <c r="P1198" t="inlineStr">
        <is>
          <t>ceo</t>
        </is>
      </c>
      <c r="Y1198" t="inlineStr">
        <is>
          <t>todo</t>
        </is>
      </c>
      <c r="Z1198">
        <f>(M1198*Weights!$B$2) + (MIN(Q1198,Weights!$B$5)*Weights!$B$3*(W1198/100)*Weights!$B$4)</f>
        <v/>
      </c>
      <c r="AA1198">
        <f>IF(Z1198= ,,RANK.EQ({pri_col_letter}{r},{pri_range},0))</f>
        <v/>
      </c>
    </row>
    <row r="1199">
      <c r="A1199" t="inlineStr">
        <is>
          <t>BlueBox Systems</t>
        </is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>
        <is>
          <t>Tier 4</t>
        </is>
      </c>
      <c r="O1199" t="inlineStr">
        <is>
          <t>Martin Bernemann — CTO</t>
        </is>
      </c>
      <c r="P1199" t="inlineStr">
        <is>
          <t>CTO</t>
        </is>
      </c>
      <c r="Y1199" t="inlineStr">
        <is>
          <t>todo</t>
        </is>
      </c>
      <c r="Z1199">
        <f>(M1199*Weights!$B$2) + (MIN(Q1199,Weights!$B$5)*Weights!$B$3*(W1199/100)*Weights!$B$4)</f>
        <v/>
      </c>
      <c r="AA1199">
        <f>IF(Z1199= ,,RANK.EQ({pri_col_letter}{r},{pri_range},0))</f>
        <v/>
      </c>
    </row>
    <row r="1200">
      <c r="A1200" t="inlineStr">
        <is>
          <t>Bluejay Capital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>
        <is>
          <t>Tier 4</t>
        </is>
      </c>
      <c r="O1200" t="inlineStr">
        <is>
          <t>Billy Hart — Managing Partner</t>
        </is>
      </c>
      <c r="P1200" t="inlineStr">
        <is>
          <t>Managing Partner</t>
        </is>
      </c>
      <c r="Y1200" t="inlineStr">
        <is>
          <t>todo</t>
        </is>
      </c>
      <c r="Z1200">
        <f>(M1200*Weights!$B$2) + (MIN(Q1200,Weights!$B$5)*Weights!$B$3*(W1200/100)*Weights!$B$4)</f>
        <v/>
      </c>
      <c r="AA1200">
        <f>IF(Z1200= ,,RANK.EQ({pri_col_letter}{r},{pri_range},0))</f>
        <v/>
      </c>
    </row>
    <row r="1201">
      <c r="A1201" t="inlineStr">
        <is>
          <t>BorderBuddy</t>
        </is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>
        <is>
          <t>Tier 4</t>
        </is>
      </c>
      <c r="O1201" t="inlineStr">
        <is>
          <t>Dave Coulson — COO</t>
        </is>
      </c>
      <c r="P1201" t="inlineStr">
        <is>
          <t>COO</t>
        </is>
      </c>
      <c r="Y1201" t="inlineStr">
        <is>
          <t>todo</t>
        </is>
      </c>
      <c r="Z1201">
        <f>(M1201*Weights!$B$2) + (MIN(Q1201,Weights!$B$5)*Weights!$B$3*(W1201/100)*Weights!$B$4)</f>
        <v/>
      </c>
      <c r="AA1201">
        <f>IF(Z1201= ,,RANK.EQ({pri_col_letter}{r},{pri_range},0))</f>
        <v/>
      </c>
    </row>
    <row r="1202">
      <c r="A1202" t="inlineStr">
        <is>
          <t>BorgWarner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inlineStr">
        <is>
          <t>Tier 4</t>
        </is>
      </c>
      <c r="O1202" t="inlineStr">
        <is>
          <t>Rob Deni — Vice President Global Supply Management</t>
        </is>
      </c>
      <c r="P1202" t="inlineStr">
        <is>
          <t>Vice President Global Supply Management</t>
        </is>
      </c>
      <c r="Y1202" t="inlineStr">
        <is>
          <t>todo</t>
        </is>
      </c>
      <c r="Z1202">
        <f>(M1202*Weights!$B$2) + (MIN(Q1202,Weights!$B$5)*Weights!$B$3*(W1202/100)*Weights!$B$4)</f>
        <v/>
      </c>
      <c r="AA1202">
        <f>IF(Z1202= ,,RANK.EQ({pri_col_letter}{r},{pri_range},0))</f>
        <v/>
      </c>
    </row>
    <row r="1203">
      <c r="A1203" t="inlineStr">
        <is>
          <t>Bosch MPS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inlineStr">
        <is>
          <t>Tier 4</t>
        </is>
      </c>
      <c r="O1203" t="inlineStr">
        <is>
          <t>Steven Sykora — VP</t>
        </is>
      </c>
      <c r="P1203" t="inlineStr">
        <is>
          <t>VP</t>
        </is>
      </c>
      <c r="Y1203" t="inlineStr">
        <is>
          <t>todo</t>
        </is>
      </c>
      <c r="Z1203">
        <f>(M1203*Weights!$B$2) + (MIN(Q1203,Weights!$B$5)*Weights!$B$3*(W1203/100)*Weights!$B$4)</f>
        <v/>
      </c>
      <c r="AA1203">
        <f>IF(Z1203= ,,RANK.EQ({pri_col_letter}{r},{pri_range},0))</f>
        <v/>
      </c>
    </row>
    <row r="1204">
      <c r="A1204" t="inlineStr">
        <is>
          <t>Braid Theory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inlineStr">
        <is>
          <t>Tier 4</t>
        </is>
      </c>
      <c r="O1204" t="inlineStr">
        <is>
          <t>Ann Carpenter — CEO</t>
        </is>
      </c>
      <c r="P1204" t="inlineStr">
        <is>
          <t>CEO</t>
        </is>
      </c>
      <c r="Y1204" t="inlineStr">
        <is>
          <t>todo</t>
        </is>
      </c>
      <c r="Z1204">
        <f>(M1204*Weights!$B$2) + (MIN(Q1204,Weights!$B$5)*Weights!$B$3*(W1204/100)*Weights!$B$4)</f>
        <v/>
      </c>
      <c r="AA1204">
        <f>IF(Z1204= ,,RANK.EQ({pri_col_letter}{r},{pri_range},0))</f>
        <v/>
      </c>
    </row>
    <row r="1205">
      <c r="A1205" t="inlineStr">
        <is>
          <t>Brandfox LLC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>
        <is>
          <t>Tier 4</t>
        </is>
      </c>
      <c r="O1205" t="inlineStr">
        <is>
          <t>Court Abel — Founder</t>
        </is>
      </c>
      <c r="P1205" t="inlineStr">
        <is>
          <t>Founder</t>
        </is>
      </c>
      <c r="Y1205" t="inlineStr">
        <is>
          <t>todo</t>
        </is>
      </c>
      <c r="Z1205">
        <f>(M1205*Weights!$B$2) + (MIN(Q1205,Weights!$B$5)*Weights!$B$3*(W1205/100)*Weights!$B$4)</f>
        <v/>
      </c>
      <c r="AA1205">
        <f>IF(Z1205= ,,RANK.EQ({pri_col_letter}{r},{pri_range},0))</f>
        <v/>
      </c>
    </row>
    <row r="1206">
      <c r="A1206" t="inlineStr">
        <is>
          <t>Breakthrough Fuel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>
        <is>
          <t>Tier 4</t>
        </is>
      </c>
      <c r="O1206" t="inlineStr">
        <is>
          <t>Jared Spude — Vice President, Enterprise Solutions</t>
        </is>
      </c>
      <c r="P1206" t="inlineStr">
        <is>
          <t>Vice President, Enterprise Solutions</t>
        </is>
      </c>
      <c r="Y1206" t="inlineStr">
        <is>
          <t>todo</t>
        </is>
      </c>
      <c r="Z1206">
        <f>(M1206*Weights!$B$2) + (MIN(Q1206,Weights!$B$5)*Weights!$B$3*(W1206/100)*Weights!$B$4)</f>
        <v/>
      </c>
      <c r="AA1206">
        <f>IF(Z1206= ,,RANK.EQ({pri_col_letter}{r},{pri_range},0))</f>
        <v/>
      </c>
    </row>
    <row r="1207">
      <c r="A1207" t="inlineStr">
        <is>
          <t>Bridgewater Interiors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inlineStr">
        <is>
          <t>Tier 4</t>
        </is>
      </c>
      <c r="O1207" t="inlineStr">
        <is>
          <t>David Viera — Chief Operating Officer</t>
        </is>
      </c>
      <c r="P1207" t="inlineStr">
        <is>
          <t>Chief Operating Officer</t>
        </is>
      </c>
      <c r="Y1207" t="inlineStr">
        <is>
          <t>todo</t>
        </is>
      </c>
      <c r="Z1207">
        <f>(M1207*Weights!$B$2) + (MIN(Q1207,Weights!$B$5)*Weights!$B$3*(W1207/100)*Weights!$B$4)</f>
        <v/>
      </c>
      <c r="AA1207">
        <f>IF(Z1207= ,,RANK.EQ({pri_col_letter}{r},{pri_range},0))</f>
        <v/>
      </c>
    </row>
    <row r="1208">
      <c r="A1208" t="inlineStr">
        <is>
          <t>Brighton Park Capital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inlineStr">
        <is>
          <t>Tier 4</t>
        </is>
      </c>
      <c r="O1208" t="inlineStr">
        <is>
          <t>Mike Eberle — Software Investor</t>
        </is>
      </c>
      <c r="P1208" t="inlineStr">
        <is>
          <t>Software Investor</t>
        </is>
      </c>
      <c r="Y1208" t="inlineStr">
        <is>
          <t>todo</t>
        </is>
      </c>
      <c r="Z1208">
        <f>(M1208*Weights!$B$2) + (MIN(Q1208,Weights!$B$5)*Weights!$B$3*(W1208/100)*Weights!$B$4)</f>
        <v/>
      </c>
      <c r="AA1208">
        <f>IF(Z1208= ,,RANK.EQ({pri_col_letter}{r},{pri_range},0))</f>
        <v/>
      </c>
    </row>
    <row r="1209">
      <c r="A1209" t="inlineStr">
        <is>
          <t>Brilliant Fulfillment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inlineStr">
        <is>
          <t>Tier 4</t>
        </is>
      </c>
      <c r="O1209" t="inlineStr">
        <is>
          <t>Michael Bryant — CTO</t>
        </is>
      </c>
      <c r="P1209" t="inlineStr">
        <is>
          <t>CTO</t>
        </is>
      </c>
      <c r="Y1209" t="inlineStr">
        <is>
          <t>todo</t>
        </is>
      </c>
      <c r="Z1209">
        <f>(M1209*Weights!$B$2) + (MIN(Q1209,Weights!$B$5)*Weights!$B$3*(W1209/100)*Weights!$B$4)</f>
        <v/>
      </c>
      <c r="AA1209">
        <f>IF(Z1209= ,,RANK.EQ({pri_col_letter}{r},{pri_range},0))</f>
        <v/>
      </c>
    </row>
    <row r="1210">
      <c r="A1210" t="inlineStr">
        <is>
          <t>Bryant Park Consulting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inlineStr">
        <is>
          <t>Tier 4</t>
        </is>
      </c>
      <c r="O1210" t="inlineStr">
        <is>
          <t>Dennis Raap — Practice Manager</t>
        </is>
      </c>
      <c r="P1210" t="inlineStr">
        <is>
          <t>Practice Manager</t>
        </is>
      </c>
      <c r="Y1210" t="inlineStr">
        <is>
          <t>todo</t>
        </is>
      </c>
      <c r="Z1210">
        <f>(M1210*Weights!$B$2) + (MIN(Q1210,Weights!$B$5)*Weights!$B$3*(W1210/100)*Weights!$B$4)</f>
        <v/>
      </c>
      <c r="AA1210">
        <f>IF(Z1210= ,,RANK.EQ({pri_col_letter}{r},{pri_range},0))</f>
        <v/>
      </c>
    </row>
    <row r="1211">
      <c r="A1211" t="inlineStr">
        <is>
          <t>Bungii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inlineStr">
        <is>
          <t>Tier 4</t>
        </is>
      </c>
      <c r="O1211" t="inlineStr">
        <is>
          <t>Kerri Thurston — CFO</t>
        </is>
      </c>
      <c r="P1211" t="inlineStr">
        <is>
          <t>CFO</t>
        </is>
      </c>
      <c r="Y1211" t="inlineStr">
        <is>
          <t>todo</t>
        </is>
      </c>
      <c r="Z1211">
        <f>(M1211*Weights!$B$2) + (MIN(Q1211,Weights!$B$5)*Weights!$B$3*(W1211/100)*Weights!$B$4)</f>
        <v/>
      </c>
      <c r="AA1211">
        <f>IF(Z1211= ,,RANK.EQ({pri_col_letter}{r},{pri_range},0))</f>
        <v/>
      </c>
    </row>
    <row r="1212">
      <c r="A1212" t="inlineStr">
        <is>
          <t>Bunker Holding Group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>
        <is>
          <t>Tier 4</t>
        </is>
      </c>
      <c r="O1212" t="inlineStr">
        <is>
          <t>Anders Butzbach Christensen — Director of Enterprise Architecture, Data &amp; AI</t>
        </is>
      </c>
      <c r="P1212" t="inlineStr">
        <is>
          <t>Director of Enterprise Architecture, Data &amp; AI</t>
        </is>
      </c>
      <c r="Y1212" t="inlineStr">
        <is>
          <t>todo</t>
        </is>
      </c>
      <c r="Z1212">
        <f>(M1212*Weights!$B$2) + (MIN(Q1212,Weights!$B$5)*Weights!$B$3*(W1212/100)*Weights!$B$4)</f>
        <v/>
      </c>
      <c r="AA1212">
        <f>IF(Z1212= ,,RANK.EQ({pri_col_letter}{r},{pri_range},0))</f>
        <v/>
      </c>
    </row>
    <row r="1213">
      <c r="A1213" t="inlineStr">
        <is>
          <t>BuyCo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7500000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inlineStr">
        <is>
          <t>Tier 4</t>
        </is>
      </c>
      <c r="O1213" t="inlineStr">
        <is>
          <t>Geoffroy Willaume — CFO &amp; Co-Founder</t>
        </is>
      </c>
      <c r="P1213" t="inlineStr">
        <is>
          <t>CFO &amp; Co-Founder</t>
        </is>
      </c>
      <c r="Y1213" t="inlineStr">
        <is>
          <t>todo</t>
        </is>
      </c>
      <c r="Z1213">
        <f>(M1213*Weights!$B$2) + (MIN(Q1213,Weights!$B$5)*Weights!$B$3*(W1213/100)*Weights!$B$4)</f>
        <v/>
      </c>
      <c r="AA1213">
        <f>IF(Z1213= ,,RANK.EQ({pri_col_letter}{r},{pri_range},0))</f>
        <v/>
      </c>
    </row>
    <row r="1214">
      <c r="A1214" t="inlineStr">
        <is>
          <t>Bws logistics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inlineStr">
        <is>
          <t>Tier 4</t>
        </is>
      </c>
      <c r="O1214" t="inlineStr">
        <is>
          <t>Cj Johnson — Founder</t>
        </is>
      </c>
      <c r="P1214" t="inlineStr">
        <is>
          <t>Founder</t>
        </is>
      </c>
      <c r="Y1214" t="inlineStr">
        <is>
          <t>todo</t>
        </is>
      </c>
      <c r="Z1214">
        <f>(M1214*Weights!$B$2) + (MIN(Q1214,Weights!$B$5)*Weights!$B$3*(W1214/100)*Weights!$B$4)</f>
        <v/>
      </c>
      <c r="AA1214">
        <f>IF(Z1214= ,,RANK.EQ({pri_col_letter}{r},{pri_range},0))</f>
        <v/>
      </c>
    </row>
    <row r="1215">
      <c r="A1215" t="inlineStr">
        <is>
          <t>CADDi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inlineStr">
        <is>
          <t>Tier 4</t>
        </is>
      </c>
      <c r="O1215" t="inlineStr">
        <is>
          <t>Yushiro Kato — CEO &amp; Co-Founder</t>
        </is>
      </c>
      <c r="P1215" t="inlineStr">
        <is>
          <t>CEO &amp; Co-Founder</t>
        </is>
      </c>
      <c r="Y1215" t="inlineStr">
        <is>
          <t>todo</t>
        </is>
      </c>
      <c r="Z1215">
        <f>(M1215*Weights!$B$2) + (MIN(Q1215,Weights!$B$5)*Weights!$B$3*(W1215/100)*Weights!$B$4)</f>
        <v/>
      </c>
      <c r="AA1215">
        <f>IF(Z1215= ,,RANK.EQ({pri_col_letter}{r},{pri_range},0))</f>
        <v/>
      </c>
    </row>
    <row r="1216">
      <c r="A1216" t="inlineStr">
        <is>
          <t>CFS Technology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>
        <is>
          <t>Tier 4</t>
        </is>
      </c>
      <c r="O1216" t="inlineStr">
        <is>
          <t>Curtis Weeks — Director of IT</t>
        </is>
      </c>
      <c r="P1216" t="inlineStr">
        <is>
          <t>Director of IT</t>
        </is>
      </c>
      <c r="Y1216" t="inlineStr">
        <is>
          <t>todo</t>
        </is>
      </c>
      <c r="Z1216">
        <f>(M1216*Weights!$B$2) + (MIN(Q1216,Weights!$B$5)*Weights!$B$3*(W1216/100)*Weights!$B$4)</f>
        <v/>
      </c>
      <c r="AA1216">
        <f>IF(Z1216= ,,RANK.EQ({pri_col_letter}{r},{pri_range},0))</f>
        <v/>
      </c>
    </row>
    <row r="1217">
      <c r="A1217" t="inlineStr">
        <is>
          <t>CH ROBINSON WORLDWIDE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inlineStr">
        <is>
          <t>Tier 4</t>
        </is>
      </c>
      <c r="O1217" t="inlineStr">
        <is>
          <t>Greg West — Vice President</t>
        </is>
      </c>
      <c r="P1217" t="inlineStr">
        <is>
          <t>Vice President</t>
        </is>
      </c>
      <c r="Y1217" t="inlineStr">
        <is>
          <t>todo</t>
        </is>
      </c>
      <c r="Z1217">
        <f>(M1217*Weights!$B$2) + (MIN(Q1217,Weights!$B$5)*Weights!$B$3*(W1217/100)*Weights!$B$4)</f>
        <v/>
      </c>
      <c r="AA1217">
        <f>IF(Z1217= ,,RANK.EQ({pri_col_letter}{r},{pri_range},0))</f>
        <v/>
      </c>
    </row>
    <row r="1218">
      <c r="A1218" t="inlineStr">
        <is>
          <t>CH Robinson</t>
        </is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inlineStr">
        <is>
          <t>Tier 4</t>
        </is>
      </c>
      <c r="O1218" t="inlineStr">
        <is>
          <t>Megan Orth — Senior Director</t>
        </is>
      </c>
      <c r="P1218" t="inlineStr">
        <is>
          <t>Senior Director</t>
        </is>
      </c>
      <c r="Y1218" t="inlineStr">
        <is>
          <t>todo</t>
        </is>
      </c>
      <c r="Z1218">
        <f>(M1218*Weights!$B$2) + (MIN(Q1218,Weights!$B$5)*Weights!$B$3*(W1218/100)*Weights!$B$4)</f>
        <v/>
      </c>
      <c r="AA1218">
        <f>IF(Z1218= ,,RANK.EQ({pri_col_letter}{r},{pri_range},0))</f>
        <v/>
      </c>
    </row>
    <row r="1219">
      <c r="A1219" t="inlineStr">
        <is>
          <t>CMA CGM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inlineStr">
        <is>
          <t>Tier 4</t>
        </is>
      </c>
      <c r="O1219" t="inlineStr">
        <is>
          <t>Nayantara Mehta — Head of Innovation Programs - Digital</t>
        </is>
      </c>
      <c r="P1219" t="inlineStr">
        <is>
          <t>Head of Innovation Programs - Digital</t>
        </is>
      </c>
      <c r="Y1219" t="inlineStr">
        <is>
          <t>todo</t>
        </is>
      </c>
      <c r="Z1219">
        <f>(M1219*Weights!$B$2) + (MIN(Q1219,Weights!$B$5)*Weights!$B$3*(W1219/100)*Weights!$B$4)</f>
        <v/>
      </c>
      <c r="AA1219">
        <f>IF(Z1219= ,,RANK.EQ({pri_col_letter}{r},{pri_range},0))</f>
        <v/>
      </c>
    </row>
    <row r="1220">
      <c r="A1220" t="inlineStr">
        <is>
          <t>CO.LAB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inlineStr">
        <is>
          <t>Tier 4</t>
        </is>
      </c>
      <c r="O1220" t="inlineStr">
        <is>
          <t>Barry Grove — CCO</t>
        </is>
      </c>
      <c r="P1220" t="inlineStr">
        <is>
          <t>CCO</t>
        </is>
      </c>
      <c r="Y1220" t="inlineStr">
        <is>
          <t>todo</t>
        </is>
      </c>
      <c r="Z1220">
        <f>(M1220*Weights!$B$2) + (MIN(Q1220,Weights!$B$5)*Weights!$B$3*(W1220/100)*Weights!$B$4)</f>
        <v/>
      </c>
      <c r="AA1220">
        <f>IF(Z1220= ,,RANK.EQ({pri_col_letter}{r},{pri_range},0))</f>
        <v/>
      </c>
    </row>
    <row r="1221">
      <c r="A1221" t="inlineStr">
        <is>
          <t>CONBO Inc.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>
        <is>
          <t>Tier 4</t>
        </is>
      </c>
      <c r="O1221" t="inlineStr">
        <is>
          <t>ERAN PEREG — CEO</t>
        </is>
      </c>
      <c r="P1221" t="inlineStr">
        <is>
          <t>CEO</t>
        </is>
      </c>
      <c r="Y1221" t="inlineStr">
        <is>
          <t>todo</t>
        </is>
      </c>
      <c r="Z1221">
        <f>(M1221*Weights!$B$2) + (MIN(Q1221,Weights!$B$5)*Weights!$B$3*(W1221/100)*Weights!$B$4)</f>
        <v/>
      </c>
      <c r="AA1221">
        <f>IF(Z1221= ,,RANK.EQ({pri_col_letter}{r},{pri_range},0))</f>
        <v/>
      </c>
    </row>
    <row r="1222">
      <c r="A1222" t="inlineStr">
        <is>
          <t>CONCARGO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>
        <is>
          <t>Tier 4</t>
        </is>
      </c>
      <c r="O1222" t="inlineStr">
        <is>
          <t>ERAN BAAZOV — CEO</t>
        </is>
      </c>
      <c r="P1222" t="inlineStr">
        <is>
          <t>CEO</t>
        </is>
      </c>
      <c r="Y1222" t="inlineStr">
        <is>
          <t>todo</t>
        </is>
      </c>
      <c r="Z1222">
        <f>(M1222*Weights!$B$2) + (MIN(Q1222,Weights!$B$5)*Weights!$B$3*(W1222/100)*Weights!$B$4)</f>
        <v/>
      </c>
      <c r="AA1222">
        <f>IF(Z1222= ,,RANK.EQ({pri_col_letter}{r},{pri_range},0))</f>
        <v/>
      </c>
    </row>
    <row r="1223">
      <c r="A1223" t="inlineStr">
        <is>
          <t>CP Capital</t>
        </is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>
        <is>
          <t>Tier 4</t>
        </is>
      </c>
      <c r="O1223" t="inlineStr">
        <is>
          <t>Brian Emanuelson — Director, Vendor Partnerships</t>
        </is>
      </c>
      <c r="P1223" t="inlineStr">
        <is>
          <t>Director, Vendor Partnerships</t>
        </is>
      </c>
      <c r="Y1223" t="inlineStr">
        <is>
          <t>todo</t>
        </is>
      </c>
      <c r="Z1223">
        <f>(M1223*Weights!$B$2) + (MIN(Q1223,Weights!$B$5)*Weights!$B$3*(W1223/100)*Weights!$B$4)</f>
        <v/>
      </c>
      <c r="AA1223">
        <f>IF(Z1223= ,,RANK.EQ({pri_col_letter}{r},{pri_range},0))</f>
        <v/>
      </c>
    </row>
    <row r="1224">
      <c r="A1224" t="inlineStr">
        <is>
          <t>CS Recruiting, A Hirewell Company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inlineStr">
        <is>
          <t>Tier 4</t>
        </is>
      </c>
      <c r="O1224" t="inlineStr">
        <is>
          <t>Charlie Saffro — Managing Director</t>
        </is>
      </c>
      <c r="P1224" t="inlineStr">
        <is>
          <t>Managing Director</t>
        </is>
      </c>
      <c r="Y1224" t="inlineStr">
        <is>
          <t>todo</t>
        </is>
      </c>
      <c r="Z1224">
        <f>(M1224*Weights!$B$2) + (MIN(Q1224,Weights!$B$5)*Weights!$B$3*(W1224/100)*Weights!$B$4)</f>
        <v/>
      </c>
      <c r="AA1224">
        <f>IF(Z1224= ,,RANK.EQ({pri_col_letter}{r},{pri_range},0))</f>
        <v/>
      </c>
    </row>
    <row r="1225">
      <c r="A1225" t="inlineStr">
        <is>
          <t>CS Recruiting, a Hirewell Company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>
        <is>
          <t>Tier 4</t>
        </is>
      </c>
      <c r="O1225" t="inlineStr">
        <is>
          <t>Alex Zalewski — Partner, Technology Practice</t>
        </is>
      </c>
      <c r="P1225" t="inlineStr">
        <is>
          <t>Partner, Technology Practice</t>
        </is>
      </c>
      <c r="Y1225" t="inlineStr">
        <is>
          <t>todo</t>
        </is>
      </c>
      <c r="Z1225">
        <f>(M1225*Weights!$B$2) + (MIN(Q1225,Weights!$B$5)*Weights!$B$3*(W1225/100)*Weights!$B$4)</f>
        <v/>
      </c>
      <c r="AA1225">
        <f>IF(Z1225= ,,RANK.EQ({pri_col_letter}{r},{pri_range},0))</f>
        <v/>
      </c>
    </row>
    <row r="1226">
      <c r="A1226" t="inlineStr">
        <is>
          <t>CSC Leasing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inlineStr">
        <is>
          <t>Tier 4</t>
        </is>
      </c>
      <c r="O1226" t="inlineStr">
        <is>
          <t>Thomas Price — Senior Director, Originations</t>
        </is>
      </c>
      <c r="P1226" t="inlineStr">
        <is>
          <t>Senior Director, Originations</t>
        </is>
      </c>
      <c r="Y1226" t="inlineStr">
        <is>
          <t>todo</t>
        </is>
      </c>
      <c r="Z1226">
        <f>(M1226*Weights!$B$2) + (MIN(Q1226,Weights!$B$5)*Weights!$B$3*(W1226/100)*Weights!$B$4)</f>
        <v/>
      </c>
      <c r="AA1226">
        <f>IF(Z1226= ,,RANK.EQ({pri_col_letter}{r},{pri_range},0))</f>
        <v/>
      </c>
    </row>
    <row r="1227">
      <c r="A1227" t="inlineStr">
        <is>
          <t>Calhoun Truck Lines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>
        <is>
          <t>Tier 4</t>
        </is>
      </c>
      <c r="O1227" t="inlineStr">
        <is>
          <t>Brent Bois — CEO</t>
        </is>
      </c>
      <c r="P1227" t="inlineStr">
        <is>
          <t>CEO</t>
        </is>
      </c>
      <c r="Y1227" t="inlineStr">
        <is>
          <t>todo</t>
        </is>
      </c>
      <c r="Z1227">
        <f>(M1227*Weights!$B$2) + (MIN(Q1227,Weights!$B$5)*Weights!$B$3*(W1227/100)*Weights!$B$4)</f>
        <v/>
      </c>
      <c r="AA1227">
        <f>IF(Z1227= ,,RANK.EQ({pri_col_letter}{r},{pri_range},0))</f>
        <v/>
      </c>
    </row>
    <row r="1228">
      <c r="A1228" t="inlineStr">
        <is>
          <t>Cambridge Capital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>
        <is>
          <t>Tier 4</t>
        </is>
      </c>
      <c r="O1228" t="inlineStr">
        <is>
          <t>Ben Gordon — Managing Partner &amp; CEO</t>
        </is>
      </c>
      <c r="P1228" t="inlineStr">
        <is>
          <t>Managing Partner &amp; CEO</t>
        </is>
      </c>
      <c r="Y1228" t="inlineStr">
        <is>
          <t>todo</t>
        </is>
      </c>
      <c r="Z1228">
        <f>(M1228*Weights!$B$2) + (MIN(Q1228,Weights!$B$5)*Weights!$B$3*(W1228/100)*Weights!$B$4)</f>
        <v/>
      </c>
      <c r="AA1228">
        <f>IF(Z1228= ,,RANK.EQ({pri_col_letter}{r},{pri_range},0))</f>
        <v/>
      </c>
    </row>
    <row r="1229">
      <c r="A1229" t="inlineStr">
        <is>
          <t>Candor Expedite, Inc.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>
        <is>
          <t>Tier 4</t>
        </is>
      </c>
      <c r="O1229" t="inlineStr">
        <is>
          <t>Nicole Glenn — CEO &amp; Founder</t>
        </is>
      </c>
      <c r="P1229" t="inlineStr">
        <is>
          <t>CEO &amp; Founder</t>
        </is>
      </c>
      <c r="Y1229" t="inlineStr">
        <is>
          <t>todo</t>
        </is>
      </c>
      <c r="Z1229">
        <f>(M1229*Weights!$B$2) + (MIN(Q1229,Weights!$B$5)*Weights!$B$3*(W1229/100)*Weights!$B$4)</f>
        <v/>
      </c>
      <c r="AA1229">
        <f>IF(Z1229= ,,RANK.EQ({pri_col_letter}{r},{pri_range},0))</f>
        <v/>
      </c>
    </row>
    <row r="1230">
      <c r="A1230" t="inlineStr">
        <is>
          <t>Capital Brands</t>
        </is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>
        <is>
          <t>Tier 4</t>
        </is>
      </c>
      <c r="O1230" t="inlineStr">
        <is>
          <t>Peter Huh — CIO/CTO</t>
        </is>
      </c>
      <c r="P1230" t="inlineStr">
        <is>
          <t>CIO/CTO</t>
        </is>
      </c>
      <c r="Y1230" t="inlineStr">
        <is>
          <t>todo</t>
        </is>
      </c>
      <c r="Z1230">
        <f>(M1230*Weights!$B$2) + (MIN(Q1230,Weights!$B$5)*Weights!$B$3*(W1230/100)*Weights!$B$4)</f>
        <v/>
      </c>
      <c r="AA1230">
        <f>IF(Z1230= ,,RANK.EQ({pri_col_letter}{r},{pri_range},0))</f>
        <v/>
      </c>
    </row>
    <row r="1231">
      <c r="A1231" t="inlineStr">
        <is>
          <t>CarMax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>
        <is>
          <t>Tier 4</t>
        </is>
      </c>
      <c r="O1231" t="inlineStr">
        <is>
          <t>Brian Marshall — Director, Technology</t>
        </is>
      </c>
      <c r="P1231" t="inlineStr">
        <is>
          <t>Director, Technology</t>
        </is>
      </c>
      <c r="Y1231" t="inlineStr">
        <is>
          <t>todo</t>
        </is>
      </c>
      <c r="Z1231">
        <f>(M1231*Weights!$B$2) + (MIN(Q1231,Weights!$B$5)*Weights!$B$3*(W1231/100)*Weights!$B$4)</f>
        <v/>
      </c>
      <c r="AA1231">
        <f>IF(Z1231= ,,RANK.EQ({pri_col_letter}{r},{pri_range},0))</f>
        <v/>
      </c>
    </row>
    <row r="1232">
      <c r="A1232" t="inlineStr">
        <is>
          <t>Cargo Airports &amp; Airline Services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>
        <is>
          <t>Tier 4</t>
        </is>
      </c>
      <c r="O1232" t="inlineStr">
        <is>
          <t>Jordan Lee — Reporter</t>
        </is>
      </c>
      <c r="P1232" t="inlineStr">
        <is>
          <t>Reporter</t>
        </is>
      </c>
      <c r="Y1232" t="inlineStr">
        <is>
          <t>todo</t>
        </is>
      </c>
      <c r="Z1232">
        <f>(M1232*Weights!$B$2) + (MIN(Q1232,Weights!$B$5)*Weights!$B$3*(W1232/100)*Weights!$B$4)</f>
        <v/>
      </c>
      <c r="AA1232">
        <f>IF(Z1232= ,,RANK.EQ({pri_col_letter}{r},{pri_range},0))</f>
        <v/>
      </c>
    </row>
    <row r="1233">
      <c r="A1233" t="inlineStr">
        <is>
          <t>Cargo Now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>
        <is>
          <t>Tier 4</t>
        </is>
      </c>
      <c r="O1233" t="inlineStr">
        <is>
          <t>Martin Hubert — Sr. Editor</t>
        </is>
      </c>
      <c r="P1233" t="inlineStr">
        <is>
          <t>Sr. Editor</t>
        </is>
      </c>
      <c r="Y1233" t="inlineStr">
        <is>
          <t>todo</t>
        </is>
      </c>
      <c r="Z1233">
        <f>(M1233*Weights!$B$2) + (MIN(Q1233,Weights!$B$5)*Weights!$B$3*(W1233/100)*Weights!$B$4)</f>
        <v/>
      </c>
      <c r="AA1233">
        <f>IF(Z1233= ,,RANK.EQ({pri_col_letter}{r},{pri_range},0))</f>
        <v/>
      </c>
    </row>
    <row r="1234">
      <c r="A1234" t="inlineStr">
        <is>
          <t>Carmel Transport International Ltd.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>
        <is>
          <t>Tier 4</t>
        </is>
      </c>
      <c r="O1234" t="inlineStr">
        <is>
          <t>Liran Bartal — General Manager</t>
        </is>
      </c>
      <c r="P1234" t="inlineStr">
        <is>
          <t>General Manager</t>
        </is>
      </c>
      <c r="Y1234" t="inlineStr">
        <is>
          <t>todo</t>
        </is>
      </c>
      <c r="Z1234">
        <f>(M1234*Weights!$B$2) + (MIN(Q1234,Weights!$B$5)*Weights!$B$3*(W1234/100)*Weights!$B$4)</f>
        <v/>
      </c>
      <c r="AA1234">
        <f>IF(Z1234= ,,RANK.EQ({pri_col_letter}{r},{pri_range},0))</f>
        <v/>
      </c>
    </row>
    <row r="1235">
      <c r="A1235" t="inlineStr">
        <is>
          <t>Carrier Command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>
        <is>
          <t>Tier 4</t>
        </is>
      </c>
      <c r="O1235" t="inlineStr">
        <is>
          <t>Branislav Peric — Owner</t>
        </is>
      </c>
      <c r="P1235" t="inlineStr">
        <is>
          <t>Owner</t>
        </is>
      </c>
      <c r="Y1235" t="inlineStr">
        <is>
          <t>todo</t>
        </is>
      </c>
      <c r="Z1235">
        <f>(M1235*Weights!$B$2) + (MIN(Q1235,Weights!$B$5)*Weights!$B$3*(W1235/100)*Weights!$B$4)</f>
        <v/>
      </c>
      <c r="AA1235">
        <f>IF(Z1235= ,,RANK.EQ({pri_col_letter}{r},{pri_range},0))</f>
        <v/>
      </c>
    </row>
    <row r="1236">
      <c r="A1236" t="inlineStr">
        <is>
          <t>Carrier Details LLC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>
        <is>
          <t>Tier 4</t>
        </is>
      </c>
      <c r="O1236" t="inlineStr">
        <is>
          <t>Mark Draeb — CEO, President, Co-Founder</t>
        </is>
      </c>
      <c r="P1236" t="inlineStr">
        <is>
          <t>CEO, President, Co-Founder</t>
        </is>
      </c>
      <c r="Y1236" t="inlineStr">
        <is>
          <t>todo</t>
        </is>
      </c>
      <c r="Z1236">
        <f>(M1236*Weights!$B$2) + (MIN(Q1236,Weights!$B$5)*Weights!$B$3*(W1236/100)*Weights!$B$4)</f>
        <v/>
      </c>
      <c r="AA1236">
        <f>IF(Z1236= ,,RANK.EQ({pri_col_letter}{r},{pri_range},0))</f>
        <v/>
      </c>
    </row>
    <row r="1237">
      <c r="A1237" t="inlineStr">
        <is>
          <t>Cartel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>
        <is>
          <t>Tier 4</t>
        </is>
      </c>
      <c r="O1237" t="inlineStr">
        <is>
          <t>Marc Held — Member</t>
        </is>
      </c>
      <c r="P1237" t="inlineStr">
        <is>
          <t>Member</t>
        </is>
      </c>
      <c r="Y1237" t="inlineStr">
        <is>
          <t>todo</t>
        </is>
      </c>
      <c r="Z1237">
        <f>(M1237*Weights!$B$2) + (MIN(Q1237,Weights!$B$5)*Weights!$B$3*(W1237/100)*Weights!$B$4)</f>
        <v/>
      </c>
      <c r="AA1237">
        <f>IF(Z1237= ,,RANK.EQ({pri_col_letter}{r},{pri_range},0))</f>
        <v/>
      </c>
    </row>
    <row r="1238">
      <c r="A1238" t="inlineStr">
        <is>
          <t>Cashmere Fund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>
        <is>
          <t>Tier 4</t>
        </is>
      </c>
      <c r="O1238" t="inlineStr">
        <is>
          <t>Ben Hadley — Board Trustee</t>
        </is>
      </c>
      <c r="P1238" t="inlineStr">
        <is>
          <t>Board Trustee</t>
        </is>
      </c>
      <c r="Y1238" t="inlineStr">
        <is>
          <t>todo</t>
        </is>
      </c>
      <c r="Z1238">
        <f>(M1238*Weights!$B$2) + (MIN(Q1238,Weights!$B$5)*Weights!$B$3*(W1238/100)*Weights!$B$4)</f>
        <v/>
      </c>
      <c r="AA1238">
        <f>IF(Z1238= ,,RANK.EQ({pri_col_letter}{r},{pri_range},0))</f>
        <v/>
      </c>
    </row>
    <row r="1239">
      <c r="A1239" t="inlineStr">
        <is>
          <t>Cavalla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>
        <is>
          <t>Tier 4</t>
        </is>
      </c>
      <c r="O1239" t="inlineStr">
        <is>
          <t>Mo Nafisi — CEO</t>
        </is>
      </c>
      <c r="P1239" t="inlineStr">
        <is>
          <t>CEO</t>
        </is>
      </c>
      <c r="Y1239" t="inlineStr">
        <is>
          <t>todo</t>
        </is>
      </c>
      <c r="Z1239">
        <f>(M1239*Weights!$B$2) + (MIN(Q1239,Weights!$B$5)*Weights!$B$3*(W1239/100)*Weights!$B$4)</f>
        <v/>
      </c>
      <c r="AA1239">
        <f>IF(Z1239= ,,RANK.EQ({pri_col_letter}{r},{pri_range},0))</f>
        <v/>
      </c>
    </row>
    <row r="1240">
      <c r="A1240" t="inlineStr">
        <is>
          <t>Cedarpeak International LLC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>
        <is>
          <t>Tier 4</t>
        </is>
      </c>
      <c r="O1240" t="inlineStr">
        <is>
          <t>Nadim Kilzi — Founder / CEO</t>
        </is>
      </c>
      <c r="P1240" t="inlineStr">
        <is>
          <t>Founder / CEO</t>
        </is>
      </c>
      <c r="Y1240" t="inlineStr">
        <is>
          <t>todo</t>
        </is>
      </c>
      <c r="Z1240">
        <f>(M1240*Weights!$B$2) + (MIN(Q1240,Weights!$B$5)*Weights!$B$3*(W1240/100)*Weights!$B$4)</f>
        <v/>
      </c>
      <c r="AA1240">
        <f>IF(Z1240= ,,RANK.EQ({pri_col_letter}{r},{pri_range},0))</f>
        <v/>
      </c>
    </row>
    <row r="1241">
      <c r="A1241" t="inlineStr">
        <is>
          <t>Centerline Insurance Company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>
        <is>
          <t>Tier 4</t>
        </is>
      </c>
      <c r="O1241" t="inlineStr">
        <is>
          <t>Andy Kuchar — President</t>
        </is>
      </c>
      <c r="P1241" t="inlineStr">
        <is>
          <t>President</t>
        </is>
      </c>
      <c r="Y1241" t="inlineStr">
        <is>
          <t>todo</t>
        </is>
      </c>
      <c r="Z1241">
        <f>(M1241*Weights!$B$2) + (MIN(Q1241,Weights!$B$5)*Weights!$B$3*(W1241/100)*Weights!$B$4)</f>
        <v/>
      </c>
      <c r="AA1241">
        <f>IF(Z1241= ,,RANK.EQ({pri_col_letter}{r},{pri_range},0))</f>
        <v/>
      </c>
    </row>
    <row r="1242">
      <c r="A1242" t="inlineStr">
        <is>
          <t>Cereal Ouro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>
        <is>
          <t>Tier 4</t>
        </is>
      </c>
      <c r="O1242" t="inlineStr">
        <is>
          <t>Elvis Silva — Logistcs Supervisor</t>
        </is>
      </c>
      <c r="P1242" t="inlineStr">
        <is>
          <t>Logistcs Supervisor</t>
        </is>
      </c>
      <c r="Y1242" t="inlineStr">
        <is>
          <t>todo</t>
        </is>
      </c>
      <c r="Z1242">
        <f>(M1242*Weights!$B$2) + (MIN(Q1242,Weights!$B$5)*Weights!$B$3*(W1242/100)*Weights!$B$4)</f>
        <v/>
      </c>
      <c r="AA1242">
        <f>IF(Z1242= ,,RANK.EQ({pri_col_letter}{r},{pri_range},0))</f>
        <v/>
      </c>
    </row>
    <row r="1243">
      <c r="A1243" t="inlineStr">
        <is>
          <t>Cerrtus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>
        <is>
          <t>Tier 4</t>
        </is>
      </c>
      <c r="O1243" t="inlineStr">
        <is>
          <t>Kishor Sakkari — Founder</t>
        </is>
      </c>
      <c r="P1243" t="inlineStr">
        <is>
          <t>Founder</t>
        </is>
      </c>
      <c r="Y1243" t="inlineStr">
        <is>
          <t>todo</t>
        </is>
      </c>
      <c r="Z1243">
        <f>(M1243*Weights!$B$2) + (MIN(Q1243,Weights!$B$5)*Weights!$B$3*(W1243/100)*Weights!$B$4)</f>
        <v/>
      </c>
      <c r="AA1243">
        <f>IF(Z1243= ,,RANK.EQ({pri_col_letter}{r},{pri_range},0))</f>
        <v/>
      </c>
    </row>
    <row r="1244">
      <c r="A1244" t="inlineStr">
        <is>
          <t>CharterSync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>
        <is>
          <t>Tier 4</t>
        </is>
      </c>
      <c r="O1244" t="inlineStr">
        <is>
          <t>Ed Gillett — Founder</t>
        </is>
      </c>
      <c r="P1244" t="inlineStr">
        <is>
          <t>Founder</t>
        </is>
      </c>
      <c r="Y1244" t="inlineStr">
        <is>
          <t>todo</t>
        </is>
      </c>
      <c r="Z1244">
        <f>(M1244*Weights!$B$2) + (MIN(Q1244,Weights!$B$5)*Weights!$B$3*(W1244/100)*Weights!$B$4)</f>
        <v/>
      </c>
      <c r="AA1244">
        <f>IF(Z1244= ,,RANK.EQ({pri_col_letter}{r},{pri_range},0))</f>
        <v/>
      </c>
    </row>
    <row r="1245">
      <c r="A1245" t="inlineStr">
        <is>
          <t>Chazki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>
        <is>
          <t>Tier 4</t>
        </is>
      </c>
      <c r="O1245" t="inlineStr">
        <is>
          <t>Gonzalo Begazo — Co-founder &amp; CEO</t>
        </is>
      </c>
      <c r="P1245" t="inlineStr">
        <is>
          <t>Co-founder &amp; CEO</t>
        </is>
      </c>
      <c r="Y1245" t="inlineStr">
        <is>
          <t>todo</t>
        </is>
      </c>
      <c r="Z1245">
        <f>(M1245*Weights!$B$2) + (MIN(Q1245,Weights!$B$5)*Weights!$B$3*(W1245/100)*Weights!$B$4)</f>
        <v/>
      </c>
      <c r="AA1245">
        <f>IF(Z1245= ,,RANK.EQ({pri_col_letter}{r},{pri_range},0))</f>
        <v/>
      </c>
    </row>
    <row r="1246">
      <c r="A1246" t="inlineStr">
        <is>
          <t>Chazki Holdings, INC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>
        <is>
          <t>Tier 4</t>
        </is>
      </c>
      <c r="O1246" t="inlineStr">
        <is>
          <t>Renzo Marrese — CoFounder &amp; COO</t>
        </is>
      </c>
      <c r="P1246" t="inlineStr">
        <is>
          <t>CoFounder &amp; COO</t>
        </is>
      </c>
      <c r="Y1246" t="inlineStr">
        <is>
          <t>todo</t>
        </is>
      </c>
      <c r="Z1246">
        <f>(M1246*Weights!$B$2) + (MIN(Q1246,Weights!$B$5)*Weights!$B$3*(W1246/100)*Weights!$B$4)</f>
        <v/>
      </c>
      <c r="AA1246">
        <f>IF(Z1246= ,,RANK.EQ({pri_col_letter}{r},{pri_range},0))</f>
        <v/>
      </c>
    </row>
    <row r="1247">
      <c r="A1247" t="inlineStr">
        <is>
          <t>Chobani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>
        <is>
          <t>Tier 4</t>
        </is>
      </c>
      <c r="O1247" t="inlineStr">
        <is>
          <t>Mohamad Mohamad — Senior Director Value Creation</t>
        </is>
      </c>
      <c r="P1247" t="inlineStr">
        <is>
          <t>Senior Director Value Creation</t>
        </is>
      </c>
      <c r="Y1247" t="inlineStr">
        <is>
          <t>todo</t>
        </is>
      </c>
      <c r="Z1247">
        <f>(M1247*Weights!$B$2) + (MIN(Q1247,Weights!$B$5)*Weights!$B$3*(W1247/100)*Weights!$B$4)</f>
        <v/>
      </c>
      <c r="AA1247">
        <f>IF(Z1247= ,,RANK.EQ({pri_col_letter}{r},{pri_range},0))</f>
        <v/>
      </c>
    </row>
    <row r="1248">
      <c r="A1248" t="inlineStr">
        <is>
          <t>Chofex</t>
        </is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>
        <is>
          <t>Tier 4</t>
        </is>
      </c>
      <c r="O1248" t="inlineStr">
        <is>
          <t>Bautista Coronado — Co-Founder</t>
        </is>
      </c>
      <c r="P1248" t="inlineStr">
        <is>
          <t>Co-Founder</t>
        </is>
      </c>
      <c r="Y1248" t="inlineStr">
        <is>
          <t>todo</t>
        </is>
      </c>
      <c r="Z1248">
        <f>(M1248*Weights!$B$2) + (MIN(Q1248,Weights!$B$5)*Weights!$B$3*(W1248/100)*Weights!$B$4)</f>
        <v/>
      </c>
      <c r="AA1248">
        <f>IF(Z1248= ,,RANK.EQ({pri_col_letter}{r},{pri_range},0))</f>
        <v/>
      </c>
    </row>
    <row r="1249">
      <c r="A1249" t="inlineStr">
        <is>
          <t>Citizens Capital Markets - M&amp;A Advisory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>
        <is>
          <t>Tier 4</t>
        </is>
      </c>
      <c r="O1249" t="inlineStr">
        <is>
          <t>Ron Ballschmiede — Director</t>
        </is>
      </c>
      <c r="P1249" t="inlineStr">
        <is>
          <t>Director</t>
        </is>
      </c>
      <c r="Y1249" t="inlineStr">
        <is>
          <t>todo</t>
        </is>
      </c>
      <c r="Z1249">
        <f>(M1249*Weights!$B$2) + (MIN(Q1249,Weights!$B$5)*Weights!$B$3*(W1249/100)*Weights!$B$4)</f>
        <v/>
      </c>
      <c r="AA1249">
        <f>IF(Z1249= ,,RANK.EQ({pri_col_letter}{r},{pri_range},0))</f>
        <v/>
      </c>
    </row>
    <row r="1250">
      <c r="A1250" t="inlineStr">
        <is>
          <t>Clairvista Partners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>
        <is>
          <t>Tier 4</t>
        </is>
      </c>
      <c r="O1250" t="inlineStr">
        <is>
          <t>Mel Fish — Founder &amp; CEO</t>
        </is>
      </c>
      <c r="P1250" t="inlineStr">
        <is>
          <t>Founder &amp; CEO</t>
        </is>
      </c>
      <c r="Y1250" t="inlineStr">
        <is>
          <t>todo</t>
        </is>
      </c>
      <c r="Z1250">
        <f>(M1250*Weights!$B$2) + (MIN(Q1250,Weights!$B$5)*Weights!$B$3*(W1250/100)*Weights!$B$4)</f>
        <v/>
      </c>
      <c r="AA1250">
        <f>IF(Z1250= ,,RANK.EQ({pri_col_letter}{r},{pri_range},0))</f>
        <v/>
      </c>
    </row>
    <row r="1251">
      <c r="A1251" t="inlineStr">
        <is>
          <t>Clarendon Capital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>
        <is>
          <t>Tier 4</t>
        </is>
      </c>
      <c r="O1251" t="inlineStr">
        <is>
          <t>Alex Rafla — Partner</t>
        </is>
      </c>
      <c r="P1251" t="inlineStr">
        <is>
          <t>Partner</t>
        </is>
      </c>
      <c r="Y1251" t="inlineStr">
        <is>
          <t>todo</t>
        </is>
      </c>
      <c r="Z1251">
        <f>(M1251*Weights!$B$2) + (MIN(Q1251,Weights!$B$5)*Weights!$B$3*(W1251/100)*Weights!$B$4)</f>
        <v/>
      </c>
      <c r="AA1251">
        <f>IF(Z1251= ,,RANK.EQ({pri_col_letter}{r},{pri_range},0))</f>
        <v/>
      </c>
    </row>
    <row r="1252">
      <c r="A1252" t="inlineStr">
        <is>
          <t>Clark Material Handling Co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inlineStr">
        <is>
          <t>Tier 4</t>
        </is>
      </c>
      <c r="O1252" t="inlineStr">
        <is>
          <t>Nic Temple — Global Account Manager</t>
        </is>
      </c>
      <c r="P1252" t="inlineStr">
        <is>
          <t>Global Account Manager</t>
        </is>
      </c>
      <c r="Y1252" t="inlineStr">
        <is>
          <t>todo</t>
        </is>
      </c>
      <c r="Z1252">
        <f>(M1252*Weights!$B$2) + (MIN(Q1252,Weights!$B$5)*Weights!$B$3*(W1252/100)*Weights!$B$4)</f>
        <v/>
      </c>
      <c r="AA1252">
        <f>IF(Z1252= ,,RANK.EQ({pri_col_letter}{r},{pri_range},0))</f>
        <v/>
      </c>
    </row>
    <row r="1253">
      <c r="A1253" t="inlineStr">
        <is>
          <t>Clearhaven Partners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inlineStr">
        <is>
          <t>Tier 4</t>
        </is>
      </c>
      <c r="O1253" t="inlineStr">
        <is>
          <t>Choon Woo Ha — Principal</t>
        </is>
      </c>
      <c r="P1253" t="inlineStr">
        <is>
          <t>Principal</t>
        </is>
      </c>
      <c r="Y1253" t="inlineStr">
        <is>
          <t>todo</t>
        </is>
      </c>
      <c r="Z1253">
        <f>(M1253*Weights!$B$2) + (MIN(Q1253,Weights!$B$5)*Weights!$B$3*(W1253/100)*Weights!$B$4)</f>
        <v/>
      </c>
      <c r="AA1253">
        <f>IF(Z1253= ,,RANK.EQ({pri_col_letter}{r},{pri_range},0))</f>
        <v/>
      </c>
    </row>
    <row r="1254">
      <c r="A1254" t="inlineStr">
        <is>
          <t>Cluster Industrial Media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inlineStr">
        <is>
          <t>Tier 4</t>
        </is>
      </c>
      <c r="O1254" t="inlineStr">
        <is>
          <t>Adrian Martinez — Editor</t>
        </is>
      </c>
      <c r="P1254" t="inlineStr">
        <is>
          <t>Editor</t>
        </is>
      </c>
      <c r="Y1254" t="inlineStr">
        <is>
          <t>todo</t>
        </is>
      </c>
      <c r="Z1254">
        <f>(M1254*Weights!$B$2) + (MIN(Q1254,Weights!$B$5)*Weights!$B$3*(W1254/100)*Weights!$B$4)</f>
        <v/>
      </c>
      <c r="AA1254">
        <f>IF(Z1254= ,,RANK.EQ({pri_col_letter}{r},{pri_range},0))</f>
        <v/>
      </c>
    </row>
    <row r="1255">
      <c r="A1255" t="inlineStr">
        <is>
          <t>Cognida, Inc.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>
        <is>
          <t>Tier 4</t>
        </is>
      </c>
      <c r="O1255" t="inlineStr">
        <is>
          <t>Ravi Mishra — VP Technology &amp; Solutions Engineering</t>
        </is>
      </c>
      <c r="P1255" t="inlineStr">
        <is>
          <t>VP Technology &amp; Solutions Engineering</t>
        </is>
      </c>
      <c r="Y1255" t="inlineStr">
        <is>
          <t>todo</t>
        </is>
      </c>
      <c r="Z1255">
        <f>(M1255*Weights!$B$2) + (MIN(Q1255,Weights!$B$5)*Weights!$B$3*(W1255/100)*Weights!$B$4)</f>
        <v/>
      </c>
      <c r="AA1255">
        <f>IF(Z1255= ,,RANK.EQ({pri_col_letter}{r},{pri_range},0))</f>
        <v/>
      </c>
    </row>
    <row r="1256">
      <c r="A1256" t="inlineStr">
        <is>
          <t>ColdTrack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inlineStr">
        <is>
          <t>Tier 4</t>
        </is>
      </c>
      <c r="O1256" t="inlineStr">
        <is>
          <t>Luke Vaccaro — COO</t>
        </is>
      </c>
      <c r="P1256" t="inlineStr">
        <is>
          <t>COO</t>
        </is>
      </c>
      <c r="Y1256" t="inlineStr">
        <is>
          <t>todo</t>
        </is>
      </c>
      <c r="Z1256">
        <f>(M1256*Weights!$B$2) + (MIN(Q1256,Weights!$B$5)*Weights!$B$3*(W1256/100)*Weights!$B$4)</f>
        <v/>
      </c>
      <c r="AA1256">
        <f>IF(Z1256= ,,RANK.EQ({pri_col_letter}{r},{pri_range},0))</f>
        <v/>
      </c>
    </row>
    <row r="1257">
      <c r="A1257" t="inlineStr">
        <is>
          <t>Coldcart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inlineStr">
        <is>
          <t>Tier 4</t>
        </is>
      </c>
      <c r="O1257" t="inlineStr">
        <is>
          <t>Jason Park — CEO &amp; Co-Founder</t>
        </is>
      </c>
      <c r="P1257" t="inlineStr">
        <is>
          <t>CEO &amp; Co-Founder</t>
        </is>
      </c>
      <c r="Y1257" t="inlineStr">
        <is>
          <t>todo</t>
        </is>
      </c>
      <c r="Z1257">
        <f>(M1257*Weights!$B$2) + (MIN(Q1257,Weights!$B$5)*Weights!$B$3*(W1257/100)*Weights!$B$4)</f>
        <v/>
      </c>
      <c r="AA1257">
        <f>IF(Z1257= ,,RANK.EQ({pri_col_letter}{r},{pri_range},0))</f>
        <v/>
      </c>
    </row>
    <row r="1258">
      <c r="A1258" t="inlineStr">
        <is>
          <t>Colgate Palmolive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inlineStr">
        <is>
          <t>Tier 4</t>
        </is>
      </c>
      <c r="O1258" t="inlineStr">
        <is>
          <t>Eduardo Salnisky — Warehousing Project Manager</t>
        </is>
      </c>
      <c r="P1258" t="inlineStr">
        <is>
          <t>Warehousing Project Manager</t>
        </is>
      </c>
      <c r="Y1258" t="inlineStr">
        <is>
          <t>todo</t>
        </is>
      </c>
      <c r="Z1258">
        <f>(M1258*Weights!$B$2) + (MIN(Q1258,Weights!$B$5)*Weights!$B$3*(W1258/100)*Weights!$B$4)</f>
        <v/>
      </c>
      <c r="AA1258">
        <f>IF(Z1258= ,,RANK.EQ({pri_col_letter}{r},{pri_range},0))</f>
        <v/>
      </c>
    </row>
    <row r="1259">
      <c r="A1259" t="inlineStr">
        <is>
          <t>Collide Capital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inlineStr">
        <is>
          <t>Tier 4</t>
        </is>
      </c>
      <c r="O1259" t="inlineStr">
        <is>
          <t>Aaron Samuels — Managing Partner &amp; Founder</t>
        </is>
      </c>
      <c r="P1259" t="inlineStr">
        <is>
          <t>Managing Partner &amp; Founder</t>
        </is>
      </c>
      <c r="Y1259" t="inlineStr">
        <is>
          <t>todo</t>
        </is>
      </c>
      <c r="Z1259">
        <f>(M1259*Weights!$B$2) + (MIN(Q1259,Weights!$B$5)*Weights!$B$3*(W1259/100)*Weights!$B$4)</f>
        <v/>
      </c>
      <c r="AA1259">
        <f>IF(Z1259= ,,RANK.EQ({pri_col_letter}{r},{pri_range},0))</f>
        <v/>
      </c>
    </row>
    <row r="1260">
      <c r="A1260" t="inlineStr">
        <is>
          <t>Colliers International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>
        <is>
          <t>Tier 4</t>
        </is>
      </c>
      <c r="O1260" t="inlineStr">
        <is>
          <t>Matt Albertine — Senior Vice President</t>
        </is>
      </c>
      <c r="P1260" t="inlineStr">
        <is>
          <t>Senior Vice President</t>
        </is>
      </c>
      <c r="Y1260" t="inlineStr">
        <is>
          <t>todo</t>
        </is>
      </c>
      <c r="Z1260">
        <f>(M1260*Weights!$B$2) + (MIN(Q1260,Weights!$B$5)*Weights!$B$3*(W1260/100)*Weights!$B$4)</f>
        <v/>
      </c>
      <c r="AA1260">
        <f>IF(Z1260= ,,RANK.EQ({pri_col_letter}{r},{pri_range},0))</f>
        <v/>
      </c>
    </row>
    <row r="1261">
      <c r="A1261" t="inlineStr">
        <is>
          <t>Columbia Capital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>
        <is>
          <t>Tier 4</t>
        </is>
      </c>
      <c r="O1261" t="inlineStr">
        <is>
          <t>David Shillingford — Venture Partner</t>
        </is>
      </c>
      <c r="P1261" t="inlineStr">
        <is>
          <t>Venture Partner</t>
        </is>
      </c>
      <c r="Y1261" t="inlineStr">
        <is>
          <t>todo</t>
        </is>
      </c>
      <c r="Z1261">
        <f>(M1261*Weights!$B$2) + (MIN(Q1261,Weights!$B$5)*Weights!$B$3*(W1261/100)*Weights!$B$4)</f>
        <v/>
      </c>
      <c r="AA1261">
        <f>IF(Z1261= ,,RANK.EQ({pri_col_letter}{r},{pri_range},0))</f>
        <v/>
      </c>
    </row>
    <row r="1262">
      <c r="A1262" t="inlineStr">
        <is>
          <t>ComCap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>
        <is>
          <t>Tier 4</t>
        </is>
      </c>
      <c r="O1262" t="inlineStr">
        <is>
          <t>Uren Dhanani — SVP</t>
        </is>
      </c>
      <c r="P1262" t="inlineStr">
        <is>
          <t>SVP</t>
        </is>
      </c>
      <c r="Y1262" t="inlineStr">
        <is>
          <t>todo</t>
        </is>
      </c>
      <c r="Z1262">
        <f>(M1262*Weights!$B$2) + (MIN(Q1262,Weights!$B$5)*Weights!$B$3*(W1262/100)*Weights!$B$4)</f>
        <v/>
      </c>
      <c r="AA1262">
        <f>IF(Z1262= ,,RANK.EQ({pri_col_letter}{r},{pri_range},0))</f>
        <v/>
      </c>
    </row>
    <row r="1263">
      <c r="A1263" t="inlineStr">
        <is>
          <t>Compass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inlineStr">
        <is>
          <t>Tier 4</t>
        </is>
      </c>
      <c r="O1263" t="inlineStr">
        <is>
          <t>Keith Archer — Principal Partner</t>
        </is>
      </c>
      <c r="P1263" t="inlineStr">
        <is>
          <t>Principal Partner</t>
        </is>
      </c>
      <c r="Y1263" t="inlineStr">
        <is>
          <t>todo</t>
        </is>
      </c>
      <c r="Z1263">
        <f>(M1263*Weights!$B$2) + (MIN(Q1263,Weights!$B$5)*Weights!$B$3*(W1263/100)*Weights!$B$4)</f>
        <v/>
      </c>
      <c r="AA1263">
        <f>IF(Z1263= ,,RANK.EQ({pri_col_letter}{r},{pri_range},0))</f>
        <v/>
      </c>
    </row>
    <row r="1264">
      <c r="A1264" t="inlineStr">
        <is>
          <t>ConData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inlineStr">
        <is>
          <t>Tier 4</t>
        </is>
      </c>
      <c r="O1264" t="inlineStr">
        <is>
          <t>Chris Cassidy — CEO</t>
        </is>
      </c>
      <c r="P1264" t="inlineStr">
        <is>
          <t>CEO</t>
        </is>
      </c>
      <c r="Y1264" t="inlineStr">
        <is>
          <t>todo</t>
        </is>
      </c>
      <c r="Z1264">
        <f>(M1264*Weights!$B$2) + (MIN(Q1264,Weights!$B$5)*Weights!$B$3*(W1264/100)*Weights!$B$4)</f>
        <v/>
      </c>
      <c r="AA1264">
        <f>IF(Z1264= ,,RANK.EQ({pri_col_letter}{r},{pri_range},0))</f>
        <v/>
      </c>
    </row>
    <row r="1265">
      <c r="A1265" t="inlineStr">
        <is>
          <t>ConGlobal</t>
        </is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inlineStr">
        <is>
          <t>Tier 4</t>
        </is>
      </c>
      <c r="O1265" t="inlineStr">
        <is>
          <t>Brant Ring — Chief Executive Officer</t>
        </is>
      </c>
      <c r="P1265" t="inlineStr">
        <is>
          <t>Chief Executive Officer</t>
        </is>
      </c>
      <c r="Y1265" t="inlineStr">
        <is>
          <t>todo</t>
        </is>
      </c>
      <c r="Z1265">
        <f>(M1265*Weights!$B$2) + (MIN(Q1265,Weights!$B$5)*Weights!$B$3*(W1265/100)*Weights!$B$4)</f>
        <v/>
      </c>
      <c r="AA1265">
        <f>IF(Z1265= ,,RANK.EQ({pri_col_letter}{r},{pri_range},0))</f>
        <v/>
      </c>
    </row>
    <row r="1266">
      <c r="A1266" t="inlineStr">
        <is>
          <t>Concargo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>
        <is>
          <t>Tier 4</t>
        </is>
      </c>
      <c r="O1266" t="inlineStr">
        <is>
          <t>Oded Damiani — CTO</t>
        </is>
      </c>
      <c r="P1266" t="inlineStr">
        <is>
          <t>CTO</t>
        </is>
      </c>
      <c r="Y1266" t="inlineStr">
        <is>
          <t>todo</t>
        </is>
      </c>
      <c r="Z1266">
        <f>(M1266*Weights!$B$2) + (MIN(Q1266,Weights!$B$5)*Weights!$B$3*(W1266/100)*Weights!$B$4)</f>
        <v/>
      </c>
      <c r="AA1266">
        <f>IF(Z1266= ,,RANK.EQ({pri_col_letter}{r},{pri_range},0))</f>
        <v/>
      </c>
    </row>
    <row r="1267">
      <c r="A1267" t="inlineStr">
        <is>
          <t>Connectronics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inlineStr">
        <is>
          <t>Tier 4</t>
        </is>
      </c>
      <c r="O1267" t="inlineStr">
        <is>
          <t>Brian Mullenbach — Strategic Account Specialist</t>
        </is>
      </c>
      <c r="P1267" t="inlineStr">
        <is>
          <t>Strategic Account Specialist</t>
        </is>
      </c>
      <c r="Y1267" t="inlineStr">
        <is>
          <t>todo</t>
        </is>
      </c>
      <c r="Z1267">
        <f>(M1267*Weights!$B$2) + (MIN(Q1267,Weights!$B$5)*Weights!$B$3*(W1267/100)*Weights!$B$4)</f>
        <v/>
      </c>
      <c r="AA1267">
        <f>IF(Z1267= ,,RANK.EQ({pri_col_letter}{r},{pri_range},0))</f>
        <v/>
      </c>
    </row>
    <row r="1268">
      <c r="A1268" t="inlineStr">
        <is>
          <t>Container Port Group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inlineStr">
        <is>
          <t>Tier 4</t>
        </is>
      </c>
      <c r="O1268" t="inlineStr">
        <is>
          <t>Joey Palmer — President, CPG &amp; Co-CEO, World Group</t>
        </is>
      </c>
      <c r="P1268" t="inlineStr">
        <is>
          <t>President, CPG &amp; Co-CEO, World Group</t>
        </is>
      </c>
      <c r="Y1268" t="inlineStr">
        <is>
          <t>todo</t>
        </is>
      </c>
      <c r="Z1268">
        <f>(M1268*Weights!$B$2) + (MIN(Q1268,Weights!$B$5)*Weights!$B$3*(W1268/100)*Weights!$B$4)</f>
        <v/>
      </c>
      <c r="AA1268">
        <f>IF(Z1268= ,,RANK.EQ({pri_col_letter}{r},{pri_range},0))</f>
        <v/>
      </c>
    </row>
    <row r="1269">
      <c r="A1269" t="inlineStr">
        <is>
          <t>Coolbridge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>
        <is>
          <t>Tier 4</t>
        </is>
      </c>
      <c r="O1269" t="inlineStr">
        <is>
          <t>Joshua Conley — General Manager</t>
        </is>
      </c>
      <c r="P1269" t="inlineStr">
        <is>
          <t>General Manager</t>
        </is>
      </c>
      <c r="Y1269" t="inlineStr">
        <is>
          <t>todo</t>
        </is>
      </c>
      <c r="Z1269">
        <f>(M1269*Weights!$B$2) + (MIN(Q1269,Weights!$B$5)*Weights!$B$3*(W1269/100)*Weights!$B$4)</f>
        <v/>
      </c>
      <c r="AA1269">
        <f>IF(Z1269= ,,RANK.EQ({pri_col_letter}{r},{pri_range},0))</f>
        <v/>
      </c>
    </row>
    <row r="1270">
      <c r="A1270" t="inlineStr">
        <is>
          <t>Cooler Logistics LLC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inlineStr">
        <is>
          <t>Tier 4</t>
        </is>
      </c>
      <c r="O1270" t="inlineStr">
        <is>
          <t>Michael Cherney — CEO</t>
        </is>
      </c>
      <c r="P1270" t="inlineStr">
        <is>
          <t>CEO</t>
        </is>
      </c>
      <c r="Y1270" t="inlineStr">
        <is>
          <t>todo</t>
        </is>
      </c>
      <c r="Z1270">
        <f>(M1270*Weights!$B$2) + (MIN(Q1270,Weights!$B$5)*Weights!$B$3*(W1270/100)*Weights!$B$4)</f>
        <v/>
      </c>
      <c r="AA1270">
        <f>IF(Z1270= ,,RANK.EQ({pri_col_letter}{r},{pri_range},0))</f>
        <v/>
      </c>
    </row>
    <row r="1271">
      <c r="A1271" t="inlineStr">
        <is>
          <t>Cotopaxi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inlineStr">
        <is>
          <t>Tier 4</t>
        </is>
      </c>
      <c r="O1271" t="inlineStr">
        <is>
          <t>Annie Agle — VP of Impact and Sustainability</t>
        </is>
      </c>
      <c r="P1271" t="inlineStr">
        <is>
          <t>VP of Impact and Sustainability</t>
        </is>
      </c>
      <c r="Y1271" t="inlineStr">
        <is>
          <t>todo</t>
        </is>
      </c>
      <c r="Z1271">
        <f>(M1271*Weights!$B$2) + (MIN(Q1271,Weights!$B$5)*Weights!$B$3*(W1271/100)*Weights!$B$4)</f>
        <v/>
      </c>
      <c r="AA1271">
        <f>IF(Z1271= ,,RANK.EQ({pri_col_letter}{r},{pri_range},0))</f>
        <v/>
      </c>
    </row>
    <row r="1272">
      <c r="A1272" t="inlineStr">
        <is>
          <t>Counter Forced Labor Technology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>
        <is>
          <t>Tier 4</t>
        </is>
      </c>
      <c r="O1272" t="inlineStr">
        <is>
          <t>James Wiley — Principle / COO</t>
        </is>
      </c>
      <c r="P1272" t="inlineStr">
        <is>
          <t>Principle / COO</t>
        </is>
      </c>
      <c r="Y1272" t="inlineStr">
        <is>
          <t>todo</t>
        </is>
      </c>
      <c r="Z1272">
        <f>(M1272*Weights!$B$2) + (MIN(Q1272,Weights!$B$5)*Weights!$B$3*(W1272/100)*Weights!$B$4)</f>
        <v/>
      </c>
      <c r="AA1272">
        <f>IF(Z1272= ,,RANK.EQ({pri_col_letter}{r},{pri_range},0))</f>
        <v/>
      </c>
    </row>
    <row r="1273">
      <c r="A1273" t="inlineStr">
        <is>
          <t>Counterpart Ventures</t>
        </is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>
        <is>
          <t>Tier 4</t>
        </is>
      </c>
      <c r="O1273" t="inlineStr">
        <is>
          <t>Mikey Kailis — Principal</t>
        </is>
      </c>
      <c r="P1273" t="inlineStr">
        <is>
          <t>Principal</t>
        </is>
      </c>
      <c r="Y1273" t="inlineStr">
        <is>
          <t>todo</t>
        </is>
      </c>
      <c r="Z1273">
        <f>(M1273*Weights!$B$2) + (MIN(Q1273,Weights!$B$5)*Weights!$B$3*(W1273/100)*Weights!$B$4)</f>
        <v/>
      </c>
      <c r="AA1273">
        <f>IF(Z1273= ,,RANK.EQ({pri_col_letter}{r},{pri_range},0))</f>
        <v/>
      </c>
    </row>
    <row r="1274">
      <c r="A1274" t="inlineStr">
        <is>
          <t>Crafty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inlineStr">
        <is>
          <t>Tier 4</t>
        </is>
      </c>
      <c r="O1274" t="inlineStr">
        <is>
          <t>John Kreller — General Manager</t>
        </is>
      </c>
      <c r="P1274" t="inlineStr">
        <is>
          <t>General Manager</t>
        </is>
      </c>
      <c r="Y1274" t="inlineStr">
        <is>
          <t>todo</t>
        </is>
      </c>
      <c r="Z1274">
        <f>(M1274*Weights!$B$2) + (MIN(Q1274,Weights!$B$5)*Weights!$B$3*(W1274/100)*Weights!$B$4)</f>
        <v/>
      </c>
      <c r="AA1274">
        <f>IF(Z1274= ,,RANK.EQ({pri_col_letter}{r},{pri_range},0))</f>
        <v/>
      </c>
    </row>
    <row r="1275">
      <c r="A1275" t="inlineStr">
        <is>
          <t>Create Me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inlineStr">
        <is>
          <t>Tier 4</t>
        </is>
      </c>
      <c r="O1275" t="inlineStr">
        <is>
          <t>Cam Myers — CEO &amp; Founder</t>
        </is>
      </c>
      <c r="P1275" t="inlineStr">
        <is>
          <t>CEO &amp; Founder</t>
        </is>
      </c>
      <c r="Y1275" t="inlineStr">
        <is>
          <t>todo</t>
        </is>
      </c>
      <c r="Z1275">
        <f>(M1275*Weights!$B$2) + (MIN(Q1275,Weights!$B$5)*Weights!$B$3*(W1275/100)*Weights!$B$4)</f>
        <v/>
      </c>
      <c r="AA1275">
        <f>IF(Z1275= ,,RANK.EQ({pri_col_letter}{r},{pri_range},0))</f>
        <v/>
      </c>
    </row>
    <row r="1276">
      <c r="A1276" t="inlineStr">
        <is>
          <t>Crosscourt Ventures</t>
        </is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inlineStr">
        <is>
          <t>Tier 4</t>
        </is>
      </c>
      <c r="O1276" t="inlineStr">
        <is>
          <t>Francesco Favaro — Managing Partner</t>
        </is>
      </c>
      <c r="P1276" t="inlineStr">
        <is>
          <t>Managing Partner</t>
        </is>
      </c>
      <c r="Y1276" t="inlineStr">
        <is>
          <t>todo</t>
        </is>
      </c>
      <c r="Z1276">
        <f>(M1276*Weights!$B$2) + (MIN(Q1276,Weights!$B$5)*Weights!$B$3*(W1276/100)*Weights!$B$4)</f>
        <v/>
      </c>
      <c r="AA1276">
        <f>IF(Z1276= ,,RANK.EQ({pri_col_letter}{r},{pri_range},0))</f>
        <v/>
      </c>
    </row>
    <row r="1277">
      <c r="A1277" t="inlineStr">
        <is>
          <t>Crosstown Couriers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inlineStr">
        <is>
          <t>Tier 4</t>
        </is>
      </c>
      <c r="O1277" t="inlineStr">
        <is>
          <t>Lisa Douglas — President</t>
        </is>
      </c>
      <c r="P1277" t="inlineStr">
        <is>
          <t>President</t>
        </is>
      </c>
      <c r="Y1277" t="inlineStr">
        <is>
          <t>todo</t>
        </is>
      </c>
      <c r="Z1277">
        <f>(M1277*Weights!$B$2) + (MIN(Q1277,Weights!$B$5)*Weights!$B$3*(W1277/100)*Weights!$B$4)</f>
        <v/>
      </c>
      <c r="AA1277">
        <f>IF(Z1277= ,,RANK.EQ({pri_col_letter}{r},{pri_range},0))</f>
        <v/>
      </c>
    </row>
    <row r="1278">
      <c r="A1278" t="inlineStr">
        <is>
          <t>Crowley Coorperation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>
        <is>
          <t>Tier 4</t>
        </is>
      </c>
      <c r="O1278" t="inlineStr">
        <is>
          <t>Anoop Mohandas — Data Science &amp; Digital Innovation</t>
        </is>
      </c>
      <c r="P1278" t="inlineStr">
        <is>
          <t>Data Science &amp; Digital Innovation</t>
        </is>
      </c>
      <c r="Y1278" t="inlineStr">
        <is>
          <t>todo</t>
        </is>
      </c>
      <c r="Z1278">
        <f>(M1278*Weights!$B$2) + (MIN(Q1278,Weights!$B$5)*Weights!$B$3*(W1278/100)*Weights!$B$4)</f>
        <v/>
      </c>
      <c r="AA1278">
        <f>IF(Z1278= ,,RANK.EQ({pri_col_letter}{r},{pri_range},0))</f>
        <v/>
      </c>
    </row>
    <row r="1279">
      <c r="A1279" t="inlineStr">
        <is>
          <t>CtrlChain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inlineStr">
        <is>
          <t>Tier 4</t>
        </is>
      </c>
      <c r="O1279" t="inlineStr">
        <is>
          <t>Giovanni Gubbels — CEO &amp; Founder</t>
        </is>
      </c>
      <c r="P1279" t="inlineStr">
        <is>
          <t>CEO &amp; Founder</t>
        </is>
      </c>
      <c r="Y1279" t="inlineStr">
        <is>
          <t>todo</t>
        </is>
      </c>
      <c r="Z1279">
        <f>(M1279*Weights!$B$2) + (MIN(Q1279,Weights!$B$5)*Weights!$B$3*(W1279/100)*Weights!$B$4)</f>
        <v/>
      </c>
      <c r="AA1279">
        <f>IF(Z1279= ,,RANK.EQ({pri_col_letter}{r},{pri_range},0))</f>
        <v/>
      </c>
    </row>
    <row r="1280">
      <c r="A1280" t="inlineStr">
        <is>
          <t>Cummins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inlineStr">
        <is>
          <t>Tier 4</t>
        </is>
      </c>
      <c r="O1280" t="inlineStr">
        <is>
          <t>Melissa Schmidt — Director, Strategy and Transformation</t>
        </is>
      </c>
      <c r="P1280" t="inlineStr">
        <is>
          <t>Director, Strategy and Transformation</t>
        </is>
      </c>
      <c r="Y1280" t="inlineStr">
        <is>
          <t>todo</t>
        </is>
      </c>
      <c r="Z1280">
        <f>(M1280*Weights!$B$2) + (MIN(Q1280,Weights!$B$5)*Weights!$B$3*(W1280/100)*Weights!$B$4)</f>
        <v/>
      </c>
      <c r="AA1280">
        <f>IF(Z1280= ,,RANK.EQ({pri_col_letter}{r},{pri_range},0))</f>
        <v/>
      </c>
    </row>
    <row r="1281">
      <c r="A1281" t="inlineStr">
        <is>
          <t>Cybage Software Inc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inlineStr">
        <is>
          <t>Tier 4</t>
        </is>
      </c>
      <c r="O1281" t="inlineStr">
        <is>
          <t>Vijay Dharmavarapu — Engagement Manager</t>
        </is>
      </c>
      <c r="P1281" t="inlineStr">
        <is>
          <t>Engagement Manager</t>
        </is>
      </c>
      <c r="Y1281" t="inlineStr">
        <is>
          <t>todo</t>
        </is>
      </c>
      <c r="Z1281">
        <f>(M1281*Weights!$B$2) + (MIN(Q1281,Weights!$B$5)*Weights!$B$3*(W1281/100)*Weights!$B$4)</f>
        <v/>
      </c>
      <c r="AA1281">
        <f>IF(Z1281= ,,RANK.EQ({pri_col_letter}{r},{pri_range},0))</f>
        <v/>
      </c>
    </row>
    <row r="1282">
      <c r="A1282" t="inlineStr">
        <is>
          <t>D and H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inlineStr">
        <is>
          <t>Tier 4</t>
        </is>
      </c>
      <c r="O1282" t="inlineStr">
        <is>
          <t>Jason Kowlaskie — Senior Director</t>
        </is>
      </c>
      <c r="P1282" t="inlineStr">
        <is>
          <t>Senior Director</t>
        </is>
      </c>
      <c r="Y1282" t="inlineStr">
        <is>
          <t>todo</t>
        </is>
      </c>
      <c r="Z1282">
        <f>(M1282*Weights!$B$2) + (MIN(Q1282,Weights!$B$5)*Weights!$B$3*(W1282/100)*Weights!$B$4)</f>
        <v/>
      </c>
      <c r="AA1282">
        <f>IF(Z1282= ,,RANK.EQ({pri_col_letter}{r},{pri_range},0))</f>
        <v/>
      </c>
    </row>
    <row r="1283">
      <c r="A1283" t="inlineStr">
        <is>
          <t>D&amp;H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inlineStr">
        <is>
          <t>Tier 4</t>
        </is>
      </c>
      <c r="O1283" t="inlineStr">
        <is>
          <t>Michael Abrams — Strategy and Solutions Leader</t>
        </is>
      </c>
      <c r="P1283" t="inlineStr">
        <is>
          <t>Strategy and Solutions Leader</t>
        </is>
      </c>
      <c r="Y1283" t="inlineStr">
        <is>
          <t>todo</t>
        </is>
      </c>
      <c r="Z1283">
        <f>(M1283*Weights!$B$2) + (MIN(Q1283,Weights!$B$5)*Weights!$B$3*(W1283/100)*Weights!$B$4)</f>
        <v/>
      </c>
      <c r="AA1283">
        <f>IF(Z1283= ,,RANK.EQ({pri_col_letter}{r},{pri_range},0))</f>
        <v/>
      </c>
    </row>
    <row r="1284">
      <c r="A1284" t="inlineStr">
        <is>
          <t>DBP Logistics Advisory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>
        <is>
          <t>Tier 4</t>
        </is>
      </c>
      <c r="O1284" t="inlineStr">
        <is>
          <t>Doug Parks — President</t>
        </is>
      </c>
      <c r="P1284" t="inlineStr">
        <is>
          <t>President</t>
        </is>
      </c>
      <c r="Y1284" t="inlineStr">
        <is>
          <t>todo</t>
        </is>
      </c>
      <c r="Z1284">
        <f>(M1284*Weights!$B$2) + (MIN(Q1284,Weights!$B$5)*Weights!$B$3*(W1284/100)*Weights!$B$4)</f>
        <v/>
      </c>
      <c r="AA1284">
        <f>IF(Z1284= ,,RANK.EQ({pri_col_letter}{r},{pri_range},0))</f>
        <v/>
      </c>
    </row>
    <row r="1285">
      <c r="A1285" t="inlineStr">
        <is>
          <t>DCL Logistics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inlineStr">
        <is>
          <t>Tier 4</t>
        </is>
      </c>
      <c r="O1285" t="inlineStr">
        <is>
          <t>Shawn Compton — Vice President</t>
        </is>
      </c>
      <c r="P1285" t="inlineStr">
        <is>
          <t>Vice President</t>
        </is>
      </c>
      <c r="Y1285" t="inlineStr">
        <is>
          <t>todo</t>
        </is>
      </c>
      <c r="Z1285">
        <f>(M1285*Weights!$B$2) + (MIN(Q1285,Weights!$B$5)*Weights!$B$3*(W1285/100)*Weights!$B$4)</f>
        <v/>
      </c>
      <c r="AA1285">
        <f>IF(Z1285= ,,RANK.EQ({pri_col_letter}{r},{pri_range},0))</f>
        <v/>
      </c>
    </row>
    <row r="1286">
      <c r="A1286" t="inlineStr">
        <is>
          <t>DCSA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inlineStr">
        <is>
          <t>Tier 4</t>
        </is>
      </c>
      <c r="O1286" t="inlineStr">
        <is>
          <t>Thomas Bagge — CEO</t>
        </is>
      </c>
      <c r="P1286" t="inlineStr">
        <is>
          <t>CEO</t>
        </is>
      </c>
      <c r="Y1286" t="inlineStr">
        <is>
          <t>todo</t>
        </is>
      </c>
      <c r="Z1286">
        <f>(M1286*Weights!$B$2) + (MIN(Q1286,Weights!$B$5)*Weights!$B$3*(W1286/100)*Weights!$B$4)</f>
        <v/>
      </c>
      <c r="AA1286">
        <f>IF(Z1286= ,,RANK.EQ({pri_col_letter}{r},{pri_range},0))</f>
        <v/>
      </c>
    </row>
    <row r="1287">
      <c r="A1287" t="inlineStr">
        <is>
          <t>DHL</t>
        </is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inlineStr">
        <is>
          <t>Tier 4</t>
        </is>
      </c>
      <c r="O1287" t="inlineStr">
        <is>
          <t>Joan Wilhelm-Schwarze — Sr. Global Innovation Manager</t>
        </is>
      </c>
      <c r="P1287" t="inlineStr">
        <is>
          <t>Sr. Global Innovation Manager</t>
        </is>
      </c>
      <c r="Y1287" t="inlineStr">
        <is>
          <t>todo</t>
        </is>
      </c>
      <c r="Z1287">
        <f>(M1287*Weights!$B$2) + (MIN(Q1287,Weights!$B$5)*Weights!$B$3*(W1287/100)*Weights!$B$4)</f>
        <v/>
      </c>
      <c r="AA1287">
        <f>IF(Z1287= ,,RANK.EQ({pri_col_letter}{r},{pri_range},0))</f>
        <v/>
      </c>
    </row>
    <row r="1288">
      <c r="A1288" t="inlineStr">
        <is>
          <t>DHL Consulting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inlineStr">
        <is>
          <t>Tier 4</t>
        </is>
      </c>
      <c r="O1288" t="inlineStr">
        <is>
          <t>Edoardo Ughetto — Assignment Manager</t>
        </is>
      </c>
      <c r="P1288" t="inlineStr">
        <is>
          <t>Assignment Manager</t>
        </is>
      </c>
      <c r="Y1288" t="inlineStr">
        <is>
          <t>todo</t>
        </is>
      </c>
      <c r="Z1288">
        <f>(M1288*Weights!$B$2) + (MIN(Q1288,Weights!$B$5)*Weights!$B$3*(W1288/100)*Weights!$B$4)</f>
        <v/>
      </c>
      <c r="AA1288">
        <f>IF(Z1288= ,,RANK.EQ({pri_col_letter}{r},{pri_range},0))</f>
        <v/>
      </c>
    </row>
    <row r="1289">
      <c r="A1289" t="inlineStr">
        <is>
          <t>DSS Last Mile Solutions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inlineStr">
        <is>
          <t>Tier 4</t>
        </is>
      </c>
      <c r="O1289" t="inlineStr">
        <is>
          <t>Mike Bedwell — CEO</t>
        </is>
      </c>
      <c r="P1289" t="inlineStr">
        <is>
          <t>CEO</t>
        </is>
      </c>
      <c r="Y1289" t="inlineStr">
        <is>
          <t>todo</t>
        </is>
      </c>
      <c r="Z1289">
        <f>(M1289*Weights!$B$2) + (MIN(Q1289,Weights!$B$5)*Weights!$B$3*(W1289/100)*Weights!$B$4)</f>
        <v/>
      </c>
      <c r="AA1289">
        <f>IF(Z1289= ,,RANK.EQ({pri_col_letter}{r},{pri_range},0))</f>
        <v/>
      </c>
    </row>
    <row r="1290">
      <c r="A1290" t="inlineStr">
        <is>
          <t>Danos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inlineStr">
        <is>
          <t>Tier 4</t>
        </is>
      </c>
      <c r="O1290" t="inlineStr">
        <is>
          <t>Scott Theriot — General Manager</t>
        </is>
      </c>
      <c r="P1290" t="inlineStr">
        <is>
          <t>General Manager</t>
        </is>
      </c>
      <c r="Y1290" t="inlineStr">
        <is>
          <t>todo</t>
        </is>
      </c>
      <c r="Z1290">
        <f>(M1290*Weights!$B$2) + (MIN(Q1290,Weights!$B$5)*Weights!$B$3*(W1290/100)*Weights!$B$4)</f>
        <v/>
      </c>
      <c r="AA1290">
        <f>IF(Z1290= ,,RANK.EQ({pri_col_letter}{r},{pri_range},0))</f>
        <v/>
      </c>
    </row>
    <row r="1291">
      <c r="A1291" t="inlineStr">
        <is>
          <t>DataHAUL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inlineStr">
        <is>
          <t>Tier 4</t>
        </is>
      </c>
      <c r="O1291" t="inlineStr">
        <is>
          <t>Patrick Beene — Founder</t>
        </is>
      </c>
      <c r="P1291" t="inlineStr">
        <is>
          <t>Founder</t>
        </is>
      </c>
      <c r="Y1291" t="inlineStr">
        <is>
          <t>todo</t>
        </is>
      </c>
      <c r="Z1291">
        <f>(M1291*Weights!$B$2) + (MIN(Q1291,Weights!$B$5)*Weights!$B$3*(W1291/100)*Weights!$B$4)</f>
        <v/>
      </c>
      <c r="AA1291">
        <f>IF(Z1291= ,,RANK.EQ({pri_col_letter}{r},{pri_range},0))</f>
        <v/>
      </c>
    </row>
    <row r="1292">
      <c r="A1292" t="inlineStr">
        <is>
          <t>David Yurman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inlineStr">
        <is>
          <t>Tier 4</t>
        </is>
      </c>
      <c r="O1292" t="inlineStr">
        <is>
          <t>Leila Jalai — SVP Global Planning &amp; Inventory Management</t>
        </is>
      </c>
      <c r="P1292" t="inlineStr">
        <is>
          <t>SVP Global Planning &amp; Inventory Management</t>
        </is>
      </c>
      <c r="Y1292" t="inlineStr">
        <is>
          <t>todo</t>
        </is>
      </c>
      <c r="Z1292">
        <f>(M1292*Weights!$B$2) + (MIN(Q1292,Weights!$B$5)*Weights!$B$3*(W1292/100)*Weights!$B$4)</f>
        <v/>
      </c>
      <c r="AA1292">
        <f>IF(Z1292= ,,RANK.EQ({pri_col_letter}{r},{pri_range},0))</f>
        <v/>
      </c>
    </row>
    <row r="1293">
      <c r="A1293" t="inlineStr">
        <is>
          <t>Davinci Micro Fulfillment Inc.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inlineStr">
        <is>
          <t>Tier 4</t>
        </is>
      </c>
      <c r="O1293" t="inlineStr">
        <is>
          <t>Corey Apirian — CEO</t>
        </is>
      </c>
      <c r="P1293" t="inlineStr">
        <is>
          <t>CEO</t>
        </is>
      </c>
      <c r="Y1293" t="inlineStr">
        <is>
          <t>todo</t>
        </is>
      </c>
      <c r="Z1293">
        <f>(M1293*Weights!$B$2) + (MIN(Q1293,Weights!$B$5)*Weights!$B$3*(W1293/100)*Weights!$B$4)</f>
        <v/>
      </c>
      <c r="AA1293">
        <f>IF(Z1293= ,,RANK.EQ({pri_col_letter}{r},{pri_range},0))</f>
        <v/>
      </c>
    </row>
    <row r="1294">
      <c r="A1294" t="inlineStr">
        <is>
          <t>DecisionBrain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inlineStr">
        <is>
          <t>Tier 4</t>
        </is>
      </c>
      <c r="O1294" t="inlineStr">
        <is>
          <t>Justin Clark — Sr. Director, North America</t>
        </is>
      </c>
      <c r="P1294" t="inlineStr">
        <is>
          <t>Sr. Director, North America</t>
        </is>
      </c>
      <c r="Y1294" t="inlineStr">
        <is>
          <t>todo</t>
        </is>
      </c>
      <c r="Z1294">
        <f>(M1294*Weights!$B$2) + (MIN(Q1294,Weights!$B$5)*Weights!$B$3*(W1294/100)*Weights!$B$4)</f>
        <v/>
      </c>
      <c r="AA1294">
        <f>IF(Z1294= ,,RANK.EQ({pri_col_letter}{r},{pri_range},0))</f>
        <v/>
      </c>
    </row>
    <row r="1295">
      <c r="A1295" t="inlineStr">
        <is>
          <t>Deep Cognition Inc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>
        <is>
          <t>Tier 4</t>
        </is>
      </c>
      <c r="O1295" t="inlineStr">
        <is>
          <t>Shiv Ramamurthi — Chief Product Officer</t>
        </is>
      </c>
      <c r="P1295" t="inlineStr">
        <is>
          <t>Chief Product Officer</t>
        </is>
      </c>
      <c r="Y1295" t="inlineStr">
        <is>
          <t>todo</t>
        </is>
      </c>
      <c r="Z1295">
        <f>(M1295*Weights!$B$2) + (MIN(Q1295,Weights!$B$5)*Weights!$B$3*(W1295/100)*Weights!$B$4)</f>
        <v/>
      </c>
      <c r="AA1295">
        <f>IF(Z1295= ,,RANK.EQ({pri_col_letter}{r},{pri_range},0))</f>
        <v/>
      </c>
    </row>
    <row r="1296">
      <c r="A1296" t="inlineStr">
        <is>
          <t>Descartes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inlineStr">
        <is>
          <t>Tier 4</t>
        </is>
      </c>
      <c r="O1296" t="inlineStr">
        <is>
          <t>Jackie Buyse — Events Manager</t>
        </is>
      </c>
      <c r="P1296" t="inlineStr">
        <is>
          <t>Events Manager</t>
        </is>
      </c>
      <c r="Y1296" t="inlineStr">
        <is>
          <t>todo</t>
        </is>
      </c>
      <c r="Z1296">
        <f>(M1296*Weights!$B$2) + (MIN(Q1296,Weights!$B$5)*Weights!$B$3*(W1296/100)*Weights!$B$4)</f>
        <v/>
      </c>
      <c r="AA1296">
        <f>IF(Z1296= ,,RANK.EQ({pri_col_letter}{r},{pri_range},0))</f>
        <v/>
      </c>
    </row>
    <row r="1297">
      <c r="A1297" t="inlineStr">
        <is>
          <t>Desteia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inlineStr">
        <is>
          <t>Tier 4</t>
        </is>
      </c>
      <c r="O1297" t="inlineStr">
        <is>
          <t>Diego Solorzano — CEO &amp; Co-Founder</t>
        </is>
      </c>
      <c r="P1297" t="inlineStr">
        <is>
          <t>CEO &amp; Co-Founder</t>
        </is>
      </c>
      <c r="Y1297" t="inlineStr">
        <is>
          <t>todo</t>
        </is>
      </c>
      <c r="Z1297">
        <f>(M1297*Weights!$B$2) + (MIN(Q1297,Weights!$B$5)*Weights!$B$3*(W1297/100)*Weights!$B$4)</f>
        <v/>
      </c>
      <c r="AA1297">
        <f>IF(Z1297= ,,RANK.EQ({pri_col_letter}{r},{pri_range},0))</f>
        <v/>
      </c>
    </row>
    <row r="1298">
      <c r="A1298" t="inlineStr">
        <is>
          <t>Destro AI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inlineStr">
        <is>
          <t>Tier 4</t>
        </is>
      </c>
      <c r="O1298" t="inlineStr">
        <is>
          <t>Manthan Pawar — CEO &amp; Founder</t>
        </is>
      </c>
      <c r="P1298" t="inlineStr">
        <is>
          <t>CEO &amp; Founder</t>
        </is>
      </c>
      <c r="Y1298" t="inlineStr">
        <is>
          <t>todo</t>
        </is>
      </c>
      <c r="Z1298">
        <f>(M1298*Weights!$B$2) + (MIN(Q1298,Weights!$B$5)*Weights!$B$3*(W1298/100)*Weights!$B$4)</f>
        <v/>
      </c>
      <c r="AA1298">
        <f>IF(Z1298= ,,RANK.EQ({pri_col_letter}{r},{pri_range},0))</f>
        <v/>
      </c>
    </row>
    <row r="1299">
      <c r="A1299" t="inlineStr">
        <is>
          <t>Digital Logistic and Trade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inlineStr">
        <is>
          <t>Tier 4</t>
        </is>
      </c>
      <c r="O1299" t="inlineStr">
        <is>
          <t>Diego Bello — CEO</t>
        </is>
      </c>
      <c r="P1299" t="inlineStr">
        <is>
          <t>CEO</t>
        </is>
      </c>
      <c r="Y1299" t="inlineStr">
        <is>
          <t>todo</t>
        </is>
      </c>
      <c r="Z1299">
        <f>(M1299*Weights!$B$2) + (MIN(Q1299,Weights!$B$5)*Weights!$B$3*(W1299/100)*Weights!$B$4)</f>
        <v/>
      </c>
      <c r="AA1299">
        <f>IF(Z1299= ,,RANK.EQ({pri_col_letter}{r},{pri_range},0))</f>
        <v/>
      </c>
    </row>
    <row r="1300">
      <c r="A1300" t="inlineStr">
        <is>
          <t>Digital Supply Chain Institute (DSCI)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inlineStr">
        <is>
          <t>Tier 4</t>
        </is>
      </c>
      <c r="O1300" t="inlineStr">
        <is>
          <t>ANDRE SOLDO — Senior Fellow</t>
        </is>
      </c>
      <c r="P1300" t="inlineStr">
        <is>
          <t>Senior Fellow</t>
        </is>
      </c>
      <c r="Y1300" t="inlineStr">
        <is>
          <t>todo</t>
        </is>
      </c>
      <c r="Z1300">
        <f>(M1300*Weights!$B$2) + (MIN(Q1300,Weights!$B$5)*Weights!$B$3*(W1300/100)*Weights!$B$4)</f>
        <v/>
      </c>
      <c r="AA1300">
        <f>IF(Z1300= ,,RANK.EQ({pri_col_letter}{r},{pri_range},0))</f>
        <v/>
      </c>
    </row>
    <row r="1301">
      <c r="A1301" t="inlineStr">
        <is>
          <t>Dimensional Energy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inlineStr">
        <is>
          <t>Tier 4</t>
        </is>
      </c>
      <c r="O1301" t="inlineStr">
        <is>
          <t>Jason Salfi — CEO</t>
        </is>
      </c>
      <c r="P1301" t="inlineStr">
        <is>
          <t>CEO</t>
        </is>
      </c>
      <c r="Y1301" t="inlineStr">
        <is>
          <t>todo</t>
        </is>
      </c>
      <c r="Z1301">
        <f>(M1301*Weights!$B$2) + (MIN(Q1301,Weights!$B$5)*Weights!$B$3*(W1301/100)*Weights!$B$4)</f>
        <v/>
      </c>
      <c r="AA1301">
        <f>IF(Z1301= ,,RANK.EQ({pri_col_letter}{r},{pri_range},0))</f>
        <v/>
      </c>
    </row>
    <row r="1302">
      <c r="A1302" t="inlineStr">
        <is>
          <t>Diverse Logistics and Distribution, LLC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inlineStr">
        <is>
          <t>Tier 4</t>
        </is>
      </c>
      <c r="O1302" t="inlineStr">
        <is>
          <t>Victor Mraz — COO</t>
        </is>
      </c>
      <c r="P1302" t="inlineStr">
        <is>
          <t>COO</t>
        </is>
      </c>
      <c r="Y1302" t="inlineStr">
        <is>
          <t>todo</t>
        </is>
      </c>
      <c r="Z1302">
        <f>(M1302*Weights!$B$2) + (MIN(Q1302,Weights!$B$5)*Weights!$B$3*(W1302/100)*Weights!$B$4)</f>
        <v/>
      </c>
      <c r="AA1302">
        <f>IF(Z1302= ,,RANK.EQ({pri_col_letter}{r},{pri_range},0))</f>
        <v/>
      </c>
    </row>
    <row r="1303">
      <c r="A1303" t="inlineStr">
        <is>
          <t>Diversis Capital LLC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inlineStr">
        <is>
          <t>Tier 4</t>
        </is>
      </c>
      <c r="O1303" t="inlineStr">
        <is>
          <t>Dabir Rashid — Vice President</t>
        </is>
      </c>
      <c r="P1303" t="inlineStr">
        <is>
          <t>Vice President</t>
        </is>
      </c>
      <c r="Y1303" t="inlineStr">
        <is>
          <t>todo</t>
        </is>
      </c>
      <c r="Z1303">
        <f>(M1303*Weights!$B$2) + (MIN(Q1303,Weights!$B$5)*Weights!$B$3*(W1303/100)*Weights!$B$4)</f>
        <v/>
      </c>
      <c r="AA1303">
        <f>IF(Z1303= ,,RANK.EQ({pri_col_letter}{r},{pri_range},0))</f>
        <v/>
      </c>
    </row>
    <row r="1304">
      <c r="A1304" t="inlineStr">
        <is>
          <t>Dobby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inlineStr">
        <is>
          <t>Tier 4</t>
        </is>
      </c>
      <c r="O1304" t="inlineStr">
        <is>
          <t>Taylan Kalkavan — CEO / Co-founder</t>
        </is>
      </c>
      <c r="P1304" t="inlineStr">
        <is>
          <t>CEO / Co-founder</t>
        </is>
      </c>
      <c r="Y1304" t="inlineStr">
        <is>
          <t>todo</t>
        </is>
      </c>
      <c r="Z1304">
        <f>(M1304*Weights!$B$2) + (MIN(Q1304,Weights!$B$5)*Weights!$B$3*(W1304/100)*Weights!$B$4)</f>
        <v/>
      </c>
      <c r="AA1304">
        <f>IF(Z1304= ,,RANK.EQ({pri_col_letter}{r},{pri_range},0))</f>
        <v/>
      </c>
    </row>
    <row r="1305">
      <c r="A1305" t="inlineStr">
        <is>
          <t>Dockware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inlineStr">
        <is>
          <t>Tier 4</t>
        </is>
      </c>
      <c r="O1305" t="inlineStr">
        <is>
          <t>Conor Godfrey — CEO</t>
        </is>
      </c>
      <c r="P1305" t="inlineStr">
        <is>
          <t>CEO</t>
        </is>
      </c>
      <c r="Y1305" t="inlineStr">
        <is>
          <t>todo</t>
        </is>
      </c>
      <c r="Z1305">
        <f>(M1305*Weights!$B$2) + (MIN(Q1305,Weights!$B$5)*Weights!$B$3*(W1305/100)*Weights!$B$4)</f>
        <v/>
      </c>
      <c r="AA1305">
        <f>IF(Z1305= ,,RANK.EQ({pri_col_letter}{r},{pri_range},0))</f>
        <v/>
      </c>
    </row>
    <row r="1306">
      <c r="A1306" t="inlineStr">
        <is>
          <t>Doug Andrus Dist LLC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inlineStr">
        <is>
          <t>Tier 4</t>
        </is>
      </c>
      <c r="O1306" t="inlineStr">
        <is>
          <t>Clay Murdoch — President-CEO</t>
        </is>
      </c>
      <c r="P1306" t="inlineStr">
        <is>
          <t>President-CEO</t>
        </is>
      </c>
      <c r="Y1306" t="inlineStr">
        <is>
          <t>todo</t>
        </is>
      </c>
      <c r="Z1306">
        <f>(M1306*Weights!$B$2) + (MIN(Q1306,Weights!$B$5)*Weights!$B$3*(W1306/100)*Weights!$B$4)</f>
        <v/>
      </c>
      <c r="AA1306">
        <f>IF(Z1306= ,,RANK.EQ({pri_col_letter}{r},{pri_range},0))</f>
        <v/>
      </c>
    </row>
    <row r="1307">
      <c r="A1307" t="inlineStr">
        <is>
          <t>Drayage.com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inlineStr">
        <is>
          <t>Tier 4</t>
        </is>
      </c>
      <c r="O1307" t="inlineStr">
        <is>
          <t>Jason Hilsenbeck — President</t>
        </is>
      </c>
      <c r="P1307" t="inlineStr">
        <is>
          <t>President</t>
        </is>
      </c>
      <c r="Y1307" t="inlineStr">
        <is>
          <t>todo</t>
        </is>
      </c>
      <c r="Z1307">
        <f>(M1307*Weights!$B$2) + (MIN(Q1307,Weights!$B$5)*Weights!$B$3*(W1307/100)*Weights!$B$4)</f>
        <v/>
      </c>
      <c r="AA1307">
        <f>IF(Z1307= ,,RANK.EQ({pri_col_letter}{r},{pri_range},0))</f>
        <v/>
      </c>
    </row>
    <row r="1308">
      <c r="A1308" t="inlineStr">
        <is>
          <t>DriveU.auto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inlineStr">
        <is>
          <t>Tier 4</t>
        </is>
      </c>
      <c r="O1308" t="inlineStr">
        <is>
          <t>Alon Podhurst — CEO</t>
        </is>
      </c>
      <c r="P1308" t="inlineStr">
        <is>
          <t>CEO</t>
        </is>
      </c>
      <c r="Y1308" t="inlineStr">
        <is>
          <t>todo</t>
        </is>
      </c>
      <c r="Z1308">
        <f>(M1308*Weights!$B$2) + (MIN(Q1308,Weights!$B$5)*Weights!$B$3*(W1308/100)*Weights!$B$4)</f>
        <v/>
      </c>
      <c r="AA1308">
        <f>IF(Z1308= ,,RANK.EQ({pri_col_letter}{r},{pri_range},0))</f>
        <v/>
      </c>
    </row>
    <row r="1309">
      <c r="A1309" t="inlineStr">
        <is>
          <t>Drop &amp; Hook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inlineStr">
        <is>
          <t>Tier 4</t>
        </is>
      </c>
      <c r="O1309" t="inlineStr">
        <is>
          <t>Michelle LeBlanc — CEO &amp; Founder</t>
        </is>
      </c>
      <c r="P1309" t="inlineStr">
        <is>
          <t>CEO &amp; Founder</t>
        </is>
      </c>
      <c r="Y1309" t="inlineStr">
        <is>
          <t>todo</t>
        </is>
      </c>
      <c r="Z1309">
        <f>(M1309*Weights!$B$2) + (MIN(Q1309,Weights!$B$5)*Weights!$B$3*(W1309/100)*Weights!$B$4)</f>
        <v/>
      </c>
      <c r="AA1309">
        <f>IF(Z1309= ,,RANK.EQ({pri_col_letter}{r},{pri_range},0))</f>
        <v/>
      </c>
    </row>
    <row r="1310">
      <c r="A1310" t="inlineStr">
        <is>
          <t>Dura Chemical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inlineStr">
        <is>
          <t>Tier 4</t>
        </is>
      </c>
      <c r="O1310" t="inlineStr">
        <is>
          <t>Lanze Diomampo — Export Manager</t>
        </is>
      </c>
      <c r="P1310" t="inlineStr">
        <is>
          <t>Export Manager</t>
        </is>
      </c>
      <c r="Y1310" t="inlineStr">
        <is>
          <t>todo</t>
        </is>
      </c>
      <c r="Z1310">
        <f>(M1310*Weights!$B$2) + (MIN(Q1310,Weights!$B$5)*Weights!$B$3*(W1310/100)*Weights!$B$4)</f>
        <v/>
      </c>
      <c r="AA1310">
        <f>IF(Z1310= ,,RANK.EQ({pri_col_letter}{r},{pri_range},0))</f>
        <v/>
      </c>
    </row>
    <row r="1311">
      <c r="A1311" t="inlineStr">
        <is>
          <t>Dwight &amp; Company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>
        <is>
          <t>Tier 4</t>
        </is>
      </c>
      <c r="O1311" t="inlineStr">
        <is>
          <t>Mandy Dwight — Founder</t>
        </is>
      </c>
      <c r="P1311" t="inlineStr">
        <is>
          <t>Founder</t>
        </is>
      </c>
      <c r="Y1311" t="inlineStr">
        <is>
          <t>todo</t>
        </is>
      </c>
      <c r="Z1311">
        <f>(M1311*Weights!$B$2) + (MIN(Q1311,Weights!$B$5)*Weights!$B$3*(W1311/100)*Weights!$B$4)</f>
        <v/>
      </c>
      <c r="AA1311">
        <f>IF(Z1311= ,,RANK.EQ({pri_col_letter}{r},{pri_range},0))</f>
        <v/>
      </c>
    </row>
    <row r="1312">
      <c r="A1312" t="inlineStr">
        <is>
          <t>Dynamo Ventures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inlineStr">
        <is>
          <t>Tier 4</t>
        </is>
      </c>
      <c r="O1312" t="inlineStr">
        <is>
          <t>Santosh Sankar — Co-Founder &amp; Managing Partner</t>
        </is>
      </c>
      <c r="P1312" t="inlineStr">
        <is>
          <t>Co-Founder &amp; Managing Partner</t>
        </is>
      </c>
      <c r="Y1312" t="inlineStr">
        <is>
          <t>todo</t>
        </is>
      </c>
      <c r="Z1312">
        <f>(M1312*Weights!$B$2) + (MIN(Q1312,Weights!$B$5)*Weights!$B$3*(W1312/100)*Weights!$B$4)</f>
        <v/>
      </c>
      <c r="AA1312">
        <f>IF(Z1312= ,,RANK.EQ({pri_col_letter}{r},{pri_range},0))</f>
        <v/>
      </c>
    </row>
    <row r="1313">
      <c r="A1313" t="inlineStr">
        <is>
          <t>E&amp;S International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inlineStr">
        <is>
          <t>Tier 4</t>
        </is>
      </c>
      <c r="O1313" t="inlineStr">
        <is>
          <t>Maria John — Director of International Logisitcs</t>
        </is>
      </c>
      <c r="P1313" t="inlineStr">
        <is>
          <t>Director of International Logisitcs</t>
        </is>
      </c>
      <c r="Y1313" t="inlineStr">
        <is>
          <t>todo</t>
        </is>
      </c>
      <c r="Z1313">
        <f>(M1313*Weights!$B$2) + (MIN(Q1313,Weights!$B$5)*Weights!$B$3*(W1313/100)*Weights!$B$4)</f>
        <v/>
      </c>
      <c r="AA1313">
        <f>IF(Z1313= ,,RANK.EQ({pri_col_letter}{r},{pri_range},0))</f>
        <v/>
      </c>
    </row>
    <row r="1314">
      <c r="A1314" t="inlineStr">
        <is>
          <t>E2open - WiseTech Global Group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inlineStr">
        <is>
          <t>Tier 4</t>
        </is>
      </c>
      <c r="O1314" t="inlineStr">
        <is>
          <t>Steve Williamson — Director, Solutions Consulting</t>
        </is>
      </c>
      <c r="P1314" t="inlineStr">
        <is>
          <t>Director, Solutions Consulting</t>
        </is>
      </c>
      <c r="Y1314" t="inlineStr">
        <is>
          <t>todo</t>
        </is>
      </c>
      <c r="Z1314">
        <f>(M1314*Weights!$B$2) + (MIN(Q1314,Weights!$B$5)*Weights!$B$3*(W1314/100)*Weights!$B$4)</f>
        <v/>
      </c>
      <c r="AA1314">
        <f>IF(Z1314= ,,RANK.EQ({pri_col_letter}{r},{pri_range},0))</f>
        <v/>
      </c>
    </row>
    <row r="1315">
      <c r="A1315" t="inlineStr">
        <is>
          <t>EAGLE EXCECUTIVE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inlineStr">
        <is>
          <t>Tier 4</t>
        </is>
      </c>
      <c r="O1315" t="inlineStr">
        <is>
          <t>ERICK CAMPOS — CEO</t>
        </is>
      </c>
      <c r="P1315" t="inlineStr">
        <is>
          <t>CEO</t>
        </is>
      </c>
      <c r="Y1315" t="inlineStr">
        <is>
          <t>todo</t>
        </is>
      </c>
      <c r="Z1315">
        <f>(M1315*Weights!$B$2) + (MIN(Q1315,Weights!$B$5)*Weights!$B$3*(W1315/100)*Weights!$B$4)</f>
        <v/>
      </c>
      <c r="AA1315">
        <f>IF(Z1315= ,,RANK.EQ({pri_col_letter}{r},{pri_range},0))</f>
        <v/>
      </c>
    </row>
    <row r="1316">
      <c r="A1316" t="inlineStr">
        <is>
          <t>ECMS Express Inc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inlineStr">
        <is>
          <t>Tier 4</t>
        </is>
      </c>
      <c r="O1316" t="inlineStr">
        <is>
          <t>Stephen Murphy — KA Director</t>
        </is>
      </c>
      <c r="P1316" t="inlineStr">
        <is>
          <t>KA Director</t>
        </is>
      </c>
      <c r="Y1316" t="inlineStr">
        <is>
          <t>todo</t>
        </is>
      </c>
      <c r="Z1316">
        <f>(M1316*Weights!$B$2) + (MIN(Q1316,Weights!$B$5)*Weights!$B$3*(W1316/100)*Weights!$B$4)</f>
        <v/>
      </c>
      <c r="AA1316">
        <f>IF(Z1316= ,,RANK.EQ({pri_col_letter}{r},{pri_range},0))</f>
        <v/>
      </c>
    </row>
    <row r="1317">
      <c r="A1317" t="inlineStr">
        <is>
          <t>EFL GLOBAL</t>
        </is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inlineStr">
        <is>
          <t>Tier 4</t>
        </is>
      </c>
      <c r="O1317" t="inlineStr">
        <is>
          <t>Brian Catron — Global Chief Information Officer, and Head of Integrated Services</t>
        </is>
      </c>
      <c r="P1317" t="inlineStr">
        <is>
          <t>Global Chief Information Officer, and Head of Integrated Services</t>
        </is>
      </c>
      <c r="Y1317" t="inlineStr">
        <is>
          <t>todo</t>
        </is>
      </c>
      <c r="Z1317">
        <f>(M1317*Weights!$B$2) + (MIN(Q1317,Weights!$B$5)*Weights!$B$3*(W1317/100)*Weights!$B$4)</f>
        <v/>
      </c>
      <c r="AA1317">
        <f>IF(Z1317= ,,RANK.EQ({pri_col_letter}{r},{pri_range},0))</f>
        <v/>
      </c>
    </row>
    <row r="1318">
      <c r="A1318" t="inlineStr">
        <is>
          <t>EPIHAB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>
        <is>
          <t>Tier 4</t>
        </is>
      </c>
      <c r="O1318" t="inlineStr">
        <is>
          <t>tony BARLOW — PRESIDENT</t>
        </is>
      </c>
      <c r="P1318" t="inlineStr">
        <is>
          <t>PRESIDENT</t>
        </is>
      </c>
      <c r="Y1318" t="inlineStr">
        <is>
          <t>todo</t>
        </is>
      </c>
      <c r="Z1318">
        <f>(M1318*Weights!$B$2) + (MIN(Q1318,Weights!$B$5)*Weights!$B$3*(W1318/100)*Weights!$B$4)</f>
        <v/>
      </c>
      <c r="AA1318">
        <f>IF(Z1318= ,,RANK.EQ({pri_col_letter}{r},{pri_range},0))</f>
        <v/>
      </c>
    </row>
    <row r="1319">
      <c r="A1319" t="inlineStr">
        <is>
          <t>EREA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inlineStr">
        <is>
          <t>Tier 4</t>
        </is>
      </c>
      <c r="O1319" t="inlineStr">
        <is>
          <t>Leandro Bassoi — CEO</t>
        </is>
      </c>
      <c r="P1319" t="inlineStr">
        <is>
          <t>CEO</t>
        </is>
      </c>
      <c r="Y1319" t="inlineStr">
        <is>
          <t>todo</t>
        </is>
      </c>
      <c r="Z1319">
        <f>(M1319*Weights!$B$2) + (MIN(Q1319,Weights!$B$5)*Weights!$B$3*(W1319/100)*Weights!$B$4)</f>
        <v/>
      </c>
      <c r="AA1319">
        <f>IF(Z1319= ,,RANK.EQ({pri_col_letter}{r},{pri_range},0))</f>
        <v/>
      </c>
    </row>
    <row r="1320">
      <c r="A1320" t="inlineStr">
        <is>
          <t>EURO-LOG AG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inlineStr">
        <is>
          <t>Tier 4</t>
        </is>
      </c>
      <c r="O1320" t="inlineStr">
        <is>
          <t>Martin Schweizer — Director Partnermanagement &amp; Strategic Projects</t>
        </is>
      </c>
      <c r="P1320" t="inlineStr">
        <is>
          <t>Director Partnermanagement &amp; Strategic Projects</t>
        </is>
      </c>
      <c r="Y1320" t="inlineStr">
        <is>
          <t>todo</t>
        </is>
      </c>
      <c r="Z1320">
        <f>(M1320*Weights!$B$2) + (MIN(Q1320,Weights!$B$5)*Weights!$B$3*(W1320/100)*Weights!$B$4)</f>
        <v/>
      </c>
      <c r="AA1320">
        <f>IF(Z1320= ,,RANK.EQ({pri_col_letter}{r},{pri_range},0))</f>
        <v/>
      </c>
    </row>
    <row r="1321">
      <c r="A1321" t="inlineStr">
        <is>
          <t>EV Bots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inlineStr">
        <is>
          <t>Tier 4</t>
        </is>
      </c>
      <c r="O1321" t="inlineStr">
        <is>
          <t>Virind Gujra — CEO</t>
        </is>
      </c>
      <c r="P1321" t="inlineStr">
        <is>
          <t>CEO</t>
        </is>
      </c>
      <c r="Y1321" t="inlineStr">
        <is>
          <t>todo</t>
        </is>
      </c>
      <c r="Z1321">
        <f>(M1321*Weights!$B$2) + (MIN(Q1321,Weights!$B$5)*Weights!$B$3*(W1321/100)*Weights!$B$4)</f>
        <v/>
      </c>
      <c r="AA1321">
        <f>IF(Z1321= ,,RANK.EQ({pri_col_letter}{r},{pri_range},0))</f>
        <v/>
      </c>
    </row>
    <row r="1322">
      <c r="A1322" t="inlineStr">
        <is>
          <t>EVOLINQ</t>
        </is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>
        <is>
          <t>Tier 4</t>
        </is>
      </c>
      <c r="O1322" t="inlineStr">
        <is>
          <t>Or Feldman — CTO</t>
        </is>
      </c>
      <c r="P1322" t="inlineStr">
        <is>
          <t>CTO</t>
        </is>
      </c>
      <c r="Y1322" t="inlineStr">
        <is>
          <t>todo</t>
        </is>
      </c>
      <c r="Z1322">
        <f>(M1322*Weights!$B$2) + (MIN(Q1322,Weights!$B$5)*Weights!$B$3*(W1322/100)*Weights!$B$4)</f>
        <v/>
      </c>
      <c r="AA1322">
        <f>IF(Z1322= ,,RANK.EQ({pri_col_letter}{r},{pri_range},0))</f>
        <v/>
      </c>
    </row>
    <row r="1323">
      <c r="A1323" t="inlineStr">
        <is>
          <t>EVP | Broker-Carrier Summit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inlineStr">
        <is>
          <t>Tier 4</t>
        </is>
      </c>
      <c r="O1323" t="inlineStr">
        <is>
          <t>Charles Gracey — Radio Host | SiriusXM</t>
        </is>
      </c>
      <c r="P1323" t="inlineStr">
        <is>
          <t>Radio Host | SiriusXM</t>
        </is>
      </c>
      <c r="Y1323" t="inlineStr">
        <is>
          <t>todo</t>
        </is>
      </c>
      <c r="Z1323">
        <f>(M1323*Weights!$B$2) + (MIN(Q1323,Weights!$B$5)*Weights!$B$3*(W1323/100)*Weights!$B$4)</f>
        <v/>
      </c>
      <c r="AA1323">
        <f>IF(Z1323= ,,RANK.EQ({pri_col_letter}{r},{pri_range},0))</f>
        <v/>
      </c>
    </row>
    <row r="1324">
      <c r="A1324" t="inlineStr">
        <is>
          <t>EZDC 3PL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inlineStr">
        <is>
          <t>Tier 4</t>
        </is>
      </c>
      <c r="O1324" t="inlineStr">
        <is>
          <t>Dave Gulas — President &amp; Co-Founder</t>
        </is>
      </c>
      <c r="P1324" t="inlineStr">
        <is>
          <t>President &amp; Co-Founder</t>
        </is>
      </c>
      <c r="Y1324" t="inlineStr">
        <is>
          <t>todo</t>
        </is>
      </c>
      <c r="Z1324">
        <f>(M1324*Weights!$B$2) + (MIN(Q1324,Weights!$B$5)*Weights!$B$3*(W1324/100)*Weights!$B$4)</f>
        <v/>
      </c>
      <c r="AA1324">
        <f>IF(Z1324= ,,RANK.EQ({pri_col_letter}{r},{pri_range},0))</f>
        <v/>
      </c>
    </row>
    <row r="1325">
      <c r="A1325" t="inlineStr">
        <is>
          <t>Earth Breeze/AG1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inlineStr">
        <is>
          <t>Tier 4</t>
        </is>
      </c>
      <c r="O1325" t="inlineStr">
        <is>
          <t>Ben Smith — COO &amp; Advisor</t>
        </is>
      </c>
      <c r="P1325" t="inlineStr">
        <is>
          <t>COO &amp; Advisor</t>
        </is>
      </c>
      <c r="Y1325" t="inlineStr">
        <is>
          <t>todo</t>
        </is>
      </c>
      <c r="Z1325">
        <f>(M1325*Weights!$B$2) + (MIN(Q1325,Weights!$B$5)*Weights!$B$3*(W1325/100)*Weights!$B$4)</f>
        <v/>
      </c>
      <c r="AA1325">
        <f>IF(Z1325= ,,RANK.EQ({pri_col_letter}{r},{pri_range},0))</f>
        <v/>
      </c>
    </row>
    <row r="1326">
      <c r="A1326" t="inlineStr">
        <is>
          <t>Edison Partners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inlineStr">
        <is>
          <t>Tier 4</t>
        </is>
      </c>
      <c r="O1326" t="inlineStr">
        <is>
          <t>Bobby Wade — Investor</t>
        </is>
      </c>
      <c r="P1326" t="inlineStr">
        <is>
          <t>Investor</t>
        </is>
      </c>
      <c r="Y1326" t="inlineStr">
        <is>
          <t>todo</t>
        </is>
      </c>
      <c r="Z1326">
        <f>(M1326*Weights!$B$2) + (MIN(Q1326,Weights!$B$5)*Weights!$B$3*(W1326/100)*Weights!$B$4)</f>
        <v/>
      </c>
      <c r="AA1326">
        <f>IF(Z1326= ,,RANK.EQ({pri_col_letter}{r},{pri_range},0))</f>
        <v/>
      </c>
    </row>
    <row r="1327">
      <c r="A1327" t="inlineStr">
        <is>
          <t>Eggo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>
        <is>
          <t>Tier 4</t>
        </is>
      </c>
      <c r="O1327" t="inlineStr">
        <is>
          <t>Souleymen Mlalih — Enterprise Architect</t>
        </is>
      </c>
      <c r="P1327" t="inlineStr">
        <is>
          <t>Enterprise Architect</t>
        </is>
      </c>
      <c r="Y1327" t="inlineStr">
        <is>
          <t>todo</t>
        </is>
      </c>
      <c r="Z1327">
        <f>(M1327*Weights!$B$2) + (MIN(Q1327,Weights!$B$5)*Weights!$B$3*(W1327/100)*Weights!$B$4)</f>
        <v/>
      </c>
      <c r="AA1327">
        <f>IF(Z1327= ,,RANK.EQ({pri_col_letter}{r},{pri_range},0))</f>
        <v/>
      </c>
    </row>
    <row r="1328">
      <c r="A1328" t="inlineStr">
        <is>
          <t>Einride, Inc.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inlineStr">
        <is>
          <t>Tier 4</t>
        </is>
      </c>
      <c r="O1328" t="inlineStr">
        <is>
          <t>Adam Osborn — Head of Commercial - North America</t>
        </is>
      </c>
      <c r="P1328" t="inlineStr">
        <is>
          <t>Head of Commercial - North America</t>
        </is>
      </c>
      <c r="Y1328" t="inlineStr">
        <is>
          <t>todo</t>
        </is>
      </c>
      <c r="Z1328">
        <f>(M1328*Weights!$B$2) + (MIN(Q1328,Weights!$B$5)*Weights!$B$3*(W1328/100)*Weights!$B$4)</f>
        <v/>
      </c>
      <c r="AA1328">
        <f>IF(Z1328= ,,RANK.EQ({pri_col_letter}{r},{pri_range},0))</f>
        <v/>
      </c>
    </row>
    <row r="1329">
      <c r="A1329" t="inlineStr">
        <is>
          <t>Elemica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>
        <is>
          <t>Tier 4</t>
        </is>
      </c>
      <c r="O1329" t="inlineStr">
        <is>
          <t>Bradley Delizia — Sr Vice President</t>
        </is>
      </c>
      <c r="P1329" t="inlineStr">
        <is>
          <t>Sr Vice President</t>
        </is>
      </c>
      <c r="Y1329" t="inlineStr">
        <is>
          <t>todo</t>
        </is>
      </c>
      <c r="Z1329">
        <f>(M1329*Weights!$B$2) + (MIN(Q1329,Weights!$B$5)*Weights!$B$3*(W1329/100)*Weights!$B$4)</f>
        <v/>
      </c>
      <c r="AA1329">
        <f>IF(Z1329= ,,RANK.EQ({pri_col_letter}{r},{pri_range},0))</f>
        <v/>
      </c>
    </row>
    <row r="1330">
      <c r="A1330" t="inlineStr">
        <is>
          <t>Elixart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>
        <is>
          <t>Tier 4</t>
        </is>
      </c>
      <c r="O1330" t="inlineStr">
        <is>
          <t>Sharon Cummings — CoFounder</t>
        </is>
      </c>
      <c r="P1330" t="inlineStr">
        <is>
          <t>CoFounder</t>
        </is>
      </c>
      <c r="Y1330" t="inlineStr">
        <is>
          <t>todo</t>
        </is>
      </c>
      <c r="Z1330">
        <f>(M1330*Weights!$B$2) + (MIN(Q1330,Weights!$B$5)*Weights!$B$3*(W1330/100)*Weights!$B$4)</f>
        <v/>
      </c>
      <c r="AA1330">
        <f>IF(Z1330= ,,RANK.EQ({pri_col_letter}{r},{pri_range},0))</f>
        <v/>
      </c>
    </row>
    <row r="1331">
      <c r="A1331" t="inlineStr">
        <is>
          <t>Ellipsis Advisors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>
        <is>
          <t>Tier 4</t>
        </is>
      </c>
      <c r="O1331" t="inlineStr">
        <is>
          <t>Hans Hickler — Founder &amp; CEO</t>
        </is>
      </c>
      <c r="P1331" t="inlineStr">
        <is>
          <t>Founder &amp; CEO</t>
        </is>
      </c>
      <c r="Y1331" t="inlineStr">
        <is>
          <t>todo</t>
        </is>
      </c>
      <c r="Z1331">
        <f>(M1331*Weights!$B$2) + (MIN(Q1331,Weights!$B$5)*Weights!$B$3*(W1331/100)*Weights!$B$4)</f>
        <v/>
      </c>
      <c r="AA1331">
        <f>IF(Z1331= ,,RANK.EQ({pri_col_letter}{r},{pri_range},0))</f>
        <v/>
      </c>
    </row>
    <row r="1332">
      <c r="A1332" t="inlineStr">
        <is>
          <t>Elonroad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>
        <is>
          <t>Tier 4</t>
        </is>
      </c>
      <c r="O1332" t="inlineStr">
        <is>
          <t>Karin Ebbinghaus — CEO &amp; Co-Founder</t>
        </is>
      </c>
      <c r="P1332" t="inlineStr">
        <is>
          <t>CEO &amp; Co-Founder</t>
        </is>
      </c>
      <c r="Y1332" t="inlineStr">
        <is>
          <t>todo</t>
        </is>
      </c>
      <c r="Z1332">
        <f>(M1332*Weights!$B$2) + (MIN(Q1332,Weights!$B$5)*Weights!$B$3*(W1332/100)*Weights!$B$4)</f>
        <v/>
      </c>
      <c r="AA1332">
        <f>IF(Z1332= ,,RANK.EQ({pri_col_letter}{r},{pri_range},0))</f>
        <v/>
      </c>
    </row>
    <row r="1333">
      <c r="A1333" t="inlineStr">
        <is>
          <t>Ember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>
        <is>
          <t>Tier 4</t>
        </is>
      </c>
      <c r="O1333" t="inlineStr">
        <is>
          <t>Jesse Aaron — Sr. Support Specialist</t>
        </is>
      </c>
      <c r="P1333" t="inlineStr">
        <is>
          <t>Sr. Support Specialist</t>
        </is>
      </c>
      <c r="Y1333" t="inlineStr">
        <is>
          <t>todo</t>
        </is>
      </c>
      <c r="Z1333">
        <f>(M1333*Weights!$B$2) + (MIN(Q1333,Weights!$B$5)*Weights!$B$3*(W1333/100)*Weights!$B$4)</f>
        <v/>
      </c>
      <c r="AA1333">
        <f>IF(Z1333= ,,RANK.EQ({pri_col_letter}{r},{pri_range},0))</f>
        <v/>
      </c>
    </row>
    <row r="1334">
      <c r="A1334" t="inlineStr">
        <is>
          <t>Emerix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>
        <is>
          <t>Tier 4</t>
        </is>
      </c>
      <c r="O1334" t="inlineStr">
        <is>
          <t>Ariel Palones — Co-Founder &amp; CEO</t>
        </is>
      </c>
      <c r="P1334" t="inlineStr">
        <is>
          <t>Co-Founder &amp; CEO</t>
        </is>
      </c>
      <c r="Y1334" t="inlineStr">
        <is>
          <t>todo</t>
        </is>
      </c>
      <c r="Z1334">
        <f>(M1334*Weights!$B$2) + (MIN(Q1334,Weights!$B$5)*Weights!$B$3*(W1334/100)*Weights!$B$4)</f>
        <v/>
      </c>
      <c r="AA1334">
        <f>IF(Z1334= ,,RANK.EQ({pri_col_letter}{r},{pri_range},0))</f>
        <v/>
      </c>
    </row>
    <row r="1335">
      <c r="A1335" t="inlineStr">
        <is>
          <t>Endeavour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>
        <is>
          <t>Tier 4</t>
        </is>
      </c>
      <c r="O1335" t="inlineStr">
        <is>
          <t>Rahul Lamba — Vice President</t>
        </is>
      </c>
      <c r="P1335" t="inlineStr">
        <is>
          <t>Vice President</t>
        </is>
      </c>
      <c r="Y1335" t="inlineStr">
        <is>
          <t>todo</t>
        </is>
      </c>
      <c r="Z1335">
        <f>(M1335*Weights!$B$2) + (MIN(Q1335,Weights!$B$5)*Weights!$B$3*(W1335/100)*Weights!$B$4)</f>
        <v/>
      </c>
      <c r="AA1335">
        <f>IF(Z1335= ,,RANK.EQ({pri_col_letter}{r},{pri_range},0))</f>
        <v/>
      </c>
    </row>
    <row r="1336">
      <c r="A1336" t="inlineStr">
        <is>
          <t>Envio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>
        <is>
          <t>Tier 4</t>
        </is>
      </c>
      <c r="O1336" t="inlineStr">
        <is>
          <t>James Wilkinson — Managing Director</t>
        </is>
      </c>
      <c r="P1336" t="inlineStr">
        <is>
          <t>Managing Director</t>
        </is>
      </c>
      <c r="Y1336" t="inlineStr">
        <is>
          <t>todo</t>
        </is>
      </c>
      <c r="Z1336">
        <f>(M1336*Weights!$B$2) + (MIN(Q1336,Weights!$B$5)*Weights!$B$3*(W1336/100)*Weights!$B$4)</f>
        <v/>
      </c>
      <c r="AA1336">
        <f>IF(Z1336= ,,RANK.EQ({pri_col_letter}{r},{pri_range},0))</f>
        <v/>
      </c>
    </row>
    <row r="1337">
      <c r="A1337" t="inlineStr">
        <is>
          <t>Eurosender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>
        <is>
          <t>Tier 4</t>
        </is>
      </c>
      <c r="O1337" t="inlineStr">
        <is>
          <t>Jan Stefe — CEO &amp; Founder</t>
        </is>
      </c>
      <c r="P1337" t="inlineStr">
        <is>
          <t>CEO &amp; Founder</t>
        </is>
      </c>
      <c r="Y1337" t="inlineStr">
        <is>
          <t>todo</t>
        </is>
      </c>
      <c r="Z1337">
        <f>(M1337*Weights!$B$2) + (MIN(Q1337,Weights!$B$5)*Weights!$B$3*(W1337/100)*Weights!$B$4)</f>
        <v/>
      </c>
      <c r="AA1337">
        <f>IF(Z1337= ,,RANK.EQ({pri_col_letter}{r},{pri_range},0))</f>
        <v/>
      </c>
    </row>
    <row r="1338">
      <c r="A1338" t="inlineStr">
        <is>
          <t>Eve11</t>
        </is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>
        <is>
          <t>Tier 4</t>
        </is>
      </c>
      <c r="O1338" t="inlineStr">
        <is>
          <t>Brian Wood — Founder</t>
        </is>
      </c>
      <c r="P1338" t="inlineStr">
        <is>
          <t>Founder</t>
        </is>
      </c>
      <c r="Y1338" t="inlineStr">
        <is>
          <t>todo</t>
        </is>
      </c>
      <c r="Z1338">
        <f>(M1338*Weights!$B$2) + (MIN(Q1338,Weights!$B$5)*Weights!$B$3*(W1338/100)*Weights!$B$4)</f>
        <v/>
      </c>
      <c r="AA1338">
        <f>IF(Z1338= ,,RANK.EQ({pri_col_letter}{r},{pri_range},0))</f>
        <v/>
      </c>
    </row>
    <row r="1339">
      <c r="A1339" t="inlineStr">
        <is>
          <t>Everest AI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>
        <is>
          <t>Tier 4</t>
        </is>
      </c>
      <c r="O1339" t="inlineStr">
        <is>
          <t>Dan Tram — CEO &amp; Founder</t>
        </is>
      </c>
      <c r="P1339" t="inlineStr">
        <is>
          <t>CEO &amp; Founder</t>
        </is>
      </c>
      <c r="Y1339" t="inlineStr">
        <is>
          <t>todo</t>
        </is>
      </c>
      <c r="Z1339">
        <f>(M1339*Weights!$B$2) + (MIN(Q1339,Weights!$B$5)*Weights!$B$3*(W1339/100)*Weights!$B$4)</f>
        <v/>
      </c>
      <c r="AA1339">
        <f>IF(Z1339= ,,RANK.EQ({pri_col_letter}{r},{pri_range},0))</f>
        <v/>
      </c>
    </row>
    <row r="1340">
      <c r="A1340" t="inlineStr">
        <is>
          <t>Evolinq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>
        <is>
          <t>Tier 4</t>
        </is>
      </c>
      <c r="O1340" t="inlineStr">
        <is>
          <t>Noam Shakuri — CEO</t>
        </is>
      </c>
      <c r="P1340" t="inlineStr">
        <is>
          <t>CEO</t>
        </is>
      </c>
      <c r="Y1340" t="inlineStr">
        <is>
          <t>todo</t>
        </is>
      </c>
      <c r="Z1340">
        <f>(M1340*Weights!$B$2) + (MIN(Q1340,Weights!$B$5)*Weights!$B$3*(W1340/100)*Weights!$B$4)</f>
        <v/>
      </c>
      <c r="AA1340">
        <f>IF(Z1340= ,,RANK.EQ({pri_col_letter}{r},{pri_range},0))</f>
        <v/>
      </c>
    </row>
    <row r="1341">
      <c r="A1341" t="inlineStr">
        <is>
          <t>Evrnu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>
        <is>
          <t>Tier 4</t>
        </is>
      </c>
      <c r="O1341" t="inlineStr">
        <is>
          <t>Stacy Flynn — CEO</t>
        </is>
      </c>
      <c r="P1341" t="inlineStr">
        <is>
          <t>CEO</t>
        </is>
      </c>
      <c r="Y1341" t="inlineStr">
        <is>
          <t>todo</t>
        </is>
      </c>
      <c r="Z1341">
        <f>(M1341*Weights!$B$2) + (MIN(Q1341,Weights!$B$5)*Weights!$B$3*(W1341/100)*Weights!$B$4)</f>
        <v/>
      </c>
      <c r="AA1341">
        <f>IF(Z1341= ,,RANK.EQ({pri_col_letter}{r},{pri_range},0))</f>
        <v/>
      </c>
    </row>
    <row r="1342">
      <c r="A1342" t="inlineStr">
        <is>
          <t>Export Orbital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inlineStr">
        <is>
          <t>Tier 4</t>
        </is>
      </c>
      <c r="O1342" t="inlineStr">
        <is>
          <t>Kevin Nagel — Founder &amp; CEO</t>
        </is>
      </c>
      <c r="P1342" t="inlineStr">
        <is>
          <t>Founder &amp; CEO</t>
        </is>
      </c>
      <c r="Y1342" t="inlineStr">
        <is>
          <t>todo</t>
        </is>
      </c>
      <c r="Z1342">
        <f>(M1342*Weights!$B$2) + (MIN(Q1342,Weights!$B$5)*Weights!$B$3*(W1342/100)*Weights!$B$4)</f>
        <v/>
      </c>
      <c r="AA1342">
        <f>IF(Z1342= ,,RANK.EQ({pri_col_letter}{r},{pri_range},0))</f>
        <v/>
      </c>
    </row>
    <row r="1343">
      <c r="A1343" t="inlineStr">
        <is>
          <t>Express Logistics Inc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>
        <is>
          <t>Tier 4</t>
        </is>
      </c>
      <c r="O1343" t="inlineStr">
        <is>
          <t>Melissa Marcsisak — Chief Operating Officer</t>
        </is>
      </c>
      <c r="P1343" t="inlineStr">
        <is>
          <t>Chief Operating Officer</t>
        </is>
      </c>
      <c r="Y1343" t="inlineStr">
        <is>
          <t>todo</t>
        </is>
      </c>
      <c r="Z1343">
        <f>(M1343*Weights!$B$2) + (MIN(Q1343,Weights!$B$5)*Weights!$B$3*(W1343/100)*Weights!$B$4)</f>
        <v/>
      </c>
      <c r="AA1343">
        <f>IF(Z1343= ,,RANK.EQ({pri_col_letter}{r},{pri_range},0))</f>
        <v/>
      </c>
    </row>
    <row r="1344">
      <c r="A1344" t="inlineStr">
        <is>
          <t>Express MG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>
        <is>
          <t>Tier 4</t>
        </is>
      </c>
      <c r="O1344" t="inlineStr">
        <is>
          <t>Oscar Ceballos — Director Financiero</t>
        </is>
      </c>
      <c r="P1344" t="inlineStr">
        <is>
          <t>Director Financiero</t>
        </is>
      </c>
      <c r="Y1344" t="inlineStr">
        <is>
          <t>todo</t>
        </is>
      </c>
      <c r="Z1344">
        <f>(M1344*Weights!$B$2) + (MIN(Q1344,Weights!$B$5)*Weights!$B$3*(W1344/100)*Weights!$B$4)</f>
        <v/>
      </c>
      <c r="AA1344">
        <f>IF(Z1344= ,,RANK.EQ({pri_col_letter}{r},{pri_range},0))</f>
        <v/>
      </c>
    </row>
    <row r="1345">
      <c r="A1345" t="inlineStr">
        <is>
          <t>Express MG SA de CV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inlineStr">
        <is>
          <t>Tier 4</t>
        </is>
      </c>
      <c r="O1345" t="inlineStr">
        <is>
          <t>JULIO ALONSO LOPEZ GONZALEZ — DIRECTOR GENERAL</t>
        </is>
      </c>
      <c r="P1345" t="inlineStr">
        <is>
          <t>DIRECTOR GENERAL</t>
        </is>
      </c>
      <c r="Y1345" t="inlineStr">
        <is>
          <t>todo</t>
        </is>
      </c>
      <c r="Z1345">
        <f>(M1345*Weights!$B$2) + (MIN(Q1345,Weights!$B$5)*Weights!$B$3*(W1345/100)*Weights!$B$4)</f>
        <v/>
      </c>
      <c r="AA1345">
        <f>IF(Z1345= ,,RANK.EQ({pri_col_letter}{r},{pri_range},0))</f>
        <v/>
      </c>
    </row>
    <row r="1346">
      <c r="A1346" t="inlineStr">
        <is>
          <t>FIX LOGISTIX LLC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inlineStr">
        <is>
          <t>Tier 4</t>
        </is>
      </c>
      <c r="O1346" t="inlineStr">
        <is>
          <t>Bas Dubbeldam — Managing Partner</t>
        </is>
      </c>
      <c r="P1346" t="inlineStr">
        <is>
          <t>Managing Partner</t>
        </is>
      </c>
      <c r="Y1346" t="inlineStr">
        <is>
          <t>todo</t>
        </is>
      </c>
      <c r="Z1346">
        <f>(M1346*Weights!$B$2) + (MIN(Q1346,Weights!$B$5)*Weights!$B$3*(W1346/100)*Weights!$B$4)</f>
        <v/>
      </c>
      <c r="AA1346">
        <f>IF(Z1346= ,,RANK.EQ({pri_col_letter}{r},{pri_range},0))</f>
        <v/>
      </c>
    </row>
    <row r="1347">
      <c r="A1347" t="inlineStr">
        <is>
          <t>FM Capital</t>
        </is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inlineStr">
        <is>
          <t>Tier 4</t>
        </is>
      </c>
      <c r="O1347" t="inlineStr">
        <is>
          <t>Mark Norman — Managing Partner</t>
        </is>
      </c>
      <c r="P1347" t="inlineStr">
        <is>
          <t>Managing Partner</t>
        </is>
      </c>
      <c r="Y1347" t="inlineStr">
        <is>
          <t>todo</t>
        </is>
      </c>
      <c r="Z1347">
        <f>(M1347*Weights!$B$2) + (MIN(Q1347,Weights!$B$5)*Weights!$B$3*(W1347/100)*Weights!$B$4)</f>
        <v/>
      </c>
      <c r="AA1347">
        <f>IF(Z1347= ,,RANK.EQ({pri_col_letter}{r},{pri_range},0))</f>
        <v/>
      </c>
    </row>
    <row r="1348">
      <c r="A1348" t="inlineStr">
        <is>
          <t>FM Transp</t>
        </is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inlineStr">
        <is>
          <t>Tier 4</t>
        </is>
      </c>
      <c r="O1348" t="inlineStr">
        <is>
          <t>Flavio Marinho — CEO</t>
        </is>
      </c>
      <c r="P1348" t="inlineStr">
        <is>
          <t>CEO</t>
        </is>
      </c>
      <c r="Y1348" t="inlineStr">
        <is>
          <t>todo</t>
        </is>
      </c>
      <c r="Z1348">
        <f>(M1348*Weights!$B$2) + (MIN(Q1348,Weights!$B$5)*Weights!$B$3*(W1348/100)*Weights!$B$4)</f>
        <v/>
      </c>
      <c r="AA1348">
        <f>IF(Z1348= ,,RANK.EQ({pri_col_letter}{r},{pri_range},0))</f>
        <v/>
      </c>
    </row>
    <row r="1349">
      <c r="A1349" t="inlineStr">
        <is>
          <t>FORTÉ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inlineStr">
        <is>
          <t>Tier 4</t>
        </is>
      </c>
      <c r="O1349" t="inlineStr">
        <is>
          <t>Kendra Apelt — Sr. Director of Digital Solutions</t>
        </is>
      </c>
      <c r="P1349" t="inlineStr">
        <is>
          <t>Sr. Director of Digital Solutions</t>
        </is>
      </c>
      <c r="Y1349" t="inlineStr">
        <is>
          <t>todo</t>
        </is>
      </c>
      <c r="Z1349">
        <f>(M1349*Weights!$B$2) + (MIN(Q1349,Weights!$B$5)*Weights!$B$3*(W1349/100)*Weights!$B$4)</f>
        <v/>
      </c>
      <c r="AA1349">
        <f>IF(Z1349= ,,RANK.EQ({pri_col_letter}{r},{pri_range},0))</f>
        <v/>
      </c>
    </row>
    <row r="1350">
      <c r="A1350" t="inlineStr">
        <is>
          <t>FR8MVMT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inlineStr">
        <is>
          <t>Tier 4</t>
        </is>
      </c>
      <c r="O1350" t="inlineStr">
        <is>
          <t>Jennie Malafarina — Co-Founder</t>
        </is>
      </c>
      <c r="P1350" t="inlineStr">
        <is>
          <t>Co-Founder</t>
        </is>
      </c>
      <c r="Y1350" t="inlineStr">
        <is>
          <t>todo</t>
        </is>
      </c>
      <c r="Z1350">
        <f>(M1350*Weights!$B$2) + (MIN(Q1350,Weights!$B$5)*Weights!$B$3*(W1350/100)*Weights!$B$4)</f>
        <v/>
      </c>
      <c r="AA1350">
        <f>IF(Z1350= ,,RANK.EQ({pri_col_letter}{r},{pri_range},0))</f>
        <v/>
      </c>
    </row>
    <row r="1351">
      <c r="A1351" t="inlineStr">
        <is>
          <t>FSL Group LLC</t>
        </is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inlineStr">
        <is>
          <t>Tier 4</t>
        </is>
      </c>
      <c r="O1351" t="inlineStr">
        <is>
          <t>Michael Hood — VP Tech</t>
        </is>
      </c>
      <c r="P1351" t="inlineStr">
        <is>
          <t>VP Tech</t>
        </is>
      </c>
      <c r="Y1351" t="inlineStr">
        <is>
          <t>todo</t>
        </is>
      </c>
      <c r="Z1351">
        <f>(M1351*Weights!$B$2) + (MIN(Q1351,Weights!$B$5)*Weights!$B$3*(W1351/100)*Weights!$B$4)</f>
        <v/>
      </c>
      <c r="AA1351">
        <f>IF(Z1351= ,,RANK.EQ({pri_col_letter}{r},{pri_range},0))</f>
        <v/>
      </c>
    </row>
    <row r="1352">
      <c r="A1352" t="inlineStr">
        <is>
          <t>Fabulous Las Vegas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inlineStr">
        <is>
          <t>Tier 4</t>
        </is>
      </c>
      <c r="O1352" t="inlineStr">
        <is>
          <t>Michael Goetzmann — Journalist</t>
        </is>
      </c>
      <c r="P1352" t="inlineStr">
        <is>
          <t>Journalist</t>
        </is>
      </c>
      <c r="Y1352" t="inlineStr">
        <is>
          <t>todo</t>
        </is>
      </c>
      <c r="Z1352">
        <f>(M1352*Weights!$B$2) + (MIN(Q1352,Weights!$B$5)*Weights!$B$3*(W1352/100)*Weights!$B$4)</f>
        <v/>
      </c>
      <c r="AA1352">
        <f>IF(Z1352= ,,RANK.EQ({pri_col_letter}{r},{pri_range},0))</f>
        <v/>
      </c>
    </row>
    <row r="1353">
      <c r="A1353" t="inlineStr">
        <is>
          <t>Factored Quality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inlineStr">
        <is>
          <t>Tier 4</t>
        </is>
      </c>
      <c r="O1353" t="inlineStr">
        <is>
          <t>Prince Gosh — Founder</t>
        </is>
      </c>
      <c r="P1353" t="inlineStr">
        <is>
          <t>Founder</t>
        </is>
      </c>
      <c r="Y1353" t="inlineStr">
        <is>
          <t>todo</t>
        </is>
      </c>
      <c r="Z1353">
        <f>(M1353*Weights!$B$2) + (MIN(Q1353,Weights!$B$5)*Weights!$B$3*(W1353/100)*Weights!$B$4)</f>
        <v/>
      </c>
      <c r="AA1353">
        <f>IF(Z1353= ,,RANK.EQ({pri_col_letter}{r},{pri_range},0))</f>
        <v/>
      </c>
    </row>
    <row r="1354">
      <c r="A1354" t="inlineStr">
        <is>
          <t>Fexel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>
        <is>
          <t>Tier 4</t>
        </is>
      </c>
      <c r="O1354" t="inlineStr">
        <is>
          <t>Wiener Mondesir — CEO</t>
        </is>
      </c>
      <c r="P1354" t="inlineStr">
        <is>
          <t>CEO</t>
        </is>
      </c>
      <c r="Y1354" t="inlineStr">
        <is>
          <t>todo</t>
        </is>
      </c>
      <c r="Z1354">
        <f>(M1354*Weights!$B$2) + (MIN(Q1354,Weights!$B$5)*Weights!$B$3*(W1354/100)*Weights!$B$4)</f>
        <v/>
      </c>
      <c r="AA1354">
        <f>IF(Z1354= ,,RANK.EQ({pri_col_letter}{r},{pri_range},0))</f>
        <v/>
      </c>
    </row>
    <row r="1355">
      <c r="A1355" t="inlineStr">
        <is>
          <t>Fika Ventures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>
        <is>
          <t>Tier 4</t>
        </is>
      </c>
      <c r="O1355" t="inlineStr">
        <is>
          <t>Olivia Pittard — Senior Associate</t>
        </is>
      </c>
      <c r="P1355" t="inlineStr">
        <is>
          <t>Senior Associate</t>
        </is>
      </c>
      <c r="Y1355" t="inlineStr">
        <is>
          <t>todo</t>
        </is>
      </c>
      <c r="Z1355">
        <f>(M1355*Weights!$B$2) + (MIN(Q1355,Weights!$B$5)*Weights!$B$3*(W1355/100)*Weights!$B$4)</f>
        <v/>
      </c>
      <c r="AA1355">
        <f>IF(Z1355= ,,RANK.EQ({pri_col_letter}{r},{pri_range},0))</f>
        <v/>
      </c>
    </row>
    <row r="1356">
      <c r="A1356" t="inlineStr">
        <is>
          <t>FireFly Systems LLC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>
        <is>
          <t>Tier 4</t>
        </is>
      </c>
      <c r="O1356" t="inlineStr">
        <is>
          <t>Paul Sandhu — Co-Founder</t>
        </is>
      </c>
      <c r="P1356" t="inlineStr">
        <is>
          <t>Co-Founder</t>
        </is>
      </c>
      <c r="Y1356" t="inlineStr">
        <is>
          <t>todo</t>
        </is>
      </c>
      <c r="Z1356">
        <f>(M1356*Weights!$B$2) + (MIN(Q1356,Weights!$B$5)*Weights!$B$3*(W1356/100)*Weights!$B$4)</f>
        <v/>
      </c>
      <c r="AA1356">
        <f>IF(Z1356= ,,RANK.EQ({pri_col_letter}{r},{pri_range},0))</f>
        <v/>
      </c>
    </row>
    <row r="1357">
      <c r="A1357" t="inlineStr">
        <is>
          <t>Firebrand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inlineStr">
        <is>
          <t>Tier 4</t>
        </is>
      </c>
      <c r="O1357" t="inlineStr">
        <is>
          <t>Meshach Weber — President &amp; Behavior Designer</t>
        </is>
      </c>
      <c r="P1357" t="inlineStr">
        <is>
          <t>President &amp; Behavior Designer</t>
        </is>
      </c>
      <c r="Y1357" t="inlineStr">
        <is>
          <t>todo</t>
        </is>
      </c>
      <c r="Z1357">
        <f>(M1357*Weights!$B$2) + (MIN(Q1357,Weights!$B$5)*Weights!$B$3*(W1357/100)*Weights!$B$4)</f>
        <v/>
      </c>
      <c r="AA1357">
        <f>IF(Z1357= ,,RANK.EQ({pri_col_letter}{r},{pri_range},0))</f>
        <v/>
      </c>
    </row>
    <row r="1358">
      <c r="A1358" t="inlineStr">
        <is>
          <t>Firstshift Inc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inlineStr">
        <is>
          <t>Tier 4</t>
        </is>
      </c>
      <c r="O1358" t="inlineStr">
        <is>
          <t>Hari Menon — CEO</t>
        </is>
      </c>
      <c r="P1358" t="inlineStr">
        <is>
          <t>CEO</t>
        </is>
      </c>
      <c r="Y1358" t="inlineStr">
        <is>
          <t>todo</t>
        </is>
      </c>
      <c r="Z1358">
        <f>(M1358*Weights!$B$2) + (MIN(Q1358,Weights!$B$5)*Weights!$B$3*(W1358/100)*Weights!$B$4)</f>
        <v/>
      </c>
      <c r="AA1358">
        <f>IF(Z1358= ,,RANK.EQ({pri_col_letter}{r},{pri_range},0))</f>
        <v/>
      </c>
    </row>
    <row r="1359">
      <c r="A1359" t="inlineStr">
        <is>
          <t>Fitzmark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>
        <is>
          <t>Tier 4</t>
        </is>
      </c>
      <c r="O1359" t="inlineStr">
        <is>
          <t>Jacob Scherb — CTO</t>
        </is>
      </c>
      <c r="P1359" t="inlineStr">
        <is>
          <t>CTO</t>
        </is>
      </c>
      <c r="Y1359" t="inlineStr">
        <is>
          <t>todo</t>
        </is>
      </c>
      <c r="Z1359">
        <f>(M1359*Weights!$B$2) + (MIN(Q1359,Weights!$B$5)*Weights!$B$3*(W1359/100)*Weights!$B$4)</f>
        <v/>
      </c>
      <c r="AA1359">
        <f>IF(Z1359= ,,RANK.EQ({pri_col_letter}{r},{pri_range},0))</f>
        <v/>
      </c>
    </row>
    <row r="1360">
      <c r="A1360" t="inlineStr">
        <is>
          <t>Five Elms Capital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inlineStr">
        <is>
          <t>Tier 4</t>
        </is>
      </c>
      <c r="O1360" t="inlineStr">
        <is>
          <t>Josh Aroesty — Senior Associate</t>
        </is>
      </c>
      <c r="P1360" t="inlineStr">
        <is>
          <t>Senior Associate</t>
        </is>
      </c>
      <c r="Y1360" t="inlineStr">
        <is>
          <t>todo</t>
        </is>
      </c>
      <c r="Z1360">
        <f>(M1360*Weights!$B$2) + (MIN(Q1360,Weights!$B$5)*Weights!$B$3*(W1360/100)*Weights!$B$4)</f>
        <v/>
      </c>
      <c r="AA1360">
        <f>IF(Z1360= ,,RANK.EQ({pri_col_letter}{r},{pri_range},0))</f>
        <v/>
      </c>
    </row>
    <row r="1361">
      <c r="A1361" t="inlineStr">
        <is>
          <t>Flamemaster</t>
        </is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inlineStr">
        <is>
          <t>Tier 4</t>
        </is>
      </c>
      <c r="O1361" t="inlineStr">
        <is>
          <t>Josh Mazin — President</t>
        </is>
      </c>
      <c r="P1361" t="inlineStr">
        <is>
          <t>President</t>
        </is>
      </c>
      <c r="Y1361" t="inlineStr">
        <is>
          <t>todo</t>
        </is>
      </c>
      <c r="Z1361">
        <f>(M1361*Weights!$B$2) + (MIN(Q1361,Weights!$B$5)*Weights!$B$3*(W1361/100)*Weights!$B$4)</f>
        <v/>
      </c>
      <c r="AA1361">
        <f>IF(Z1361= ,,RANK.EQ({pri_col_letter}{r},{pri_range},0))</f>
        <v/>
      </c>
    </row>
    <row r="1362">
      <c r="A1362" t="inlineStr">
        <is>
          <t>Flat World Global Solutions</t>
        </is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>
        <is>
          <t>Tier 4</t>
        </is>
      </c>
      <c r="O1362" t="inlineStr">
        <is>
          <t>Kirk Ferrell — Managing Partner</t>
        </is>
      </c>
      <c r="P1362" t="inlineStr">
        <is>
          <t>Managing Partner</t>
        </is>
      </c>
      <c r="Y1362" t="inlineStr">
        <is>
          <t>todo</t>
        </is>
      </c>
      <c r="Z1362">
        <f>(M1362*Weights!$B$2) + (MIN(Q1362,Weights!$B$5)*Weights!$B$3*(W1362/100)*Weights!$B$4)</f>
        <v/>
      </c>
      <c r="AA1362">
        <f>IF(Z1362= ,,RANK.EQ({pri_col_letter}{r},{pri_range},0))</f>
        <v/>
      </c>
    </row>
    <row r="1363">
      <c r="A1363" t="inlineStr">
        <is>
          <t>Fleet Distribution Centers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inlineStr">
        <is>
          <t>Tier 4</t>
        </is>
      </c>
      <c r="O1363" t="inlineStr">
        <is>
          <t>Alex Habbaz — CEO</t>
        </is>
      </c>
      <c r="P1363" t="inlineStr">
        <is>
          <t>CEO</t>
        </is>
      </c>
      <c r="Y1363" t="inlineStr">
        <is>
          <t>todo</t>
        </is>
      </c>
      <c r="Z1363">
        <f>(M1363*Weights!$B$2) + (MIN(Q1363,Weights!$B$5)*Weights!$B$3*(W1363/100)*Weights!$B$4)</f>
        <v/>
      </c>
      <c r="AA1363">
        <f>IF(Z1363= ,,RANK.EQ({pri_col_letter}{r},{pri_range},0))</f>
        <v/>
      </c>
    </row>
    <row r="1364">
      <c r="A1364" t="inlineStr">
        <is>
          <t>Fleet Profit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inlineStr">
        <is>
          <t>Tier 4</t>
        </is>
      </c>
      <c r="O1364" t="inlineStr">
        <is>
          <t>Rohit Pujari — CEO</t>
        </is>
      </c>
      <c r="P1364" t="inlineStr">
        <is>
          <t>CEO</t>
        </is>
      </c>
      <c r="Y1364" t="inlineStr">
        <is>
          <t>todo</t>
        </is>
      </c>
      <c r="Z1364">
        <f>(M1364*Weights!$B$2) + (MIN(Q1364,Weights!$B$5)*Weights!$B$3*(W1364/100)*Weights!$B$4)</f>
        <v/>
      </c>
      <c r="AA1364">
        <f>IF(Z1364= ,,RANK.EQ({pri_col_letter}{r},{pri_range},0))</f>
        <v/>
      </c>
    </row>
    <row r="1365">
      <c r="A1365" t="inlineStr">
        <is>
          <t>Floxmind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inlineStr">
        <is>
          <t>Tier 4</t>
        </is>
      </c>
      <c r="O1365" t="inlineStr">
        <is>
          <t>Yanwen Chen — CEO</t>
        </is>
      </c>
      <c r="P1365" t="inlineStr">
        <is>
          <t>CEO</t>
        </is>
      </c>
      <c r="Y1365" t="inlineStr">
        <is>
          <t>todo</t>
        </is>
      </c>
      <c r="Z1365">
        <f>(M1365*Weights!$B$2) + (MIN(Q1365,Weights!$B$5)*Weights!$B$3*(W1365/100)*Weights!$B$4)</f>
        <v/>
      </c>
      <c r="AA1365">
        <f>IF(Z1365= ,,RANK.EQ({pri_col_letter}{r},{pri_range},0))</f>
        <v/>
      </c>
    </row>
    <row r="1366">
      <c r="A1366" t="inlineStr">
        <is>
          <t>Fontinalis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>
        <is>
          <t>Tier 4</t>
        </is>
      </c>
      <c r="O1366" t="inlineStr">
        <is>
          <t>Chris Stallman — Managing Partner</t>
        </is>
      </c>
      <c r="P1366" t="inlineStr">
        <is>
          <t>Managing Partner</t>
        </is>
      </c>
      <c r="Y1366" t="inlineStr">
        <is>
          <t>todo</t>
        </is>
      </c>
      <c r="Z1366">
        <f>(M1366*Weights!$B$2) + (MIN(Q1366,Weights!$B$5)*Weights!$B$3*(W1366/100)*Weights!$B$4)</f>
        <v/>
      </c>
      <c r="AA1366">
        <f>IF(Z1366= ,,RANK.EQ({pri_col_letter}{r},{pri_range},0))</f>
        <v/>
      </c>
    </row>
    <row r="1367">
      <c r="A1367" t="inlineStr">
        <is>
          <t>Formula L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inlineStr">
        <is>
          <t>Tier 4</t>
        </is>
      </c>
      <c r="O1367" t="inlineStr">
        <is>
          <t>Holly LaBoda — CGO / CEO</t>
        </is>
      </c>
      <c r="P1367" t="inlineStr">
        <is>
          <t>CGO / CEO</t>
        </is>
      </c>
      <c r="Y1367" t="inlineStr">
        <is>
          <t>todo</t>
        </is>
      </c>
      <c r="Z1367">
        <f>(M1367*Weights!$B$2) + (MIN(Q1367,Weights!$B$5)*Weights!$B$3*(W1367/100)*Weights!$B$4)</f>
        <v/>
      </c>
      <c r="AA1367">
        <f>IF(Z1367= ,,RANK.EQ({pri_col_letter}{r},{pri_range},0))</f>
        <v/>
      </c>
    </row>
    <row r="1368">
      <c r="A1368" t="inlineStr">
        <is>
          <t>Fort Point Capital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inlineStr">
        <is>
          <t>Tier 4</t>
        </is>
      </c>
      <c r="O1368" t="inlineStr">
        <is>
          <t>Andrew Les — Vice President</t>
        </is>
      </c>
      <c r="P1368" t="inlineStr">
        <is>
          <t>Vice President</t>
        </is>
      </c>
      <c r="Y1368" t="inlineStr">
        <is>
          <t>todo</t>
        </is>
      </c>
      <c r="Z1368">
        <f>(M1368*Weights!$B$2) + (MIN(Q1368,Weights!$B$5)*Weights!$B$3*(W1368/100)*Weights!$B$4)</f>
        <v/>
      </c>
      <c r="AA1368">
        <f>IF(Z1368= ,,RANK.EQ({pri_col_letter}{r},{pri_range},0))</f>
        <v/>
      </c>
    </row>
    <row r="1369">
      <c r="A1369" t="inlineStr">
        <is>
          <t>Fortune Brands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inlineStr">
        <is>
          <t>Tier 4</t>
        </is>
      </c>
      <c r="O1369" t="inlineStr">
        <is>
          <t>Lina Alvarado — Director Supply Planning &amp; Execution</t>
        </is>
      </c>
      <c r="P1369" t="inlineStr">
        <is>
          <t>Director Supply Planning &amp; Execution</t>
        </is>
      </c>
      <c r="Y1369" t="inlineStr">
        <is>
          <t>todo</t>
        </is>
      </c>
      <c r="Z1369">
        <f>(M1369*Weights!$B$2) + (MIN(Q1369,Weights!$B$5)*Weights!$B$3*(W1369/100)*Weights!$B$4)</f>
        <v/>
      </c>
      <c r="AA1369">
        <f>IF(Z1369= ,,RANK.EQ({pri_col_letter}{r},{pri_range},0))</f>
        <v/>
      </c>
    </row>
    <row r="1370">
      <c r="A1370" t="inlineStr">
        <is>
          <t>Forward Group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inlineStr">
        <is>
          <t>Tier 4</t>
        </is>
      </c>
      <c r="O1370" t="inlineStr">
        <is>
          <t>Stakh Vozniak — CEO</t>
        </is>
      </c>
      <c r="P1370" t="inlineStr">
        <is>
          <t>CEO</t>
        </is>
      </c>
      <c r="Y1370" t="inlineStr">
        <is>
          <t>todo</t>
        </is>
      </c>
      <c r="Z1370">
        <f>(M1370*Weights!$B$2) + (MIN(Q1370,Weights!$B$5)*Weights!$B$3*(W1370/100)*Weights!$B$4)</f>
        <v/>
      </c>
      <c r="AA1370">
        <f>IF(Z1370= ,,RANK.EQ({pri_col_letter}{r},{pri_range},0))</f>
        <v/>
      </c>
    </row>
    <row r="1371">
      <c r="A1371" t="inlineStr">
        <is>
          <t>Forward®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inlineStr">
        <is>
          <t>Tier 4</t>
        </is>
      </c>
      <c r="O1371" t="inlineStr">
        <is>
          <t>Dimitris Alexiou — CMO</t>
        </is>
      </c>
      <c r="P1371" t="inlineStr">
        <is>
          <t>CMO</t>
        </is>
      </c>
      <c r="Y1371" t="inlineStr">
        <is>
          <t>todo</t>
        </is>
      </c>
      <c r="Z1371">
        <f>(M1371*Weights!$B$2) + (MIN(Q1371,Weights!$B$5)*Weights!$B$3*(W1371/100)*Weights!$B$4)</f>
        <v/>
      </c>
      <c r="AA1371">
        <f>IF(Z1371= ,,RANK.EQ({pri_col_letter}{r},{pri_range},0))</f>
        <v/>
      </c>
    </row>
    <row r="1372">
      <c r="A1372" t="inlineStr">
        <is>
          <t>Founder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>
        <is>
          <t>Tier 4</t>
        </is>
      </c>
      <c r="O1372" t="inlineStr">
        <is>
          <t>Carmen Mirabella — Fulex</t>
        </is>
      </c>
      <c r="P1372" t="inlineStr">
        <is>
          <t>Fulex</t>
        </is>
      </c>
      <c r="Y1372" t="inlineStr">
        <is>
          <t>todo</t>
        </is>
      </c>
      <c r="Z1372">
        <f>(M1372*Weights!$B$2) + (MIN(Q1372,Weights!$B$5)*Weights!$B$3*(W1372/100)*Weights!$B$4)</f>
        <v/>
      </c>
      <c r="AA1372">
        <f>IF(Z1372= ,,RANK.EQ({pri_col_letter}{r},{pri_range},0))</f>
        <v/>
      </c>
    </row>
    <row r="1373">
      <c r="A1373" t="inlineStr">
        <is>
          <t>Founder &amp; CEO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inlineStr">
        <is>
          <t>Tier 4</t>
        </is>
      </c>
      <c r="O1373" t="inlineStr">
        <is>
          <t>Krenar Komoni — Tive</t>
        </is>
      </c>
      <c r="P1373" t="inlineStr">
        <is>
          <t>Tive</t>
        </is>
      </c>
      <c r="Y1373" t="inlineStr">
        <is>
          <t>todo</t>
        </is>
      </c>
      <c r="Z1373">
        <f>(M1373*Weights!$B$2) + (MIN(Q1373,Weights!$B$5)*Weights!$B$3*(W1373/100)*Weights!$B$4)</f>
        <v/>
      </c>
      <c r="AA1373">
        <f>IF(Z1373= ,,RANK.EQ({pri_col_letter}{r},{pri_range},0))</f>
        <v/>
      </c>
    </row>
    <row r="1374">
      <c r="A1374" t="inlineStr">
        <is>
          <t>Four Eighteen Technologies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inlineStr">
        <is>
          <t>Tier 4</t>
        </is>
      </c>
      <c r="O1374" t="inlineStr">
        <is>
          <t>John Cantrell — Director of Client Strategy</t>
        </is>
      </c>
      <c r="P1374" t="inlineStr">
        <is>
          <t>Director of Client Strategy</t>
        </is>
      </c>
      <c r="Y1374" t="inlineStr">
        <is>
          <t>todo</t>
        </is>
      </c>
      <c r="Z1374">
        <f>(M1374*Weights!$B$2) + (MIN(Q1374,Weights!$B$5)*Weights!$B$3*(W1374/100)*Weights!$B$4)</f>
        <v/>
      </c>
      <c r="AA1374">
        <f>IF(Z1374= ,,RANK.EQ({pri_col_letter}{r},{pri_range},0))</f>
        <v/>
      </c>
    </row>
    <row r="1375">
      <c r="A1375" t="inlineStr">
        <is>
          <t>Fox Carriers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inlineStr">
        <is>
          <t>Tier 4</t>
        </is>
      </c>
      <c r="O1375" t="inlineStr">
        <is>
          <t>Gregory Katz — Owner - CEO</t>
        </is>
      </c>
      <c r="P1375" t="inlineStr">
        <is>
          <t>Owner - CEO</t>
        </is>
      </c>
      <c r="Y1375" t="inlineStr">
        <is>
          <t>todo</t>
        </is>
      </c>
      <c r="Z1375">
        <f>(M1375*Weights!$B$2) + (MIN(Q1375,Weights!$B$5)*Weights!$B$3*(W1375/100)*Weights!$B$4)</f>
        <v/>
      </c>
      <c r="AA1375">
        <f>IF(Z1375= ,,RANK.EQ({pri_col_letter}{r},{pri_range},0))</f>
        <v/>
      </c>
    </row>
    <row r="1376">
      <c r="A1376" t="inlineStr">
        <is>
          <t>Fracht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inlineStr">
        <is>
          <t>Tier 4</t>
        </is>
      </c>
      <c r="O1376" t="inlineStr">
        <is>
          <t>Darwish Adi — VP Information Technology</t>
        </is>
      </c>
      <c r="P1376" t="inlineStr">
        <is>
          <t>VP Information Technology</t>
        </is>
      </c>
      <c r="Y1376" t="inlineStr">
        <is>
          <t>todo</t>
        </is>
      </c>
      <c r="Z1376">
        <f>(M1376*Weights!$B$2) + (MIN(Q1376,Weights!$B$5)*Weights!$B$3*(W1376/100)*Weights!$B$4)</f>
        <v/>
      </c>
      <c r="AA1376">
        <f>IF(Z1376= ,,RANK.EQ({pri_col_letter}{r},{pri_range},0))</f>
        <v/>
      </c>
    </row>
    <row r="1377">
      <c r="A1377" t="inlineStr">
        <is>
          <t>Fracht Group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>
        <is>
          <t>Tier 4</t>
        </is>
      </c>
      <c r="O1377" t="inlineStr">
        <is>
          <t>Reiner Wiederkehr — CEO</t>
        </is>
      </c>
      <c r="P1377" t="inlineStr">
        <is>
          <t>CEO</t>
        </is>
      </c>
      <c r="Y1377" t="inlineStr">
        <is>
          <t>todo</t>
        </is>
      </c>
      <c r="Z1377">
        <f>(M1377*Weights!$B$2) + (MIN(Q1377,Weights!$B$5)*Weights!$B$3*(W1377/100)*Weights!$B$4)</f>
        <v/>
      </c>
      <c r="AA1377">
        <f>IF(Z1377= ,,RANK.EQ({pri_col_letter}{r},{pri_range},0))</f>
        <v/>
      </c>
    </row>
    <row r="1378">
      <c r="A1378" t="inlineStr">
        <is>
          <t>Freck Beauty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inlineStr">
        <is>
          <t>Tier 4</t>
        </is>
      </c>
      <c r="O1378" t="inlineStr">
        <is>
          <t>Barbara Almeida — General Manager</t>
        </is>
      </c>
      <c r="P1378" t="inlineStr">
        <is>
          <t>General Manager</t>
        </is>
      </c>
      <c r="Y1378" t="inlineStr">
        <is>
          <t>todo</t>
        </is>
      </c>
      <c r="Z1378">
        <f>(M1378*Weights!$B$2) + (MIN(Q1378,Weights!$B$5)*Weights!$B$3*(W1378/100)*Weights!$B$4)</f>
        <v/>
      </c>
      <c r="AA1378">
        <f>IF(Z1378= ,,RANK.EQ({pri_col_letter}{r},{pri_range},0))</f>
        <v/>
      </c>
    </row>
    <row r="1379">
      <c r="A1379" t="inlineStr">
        <is>
          <t>Freehand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>
        <is>
          <t>Tier 4</t>
        </is>
      </c>
      <c r="O1379" t="inlineStr">
        <is>
          <t>Viveka Sasidhar — Director Demand Generation</t>
        </is>
      </c>
      <c r="P1379" t="inlineStr">
        <is>
          <t>Director Demand Generation</t>
        </is>
      </c>
      <c r="Y1379" t="inlineStr">
        <is>
          <t>todo</t>
        </is>
      </c>
      <c r="Z1379">
        <f>(M1379*Weights!$B$2) + (MIN(Q1379,Weights!$B$5)*Weights!$B$3*(W1379/100)*Weights!$B$4)</f>
        <v/>
      </c>
      <c r="AA1379">
        <f>IF(Z1379= ,,RANK.EQ({pri_col_letter}{r},{pri_range},0))</f>
        <v/>
      </c>
    </row>
    <row r="1380">
      <c r="A1380" t="inlineStr">
        <is>
          <t>FreighTech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inlineStr">
        <is>
          <t>Tier 4</t>
        </is>
      </c>
      <c r="O1380" t="inlineStr">
        <is>
          <t>Jim Waters — Industry Advisor</t>
        </is>
      </c>
      <c r="P1380" t="inlineStr">
        <is>
          <t>Industry Advisor</t>
        </is>
      </c>
      <c r="Y1380" t="inlineStr">
        <is>
          <t>todo</t>
        </is>
      </c>
      <c r="Z1380">
        <f>(M1380*Weights!$B$2) + (MIN(Q1380,Weights!$B$5)*Weights!$B$3*(W1380/100)*Weights!$B$4)</f>
        <v/>
      </c>
      <c r="AA1380">
        <f>IF(Z1380= ,,RANK.EQ({pri_col_letter}{r},{pri_range},0))</f>
        <v/>
      </c>
    </row>
    <row r="1381">
      <c r="A1381" t="inlineStr">
        <is>
          <t>Freight Caddie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>
        <is>
          <t>Tier 4</t>
        </is>
      </c>
      <c r="O1381" t="inlineStr">
        <is>
          <t>Michael Frazier — President</t>
        </is>
      </c>
      <c r="P1381" t="inlineStr">
        <is>
          <t>President</t>
        </is>
      </c>
      <c r="Y1381" t="inlineStr">
        <is>
          <t>todo</t>
        </is>
      </c>
      <c r="Z1381">
        <f>(M1381*Weights!$B$2) + (MIN(Q1381,Weights!$B$5)*Weights!$B$3*(W1381/100)*Weights!$B$4)</f>
        <v/>
      </c>
      <c r="AA1381">
        <f>IF(Z1381= ,,RANK.EQ({pri_col_letter}{r},{pri_range},0))</f>
        <v/>
      </c>
    </row>
    <row r="1382">
      <c r="A1382" t="inlineStr">
        <is>
          <t>Freight Deck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>
        <is>
          <t>Tier 4</t>
        </is>
      </c>
      <c r="O1382" t="inlineStr">
        <is>
          <t>Andy Tomka — President</t>
        </is>
      </c>
      <c r="P1382" t="inlineStr">
        <is>
          <t>President</t>
        </is>
      </c>
      <c r="Y1382" t="inlineStr">
        <is>
          <t>todo</t>
        </is>
      </c>
      <c r="Z1382">
        <f>(M1382*Weights!$B$2) + (MIN(Q1382,Weights!$B$5)*Weights!$B$3*(W1382/100)*Weights!$B$4)</f>
        <v/>
      </c>
      <c r="AA1382">
        <f>IF(Z1382= ,,RANK.EQ({pri_col_letter}{r},{pri_range},0))</f>
        <v/>
      </c>
    </row>
    <row r="1383">
      <c r="A1383" t="inlineStr">
        <is>
          <t>Freight Hero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>
        <is>
          <t>Tier 4</t>
        </is>
      </c>
      <c r="O1383" t="inlineStr">
        <is>
          <t>Andre Luis Martins Filho — CEO &amp; Founder</t>
        </is>
      </c>
      <c r="P1383" t="inlineStr">
        <is>
          <t>CEO &amp; Founder</t>
        </is>
      </c>
      <c r="Y1383" t="inlineStr">
        <is>
          <t>todo</t>
        </is>
      </c>
      <c r="Z1383">
        <f>(M1383*Weights!$B$2) + (MIN(Q1383,Weights!$B$5)*Weights!$B$3*(W1383/100)*Weights!$B$4)</f>
        <v/>
      </c>
      <c r="AA1383">
        <f>IF(Z1383= ,,RANK.EQ({pri_col_letter}{r},{pri_range},0))</f>
        <v/>
      </c>
    </row>
    <row r="1384">
      <c r="A1384" t="inlineStr">
        <is>
          <t>Freight Ventures</t>
        </is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>
        <is>
          <t>Tier 4</t>
        </is>
      </c>
      <c r="O1384" t="inlineStr">
        <is>
          <t>Max Doyle — General Partner</t>
        </is>
      </c>
      <c r="P1384" t="inlineStr">
        <is>
          <t>General Partner</t>
        </is>
      </c>
      <c r="Y1384" t="inlineStr">
        <is>
          <t>todo</t>
        </is>
      </c>
      <c r="Z1384">
        <f>(M1384*Weights!$B$2) + (MIN(Q1384,Weights!$B$5)*Weights!$B$3*(W1384/100)*Weights!$B$4)</f>
        <v/>
      </c>
      <c r="AA1384">
        <f>IF(Z1384= ,,RANK.EQ({pri_col_letter}{r},{pri_range},0))</f>
        <v/>
      </c>
    </row>
    <row r="1385">
      <c r="A1385" t="inlineStr">
        <is>
          <t>Freight Xpress / HighQ Logistics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inlineStr">
        <is>
          <t>Tier 4</t>
        </is>
      </c>
      <c r="O1385" t="inlineStr">
        <is>
          <t>Heshy Kryschek — CEO</t>
        </is>
      </c>
      <c r="P1385" t="inlineStr">
        <is>
          <t>CEO</t>
        </is>
      </c>
      <c r="Y1385" t="inlineStr">
        <is>
          <t>todo</t>
        </is>
      </c>
      <c r="Z1385">
        <f>(M1385*Weights!$B$2) + (MIN(Q1385,Weights!$B$5)*Weights!$B$3*(W1385/100)*Weights!$B$4)</f>
        <v/>
      </c>
      <c r="AA1385">
        <f>IF(Z1385= ,,RANK.EQ({pri_col_letter}{r},{pri_range},0))</f>
        <v/>
      </c>
    </row>
    <row r="1386">
      <c r="A1386" t="inlineStr">
        <is>
          <t>FreightRoll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>
        <is>
          <t>Tier 4</t>
        </is>
      </c>
      <c r="O1386" t="inlineStr">
        <is>
          <t>Jake Koppinger — CEO &amp; Founder</t>
        </is>
      </c>
      <c r="P1386" t="inlineStr">
        <is>
          <t>CEO &amp; Founder</t>
        </is>
      </c>
      <c r="Y1386" t="inlineStr">
        <is>
          <t>todo</t>
        </is>
      </c>
      <c r="Z1386">
        <f>(M1386*Weights!$B$2) + (MIN(Q1386,Weights!$B$5)*Weights!$B$3*(W1386/100)*Weights!$B$4)</f>
        <v/>
      </c>
      <c r="AA1386">
        <f>IF(Z1386= ,,RANK.EQ({pri_col_letter}{r},{pri_range},0))</f>
        <v/>
      </c>
    </row>
    <row r="1387">
      <c r="A1387" t="inlineStr">
        <is>
          <t>FreightSnap LLC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inlineStr">
        <is>
          <t>Tier 4</t>
        </is>
      </c>
      <c r="O1387" t="inlineStr">
        <is>
          <t>Bryan Eichenberg — CTO</t>
        </is>
      </c>
      <c r="P1387" t="inlineStr">
        <is>
          <t>CTO</t>
        </is>
      </c>
      <c r="Y1387" t="inlineStr">
        <is>
          <t>todo</t>
        </is>
      </c>
      <c r="Z1387">
        <f>(M1387*Weights!$B$2) + (MIN(Q1387,Weights!$B$5)*Weights!$B$3*(W1387/100)*Weights!$B$4)</f>
        <v/>
      </c>
      <c r="AA1387">
        <f>IF(Z1387= ,,RANK.EQ({pri_col_letter}{r},{pri_range},0))</f>
        <v/>
      </c>
    </row>
    <row r="1388">
      <c r="A1388" t="inlineStr">
        <is>
          <t>FreightVana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>
        <is>
          <t>Tier 4</t>
        </is>
      </c>
      <c r="O1388" t="inlineStr">
        <is>
          <t>Shannon Breen — CEO &amp; Founder</t>
        </is>
      </c>
      <c r="P1388" t="inlineStr">
        <is>
          <t>CEO &amp; Founder</t>
        </is>
      </c>
      <c r="Y1388" t="inlineStr">
        <is>
          <t>todo</t>
        </is>
      </c>
      <c r="Z1388">
        <f>(M1388*Weights!$B$2) + (MIN(Q1388,Weights!$B$5)*Weights!$B$3*(W1388/100)*Weights!$B$4)</f>
        <v/>
      </c>
      <c r="AA1388">
        <f>IF(Z1388= ,,RANK.EQ({pri_col_letter}{r},{pri_range},0))</f>
        <v/>
      </c>
    </row>
    <row r="1389">
      <c r="A1389" t="inlineStr">
        <is>
          <t>FreightWise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>
        <is>
          <t>Tier 4</t>
        </is>
      </c>
      <c r="O1389" t="inlineStr">
        <is>
          <t>Jeff Graan — Sr. Director, Solution Consulting</t>
        </is>
      </c>
      <c r="P1389" t="inlineStr">
        <is>
          <t>Sr. Director, Solution Consulting</t>
        </is>
      </c>
      <c r="Y1389" t="inlineStr">
        <is>
          <t>todo</t>
        </is>
      </c>
      <c r="Z1389">
        <f>(M1389*Weights!$B$2) + (MIN(Q1389,Weights!$B$5)*Weights!$B$3*(W1389/100)*Weights!$B$4)</f>
        <v/>
      </c>
      <c r="AA1389">
        <f>IF(Z1389= ,,RANK.EQ({pri_col_letter}{r},{pri_range},0))</f>
        <v/>
      </c>
    </row>
    <row r="1390">
      <c r="A1390" t="inlineStr">
        <is>
          <t>Freightos Hong Kong Limited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>
        <is>
          <t>Tier 4</t>
        </is>
      </c>
      <c r="O1390" t="inlineStr">
        <is>
          <t>Oliver Esch — VP Commercial, Enterprise Shippers</t>
        </is>
      </c>
      <c r="P1390" t="inlineStr">
        <is>
          <t>VP Commercial, Enterprise Shippers</t>
        </is>
      </c>
      <c r="Y1390" t="inlineStr">
        <is>
          <t>todo</t>
        </is>
      </c>
      <c r="Z1390">
        <f>(M1390*Weights!$B$2) + (MIN(Q1390,Weights!$B$5)*Weights!$B$3*(W1390/100)*Weights!$B$4)</f>
        <v/>
      </c>
      <c r="AA1390">
        <f>IF(Z1390= ,,RANK.EQ({pri_col_letter}{r},{pri_range},0))</f>
        <v/>
      </c>
    </row>
    <row r="1391">
      <c r="A1391" t="inlineStr">
        <is>
          <t>Freightos Ltd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>
        <is>
          <t>Tier 4</t>
        </is>
      </c>
      <c r="O1391" t="inlineStr">
        <is>
          <t>Ian Arroyo — Chief Strategy Officer (CSO)</t>
        </is>
      </c>
      <c r="P1391" t="inlineStr">
        <is>
          <t>Chief Strategy Officer (CSO)</t>
        </is>
      </c>
      <c r="Y1391" t="inlineStr">
        <is>
          <t>todo</t>
        </is>
      </c>
      <c r="Z1391">
        <f>(M1391*Weights!$B$2) + (MIN(Q1391,Weights!$B$5)*Weights!$B$3*(W1391/100)*Weights!$B$4)</f>
        <v/>
      </c>
      <c r="AA1391">
        <f>IF(Z1391= ,,RANK.EQ({pri_col_letter}{r},{pri_range},0))</f>
        <v/>
      </c>
    </row>
    <row r="1392">
      <c r="A1392" t="inlineStr">
        <is>
          <t>Freightwaves</t>
        </is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>
        <is>
          <t>Tier 4</t>
        </is>
      </c>
      <c r="O1392" t="inlineStr">
        <is>
          <t>Thomas Wasson — Enterprise Trucking Expert</t>
        </is>
      </c>
      <c r="P1392" t="inlineStr">
        <is>
          <t>Enterprise Trucking Expert</t>
        </is>
      </c>
      <c r="Y1392" t="inlineStr">
        <is>
          <t>todo</t>
        </is>
      </c>
      <c r="Z1392">
        <f>(M1392*Weights!$B$2) + (MIN(Q1392,Weights!$B$5)*Weights!$B$3*(W1392/100)*Weights!$B$4)</f>
        <v/>
      </c>
      <c r="AA1392">
        <f>IF(Z1392= ,,RANK.EQ({pri_col_letter}{r},{pri_range},0))</f>
        <v/>
      </c>
    </row>
    <row r="1393">
      <c r="A1393" t="inlineStr">
        <is>
          <t>Fresh Clean Threads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>
        <is>
          <t>Tier 4</t>
        </is>
      </c>
      <c r="O1393" t="inlineStr">
        <is>
          <t>Mollie Ritterband — COO</t>
        </is>
      </c>
      <c r="P1393" t="inlineStr">
        <is>
          <t>COO</t>
        </is>
      </c>
      <c r="Y1393" t="inlineStr">
        <is>
          <t>todo</t>
        </is>
      </c>
      <c r="Z1393">
        <f>(M1393*Weights!$B$2) + (MIN(Q1393,Weights!$B$5)*Weights!$B$3*(W1393/100)*Weights!$B$4)</f>
        <v/>
      </c>
      <c r="AA1393">
        <f>IF(Z1393= ,,RANK.EQ({pri_col_letter}{r},{pri_range},0))</f>
        <v/>
      </c>
    </row>
    <row r="1394">
      <c r="A1394" t="inlineStr">
        <is>
          <t>FreshDirect</t>
        </is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>
        <is>
          <t>Tier 4</t>
        </is>
      </c>
      <c r="O1394" t="inlineStr">
        <is>
          <t>Pinar Kucukyilmaz — Director, Continuous Improvement</t>
        </is>
      </c>
      <c r="P1394" t="inlineStr">
        <is>
          <t>Director, Continuous Improvement</t>
        </is>
      </c>
      <c r="Y1394" t="inlineStr">
        <is>
          <t>todo</t>
        </is>
      </c>
      <c r="Z1394">
        <f>(M1394*Weights!$B$2) + (MIN(Q1394,Weights!$B$5)*Weights!$B$3*(W1394/100)*Weights!$B$4)</f>
        <v/>
      </c>
      <c r="AA1394">
        <f>IF(Z1394= ,,RANK.EQ({pri_col_letter}{r},{pri_range},0))</f>
        <v/>
      </c>
    </row>
    <row r="1395">
      <c r="A1395" t="inlineStr">
        <is>
          <t>Frida Baby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>
        <is>
          <t>Tier 4</t>
        </is>
      </c>
      <c r="O1395" t="inlineStr">
        <is>
          <t>Andy Viteo — Director of Order Processing</t>
        </is>
      </c>
      <c r="P1395" t="inlineStr">
        <is>
          <t>Director of Order Processing</t>
        </is>
      </c>
      <c r="Y1395" t="inlineStr">
        <is>
          <t>todo</t>
        </is>
      </c>
      <c r="Z1395">
        <f>(M1395*Weights!$B$2) + (MIN(Q1395,Weights!$B$5)*Weights!$B$3*(W1395/100)*Weights!$B$4)</f>
        <v/>
      </c>
      <c r="AA1395">
        <f>IF(Z1395= ,,RANK.EQ({pri_col_letter}{r},{pri_range},0))</f>
        <v/>
      </c>
    </row>
    <row r="1396">
      <c r="A1396" t="inlineStr">
        <is>
          <t>Fulcrum Equity Partners</t>
        </is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inlineStr">
        <is>
          <t>Tier 4</t>
        </is>
      </c>
      <c r="O1396" t="inlineStr">
        <is>
          <t>Brent Dorfman — Principal</t>
        </is>
      </c>
      <c r="P1396" t="inlineStr">
        <is>
          <t>Principal</t>
        </is>
      </c>
      <c r="Y1396" t="inlineStr">
        <is>
          <t>todo</t>
        </is>
      </c>
      <c r="Z1396">
        <f>(M1396*Weights!$B$2) + (MIN(Q1396,Weights!$B$5)*Weights!$B$3*(W1396/100)*Weights!$B$4)</f>
        <v/>
      </c>
      <c r="AA1396">
        <f>IF(Z1396= ,,RANK.EQ({pri_col_letter}{r},{pri_range},0))</f>
        <v/>
      </c>
    </row>
    <row r="1397">
      <c r="A1397" t="inlineStr">
        <is>
          <t>Fulfillment WMS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inlineStr">
        <is>
          <t>Tier 4</t>
        </is>
      </c>
      <c r="O1397" t="inlineStr">
        <is>
          <t>Tim Wolin — President &amp; CEO</t>
        </is>
      </c>
      <c r="P1397" t="inlineStr">
        <is>
          <t>President &amp; CEO</t>
        </is>
      </c>
      <c r="Y1397" t="inlineStr">
        <is>
          <t>todo</t>
        </is>
      </c>
      <c r="Z1397">
        <f>(M1397*Weights!$B$2) + (MIN(Q1397,Weights!$B$5)*Weights!$B$3*(W1397/100)*Weights!$B$4)</f>
        <v/>
      </c>
      <c r="AA1397">
        <f>IF(Z1397= ,,RANK.EQ({pri_col_letter}{r},{pri_range},0))</f>
        <v/>
      </c>
    </row>
    <row r="1398">
      <c r="A1398" t="inlineStr">
        <is>
          <t>Full Course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>
        <is>
          <t>Tier 4</t>
        </is>
      </c>
      <c r="O1398" t="inlineStr">
        <is>
          <t>Lauren Fernandez — CEO &amp; Founder</t>
        </is>
      </c>
      <c r="P1398" t="inlineStr">
        <is>
          <t>CEO &amp; Founder</t>
        </is>
      </c>
      <c r="Y1398" t="inlineStr">
        <is>
          <t>todo</t>
        </is>
      </c>
      <c r="Z1398">
        <f>(M1398*Weights!$B$2) + (MIN(Q1398,Weights!$B$5)*Weights!$B$3*(W1398/100)*Weights!$B$4)</f>
        <v/>
      </c>
      <c r="AA1398">
        <f>IF(Z1398= ,,RANK.EQ({pri_col_letter}{r},{pri_range},0))</f>
        <v/>
      </c>
    </row>
    <row r="1399">
      <c r="A1399" t="inlineStr">
        <is>
          <t>FullSeam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inlineStr">
        <is>
          <t>Tier 4</t>
        </is>
      </c>
      <c r="O1399" t="inlineStr">
        <is>
          <t>Tom Dowling — CEO</t>
        </is>
      </c>
      <c r="P1399" t="inlineStr">
        <is>
          <t>CEO</t>
        </is>
      </c>
      <c r="Y1399" t="inlineStr">
        <is>
          <t>todo</t>
        </is>
      </c>
      <c r="Z1399">
        <f>(M1399*Weights!$B$2) + (MIN(Q1399,Weights!$B$5)*Weights!$B$3*(W1399/100)*Weights!$B$4)</f>
        <v/>
      </c>
      <c r="AA1399">
        <f>IF(Z1399= ,,RANK.EQ({pri_col_letter}{r},{pri_range},0))</f>
        <v/>
      </c>
    </row>
    <row r="1400">
      <c r="A1400" t="inlineStr">
        <is>
          <t>Fullfillment House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>
        <is>
          <t>Tier 4</t>
        </is>
      </c>
      <c r="O1400" t="inlineStr">
        <is>
          <t>Kurt Hamilton — Executive Director</t>
        </is>
      </c>
      <c r="P1400" t="inlineStr">
        <is>
          <t>Executive Director</t>
        </is>
      </c>
      <c r="Y1400" t="inlineStr">
        <is>
          <t>todo</t>
        </is>
      </c>
      <c r="Z1400">
        <f>(M1400*Weights!$B$2) + (MIN(Q1400,Weights!$B$5)*Weights!$B$3*(W1400/100)*Weights!$B$4)</f>
        <v/>
      </c>
      <c r="AA1400">
        <f>IF(Z1400= ,,RANK.EQ({pri_col_letter}{r},{pri_range},0))</f>
        <v/>
      </c>
    </row>
    <row r="1401">
      <c r="A1401" t="inlineStr">
        <is>
          <t>Fullstride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inlineStr">
        <is>
          <t>Tier 4</t>
        </is>
      </c>
      <c r="O1401" t="inlineStr">
        <is>
          <t>Casey Winans — CEO</t>
        </is>
      </c>
      <c r="P1401" t="inlineStr">
        <is>
          <t>CEO</t>
        </is>
      </c>
      <c r="Y1401" t="inlineStr">
        <is>
          <t>todo</t>
        </is>
      </c>
      <c r="Z1401">
        <f>(M1401*Weights!$B$2) + (MIN(Q1401,Weights!$B$5)*Weights!$B$3*(W1401/100)*Weights!$B$4)</f>
        <v/>
      </c>
      <c r="AA1401">
        <f>IF(Z1401= ,,RANK.EQ({pri_col_letter}{r},{pri_range},0))</f>
        <v/>
      </c>
    </row>
    <row r="1402">
      <c r="A1402" t="inlineStr">
        <is>
          <t>Fundación Valenciaport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>
        <is>
          <t>Tier 4</t>
        </is>
      </c>
      <c r="O1402" t="inlineStr">
        <is>
          <t>Jorge Marcos — Head of Opentop</t>
        </is>
      </c>
      <c r="P1402" t="inlineStr">
        <is>
          <t>Head of Opentop</t>
        </is>
      </c>
      <c r="Y1402" t="inlineStr">
        <is>
          <t>todo</t>
        </is>
      </c>
      <c r="Z1402">
        <f>(M1402*Weights!$B$2) + (MIN(Q1402,Weights!$B$5)*Weights!$B$3*(W1402/100)*Weights!$B$4)</f>
        <v/>
      </c>
      <c r="AA1402">
        <f>IF(Z1402= ,,RANK.EQ({pri_col_letter}{r},{pri_range},0))</f>
        <v/>
      </c>
    </row>
    <row r="1403">
      <c r="A1403" t="inlineStr">
        <is>
          <t>Futurome</t>
        </is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inlineStr">
        <is>
          <t>Tier 4</t>
        </is>
      </c>
      <c r="O1403" t="inlineStr">
        <is>
          <t>Francisco Lara — Chief Operating Officer</t>
        </is>
      </c>
      <c r="P1403" t="inlineStr">
        <is>
          <t>Chief Operating Officer</t>
        </is>
      </c>
      <c r="Y1403" t="inlineStr">
        <is>
          <t>todo</t>
        </is>
      </c>
      <c r="Z1403">
        <f>(M1403*Weights!$B$2) + (MIN(Q1403,Weights!$B$5)*Weights!$B$3*(W1403/100)*Weights!$B$4)</f>
        <v/>
      </c>
      <c r="AA1403">
        <f>IF(Z1403= ,,RANK.EQ({pri_col_letter}{r},{pri_range},0))</f>
        <v/>
      </c>
    </row>
    <row r="1404">
      <c r="A1404" t="inlineStr">
        <is>
          <t>G&amp;P Construction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inlineStr">
        <is>
          <t>Tier 4</t>
        </is>
      </c>
      <c r="O1404" t="inlineStr">
        <is>
          <t>Mike Gorey — Owner</t>
        </is>
      </c>
      <c r="P1404" t="inlineStr">
        <is>
          <t>Owner</t>
        </is>
      </c>
      <c r="Y1404" t="inlineStr">
        <is>
          <t>todo</t>
        </is>
      </c>
      <c r="Z1404">
        <f>(M1404*Weights!$B$2) + (MIN(Q1404,Weights!$B$5)*Weights!$B$3*(W1404/100)*Weights!$B$4)</f>
        <v/>
      </c>
      <c r="AA1404">
        <f>IF(Z1404= ,,RANK.EQ({pri_col_letter}{r},{pri_range},0))</f>
        <v/>
      </c>
    </row>
    <row r="1405">
      <c r="A1405" t="inlineStr">
        <is>
          <t>G2 Venture Partners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>
        <is>
          <t>Tier 4</t>
        </is>
      </c>
      <c r="O1405" t="inlineStr">
        <is>
          <t>Jake Tauscher — Partner</t>
        </is>
      </c>
      <c r="P1405" t="inlineStr">
        <is>
          <t>Partner</t>
        </is>
      </c>
      <c r="Y1405" t="inlineStr">
        <is>
          <t>todo</t>
        </is>
      </c>
      <c r="Z1405">
        <f>(M1405*Weights!$B$2) + (MIN(Q1405,Weights!$B$5)*Weights!$B$3*(W1405/100)*Weights!$B$4)</f>
        <v/>
      </c>
      <c r="AA1405">
        <f>IF(Z1405= ,,RANK.EQ({pri_col_letter}{r},{pri_range},0))</f>
        <v/>
      </c>
    </row>
    <row r="1406">
      <c r="A1406" t="inlineStr">
        <is>
          <t>G3 Enterprises</t>
        </is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>
        <is>
          <t>Tier 4</t>
        </is>
      </c>
      <c r="O1406" t="inlineStr">
        <is>
          <t>Stephen Bernard — Senior Product Manager</t>
        </is>
      </c>
      <c r="P1406" t="inlineStr">
        <is>
          <t>Senior Product Manager</t>
        </is>
      </c>
      <c r="Y1406" t="inlineStr">
        <is>
          <t>todo</t>
        </is>
      </c>
      <c r="Z1406">
        <f>(M1406*Weights!$B$2) + (MIN(Q1406,Weights!$B$5)*Weights!$B$3*(W1406/100)*Weights!$B$4)</f>
        <v/>
      </c>
      <c r="AA1406">
        <f>IF(Z1406= ,,RANK.EQ({pri_col_letter}{r},{pri_range},0))</f>
        <v/>
      </c>
    </row>
    <row r="1407">
      <c r="A1407" t="inlineStr">
        <is>
          <t>GEODIS Americas Region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>
        <is>
          <t>Tier 4</t>
        </is>
      </c>
      <c r="O1407" t="inlineStr">
        <is>
          <t>Laura Ritchey — CEO &amp; President</t>
        </is>
      </c>
      <c r="P1407" t="inlineStr">
        <is>
          <t>CEO &amp; President</t>
        </is>
      </c>
      <c r="Y1407" t="inlineStr">
        <is>
          <t>todo</t>
        </is>
      </c>
      <c r="Z1407">
        <f>(M1407*Weights!$B$2) + (MIN(Q1407,Weights!$B$5)*Weights!$B$3*(W1407/100)*Weights!$B$4)</f>
        <v/>
      </c>
      <c r="AA1407">
        <f>IF(Z1407= ,,RANK.EQ({pri_col_letter}{r},{pri_range},0))</f>
        <v/>
      </c>
    </row>
    <row r="1408">
      <c r="A1408" t="inlineStr">
        <is>
          <t>GI Partners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>
        <is>
          <t>Tier 4</t>
        </is>
      </c>
      <c r="O1408" t="inlineStr">
        <is>
          <t>Justin Shin — Investments</t>
        </is>
      </c>
      <c r="P1408" t="inlineStr">
        <is>
          <t>Investments</t>
        </is>
      </c>
      <c r="Y1408" t="inlineStr">
        <is>
          <t>todo</t>
        </is>
      </c>
      <c r="Z1408">
        <f>(M1408*Weights!$B$2) + (MIN(Q1408,Weights!$B$5)*Weights!$B$3*(W1408/100)*Weights!$B$4)</f>
        <v/>
      </c>
      <c r="AA1408">
        <f>IF(Z1408= ,,RANK.EQ({pri_col_letter}{r},{pri_range},0))</f>
        <v/>
      </c>
    </row>
    <row r="1409">
      <c r="A1409" t="inlineStr">
        <is>
          <t>GKG Law PC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inlineStr">
        <is>
          <t>Tier 4</t>
        </is>
      </c>
      <c r="O1409" t="inlineStr">
        <is>
          <t>Michael Smith — Principal</t>
        </is>
      </c>
      <c r="P1409" t="inlineStr">
        <is>
          <t>Principal</t>
        </is>
      </c>
      <c r="Y1409" t="inlineStr">
        <is>
          <t>todo</t>
        </is>
      </c>
      <c r="Z1409">
        <f>(M1409*Weights!$B$2) + (MIN(Q1409,Weights!$B$5)*Weights!$B$3*(W1409/100)*Weights!$B$4)</f>
        <v/>
      </c>
      <c r="AA1409">
        <f>IF(Z1409= ,,RANK.EQ({pri_col_letter}{r},{pri_range},0))</f>
        <v/>
      </c>
    </row>
    <row r="1410">
      <c r="A1410" t="inlineStr">
        <is>
          <t>GLC Distribution</t>
        </is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inlineStr">
        <is>
          <t>Tier 4</t>
        </is>
      </c>
      <c r="O1410" t="inlineStr">
        <is>
          <t>John Rodriguez — Chief Operating Officer</t>
        </is>
      </c>
      <c r="P1410" t="inlineStr">
        <is>
          <t>Chief Operating Officer</t>
        </is>
      </c>
      <c r="Y1410" t="inlineStr">
        <is>
          <t>todo</t>
        </is>
      </c>
      <c r="Z1410">
        <f>(M1410*Weights!$B$2) + (MIN(Q1410,Weights!$B$5)*Weights!$B$3*(W1410/100)*Weights!$B$4)</f>
        <v/>
      </c>
      <c r="AA1410">
        <f>IF(Z1410= ,,RANK.EQ({pri_col_letter}{r},{pri_range},0))</f>
        <v/>
      </c>
    </row>
    <row r="1411">
      <c r="A1411" t="inlineStr">
        <is>
          <t>GM</t>
        </is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inlineStr">
        <is>
          <t>Tier 4</t>
        </is>
      </c>
      <c r="O1411" t="inlineStr">
        <is>
          <t>Jaeseung Shyn — Manager</t>
        </is>
      </c>
      <c r="P1411" t="inlineStr">
        <is>
          <t>Manager</t>
        </is>
      </c>
      <c r="Y1411" t="inlineStr">
        <is>
          <t>todo</t>
        </is>
      </c>
      <c r="Z1411">
        <f>(M1411*Weights!$B$2) + (MIN(Q1411,Weights!$B$5)*Weights!$B$3*(W1411/100)*Weights!$B$4)</f>
        <v/>
      </c>
      <c r="AA1411">
        <f>IF(Z1411= ,,RANK.EQ({pri_col_letter}{r},{pri_range},0))</f>
        <v/>
      </c>
    </row>
    <row r="1412">
      <c r="A1412" t="inlineStr">
        <is>
          <t>GPA Logistics Group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inlineStr">
        <is>
          <t>Tier 4</t>
        </is>
      </c>
      <c r="O1412" t="inlineStr">
        <is>
          <t>Brian Cantrell — President</t>
        </is>
      </c>
      <c r="P1412" t="inlineStr">
        <is>
          <t>President</t>
        </is>
      </c>
      <c r="Y1412" t="inlineStr">
        <is>
          <t>todo</t>
        </is>
      </c>
      <c r="Z1412">
        <f>(M1412*Weights!$B$2) + (MIN(Q1412,Weights!$B$5)*Weights!$B$3*(W1412/100)*Weights!$B$4)</f>
        <v/>
      </c>
      <c r="AA1412">
        <f>IF(Z1412= ,,RANK.EQ({pri_col_letter}{r},{pri_range},0))</f>
        <v/>
      </c>
    </row>
    <row r="1413">
      <c r="A1413" t="inlineStr">
        <is>
          <t>GRUPO BARREDA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inlineStr">
        <is>
          <t>Tier 4</t>
        </is>
      </c>
      <c r="O1413" t="inlineStr">
        <is>
          <t>ENRIQUE BARREDA — DIRECTOR GENERAL</t>
        </is>
      </c>
      <c r="P1413" t="inlineStr">
        <is>
          <t>DIRECTOR GENERAL</t>
        </is>
      </c>
      <c r="Y1413" t="inlineStr">
        <is>
          <t>todo</t>
        </is>
      </c>
      <c r="Z1413">
        <f>(M1413*Weights!$B$2) + (MIN(Q1413,Weights!$B$5)*Weights!$B$3*(W1413/100)*Weights!$B$4)</f>
        <v/>
      </c>
      <c r="AA1413">
        <f>IF(Z1413= ,,RANK.EQ({pri_col_letter}{r},{pri_range},0))</f>
        <v/>
      </c>
    </row>
    <row r="1414">
      <c r="A1414" t="inlineStr">
        <is>
          <t>GS Talent Part of the Reed Group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inlineStr">
        <is>
          <t>Tier 4</t>
        </is>
      </c>
      <c r="O1414" t="inlineStr">
        <is>
          <t>Christian Garcia — CEO/Founder</t>
        </is>
      </c>
      <c r="P1414" t="inlineStr">
        <is>
          <t>CEO/Founder</t>
        </is>
      </c>
      <c r="Y1414" t="inlineStr">
        <is>
          <t>todo</t>
        </is>
      </c>
      <c r="Z1414">
        <f>(M1414*Weights!$B$2) + (MIN(Q1414,Weights!$B$5)*Weights!$B$3*(W1414/100)*Weights!$B$4)</f>
        <v/>
      </c>
      <c r="AA1414">
        <f>IF(Z1414= ,,RANK.EQ({pri_col_letter}{r},{pri_range},0))</f>
        <v/>
      </c>
    </row>
    <row r="1415">
      <c r="A1415" t="inlineStr">
        <is>
          <t>GTA Group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inlineStr">
        <is>
          <t>Tier 4</t>
        </is>
      </c>
      <c r="O1415" t="inlineStr">
        <is>
          <t>Mario Durso — Owner</t>
        </is>
      </c>
      <c r="P1415" t="inlineStr">
        <is>
          <t>Owner</t>
        </is>
      </c>
      <c r="Y1415" t="inlineStr">
        <is>
          <t>todo</t>
        </is>
      </c>
      <c r="Z1415">
        <f>(M1415*Weights!$B$2) + (MIN(Q1415,Weights!$B$5)*Weights!$B$3*(W1415/100)*Weights!$B$4)</f>
        <v/>
      </c>
      <c r="AA1415">
        <f>IF(Z1415= ,,RANK.EQ({pri_col_letter}{r},{pri_range},0))</f>
        <v/>
      </c>
    </row>
    <row r="1416">
      <c r="A1416" t="inlineStr">
        <is>
          <t>GTK Partners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inlineStr">
        <is>
          <t>Tier 4</t>
        </is>
      </c>
      <c r="O1416" t="inlineStr">
        <is>
          <t>Ali Tabibian — Managing Partner</t>
        </is>
      </c>
      <c r="P1416" t="inlineStr">
        <is>
          <t>Managing Partner</t>
        </is>
      </c>
      <c r="Y1416" t="inlineStr">
        <is>
          <t>todo</t>
        </is>
      </c>
      <c r="Z1416">
        <f>(M1416*Weights!$B$2) + (MIN(Q1416,Weights!$B$5)*Weights!$B$3*(W1416/100)*Weights!$B$4)</f>
        <v/>
      </c>
      <c r="AA1416">
        <f>IF(Z1416= ,,RANK.EQ({pri_col_letter}{r},{pri_range},0))</f>
        <v/>
      </c>
    </row>
    <row r="1417">
      <c r="A1417" t="inlineStr">
        <is>
          <t>Gamma Point Advisory LLC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inlineStr">
        <is>
          <t>Tier 4</t>
        </is>
      </c>
      <c r="O1417" t="inlineStr">
        <is>
          <t>Joseph Milstein — Founder &amp; Managing Partner</t>
        </is>
      </c>
      <c r="P1417" t="inlineStr">
        <is>
          <t>Founder &amp; Managing Partner</t>
        </is>
      </c>
      <c r="Y1417" t="inlineStr">
        <is>
          <t>todo</t>
        </is>
      </c>
      <c r="Z1417">
        <f>(M1417*Weights!$B$2) + (MIN(Q1417,Weights!$B$5)*Weights!$B$3*(W1417/100)*Weights!$B$4)</f>
        <v/>
      </c>
      <c r="AA1417">
        <f>IF(Z1417= ,,RANK.EQ({pri_col_letter}{r},{pri_range},0))</f>
        <v/>
      </c>
    </row>
    <row r="1418">
      <c r="A1418" t="inlineStr">
        <is>
          <t>Gemini Shippers Association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inlineStr">
        <is>
          <t>Tier 4</t>
        </is>
      </c>
      <c r="O1418" t="inlineStr">
        <is>
          <t>Nicole Uchrin — Managing Director</t>
        </is>
      </c>
      <c r="P1418" t="inlineStr">
        <is>
          <t>Managing Director</t>
        </is>
      </c>
      <c r="Y1418" t="inlineStr">
        <is>
          <t>todo</t>
        </is>
      </c>
      <c r="Z1418">
        <f>(M1418*Weights!$B$2) + (MIN(Q1418,Weights!$B$5)*Weights!$B$3*(W1418/100)*Weights!$B$4)</f>
        <v/>
      </c>
      <c r="AA1418">
        <f>IF(Z1418= ,,RANK.EQ({pri_col_letter}{r},{pri_range},0))</f>
        <v/>
      </c>
    </row>
    <row r="1419">
      <c r="A1419" t="inlineStr">
        <is>
          <t>Genlogs</t>
        </is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inlineStr">
        <is>
          <t>Tier 4</t>
        </is>
      </c>
      <c r="O1419" t="inlineStr">
        <is>
          <t>Ryan Joyce — CEO</t>
        </is>
      </c>
      <c r="P1419" t="inlineStr">
        <is>
          <t>CEO</t>
        </is>
      </c>
      <c r="Y1419" t="inlineStr">
        <is>
          <t>todo</t>
        </is>
      </c>
      <c r="Z1419">
        <f>(M1419*Weights!$B$2) + (MIN(Q1419,Weights!$B$5)*Weights!$B$3*(W1419/100)*Weights!$B$4)</f>
        <v/>
      </c>
      <c r="AA1419">
        <f>IF(Z1419= ,,RANK.EQ({pri_col_letter}{r},{pri_range},0))</f>
        <v/>
      </c>
    </row>
    <row r="1420">
      <c r="A1420" t="inlineStr">
        <is>
          <t>Giesecke+Devrient (G+D)</t>
        </is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>
        <is>
          <t>Tier 4</t>
        </is>
      </c>
      <c r="O1420" t="inlineStr">
        <is>
          <t>Scott Paquette — Account Director</t>
        </is>
      </c>
      <c r="P1420" t="inlineStr">
        <is>
          <t>Account Director</t>
        </is>
      </c>
      <c r="Y1420" t="inlineStr">
        <is>
          <t>todo</t>
        </is>
      </c>
      <c r="Z1420">
        <f>(M1420*Weights!$B$2) + (MIN(Q1420,Weights!$B$5)*Weights!$B$3*(W1420/100)*Weights!$B$4)</f>
        <v/>
      </c>
      <c r="AA1420">
        <f>IF(Z1420= ,,RANK.EQ({pri_col_letter}{r},{pri_range},0))</f>
        <v/>
      </c>
    </row>
    <row r="1421">
      <c r="A1421" t="inlineStr">
        <is>
          <t>Gillespie Manners Search &amp; Selection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inlineStr">
        <is>
          <t>Tier 4</t>
        </is>
      </c>
      <c r="O1421" t="inlineStr">
        <is>
          <t>Alex Gillespie — Founder, Director</t>
        </is>
      </c>
      <c r="P1421" t="inlineStr">
        <is>
          <t>Founder, Director</t>
        </is>
      </c>
      <c r="Y1421" t="inlineStr">
        <is>
          <t>todo</t>
        </is>
      </c>
      <c r="Z1421">
        <f>(M1421*Weights!$B$2) + (MIN(Q1421,Weights!$B$5)*Weights!$B$3*(W1421/100)*Weights!$B$4)</f>
        <v/>
      </c>
      <c r="AA1421">
        <f>IF(Z1421= ,,RANK.EQ({pri_col_letter}{r},{pri_range},0))</f>
        <v/>
      </c>
    </row>
    <row r="1422">
      <c r="A1422" t="inlineStr">
        <is>
          <t>Glacis</t>
        </is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>
        <is>
          <t>Tier 4</t>
        </is>
      </c>
      <c r="O1422" t="inlineStr">
        <is>
          <t>Abbas S — Founding Product Manager</t>
        </is>
      </c>
      <c r="P1422" t="inlineStr">
        <is>
          <t>Founding Product Manager</t>
        </is>
      </c>
      <c r="Y1422" t="inlineStr">
        <is>
          <t>todo</t>
        </is>
      </c>
      <c r="Z1422">
        <f>(M1422*Weights!$B$2) + (MIN(Q1422,Weights!$B$5)*Weights!$B$3*(W1422/100)*Weights!$B$4)</f>
        <v/>
      </c>
      <c r="AA1422">
        <f>IF(Z1422= ,,RANK.EQ({pri_col_letter}{r},{pri_range},0))</f>
        <v/>
      </c>
    </row>
    <row r="1423">
      <c r="A1423" t="inlineStr">
        <is>
          <t>Glasswing Ventures</t>
        </is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inlineStr">
        <is>
          <t>Tier 4</t>
        </is>
      </c>
      <c r="O1423" t="inlineStr">
        <is>
          <t>Kleida Martiro — Managing Director</t>
        </is>
      </c>
      <c r="P1423" t="inlineStr">
        <is>
          <t>Managing Director</t>
        </is>
      </c>
      <c r="Y1423" t="inlineStr">
        <is>
          <t>todo</t>
        </is>
      </c>
      <c r="Z1423">
        <f>(M1423*Weights!$B$2) + (MIN(Q1423,Weights!$B$5)*Weights!$B$3*(W1423/100)*Weights!$B$4)</f>
        <v/>
      </c>
      <c r="AA1423">
        <f>IF(Z1423= ,,RANK.EQ({pri_col_letter}{r},{pri_range},0))</f>
        <v/>
      </c>
    </row>
    <row r="1424">
      <c r="A1424" t="inlineStr">
        <is>
          <t>Global Cold Chain Alliance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inlineStr">
        <is>
          <t>Tier 4</t>
        </is>
      </c>
      <c r="O1424" t="inlineStr">
        <is>
          <t>Sara Stickler — President &amp; CEO</t>
        </is>
      </c>
      <c r="P1424" t="inlineStr">
        <is>
          <t>President &amp; CEO</t>
        </is>
      </c>
      <c r="Y1424" t="inlineStr">
        <is>
          <t>todo</t>
        </is>
      </c>
      <c r="Z1424">
        <f>(M1424*Weights!$B$2) + (MIN(Q1424,Weights!$B$5)*Weights!$B$3*(W1424/100)*Weights!$B$4)</f>
        <v/>
      </c>
      <c r="AA1424">
        <f>IF(Z1424= ,,RANK.EQ({pri_col_letter}{r},{pri_range},0))</f>
        <v/>
      </c>
    </row>
    <row r="1425">
      <c r="A1425" t="inlineStr">
        <is>
          <t>Global Freight Services</t>
        </is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inlineStr">
        <is>
          <t>Tier 4</t>
        </is>
      </c>
      <c r="O1425" t="inlineStr">
        <is>
          <t>Remi Lavergne — Head of Information Technology and Operation Compliance</t>
        </is>
      </c>
      <c r="P1425" t="inlineStr">
        <is>
          <t>Head of Information Technology and Operation Compliance</t>
        </is>
      </c>
      <c r="Y1425" t="inlineStr">
        <is>
          <t>todo</t>
        </is>
      </c>
      <c r="Z1425">
        <f>(M1425*Weights!$B$2) + (MIN(Q1425,Weights!$B$5)*Weights!$B$3*(W1425/100)*Weights!$B$4)</f>
        <v/>
      </c>
      <c r="AA1425">
        <f>IF(Z1425= ,,RANK.EQ({pri_col_letter}{r},{pri_range},0))</f>
        <v/>
      </c>
    </row>
    <row r="1426">
      <c r="A1426" t="inlineStr">
        <is>
          <t>Global Logistical Connections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inlineStr">
        <is>
          <t>Tier 4</t>
        </is>
      </c>
      <c r="O1426" t="inlineStr">
        <is>
          <t>Grace Cronin — Director of Account Management</t>
        </is>
      </c>
      <c r="P1426" t="inlineStr">
        <is>
          <t>Director of Account Management</t>
        </is>
      </c>
      <c r="Y1426" t="inlineStr">
        <is>
          <t>todo</t>
        </is>
      </c>
      <c r="Z1426">
        <f>(M1426*Weights!$B$2) + (MIN(Q1426,Weights!$B$5)*Weights!$B$3*(W1426/100)*Weights!$B$4)</f>
        <v/>
      </c>
      <c r="AA1426">
        <f>IF(Z1426= ,,RANK.EQ({pri_col_letter}{r},{pri_range},0))</f>
        <v/>
      </c>
    </row>
    <row r="1427">
      <c r="A1427" t="inlineStr">
        <is>
          <t>Glīd Technologies</t>
        </is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inlineStr">
        <is>
          <t>Tier 4</t>
        </is>
      </c>
      <c r="O1427" t="inlineStr">
        <is>
          <t>Kevin Damoa — CEO &amp; Founder</t>
        </is>
      </c>
      <c r="P1427" t="inlineStr">
        <is>
          <t>CEO &amp; Founder</t>
        </is>
      </c>
      <c r="Y1427" t="inlineStr">
        <is>
          <t>todo</t>
        </is>
      </c>
      <c r="Z1427">
        <f>(M1427*Weights!$B$2) + (MIN(Q1427,Weights!$B$5)*Weights!$B$3*(W1427/100)*Weights!$B$4)</f>
        <v/>
      </c>
      <c r="AA1427">
        <f>IF(Z1427= ,,RANK.EQ({pri_col_letter}{r},{pri_range},0))</f>
        <v/>
      </c>
    </row>
    <row r="1428">
      <c r="A1428" t="inlineStr">
        <is>
          <t>GoRamp</t>
        </is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inlineStr">
        <is>
          <t>Tier 4</t>
        </is>
      </c>
      <c r="O1428" t="inlineStr">
        <is>
          <t>Justin Peleckis — Account Expansion Manager</t>
        </is>
      </c>
      <c r="P1428" t="inlineStr">
        <is>
          <t>Account Expansion Manager</t>
        </is>
      </c>
      <c r="Y1428" t="inlineStr">
        <is>
          <t>todo</t>
        </is>
      </c>
      <c r="Z1428">
        <f>(M1428*Weights!$B$2) + (MIN(Q1428,Weights!$B$5)*Weights!$B$3*(W1428/100)*Weights!$B$4)</f>
        <v/>
      </c>
      <c r="AA1428">
        <f>IF(Z1428= ,,RANK.EQ({pri_col_letter}{r},{pri_range},0))</f>
        <v/>
      </c>
    </row>
    <row r="1429">
      <c r="A1429" t="inlineStr">
        <is>
          <t>Goramp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inlineStr">
        <is>
          <t>Tier 4</t>
        </is>
      </c>
      <c r="O1429" t="inlineStr">
        <is>
          <t>Jeff Polonis — CEO</t>
        </is>
      </c>
      <c r="P1429" t="inlineStr">
        <is>
          <t>CEO</t>
        </is>
      </c>
      <c r="Y1429" t="inlineStr">
        <is>
          <t>todo</t>
        </is>
      </c>
      <c r="Z1429">
        <f>(M1429*Weights!$B$2) + (MIN(Q1429,Weights!$B$5)*Weights!$B$3*(W1429/100)*Weights!$B$4)</f>
        <v/>
      </c>
      <c r="AA1429">
        <f>IF(Z1429= ,,RANK.EQ({pri_col_letter}{r},{pri_range},0))</f>
        <v/>
      </c>
    </row>
    <row r="1430">
      <c r="A1430" t="inlineStr">
        <is>
          <t>Gordon Food Service</t>
        </is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>
        <is>
          <t>Tier 4</t>
        </is>
      </c>
      <c r="O1430" t="inlineStr">
        <is>
          <t>Sid Handa — Dir, SC Strategy, Engineering &amp; Technology</t>
        </is>
      </c>
      <c r="P1430" t="inlineStr">
        <is>
          <t>Dir, SC Strategy, Engineering &amp; Technology</t>
        </is>
      </c>
      <c r="Y1430" t="inlineStr">
        <is>
          <t>todo</t>
        </is>
      </c>
      <c r="Z1430">
        <f>(M1430*Weights!$B$2) + (MIN(Q1430,Weights!$B$5)*Weights!$B$3*(W1430/100)*Weights!$B$4)</f>
        <v/>
      </c>
      <c r="AA1430">
        <f>IF(Z1430= ,,RANK.EQ({pri_col_letter}{r},{pri_range},0))</f>
        <v/>
      </c>
    </row>
    <row r="1431">
      <c r="A1431" t="inlineStr">
        <is>
          <t>Gorjana</t>
        </is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inlineStr">
        <is>
          <t>Tier 4</t>
        </is>
      </c>
      <c r="O1431" t="inlineStr">
        <is>
          <t>Andrew Pawling — COO</t>
        </is>
      </c>
      <c r="P1431" t="inlineStr">
        <is>
          <t>COO</t>
        </is>
      </c>
      <c r="Y1431" t="inlineStr">
        <is>
          <t>todo</t>
        </is>
      </c>
      <c r="Z1431">
        <f>(M1431*Weights!$B$2) + (MIN(Q1431,Weights!$B$5)*Weights!$B$3*(W1431/100)*Weights!$B$4)</f>
        <v/>
      </c>
      <c r="AA1431">
        <f>IF(Z1431= ,,RANK.EQ({pri_col_letter}{r},{pri_range},0))</f>
        <v/>
      </c>
    </row>
    <row r="1432">
      <c r="A1432" t="inlineStr">
        <is>
          <t>Green Cabbage</t>
        </is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inlineStr">
        <is>
          <t>Tier 4</t>
        </is>
      </c>
      <c r="O1432" t="inlineStr">
        <is>
          <t>Michael van Keulen — CCO</t>
        </is>
      </c>
      <c r="P1432" t="inlineStr">
        <is>
          <t>CCO</t>
        </is>
      </c>
      <c r="Y1432" t="inlineStr">
        <is>
          <t>todo</t>
        </is>
      </c>
      <c r="Z1432">
        <f>(M1432*Weights!$B$2) + (MIN(Q1432,Weights!$B$5)*Weights!$B$3*(W1432/100)*Weights!$B$4)</f>
        <v/>
      </c>
      <c r="AA1432">
        <f>IF(Z1432= ,,RANK.EQ({pri_col_letter}{r},{pri_range},0))</f>
        <v/>
      </c>
    </row>
    <row r="1433">
      <c r="A1433" t="inlineStr">
        <is>
          <t>Green Worldwide Shipping</t>
        </is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inlineStr">
        <is>
          <t>Tier 4</t>
        </is>
      </c>
      <c r="O1433" t="inlineStr">
        <is>
          <t>Thomas Suggs — Technology Solutions Manager</t>
        </is>
      </c>
      <c r="P1433" t="inlineStr">
        <is>
          <t>Technology Solutions Manager</t>
        </is>
      </c>
      <c r="Y1433" t="inlineStr">
        <is>
          <t>todo</t>
        </is>
      </c>
      <c r="Z1433">
        <f>(M1433*Weights!$B$2) + (MIN(Q1433,Weights!$B$5)*Weights!$B$3*(W1433/100)*Weights!$B$4)</f>
        <v/>
      </c>
      <c r="AA1433">
        <f>IF(Z1433= ,,RANK.EQ({pri_col_letter}{r},{pri_range},0))</f>
        <v/>
      </c>
    </row>
    <row r="1434">
      <c r="A1434" t="inlineStr">
        <is>
          <t>Grip Shipping</t>
        </is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inlineStr">
        <is>
          <t>Tier 4</t>
        </is>
      </c>
      <c r="O1434" t="inlineStr">
        <is>
          <t>Juan Meisel — CEO</t>
        </is>
      </c>
      <c r="P1434" t="inlineStr">
        <is>
          <t>CEO</t>
        </is>
      </c>
      <c r="Y1434" t="inlineStr">
        <is>
          <t>todo</t>
        </is>
      </c>
      <c r="Z1434">
        <f>(M1434*Weights!$B$2) + (MIN(Q1434,Weights!$B$5)*Weights!$B$3*(W1434/100)*Weights!$B$4)</f>
        <v/>
      </c>
      <c r="AA1434">
        <f>IF(Z1434= ,,RANK.EQ({pri_col_letter}{r},{pri_range},0))</f>
        <v/>
      </c>
    </row>
    <row r="1435">
      <c r="A1435" t="inlineStr">
        <is>
          <t>GripperClip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inlineStr">
        <is>
          <t>Tier 4</t>
        </is>
      </c>
      <c r="O1435" t="inlineStr">
        <is>
          <t>Phil DiGiulio — CEO</t>
        </is>
      </c>
      <c r="P1435" t="inlineStr">
        <is>
          <t>CEO</t>
        </is>
      </c>
      <c r="Y1435" t="inlineStr">
        <is>
          <t>todo</t>
        </is>
      </c>
      <c r="Z1435">
        <f>(M1435*Weights!$B$2) + (MIN(Q1435,Weights!$B$5)*Weights!$B$3*(W1435/100)*Weights!$B$4)</f>
        <v/>
      </c>
      <c r="AA1435">
        <f>IF(Z1435= ,,RANK.EQ({pri_col_letter}{r},{pri_range},0))</f>
        <v/>
      </c>
    </row>
    <row r="1436">
      <c r="A1436" t="inlineStr">
        <is>
          <t>Grupo Linc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inlineStr">
        <is>
          <t>Tier 4</t>
        </is>
      </c>
      <c r="O1436" t="inlineStr">
        <is>
          <t>Gabriel Castillo — CEO</t>
        </is>
      </c>
      <c r="P1436" t="inlineStr">
        <is>
          <t>CEO</t>
        </is>
      </c>
      <c r="Y1436" t="inlineStr">
        <is>
          <t>todo</t>
        </is>
      </c>
      <c r="Z1436">
        <f>(M1436*Weights!$B$2) + (MIN(Q1436,Weights!$B$5)*Weights!$B$3*(W1436/100)*Weights!$B$4)</f>
        <v/>
      </c>
      <c r="AA1436">
        <f>IF(Z1436= ,,RANK.EQ({pri_col_letter}{r},{pri_range},0))</f>
        <v/>
      </c>
    </row>
    <row r="1437">
      <c r="A1437" t="inlineStr">
        <is>
          <t>Guepard</t>
        </is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inlineStr">
        <is>
          <t>Tier 4</t>
        </is>
      </c>
      <c r="O1437" t="inlineStr">
        <is>
          <t>Koutheir Cherni — CEO</t>
        </is>
      </c>
      <c r="P1437" t="inlineStr">
        <is>
          <t>CEO</t>
        </is>
      </c>
      <c r="Y1437" t="inlineStr">
        <is>
          <t>todo</t>
        </is>
      </c>
      <c r="Z1437">
        <f>(M1437*Weights!$B$2) + (MIN(Q1437,Weights!$B$5)*Weights!$B$3*(W1437/100)*Weights!$B$4)</f>
        <v/>
      </c>
      <c r="AA1437">
        <f>IF(Z1437= ,,RANK.EQ({pri_col_letter}{r},{pri_range},0))</f>
        <v/>
      </c>
    </row>
    <row r="1438">
      <c r="A1438" t="inlineStr">
        <is>
          <t>Guggenheim Securities, LLC</t>
        </is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inlineStr">
        <is>
          <t>Tier 4</t>
        </is>
      </c>
      <c r="O1438" t="inlineStr">
        <is>
          <t>Avinash Khachane — Managing Director</t>
        </is>
      </c>
      <c r="P1438" t="inlineStr">
        <is>
          <t>Managing Director</t>
        </is>
      </c>
      <c r="Y1438" t="inlineStr">
        <is>
          <t>todo</t>
        </is>
      </c>
      <c r="Z1438">
        <f>(M1438*Weights!$B$2) + (MIN(Q1438,Weights!$B$5)*Weights!$B$3*(W1438/100)*Weights!$B$4)</f>
        <v/>
      </c>
      <c r="AA1438">
        <f>IF(Z1438= ,,RANK.EQ({pri_col_letter}{r},{pri_range},0))</f>
        <v/>
      </c>
    </row>
    <row r="1439">
      <c r="A1439" t="inlineStr">
        <is>
          <t>Guided Growth, LLC.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inlineStr">
        <is>
          <t>Tier 4</t>
        </is>
      </c>
      <c r="O1439" t="inlineStr">
        <is>
          <t>Justin Smith — Founder/CEO</t>
        </is>
      </c>
      <c r="P1439" t="inlineStr">
        <is>
          <t>Founder/CEO</t>
        </is>
      </c>
      <c r="Y1439" t="inlineStr">
        <is>
          <t>todo</t>
        </is>
      </c>
      <c r="Z1439">
        <f>(M1439*Weights!$B$2) + (MIN(Q1439,Weights!$B$5)*Weights!$B$3*(W1439/100)*Weights!$B$4)</f>
        <v/>
      </c>
      <c r="AA1439">
        <f>IF(Z1439= ,,RANK.EQ({pri_col_letter}{r},{pri_range},0))</f>
        <v/>
      </c>
    </row>
    <row r="1440">
      <c r="A1440" t="inlineStr">
        <is>
          <t>Guidepost Growth Equity</t>
        </is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inlineStr">
        <is>
          <t>Tier 4</t>
        </is>
      </c>
      <c r="O1440" t="inlineStr">
        <is>
          <t>Taylor Doherty — Principal</t>
        </is>
      </c>
      <c r="P1440" t="inlineStr">
        <is>
          <t>Principal</t>
        </is>
      </c>
      <c r="Y1440" t="inlineStr">
        <is>
          <t>todo</t>
        </is>
      </c>
      <c r="Z1440">
        <f>(M1440*Weights!$B$2) + (MIN(Q1440,Weights!$B$5)*Weights!$B$3*(W1440/100)*Weights!$B$4)</f>
        <v/>
      </c>
      <c r="AA1440">
        <f>IF(Z1440= ,,RANK.EQ({pri_col_letter}{r},{pri_range},0))</f>
        <v/>
      </c>
    </row>
    <row r="1441">
      <c r="A1441" t="inlineStr">
        <is>
          <t>Gulf Winds International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inlineStr">
        <is>
          <t>Tier 4</t>
        </is>
      </c>
      <c r="O1441" t="inlineStr">
        <is>
          <t>Alysse Ligon — Director of Innovation</t>
        </is>
      </c>
      <c r="P1441" t="inlineStr">
        <is>
          <t>Director of Innovation</t>
        </is>
      </c>
      <c r="Y1441" t="inlineStr">
        <is>
          <t>todo</t>
        </is>
      </c>
      <c r="Z1441">
        <f>(M1441*Weights!$B$2) + (MIN(Q1441,Weights!$B$5)*Weights!$B$3*(W1441/100)*Weights!$B$4)</f>
        <v/>
      </c>
      <c r="AA1441">
        <f>IF(Z1441= ,,RANK.EQ({pri_col_letter}{r},{pri_range},0))</f>
        <v/>
      </c>
    </row>
    <row r="1442">
      <c r="A1442" t="inlineStr">
        <is>
          <t>HD Shipping Solutions</t>
        </is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inlineStr">
        <is>
          <t>Tier 4</t>
        </is>
      </c>
      <c r="O1442" t="inlineStr">
        <is>
          <t>Toby Milligan — Director</t>
        </is>
      </c>
      <c r="P1442" t="inlineStr">
        <is>
          <t>Director</t>
        </is>
      </c>
      <c r="Y1442" t="inlineStr">
        <is>
          <t>todo</t>
        </is>
      </c>
      <c r="Z1442">
        <f>(M1442*Weights!$B$2) + (MIN(Q1442,Weights!$B$5)*Weights!$B$3*(W1442/100)*Weights!$B$4)</f>
        <v/>
      </c>
      <c r="AA1442">
        <f>IF(Z1442= ,,RANK.EQ({pri_col_letter}{r},{pri_range},0))</f>
        <v/>
      </c>
    </row>
    <row r="1443">
      <c r="A1443" t="inlineStr">
        <is>
          <t>HDS Global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inlineStr">
        <is>
          <t>Tier 4</t>
        </is>
      </c>
      <c r="O1443" t="inlineStr">
        <is>
          <t>Louis Borders — CEO</t>
        </is>
      </c>
      <c r="P1443" t="inlineStr">
        <is>
          <t>CEO</t>
        </is>
      </c>
      <c r="Y1443" t="inlineStr">
        <is>
          <t>todo</t>
        </is>
      </c>
      <c r="Z1443">
        <f>(M1443*Weights!$B$2) + (MIN(Q1443,Weights!$B$5)*Weights!$B$3*(W1443/100)*Weights!$B$4)</f>
        <v/>
      </c>
      <c r="AA1443">
        <f>IF(Z1443= ,,RANK.EQ({pri_col_letter}{r},{pri_range},0))</f>
        <v/>
      </c>
    </row>
    <row r="1444">
      <c r="A1444" t="inlineStr">
        <is>
          <t>HEB Grocery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inlineStr">
        <is>
          <t>Tier 4</t>
        </is>
      </c>
      <c r="O1444" t="inlineStr">
        <is>
          <t>Ross Giambalvo — VP Inventory Management</t>
        </is>
      </c>
      <c r="P1444" t="inlineStr">
        <is>
          <t>VP Inventory Management</t>
        </is>
      </c>
      <c r="Y1444" t="inlineStr">
        <is>
          <t>todo</t>
        </is>
      </c>
      <c r="Z1444">
        <f>(M1444*Weights!$B$2) + (MIN(Q1444,Weights!$B$5)*Weights!$B$3*(W1444/100)*Weights!$B$4)</f>
        <v/>
      </c>
      <c r="AA1444">
        <f>IF(Z1444= ,,RANK.EQ({pri_col_letter}{r},{pri_range},0))</f>
        <v/>
      </c>
    </row>
    <row r="1445">
      <c r="A1445" t="inlineStr">
        <is>
          <t>HIG Capital</t>
        </is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inlineStr">
        <is>
          <t>Tier 4</t>
        </is>
      </c>
      <c r="O1445" t="inlineStr">
        <is>
          <t>Joe Coleman — Vice President</t>
        </is>
      </c>
      <c r="P1445" t="inlineStr">
        <is>
          <t>Vice President</t>
        </is>
      </c>
      <c r="Y1445" t="inlineStr">
        <is>
          <t>todo</t>
        </is>
      </c>
      <c r="Z1445">
        <f>(M1445*Weights!$B$2) + (MIN(Q1445,Weights!$B$5)*Weights!$B$3*(W1445/100)*Weights!$B$4)</f>
        <v/>
      </c>
      <c r="AA1445">
        <f>IF(Z1445= ,,RANK.EQ({pri_col_letter}{r},{pri_range},0))</f>
        <v/>
      </c>
    </row>
    <row r="1446">
      <c r="A1446" t="inlineStr">
        <is>
          <t>HIVED</t>
        </is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inlineStr">
        <is>
          <t>Tier 4</t>
        </is>
      </c>
      <c r="O1446" t="inlineStr">
        <is>
          <t>Murvah Iqbal — CEO &amp; Founder</t>
        </is>
      </c>
      <c r="P1446" t="inlineStr">
        <is>
          <t>CEO &amp; Founder</t>
        </is>
      </c>
      <c r="Y1446" t="inlineStr">
        <is>
          <t>todo</t>
        </is>
      </c>
      <c r="Z1446">
        <f>(M1446*Weights!$B$2) + (MIN(Q1446,Weights!$B$5)*Weights!$B$3*(W1446/100)*Weights!$B$4)</f>
        <v/>
      </c>
      <c r="AA1446">
        <f>IF(Z1446= ,,RANK.EQ({pri_col_letter}{r},{pri_range},0))</f>
        <v/>
      </c>
    </row>
    <row r="1447">
      <c r="A1447" t="inlineStr">
        <is>
          <t>HM Business Solutions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inlineStr">
        <is>
          <t>Tier 4</t>
        </is>
      </c>
      <c r="O1447" t="inlineStr">
        <is>
          <t>Hariesh Manaadiar — Founder</t>
        </is>
      </c>
      <c r="P1447" t="inlineStr">
        <is>
          <t>Founder</t>
        </is>
      </c>
      <c r="Y1447" t="inlineStr">
        <is>
          <t>todo</t>
        </is>
      </c>
      <c r="Z1447">
        <f>(M1447*Weights!$B$2) + (MIN(Q1447,Weights!$B$5)*Weights!$B$3*(W1447/100)*Weights!$B$4)</f>
        <v/>
      </c>
      <c r="AA1447">
        <f>IF(Z1447= ,,RANK.EQ({pri_col_letter}{r},{pri_range},0))</f>
        <v/>
      </c>
    </row>
    <row r="1448">
      <c r="A1448" t="inlineStr">
        <is>
          <t>HOPTEK</t>
        </is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inlineStr">
        <is>
          <t>Tier 4</t>
        </is>
      </c>
      <c r="O1448" t="inlineStr">
        <is>
          <t>Sean Maharaj — Chief Commercial Officer</t>
        </is>
      </c>
      <c r="P1448" t="inlineStr">
        <is>
          <t>Chief Commercial Officer</t>
        </is>
      </c>
      <c r="Y1448" t="inlineStr">
        <is>
          <t>todo</t>
        </is>
      </c>
      <c r="Z1448">
        <f>(M1448*Weights!$B$2) + (MIN(Q1448,Weights!$B$5)*Weights!$B$3*(W1448/100)*Weights!$B$4)</f>
        <v/>
      </c>
      <c r="AA1448">
        <f>IF(Z1448= ,,RANK.EQ({pri_col_letter}{r},{pri_range},0))</f>
        <v/>
      </c>
    </row>
    <row r="1449">
      <c r="A1449" t="inlineStr">
        <is>
          <t>HPA VC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inlineStr">
        <is>
          <t>Tier 4</t>
        </is>
      </c>
      <c r="O1449" t="inlineStr">
        <is>
          <t>Michael Sachaj — Partner</t>
        </is>
      </c>
      <c r="P1449" t="inlineStr">
        <is>
          <t>Partner</t>
        </is>
      </c>
      <c r="Y1449" t="inlineStr">
        <is>
          <t>todo</t>
        </is>
      </c>
      <c r="Z1449">
        <f>(M1449*Weights!$B$2) + (MIN(Q1449,Weights!$B$5)*Weights!$B$3*(W1449/100)*Weights!$B$4)</f>
        <v/>
      </c>
      <c r="AA1449">
        <f>IF(Z1449= ,,RANK.EQ({pri_col_letter}{r},{pri_range},0))</f>
        <v/>
      </c>
    </row>
    <row r="1450">
      <c r="A1450" t="inlineStr">
        <is>
          <t>Hankook Tire Canada</t>
        </is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inlineStr">
        <is>
          <t>Tier 4</t>
        </is>
      </c>
      <c r="O1450" t="inlineStr">
        <is>
          <t>Seunghwan Hong — Canada Corportation Managing Director</t>
        </is>
      </c>
      <c r="P1450" t="inlineStr">
        <is>
          <t>Canada Corportation Managing Director</t>
        </is>
      </c>
      <c r="Y1450" t="inlineStr">
        <is>
          <t>todo</t>
        </is>
      </c>
      <c r="Z1450">
        <f>(M1450*Weights!$B$2) + (MIN(Q1450,Weights!$B$5)*Weights!$B$3*(W1450/100)*Weights!$B$4)</f>
        <v/>
      </c>
      <c r="AA1450">
        <f>IF(Z1450= ,,RANK.EQ({pri_col_letter}{r},{pri_range},0))</f>
        <v/>
      </c>
    </row>
    <row r="1451">
      <c r="A1451" t="inlineStr">
        <is>
          <t>Hanyang ENG USA Inc.</t>
        </is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inlineStr">
        <is>
          <t>Tier 4</t>
        </is>
      </c>
      <c r="O1451" t="inlineStr">
        <is>
          <t>Han Kim — President</t>
        </is>
      </c>
      <c r="P1451" t="inlineStr">
        <is>
          <t>President</t>
        </is>
      </c>
      <c r="Y1451" t="inlineStr">
        <is>
          <t>todo</t>
        </is>
      </c>
      <c r="Z1451">
        <f>(M1451*Weights!$B$2) + (MIN(Q1451,Weights!$B$5)*Weights!$B$3*(W1451/100)*Weights!$B$4)</f>
        <v/>
      </c>
      <c r="AA1451">
        <f>IF(Z1451= ,,RANK.EQ({pri_col_letter}{r},{pri_range},0))</f>
        <v/>
      </c>
    </row>
    <row r="1452">
      <c r="A1452" t="inlineStr">
        <is>
          <t>Hapag Lloyd</t>
        </is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inlineStr">
        <is>
          <t>Tier 4</t>
        </is>
      </c>
      <c r="O1452" t="inlineStr">
        <is>
          <t>Kevin Herrera — Regional Inland Manager</t>
        </is>
      </c>
      <c r="P1452" t="inlineStr">
        <is>
          <t>Regional Inland Manager</t>
        </is>
      </c>
      <c r="Y1452" t="inlineStr">
        <is>
          <t>todo</t>
        </is>
      </c>
      <c r="Z1452">
        <f>(M1452*Weights!$B$2) + (MIN(Q1452,Weights!$B$5)*Weights!$B$3*(W1452/100)*Weights!$B$4)</f>
        <v/>
      </c>
      <c r="AA1452">
        <f>IF(Z1452= ,,RANK.EQ({pri_col_letter}{r},{pri_range},0))</f>
        <v/>
      </c>
    </row>
    <row r="1453">
      <c r="A1453" t="inlineStr">
        <is>
          <t>HardTech Reads: AI &amp; Robotics Revolution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inlineStr">
        <is>
          <t>Tier 4</t>
        </is>
      </c>
      <c r="O1453" t="inlineStr">
        <is>
          <t>Paulina Szyzdek — Principal</t>
        </is>
      </c>
      <c r="P1453" t="inlineStr">
        <is>
          <t>Principal</t>
        </is>
      </c>
      <c r="Y1453" t="inlineStr">
        <is>
          <t>todo</t>
        </is>
      </c>
      <c r="Z1453">
        <f>(M1453*Weights!$B$2) + (MIN(Q1453,Weights!$B$5)*Weights!$B$3*(W1453/100)*Weights!$B$4)</f>
        <v/>
      </c>
      <c r="AA1453">
        <f>IF(Z1453= ,,RANK.EQ({pri_col_letter}{r},{pri_range},0))</f>
        <v/>
      </c>
    </row>
    <row r="1454">
      <c r="A1454" t="inlineStr">
        <is>
          <t>Hardis Group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inlineStr">
        <is>
          <t>Tier 4</t>
        </is>
      </c>
      <c r="O1454" t="inlineStr">
        <is>
          <t>Nicolas Odet — CEO</t>
        </is>
      </c>
      <c r="P1454" t="inlineStr">
        <is>
          <t>CEO</t>
        </is>
      </c>
      <c r="Y1454" t="inlineStr">
        <is>
          <t>todo</t>
        </is>
      </c>
      <c r="Z1454">
        <f>(M1454*Weights!$B$2) + (MIN(Q1454,Weights!$B$5)*Weights!$B$3*(W1454/100)*Weights!$B$4)</f>
        <v/>
      </c>
      <c r="AA1454">
        <f>IF(Z1454= ,,RANK.EQ({pri_col_letter}{r},{pri_range},0))</f>
        <v/>
      </c>
    </row>
    <row r="1455">
      <c r="A1455" t="inlineStr">
        <is>
          <t>Harry's</t>
        </is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inlineStr">
        <is>
          <t>Tier 4</t>
        </is>
      </c>
      <c r="O1455" t="inlineStr">
        <is>
          <t>Will Freund — Chief Operating Officer</t>
        </is>
      </c>
      <c r="P1455" t="inlineStr">
        <is>
          <t>Chief Operating Officer</t>
        </is>
      </c>
      <c r="Y1455" t="inlineStr">
        <is>
          <t>todo</t>
        </is>
      </c>
      <c r="Z1455">
        <f>(M1455*Weights!$B$2) + (MIN(Q1455,Weights!$B$5)*Weights!$B$3*(W1455/100)*Weights!$B$4)</f>
        <v/>
      </c>
      <c r="AA1455">
        <f>IF(Z1455= ,,RANK.EQ({pri_col_letter}{r},{pri_range},0))</f>
        <v/>
      </c>
    </row>
    <row r="1456">
      <c r="A1456" t="inlineStr">
        <is>
          <t>HaulPay</t>
        </is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inlineStr">
        <is>
          <t>Tier 4</t>
        </is>
      </c>
      <c r="O1456" t="inlineStr">
        <is>
          <t>Steve Kochan — President</t>
        </is>
      </c>
      <c r="P1456" t="inlineStr">
        <is>
          <t>President</t>
        </is>
      </c>
      <c r="Y1456" t="inlineStr">
        <is>
          <t>todo</t>
        </is>
      </c>
      <c r="Z1456">
        <f>(M1456*Weights!$B$2) + (MIN(Q1456,Weights!$B$5)*Weights!$B$3*(W1456/100)*Weights!$B$4)</f>
        <v/>
      </c>
      <c r="AA1456">
        <f>IF(Z1456= ,,RANK.EQ({pri_col_letter}{r},{pri_range},0))</f>
        <v/>
      </c>
    </row>
    <row r="1457">
      <c r="A1457" t="inlineStr">
        <is>
          <t>Headline</t>
        </is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inlineStr">
        <is>
          <t>Tier 4</t>
        </is>
      </c>
      <c r="O1457" t="inlineStr">
        <is>
          <t>Jerry Fung — Investor</t>
        </is>
      </c>
      <c r="P1457" t="inlineStr">
        <is>
          <t>Investor</t>
        </is>
      </c>
      <c r="Y1457" t="inlineStr">
        <is>
          <t>todo</t>
        </is>
      </c>
      <c r="Z1457">
        <f>(M1457*Weights!$B$2) + (MIN(Q1457,Weights!$B$5)*Weights!$B$3*(W1457/100)*Weights!$B$4)</f>
        <v/>
      </c>
      <c r="AA1457">
        <f>IF(Z1457= ,,RANK.EQ({pri_col_letter}{r},{pri_range},0))</f>
        <v/>
      </c>
    </row>
    <row r="1458">
      <c r="A1458" t="inlineStr">
        <is>
          <t>Hearst Ventures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inlineStr">
        <is>
          <t>Tier 4</t>
        </is>
      </c>
      <c r="O1458" t="inlineStr">
        <is>
          <t>David Famolari — Managing Director</t>
        </is>
      </c>
      <c r="P1458" t="inlineStr">
        <is>
          <t>Managing Director</t>
        </is>
      </c>
      <c r="Y1458" t="inlineStr">
        <is>
          <t>todo</t>
        </is>
      </c>
      <c r="Z1458">
        <f>(M1458*Weights!$B$2) + (MIN(Q1458,Weights!$B$5)*Weights!$B$3*(W1458/100)*Weights!$B$4)</f>
        <v/>
      </c>
      <c r="AA1458">
        <f>IF(Z1458= ,,RANK.EQ({pri_col_letter}{r},{pri_range},0))</f>
        <v/>
      </c>
    </row>
    <row r="1459">
      <c r="A1459" t="inlineStr">
        <is>
          <t>Helios AI</t>
        </is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inlineStr">
        <is>
          <t>Tier 4</t>
        </is>
      </c>
      <c r="O1459" t="inlineStr">
        <is>
          <t>Francisco Martin-Rayo — CEO</t>
        </is>
      </c>
      <c r="P1459" t="inlineStr">
        <is>
          <t>CEO</t>
        </is>
      </c>
      <c r="Y1459" t="inlineStr">
        <is>
          <t>todo</t>
        </is>
      </c>
      <c r="Z1459">
        <f>(M1459*Weights!$B$2) + (MIN(Q1459,Weights!$B$5)*Weights!$B$3*(W1459/100)*Weights!$B$4)</f>
        <v/>
      </c>
      <c r="AA1459">
        <f>IF(Z1459= ,,RANK.EQ({pri_col_letter}{r},{pri_range},0))</f>
        <v/>
      </c>
    </row>
    <row r="1460">
      <c r="A1460" t="inlineStr">
        <is>
          <t>Hellmann Strategic Growth Investments GmbH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inlineStr">
        <is>
          <t>Tier 4</t>
        </is>
      </c>
      <c r="O1460" t="inlineStr">
        <is>
          <t>Shiran Nusbaum — Managing Director</t>
        </is>
      </c>
      <c r="P1460" t="inlineStr">
        <is>
          <t>Managing Director</t>
        </is>
      </c>
      <c r="Y1460" t="inlineStr">
        <is>
          <t>todo</t>
        </is>
      </c>
      <c r="Z1460">
        <f>(M1460*Weights!$B$2) + (MIN(Q1460,Weights!$B$5)*Weights!$B$3*(W1460/100)*Weights!$B$4)</f>
        <v/>
      </c>
      <c r="AA1460">
        <f>IF(Z1460= ,,RANK.EQ({pri_col_letter}{r},{pri_range},0))</f>
        <v/>
      </c>
    </row>
    <row r="1461">
      <c r="A1461" t="inlineStr">
        <is>
          <t>Hermes National Transport, LLC</t>
        </is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inlineStr">
        <is>
          <t>Tier 4</t>
        </is>
      </c>
      <c r="O1461" t="inlineStr">
        <is>
          <t>Marina Peterson — owner</t>
        </is>
      </c>
      <c r="P1461" t="inlineStr">
        <is>
          <t>owner</t>
        </is>
      </c>
      <c r="Y1461" t="inlineStr">
        <is>
          <t>todo</t>
        </is>
      </c>
      <c r="Z1461">
        <f>(M1461*Weights!$B$2) + (MIN(Q1461,Weights!$B$5)*Weights!$B$3*(W1461/100)*Weights!$B$4)</f>
        <v/>
      </c>
      <c r="AA1461">
        <f>IF(Z1461= ,,RANK.EQ({pri_col_letter}{r},{pri_range},0))</f>
        <v/>
      </c>
    </row>
    <row r="1462">
      <c r="A1462" t="inlineStr">
        <is>
          <t>Hiab</t>
        </is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>
        <is>
          <t>Tier 4</t>
        </is>
      </c>
      <c r="O1462" t="inlineStr">
        <is>
          <t>David Ausdenmoore — Product Manager</t>
        </is>
      </c>
      <c r="P1462" t="inlineStr">
        <is>
          <t>Product Manager</t>
        </is>
      </c>
      <c r="Y1462" t="inlineStr">
        <is>
          <t>todo</t>
        </is>
      </c>
      <c r="Z1462">
        <f>(M1462*Weights!$B$2) + (MIN(Q1462,Weights!$B$5)*Weights!$B$3*(W1462/100)*Weights!$B$4)</f>
        <v/>
      </c>
      <c r="AA1462">
        <f>IF(Z1462= ,,RANK.EQ({pri_col_letter}{r},{pri_range},0))</f>
        <v/>
      </c>
    </row>
    <row r="1463">
      <c r="A1463" t="inlineStr">
        <is>
          <t>High Performance Expo (HPX)</t>
        </is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inlineStr">
        <is>
          <t>Tier 4</t>
        </is>
      </c>
      <c r="O1463" t="inlineStr">
        <is>
          <t>Jennifer Hoff — President</t>
        </is>
      </c>
      <c r="P1463" t="inlineStr">
        <is>
          <t>President</t>
        </is>
      </c>
      <c r="Y1463" t="inlineStr">
        <is>
          <t>todo</t>
        </is>
      </c>
      <c r="Z1463">
        <f>(M1463*Weights!$B$2) + (MIN(Q1463,Weights!$B$5)*Weights!$B$3*(W1463/100)*Weights!$B$4)</f>
        <v/>
      </c>
      <c r="AA1463">
        <f>IF(Z1463= ,,RANK.EQ({pri_col_letter}{r},{pri_range},0))</f>
        <v/>
      </c>
    </row>
    <row r="1464">
      <c r="A1464" t="inlineStr">
        <is>
          <t>High Tide Logistics</t>
        </is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inlineStr">
        <is>
          <t>Tier 4</t>
        </is>
      </c>
      <c r="O1464" t="inlineStr">
        <is>
          <t>Brian Pennington — Executive VP</t>
        </is>
      </c>
      <c r="P1464" t="inlineStr">
        <is>
          <t>Executive VP</t>
        </is>
      </c>
      <c r="Y1464" t="inlineStr">
        <is>
          <t>todo</t>
        </is>
      </c>
      <c r="Z1464">
        <f>(M1464*Weights!$B$2) + (MIN(Q1464,Weights!$B$5)*Weights!$B$3*(W1464/100)*Weights!$B$4)</f>
        <v/>
      </c>
      <c r="AA1464">
        <f>IF(Z1464= ,,RANK.EQ({pri_col_letter}{r},{pri_range},0))</f>
        <v/>
      </c>
    </row>
    <row r="1465">
      <c r="A1465" t="inlineStr">
        <is>
          <t>Hills Nutrition</t>
        </is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inlineStr">
        <is>
          <t>Tier 4</t>
        </is>
      </c>
      <c r="O1465" t="inlineStr">
        <is>
          <t>Javier Arostegui — Vice President of Demand</t>
        </is>
      </c>
      <c r="P1465" t="inlineStr">
        <is>
          <t>Vice President of Demand</t>
        </is>
      </c>
      <c r="Y1465" t="inlineStr">
        <is>
          <t>todo</t>
        </is>
      </c>
      <c r="Z1465">
        <f>(M1465*Weights!$B$2) + (MIN(Q1465,Weights!$B$5)*Weights!$B$3*(W1465/100)*Weights!$B$4)</f>
        <v/>
      </c>
      <c r="AA1465">
        <f>IF(Z1465= ,,RANK.EQ({pri_col_letter}{r},{pri_range},0))</f>
        <v/>
      </c>
    </row>
    <row r="1466">
      <c r="A1466" t="inlineStr">
        <is>
          <t>Hitachi America, Ltd</t>
        </is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inlineStr">
        <is>
          <t>Tier 4</t>
        </is>
      </c>
      <c r="O1466" t="inlineStr">
        <is>
          <t>Arnab Chakrabarti — Director and Lab Manager, R&amp;D / Financial Innovation Lab</t>
        </is>
      </c>
      <c r="P1466" t="inlineStr">
        <is>
          <t>Director and Lab Manager, R&amp;D / Financial Innovation Lab</t>
        </is>
      </c>
      <c r="Y1466" t="inlineStr">
        <is>
          <t>todo</t>
        </is>
      </c>
      <c r="Z1466">
        <f>(M1466*Weights!$B$2) + (MIN(Q1466,Weights!$B$5)*Weights!$B$3*(W1466/100)*Weights!$B$4)</f>
        <v/>
      </c>
      <c r="AA1466">
        <f>IF(Z1466= ,,RANK.EQ({pri_col_letter}{r},{pri_range},0))</f>
        <v/>
      </c>
    </row>
    <row r="1467">
      <c r="A1467" t="inlineStr">
        <is>
          <t>Hitachi America, Ltd.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inlineStr">
        <is>
          <t>Tier 4</t>
        </is>
      </c>
      <c r="O1467" t="inlineStr">
        <is>
          <t>Misaki Mito — Researcher</t>
        </is>
      </c>
      <c r="P1467" t="inlineStr">
        <is>
          <t>Researcher</t>
        </is>
      </c>
      <c r="Y1467" t="inlineStr">
        <is>
          <t>todo</t>
        </is>
      </c>
      <c r="Z1467">
        <f>(M1467*Weights!$B$2) + (MIN(Q1467,Weights!$B$5)*Weights!$B$3*(W1467/100)*Weights!$B$4)</f>
        <v/>
      </c>
      <c r="AA1467">
        <f>IF(Z1467= ,,RANK.EQ({pri_col_letter}{r},{pri_range},0))</f>
        <v/>
      </c>
    </row>
    <row r="1468">
      <c r="A1468" t="inlineStr">
        <is>
          <t>Hitachi Ventures</t>
        </is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inlineStr">
        <is>
          <t>Tier 4</t>
        </is>
      </c>
      <c r="O1468" t="inlineStr">
        <is>
          <t>Grace Mathis — Investor</t>
        </is>
      </c>
      <c r="P1468" t="inlineStr">
        <is>
          <t>Investor</t>
        </is>
      </c>
      <c r="Y1468" t="inlineStr">
        <is>
          <t>todo</t>
        </is>
      </c>
      <c r="Z1468">
        <f>(M1468*Weights!$B$2) + (MIN(Q1468,Weights!$B$5)*Weights!$B$3*(W1468/100)*Weights!$B$4)</f>
        <v/>
      </c>
      <c r="AA1468">
        <f>IF(Z1468= ,,RANK.EQ({pri_col_letter}{r},{pri_range},0))</f>
        <v/>
      </c>
    </row>
    <row r="1469">
      <c r="A1469" t="inlineStr">
        <is>
          <t>Hive Technologies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inlineStr">
        <is>
          <t>Tier 4</t>
        </is>
      </c>
      <c r="O1469" t="inlineStr">
        <is>
          <t>Oskar Ziegler — CEO &amp; Co-Founder</t>
        </is>
      </c>
      <c r="P1469" t="inlineStr">
        <is>
          <t>CEO &amp; Co-Founder</t>
        </is>
      </c>
      <c r="Y1469" t="inlineStr">
        <is>
          <t>todo</t>
        </is>
      </c>
      <c r="Z1469">
        <f>(M1469*Weights!$B$2) + (MIN(Q1469,Weights!$B$5)*Weights!$B$3*(W1469/100)*Weights!$B$4)</f>
        <v/>
      </c>
      <c r="AA1469">
        <f>IF(Z1469= ,,RANK.EQ({pri_col_letter}{r},{pri_range},0))</f>
        <v/>
      </c>
    </row>
    <row r="1470">
      <c r="A1470" t="inlineStr">
        <is>
          <t>Hoist AI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inlineStr">
        <is>
          <t>Tier 4</t>
        </is>
      </c>
      <c r="O1470" t="inlineStr">
        <is>
          <t>Hidayat Hamidov — CEO &amp; Founder</t>
        </is>
      </c>
      <c r="P1470" t="inlineStr">
        <is>
          <t>CEO &amp; Founder</t>
        </is>
      </c>
      <c r="Y1470" t="inlineStr">
        <is>
          <t>todo</t>
        </is>
      </c>
      <c r="Z1470">
        <f>(M1470*Weights!$B$2) + (MIN(Q1470,Weights!$B$5)*Weights!$B$3*(W1470/100)*Weights!$B$4)</f>
        <v/>
      </c>
      <c r="AA1470">
        <f>IF(Z1470= ,,RANK.EQ({pri_col_letter}{r},{pri_range},0))</f>
        <v/>
      </c>
    </row>
    <row r="1471">
      <c r="A1471" t="inlineStr">
        <is>
          <t>Holland &amp; Knight LLP</t>
        </is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inlineStr">
        <is>
          <t>Tier 4</t>
        </is>
      </c>
      <c r="O1471" t="inlineStr">
        <is>
          <t>William Kent — Partner</t>
        </is>
      </c>
      <c r="P1471" t="inlineStr">
        <is>
          <t>Partner</t>
        </is>
      </c>
      <c r="Y1471" t="inlineStr">
        <is>
          <t>todo</t>
        </is>
      </c>
      <c r="Z1471">
        <f>(M1471*Weights!$B$2) + (MIN(Q1471,Weights!$B$5)*Weights!$B$3*(W1471/100)*Weights!$B$4)</f>
        <v/>
      </c>
      <c r="AA1471">
        <f>IF(Z1471= ,,RANK.EQ({pri_col_letter}{r},{pri_range},0))</f>
        <v/>
      </c>
    </row>
    <row r="1472">
      <c r="A1472" t="inlineStr">
        <is>
          <t>Honest Medical</t>
        </is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inlineStr">
        <is>
          <t>Tier 4</t>
        </is>
      </c>
      <c r="O1472" t="inlineStr">
        <is>
          <t>Mike Greenan — CEO</t>
        </is>
      </c>
      <c r="P1472" t="inlineStr">
        <is>
          <t>CEO</t>
        </is>
      </c>
      <c r="Y1472" t="inlineStr">
        <is>
          <t>todo</t>
        </is>
      </c>
      <c r="Z1472">
        <f>(M1472*Weights!$B$2) + (MIN(Q1472,Weights!$B$5)*Weights!$B$3*(W1472/100)*Weights!$B$4)</f>
        <v/>
      </c>
      <c r="AA1472">
        <f>IF(Z1472= ,,RANK.EQ({pri_col_letter}{r},{pri_range},0))</f>
        <v/>
      </c>
    </row>
    <row r="1473">
      <c r="A1473" t="inlineStr">
        <is>
          <t>Hoptek</t>
        </is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inlineStr">
        <is>
          <t>Tier 4</t>
        </is>
      </c>
      <c r="O1473" t="inlineStr">
        <is>
          <t>Danny Lilley — Chief Strategy Officer</t>
        </is>
      </c>
      <c r="P1473" t="inlineStr">
        <is>
          <t>Chief Strategy Officer</t>
        </is>
      </c>
      <c r="Y1473" t="inlineStr">
        <is>
          <t>todo</t>
        </is>
      </c>
      <c r="Z1473">
        <f>(M1473*Weights!$B$2) + (MIN(Q1473,Weights!$B$5)*Weights!$B$3*(W1473/100)*Weights!$B$4)</f>
        <v/>
      </c>
      <c r="AA1473">
        <f>IF(Z1473= ,,RANK.EQ({pri_col_letter}{r},{pri_range},0))</f>
        <v/>
      </c>
    </row>
    <row r="1474">
      <c r="A1474" t="inlineStr">
        <is>
          <t>Hoptek Inc.</t>
        </is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>
        <is>
          <t>Tier 4</t>
        </is>
      </c>
      <c r="O1474" t="inlineStr">
        <is>
          <t>Balaji Guntur — CEO</t>
        </is>
      </c>
      <c r="P1474" t="inlineStr">
        <is>
          <t>CEO</t>
        </is>
      </c>
      <c r="Y1474" t="inlineStr">
        <is>
          <t>todo</t>
        </is>
      </c>
      <c r="Z1474">
        <f>(M1474*Weights!$B$2) + (MIN(Q1474,Weights!$B$5)*Weights!$B$3*(W1474/100)*Weights!$B$4)</f>
        <v/>
      </c>
      <c r="AA1474">
        <f>IF(Z1474= ,,RANK.EQ({pri_col_letter}{r},{pri_range},0))</f>
        <v/>
      </c>
    </row>
    <row r="1475">
      <c r="A1475" t="inlineStr">
        <is>
          <t>Hormel</t>
        </is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inlineStr">
        <is>
          <t>Tier 4</t>
        </is>
      </c>
      <c r="O1475" t="inlineStr">
        <is>
          <t>Tim Whitson — Corporate Manager, Warehousing</t>
        </is>
      </c>
      <c r="P1475" t="inlineStr">
        <is>
          <t>Corporate Manager, Warehousing</t>
        </is>
      </c>
      <c r="Y1475" t="inlineStr">
        <is>
          <t>todo</t>
        </is>
      </c>
      <c r="Z1475">
        <f>(M1475*Weights!$B$2) + (MIN(Q1475,Weights!$B$5)*Weights!$B$3*(W1475/100)*Weights!$B$4)</f>
        <v/>
      </c>
      <c r="AA1475">
        <f>IF(Z1475= ,,RANK.EQ({pri_col_letter}{r},{pri_range},0))</f>
        <v/>
      </c>
    </row>
    <row r="1476">
      <c r="A1476" t="inlineStr">
        <is>
          <t>Hunter Global Express</t>
        </is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>
        <is>
          <t>Tier 4</t>
        </is>
      </c>
      <c r="O1476" t="inlineStr">
        <is>
          <t>Tim Korba — General Manager</t>
        </is>
      </c>
      <c r="P1476" t="inlineStr">
        <is>
          <t>General Manager</t>
        </is>
      </c>
      <c r="Y1476" t="inlineStr">
        <is>
          <t>todo</t>
        </is>
      </c>
      <c r="Z1476">
        <f>(M1476*Weights!$B$2) + (MIN(Q1476,Weights!$B$5)*Weights!$B$3*(W1476/100)*Weights!$B$4)</f>
        <v/>
      </c>
      <c r="AA1476">
        <f>IF(Z1476= ,,RANK.EQ({pri_col_letter}{r},{pri_range},0))</f>
        <v/>
      </c>
    </row>
    <row r="1477">
      <c r="A1477" t="inlineStr">
        <is>
          <t>Hwy Haul</t>
        </is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>
        <is>
          <t>Tier 4</t>
        </is>
      </c>
      <c r="O1477" t="inlineStr">
        <is>
          <t>Syed Aman — CEO &amp; Founder</t>
        </is>
      </c>
      <c r="P1477" t="inlineStr">
        <is>
          <t>CEO &amp; Founder</t>
        </is>
      </c>
      <c r="Y1477" t="inlineStr">
        <is>
          <t>todo</t>
        </is>
      </c>
      <c r="Z1477">
        <f>(M1477*Weights!$B$2) + (MIN(Q1477,Weights!$B$5)*Weights!$B$3*(W1477/100)*Weights!$B$4)</f>
        <v/>
      </c>
      <c r="AA1477">
        <f>IF(Z1477= ,,RANK.EQ({pri_col_letter}{r},{pri_range},0))</f>
        <v/>
      </c>
    </row>
    <row r="1478">
      <c r="A1478" t="inlineStr">
        <is>
          <t>I Squared Capital</t>
        </is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inlineStr">
        <is>
          <t>Tier 4</t>
        </is>
      </c>
      <c r="O1478" t="inlineStr">
        <is>
          <t>Aimee Xu — Vice President</t>
        </is>
      </c>
      <c r="P1478" t="inlineStr">
        <is>
          <t>Vice President</t>
        </is>
      </c>
      <c r="Y1478" t="inlineStr">
        <is>
          <t>todo</t>
        </is>
      </c>
      <c r="Z1478">
        <f>(M1478*Weights!$B$2) + (MIN(Q1478,Weights!$B$5)*Weights!$B$3*(W1478/100)*Weights!$B$4)</f>
        <v/>
      </c>
      <c r="AA1478">
        <f>IF(Z1478= ,,RANK.EQ({pri_col_letter}{r},{pri_range},0))</f>
        <v/>
      </c>
    </row>
    <row r="1479">
      <c r="A1479" t="inlineStr">
        <is>
          <t>IBIS Labs</t>
        </is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inlineStr">
        <is>
          <t>Tier 4</t>
        </is>
      </c>
      <c r="O1479" t="inlineStr">
        <is>
          <t>John Chang — Co-Founder &amp; CEO</t>
        </is>
      </c>
      <c r="P1479" t="inlineStr">
        <is>
          <t>Co-Founder &amp; CEO</t>
        </is>
      </c>
      <c r="Y1479" t="inlineStr">
        <is>
          <t>todo</t>
        </is>
      </c>
      <c r="Z1479">
        <f>(M1479*Weights!$B$2) + (MIN(Q1479,Weights!$B$5)*Weights!$B$3*(W1479/100)*Weights!$B$4)</f>
        <v/>
      </c>
      <c r="AA1479">
        <f>IF(Z1479= ,,RANK.EQ({pri_col_letter}{r},{pri_range},0))</f>
        <v/>
      </c>
    </row>
    <row r="1480">
      <c r="A1480" t="inlineStr">
        <is>
          <t>IDC Logistics with 4 million square feet of bonded, food, CPG, pharma DC's and drayage services in SoCal, Savannah, New Jersey.</t>
        </is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inlineStr">
        <is>
          <t>Tier 4</t>
        </is>
      </c>
      <c r="O1480" t="inlineStr">
        <is>
          <t>Jim Marcoly — EVP</t>
        </is>
      </c>
      <c r="P1480" t="inlineStr">
        <is>
          <t>EVP</t>
        </is>
      </c>
      <c r="Y1480" t="inlineStr">
        <is>
          <t>todo</t>
        </is>
      </c>
      <c r="Z1480">
        <f>(M1480*Weights!$B$2) + (MIN(Q1480,Weights!$B$5)*Weights!$B$3*(W1480/100)*Weights!$B$4)</f>
        <v/>
      </c>
      <c r="AA1480">
        <f>IF(Z1480= ,,RANK.EQ({pri_col_letter}{r},{pri_range},0))</f>
        <v/>
      </c>
    </row>
    <row r="1481">
      <c r="A1481" t="inlineStr">
        <is>
          <t>IINO LINES</t>
        </is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>
        <is>
          <t>Tier 4</t>
        </is>
      </c>
      <c r="O1481" t="inlineStr">
        <is>
          <t>Kenji Togasaki — SVP</t>
        </is>
      </c>
      <c r="P1481" t="inlineStr">
        <is>
          <t>SVP</t>
        </is>
      </c>
      <c r="Y1481" t="inlineStr">
        <is>
          <t>todo</t>
        </is>
      </c>
      <c r="Z1481">
        <f>(M1481*Weights!$B$2) + (MIN(Q1481,Weights!$B$5)*Weights!$B$3*(W1481/100)*Weights!$B$4)</f>
        <v/>
      </c>
      <c r="AA1481">
        <f>IF(Z1481= ,,RANK.EQ({pri_col_letter}{r},{pri_range},0))</f>
        <v/>
      </c>
    </row>
    <row r="1482">
      <c r="A1482" t="inlineStr">
        <is>
          <t>IKEA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inlineStr">
        <is>
          <t>Tier 4</t>
        </is>
      </c>
      <c r="O1482" t="inlineStr">
        <is>
          <t>Frank Kantner — CSCO, US</t>
        </is>
      </c>
      <c r="P1482" t="inlineStr">
        <is>
          <t>CSCO, US</t>
        </is>
      </c>
      <c r="Y1482" t="inlineStr">
        <is>
          <t>todo</t>
        </is>
      </c>
      <c r="Z1482">
        <f>(M1482*Weights!$B$2) + (MIN(Q1482,Weights!$B$5)*Weights!$B$3*(W1482/100)*Weights!$B$4)</f>
        <v/>
      </c>
      <c r="AA1482">
        <f>IF(Z1482= ,,RANK.EQ({pri_col_letter}{r},{pri_range},0))</f>
        <v/>
      </c>
    </row>
    <row r="1483">
      <c r="A1483" t="inlineStr">
        <is>
          <t>ILG LOGISTICS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inlineStr">
        <is>
          <t>Tier 4</t>
        </is>
      </c>
      <c r="O1483" t="inlineStr">
        <is>
          <t>DANIEL ILG — President</t>
        </is>
      </c>
      <c r="P1483" t="inlineStr">
        <is>
          <t>President</t>
        </is>
      </c>
      <c r="Y1483" t="inlineStr">
        <is>
          <t>todo</t>
        </is>
      </c>
      <c r="Z1483">
        <f>(M1483*Weights!$B$2) + (MIN(Q1483,Weights!$B$5)*Weights!$B$3*(W1483/100)*Weights!$B$4)</f>
        <v/>
      </c>
      <c r="AA1483">
        <f>IF(Z1483= ,,RANK.EQ({pri_col_letter}{r},{pri_range},0))</f>
        <v/>
      </c>
    </row>
    <row r="1484">
      <c r="A1484" t="inlineStr">
        <is>
          <t>ILJIN USA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inlineStr">
        <is>
          <t>Tier 4</t>
        </is>
      </c>
      <c r="O1484" t="inlineStr">
        <is>
          <t>Yonguk Jeong — Plant Manager</t>
        </is>
      </c>
      <c r="P1484" t="inlineStr">
        <is>
          <t>Plant Manager</t>
        </is>
      </c>
      <c r="Y1484" t="inlineStr">
        <is>
          <t>todo</t>
        </is>
      </c>
      <c r="Z1484">
        <f>(M1484*Weights!$B$2) + (MIN(Q1484,Weights!$B$5)*Weights!$B$3*(W1484/100)*Weights!$B$4)</f>
        <v/>
      </c>
      <c r="AA1484">
        <f>IF(Z1484= ,,RANK.EQ({pri_col_letter}{r},{pri_range},0))</f>
        <v/>
      </c>
    </row>
    <row r="1485">
      <c r="A1485" t="inlineStr">
        <is>
          <t>IONADRONES</t>
        </is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>
        <is>
          <t>Tier 4</t>
        </is>
      </c>
      <c r="O1485" t="inlineStr">
        <is>
          <t>Etienne Louvet — CEO</t>
        </is>
      </c>
      <c r="P1485" t="inlineStr">
        <is>
          <t>CEO</t>
        </is>
      </c>
      <c r="Y1485" t="inlineStr">
        <is>
          <t>todo</t>
        </is>
      </c>
      <c r="Z1485">
        <f>(M1485*Weights!$B$2) + (MIN(Q1485,Weights!$B$5)*Weights!$B$3*(W1485/100)*Weights!$B$4)</f>
        <v/>
      </c>
      <c r="AA1485">
        <f>IF(Z1485= ,,RANK.EQ({pri_col_letter}{r},{pri_range},0))</f>
        <v/>
      </c>
    </row>
    <row r="1486">
      <c r="A1486" t="inlineStr">
        <is>
          <t>ISCEA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inlineStr">
        <is>
          <t>Tier 4</t>
        </is>
      </c>
      <c r="O1486" t="inlineStr">
        <is>
          <t>Jorge Morales — Global COO</t>
        </is>
      </c>
      <c r="P1486" t="inlineStr">
        <is>
          <t>Global COO</t>
        </is>
      </c>
      <c r="Y1486" t="inlineStr">
        <is>
          <t>todo</t>
        </is>
      </c>
      <c r="Z1486">
        <f>(M1486*Weights!$B$2) + (MIN(Q1486,Weights!$B$5)*Weights!$B$3*(W1486/100)*Weights!$B$4)</f>
        <v/>
      </c>
      <c r="AA1486">
        <f>IF(Z1486= ,,RANK.EQ({pri_col_letter}{r},{pri_range},0))</f>
        <v/>
      </c>
    </row>
    <row r="1487">
      <c r="A1487" t="inlineStr">
        <is>
          <t>ISCEA International Standards Board IISB</t>
        </is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inlineStr">
        <is>
          <t>Tier 4</t>
        </is>
      </c>
      <c r="O1487" t="inlineStr">
        <is>
          <t>Erick Jones — President</t>
        </is>
      </c>
      <c r="P1487" t="inlineStr">
        <is>
          <t>President</t>
        </is>
      </c>
      <c r="Y1487" t="inlineStr">
        <is>
          <t>todo</t>
        </is>
      </c>
      <c r="Z1487">
        <f>(M1487*Weights!$B$2) + (MIN(Q1487,Weights!$B$5)*Weights!$B$3*(W1487/100)*Weights!$B$4)</f>
        <v/>
      </c>
      <c r="AA1487">
        <f>IF(Z1487= ,,RANK.EQ({pri_col_letter}{r},{pri_range},0))</f>
        <v/>
      </c>
    </row>
    <row r="1488">
      <c r="A1488" t="inlineStr">
        <is>
          <t>Imperative Logistics</t>
        </is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inlineStr">
        <is>
          <t>Tier 4</t>
        </is>
      </c>
      <c r="O1488" t="inlineStr">
        <is>
          <t>Ian Aguilar — CTO</t>
        </is>
      </c>
      <c r="P1488" t="inlineStr">
        <is>
          <t>CTO</t>
        </is>
      </c>
      <c r="Y1488" t="inlineStr">
        <is>
          <t>todo</t>
        </is>
      </c>
      <c r="Z1488">
        <f>(M1488*Weights!$B$2) + (MIN(Q1488,Weights!$B$5)*Weights!$B$3*(W1488/100)*Weights!$B$4)</f>
        <v/>
      </c>
      <c r="AA1488">
        <f>IF(Z1488= ,,RANK.EQ({pri_col_letter}{r},{pri_range},0))</f>
        <v/>
      </c>
    </row>
    <row r="1489">
      <c r="A1489" t="inlineStr">
        <is>
          <t>ImportYeti</t>
        </is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inlineStr">
        <is>
          <t>Tier 4</t>
        </is>
      </c>
      <c r="O1489" t="inlineStr">
        <is>
          <t>James Brewer — Co-Founder</t>
        </is>
      </c>
      <c r="P1489" t="inlineStr">
        <is>
          <t>Co-Founder</t>
        </is>
      </c>
      <c r="Y1489" t="inlineStr">
        <is>
          <t>todo</t>
        </is>
      </c>
      <c r="Z1489">
        <f>(M1489*Weights!$B$2) + (MIN(Q1489,Weights!$B$5)*Weights!$B$3*(W1489/100)*Weights!$B$4)</f>
        <v/>
      </c>
      <c r="AA1489">
        <f>IF(Z1489= ,,RANK.EQ({pri_col_letter}{r},{pri_range},0))</f>
        <v/>
      </c>
    </row>
    <row r="1490">
      <c r="A1490" t="inlineStr">
        <is>
          <t>Index Fresh</t>
        </is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inlineStr">
        <is>
          <t>Tier 4</t>
        </is>
      </c>
      <c r="O1490" t="inlineStr">
        <is>
          <t>Joe Locke — CFO</t>
        </is>
      </c>
      <c r="P1490" t="inlineStr">
        <is>
          <t>CFO</t>
        </is>
      </c>
      <c r="Y1490" t="inlineStr">
        <is>
          <t>todo</t>
        </is>
      </c>
      <c r="Z1490">
        <f>(M1490*Weights!$B$2) + (MIN(Q1490,Weights!$B$5)*Weights!$B$3*(W1490/100)*Weights!$B$4)</f>
        <v/>
      </c>
      <c r="AA1490">
        <f>IF(Z1490= ,,RANK.EQ({pri_col_letter}{r},{pri_range},0))</f>
        <v/>
      </c>
    </row>
    <row r="1491">
      <c r="A1491" t="inlineStr">
        <is>
          <t>Infinite Corridor Group LLC</t>
        </is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inlineStr">
        <is>
          <t>Tier 4</t>
        </is>
      </c>
      <c r="O1491" t="inlineStr">
        <is>
          <t>Brent Beabout — President</t>
        </is>
      </c>
      <c r="P1491" t="inlineStr">
        <is>
          <t>President</t>
        </is>
      </c>
      <c r="Y1491" t="inlineStr">
        <is>
          <t>todo</t>
        </is>
      </c>
      <c r="Z1491">
        <f>(M1491*Weights!$B$2) + (MIN(Q1491,Weights!$B$5)*Weights!$B$3*(W1491/100)*Weights!$B$4)</f>
        <v/>
      </c>
      <c r="AA1491">
        <f>IF(Z1491= ,,RANK.EQ({pri_col_letter}{r},{pri_range},0))</f>
        <v/>
      </c>
    </row>
    <row r="1492">
      <c r="A1492" t="inlineStr">
        <is>
          <t>Informa TechTarget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inlineStr">
        <is>
          <t>Tier 4</t>
        </is>
      </c>
      <c r="O1492" t="inlineStr">
        <is>
          <t>Edwin Lopez — Managing Editor</t>
        </is>
      </c>
      <c r="P1492" t="inlineStr">
        <is>
          <t>Managing Editor</t>
        </is>
      </c>
      <c r="Y1492" t="inlineStr">
        <is>
          <t>todo</t>
        </is>
      </c>
      <c r="Z1492">
        <f>(M1492*Weights!$B$2) + (MIN(Q1492,Weights!$B$5)*Weights!$B$3*(W1492/100)*Weights!$B$4)</f>
        <v/>
      </c>
      <c r="AA1492">
        <f>IF(Z1492= ,,RANK.EQ({pri_col_letter}{r},{pri_range},0))</f>
        <v/>
      </c>
    </row>
    <row r="1493">
      <c r="A1493" t="inlineStr">
        <is>
          <t>Ingenic Solutions</t>
        </is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inlineStr">
        <is>
          <t>Tier 4</t>
        </is>
      </c>
      <c r="O1493" t="inlineStr">
        <is>
          <t>Hunter HeLal — Owner, CEO</t>
        </is>
      </c>
      <c r="P1493" t="inlineStr">
        <is>
          <t>Owner, CEO</t>
        </is>
      </c>
      <c r="Y1493" t="inlineStr">
        <is>
          <t>todo</t>
        </is>
      </c>
      <c r="Z1493">
        <f>(M1493*Weights!$B$2) + (MIN(Q1493,Weights!$B$5)*Weights!$B$3*(W1493/100)*Weights!$B$4)</f>
        <v/>
      </c>
      <c r="AA1493">
        <f>IF(Z1493= ,,RANK.EQ({pri_col_letter}{r},{pri_range},0))</f>
        <v/>
      </c>
    </row>
    <row r="1494">
      <c r="A1494" t="inlineStr">
        <is>
          <t>Ingersoll Rand</t>
        </is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inlineStr">
        <is>
          <t>Tier 4</t>
        </is>
      </c>
      <c r="O1494" t="inlineStr">
        <is>
          <t>Aviran Yaacov — General Manager Open Innovation</t>
        </is>
      </c>
      <c r="P1494" t="inlineStr">
        <is>
          <t>General Manager Open Innovation</t>
        </is>
      </c>
      <c r="Y1494" t="inlineStr">
        <is>
          <t>todo</t>
        </is>
      </c>
      <c r="Z1494">
        <f>(M1494*Weights!$B$2) + (MIN(Q1494,Weights!$B$5)*Weights!$B$3*(W1494/100)*Weights!$B$4)</f>
        <v/>
      </c>
      <c r="AA1494">
        <f>IF(Z1494= ,,RANK.EQ({pri_col_letter}{r},{pri_range},0))</f>
        <v/>
      </c>
    </row>
    <row r="1495">
      <c r="A1495" t="inlineStr">
        <is>
          <t>InnoScale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inlineStr">
        <is>
          <t>Tier 4</t>
        </is>
      </c>
      <c r="O1495" t="inlineStr">
        <is>
          <t>Peter Skov — InnoScale</t>
        </is>
      </c>
      <c r="P1495" t="inlineStr">
        <is>
          <t>InnoScale</t>
        </is>
      </c>
      <c r="Y1495" t="inlineStr">
        <is>
          <t>todo</t>
        </is>
      </c>
      <c r="Z1495">
        <f>(M1495*Weights!$B$2) + (MIN(Q1495,Weights!$B$5)*Weights!$B$3*(W1495/100)*Weights!$B$4)</f>
        <v/>
      </c>
      <c r="AA1495">
        <f>IF(Z1495= ,,RANK.EQ({pri_col_letter}{r},{pri_range},0))</f>
        <v/>
      </c>
    </row>
    <row r="1496">
      <c r="A1496" t="inlineStr">
        <is>
          <t>Innoport</t>
        </is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inlineStr">
        <is>
          <t>Tier 4</t>
        </is>
      </c>
      <c r="O1496" t="inlineStr">
        <is>
          <t>Haymon Sinapius — Director</t>
        </is>
      </c>
      <c r="P1496" t="inlineStr">
        <is>
          <t>Director</t>
        </is>
      </c>
      <c r="Y1496" t="inlineStr">
        <is>
          <t>todo</t>
        </is>
      </c>
      <c r="Z1496">
        <f>(M1496*Weights!$B$2) + (MIN(Q1496,Weights!$B$5)*Weights!$B$3*(W1496/100)*Weights!$B$4)</f>
        <v/>
      </c>
      <c r="AA1496">
        <f>IF(Z1496= ,,RANK.EQ({pri_col_letter}{r},{pri_range},0))</f>
        <v/>
      </c>
    </row>
    <row r="1497">
      <c r="A1497" t="inlineStr">
        <is>
          <t>Innovation Endeavors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inlineStr">
        <is>
          <t>Tier 4</t>
        </is>
      </c>
      <c r="O1497" t="inlineStr">
        <is>
          <t>Harpinder Singh — Partner</t>
        </is>
      </c>
      <c r="P1497" t="inlineStr">
        <is>
          <t>Partner</t>
        </is>
      </c>
      <c r="Y1497" t="inlineStr">
        <is>
          <t>todo</t>
        </is>
      </c>
      <c r="Z1497">
        <f>(M1497*Weights!$B$2) + (MIN(Q1497,Weights!$B$5)*Weights!$B$3*(W1497/100)*Weights!$B$4)</f>
        <v/>
      </c>
      <c r="AA1497">
        <f>IF(Z1497= ,,RANK.EQ({pri_col_letter}{r},{pri_range},0))</f>
        <v/>
      </c>
    </row>
    <row r="1498">
      <c r="A1498" t="inlineStr">
        <is>
          <t>Insight Partners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>
        <is>
          <t>Tier 4</t>
        </is>
      </c>
      <c r="O1498" t="inlineStr">
        <is>
          <t>Hailey Steinberg — Investor</t>
        </is>
      </c>
      <c r="P1498" t="inlineStr">
        <is>
          <t>Investor</t>
        </is>
      </c>
      <c r="Y1498" t="inlineStr">
        <is>
          <t>todo</t>
        </is>
      </c>
      <c r="Z1498">
        <f>(M1498*Weights!$B$2) + (MIN(Q1498,Weights!$B$5)*Weights!$B$3*(W1498/100)*Weights!$B$4)</f>
        <v/>
      </c>
      <c r="AA1498">
        <f>IF(Z1498= ,,RANK.EQ({pri_col_letter}{r},{pri_range},0))</f>
        <v/>
      </c>
    </row>
    <row r="1499">
      <c r="A1499" t="inlineStr">
        <is>
          <t>Integrity Growth Partners</t>
        </is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inlineStr">
        <is>
          <t>Tier 4</t>
        </is>
      </c>
      <c r="O1499" t="inlineStr">
        <is>
          <t>Hannah Deljkic — Associate</t>
        </is>
      </c>
      <c r="P1499" t="inlineStr">
        <is>
          <t>Associate</t>
        </is>
      </c>
      <c r="Y1499" t="inlineStr">
        <is>
          <t>todo</t>
        </is>
      </c>
      <c r="Z1499">
        <f>(M1499*Weights!$B$2) + (MIN(Q1499,Weights!$B$5)*Weights!$B$3*(W1499/100)*Weights!$B$4)</f>
        <v/>
      </c>
      <c r="AA1499">
        <f>IF(Z1499= ,,RANK.EQ({pri_col_letter}{r},{pri_range},0))</f>
        <v/>
      </c>
    </row>
    <row r="1500">
      <c r="A1500" t="inlineStr">
        <is>
          <t>Intelipost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inlineStr">
        <is>
          <t>Tier 4</t>
        </is>
      </c>
      <c r="O1500" t="inlineStr">
        <is>
          <t>Stefan Rehm — CEO</t>
        </is>
      </c>
      <c r="P1500" t="inlineStr">
        <is>
          <t>CEO</t>
        </is>
      </c>
      <c r="Y1500" t="inlineStr">
        <is>
          <t>todo</t>
        </is>
      </c>
      <c r="Z1500">
        <f>(M1500*Weights!$B$2) + (MIN(Q1500,Weights!$B$5)*Weights!$B$3*(W1500/100)*Weights!$B$4)</f>
        <v/>
      </c>
      <c r="AA1500">
        <f>IF(Z1500= ,,RANK.EQ({pri_col_letter}{r},{pri_range},0))</f>
        <v/>
      </c>
    </row>
    <row r="1501">
      <c r="A1501" t="inlineStr">
        <is>
          <t>IntelliCommerce Inc</t>
        </is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inlineStr">
        <is>
          <t>Tier 4</t>
        </is>
      </c>
      <c r="O1501" t="inlineStr">
        <is>
          <t>Shivang Maheshwari — CEO &amp; Founder</t>
        </is>
      </c>
      <c r="P1501" t="inlineStr">
        <is>
          <t>CEO &amp; Founder</t>
        </is>
      </c>
      <c r="Y1501" t="inlineStr">
        <is>
          <t>todo</t>
        </is>
      </c>
      <c r="Z1501">
        <f>(M1501*Weights!$B$2) + (MIN(Q1501,Weights!$B$5)*Weights!$B$3*(W1501/100)*Weights!$B$4)</f>
        <v/>
      </c>
      <c r="AA1501">
        <f>IF(Z1501= ,,RANK.EQ({pri_col_letter}{r},{pri_range},0))</f>
        <v/>
      </c>
    </row>
    <row r="1502">
      <c r="A1502" t="inlineStr">
        <is>
          <t>Intelligent Expense Management</t>
        </is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inlineStr">
        <is>
          <t>Tier 4</t>
        </is>
      </c>
      <c r="O1502" t="inlineStr">
        <is>
          <t>Steve Triedman — Managing Partner</t>
        </is>
      </c>
      <c r="P1502" t="inlineStr">
        <is>
          <t>Managing Partner</t>
        </is>
      </c>
      <c r="Y1502" t="inlineStr">
        <is>
          <t>todo</t>
        </is>
      </c>
      <c r="Z1502">
        <f>(M1502*Weights!$B$2) + (MIN(Q1502,Weights!$B$5)*Weights!$B$3*(W1502/100)*Weights!$B$4)</f>
        <v/>
      </c>
      <c r="AA1502">
        <f>IF(Z1502= ,,RANK.EQ({pri_col_letter}{r},{pri_range},0))</f>
        <v/>
      </c>
    </row>
    <row r="1503">
      <c r="A1503" t="inlineStr">
        <is>
          <t>International Bonded Couriers / IBC Customs Brokerage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>
        <is>
          <t>Tier 4</t>
        </is>
      </c>
      <c r="O1503" t="inlineStr">
        <is>
          <t>Tom Mascola — SVP</t>
        </is>
      </c>
      <c r="P1503" t="inlineStr">
        <is>
          <t>SVP</t>
        </is>
      </c>
      <c r="Y1503" t="inlineStr">
        <is>
          <t>todo</t>
        </is>
      </c>
      <c r="Z1503">
        <f>(M1503*Weights!$B$2) + (MIN(Q1503,Weights!$B$5)*Weights!$B$3*(W1503/100)*Weights!$B$4)</f>
        <v/>
      </c>
      <c r="AA1503">
        <f>IF(Z1503= ,,RANK.EQ({pri_col_letter}{r},{pri_range},0))</f>
        <v/>
      </c>
    </row>
    <row r="1504">
      <c r="A1504" t="inlineStr">
        <is>
          <t>International Forest Products (IFP)</t>
        </is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inlineStr">
        <is>
          <t>Tier 4</t>
        </is>
      </c>
      <c r="O1504" t="inlineStr">
        <is>
          <t>Kirk Atamian — Director, Business Process Solutions</t>
        </is>
      </c>
      <c r="P1504" t="inlineStr">
        <is>
          <t>Director, Business Process Solutions</t>
        </is>
      </c>
      <c r="Y1504" t="inlineStr">
        <is>
          <t>todo</t>
        </is>
      </c>
      <c r="Z1504">
        <f>(M1504*Weights!$B$2) + (MIN(Q1504,Weights!$B$5)*Weights!$B$3*(W1504/100)*Weights!$B$4)</f>
        <v/>
      </c>
      <c r="AA1504">
        <f>IF(Z1504= ,,RANK.EQ({pri_col_letter}{r},{pri_range},0))</f>
        <v/>
      </c>
    </row>
    <row r="1505">
      <c r="A1505" t="inlineStr">
        <is>
          <t>International Intermodal Association of North America (IANA)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inlineStr">
        <is>
          <t>Tier 4</t>
        </is>
      </c>
      <c r="O1505" t="inlineStr">
        <is>
          <t>Anne Reinke — CEO &amp; President</t>
        </is>
      </c>
      <c r="P1505" t="inlineStr">
        <is>
          <t>CEO &amp; President</t>
        </is>
      </c>
      <c r="Y1505" t="inlineStr">
        <is>
          <t>todo</t>
        </is>
      </c>
      <c r="Z1505">
        <f>(M1505*Weights!$B$2) + (MIN(Q1505,Weights!$B$5)*Weights!$B$3*(W1505/100)*Weights!$B$4)</f>
        <v/>
      </c>
      <c r="AA1505">
        <f>IF(Z1505= ,,RANK.EQ({pri_col_letter}{r},{pri_range},0))</f>
        <v/>
      </c>
    </row>
    <row r="1506">
      <c r="A1506" t="inlineStr">
        <is>
          <t>International Paper</t>
        </is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inlineStr">
        <is>
          <t>Tier 4</t>
        </is>
      </c>
      <c r="O1506" t="inlineStr">
        <is>
          <t>Andrew Kirkland — GM, Recycling</t>
        </is>
      </c>
      <c r="P1506" t="inlineStr">
        <is>
          <t>GM, Recycling</t>
        </is>
      </c>
      <c r="Y1506" t="inlineStr">
        <is>
          <t>todo</t>
        </is>
      </c>
      <c r="Z1506">
        <f>(M1506*Weights!$B$2) + (MIN(Q1506,Weights!$B$5)*Weights!$B$3*(W1506/100)*Weights!$B$4)</f>
        <v/>
      </c>
      <c r="AA1506">
        <f>IF(Z1506= ,,RANK.EQ({pri_col_letter}{r},{pri_range},0))</f>
        <v/>
      </c>
    </row>
    <row r="1507">
      <c r="A1507" t="inlineStr">
        <is>
          <t>Interos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inlineStr">
        <is>
          <t>Tier 4</t>
        </is>
      </c>
      <c r="O1507" t="inlineStr">
        <is>
          <t>Jennifer Bisceglie — Executive Vice Chair &amp; Founder</t>
        </is>
      </c>
      <c r="P1507" t="inlineStr">
        <is>
          <t>Executive Vice Chair &amp; Founder</t>
        </is>
      </c>
      <c r="Y1507" t="inlineStr">
        <is>
          <t>todo</t>
        </is>
      </c>
      <c r="Z1507">
        <f>(M1507*Weights!$B$2) + (MIN(Q1507,Weights!$B$5)*Weights!$B$3*(W1507/100)*Weights!$B$4)</f>
        <v/>
      </c>
      <c r="AA1507">
        <f>IF(Z1507= ,,RANK.EQ({pri_col_letter}{r},{pri_range},0))</f>
        <v/>
      </c>
    </row>
    <row r="1508">
      <c r="A1508" t="inlineStr">
        <is>
          <t>Intrepid</t>
        </is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inlineStr">
        <is>
          <t>Tier 4</t>
        </is>
      </c>
      <c r="O1508" t="inlineStr">
        <is>
          <t>Terry Jiang — Managing Director</t>
        </is>
      </c>
      <c r="P1508" t="inlineStr">
        <is>
          <t>Managing Director</t>
        </is>
      </c>
      <c r="Y1508" t="inlineStr">
        <is>
          <t>todo</t>
        </is>
      </c>
      <c r="Z1508">
        <f>(M1508*Weights!$B$2) + (MIN(Q1508,Weights!$B$5)*Weights!$B$3*(W1508/100)*Weights!$B$4)</f>
        <v/>
      </c>
      <c r="AA1508">
        <f>IF(Z1508= ,,RANK.EQ({pri_col_letter}{r},{pri_range},0))</f>
        <v/>
      </c>
    </row>
    <row r="1509">
      <c r="A1509" t="inlineStr">
        <is>
          <t>Intrepid Investment Bankers</t>
        </is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inlineStr">
        <is>
          <t>Tier 4</t>
        </is>
      </c>
      <c r="O1509" t="inlineStr">
        <is>
          <t>Josh Moses — Managing Director</t>
        </is>
      </c>
      <c r="P1509" t="inlineStr">
        <is>
          <t>Managing Director</t>
        </is>
      </c>
      <c r="Y1509" t="inlineStr">
        <is>
          <t>todo</t>
        </is>
      </c>
      <c r="Z1509">
        <f>(M1509*Weights!$B$2) + (MIN(Q1509,Weights!$B$5)*Weights!$B$3*(W1509/100)*Weights!$B$4)</f>
        <v/>
      </c>
      <c r="AA1509">
        <f>IF(Z1509= ,,RANK.EQ({pri_col_letter}{r},{pri_range},0))</f>
        <v/>
      </c>
    </row>
    <row r="1510">
      <c r="A1510" t="inlineStr">
        <is>
          <t>Invent AI</t>
        </is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inlineStr">
        <is>
          <t>Tier 4</t>
        </is>
      </c>
      <c r="O1510" t="inlineStr">
        <is>
          <t>Gurhan Kok — CEO &amp; Founder</t>
        </is>
      </c>
      <c r="P1510" t="inlineStr">
        <is>
          <t>CEO &amp; Founder</t>
        </is>
      </c>
      <c r="Y1510" t="inlineStr">
        <is>
          <t>todo</t>
        </is>
      </c>
      <c r="Z1510">
        <f>(M1510*Weights!$B$2) + (MIN(Q1510,Weights!$B$5)*Weights!$B$3*(W1510/100)*Weights!$B$4)</f>
        <v/>
      </c>
      <c r="AA1510">
        <f>IF(Z1510= ,,RANK.EQ({pri_col_letter}{r},{pri_range},0))</f>
        <v/>
      </c>
    </row>
    <row r="1511">
      <c r="A1511" t="inlineStr">
        <is>
          <t>Inverness Graham Investments</t>
        </is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inlineStr">
        <is>
          <t>Tier 4</t>
        </is>
      </c>
      <c r="O1511" t="inlineStr">
        <is>
          <t>Ryan Geary — Principal</t>
        </is>
      </c>
      <c r="P1511" t="inlineStr">
        <is>
          <t>Principal</t>
        </is>
      </c>
      <c r="Y1511" t="inlineStr">
        <is>
          <t>todo</t>
        </is>
      </c>
      <c r="Z1511">
        <f>(M1511*Weights!$B$2) + (MIN(Q1511,Weights!$B$5)*Weights!$B$3*(W1511/100)*Weights!$B$4)</f>
        <v/>
      </c>
      <c r="AA1511">
        <f>IF(Z1511= ,,RANK.EQ({pri_col_letter}{r},{pri_range},0))</f>
        <v/>
      </c>
    </row>
    <row r="1512">
      <c r="A1512" t="inlineStr">
        <is>
          <t>Invictus Growth Partners</t>
        </is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inlineStr">
        <is>
          <t>Tier 4</t>
        </is>
      </c>
      <c r="O1512" t="inlineStr">
        <is>
          <t>Jeremy Lai — Partner</t>
        </is>
      </c>
      <c r="P1512" t="inlineStr">
        <is>
          <t>Partner</t>
        </is>
      </c>
      <c r="Y1512" t="inlineStr">
        <is>
          <t>todo</t>
        </is>
      </c>
      <c r="Z1512">
        <f>(M1512*Weights!$B$2) + (MIN(Q1512,Weights!$B$5)*Weights!$B$3*(W1512/100)*Weights!$B$4)</f>
        <v/>
      </c>
      <c r="AA1512">
        <f>IF(Z1512= ,,RANK.EQ({pri_col_letter}{r},{pri_range},0))</f>
        <v/>
      </c>
    </row>
    <row r="1513">
      <c r="A1513" t="inlineStr">
        <is>
          <t>Iris Invest</t>
        </is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inlineStr">
        <is>
          <t>Tier 4</t>
        </is>
      </c>
      <c r="O1513" t="inlineStr">
        <is>
          <t>Christy Cardenas — Founder</t>
        </is>
      </c>
      <c r="P1513" t="inlineStr">
        <is>
          <t>Founder</t>
        </is>
      </c>
      <c r="Y1513" t="inlineStr">
        <is>
          <t>todo</t>
        </is>
      </c>
      <c r="Z1513">
        <f>(M1513*Weights!$B$2) + (MIN(Q1513,Weights!$B$5)*Weights!$B$3*(W1513/100)*Weights!$B$4)</f>
        <v/>
      </c>
      <c r="AA1513">
        <f>IF(Z1513= ,,RANK.EQ({pri_col_letter}{r},{pri_range},0))</f>
        <v/>
      </c>
    </row>
    <row r="1514">
      <c r="A1514" t="inlineStr">
        <is>
          <t>Iron Prairie Ventures</t>
        </is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inlineStr">
        <is>
          <t>Tier 4</t>
        </is>
      </c>
      <c r="O1514" t="inlineStr">
        <is>
          <t>Maggie Kenefake — Founding Partner</t>
        </is>
      </c>
      <c r="P1514" t="inlineStr">
        <is>
          <t>Founding Partner</t>
        </is>
      </c>
      <c r="Y1514" t="inlineStr">
        <is>
          <t>todo</t>
        </is>
      </c>
      <c r="Z1514">
        <f>(M1514*Weights!$B$2) + (MIN(Q1514,Weights!$B$5)*Weights!$B$3*(W1514/100)*Weights!$B$4)</f>
        <v/>
      </c>
      <c r="AA1514">
        <f>IF(Z1514= ,,RANK.EQ({pri_col_letter}{r},{pri_range},0))</f>
        <v/>
      </c>
    </row>
    <row r="1515">
      <c r="A1515" t="inlineStr">
        <is>
          <t>IronLink Logistics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inlineStr">
        <is>
          <t>Tier 4</t>
        </is>
      </c>
      <c r="O1515" t="inlineStr">
        <is>
          <t>David Dembitzer — CEO</t>
        </is>
      </c>
      <c r="P1515" t="inlineStr">
        <is>
          <t>CEO</t>
        </is>
      </c>
      <c r="Y1515" t="inlineStr">
        <is>
          <t>todo</t>
        </is>
      </c>
      <c r="Z1515">
        <f>(M1515*Weights!$B$2) + (MIN(Q1515,Weights!$B$5)*Weights!$B$3*(W1515/100)*Weights!$B$4)</f>
        <v/>
      </c>
      <c r="AA1515">
        <f>IF(Z1515= ,,RANK.EQ({pri_col_letter}{r},{pri_range},0))</f>
        <v/>
      </c>
    </row>
    <row r="1516">
      <c r="A1516" t="inlineStr">
        <is>
          <t>Ironspring Ventures</t>
        </is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inlineStr">
        <is>
          <t>Tier 4</t>
        </is>
      </c>
      <c r="O1516" t="inlineStr">
        <is>
          <t>Ty Findley — General Partner &amp; Co- Founder</t>
        </is>
      </c>
      <c r="P1516" t="inlineStr">
        <is>
          <t>General Partner &amp; Co- Founder</t>
        </is>
      </c>
      <c r="Y1516" t="inlineStr">
        <is>
          <t>todo</t>
        </is>
      </c>
      <c r="Z1516">
        <f>(M1516*Weights!$B$2) + (MIN(Q1516,Weights!$B$5)*Weights!$B$3*(W1516/100)*Weights!$B$4)</f>
        <v/>
      </c>
      <c r="AA1516">
        <f>IF(Z1516= ,,RANK.EQ({pri_col_letter}{r},{pri_range},0))</f>
        <v/>
      </c>
    </row>
    <row r="1517">
      <c r="A1517" t="inlineStr">
        <is>
          <t>It's Fair &amp; Square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inlineStr">
        <is>
          <t>Tier 4</t>
        </is>
      </c>
      <c r="O1517" t="inlineStr">
        <is>
          <t>Alex Duong — CEO</t>
        </is>
      </c>
      <c r="P1517" t="inlineStr">
        <is>
          <t>CEO</t>
        </is>
      </c>
      <c r="Y1517" t="inlineStr">
        <is>
          <t>todo</t>
        </is>
      </c>
      <c r="Z1517">
        <f>(M1517*Weights!$B$2) + (MIN(Q1517,Weights!$B$5)*Weights!$B$3*(W1517/100)*Weights!$B$4)</f>
        <v/>
      </c>
      <c r="AA1517">
        <f>IF(Z1517= ,,RANK.EQ({pri_col_letter}{r},{pri_range},0))</f>
        <v/>
      </c>
    </row>
    <row r="1518">
      <c r="A1518" t="inlineStr">
        <is>
          <t>Ivolcar</t>
        </is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inlineStr">
        <is>
          <t>Tier 4</t>
        </is>
      </c>
      <c r="O1518" t="inlineStr">
        <is>
          <t>Louis Liu — GM &amp; Director of Products</t>
        </is>
      </c>
      <c r="P1518" t="inlineStr">
        <is>
          <t>GM &amp; Director of Products</t>
        </is>
      </c>
      <c r="Y1518" t="inlineStr">
        <is>
          <t>todo</t>
        </is>
      </c>
      <c r="Z1518">
        <f>(M1518*Weights!$B$2) + (MIN(Q1518,Weights!$B$5)*Weights!$B$3*(W1518/100)*Weights!$B$4)</f>
        <v/>
      </c>
      <c r="AA1518">
        <f>IF(Z1518= ,,RANK.EQ({pri_col_letter}{r},{pri_range},0))</f>
        <v/>
      </c>
    </row>
    <row r="1519">
      <c r="A1519" t="inlineStr">
        <is>
          <t>J. P. Enterprises – Logistics Corp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inlineStr">
        <is>
          <t>Tier 4</t>
        </is>
      </c>
      <c r="O1519" t="inlineStr">
        <is>
          <t>John O'Neill — President</t>
        </is>
      </c>
      <c r="P1519" t="inlineStr">
        <is>
          <t>President</t>
        </is>
      </c>
      <c r="Y1519" t="inlineStr">
        <is>
          <t>todo</t>
        </is>
      </c>
      <c r="Z1519">
        <f>(M1519*Weights!$B$2) + (MIN(Q1519,Weights!$B$5)*Weights!$B$3*(W1519/100)*Weights!$B$4)</f>
        <v/>
      </c>
      <c r="AA1519">
        <f>IF(Z1519= ,,RANK.EQ({pri_col_letter}{r},{pri_range},0))</f>
        <v/>
      </c>
    </row>
    <row r="1520">
      <c r="A1520" t="inlineStr">
        <is>
          <t>J.B. Hunt Transport</t>
        </is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>
        <is>
          <t>Tier 4</t>
        </is>
      </c>
      <c r="O1520" t="inlineStr">
        <is>
          <t>Eric Ervin — Vice President, Engineering &amp; Technology</t>
        </is>
      </c>
      <c r="P1520" t="inlineStr">
        <is>
          <t>Vice President, Engineering &amp; Technology</t>
        </is>
      </c>
      <c r="Y1520" t="inlineStr">
        <is>
          <t>todo</t>
        </is>
      </c>
      <c r="Z1520">
        <f>(M1520*Weights!$B$2) + (MIN(Q1520,Weights!$B$5)*Weights!$B$3*(W1520/100)*Weights!$B$4)</f>
        <v/>
      </c>
      <c r="AA1520">
        <f>IF(Z1520= ,,RANK.EQ({pri_col_letter}{r},{pri_range},0))</f>
        <v/>
      </c>
    </row>
    <row r="1521">
      <c r="A1521" t="inlineStr">
        <is>
          <t>J.P. Morgan Securities LLC</t>
        </is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inlineStr">
        <is>
          <t>Tier 4</t>
        </is>
      </c>
      <c r="O1521" t="inlineStr">
        <is>
          <t>Grady Carr — Associate</t>
        </is>
      </c>
      <c r="P1521" t="inlineStr">
        <is>
          <t>Associate</t>
        </is>
      </c>
      <c r="Y1521" t="inlineStr">
        <is>
          <t>todo</t>
        </is>
      </c>
      <c r="Z1521">
        <f>(M1521*Weights!$B$2) + (MIN(Q1521,Weights!$B$5)*Weights!$B$3*(W1521/100)*Weights!$B$4)</f>
        <v/>
      </c>
      <c r="AA1521">
        <f>IF(Z1521= ,,RANK.EQ({pri_col_letter}{r},{pri_range},0))</f>
        <v/>
      </c>
    </row>
    <row r="1522">
      <c r="A1522" t="inlineStr">
        <is>
          <t>JAS Worldwide Management</t>
        </is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inlineStr">
        <is>
          <t>Tier 4</t>
        </is>
      </c>
      <c r="O1522" t="inlineStr">
        <is>
          <t>Vishal Bedi — Chief Information Officer</t>
        </is>
      </c>
      <c r="P1522" t="inlineStr">
        <is>
          <t>Chief Information Officer</t>
        </is>
      </c>
      <c r="Y1522" t="inlineStr">
        <is>
          <t>todo</t>
        </is>
      </c>
      <c r="Z1522">
        <f>(M1522*Weights!$B$2) + (MIN(Q1522,Weights!$B$5)*Weights!$B$3*(W1522/100)*Weights!$B$4)</f>
        <v/>
      </c>
      <c r="AA1522">
        <f>IF(Z1522= ,,RANK.EQ({pri_col_letter}{r},{pri_range},0))</f>
        <v/>
      </c>
    </row>
    <row r="1523">
      <c r="A1523" t="inlineStr">
        <is>
          <t>JAS Worldwide Management, Inc.</t>
        </is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inlineStr">
        <is>
          <t>Tier 4</t>
        </is>
      </c>
      <c r="O1523" t="inlineStr">
        <is>
          <t>Gowtham Reddy — Head of Enterprise Architecture and Solutions</t>
        </is>
      </c>
      <c r="P1523" t="inlineStr">
        <is>
          <t>Head of Enterprise Architecture and Solutions</t>
        </is>
      </c>
      <c r="Y1523" t="inlineStr">
        <is>
          <t>todo</t>
        </is>
      </c>
      <c r="Z1523">
        <f>(M1523*Weights!$B$2) + (MIN(Q1523,Weights!$B$5)*Weights!$B$3*(W1523/100)*Weights!$B$4)</f>
        <v/>
      </c>
      <c r="AA1523">
        <f>IF(Z1523= ,,RANK.EQ({pri_col_letter}{r},{pri_range},0))</f>
        <v/>
      </c>
    </row>
    <row r="1524">
      <c r="A1524" t="inlineStr">
        <is>
          <t>JB Hunt</t>
        </is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inlineStr">
        <is>
          <t>Tier 4</t>
        </is>
      </c>
      <c r="O1524" t="inlineStr">
        <is>
          <t>Dave Bush — VP of LTL</t>
        </is>
      </c>
      <c r="P1524" t="inlineStr">
        <is>
          <t>VP of LTL</t>
        </is>
      </c>
      <c r="Y1524" t="inlineStr">
        <is>
          <t>todo</t>
        </is>
      </c>
      <c r="Z1524">
        <f>(M1524*Weights!$B$2) + (MIN(Q1524,Weights!$B$5)*Weights!$B$3*(W1524/100)*Weights!$B$4)</f>
        <v/>
      </c>
      <c r="AA1524">
        <f>IF(Z1524= ,,RANK.EQ({pri_col_letter}{r},{pri_range},0))</f>
        <v/>
      </c>
    </row>
    <row r="1525">
      <c r="A1525" t="inlineStr">
        <is>
          <t>JEAR Logistics</t>
        </is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inlineStr">
        <is>
          <t>Tier 4</t>
        </is>
      </c>
      <c r="O1525" t="inlineStr">
        <is>
          <t>Matt Hurd — CFO</t>
        </is>
      </c>
      <c r="P1525" t="inlineStr">
        <is>
          <t>CFO</t>
        </is>
      </c>
      <c r="Y1525" t="inlineStr">
        <is>
          <t>todo</t>
        </is>
      </c>
      <c r="Z1525">
        <f>(M1525*Weights!$B$2) + (MIN(Q1525,Weights!$B$5)*Weights!$B$3*(W1525/100)*Weights!$B$4)</f>
        <v/>
      </c>
      <c r="AA1525">
        <f>IF(Z1525= ,,RANK.EQ({pri_col_letter}{r},{pri_range},0))</f>
        <v/>
      </c>
    </row>
    <row r="1526">
      <c r="A1526" t="inlineStr">
        <is>
          <t>JMI Equity</t>
        </is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inlineStr">
        <is>
          <t>Tier 4</t>
        </is>
      </c>
      <c r="O1526" t="inlineStr">
        <is>
          <t>Garrett McCullough — Senior Associate</t>
        </is>
      </c>
      <c r="P1526" t="inlineStr">
        <is>
          <t>Senior Associate</t>
        </is>
      </c>
      <c r="Y1526" t="inlineStr">
        <is>
          <t>todo</t>
        </is>
      </c>
      <c r="Z1526">
        <f>(M1526*Weights!$B$2) + (MIN(Q1526,Weights!$B$5)*Weights!$B$3*(W1526/100)*Weights!$B$4)</f>
        <v/>
      </c>
      <c r="AA1526">
        <f>IF(Z1526= ,,RANK.EQ({pri_col_letter}{r},{pri_range},0))</f>
        <v/>
      </c>
    </row>
    <row r="1527">
      <c r="A1527" t="inlineStr">
        <is>
          <t>JOC.com</t>
        </is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inlineStr">
        <is>
          <t>Tier 4</t>
        </is>
      </c>
      <c r="O1527" t="inlineStr">
        <is>
          <t>Eric Johnson — Senior Editor, Technology</t>
        </is>
      </c>
      <c r="P1527" t="inlineStr">
        <is>
          <t>Senior Editor, Technology</t>
        </is>
      </c>
      <c r="Y1527" t="inlineStr">
        <is>
          <t>todo</t>
        </is>
      </c>
      <c r="Z1527">
        <f>(M1527*Weights!$B$2) + (MIN(Q1527,Weights!$B$5)*Weights!$B$3*(W1527/100)*Weights!$B$4)</f>
        <v/>
      </c>
      <c r="AA1527">
        <f>IF(Z1527= ,,RANK.EQ({pri_col_letter}{r},{pri_range},0))</f>
        <v/>
      </c>
    </row>
    <row r="1528">
      <c r="A1528" t="inlineStr">
        <is>
          <t>Jack in the Box</t>
        </is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inlineStr">
        <is>
          <t>Tier 4</t>
        </is>
      </c>
      <c r="O1528" t="inlineStr">
        <is>
          <t>Carl Mount — CSCO</t>
        </is>
      </c>
      <c r="P1528" t="inlineStr">
        <is>
          <t>CSCO</t>
        </is>
      </c>
      <c r="Y1528" t="inlineStr">
        <is>
          <t>todo</t>
        </is>
      </c>
      <c r="Z1528">
        <f>(M1528*Weights!$B$2) + (MIN(Q1528,Weights!$B$5)*Weights!$B$3*(W1528/100)*Weights!$B$4)</f>
        <v/>
      </c>
      <c r="AA1528">
        <f>IF(Z1528= ,,RANK.EQ({pri_col_letter}{r},{pri_range},0))</f>
        <v/>
      </c>
    </row>
    <row r="1529">
      <c r="A1529" t="inlineStr">
        <is>
          <t>Jaguar Freight Services</t>
        </is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inlineStr">
        <is>
          <t>Tier 4</t>
        </is>
      </c>
      <c r="O1529" t="inlineStr">
        <is>
          <t>Simon Kaye — CEO</t>
        </is>
      </c>
      <c r="P1529" t="inlineStr">
        <is>
          <t>CEO</t>
        </is>
      </c>
      <c r="Y1529" t="inlineStr">
        <is>
          <t>todo</t>
        </is>
      </c>
      <c r="Z1529">
        <f>(M1529*Weights!$B$2) + (MIN(Q1529,Weights!$B$5)*Weights!$B$3*(W1529/100)*Weights!$B$4)</f>
        <v/>
      </c>
      <c r="AA1529">
        <f>IF(Z1529= ,,RANK.EQ({pri_col_letter}{r},{pri_range},0))</f>
        <v/>
      </c>
    </row>
    <row r="1530">
      <c r="A1530" t="inlineStr">
        <is>
          <t>Jay Group</t>
        </is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inlineStr">
        <is>
          <t>Tier 4</t>
        </is>
      </c>
      <c r="O1530" t="inlineStr">
        <is>
          <t>Blake Dudek — President and COO</t>
        </is>
      </c>
      <c r="P1530" t="inlineStr">
        <is>
          <t>President and COO</t>
        </is>
      </c>
      <c r="Y1530" t="inlineStr">
        <is>
          <t>todo</t>
        </is>
      </c>
      <c r="Z1530">
        <f>(M1530*Weights!$B$2) + (MIN(Q1530,Weights!$B$5)*Weights!$B$3*(W1530/100)*Weights!$B$4)</f>
        <v/>
      </c>
      <c r="AA1530">
        <f>IF(Z1530= ,,RANK.EQ({pri_col_letter}{r},{pri_range},0))</f>
        <v/>
      </c>
    </row>
    <row r="1531">
      <c r="A1531" t="inlineStr">
        <is>
          <t>Jefferies</t>
        </is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inlineStr">
        <is>
          <t>Tier 4</t>
        </is>
      </c>
      <c r="O1531" t="inlineStr">
        <is>
          <t>Charles Boakye — Head of Americas Energy Transition Strategy</t>
        </is>
      </c>
      <c r="P1531" t="inlineStr">
        <is>
          <t>Head of Americas Energy Transition Strategy</t>
        </is>
      </c>
      <c r="Y1531" t="inlineStr">
        <is>
          <t>todo</t>
        </is>
      </c>
      <c r="Z1531">
        <f>(M1531*Weights!$B$2) + (MIN(Q1531,Weights!$B$5)*Weights!$B$3*(W1531/100)*Weights!$B$4)</f>
        <v/>
      </c>
      <c r="AA1531">
        <f>IF(Z1531= ,,RANK.EQ({pri_col_letter}{r},{pri_range},0))</f>
        <v/>
      </c>
    </row>
    <row r="1532">
      <c r="A1532" t="inlineStr">
        <is>
          <t>Johnson and Johnson</t>
        </is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inlineStr">
        <is>
          <t>Tier 4</t>
        </is>
      </c>
      <c r="O1532" t="inlineStr">
        <is>
          <t>Kanthi Paul Rapaka — Senior Manager</t>
        </is>
      </c>
      <c r="P1532" t="inlineStr">
        <is>
          <t>Senior Manager</t>
        </is>
      </c>
      <c r="Y1532" t="inlineStr">
        <is>
          <t>todo</t>
        </is>
      </c>
      <c r="Z1532">
        <f>(M1532*Weights!$B$2) + (MIN(Q1532,Weights!$B$5)*Weights!$B$3*(W1532/100)*Weights!$B$4)</f>
        <v/>
      </c>
      <c r="AA1532">
        <f>IF(Z1532= ,,RANK.EQ({pri_col_letter}{r},{pri_range},0))</f>
        <v/>
      </c>
    </row>
    <row r="1533">
      <c r="A1533" t="inlineStr">
        <is>
          <t>Jones Lang LaSalle</t>
        </is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inlineStr">
        <is>
          <t>Tier 4</t>
        </is>
      </c>
      <c r="O1533" t="inlineStr">
        <is>
          <t>Chris Schmidt — Managing Director</t>
        </is>
      </c>
      <c r="P1533" t="inlineStr">
        <is>
          <t>Managing Director</t>
        </is>
      </c>
      <c r="Y1533" t="inlineStr">
        <is>
          <t>todo</t>
        </is>
      </c>
      <c r="Z1533">
        <f>(M1533*Weights!$B$2) + (MIN(Q1533,Weights!$B$5)*Weights!$B$3*(W1533/100)*Weights!$B$4)</f>
        <v/>
      </c>
      <c r="AA1533">
        <f>IF(Z1533= ,,RANK.EQ({pri_col_letter}{r},{pri_range},0))</f>
        <v/>
      </c>
    </row>
    <row r="1534">
      <c r="A1534" t="inlineStr">
        <is>
          <t>K. Hartwell</t>
        </is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inlineStr">
        <is>
          <t>Tier 4</t>
        </is>
      </c>
      <c r="O1534" t="inlineStr">
        <is>
          <t>Jonathan Bland — SVP North America</t>
        </is>
      </c>
      <c r="P1534" t="inlineStr">
        <is>
          <t>SVP North America</t>
        </is>
      </c>
      <c r="Y1534" t="inlineStr">
        <is>
          <t>todo</t>
        </is>
      </c>
      <c r="Z1534">
        <f>(M1534*Weights!$B$2) + (MIN(Q1534,Weights!$B$5)*Weights!$B$3*(W1534/100)*Weights!$B$4)</f>
        <v/>
      </c>
      <c r="AA1534">
        <f>IF(Z1534= ,,RANK.EQ({pri_col_letter}{r},{pri_range},0))</f>
        <v/>
      </c>
    </row>
    <row r="1535">
      <c r="A1535" t="inlineStr">
        <is>
          <t>KGPCo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inlineStr">
        <is>
          <t>Tier 4</t>
        </is>
      </c>
      <c r="O1535" t="inlineStr">
        <is>
          <t>Trevor Putrah — CEO</t>
        </is>
      </c>
      <c r="P1535" t="inlineStr">
        <is>
          <t>CEO</t>
        </is>
      </c>
      <c r="Y1535" t="inlineStr">
        <is>
          <t>todo</t>
        </is>
      </c>
      <c r="Z1535">
        <f>(M1535*Weights!$B$2) + (MIN(Q1535,Weights!$B$5)*Weights!$B$3*(W1535/100)*Weights!$B$4)</f>
        <v/>
      </c>
      <c r="AA1535">
        <f>IF(Z1535= ,,RANK.EQ({pri_col_letter}{r},{pri_range},0))</f>
        <v/>
      </c>
    </row>
    <row r="1536">
      <c r="A1536" t="inlineStr">
        <is>
          <t>KIVO</t>
        </is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inlineStr">
        <is>
          <t>Tier 4</t>
        </is>
      </c>
      <c r="O1536" t="inlineStr">
        <is>
          <t>Jose Aguero — CEO</t>
        </is>
      </c>
      <c r="P1536" t="inlineStr">
        <is>
          <t>CEO</t>
        </is>
      </c>
      <c r="Y1536" t="inlineStr">
        <is>
          <t>todo</t>
        </is>
      </c>
      <c r="Z1536">
        <f>(M1536*Weights!$B$2) + (MIN(Q1536,Weights!$B$5)*Weights!$B$3*(W1536/100)*Weights!$B$4)</f>
        <v/>
      </c>
      <c r="AA1536">
        <f>IF(Z1536= ,,RANK.EQ({pri_col_letter}{r},{pri_range},0))</f>
        <v/>
      </c>
    </row>
    <row r="1537">
      <c r="A1537" t="inlineStr">
        <is>
          <t>KPG TELECOMMUNICATION</t>
        </is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inlineStr">
        <is>
          <t>Tier 4</t>
        </is>
      </c>
      <c r="O1537" t="inlineStr">
        <is>
          <t>John Ressler — COO</t>
        </is>
      </c>
      <c r="P1537" t="inlineStr">
        <is>
          <t>COO</t>
        </is>
      </c>
      <c r="Y1537" t="inlineStr">
        <is>
          <t>todo</t>
        </is>
      </c>
      <c r="Z1537">
        <f>(M1537*Weights!$B$2) + (MIN(Q1537,Weights!$B$5)*Weights!$B$3*(W1537/100)*Weights!$B$4)</f>
        <v/>
      </c>
      <c r="AA1537">
        <f>IF(Z1537= ,,RANK.EQ({pri_col_letter}{r},{pri_range},0))</f>
        <v/>
      </c>
    </row>
    <row r="1538">
      <c r="A1538" t="inlineStr">
        <is>
          <t>KURU Footwear</t>
        </is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inlineStr">
        <is>
          <t>Tier 4</t>
        </is>
      </c>
      <c r="O1538" t="inlineStr">
        <is>
          <t>Tyler Christensen — COO</t>
        </is>
      </c>
      <c r="P1538" t="inlineStr">
        <is>
          <t>COO</t>
        </is>
      </c>
      <c r="Y1538" t="inlineStr">
        <is>
          <t>todo</t>
        </is>
      </c>
      <c r="Z1538">
        <f>(M1538*Weights!$B$2) + (MIN(Q1538,Weights!$B$5)*Weights!$B$3*(W1538/100)*Weights!$B$4)</f>
        <v/>
      </c>
      <c r="AA1538">
        <f>IF(Z1538= ,,RANK.EQ({pri_col_letter}{r},{pri_range},0))</f>
        <v/>
      </c>
    </row>
    <row r="1539">
      <c r="A1539" t="inlineStr">
        <is>
          <t>Kale Logistics</t>
        </is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inlineStr">
        <is>
          <t>Tier 4</t>
        </is>
      </c>
      <c r="O1539" t="inlineStr">
        <is>
          <t>Tamara Coffey — Western Region</t>
        </is>
      </c>
      <c r="P1539" t="inlineStr">
        <is>
          <t>Western Region</t>
        </is>
      </c>
      <c r="Y1539" t="inlineStr">
        <is>
          <t>todo</t>
        </is>
      </c>
      <c r="Z1539">
        <f>(M1539*Weights!$B$2) + (MIN(Q1539,Weights!$B$5)*Weights!$B$3*(W1539/100)*Weights!$B$4)</f>
        <v/>
      </c>
      <c r="AA1539">
        <f>IF(Z1539= ,,RANK.EQ({pri_col_letter}{r},{pri_range},0))</f>
        <v/>
      </c>
    </row>
    <row r="1540">
      <c r="A1540" t="inlineStr">
        <is>
          <t>Kearney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inlineStr">
        <is>
          <t>Tier 4</t>
        </is>
      </c>
      <c r="O1540" t="inlineStr">
        <is>
          <t>Unsoi Chio — Principal &amp; Corporate Counsel</t>
        </is>
      </c>
      <c r="P1540" t="inlineStr">
        <is>
          <t>Principal &amp; Corporate Counsel</t>
        </is>
      </c>
      <c r="Y1540" t="inlineStr">
        <is>
          <t>todo</t>
        </is>
      </c>
      <c r="Z1540">
        <f>(M1540*Weights!$B$2) + (MIN(Q1540,Weights!$B$5)*Weights!$B$3*(W1540/100)*Weights!$B$4)</f>
        <v/>
      </c>
      <c r="AA1540">
        <f>IF(Z1540= ,,RANK.EQ({pri_col_letter}{r},{pri_range},0))</f>
        <v/>
      </c>
    </row>
    <row r="1541">
      <c r="A1541" t="inlineStr">
        <is>
          <t>Kering</t>
        </is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inlineStr">
        <is>
          <t>Tier 4</t>
        </is>
      </c>
      <c r="O1541" t="inlineStr">
        <is>
          <t>Frannie Heine — Director</t>
        </is>
      </c>
      <c r="P1541" t="inlineStr">
        <is>
          <t>Director</t>
        </is>
      </c>
      <c r="Y1541" t="inlineStr">
        <is>
          <t>todo</t>
        </is>
      </c>
      <c r="Z1541">
        <f>(M1541*Weights!$B$2) + (MIN(Q1541,Weights!$B$5)*Weights!$B$3*(W1541/100)*Weights!$B$4)</f>
        <v/>
      </c>
      <c r="AA1541">
        <f>IF(Z1541= ,,RANK.EQ({pri_col_letter}{r},{pri_range},0))</f>
        <v/>
      </c>
    </row>
    <row r="1542">
      <c r="A1542" t="inlineStr">
        <is>
          <t>Kidou Systems, Inc.</t>
        </is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inlineStr">
        <is>
          <t>Tier 4</t>
        </is>
      </c>
      <c r="O1542" t="inlineStr">
        <is>
          <t>Koji Shiono — Co-Founder &amp; CEO</t>
        </is>
      </c>
      <c r="P1542" t="inlineStr">
        <is>
          <t>Co-Founder &amp; CEO</t>
        </is>
      </c>
      <c r="Y1542" t="inlineStr">
        <is>
          <t>todo</t>
        </is>
      </c>
      <c r="Z1542">
        <f>(M1542*Weights!$B$2) + (MIN(Q1542,Weights!$B$5)*Weights!$B$3*(W1542/100)*Weights!$B$4)</f>
        <v/>
      </c>
      <c r="AA1542">
        <f>IF(Z1542= ,,RANK.EQ({pri_col_letter}{r},{pri_range},0))</f>
        <v/>
      </c>
    </row>
    <row r="1543">
      <c r="A1543" t="inlineStr">
        <is>
          <t>Klass Capital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inlineStr">
        <is>
          <t>Tier 4</t>
        </is>
      </c>
      <c r="O1543" t="inlineStr">
        <is>
          <t>Kevin Climans — Principal</t>
        </is>
      </c>
      <c r="P1543" t="inlineStr">
        <is>
          <t>Principal</t>
        </is>
      </c>
      <c r="Y1543" t="inlineStr">
        <is>
          <t>todo</t>
        </is>
      </c>
      <c r="Z1543">
        <f>(M1543*Weights!$B$2) + (MIN(Q1543,Weights!$B$5)*Weights!$B$3*(W1543/100)*Weights!$B$4)</f>
        <v/>
      </c>
      <c r="AA1543">
        <f>IF(Z1543= ,,RANK.EQ({pri_col_letter}{r},{pri_range},0))</f>
        <v/>
      </c>
    </row>
    <row r="1544">
      <c r="A1544" t="inlineStr">
        <is>
          <t>KoMico USA</t>
        </is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inlineStr">
        <is>
          <t>Tier 4</t>
        </is>
      </c>
      <c r="O1544" t="inlineStr">
        <is>
          <t>James Jin — Head of KoMiCo USA, VP</t>
        </is>
      </c>
      <c r="P1544" t="inlineStr">
        <is>
          <t>Head of KoMiCo USA, VP</t>
        </is>
      </c>
      <c r="Y1544" t="inlineStr">
        <is>
          <t>todo</t>
        </is>
      </c>
      <c r="Z1544">
        <f>(M1544*Weights!$B$2) + (MIN(Q1544,Weights!$B$5)*Weights!$B$3*(W1544/100)*Weights!$B$4)</f>
        <v/>
      </c>
      <c r="AA1544">
        <f>IF(Z1544= ,,RANK.EQ({pri_col_letter}{r},{pri_range},0))</f>
        <v/>
      </c>
    </row>
    <row r="1545">
      <c r="A1545" t="inlineStr">
        <is>
          <t>Kodiak Leather</t>
        </is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inlineStr">
        <is>
          <t>Tier 4</t>
        </is>
      </c>
      <c r="O1545" t="inlineStr">
        <is>
          <t>Daniel Rodic — Chief Business Officer</t>
        </is>
      </c>
      <c r="P1545" t="inlineStr">
        <is>
          <t>Chief Business Officer</t>
        </is>
      </c>
      <c r="Y1545" t="inlineStr">
        <is>
          <t>todo</t>
        </is>
      </c>
      <c r="Z1545">
        <f>(M1545*Weights!$B$2) + (MIN(Q1545,Weights!$B$5)*Weights!$B$3*(W1545/100)*Weights!$B$4)</f>
        <v/>
      </c>
      <c r="AA1545">
        <f>IF(Z1545= ,,RANK.EQ({pri_col_letter}{r},{pri_range},0))</f>
        <v/>
      </c>
    </row>
    <row r="1546">
      <c r="A1546" t="inlineStr">
        <is>
          <t>Kose Advisory</t>
        </is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inlineStr">
        <is>
          <t>Tier 4</t>
        </is>
      </c>
      <c r="O1546" t="inlineStr">
        <is>
          <t>Koray Kose — CEO</t>
        </is>
      </c>
      <c r="P1546" t="inlineStr">
        <is>
          <t>CEO</t>
        </is>
      </c>
      <c r="Y1546" t="inlineStr">
        <is>
          <t>todo</t>
        </is>
      </c>
      <c r="Z1546">
        <f>(M1546*Weights!$B$2) + (MIN(Q1546,Weights!$B$5)*Weights!$B$3*(W1546/100)*Weights!$B$4)</f>
        <v/>
      </c>
      <c r="AA1546">
        <f>IF(Z1546= ,,RANK.EQ({pri_col_letter}{r},{pri_range},0))</f>
        <v/>
      </c>
    </row>
    <row r="1547">
      <c r="A1547" t="inlineStr">
        <is>
          <t>Kron Chocolatier</t>
        </is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inlineStr">
        <is>
          <t>Tier 4</t>
        </is>
      </c>
      <c r="O1547" t="inlineStr">
        <is>
          <t>David Kron — President</t>
        </is>
      </c>
      <c r="P1547" t="inlineStr">
        <is>
          <t>President</t>
        </is>
      </c>
      <c r="Y1547" t="inlineStr">
        <is>
          <t>todo</t>
        </is>
      </c>
      <c r="Z1547">
        <f>(M1547*Weights!$B$2) + (MIN(Q1547,Weights!$B$5)*Weights!$B$3*(W1547/100)*Weights!$B$4)</f>
        <v/>
      </c>
      <c r="AA1547">
        <f>IF(Z1547= ,,RANK.EQ({pri_col_letter}{r},{pri_range},0))</f>
        <v/>
      </c>
    </row>
    <row r="1548">
      <c r="A1548" t="inlineStr">
        <is>
          <t>Kwangjin America</t>
        </is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inlineStr">
        <is>
          <t>Tier 4</t>
        </is>
      </c>
      <c r="O1548" t="inlineStr">
        <is>
          <t>Roy(Jeongwoo) Yoon — SCM Manager</t>
        </is>
      </c>
      <c r="P1548" t="inlineStr">
        <is>
          <t>SCM Manager</t>
        </is>
      </c>
      <c r="Y1548" t="inlineStr">
        <is>
          <t>todo</t>
        </is>
      </c>
      <c r="Z1548">
        <f>(M1548*Weights!$B$2) + (MIN(Q1548,Weights!$B$5)*Weights!$B$3*(W1548/100)*Weights!$B$4)</f>
        <v/>
      </c>
      <c r="AA1548">
        <f>IF(Z1548= ,,RANK.EQ({pri_col_letter}{r},{pri_range},0))</f>
        <v/>
      </c>
    </row>
    <row r="1549">
      <c r="A1549" t="inlineStr">
        <is>
          <t>L11 LOGISTICS</t>
        </is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inlineStr">
        <is>
          <t>Tier 4</t>
        </is>
      </c>
      <c r="O1549" t="inlineStr">
        <is>
          <t>ERIK PERALES — GENERAL DIRECTOR</t>
        </is>
      </c>
      <c r="P1549" t="inlineStr">
        <is>
          <t>GENERAL DIRECTOR</t>
        </is>
      </c>
      <c r="Y1549" t="inlineStr">
        <is>
          <t>todo</t>
        </is>
      </c>
      <c r="Z1549">
        <f>(M1549*Weights!$B$2) + (MIN(Q1549,Weights!$B$5)*Weights!$B$3*(W1549/100)*Weights!$B$4)</f>
        <v/>
      </c>
      <c r="AA1549">
        <f>IF(Z1549= ,,RANK.EQ({pri_col_letter}{r},{pri_range},0))</f>
        <v/>
      </c>
    </row>
    <row r="1550">
      <c r="A1550" t="inlineStr">
        <is>
          <t>LEMAN</t>
        </is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inlineStr">
        <is>
          <t>Tier 4</t>
        </is>
      </c>
      <c r="O1550" t="inlineStr">
        <is>
          <t>Peter Haver — CCO, Americas</t>
        </is>
      </c>
      <c r="P1550" t="inlineStr">
        <is>
          <t>CCO, Americas</t>
        </is>
      </c>
      <c r="Y1550" t="inlineStr">
        <is>
          <t>todo</t>
        </is>
      </c>
      <c r="Z1550">
        <f>(M1550*Weights!$B$2) + (MIN(Q1550,Weights!$B$5)*Weights!$B$3*(W1550/100)*Weights!$B$4)</f>
        <v/>
      </c>
      <c r="AA1550">
        <f>IF(Z1550= ,,RANK.EQ({pri_col_letter}{r},{pri_range},0))</f>
        <v/>
      </c>
    </row>
    <row r="1551">
      <c r="A1551" t="inlineStr">
        <is>
          <t>LPX Partners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inlineStr">
        <is>
          <t>Tier 4</t>
        </is>
      </c>
      <c r="O1551" t="inlineStr">
        <is>
          <t>Adithya Haridas — Investment Associate</t>
        </is>
      </c>
      <c r="P1551" t="inlineStr">
        <is>
          <t>Investment Associate</t>
        </is>
      </c>
      <c r="Y1551" t="inlineStr">
        <is>
          <t>todo</t>
        </is>
      </c>
      <c r="Z1551">
        <f>(M1551*Weights!$B$2) + (MIN(Q1551,Weights!$B$5)*Weights!$B$3*(W1551/100)*Weights!$B$4)</f>
        <v/>
      </c>
      <c r="AA1551">
        <f>IF(Z1551= ,,RANK.EQ({pri_col_letter}{r},{pri_range},0))</f>
        <v/>
      </c>
    </row>
    <row r="1552">
      <c r="A1552" t="inlineStr">
        <is>
          <t>LS Electric</t>
        </is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inlineStr">
        <is>
          <t>Tier 4</t>
        </is>
      </c>
      <c r="O1552" t="inlineStr">
        <is>
          <t>Yongmo Jeong — Project Manager</t>
        </is>
      </c>
      <c r="P1552" t="inlineStr">
        <is>
          <t>Project Manager</t>
        </is>
      </c>
      <c r="Y1552" t="inlineStr">
        <is>
          <t>todo</t>
        </is>
      </c>
      <c r="Z1552">
        <f>(M1552*Weights!$B$2) + (MIN(Q1552,Weights!$B$5)*Weights!$B$3*(W1552/100)*Weights!$B$4)</f>
        <v/>
      </c>
      <c r="AA1552">
        <f>IF(Z1552= ,,RANK.EQ({pri_col_letter}{r},{pri_range},0))</f>
        <v/>
      </c>
    </row>
    <row r="1553">
      <c r="A1553" t="inlineStr">
        <is>
          <t>LVK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inlineStr">
        <is>
          <t>Tier 4</t>
        </is>
      </c>
      <c r="O1553" t="inlineStr">
        <is>
          <t>Maggie Barnett — CEO</t>
        </is>
      </c>
      <c r="P1553" t="inlineStr">
        <is>
          <t>CEO</t>
        </is>
      </c>
      <c r="Y1553" t="inlineStr">
        <is>
          <t>todo</t>
        </is>
      </c>
      <c r="Z1553">
        <f>(M1553*Weights!$B$2) + (MIN(Q1553,Weights!$B$5)*Weights!$B$3*(W1553/100)*Weights!$B$4)</f>
        <v/>
      </c>
      <c r="AA1553">
        <f>IF(Z1553= ,,RANK.EQ({pri_col_letter}{r},{pri_range},0))</f>
        <v/>
      </c>
    </row>
    <row r="1554">
      <c r="A1554" t="inlineStr">
        <is>
          <t>Lab0</t>
        </is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inlineStr">
        <is>
          <t>Tier 4</t>
        </is>
      </c>
      <c r="O1554" t="inlineStr">
        <is>
          <t>David Mccalib — CEO</t>
        </is>
      </c>
      <c r="P1554" t="inlineStr">
        <is>
          <t>CEO</t>
        </is>
      </c>
      <c r="Y1554" t="inlineStr">
        <is>
          <t>todo</t>
        </is>
      </c>
      <c r="Z1554">
        <f>(M1554*Weights!$B$2) + (MIN(Q1554,Weights!$B$5)*Weights!$B$3*(W1554/100)*Weights!$B$4)</f>
        <v/>
      </c>
      <c r="AA1554">
        <f>IF(Z1554= ,,RANK.EQ({pri_col_letter}{r},{pri_range},0))</f>
        <v/>
      </c>
    </row>
    <row r="1555">
      <c r="A1555" t="inlineStr">
        <is>
          <t>Landstar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inlineStr">
        <is>
          <t>Tier 4</t>
        </is>
      </c>
      <c r="O1555" t="inlineStr">
        <is>
          <t>Joe Chaltry — Vice President, Capacity</t>
        </is>
      </c>
      <c r="P1555" t="inlineStr">
        <is>
          <t>Vice President, Capacity</t>
        </is>
      </c>
      <c r="Y1555" t="inlineStr">
        <is>
          <t>todo</t>
        </is>
      </c>
      <c r="Z1555">
        <f>(M1555*Weights!$B$2) + (MIN(Q1555,Weights!$B$5)*Weights!$B$3*(W1555/100)*Weights!$B$4)</f>
        <v/>
      </c>
      <c r="AA1555">
        <f>IF(Z1555= ,,RANK.EQ({pri_col_letter}{r},{pri_range},0))</f>
        <v/>
      </c>
    </row>
    <row r="1556">
      <c r="A1556" t="inlineStr">
        <is>
          <t>Las Olas VC</t>
        </is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>
        <is>
          <t>Tier 4</t>
        </is>
      </c>
      <c r="O1556" t="inlineStr">
        <is>
          <t>Mark Volchek — Founding Partner</t>
        </is>
      </c>
      <c r="P1556" t="inlineStr">
        <is>
          <t>Founding Partner</t>
        </is>
      </c>
      <c r="Y1556" t="inlineStr">
        <is>
          <t>todo</t>
        </is>
      </c>
      <c r="Z1556">
        <f>(M1556*Weights!$B$2) + (MIN(Q1556,Weights!$B$5)*Weights!$B$3*(W1556/100)*Weights!$B$4)</f>
        <v/>
      </c>
      <c r="AA1556">
        <f>IF(Z1556= ,,RANK.EQ({pri_col_letter}{r},{pri_range},0))</f>
        <v/>
      </c>
    </row>
    <row r="1557">
      <c r="A1557" t="inlineStr">
        <is>
          <t>Law at GKG Law, P.C.</t>
        </is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inlineStr">
        <is>
          <t>Tier 4</t>
        </is>
      </c>
      <c r="O1557" t="inlineStr">
        <is>
          <t>John Kester — Attorney</t>
        </is>
      </c>
      <c r="P1557" t="inlineStr">
        <is>
          <t>Attorney</t>
        </is>
      </c>
      <c r="Y1557" t="inlineStr">
        <is>
          <t>todo</t>
        </is>
      </c>
      <c r="Z1557">
        <f>(M1557*Weights!$B$2) + (MIN(Q1557,Weights!$B$5)*Weights!$B$3*(W1557/100)*Weights!$B$4)</f>
        <v/>
      </c>
      <c r="AA1557">
        <f>IF(Z1557= ,,RANK.EQ({pri_col_letter}{r},{pri_range},0))</f>
        <v/>
      </c>
    </row>
    <row r="1558">
      <c r="A1558" t="inlineStr">
        <is>
          <t>Lazard</t>
        </is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inlineStr">
        <is>
          <t>Tier 4</t>
        </is>
      </c>
      <c r="O1558" t="inlineStr">
        <is>
          <t>Edward Parslow — Managing Director</t>
        </is>
      </c>
      <c r="P1558" t="inlineStr">
        <is>
          <t>Managing Director</t>
        </is>
      </c>
      <c r="Y1558" t="inlineStr">
        <is>
          <t>todo</t>
        </is>
      </c>
      <c r="Z1558">
        <f>(M1558*Weights!$B$2) + (MIN(Q1558,Weights!$B$5)*Weights!$B$3*(W1558/100)*Weights!$B$4)</f>
        <v/>
      </c>
      <c r="AA1558">
        <f>IF(Z1558= ,,RANK.EQ({pri_col_letter}{r},{pri_range},0))</f>
        <v/>
      </c>
    </row>
    <row r="1559">
      <c r="A1559" t="inlineStr">
        <is>
          <t>Lazer Logisitcs Inc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inlineStr">
        <is>
          <t>Tier 4</t>
        </is>
      </c>
      <c r="O1559" t="inlineStr">
        <is>
          <t>David Bond — Executive Vice President</t>
        </is>
      </c>
      <c r="P1559" t="inlineStr">
        <is>
          <t>Executive Vice President</t>
        </is>
      </c>
      <c r="Y1559" t="inlineStr">
        <is>
          <t>todo</t>
        </is>
      </c>
      <c r="Z1559">
        <f>(M1559*Weights!$B$2) + (MIN(Q1559,Weights!$B$5)*Weights!$B$3*(W1559/100)*Weights!$B$4)</f>
        <v/>
      </c>
      <c r="AA1559">
        <f>IF(Z1559= ,,RANK.EQ({pri_col_letter}{r},{pri_range},0))</f>
        <v/>
      </c>
    </row>
    <row r="1560">
      <c r="A1560" t="inlineStr">
        <is>
          <t>Lazio Search Group</t>
        </is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inlineStr">
        <is>
          <t>Tier 4</t>
        </is>
      </c>
      <c r="O1560" t="inlineStr">
        <is>
          <t>Domenic Maiani — Founder</t>
        </is>
      </c>
      <c r="P1560" t="inlineStr">
        <is>
          <t>Founder</t>
        </is>
      </c>
      <c r="Y1560" t="inlineStr">
        <is>
          <t>todo</t>
        </is>
      </c>
      <c r="Z1560">
        <f>(M1560*Weights!$B$2) + (MIN(Q1560,Weights!$B$5)*Weights!$B$3*(W1560/100)*Weights!$B$4)</f>
        <v/>
      </c>
      <c r="AA1560">
        <f>IF(Z1560= ,,RANK.EQ({pri_col_letter}{r},{pri_range},0))</f>
        <v/>
      </c>
    </row>
    <row r="1561">
      <c r="A1561" t="inlineStr">
        <is>
          <t>Left Brain Logistics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inlineStr">
        <is>
          <t>Tier 4</t>
        </is>
      </c>
      <c r="O1561" t="inlineStr">
        <is>
          <t>Anneke Gambina — COO</t>
        </is>
      </c>
      <c r="P1561" t="inlineStr">
        <is>
          <t>COO</t>
        </is>
      </c>
      <c r="Y1561" t="inlineStr">
        <is>
          <t>todo</t>
        </is>
      </c>
      <c r="Z1561">
        <f>(M1561*Weights!$B$2) + (MIN(Q1561,Weights!$B$5)*Weights!$B$3*(W1561/100)*Weights!$B$4)</f>
        <v/>
      </c>
      <c r="AA1561">
        <f>IF(Z1561= ,,RANK.EQ({pri_col_letter}{r},{pri_range},0))</f>
        <v/>
      </c>
    </row>
    <row r="1562">
      <c r="A1562" t="inlineStr">
        <is>
          <t>Legacy Drayage Inc.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inlineStr">
        <is>
          <t>Tier 4</t>
        </is>
      </c>
      <c r="O1562" t="inlineStr">
        <is>
          <t>Walter Umana — CEO</t>
        </is>
      </c>
      <c r="P1562" t="inlineStr">
        <is>
          <t>CEO</t>
        </is>
      </c>
      <c r="Y1562" t="inlineStr">
        <is>
          <t>todo</t>
        </is>
      </c>
      <c r="Z1562">
        <f>(M1562*Weights!$B$2) + (MIN(Q1562,Weights!$B$5)*Weights!$B$3*(W1562/100)*Weights!$B$4)</f>
        <v/>
      </c>
      <c r="AA1562">
        <f>IF(Z1562= ,,RANK.EQ({pri_col_letter}{r},{pri_range},0))</f>
        <v/>
      </c>
    </row>
    <row r="1563">
      <c r="A1563" t="inlineStr">
        <is>
          <t>Leidos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inlineStr">
        <is>
          <t>Tier 4</t>
        </is>
      </c>
      <c r="O1563" t="inlineStr">
        <is>
          <t>Jack Chen — Principal</t>
        </is>
      </c>
      <c r="P1563" t="inlineStr">
        <is>
          <t>Principal</t>
        </is>
      </c>
      <c r="Y1563" t="inlineStr">
        <is>
          <t>todo</t>
        </is>
      </c>
      <c r="Z1563">
        <f>(M1563*Weights!$B$2) + (MIN(Q1563,Weights!$B$5)*Weights!$B$3*(W1563/100)*Weights!$B$4)</f>
        <v/>
      </c>
      <c r="AA1563">
        <f>IF(Z1563= ,,RANK.EQ({pri_col_letter}{r},{pri_range},0))</f>
        <v/>
      </c>
    </row>
    <row r="1564">
      <c r="A1564" t="inlineStr">
        <is>
          <t>LetMeShip</t>
        </is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inlineStr">
        <is>
          <t>Tier 4</t>
        </is>
      </c>
      <c r="O1564" t="inlineStr">
        <is>
          <t>Mark Winkelmann — Founder / Chairman of the Board</t>
        </is>
      </c>
      <c r="P1564" t="inlineStr">
        <is>
          <t>Founder / Chairman of the Board</t>
        </is>
      </c>
      <c r="Y1564" t="inlineStr">
        <is>
          <t>todo</t>
        </is>
      </c>
      <c r="Z1564">
        <f>(M1564*Weights!$B$2) + (MIN(Q1564,Weights!$B$5)*Weights!$B$3*(W1564/100)*Weights!$B$4)</f>
        <v/>
      </c>
      <c r="AA1564">
        <f>IF(Z1564= ,,RANK.EQ({pri_col_letter}{r},{pri_range},0))</f>
        <v/>
      </c>
    </row>
    <row r="1565">
      <c r="A1565" t="inlineStr">
        <is>
          <t>Lets Talk Supply Chain LLC</t>
        </is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>
        <is>
          <t>Tier 4</t>
        </is>
      </c>
      <c r="O1565" t="inlineStr">
        <is>
          <t>Allan Humphrey — Customer Experience</t>
        </is>
      </c>
      <c r="P1565" t="inlineStr">
        <is>
          <t>Customer Experience</t>
        </is>
      </c>
      <c r="Y1565" t="inlineStr">
        <is>
          <t>todo</t>
        </is>
      </c>
      <c r="Z1565">
        <f>(M1565*Weights!$B$2) + (MIN(Q1565,Weights!$B$5)*Weights!$B$3*(W1565/100)*Weights!$B$4)</f>
        <v/>
      </c>
      <c r="AA1565">
        <f>IF(Z1565= ,,RANK.EQ({pri_col_letter}{r},{pri_range},0))</f>
        <v/>
      </c>
    </row>
    <row r="1566">
      <c r="A1566" t="inlineStr">
        <is>
          <t>Levi</t>
        </is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>
        <is>
          <t>Tier 4</t>
        </is>
      </c>
      <c r="O1566" t="inlineStr">
        <is>
          <t>John Mesa — Sr Industrial Engineer</t>
        </is>
      </c>
      <c r="P1566" t="inlineStr">
        <is>
          <t>Sr Industrial Engineer</t>
        </is>
      </c>
      <c r="Y1566" t="inlineStr">
        <is>
          <t>todo</t>
        </is>
      </c>
      <c r="Z1566">
        <f>(M1566*Weights!$B$2) + (MIN(Q1566,Weights!$B$5)*Weights!$B$3*(W1566/100)*Weights!$B$4)</f>
        <v/>
      </c>
      <c r="AA1566">
        <f>IF(Z1566= ,,RANK.EQ({pri_col_letter}{r},{pri_range},0))</f>
        <v/>
      </c>
    </row>
    <row r="1567">
      <c r="A1567" t="inlineStr">
        <is>
          <t>Levity AI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inlineStr">
        <is>
          <t>Tier 4</t>
        </is>
      </c>
      <c r="O1567" t="inlineStr">
        <is>
          <t>Gero Keil — Co-Founder &amp; CEO</t>
        </is>
      </c>
      <c r="P1567" t="inlineStr">
        <is>
          <t>Co-Founder &amp; CEO</t>
        </is>
      </c>
      <c r="Y1567" t="inlineStr">
        <is>
          <t>todo</t>
        </is>
      </c>
      <c r="Z1567">
        <f>(M1567*Weights!$B$2) + (MIN(Q1567,Weights!$B$5)*Weights!$B$3*(W1567/100)*Weights!$B$4)</f>
        <v/>
      </c>
      <c r="AA1567">
        <f>IF(Z1567= ,,RANK.EQ({pri_col_letter}{r},{pri_range},0))</f>
        <v/>
      </c>
    </row>
    <row r="1568">
      <c r="A1568" t="inlineStr">
        <is>
          <t>Libra Software Group</t>
        </is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inlineStr">
        <is>
          <t>Tier 4</t>
        </is>
      </c>
      <c r="O1568" t="inlineStr">
        <is>
          <t>Umair Khan — Senior Director - Origination</t>
        </is>
      </c>
      <c r="P1568" t="inlineStr">
        <is>
          <t>Senior Director - Origination</t>
        </is>
      </c>
      <c r="Y1568" t="inlineStr">
        <is>
          <t>todo</t>
        </is>
      </c>
      <c r="Z1568">
        <f>(M1568*Weights!$B$2) + (MIN(Q1568,Weights!$B$5)*Weights!$B$3*(W1568/100)*Weights!$B$4)</f>
        <v/>
      </c>
      <c r="AA1568">
        <f>IF(Z1568= ,,RANK.EQ({pri_col_letter}{r},{pri_range},0))</f>
        <v/>
      </c>
    </row>
    <row r="1569">
      <c r="A1569" t="inlineStr">
        <is>
          <t>LightSource</t>
        </is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inlineStr">
        <is>
          <t>Tier 4</t>
        </is>
      </c>
      <c r="O1569" t="inlineStr">
        <is>
          <t>Spencer Penn — CEO &amp; Co-Founder</t>
        </is>
      </c>
      <c r="P1569" t="inlineStr">
        <is>
          <t>CEO &amp; Co-Founder</t>
        </is>
      </c>
      <c r="Y1569" t="inlineStr">
        <is>
          <t>todo</t>
        </is>
      </c>
      <c r="Z1569">
        <f>(M1569*Weights!$B$2) + (MIN(Q1569,Weights!$B$5)*Weights!$B$3*(W1569/100)*Weights!$B$4)</f>
        <v/>
      </c>
      <c r="AA1569">
        <f>IF(Z1569= ,,RANK.EQ({pri_col_letter}{r},{pri_range},0))</f>
        <v/>
      </c>
    </row>
    <row r="1570">
      <c r="A1570" t="inlineStr">
        <is>
          <t>Lighthouz AI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inlineStr">
        <is>
          <t>Tier 4</t>
        </is>
      </c>
      <c r="O1570" t="inlineStr">
        <is>
          <t>Srijan Kumar — CEO</t>
        </is>
      </c>
      <c r="P1570" t="inlineStr">
        <is>
          <t>CEO</t>
        </is>
      </c>
      <c r="Y1570" t="inlineStr">
        <is>
          <t>todo</t>
        </is>
      </c>
      <c r="Z1570">
        <f>(M1570*Weights!$B$2) + (MIN(Q1570,Weights!$B$5)*Weights!$B$3*(W1570/100)*Weights!$B$4)</f>
        <v/>
      </c>
      <c r="AA1570">
        <f>IF(Z1570= ,,RANK.EQ({pri_col_letter}{r},{pri_range},0))</f>
        <v/>
      </c>
    </row>
    <row r="1571">
      <c r="A1571" t="inlineStr">
        <is>
          <t>Limber Robotics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inlineStr">
        <is>
          <t>Tier 4</t>
        </is>
      </c>
      <c r="O1571" t="inlineStr">
        <is>
          <t>Suzanne Drumwright — COO/Co-founder</t>
        </is>
      </c>
      <c r="P1571" t="inlineStr">
        <is>
          <t>COO/Co-founder</t>
        </is>
      </c>
      <c r="Y1571" t="inlineStr">
        <is>
          <t>todo</t>
        </is>
      </c>
      <c r="Z1571">
        <f>(M1571*Weights!$B$2) + (MIN(Q1571,Weights!$B$5)*Weights!$B$3*(W1571/100)*Weights!$B$4)</f>
        <v/>
      </c>
      <c r="AA1571">
        <f>IF(Z1571= ,,RANK.EQ({pri_col_letter}{r},{pri_range},0))</f>
        <v/>
      </c>
    </row>
    <row r="1572">
      <c r="A1572" t="inlineStr">
        <is>
          <t>Lincoln International</t>
        </is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inlineStr">
        <is>
          <t>Tier 4</t>
        </is>
      </c>
      <c r="O1572" t="inlineStr">
        <is>
          <t>Jesse Espinoza — Managing Director</t>
        </is>
      </c>
      <c r="P1572" t="inlineStr">
        <is>
          <t>Managing Director</t>
        </is>
      </c>
      <c r="Y1572" t="inlineStr">
        <is>
          <t>todo</t>
        </is>
      </c>
      <c r="Z1572">
        <f>(M1572*Weights!$B$2) + (MIN(Q1572,Weights!$B$5)*Weights!$B$3*(W1572/100)*Weights!$B$4)</f>
        <v/>
      </c>
      <c r="AA1572">
        <f>IF(Z1572= ,,RANK.EQ({pri_col_letter}{r},{pri_range},0))</f>
        <v/>
      </c>
    </row>
    <row r="1573">
      <c r="A1573" t="inlineStr">
        <is>
          <t>Living Spaces</t>
        </is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inlineStr">
        <is>
          <t>Tier 4</t>
        </is>
      </c>
      <c r="O1573" t="inlineStr">
        <is>
          <t>Ryan Davis — Sr Director</t>
        </is>
      </c>
      <c r="P1573" t="inlineStr">
        <is>
          <t>Sr Director</t>
        </is>
      </c>
      <c r="Y1573" t="inlineStr">
        <is>
          <t>todo</t>
        </is>
      </c>
      <c r="Z1573">
        <f>(M1573*Weights!$B$2) + (MIN(Q1573,Weights!$B$5)*Weights!$B$3*(W1573/100)*Weights!$B$4)</f>
        <v/>
      </c>
      <c r="AA1573">
        <f>IF(Z1573= ,,RANK.EQ({pri_col_letter}{r},{pri_range},0))</f>
        <v/>
      </c>
    </row>
    <row r="1574">
      <c r="A1574" t="inlineStr">
        <is>
          <t>Livingston</t>
        </is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inlineStr">
        <is>
          <t>Tier 4</t>
        </is>
      </c>
      <c r="O1574" t="inlineStr">
        <is>
          <t>Jes Crownover — VP, eCommerce &amp; Digital Solutons</t>
        </is>
      </c>
      <c r="P1574" t="inlineStr">
        <is>
          <t>VP, eCommerce &amp; Digital Solutons</t>
        </is>
      </c>
      <c r="Y1574" t="inlineStr">
        <is>
          <t>todo</t>
        </is>
      </c>
      <c r="Z1574">
        <f>(M1574*Weights!$B$2) + (MIN(Q1574,Weights!$B$5)*Weights!$B$3*(W1574/100)*Weights!$B$4)</f>
        <v/>
      </c>
      <c r="AA1574">
        <f>IF(Z1574= ,,RANK.EQ({pri_col_letter}{r},{pri_range},0))</f>
        <v/>
      </c>
    </row>
    <row r="1575">
      <c r="A1575" t="inlineStr">
        <is>
          <t>Livingston International</t>
        </is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inlineStr">
        <is>
          <t>Tier 4</t>
        </is>
      </c>
      <c r="O1575" t="inlineStr">
        <is>
          <t>Patrick Riley — Manager, e-Commerce Solutions</t>
        </is>
      </c>
      <c r="P1575" t="inlineStr">
        <is>
          <t>Manager, e-Commerce Solutions</t>
        </is>
      </c>
      <c r="Y1575" t="inlineStr">
        <is>
          <t>todo</t>
        </is>
      </c>
      <c r="Z1575">
        <f>(M1575*Weights!$B$2) + (MIN(Q1575,Weights!$B$5)*Weights!$B$3*(W1575/100)*Weights!$B$4)</f>
        <v/>
      </c>
      <c r="AA1575">
        <f>IF(Z1575= ,,RANK.EQ({pri_col_letter}{r},{pri_range},0))</f>
        <v/>
      </c>
    </row>
    <row r="1576">
      <c r="A1576" t="inlineStr">
        <is>
          <t>Load Partner</t>
        </is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inlineStr">
        <is>
          <t>Tier 4</t>
        </is>
      </c>
      <c r="O1576" t="inlineStr">
        <is>
          <t>Hector Rodriguez — Social Media Influencer</t>
        </is>
      </c>
      <c r="P1576" t="inlineStr">
        <is>
          <t>Social Media Influencer</t>
        </is>
      </c>
      <c r="Y1576" t="inlineStr">
        <is>
          <t>todo</t>
        </is>
      </c>
      <c r="Z1576">
        <f>(M1576*Weights!$B$2) + (MIN(Q1576,Weights!$B$5)*Weights!$B$3*(W1576/100)*Weights!$B$4)</f>
        <v/>
      </c>
      <c r="AA1576">
        <f>IF(Z1576= ,,RANK.EQ({pri_col_letter}{r},{pri_range},0))</f>
        <v/>
      </c>
    </row>
    <row r="1577">
      <c r="A1577" t="inlineStr">
        <is>
          <t>Locad</t>
        </is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inlineStr">
        <is>
          <t>Tier 4</t>
        </is>
      </c>
      <c r="O1577" t="inlineStr">
        <is>
          <t>Jannis Dargel — Co-Founder &amp; COO</t>
        </is>
      </c>
      <c r="P1577" t="inlineStr">
        <is>
          <t>Co-Founder &amp; COO</t>
        </is>
      </c>
      <c r="Y1577" t="inlineStr">
        <is>
          <t>todo</t>
        </is>
      </c>
      <c r="Z1577">
        <f>(M1577*Weights!$B$2) + (MIN(Q1577,Weights!$B$5)*Weights!$B$3*(W1577/100)*Weights!$B$4)</f>
        <v/>
      </c>
      <c r="AA1577">
        <f>IF(Z1577= ,,RANK.EQ({pri_col_letter}{r},{pri_range},0))</f>
        <v/>
      </c>
    </row>
    <row r="1578">
      <c r="A1578" t="inlineStr">
        <is>
          <t>LogShare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inlineStr">
        <is>
          <t>Tier 4</t>
        </is>
      </c>
      <c r="O1578" t="inlineStr">
        <is>
          <t>Pedro Prado — CEO &amp; Founder</t>
        </is>
      </c>
      <c r="P1578" t="inlineStr">
        <is>
          <t>CEO &amp; Founder</t>
        </is>
      </c>
      <c r="Y1578" t="inlineStr">
        <is>
          <t>todo</t>
        </is>
      </c>
      <c r="Z1578">
        <f>(M1578*Weights!$B$2) + (MIN(Q1578,Weights!$B$5)*Weights!$B$3*(W1578/100)*Weights!$B$4)</f>
        <v/>
      </c>
      <c r="AA1578">
        <f>IF(Z1578= ,,RANK.EQ({pri_col_letter}{r},{pri_range},0))</f>
        <v/>
      </c>
    </row>
    <row r="1579">
      <c r="A1579" t="inlineStr">
        <is>
          <t>LogShare - Collaborative Logistics</t>
        </is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inlineStr">
        <is>
          <t>Tier 4</t>
        </is>
      </c>
      <c r="O1579" t="inlineStr">
        <is>
          <t>Eduardo Souza — CTO &amp; Founder</t>
        </is>
      </c>
      <c r="P1579" t="inlineStr">
        <is>
          <t>CTO &amp; Founder</t>
        </is>
      </c>
      <c r="Y1579" t="inlineStr">
        <is>
          <t>todo</t>
        </is>
      </c>
      <c r="Z1579">
        <f>(M1579*Weights!$B$2) + (MIN(Q1579,Weights!$B$5)*Weights!$B$3*(W1579/100)*Weights!$B$4)</f>
        <v/>
      </c>
      <c r="AA1579">
        <f>IF(Z1579= ,,RANK.EQ({pri_col_letter}{r},{pri_range},0))</f>
        <v/>
      </c>
    </row>
    <row r="1580">
      <c r="A1580" t="inlineStr">
        <is>
          <t>Logistics Business Publishing Ltd</t>
        </is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inlineStr">
        <is>
          <t>Tier 4</t>
        </is>
      </c>
      <c r="O1580" t="inlineStr">
        <is>
          <t>David Priestman — Publisher</t>
        </is>
      </c>
      <c r="P1580" t="inlineStr">
        <is>
          <t>Publisher</t>
        </is>
      </c>
      <c r="Y1580" t="inlineStr">
        <is>
          <t>todo</t>
        </is>
      </c>
      <c r="Z1580">
        <f>(M1580*Weights!$B$2) + (MIN(Q1580,Weights!$B$5)*Weights!$B$3*(W1580/100)*Weights!$B$4)</f>
        <v/>
      </c>
      <c r="AA1580">
        <f>IF(Z1580= ,,RANK.EQ({pri_col_letter}{r},{pri_range},0))</f>
        <v/>
      </c>
    </row>
    <row r="1581">
      <c r="A1581" t="inlineStr">
        <is>
          <t>Logistics Director USA</t>
        </is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inlineStr">
        <is>
          <t>Tier 4</t>
        </is>
      </c>
      <c r="O1581" t="inlineStr">
        <is>
          <t>Rohit Poola — Unilever Prestige</t>
        </is>
      </c>
      <c r="P1581" t="inlineStr">
        <is>
          <t>Unilever Prestige</t>
        </is>
      </c>
      <c r="Y1581" t="inlineStr">
        <is>
          <t>todo</t>
        </is>
      </c>
      <c r="Z1581">
        <f>(M1581*Weights!$B$2) + (MIN(Q1581,Weights!$B$5)*Weights!$B$3*(W1581/100)*Weights!$B$4)</f>
        <v/>
      </c>
      <c r="AA1581">
        <f>IF(Z1581= ,,RANK.EQ({pri_col_letter}{r},{pri_range},0))</f>
        <v/>
      </c>
    </row>
    <row r="1582">
      <c r="A1582" t="inlineStr">
        <is>
          <t>Logistics Management / Supply Chain Management Review</t>
        </is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inlineStr">
        <is>
          <t>Tier 4</t>
        </is>
      </c>
      <c r="O1582" t="inlineStr">
        <is>
          <t>Paul Kenny — Manager</t>
        </is>
      </c>
      <c r="P1582" t="inlineStr">
        <is>
          <t>Manager</t>
        </is>
      </c>
      <c r="Y1582" t="inlineStr">
        <is>
          <t>todo</t>
        </is>
      </c>
      <c r="Z1582">
        <f>(M1582*Weights!$B$2) + (MIN(Q1582,Weights!$B$5)*Weights!$B$3*(W1582/100)*Weights!$B$4)</f>
        <v/>
      </c>
      <c r="AA1582">
        <f>IF(Z1582= ,,RANK.EQ({pri_col_letter}{r},{pri_range},0))</f>
        <v/>
      </c>
    </row>
    <row r="1583">
      <c r="A1583" t="inlineStr">
        <is>
          <t>Logistics Reply US</t>
        </is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inlineStr">
        <is>
          <t>Tier 4</t>
        </is>
      </c>
      <c r="O1583" t="inlineStr">
        <is>
          <t>Todd Kolber — Partner</t>
        </is>
      </c>
      <c r="P1583" t="inlineStr">
        <is>
          <t>Partner</t>
        </is>
      </c>
      <c r="Y1583" t="inlineStr">
        <is>
          <t>todo</t>
        </is>
      </c>
      <c r="Z1583">
        <f>(M1583*Weights!$B$2) + (MIN(Q1583,Weights!$B$5)*Weights!$B$3*(W1583/100)*Weights!$B$4)</f>
        <v/>
      </c>
      <c r="AA1583">
        <f>IF(Z1583= ,,RANK.EQ({pri_col_letter}{r},{pri_range},0))</f>
        <v/>
      </c>
    </row>
    <row r="1584">
      <c r="A1584" t="inlineStr">
        <is>
          <t>Logistics Roundtable</t>
        </is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inlineStr">
        <is>
          <t>Tier 4</t>
        </is>
      </c>
      <c r="O1584" t="inlineStr">
        <is>
          <t>Pat Kreiner — Photo Journalist</t>
        </is>
      </c>
      <c r="P1584" t="inlineStr">
        <is>
          <t>Photo Journalist</t>
        </is>
      </c>
      <c r="Y1584" t="inlineStr">
        <is>
          <t>todo</t>
        </is>
      </c>
      <c r="Z1584">
        <f>(M1584*Weights!$B$2) + (MIN(Q1584,Weights!$B$5)*Weights!$B$3*(W1584/100)*Weights!$B$4)</f>
        <v/>
      </c>
      <c r="AA1584">
        <f>IF(Z1584= ,,RANK.EQ({pri_col_letter}{r},{pri_range},0))</f>
        <v/>
      </c>
    </row>
    <row r="1585">
      <c r="A1585" t="inlineStr">
        <is>
          <t>Logitalent Life Sciences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inlineStr">
        <is>
          <t>Tier 4</t>
        </is>
      </c>
      <c r="O1585" t="inlineStr">
        <is>
          <t>Althea Roberts Fenton — CSO - VP Life Sciences &amp; Automation</t>
        </is>
      </c>
      <c r="P1585" t="inlineStr">
        <is>
          <t>CSO - VP Life Sciences &amp; Automation</t>
        </is>
      </c>
      <c r="Y1585" t="inlineStr">
        <is>
          <t>todo</t>
        </is>
      </c>
      <c r="Z1585">
        <f>(M1585*Weights!$B$2) + (MIN(Q1585,Weights!$B$5)*Weights!$B$3*(W1585/100)*Weights!$B$4)</f>
        <v/>
      </c>
      <c r="AA1585">
        <f>IF(Z1585= ,,RANK.EQ({pri_col_letter}{r},{pri_range},0))</f>
        <v/>
      </c>
    </row>
    <row r="1586">
      <c r="A1586" t="inlineStr">
        <is>
          <t>Lone View Capital</t>
        </is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inlineStr">
        <is>
          <t>Tier 4</t>
        </is>
      </c>
      <c r="O1586" t="inlineStr">
        <is>
          <t>Ford Easley — Vice President</t>
        </is>
      </c>
      <c r="P1586" t="inlineStr">
        <is>
          <t>Vice President</t>
        </is>
      </c>
      <c r="Y1586" t="inlineStr">
        <is>
          <t>todo</t>
        </is>
      </c>
      <c r="Z1586">
        <f>(M1586*Weights!$B$2) + (MIN(Q1586,Weights!$B$5)*Weights!$B$3*(W1586/100)*Weights!$B$4)</f>
        <v/>
      </c>
      <c r="AA1586">
        <f>IF(Z1586= ,,RANK.EQ({pri_col_letter}{r},{pri_range},0))</f>
        <v/>
      </c>
    </row>
    <row r="1587">
      <c r="A1587" t="inlineStr">
        <is>
          <t>Lookout Ventures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>
        <is>
          <t>Tier 4</t>
        </is>
      </c>
      <c r="O1587" t="inlineStr">
        <is>
          <t>Matt Bressler — General Partner</t>
        </is>
      </c>
      <c r="P1587" t="inlineStr">
        <is>
          <t>General Partner</t>
        </is>
      </c>
      <c r="Y1587" t="inlineStr">
        <is>
          <t>todo</t>
        </is>
      </c>
      <c r="Z1587">
        <f>(M1587*Weights!$B$2) + (MIN(Q1587,Weights!$B$5)*Weights!$B$3*(W1587/100)*Weights!$B$4)</f>
        <v/>
      </c>
      <c r="AA1587">
        <f>IF(Z1587= ,,RANK.EQ({pri_col_letter}{r},{pri_range},0))</f>
        <v/>
      </c>
    </row>
    <row r="1588">
      <c r="A1588" t="inlineStr">
        <is>
          <t>Loren Data Corp</t>
        </is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inlineStr">
        <is>
          <t>Tier 4</t>
        </is>
      </c>
      <c r="O1588" t="inlineStr">
        <is>
          <t>Tony D'Angelo — CSO</t>
        </is>
      </c>
      <c r="P1588" t="inlineStr">
        <is>
          <t>CSO</t>
        </is>
      </c>
      <c r="Y1588" t="inlineStr">
        <is>
          <t>todo</t>
        </is>
      </c>
      <c r="Z1588">
        <f>(M1588*Weights!$B$2) + (MIN(Q1588,Weights!$B$5)*Weights!$B$3*(W1588/100)*Weights!$B$4)</f>
        <v/>
      </c>
      <c r="AA1588">
        <f>IF(Z1588= ,,RANK.EQ({pri_col_letter}{r},{pri_range},0))</f>
        <v/>
      </c>
    </row>
    <row r="1589">
      <c r="A1589" t="inlineStr">
        <is>
          <t>LoveTrine</t>
        </is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inlineStr">
        <is>
          <t>Tier 4</t>
        </is>
      </c>
      <c r="O1589" t="inlineStr">
        <is>
          <t>Tiffany Love — Owner</t>
        </is>
      </c>
      <c r="P1589" t="inlineStr">
        <is>
          <t>Owner</t>
        </is>
      </c>
      <c r="Y1589" t="inlineStr">
        <is>
          <t>todo</t>
        </is>
      </c>
      <c r="Z1589">
        <f>(M1589*Weights!$B$2) + (MIN(Q1589,Weights!$B$5)*Weights!$B$3*(W1589/100)*Weights!$B$4)</f>
        <v/>
      </c>
      <c r="AA1589">
        <f>IF(Z1589= ,,RANK.EQ({pri_col_letter}{r},{pri_range},0))</f>
        <v/>
      </c>
    </row>
    <row r="1590">
      <c r="A1590" t="inlineStr">
        <is>
          <t>Lully.ai</t>
        </is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inlineStr">
        <is>
          <t>Tier 4</t>
        </is>
      </c>
      <c r="O1590" t="inlineStr">
        <is>
          <t>Michael Myers — CEO &amp; Founder</t>
        </is>
      </c>
      <c r="P1590" t="inlineStr">
        <is>
          <t>CEO &amp; Founder</t>
        </is>
      </c>
      <c r="Y1590" t="inlineStr">
        <is>
          <t>todo</t>
        </is>
      </c>
      <c r="Z1590">
        <f>(M1590*Weights!$B$2) + (MIN(Q1590,Weights!$B$5)*Weights!$B$3*(W1590/100)*Weights!$B$4)</f>
        <v/>
      </c>
      <c r="AA1590">
        <f>IF(Z1590= ,,RANK.EQ({pri_col_letter}{r},{pri_range},0))</f>
        <v/>
      </c>
    </row>
    <row r="1591">
      <c r="A1591" t="inlineStr">
        <is>
          <t>Luzern Risk</t>
        </is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inlineStr">
        <is>
          <t>Tier 4</t>
        </is>
      </c>
      <c r="O1591" t="inlineStr">
        <is>
          <t>Jordan Bourkab — Associate</t>
        </is>
      </c>
      <c r="P1591" t="inlineStr">
        <is>
          <t>Associate</t>
        </is>
      </c>
      <c r="Y1591" t="inlineStr">
        <is>
          <t>todo</t>
        </is>
      </c>
      <c r="Z1591">
        <f>(M1591*Weights!$B$2) + (MIN(Q1591,Weights!$B$5)*Weights!$B$3*(W1591/100)*Weights!$B$4)</f>
        <v/>
      </c>
      <c r="AA1591">
        <f>IF(Z1591= ,,RANK.EQ({pri_col_letter}{r},{pri_range},0))</f>
        <v/>
      </c>
    </row>
    <row r="1592">
      <c r="A1592" t="inlineStr">
        <is>
          <t>Lynden</t>
        </is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inlineStr">
        <is>
          <t>Tier 4</t>
        </is>
      </c>
      <c r="O1592" t="inlineStr">
        <is>
          <t>Scott Thomson — Vice President, Information Technology</t>
        </is>
      </c>
      <c r="P1592" t="inlineStr">
        <is>
          <t>Vice President, Information Technology</t>
        </is>
      </c>
      <c r="Y1592" t="inlineStr">
        <is>
          <t>todo</t>
        </is>
      </c>
      <c r="Z1592">
        <f>(M1592*Weights!$B$2) + (MIN(Q1592,Weights!$B$5)*Weights!$B$3*(W1592/100)*Weights!$B$4)</f>
        <v/>
      </c>
      <c r="AA1592">
        <f>IF(Z1592= ,,RANK.EQ({pri_col_letter}{r},{pri_range},0))</f>
        <v/>
      </c>
    </row>
    <row r="1593">
      <c r="A1593" t="inlineStr">
        <is>
          <t>Lyric</t>
        </is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inlineStr">
        <is>
          <t>Tier 4</t>
        </is>
      </c>
      <c r="O1593" t="inlineStr">
        <is>
          <t>Ganesh Ramakrishna — CEO &amp; Founder</t>
        </is>
      </c>
      <c r="P1593" t="inlineStr">
        <is>
          <t>CEO &amp; Founder</t>
        </is>
      </c>
      <c r="Y1593" t="inlineStr">
        <is>
          <t>todo</t>
        </is>
      </c>
      <c r="Z1593">
        <f>(M1593*Weights!$B$2) + (MIN(Q1593,Weights!$B$5)*Weights!$B$3*(W1593/100)*Weights!$B$4)</f>
        <v/>
      </c>
      <c r="AA1593">
        <f>IF(Z1593= ,,RANK.EQ({pri_col_letter}{r},{pri_range},0))</f>
        <v/>
      </c>
    </row>
    <row r="1594">
      <c r="A1594" t="inlineStr">
        <is>
          <t>MAERSK OCEAN AND LOGISTICS</t>
        </is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inlineStr">
        <is>
          <t>Tier 4</t>
        </is>
      </c>
      <c r="O1594" t="inlineStr">
        <is>
          <t>Angela Miale — Parcel Specialist</t>
        </is>
      </c>
      <c r="P1594" t="inlineStr">
        <is>
          <t>Parcel Specialist</t>
        </is>
      </c>
      <c r="Y1594" t="inlineStr">
        <is>
          <t>todo</t>
        </is>
      </c>
      <c r="Z1594">
        <f>(M1594*Weights!$B$2) + (MIN(Q1594,Weights!$B$5)*Weights!$B$3*(W1594/100)*Weights!$B$4)</f>
        <v/>
      </c>
      <c r="AA1594">
        <f>IF(Z1594= ,,RANK.EQ({pri_col_letter}{r},{pri_range},0))</f>
        <v/>
      </c>
    </row>
    <row r="1595">
      <c r="A1595" t="inlineStr">
        <is>
          <t>MCE Distributors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>
        <is>
          <t>Tier 4</t>
        </is>
      </c>
      <c r="O1595" t="inlineStr">
        <is>
          <t>Nils Johan Ekman — General Manager</t>
        </is>
      </c>
      <c r="P1595" t="inlineStr">
        <is>
          <t>General Manager</t>
        </is>
      </c>
      <c r="Y1595" t="inlineStr">
        <is>
          <t>todo</t>
        </is>
      </c>
      <c r="Z1595">
        <f>(M1595*Weights!$B$2) + (MIN(Q1595,Weights!$B$5)*Weights!$B$3*(W1595/100)*Weights!$B$4)</f>
        <v/>
      </c>
      <c r="AA1595">
        <f>IF(Z1595= ,,RANK.EQ({pri_col_letter}{r},{pri_range},0))</f>
        <v/>
      </c>
    </row>
    <row r="1596">
      <c r="A1596" t="inlineStr">
        <is>
          <t>METANOMIX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inlineStr">
        <is>
          <t>Tier 4</t>
        </is>
      </c>
      <c r="O1596" t="inlineStr">
        <is>
          <t>Jason Tse — CEO</t>
        </is>
      </c>
      <c r="P1596" t="inlineStr">
        <is>
          <t>CEO</t>
        </is>
      </c>
      <c r="Y1596" t="inlineStr">
        <is>
          <t>todo</t>
        </is>
      </c>
      <c r="Z1596">
        <f>(M1596*Weights!$B$2) + (MIN(Q1596,Weights!$B$5)*Weights!$B$3*(W1596/100)*Weights!$B$4)</f>
        <v/>
      </c>
      <c r="AA1596">
        <f>IF(Z1596= ,,RANK.EQ({pri_col_letter}{r},{pri_range},0))</f>
        <v/>
      </c>
    </row>
    <row r="1597">
      <c r="A1597" t="inlineStr">
        <is>
          <t>MOL PLUS Co., Ltd</t>
        </is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inlineStr">
        <is>
          <t>Tier 4</t>
        </is>
      </c>
      <c r="O1597" t="inlineStr">
        <is>
          <t>Takuya Sakamoto — CEO</t>
        </is>
      </c>
      <c r="P1597" t="inlineStr">
        <is>
          <t>CEO</t>
        </is>
      </c>
      <c r="Y1597" t="inlineStr">
        <is>
          <t>todo</t>
        </is>
      </c>
      <c r="Z1597">
        <f>(M1597*Weights!$B$2) + (MIN(Q1597,Weights!$B$5)*Weights!$B$3*(W1597/100)*Weights!$B$4)</f>
        <v/>
      </c>
      <c r="AA1597">
        <f>IF(Z1597= ,,RANK.EQ({pri_col_letter}{r},{pri_range},0))</f>
        <v/>
      </c>
    </row>
    <row r="1598">
      <c r="A1598" t="inlineStr">
        <is>
          <t>Machool Technologies Ltd.</t>
        </is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inlineStr">
        <is>
          <t>Tier 4</t>
        </is>
      </c>
      <c r="O1598" t="inlineStr">
        <is>
          <t>Kamyar Asadibeiky — President &amp; CEO</t>
        </is>
      </c>
      <c r="P1598" t="inlineStr">
        <is>
          <t>President &amp; CEO</t>
        </is>
      </c>
      <c r="Y1598" t="inlineStr">
        <is>
          <t>todo</t>
        </is>
      </c>
      <c r="Z1598">
        <f>(M1598*Weights!$B$2) + (MIN(Q1598,Weights!$B$5)*Weights!$B$3*(W1598/100)*Weights!$B$4)</f>
        <v/>
      </c>
      <c r="AA1598">
        <f>IF(Z1598= ,,RANK.EQ({pri_col_letter}{r},{pri_range},0))</f>
        <v/>
      </c>
    </row>
    <row r="1599">
      <c r="A1599" t="inlineStr">
        <is>
          <t>Macquarie Capital</t>
        </is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inlineStr">
        <is>
          <t>Tier 4</t>
        </is>
      </c>
      <c r="O1599" t="inlineStr">
        <is>
          <t>Greg Ager — Managing Director</t>
        </is>
      </c>
      <c r="P1599" t="inlineStr">
        <is>
          <t>Managing Director</t>
        </is>
      </c>
      <c r="Y1599" t="inlineStr">
        <is>
          <t>todo</t>
        </is>
      </c>
      <c r="Z1599">
        <f>(M1599*Weights!$B$2) + (MIN(Q1599,Weights!$B$5)*Weights!$B$3*(W1599/100)*Weights!$B$4)</f>
        <v/>
      </c>
      <c r="AA1599">
        <f>IF(Z1599= ,,RANK.EQ({pri_col_letter}{r},{pri_range},0))</f>
        <v/>
      </c>
    </row>
    <row r="1600">
      <c r="A1600" t="inlineStr">
        <is>
          <t>Made Hoops</t>
        </is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inlineStr">
        <is>
          <t>Tier 4</t>
        </is>
      </c>
      <c r="O1600" t="inlineStr">
        <is>
          <t>Ari Chiszes — Senior Director of E-Commerce and Omni-channel</t>
        </is>
      </c>
      <c r="P1600" t="inlineStr">
        <is>
          <t>Senior Director of E-Commerce and Omni-channel</t>
        </is>
      </c>
      <c r="Y1600" t="inlineStr">
        <is>
          <t>todo</t>
        </is>
      </c>
      <c r="Z1600">
        <f>(M1600*Weights!$B$2) + (MIN(Q1600,Weights!$B$5)*Weights!$B$3*(W1600/100)*Weights!$B$4)</f>
        <v/>
      </c>
      <c r="AA1600">
        <f>IF(Z1600= ,,RANK.EQ({pri_col_letter}{r},{pri_range},0))</f>
        <v/>
      </c>
    </row>
    <row r="1601">
      <c r="A1601" t="inlineStr">
        <is>
          <t>Maersk LnS Global Innovation</t>
        </is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>
        <is>
          <t>Tier 4</t>
        </is>
      </c>
      <c r="O1601" t="inlineStr">
        <is>
          <t>Yujie Su — Head of Product Innovation</t>
        </is>
      </c>
      <c r="P1601" t="inlineStr">
        <is>
          <t>Head of Product Innovation</t>
        </is>
      </c>
      <c r="Y1601" t="inlineStr">
        <is>
          <t>todo</t>
        </is>
      </c>
      <c r="Z1601">
        <f>(M1601*Weights!$B$2) + (MIN(Q1601,Weights!$B$5)*Weights!$B$3*(W1601/100)*Weights!$B$4)</f>
        <v/>
      </c>
      <c r="AA1601">
        <f>IF(Z1601= ,,RANK.EQ({pri_col_letter}{r},{pri_range},0))</f>
        <v/>
      </c>
    </row>
    <row r="1602">
      <c r="A1602" t="inlineStr">
        <is>
          <t>Magenta Venture Partners</t>
        </is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inlineStr">
        <is>
          <t>Tier 4</t>
        </is>
      </c>
      <c r="O1602" t="inlineStr">
        <is>
          <t>Ori Israeli — Managing General Partner</t>
        </is>
      </c>
      <c r="P1602" t="inlineStr">
        <is>
          <t>Managing General Partner</t>
        </is>
      </c>
      <c r="Y1602" t="inlineStr">
        <is>
          <t>todo</t>
        </is>
      </c>
      <c r="Z1602">
        <f>(M1602*Weights!$B$2) + (MIN(Q1602,Weights!$B$5)*Weights!$B$3*(W1602/100)*Weights!$B$4)</f>
        <v/>
      </c>
      <c r="AA1602">
        <f>IF(Z1602= ,,RANK.EQ({pri_col_letter}{r},{pri_range},0))</f>
        <v/>
      </c>
    </row>
    <row r="1603">
      <c r="A1603" t="inlineStr">
        <is>
          <t>Maiden Drayage</t>
        </is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inlineStr">
        <is>
          <t>Tier 4</t>
        </is>
      </c>
      <c r="O1603" t="inlineStr">
        <is>
          <t>Sarah Dean — VP</t>
        </is>
      </c>
      <c r="P1603" t="inlineStr">
        <is>
          <t>VP</t>
        </is>
      </c>
      <c r="Y1603" t="inlineStr">
        <is>
          <t>todo</t>
        </is>
      </c>
      <c r="Z1603">
        <f>(M1603*Weights!$B$2) + (MIN(Q1603,Weights!$B$5)*Weights!$B$3*(W1603/100)*Weights!$B$4)</f>
        <v/>
      </c>
      <c r="AA1603">
        <f>IF(Z1603= ,,RANK.EQ({pri_col_letter}{r},{pri_range},0))</f>
        <v/>
      </c>
    </row>
    <row r="1604">
      <c r="A1604" t="inlineStr">
        <is>
          <t>Mammoth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inlineStr">
        <is>
          <t>Tier 4</t>
        </is>
      </c>
      <c r="O1604" t="inlineStr">
        <is>
          <t>Domenic Prinzivalli — President</t>
        </is>
      </c>
      <c r="P1604" t="inlineStr">
        <is>
          <t>President</t>
        </is>
      </c>
      <c r="Y1604" t="inlineStr">
        <is>
          <t>todo</t>
        </is>
      </c>
      <c r="Z1604">
        <f>(M1604*Weights!$B$2) + (MIN(Q1604,Weights!$B$5)*Weights!$B$3*(W1604/100)*Weights!$B$4)</f>
        <v/>
      </c>
      <c r="AA1604">
        <f>IF(Z1604= ,,RANK.EQ({pri_col_letter}{r},{pri_range},0))</f>
        <v/>
      </c>
    </row>
    <row r="1605">
      <c r="A1605" t="inlineStr">
        <is>
          <t>Manifold</t>
        </is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inlineStr">
        <is>
          <t>Tier 4</t>
        </is>
      </c>
      <c r="O1605" t="inlineStr">
        <is>
          <t>Oliver Jones — CEO</t>
        </is>
      </c>
      <c r="P1605" t="inlineStr">
        <is>
          <t>CEO</t>
        </is>
      </c>
      <c r="Y1605" t="inlineStr">
        <is>
          <t>todo</t>
        </is>
      </c>
      <c r="Z1605">
        <f>(M1605*Weights!$B$2) + (MIN(Q1605,Weights!$B$5)*Weights!$B$3*(W1605/100)*Weights!$B$4)</f>
        <v/>
      </c>
      <c r="AA1605">
        <f>IF(Z1605= ,,RANK.EQ({pri_col_letter}{r},{pri_range},0))</f>
        <v/>
      </c>
    </row>
    <row r="1606">
      <c r="A1606" t="inlineStr">
        <is>
          <t>Manscaped</t>
        </is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inlineStr">
        <is>
          <t>Tier 4</t>
        </is>
      </c>
      <c r="O1606" t="inlineStr">
        <is>
          <t>Casey Gee — Director of 3PL Management</t>
        </is>
      </c>
      <c r="P1606" t="inlineStr">
        <is>
          <t>Director of 3PL Management</t>
        </is>
      </c>
      <c r="Y1606" t="inlineStr">
        <is>
          <t>todo</t>
        </is>
      </c>
      <c r="Z1606">
        <f>(M1606*Weights!$B$2) + (MIN(Q1606,Weights!$B$5)*Weights!$B$3*(W1606/100)*Weights!$B$4)</f>
        <v/>
      </c>
      <c r="AA1606">
        <f>IF(Z1606= ,,RANK.EQ({pri_col_letter}{r},{pri_range},0))</f>
        <v/>
      </c>
    </row>
    <row r="1607">
      <c r="A1607" t="inlineStr">
        <is>
          <t>Maritime Logistics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inlineStr">
        <is>
          <t>Tier 4</t>
        </is>
      </c>
      <c r="O1607" t="inlineStr">
        <is>
          <t>Abbas Azher — CEO</t>
        </is>
      </c>
      <c r="P1607" t="inlineStr">
        <is>
          <t>CEO</t>
        </is>
      </c>
      <c r="Y1607" t="inlineStr">
        <is>
          <t>todo</t>
        </is>
      </c>
      <c r="Z1607">
        <f>(M1607*Weights!$B$2) + (MIN(Q1607,Weights!$B$5)*Weights!$B$3*(W1607/100)*Weights!$B$4)</f>
        <v/>
      </c>
      <c r="AA1607">
        <f>IF(Z1607= ,,RANK.EQ({pri_col_letter}{r},{pri_range},0))</f>
        <v/>
      </c>
    </row>
    <row r="1608">
      <c r="A1608" t="inlineStr">
        <is>
          <t>Maritime Street</t>
        </is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inlineStr">
        <is>
          <t>Tier 4</t>
        </is>
      </c>
      <c r="O1608" t="inlineStr">
        <is>
          <t>Pascal Ollivier — President</t>
        </is>
      </c>
      <c r="P1608" t="inlineStr">
        <is>
          <t>President</t>
        </is>
      </c>
      <c r="Y1608" t="inlineStr">
        <is>
          <t>todo</t>
        </is>
      </c>
      <c r="Z1608">
        <f>(M1608*Weights!$B$2) + (MIN(Q1608,Weights!$B$5)*Weights!$B$3*(W1608/100)*Weights!$B$4)</f>
        <v/>
      </c>
      <c r="AA1608">
        <f>IF(Z1608= ,,RANK.EQ({pri_col_letter}{r},{pri_range},0))</f>
        <v/>
      </c>
    </row>
    <row r="1609">
      <c r="A1609" t="inlineStr">
        <is>
          <t>Maritime and Port Authority of Singapore (MPA)</t>
        </is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inlineStr">
        <is>
          <t>Tier 4</t>
        </is>
      </c>
      <c r="O1609" t="inlineStr">
        <is>
          <t>Desmond Tay — Director- America's</t>
        </is>
      </c>
      <c r="P1609" t="inlineStr">
        <is>
          <t>Director- America's</t>
        </is>
      </c>
      <c r="Y1609" t="inlineStr">
        <is>
          <t>todo</t>
        </is>
      </c>
      <c r="Z1609">
        <f>(M1609*Weights!$B$2) + (MIN(Q1609,Weights!$B$5)*Weights!$B$3*(W1609/100)*Weights!$B$4)</f>
        <v/>
      </c>
      <c r="AA1609">
        <f>IF(Z1609= ,,RANK.EQ({pri_col_letter}{r},{pri_range},0))</f>
        <v/>
      </c>
    </row>
    <row r="1610">
      <c r="A1610" t="inlineStr">
        <is>
          <t>Marks Baughan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inlineStr">
        <is>
          <t>Tier 4</t>
        </is>
      </c>
      <c r="O1610" t="inlineStr">
        <is>
          <t>Ashwini Gautam — Director - Investment Banking</t>
        </is>
      </c>
      <c r="P1610" t="inlineStr">
        <is>
          <t>Director - Investment Banking</t>
        </is>
      </c>
      <c r="Y1610" t="inlineStr">
        <is>
          <t>todo</t>
        </is>
      </c>
      <c r="Z1610">
        <f>(M1610*Weights!$B$2) + (MIN(Q1610,Weights!$B$5)*Weights!$B$3*(W1610/100)*Weights!$B$4)</f>
        <v/>
      </c>
      <c r="AA1610">
        <f>IF(Z1610= ,,RANK.EQ({pri_col_letter}{r},{pri_range},0))</f>
        <v/>
      </c>
    </row>
    <row r="1611">
      <c r="A1611" t="inlineStr">
        <is>
          <t>Marlin Equity</t>
        </is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inlineStr">
        <is>
          <t>Tier 4</t>
        </is>
      </c>
      <c r="O1611" t="inlineStr">
        <is>
          <t>Aaron Lewis — Tech Investor</t>
        </is>
      </c>
      <c r="P1611" t="inlineStr">
        <is>
          <t>Tech Investor</t>
        </is>
      </c>
      <c r="Y1611" t="inlineStr">
        <is>
          <t>todo</t>
        </is>
      </c>
      <c r="Z1611">
        <f>(M1611*Weights!$B$2) + (MIN(Q1611,Weights!$B$5)*Weights!$B$3*(W1611/100)*Weights!$B$4)</f>
        <v/>
      </c>
      <c r="AA1611">
        <f>IF(Z1611= ,,RANK.EQ({pri_col_letter}{r},{pri_range},0))</f>
        <v/>
      </c>
    </row>
    <row r="1612">
      <c r="A1612" t="inlineStr">
        <is>
          <t>Marvel Labs</t>
        </is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inlineStr">
        <is>
          <t>Tier 4</t>
        </is>
      </c>
      <c r="O1612" t="inlineStr">
        <is>
          <t>Jake Miller — CEO</t>
        </is>
      </c>
      <c r="P1612" t="inlineStr">
        <is>
          <t>CEO</t>
        </is>
      </c>
      <c r="Y1612" t="inlineStr">
        <is>
          <t>todo</t>
        </is>
      </c>
      <c r="Z1612">
        <f>(M1612*Weights!$B$2) + (MIN(Q1612,Weights!$B$5)*Weights!$B$3*(W1612/100)*Weights!$B$4)</f>
        <v/>
      </c>
      <c r="AA1612">
        <f>IF(Z1612= ,,RANK.EQ({pri_col_letter}{r},{pri_range},0))</f>
        <v/>
      </c>
    </row>
    <row r="1613">
      <c r="A1613" t="inlineStr">
        <is>
          <t>Masters of Supply Chain</t>
        </is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inlineStr">
        <is>
          <t>Tier 4</t>
        </is>
      </c>
      <c r="O1613" t="inlineStr">
        <is>
          <t>Florian Selch — CEO and Co-Founder</t>
        </is>
      </c>
      <c r="P1613" t="inlineStr">
        <is>
          <t>CEO and Co-Founder</t>
        </is>
      </c>
      <c r="Y1613" t="inlineStr">
        <is>
          <t>todo</t>
        </is>
      </c>
      <c r="Z1613">
        <f>(M1613*Weights!$B$2) + (MIN(Q1613,Weights!$B$5)*Weights!$B$3*(W1613/100)*Weights!$B$4)</f>
        <v/>
      </c>
      <c r="AA1613">
        <f>IF(Z1613= ,,RANK.EQ({pri_col_letter}{r},{pri_range},0))</f>
        <v/>
      </c>
    </row>
    <row r="1614">
      <c r="A1614" t="inlineStr">
        <is>
          <t>Material Handling &amp; Logistics</t>
        </is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inlineStr">
        <is>
          <t>Tier 4</t>
        </is>
      </c>
      <c r="O1614" t="inlineStr">
        <is>
          <t>Dave Blanchard — Head of Content</t>
        </is>
      </c>
      <c r="P1614" t="inlineStr">
        <is>
          <t>Head of Content</t>
        </is>
      </c>
      <c r="Y1614" t="inlineStr">
        <is>
          <t>todo</t>
        </is>
      </c>
      <c r="Z1614">
        <f>(M1614*Weights!$B$2) + (MIN(Q1614,Weights!$B$5)*Weights!$B$3*(W1614/100)*Weights!$B$4)</f>
        <v/>
      </c>
      <c r="AA1614">
        <f>IF(Z1614= ,,RANK.EQ({pri_col_letter}{r},{pri_range},0))</f>
        <v/>
      </c>
    </row>
    <row r="1615">
      <c r="A1615" t="inlineStr">
        <is>
          <t>Matom AI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inlineStr">
        <is>
          <t>Tier 4</t>
        </is>
      </c>
      <c r="O1615" t="inlineStr">
        <is>
          <t>Paulius Rakauskas — CEO &amp; Co-Founder</t>
        </is>
      </c>
      <c r="P1615" t="inlineStr">
        <is>
          <t>CEO &amp; Co-Founder</t>
        </is>
      </c>
      <c r="Y1615" t="inlineStr">
        <is>
          <t>todo</t>
        </is>
      </c>
      <c r="Z1615">
        <f>(M1615*Weights!$B$2) + (MIN(Q1615,Weights!$B$5)*Weights!$B$3*(W1615/100)*Weights!$B$4)</f>
        <v/>
      </c>
      <c r="AA1615">
        <f>IF(Z1615= ,,RANK.EQ({pri_col_letter}{r},{pri_range},0))</f>
        <v/>
      </c>
    </row>
    <row r="1616">
      <c r="A1616" t="inlineStr">
        <is>
          <t>Matternet</t>
        </is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15000000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inlineStr">
        <is>
          <t>Tier 4</t>
        </is>
      </c>
      <c r="O1616" t="inlineStr">
        <is>
          <t>Andreas Raptopoulos — CEO</t>
        </is>
      </c>
      <c r="P1616" t="inlineStr">
        <is>
          <t>CEO</t>
        </is>
      </c>
      <c r="Y1616" t="inlineStr">
        <is>
          <t>todo</t>
        </is>
      </c>
      <c r="Z1616">
        <f>(M1616*Weights!$B$2) + (MIN(Q1616,Weights!$B$5)*Weights!$B$3*(W1616/100)*Weights!$B$4)</f>
        <v/>
      </c>
      <c r="AA1616">
        <f>IF(Z1616= ,,RANK.EQ({pri_col_letter}{r},{pri_range},0))</f>
        <v/>
      </c>
    </row>
    <row r="1617">
      <c r="A1617" t="inlineStr">
        <is>
          <t>Matyse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inlineStr">
        <is>
          <t>Tier 4</t>
        </is>
      </c>
      <c r="O1617" t="inlineStr">
        <is>
          <t>Raquel Sagrera — VP Partnerships</t>
        </is>
      </c>
      <c r="P1617" t="inlineStr">
        <is>
          <t>VP Partnerships</t>
        </is>
      </c>
      <c r="Y1617" t="inlineStr">
        <is>
          <t>todo</t>
        </is>
      </c>
      <c r="Z1617">
        <f>(M1617*Weights!$B$2) + (MIN(Q1617,Weights!$B$5)*Weights!$B$3*(W1617/100)*Weights!$B$4)</f>
        <v/>
      </c>
      <c r="AA1617">
        <f>IF(Z1617= ,,RANK.EQ({pri_col_letter}{r},{pri_range},0))</f>
        <v/>
      </c>
    </row>
    <row r="1618">
      <c r="A1618" t="inlineStr">
        <is>
          <t>Maxiloda</t>
        </is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inlineStr">
        <is>
          <t>Tier 4</t>
        </is>
      </c>
      <c r="O1618" t="inlineStr">
        <is>
          <t>gary stannard — CEO</t>
        </is>
      </c>
      <c r="P1618" t="inlineStr">
        <is>
          <t>CEO</t>
        </is>
      </c>
      <c r="Y1618" t="inlineStr">
        <is>
          <t>todo</t>
        </is>
      </c>
      <c r="Z1618">
        <f>(M1618*Weights!$B$2) + (MIN(Q1618,Weights!$B$5)*Weights!$B$3*(W1618/100)*Weights!$B$4)</f>
        <v/>
      </c>
      <c r="AA1618">
        <f>IF(Z1618= ,,RANK.EQ({pri_col_letter}{r},{pri_range},0))</f>
        <v/>
      </c>
    </row>
    <row r="1619">
      <c r="A1619" t="inlineStr">
        <is>
          <t>McClay's</t>
        </is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inlineStr">
        <is>
          <t>Tier 4</t>
        </is>
      </c>
      <c r="O1619" t="inlineStr">
        <is>
          <t>Eric E. Thornton — Executive Vice President</t>
        </is>
      </c>
      <c r="P1619" t="inlineStr">
        <is>
          <t>Executive Vice President</t>
        </is>
      </c>
      <c r="Y1619" t="inlineStr">
        <is>
          <t>todo</t>
        </is>
      </c>
      <c r="Z1619">
        <f>(M1619*Weights!$B$2) + (MIN(Q1619,Weights!$B$5)*Weights!$B$3*(W1619/100)*Weights!$B$4)</f>
        <v/>
      </c>
      <c r="AA1619">
        <f>IF(Z1619= ,,RANK.EQ({pri_col_letter}{r},{pri_range},0))</f>
        <v/>
      </c>
    </row>
    <row r="1620">
      <c r="A1620" t="inlineStr">
        <is>
          <t>McGriff Specialty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inlineStr">
        <is>
          <t>Tier 4</t>
        </is>
      </c>
      <c r="O1620" t="inlineStr">
        <is>
          <t>Ben Morgan — Vice President</t>
        </is>
      </c>
      <c r="P1620" t="inlineStr">
        <is>
          <t>Vice President</t>
        </is>
      </c>
      <c r="Y1620" t="inlineStr">
        <is>
          <t>todo</t>
        </is>
      </c>
      <c r="Z1620">
        <f>(M1620*Weights!$B$2) + (MIN(Q1620,Weights!$B$5)*Weights!$B$3*(W1620/100)*Weights!$B$4)</f>
        <v/>
      </c>
      <c r="AA1620">
        <f>IF(Z1620= ,,RANK.EQ({pri_col_letter}{r},{pri_range},0))</f>
        <v/>
      </c>
    </row>
    <row r="1621">
      <c r="A1621" t="inlineStr">
        <is>
          <t>McKinsey</t>
        </is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inlineStr">
        <is>
          <t>Tier 4</t>
        </is>
      </c>
      <c r="O1621" t="inlineStr">
        <is>
          <t>Ludwig Hausmann — Managing Director</t>
        </is>
      </c>
      <c r="P1621" t="inlineStr">
        <is>
          <t>Managing Director</t>
        </is>
      </c>
      <c r="Y1621" t="inlineStr">
        <is>
          <t>todo</t>
        </is>
      </c>
      <c r="Z1621">
        <f>(M1621*Weights!$B$2) + (MIN(Q1621,Weights!$B$5)*Weights!$B$3*(W1621/100)*Weights!$B$4)</f>
        <v/>
      </c>
      <c r="AA1621">
        <f>IF(Z1621= ,,RANK.EQ({pri_col_letter}{r},{pri_range},0))</f>
        <v/>
      </c>
    </row>
    <row r="1622">
      <c r="A1622" t="inlineStr">
        <is>
          <t>McKinsey &amp; Co</t>
        </is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inlineStr">
        <is>
          <t>Tier 4</t>
        </is>
      </c>
      <c r="O1622" t="inlineStr">
        <is>
          <t>Dilip Bhattacharjee — Partner</t>
        </is>
      </c>
      <c r="P1622" t="inlineStr">
        <is>
          <t>Partner</t>
        </is>
      </c>
      <c r="Y1622" t="inlineStr">
        <is>
          <t>todo</t>
        </is>
      </c>
      <c r="Z1622">
        <f>(M1622*Weights!$B$2) + (MIN(Q1622,Weights!$B$5)*Weights!$B$3*(W1622/100)*Weights!$B$4)</f>
        <v/>
      </c>
      <c r="AA1622">
        <f>IF(Z1622= ,,RANK.EQ({pri_col_letter}{r},{pri_range},0))</f>
        <v/>
      </c>
    </row>
    <row r="1623">
      <c r="A1623" t="inlineStr">
        <is>
          <t>McVestCo</t>
        </is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inlineStr">
        <is>
          <t>Tier 4</t>
        </is>
      </c>
      <c r="O1623" t="inlineStr">
        <is>
          <t>Trevor Adey — General Partner &amp; Founder</t>
        </is>
      </c>
      <c r="P1623" t="inlineStr">
        <is>
          <t>General Partner &amp; Founder</t>
        </is>
      </c>
      <c r="Y1623" t="inlineStr">
        <is>
          <t>todo</t>
        </is>
      </c>
      <c r="Z1623">
        <f>(M1623*Weights!$B$2) + (MIN(Q1623,Weights!$B$5)*Weights!$B$3*(W1623/100)*Weights!$B$4)</f>
        <v/>
      </c>
      <c r="AA1623">
        <f>IF(Z1623= ,,RANK.EQ({pri_col_letter}{r},{pri_range},0))</f>
        <v/>
      </c>
    </row>
    <row r="1624">
      <c r="A1624" t="inlineStr">
        <is>
          <t>Medallion Enterprises Inc.</t>
        </is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inlineStr">
        <is>
          <t>Tier 4</t>
        </is>
      </c>
      <c r="O1624" t="inlineStr">
        <is>
          <t>Greg Kent — President</t>
        </is>
      </c>
      <c r="P1624" t="inlineStr">
        <is>
          <t>President</t>
        </is>
      </c>
      <c r="Y1624" t="inlineStr">
        <is>
          <t>todo</t>
        </is>
      </c>
      <c r="Z1624">
        <f>(M1624*Weights!$B$2) + (MIN(Q1624,Weights!$B$5)*Weights!$B$3*(W1624/100)*Weights!$B$4)</f>
        <v/>
      </c>
      <c r="AA1624">
        <f>IF(Z1624= ,,RANK.EQ({pri_col_letter}{r},{pri_range},0))</f>
        <v/>
      </c>
    </row>
    <row r="1625">
      <c r="A1625" t="inlineStr">
        <is>
          <t>Medusa Distribution</t>
        </is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inlineStr">
        <is>
          <t>Tier 4</t>
        </is>
      </c>
      <c r="O1625" t="inlineStr">
        <is>
          <t>Andrew Haner — COO</t>
        </is>
      </c>
      <c r="P1625" t="inlineStr">
        <is>
          <t>COO</t>
        </is>
      </c>
      <c r="Y1625" t="inlineStr">
        <is>
          <t>todo</t>
        </is>
      </c>
      <c r="Z1625">
        <f>(M1625*Weights!$B$2) + (MIN(Q1625,Weights!$B$5)*Weights!$B$3*(W1625/100)*Weights!$B$4)</f>
        <v/>
      </c>
      <c r="AA1625">
        <f>IF(Z1625= ,,RANK.EQ({pri_col_letter}{r},{pri_range},0))</f>
        <v/>
      </c>
    </row>
    <row r="1626">
      <c r="A1626" t="inlineStr">
        <is>
          <t>MegaCorp</t>
        </is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inlineStr">
        <is>
          <t>Tier 4</t>
        </is>
      </c>
      <c r="O1626" t="inlineStr">
        <is>
          <t>Winnie Wilson — Strategic Partnerships</t>
        </is>
      </c>
      <c r="P1626" t="inlineStr">
        <is>
          <t>Strategic Partnerships</t>
        </is>
      </c>
      <c r="Y1626" t="inlineStr">
        <is>
          <t>todo</t>
        </is>
      </c>
      <c r="Z1626">
        <f>(M1626*Weights!$B$2) + (MIN(Q1626,Weights!$B$5)*Weights!$B$3*(W1626/100)*Weights!$B$4)</f>
        <v/>
      </c>
      <c r="AA1626">
        <f>IF(Z1626= ,,RANK.EQ({pri_col_letter}{r},{pri_range},0))</f>
        <v/>
      </c>
    </row>
    <row r="1627">
      <c r="A1627" t="inlineStr">
        <is>
          <t>Mely.ai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inlineStr">
        <is>
          <t>Tier 4</t>
        </is>
      </c>
      <c r="O1627" t="inlineStr">
        <is>
          <t>Olha Mullyar — Strategic Initiatives Lead</t>
        </is>
      </c>
      <c r="P1627" t="inlineStr">
        <is>
          <t>Strategic Initiatives Lead</t>
        </is>
      </c>
      <c r="Y1627" t="inlineStr">
        <is>
          <t>todo</t>
        </is>
      </c>
      <c r="Z1627">
        <f>(M1627*Weights!$B$2) + (MIN(Q1627,Weights!$B$5)*Weights!$B$3*(W1627/100)*Weights!$B$4)</f>
        <v/>
      </c>
      <c r="AA1627">
        <f>IF(Z1627= ,,RANK.EQ({pri_col_letter}{r},{pri_range},0))</f>
        <v/>
      </c>
    </row>
    <row r="1628">
      <c r="A1628" t="inlineStr">
        <is>
          <t>Merck &amp; Co., Inc. - Global Health Innovation Fund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inlineStr">
        <is>
          <t>Tier 4</t>
        </is>
      </c>
      <c r="O1628" t="inlineStr">
        <is>
          <t>Mike Morgan — Principal</t>
        </is>
      </c>
      <c r="P1628" t="inlineStr">
        <is>
          <t>Principal</t>
        </is>
      </c>
      <c r="Y1628" t="inlineStr">
        <is>
          <t>todo</t>
        </is>
      </c>
      <c r="Z1628">
        <f>(M1628*Weights!$B$2) + (MIN(Q1628,Weights!$B$5)*Weights!$B$3*(W1628/100)*Weights!$B$4)</f>
        <v/>
      </c>
      <c r="AA1628">
        <f>IF(Z1628= ,,RANK.EQ({pri_col_letter}{r},{pri_range},0))</f>
        <v/>
      </c>
    </row>
    <row r="1629">
      <c r="A1629" t="inlineStr">
        <is>
          <t>Merck Global Health Innovation Fund</t>
        </is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inlineStr">
        <is>
          <t>Tier 4</t>
        </is>
      </c>
      <c r="O1629" t="inlineStr">
        <is>
          <t>Joe Volpe — Managing Director</t>
        </is>
      </c>
      <c r="P1629" t="inlineStr">
        <is>
          <t>Managing Director</t>
        </is>
      </c>
      <c r="Y1629" t="inlineStr">
        <is>
          <t>todo</t>
        </is>
      </c>
      <c r="Z1629">
        <f>(M1629*Weights!$B$2) + (MIN(Q1629,Weights!$B$5)*Weights!$B$3*(W1629/100)*Weights!$B$4)</f>
        <v/>
      </c>
      <c r="AA1629">
        <f>IF(Z1629= ,,RANK.EQ({pri_col_letter}{r},{pri_range},0))</f>
        <v/>
      </c>
    </row>
    <row r="1630">
      <c r="A1630" t="inlineStr">
        <is>
          <t>Mesilla Valley Transportation</t>
        </is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inlineStr">
        <is>
          <t>Tier 4</t>
        </is>
      </c>
      <c r="O1630" t="inlineStr">
        <is>
          <t>Corey Goux — Chief Information Officer</t>
        </is>
      </c>
      <c r="P1630" t="inlineStr">
        <is>
          <t>Chief Information Officer</t>
        </is>
      </c>
      <c r="Y1630" t="inlineStr">
        <is>
          <t>todo</t>
        </is>
      </c>
      <c r="Z1630">
        <f>(M1630*Weights!$B$2) + (MIN(Q1630,Weights!$B$5)*Weights!$B$3*(W1630/100)*Weights!$B$4)</f>
        <v/>
      </c>
      <c r="AA1630">
        <f>IF(Z1630= ,,RANK.EQ({pri_col_letter}{r},{pri_range},0))</f>
        <v/>
      </c>
    </row>
    <row r="1631">
      <c r="A1631" t="inlineStr">
        <is>
          <t>Messe München GmbH</t>
        </is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inlineStr">
        <is>
          <t>Tier 4</t>
        </is>
      </c>
      <c r="O1631" t="inlineStr">
        <is>
          <t>Daniela Thumfart — Deputy Exhibition Manager</t>
        </is>
      </c>
      <c r="P1631" t="inlineStr">
        <is>
          <t>Deputy Exhibition Manager</t>
        </is>
      </c>
      <c r="Y1631" t="inlineStr">
        <is>
          <t>todo</t>
        </is>
      </c>
      <c r="Z1631">
        <f>(M1631*Weights!$B$2) + (MIN(Q1631,Weights!$B$5)*Weights!$B$3*(W1631/100)*Weights!$B$4)</f>
        <v/>
      </c>
      <c r="AA1631">
        <f>IF(Z1631= ,,RANK.EQ({pri_col_letter}{r},{pri_range},0))</f>
        <v/>
      </c>
    </row>
    <row r="1632">
      <c r="A1632" t="inlineStr">
        <is>
          <t>Metro Atlanta Chamber</t>
        </is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inlineStr">
        <is>
          <t>Tier 4</t>
        </is>
      </c>
      <c r="O1632" t="inlineStr">
        <is>
          <t>Robert Herrig — Director of Economic Development</t>
        </is>
      </c>
      <c r="P1632" t="inlineStr">
        <is>
          <t>Director of Economic Development</t>
        </is>
      </c>
      <c r="Y1632" t="inlineStr">
        <is>
          <t>todo</t>
        </is>
      </c>
      <c r="Z1632">
        <f>(M1632*Weights!$B$2) + (MIN(Q1632,Weights!$B$5)*Weights!$B$3*(W1632/100)*Weights!$B$4)</f>
        <v/>
      </c>
      <c r="AA1632">
        <f>IF(Z1632= ,,RANK.EQ({pri_col_letter}{r},{pri_range},0))</f>
        <v/>
      </c>
    </row>
    <row r="1633">
      <c r="A1633" t="inlineStr">
        <is>
          <t>Mettamorfozyx Ventures LLC</t>
        </is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inlineStr">
        <is>
          <t>Tier 4</t>
        </is>
      </c>
      <c r="O1633" t="inlineStr">
        <is>
          <t>Luis Solana — Managing Partner</t>
        </is>
      </c>
      <c r="P1633" t="inlineStr">
        <is>
          <t>Managing Partner</t>
        </is>
      </c>
      <c r="Y1633" t="inlineStr">
        <is>
          <t>todo</t>
        </is>
      </c>
      <c r="Z1633">
        <f>(M1633*Weights!$B$2) + (MIN(Q1633,Weights!$B$5)*Weights!$B$3*(W1633/100)*Weights!$B$4)</f>
        <v/>
      </c>
      <c r="AA1633">
        <f>IF(Z1633= ,,RANK.EQ({pri_col_letter}{r},{pri_range},0))</f>
        <v/>
      </c>
    </row>
    <row r="1634">
      <c r="A1634" t="inlineStr">
        <is>
          <t>Michigan Venture Capital Association</t>
        </is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inlineStr">
        <is>
          <t>Tier 4</t>
        </is>
      </c>
      <c r="O1634" t="inlineStr">
        <is>
          <t>Ara Topouzian — Executive Director</t>
        </is>
      </c>
      <c r="P1634" t="inlineStr">
        <is>
          <t>Executive Director</t>
        </is>
      </c>
      <c r="Y1634" t="inlineStr">
        <is>
          <t>todo</t>
        </is>
      </c>
      <c r="Z1634">
        <f>(M1634*Weights!$B$2) + (MIN(Q1634,Weights!$B$5)*Weights!$B$3*(W1634/100)*Weights!$B$4)</f>
        <v/>
      </c>
      <c r="AA1634">
        <f>IF(Z1634= ,,RANK.EQ({pri_col_letter}{r},{pri_range},0))</f>
        <v/>
      </c>
    </row>
    <row r="1635">
      <c r="A1635" t="inlineStr">
        <is>
          <t>Midmo</t>
        </is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>
        <is>
          <t>Tier 4</t>
        </is>
      </c>
      <c r="O1635" t="inlineStr">
        <is>
          <t>David Zingery — CEO</t>
        </is>
      </c>
      <c r="P1635" t="inlineStr">
        <is>
          <t>CEO</t>
        </is>
      </c>
      <c r="Y1635" t="inlineStr">
        <is>
          <t>todo</t>
        </is>
      </c>
      <c r="Z1635">
        <f>(M1635*Weights!$B$2) + (MIN(Q1635,Weights!$B$5)*Weights!$B$3*(W1635/100)*Weights!$B$4)</f>
        <v/>
      </c>
      <c r="AA1635">
        <f>IF(Z1635= ,,RANK.EQ({pri_col_letter}{r},{pri_range},0))</f>
        <v/>
      </c>
    </row>
    <row r="1636">
      <c r="A1636" t="inlineStr">
        <is>
          <t>MikeWorldWide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>
        <is>
          <t>Tier 4</t>
        </is>
      </c>
      <c r="O1636" t="inlineStr">
        <is>
          <t>Rory Swikle — Senior Vice President</t>
        </is>
      </c>
      <c r="P1636" t="inlineStr">
        <is>
          <t>Senior Vice President</t>
        </is>
      </c>
      <c r="Y1636" t="inlineStr">
        <is>
          <t>todo</t>
        </is>
      </c>
      <c r="Z1636">
        <f>(M1636*Weights!$B$2) + (MIN(Q1636,Weights!$B$5)*Weights!$B$3*(W1636/100)*Weights!$B$4)</f>
        <v/>
      </c>
      <c r="AA1636">
        <f>IF(Z1636= ,,RANK.EQ({pri_col_letter}{r},{pri_range},0))</f>
        <v/>
      </c>
    </row>
    <row r="1637">
      <c r="A1637" t="inlineStr">
        <is>
          <t>MileMaker - Rand McNally</t>
        </is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inlineStr">
        <is>
          <t>Tier 4</t>
        </is>
      </c>
      <c r="O1637" t="inlineStr">
        <is>
          <t>Mark Lukenbill — Commercial Leader</t>
        </is>
      </c>
      <c r="P1637" t="inlineStr">
        <is>
          <t>Commercial Leader</t>
        </is>
      </c>
      <c r="Y1637" t="inlineStr">
        <is>
          <t>todo</t>
        </is>
      </c>
      <c r="Z1637">
        <f>(M1637*Weights!$B$2) + (MIN(Q1637,Weights!$B$5)*Weights!$B$3*(W1637/100)*Weights!$B$4)</f>
        <v/>
      </c>
      <c r="AA1637">
        <f>IF(Z1637= ,,RANK.EQ({pri_col_letter}{r},{pri_range},0))</f>
        <v/>
      </c>
    </row>
    <row r="1638">
      <c r="A1638" t="inlineStr">
        <is>
          <t>Moative AI Labs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inlineStr">
        <is>
          <t>Tier 4</t>
        </is>
      </c>
      <c r="O1638" t="inlineStr">
        <is>
          <t>Dushyant Saran — Vice President - AI Labs, North America</t>
        </is>
      </c>
      <c r="P1638" t="inlineStr">
        <is>
          <t>Vice President - AI Labs, North America</t>
        </is>
      </c>
      <c r="Y1638" t="inlineStr">
        <is>
          <t>todo</t>
        </is>
      </c>
      <c r="Z1638">
        <f>(M1638*Weights!$B$2) + (MIN(Q1638,Weights!$B$5)*Weights!$B$3*(W1638/100)*Weights!$B$4)</f>
        <v/>
      </c>
      <c r="AA1638">
        <f>IF(Z1638= ,,RANK.EQ({pri_col_letter}{r},{pri_range},0))</f>
        <v/>
      </c>
    </row>
    <row r="1639">
      <c r="A1639" t="inlineStr">
        <is>
          <t>ModalView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>
        <is>
          <t>Tier 4</t>
        </is>
      </c>
      <c r="O1639" t="inlineStr">
        <is>
          <t>Meghan Nesta — Senior Director of Product</t>
        </is>
      </c>
      <c r="P1639" t="inlineStr">
        <is>
          <t>Senior Director of Product</t>
        </is>
      </c>
      <c r="Y1639" t="inlineStr">
        <is>
          <t>todo</t>
        </is>
      </c>
      <c r="Z1639">
        <f>(M1639*Weights!$B$2) + (MIN(Q1639,Weights!$B$5)*Weights!$B$3*(W1639/100)*Weights!$B$4)</f>
        <v/>
      </c>
      <c r="AA1639">
        <f>IF(Z1639= ,,RANK.EQ({pri_col_letter}{r},{pri_range},0))</f>
        <v/>
      </c>
    </row>
    <row r="1640">
      <c r="A1640" t="inlineStr">
        <is>
          <t>Moelis</t>
        </is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>
        <is>
          <t>Tier 4</t>
        </is>
      </c>
      <c r="O1640" t="inlineStr">
        <is>
          <t>Jonathan Schaetz — Executive Director</t>
        </is>
      </c>
      <c r="P1640" t="inlineStr">
        <is>
          <t>Executive Director</t>
        </is>
      </c>
      <c r="Y1640" t="inlineStr">
        <is>
          <t>todo</t>
        </is>
      </c>
      <c r="Z1640">
        <f>(M1640*Weights!$B$2) + (MIN(Q1640,Weights!$B$5)*Weights!$B$3*(W1640/100)*Weights!$B$4)</f>
        <v/>
      </c>
      <c r="AA1640">
        <f>IF(Z1640= ,,RANK.EQ({pri_col_letter}{r},{pri_range},0))</f>
        <v/>
      </c>
    </row>
    <row r="1641">
      <c r="A1641" t="inlineStr">
        <is>
          <t>Moment</t>
        </is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>
        <is>
          <t>Tier 4</t>
        </is>
      </c>
      <c r="O1641" t="inlineStr">
        <is>
          <t>Alex Stankie — COO</t>
        </is>
      </c>
      <c r="P1641" t="inlineStr">
        <is>
          <t>COO</t>
        </is>
      </c>
      <c r="Y1641" t="inlineStr">
        <is>
          <t>todo</t>
        </is>
      </c>
      <c r="Z1641">
        <f>(M1641*Weights!$B$2) + (MIN(Q1641,Weights!$B$5)*Weights!$B$3*(W1641/100)*Weights!$B$4)</f>
        <v/>
      </c>
      <c r="AA1641">
        <f>IF(Z1641= ,,RANK.EQ({pri_col_letter}{r},{pri_range},0))</f>
        <v/>
      </c>
    </row>
    <row r="1642">
      <c r="A1642" t="inlineStr">
        <is>
          <t>Morgan Stanley 1GT</t>
        </is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inlineStr">
        <is>
          <t>Tier 4</t>
        </is>
      </c>
      <c r="O1642" t="inlineStr">
        <is>
          <t>Adam Ross — Principal</t>
        </is>
      </c>
      <c r="P1642" t="inlineStr">
        <is>
          <t>Principal</t>
        </is>
      </c>
      <c r="Y1642" t="inlineStr">
        <is>
          <t>todo</t>
        </is>
      </c>
      <c r="Z1642">
        <f>(M1642*Weights!$B$2) + (MIN(Q1642,Weights!$B$5)*Weights!$B$3*(W1642/100)*Weights!$B$4)</f>
        <v/>
      </c>
      <c r="AA1642">
        <f>IF(Z1642= ,,RANK.EQ({pri_col_letter}{r},{pri_range},0))</f>
        <v/>
      </c>
    </row>
    <row r="1643">
      <c r="A1643" t="inlineStr">
        <is>
          <t>Morgan Stanley 1GT Fund</t>
        </is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>
        <is>
          <t>Tier 4</t>
        </is>
      </c>
      <c r="O1643" t="inlineStr">
        <is>
          <t>Eva O'Sullivan — Investor</t>
        </is>
      </c>
      <c r="P1643" t="inlineStr">
        <is>
          <t>Investor</t>
        </is>
      </c>
      <c r="Y1643" t="inlineStr">
        <is>
          <t>todo</t>
        </is>
      </c>
      <c r="Z1643">
        <f>(M1643*Weights!$B$2) + (MIN(Q1643,Weights!$B$5)*Weights!$B$3*(W1643/100)*Weights!$B$4)</f>
        <v/>
      </c>
      <c r="AA1643">
        <f>IF(Z1643= ,,RANK.EQ({pri_col_letter}{r},{pri_range},0))</f>
        <v/>
      </c>
    </row>
    <row r="1644">
      <c r="A1644" t="inlineStr">
        <is>
          <t>Mothership Materials</t>
        </is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inlineStr">
        <is>
          <t>Tier 4</t>
        </is>
      </c>
      <c r="O1644" t="inlineStr">
        <is>
          <t>Jo Marini — CEO &amp; Co-Founder</t>
        </is>
      </c>
      <c r="P1644" t="inlineStr">
        <is>
          <t>CEO &amp; Co-Founder</t>
        </is>
      </c>
      <c r="Y1644" t="inlineStr">
        <is>
          <t>todo</t>
        </is>
      </c>
      <c r="Z1644">
        <f>(M1644*Weights!$B$2) + (MIN(Q1644,Weights!$B$5)*Weights!$B$3*(W1644/100)*Weights!$B$4)</f>
        <v/>
      </c>
      <c r="AA1644">
        <f>IF(Z1644= ,,RANK.EQ({pri_col_letter}{r},{pri_range},0))</f>
        <v/>
      </c>
    </row>
    <row r="1645">
      <c r="A1645" t="inlineStr">
        <is>
          <t>Motion Ventures</t>
        </is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>
        <is>
          <t>Tier 4</t>
        </is>
      </c>
      <c r="O1645" t="inlineStr">
        <is>
          <t>Shaun Hon — General Partner &amp; Founder</t>
        </is>
      </c>
      <c r="P1645" t="inlineStr">
        <is>
          <t>General Partner &amp; Founder</t>
        </is>
      </c>
      <c r="Y1645" t="inlineStr">
        <is>
          <t>todo</t>
        </is>
      </c>
      <c r="Z1645">
        <f>(M1645*Weights!$B$2) + (MIN(Q1645,Weights!$B$5)*Weights!$B$3*(W1645/100)*Weights!$B$4)</f>
        <v/>
      </c>
      <c r="AA1645">
        <f>IF(Z1645= ,,RANK.EQ({pri_col_letter}{r},{pri_range},0))</f>
        <v/>
      </c>
    </row>
    <row r="1646">
      <c r="A1646" t="inlineStr">
        <is>
          <t>Munich Airport</t>
        </is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>
        <is>
          <t>Tier 4</t>
        </is>
      </c>
      <c r="O1646" t="inlineStr">
        <is>
          <t>Heinelt Markus — Director of Air Cargo</t>
        </is>
      </c>
      <c r="P1646" t="inlineStr">
        <is>
          <t>Director of Air Cargo</t>
        </is>
      </c>
      <c r="Y1646" t="inlineStr">
        <is>
          <t>todo</t>
        </is>
      </c>
      <c r="Z1646">
        <f>(M1646*Weights!$B$2) + (MIN(Q1646,Weights!$B$5)*Weights!$B$3*(W1646/100)*Weights!$B$4)</f>
        <v/>
      </c>
      <c r="AA1646">
        <f>IF(Z1646= ,,RANK.EQ({pri_col_letter}{r},{pri_range},0))</f>
        <v/>
      </c>
    </row>
    <row r="1647">
      <c r="A1647" t="inlineStr">
        <is>
          <t>NONEXE LTD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>
        <is>
          <t>Tier 4</t>
        </is>
      </c>
      <c r="O1647" t="inlineStr">
        <is>
          <t>Rudee Bertie — CEO</t>
        </is>
      </c>
      <c r="P1647" t="inlineStr">
        <is>
          <t>CEO</t>
        </is>
      </c>
      <c r="Y1647" t="inlineStr">
        <is>
          <t>todo</t>
        </is>
      </c>
      <c r="Z1647">
        <f>(M1647*Weights!$B$2) + (MIN(Q1647,Weights!$B$5)*Weights!$B$3*(W1647/100)*Weights!$B$4)</f>
        <v/>
      </c>
      <c r="AA1647">
        <f>IF(Z1647= ,,RANK.EQ({pri_col_letter}{r},{pri_range},0))</f>
        <v/>
      </c>
    </row>
    <row r="1648">
      <c r="A1648" t="inlineStr">
        <is>
          <t>NY Robotics</t>
        </is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>
        <is>
          <t>Tier 4</t>
        </is>
      </c>
      <c r="O1648" t="inlineStr">
        <is>
          <t>Jacob Hennessey-Rubin — Executive Director</t>
        </is>
      </c>
      <c r="P1648" t="inlineStr">
        <is>
          <t>Executive Director</t>
        </is>
      </c>
      <c r="Y1648" t="inlineStr">
        <is>
          <t>todo</t>
        </is>
      </c>
      <c r="Z1648">
        <f>(M1648*Weights!$B$2) + (MIN(Q1648,Weights!$B$5)*Weights!$B$3*(W1648/100)*Weights!$B$4)</f>
        <v/>
      </c>
      <c r="AA1648">
        <f>IF(Z1648= ,,RANK.EQ({pri_col_letter}{r},{pri_range},0))</f>
        <v/>
      </c>
    </row>
    <row r="1649">
      <c r="A1649" t="inlineStr">
        <is>
          <t>NYSHEX, LLC</t>
        </is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inlineStr">
        <is>
          <t>Tier 4</t>
        </is>
      </c>
      <c r="O1649" t="inlineStr">
        <is>
          <t>Karina Cooper — VP of Commercial</t>
        </is>
      </c>
      <c r="P1649" t="inlineStr">
        <is>
          <t>VP of Commercial</t>
        </is>
      </c>
      <c r="Y1649" t="inlineStr">
        <is>
          <t>todo</t>
        </is>
      </c>
      <c r="Z1649">
        <f>(M1649*Weights!$B$2) + (MIN(Q1649,Weights!$B$5)*Weights!$B$3*(W1649/100)*Weights!$B$4)</f>
        <v/>
      </c>
      <c r="AA1649">
        <f>IF(Z1649= ,,RANK.EQ({pri_col_letter}{r},{pri_range},0))</f>
        <v/>
      </c>
    </row>
    <row r="1650">
      <c r="A1650" t="inlineStr">
        <is>
          <t>National Logistics Services</t>
        </is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inlineStr">
        <is>
          <t>Tier 4</t>
        </is>
      </c>
      <c r="O1650" t="inlineStr">
        <is>
          <t>Lindsey Billing — EVP, Technology</t>
        </is>
      </c>
      <c r="P1650" t="inlineStr">
        <is>
          <t>EVP, Technology</t>
        </is>
      </c>
      <c r="Y1650" t="inlineStr">
        <is>
          <t>todo</t>
        </is>
      </c>
      <c r="Z1650">
        <f>(M1650*Weights!$B$2) + (MIN(Q1650,Weights!$B$5)*Weights!$B$3*(W1650/100)*Weights!$B$4)</f>
        <v/>
      </c>
      <c r="AA1650">
        <f>IF(Z1650= ,,RANK.EQ({pri_col_letter}{r},{pri_range},0))</f>
        <v/>
      </c>
    </row>
    <row r="1651">
      <c r="A1651" t="inlineStr">
        <is>
          <t>Nebraska Warehouse Co.</t>
        </is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inlineStr">
        <is>
          <t>Tier 4</t>
        </is>
      </c>
      <c r="O1651" t="inlineStr">
        <is>
          <t>Tamara Draeger — President</t>
        </is>
      </c>
      <c r="P1651" t="inlineStr">
        <is>
          <t>President</t>
        </is>
      </c>
      <c r="Y1651" t="inlineStr">
        <is>
          <t>todo</t>
        </is>
      </c>
      <c r="Z1651">
        <f>(M1651*Weights!$B$2) + (MIN(Q1651,Weights!$B$5)*Weights!$B$3*(W1651/100)*Weights!$B$4)</f>
        <v/>
      </c>
      <c r="AA1651">
        <f>IF(Z1651= ,,RANK.EQ({pri_col_letter}{r},{pri_range},0))</f>
        <v/>
      </c>
    </row>
    <row r="1652">
      <c r="A1652" t="inlineStr">
        <is>
          <t>Neil’s Natterings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>
        <is>
          <t>Tier 4</t>
        </is>
      </c>
      <c r="O1652" t="inlineStr">
        <is>
          <t>Neil Arnott — President</t>
        </is>
      </c>
      <c r="P1652" t="inlineStr">
        <is>
          <t>President</t>
        </is>
      </c>
      <c r="Y1652" t="inlineStr">
        <is>
          <t>todo</t>
        </is>
      </c>
      <c r="Z1652">
        <f>(M1652*Weights!$B$2) + (MIN(Q1652,Weights!$B$5)*Weights!$B$3*(W1652/100)*Weights!$B$4)</f>
        <v/>
      </c>
      <c r="AA1652">
        <f>IF(Z1652= ,,RANK.EQ({pri_col_letter}{r},{pri_range},0))</f>
        <v/>
      </c>
    </row>
    <row r="1653">
      <c r="A1653" t="inlineStr">
        <is>
          <t>Nepanoa</t>
        </is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>
        <is>
          <t>Tier 4</t>
        </is>
      </c>
      <c r="O1653" t="inlineStr">
        <is>
          <t>Alberto Villarreal — CEO</t>
        </is>
      </c>
      <c r="P1653" t="inlineStr">
        <is>
          <t>CEO</t>
        </is>
      </c>
      <c r="Y1653" t="inlineStr">
        <is>
          <t>todo</t>
        </is>
      </c>
      <c r="Z1653">
        <f>(M1653*Weights!$B$2) + (MIN(Q1653,Weights!$B$5)*Weights!$B$3*(W1653/100)*Weights!$B$4)</f>
        <v/>
      </c>
      <c r="AA1653">
        <f>IF(Z1653= ,,RANK.EQ({pri_col_letter}{r},{pri_range},0))</f>
        <v/>
      </c>
    </row>
    <row r="1654">
      <c r="A1654" t="inlineStr">
        <is>
          <t>Nest Bedding</t>
        </is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>
        <is>
          <t>Tier 4</t>
        </is>
      </c>
      <c r="O1654" t="inlineStr">
        <is>
          <t>Charles Eisenbarth — Solutions Chief and Officer</t>
        </is>
      </c>
      <c r="P1654" t="inlineStr">
        <is>
          <t>Solutions Chief and Officer</t>
        </is>
      </c>
      <c r="Y1654" t="inlineStr">
        <is>
          <t>todo</t>
        </is>
      </c>
      <c r="Z1654">
        <f>(M1654*Weights!$B$2) + (MIN(Q1654,Weights!$B$5)*Weights!$B$3*(W1654/100)*Weights!$B$4)</f>
        <v/>
      </c>
      <c r="AA1654">
        <f>IF(Z1654= ,,RANK.EQ({pri_col_letter}{r},{pri_range},0))</f>
        <v/>
      </c>
    </row>
    <row r="1655">
      <c r="A1655" t="inlineStr">
        <is>
          <t>Neuropredictr AI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>
        <is>
          <t>Tier 4</t>
        </is>
      </c>
      <c r="O1655" t="inlineStr">
        <is>
          <t>Tom Stein — Head of the Americas</t>
        </is>
      </c>
      <c r="P1655" t="inlineStr">
        <is>
          <t>Head of the Americas</t>
        </is>
      </c>
      <c r="Y1655" t="inlineStr">
        <is>
          <t>todo</t>
        </is>
      </c>
      <c r="Z1655">
        <f>(M1655*Weights!$B$2) + (MIN(Q1655,Weights!$B$5)*Weights!$B$3*(W1655/100)*Weights!$B$4)</f>
        <v/>
      </c>
      <c r="AA1655">
        <f>IF(Z1655= ,,RANK.EQ({pri_col_letter}{r},{pri_range},0))</f>
        <v/>
      </c>
    </row>
    <row r="1656">
      <c r="A1656" t="inlineStr">
        <is>
          <t>Nevoya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inlineStr">
        <is>
          <t>Tier 4</t>
        </is>
      </c>
      <c r="O1656" t="inlineStr">
        <is>
          <t>John Verdon — Chief Commercial Officer</t>
        </is>
      </c>
      <c r="P1656" t="inlineStr">
        <is>
          <t>Chief Commercial Officer</t>
        </is>
      </c>
      <c r="Y1656" t="inlineStr">
        <is>
          <t>todo</t>
        </is>
      </c>
      <c r="Z1656">
        <f>(M1656*Weights!$B$2) + (MIN(Q1656,Weights!$B$5)*Weights!$B$3*(W1656/100)*Weights!$B$4)</f>
        <v/>
      </c>
      <c r="AA1656">
        <f>IF(Z1656= ,,RANK.EQ({pri_col_letter}{r},{pri_range},0))</f>
        <v/>
      </c>
    </row>
    <row r="1657">
      <c r="A1657" t="inlineStr">
        <is>
          <t>New Course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inlineStr">
        <is>
          <t>Tier 4</t>
        </is>
      </c>
      <c r="O1657" t="inlineStr">
        <is>
          <t>John Sidell — Managing Principal</t>
        </is>
      </c>
      <c r="P1657" t="inlineStr">
        <is>
          <t>Managing Principal</t>
        </is>
      </c>
      <c r="Y1657" t="inlineStr">
        <is>
          <t>todo</t>
        </is>
      </c>
      <c r="Z1657">
        <f>(M1657*Weights!$B$2) + (MIN(Q1657,Weights!$B$5)*Weights!$B$3*(W1657/100)*Weights!$B$4)</f>
        <v/>
      </c>
      <c r="AA1657">
        <f>IF(Z1657= ,,RANK.EQ({pri_col_letter}{r},{pri_range},0))</f>
        <v/>
      </c>
    </row>
    <row r="1658">
      <c r="A1658" t="inlineStr">
        <is>
          <t>New Hawk Xpress/Evans Network</t>
        </is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inlineStr">
        <is>
          <t>Tier 4</t>
        </is>
      </c>
      <c r="O1658" t="inlineStr">
        <is>
          <t>Rod Annis — President</t>
        </is>
      </c>
      <c r="P1658" t="inlineStr">
        <is>
          <t>President</t>
        </is>
      </c>
      <c r="Y1658" t="inlineStr">
        <is>
          <t>todo</t>
        </is>
      </c>
      <c r="Z1658">
        <f>(M1658*Weights!$B$2) + (MIN(Q1658,Weights!$B$5)*Weights!$B$3*(W1658/100)*Weights!$B$4)</f>
        <v/>
      </c>
      <c r="AA1658">
        <f>IF(Z1658= ,,RANK.EQ({pri_col_letter}{r},{pri_range},0))</f>
        <v/>
      </c>
    </row>
    <row r="1659">
      <c r="A1659" t="inlineStr">
        <is>
          <t>New Industry VC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inlineStr">
        <is>
          <t>Tier 4</t>
        </is>
      </c>
      <c r="O1659" t="inlineStr">
        <is>
          <t>Alex Roy — Co-Founder</t>
        </is>
      </c>
      <c r="P1659" t="inlineStr">
        <is>
          <t>Co-Founder</t>
        </is>
      </c>
      <c r="Y1659" t="inlineStr">
        <is>
          <t>todo</t>
        </is>
      </c>
      <c r="Z1659">
        <f>(M1659*Weights!$B$2) + (MIN(Q1659,Weights!$B$5)*Weights!$B$3*(W1659/100)*Weights!$B$4)</f>
        <v/>
      </c>
      <c r="AA1659">
        <f>IF(Z1659= ,,RANK.EQ({pri_col_letter}{r},{pri_range},0))</f>
        <v/>
      </c>
    </row>
    <row r="1660">
      <c r="A1660" t="inlineStr">
        <is>
          <t>Newbie Foods</t>
        </is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inlineStr">
        <is>
          <t>Tier 4</t>
        </is>
      </c>
      <c r="O1660" t="inlineStr">
        <is>
          <t>Christina Estrella — CEO &amp; Founder</t>
        </is>
      </c>
      <c r="P1660" t="inlineStr">
        <is>
          <t>CEO &amp; Founder</t>
        </is>
      </c>
      <c r="Y1660" t="inlineStr">
        <is>
          <t>todo</t>
        </is>
      </c>
      <c r="Z1660">
        <f>(M1660*Weights!$B$2) + (MIN(Q1660,Weights!$B$5)*Weights!$B$3*(W1660/100)*Weights!$B$4)</f>
        <v/>
      </c>
      <c r="AA1660">
        <f>IF(Z1660= ,,RANK.EQ({pri_col_letter}{r},{pri_range},0))</f>
        <v/>
      </c>
    </row>
    <row r="1661">
      <c r="A1661" t="inlineStr">
        <is>
          <t>Newmark</t>
        </is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inlineStr">
        <is>
          <t>Tier 4</t>
        </is>
      </c>
      <c r="O1661" t="inlineStr">
        <is>
          <t>Stephen Levine — Executive Managing Director</t>
        </is>
      </c>
      <c r="P1661" t="inlineStr">
        <is>
          <t>Executive Managing Director</t>
        </is>
      </c>
      <c r="Y1661" t="inlineStr">
        <is>
          <t>todo</t>
        </is>
      </c>
      <c r="Z1661">
        <f>(M1661*Weights!$B$2) + (MIN(Q1661,Weights!$B$5)*Weights!$B$3*(W1661/100)*Weights!$B$4)</f>
        <v/>
      </c>
      <c r="AA1661">
        <f>IF(Z1661= ,,RANK.EQ({pri_col_letter}{r},{pri_range},0))</f>
        <v/>
      </c>
    </row>
    <row r="1662">
      <c r="A1662" t="inlineStr">
        <is>
          <t>Nexcade AI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inlineStr">
        <is>
          <t>Tier 4</t>
        </is>
      </c>
      <c r="O1662" t="inlineStr">
        <is>
          <t>Daniel Bailey — CEO</t>
        </is>
      </c>
      <c r="P1662" t="inlineStr">
        <is>
          <t>CEO</t>
        </is>
      </c>
      <c r="Y1662" t="inlineStr">
        <is>
          <t>todo</t>
        </is>
      </c>
      <c r="Z1662">
        <f>(M1662*Weights!$B$2) + (MIN(Q1662,Weights!$B$5)*Weights!$B$3*(W1662/100)*Weights!$B$4)</f>
        <v/>
      </c>
      <c r="AA1662">
        <f>IF(Z1662= ,,RANK.EQ({pri_col_letter}{r},{pri_range},0))</f>
        <v/>
      </c>
    </row>
    <row r="1663">
      <c r="A1663" t="inlineStr">
        <is>
          <t>Next Century Spirits</t>
        </is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inlineStr">
        <is>
          <t>Tier 4</t>
        </is>
      </c>
      <c r="O1663" t="inlineStr">
        <is>
          <t>Anthony Moniello — CEO</t>
        </is>
      </c>
      <c r="P1663" t="inlineStr">
        <is>
          <t>CEO</t>
        </is>
      </c>
      <c r="Y1663" t="inlineStr">
        <is>
          <t>todo</t>
        </is>
      </c>
      <c r="Z1663">
        <f>(M1663*Weights!$B$2) + (MIN(Q1663,Weights!$B$5)*Weights!$B$3*(W1663/100)*Weights!$B$4)</f>
        <v/>
      </c>
      <c r="AA1663">
        <f>IF(Z1663= ,,RANK.EQ({pri_col_letter}{r},{pri_range},0))</f>
        <v/>
      </c>
    </row>
    <row r="1664">
      <c r="A1664" t="inlineStr">
        <is>
          <t>Nido Ventures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inlineStr">
        <is>
          <t>Tier 4</t>
        </is>
      </c>
      <c r="O1664" t="inlineStr">
        <is>
          <t>Maria Gutierrez Penaloza — Managing Partner &amp; Co Founder</t>
        </is>
      </c>
      <c r="P1664" t="inlineStr">
        <is>
          <t>Managing Partner &amp; Co Founder</t>
        </is>
      </c>
      <c r="Y1664" t="inlineStr">
        <is>
          <t>todo</t>
        </is>
      </c>
      <c r="Z1664">
        <f>(M1664*Weights!$B$2) + (MIN(Q1664,Weights!$B$5)*Weights!$B$3*(W1664/100)*Weights!$B$4)</f>
        <v/>
      </c>
      <c r="AA1664">
        <f>IF(Z1664= ,,RANK.EQ({pri_col_letter}{r},{pri_range},0))</f>
        <v/>
      </c>
    </row>
    <row r="1665">
      <c r="A1665" t="inlineStr">
        <is>
          <t>Nike, Inc</t>
        </is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>
        <is>
          <t>Tier 4</t>
        </is>
      </c>
      <c r="O1665" t="inlineStr">
        <is>
          <t>Brian Gooch — Sr Manager, Analytics</t>
        </is>
      </c>
      <c r="P1665" t="inlineStr">
        <is>
          <t>Sr Manager, Analytics</t>
        </is>
      </c>
      <c r="Y1665" t="inlineStr">
        <is>
          <t>todo</t>
        </is>
      </c>
      <c r="Z1665">
        <f>(M1665*Weights!$B$2) + (MIN(Q1665,Weights!$B$5)*Weights!$B$3*(W1665/100)*Weights!$B$4)</f>
        <v/>
      </c>
      <c r="AA1665">
        <f>IF(Z1665= ,,RANK.EQ({pri_col_letter}{r},{pri_range},0))</f>
        <v/>
      </c>
    </row>
    <row r="1666">
      <c r="A1666" t="inlineStr">
        <is>
          <t>NoDwell Inc / Spot On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inlineStr">
        <is>
          <t>Tier 4</t>
        </is>
      </c>
      <c r="O1666" t="inlineStr">
        <is>
          <t>Blake Lappan — Founder</t>
        </is>
      </c>
      <c r="P1666" t="inlineStr">
        <is>
          <t>Founder</t>
        </is>
      </c>
      <c r="Y1666" t="inlineStr">
        <is>
          <t>todo</t>
        </is>
      </c>
      <c r="Z1666">
        <f>(M1666*Weights!$B$2) + (MIN(Q1666,Weights!$B$5)*Weights!$B$3*(W1666/100)*Weights!$B$4)</f>
        <v/>
      </c>
      <c r="AA1666">
        <f>IF(Z1666= ,,RANK.EQ({pri_col_letter}{r},{pri_range},0))</f>
        <v/>
      </c>
    </row>
    <row r="1667">
      <c r="A1667" t="inlineStr">
        <is>
          <t>Nok Recommerce</t>
        </is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inlineStr">
        <is>
          <t>Tier 4</t>
        </is>
      </c>
      <c r="O1667" t="inlineStr">
        <is>
          <t>Madeline McIntyre — CEO</t>
        </is>
      </c>
      <c r="P1667" t="inlineStr">
        <is>
          <t>CEO</t>
        </is>
      </c>
      <c r="Y1667" t="inlineStr">
        <is>
          <t>todo</t>
        </is>
      </c>
      <c r="Z1667">
        <f>(M1667*Weights!$B$2) + (MIN(Q1667,Weights!$B$5)*Weights!$B$3*(W1667/100)*Weights!$B$4)</f>
        <v/>
      </c>
      <c r="AA1667">
        <f>IF(Z1667= ,,RANK.EQ({pri_col_letter}{r},{pri_range},0))</f>
        <v/>
      </c>
    </row>
    <row r="1668">
      <c r="A1668" t="inlineStr">
        <is>
          <t>Nordic Naturals</t>
        </is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inlineStr">
        <is>
          <t>Tier 4</t>
        </is>
      </c>
      <c r="O1668" t="inlineStr">
        <is>
          <t>DQ Robinson — eCommerce Director</t>
        </is>
      </c>
      <c r="P1668" t="inlineStr">
        <is>
          <t>eCommerce Director</t>
        </is>
      </c>
      <c r="Y1668" t="inlineStr">
        <is>
          <t>todo</t>
        </is>
      </c>
      <c r="Z1668">
        <f>(M1668*Weights!$B$2) + (MIN(Q1668,Weights!$B$5)*Weights!$B$3*(W1668/100)*Weights!$B$4)</f>
        <v/>
      </c>
      <c r="AA1668">
        <f>IF(Z1668= ,,RANK.EQ({pri_col_letter}{r},{pri_range},0))</f>
        <v/>
      </c>
    </row>
    <row r="1669">
      <c r="A1669" t="inlineStr">
        <is>
          <t>Noro Moseley Partners</t>
        </is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inlineStr">
        <is>
          <t>Tier 4</t>
        </is>
      </c>
      <c r="O1669" t="inlineStr">
        <is>
          <t>Vasant Kamath — General Partner</t>
        </is>
      </c>
      <c r="P1669" t="inlineStr">
        <is>
          <t>General Partner</t>
        </is>
      </c>
      <c r="Y1669" t="inlineStr">
        <is>
          <t>todo</t>
        </is>
      </c>
      <c r="Z1669">
        <f>(M1669*Weights!$B$2) + (MIN(Q1669,Weights!$B$5)*Weights!$B$3*(W1669/100)*Weights!$B$4)</f>
        <v/>
      </c>
      <c r="AA1669">
        <f>IF(Z1669= ,,RANK.EQ({pri_col_letter}{r},{pri_range},0))</f>
        <v/>
      </c>
    </row>
    <row r="1670">
      <c r="A1670" t="inlineStr">
        <is>
          <t>North American Council for Freight Efficiency</t>
        </is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inlineStr">
        <is>
          <t>Tier 4</t>
        </is>
      </c>
      <c r="O1670" t="inlineStr">
        <is>
          <t>Mike Roeth — Executive Director</t>
        </is>
      </c>
      <c r="P1670" t="inlineStr">
        <is>
          <t>Executive Director</t>
        </is>
      </c>
      <c r="Y1670" t="inlineStr">
        <is>
          <t>todo</t>
        </is>
      </c>
      <c r="Z1670">
        <f>(M1670*Weights!$B$2) + (MIN(Q1670,Weights!$B$5)*Weights!$B$3*(W1670/100)*Weights!$B$4)</f>
        <v/>
      </c>
      <c r="AA1670">
        <f>IF(Z1670= ,,RANK.EQ({pri_col_letter}{r},{pri_range},0))</f>
        <v/>
      </c>
    </row>
    <row r="1671">
      <c r="A1671" t="inlineStr">
        <is>
          <t>North Carolina Ports</t>
        </is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inlineStr">
        <is>
          <t>Tier 4</t>
        </is>
      </c>
      <c r="O1671" t="inlineStr">
        <is>
          <t>Brian Clark — Executive Director</t>
        </is>
      </c>
      <c r="P1671" t="inlineStr">
        <is>
          <t>Executive Director</t>
        </is>
      </c>
      <c r="Y1671" t="inlineStr">
        <is>
          <t>todo</t>
        </is>
      </c>
      <c r="Z1671">
        <f>(M1671*Weights!$B$2) + (MIN(Q1671,Weights!$B$5)*Weights!$B$3*(W1671/100)*Weights!$B$4)</f>
        <v/>
      </c>
      <c r="AA1671">
        <f>IF(Z1671= ,,RANK.EQ({pri_col_letter}{r},{pri_range},0))</f>
        <v/>
      </c>
    </row>
    <row r="1672">
      <c r="A1672" t="inlineStr">
        <is>
          <t>Northbound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inlineStr">
        <is>
          <t>Tier 4</t>
        </is>
      </c>
      <c r="O1672" t="inlineStr">
        <is>
          <t>Andreas Canel — Co-Ceo &amp; Co-Founder</t>
        </is>
      </c>
      <c r="P1672" t="inlineStr">
        <is>
          <t>Co-Ceo &amp; Co-Founder</t>
        </is>
      </c>
      <c r="Y1672" t="inlineStr">
        <is>
          <t>todo</t>
        </is>
      </c>
      <c r="Z1672">
        <f>(M1672*Weights!$B$2) + (MIN(Q1672,Weights!$B$5)*Weights!$B$3*(W1672/100)*Weights!$B$4)</f>
        <v/>
      </c>
      <c r="AA1672">
        <f>IF(Z1672= ,,RANK.EQ({pri_col_letter}{r},{pri_range},0))</f>
        <v/>
      </c>
    </row>
    <row r="1673">
      <c r="A1673" t="inlineStr">
        <is>
          <t>Northern Lights</t>
        </is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inlineStr">
        <is>
          <t>Tier 4</t>
        </is>
      </c>
      <c r="O1673" t="inlineStr">
        <is>
          <t>Roger J Fuhrman — eCommerce</t>
        </is>
      </c>
      <c r="P1673" t="inlineStr">
        <is>
          <t>eCommerce</t>
        </is>
      </c>
      <c r="Y1673" t="inlineStr">
        <is>
          <t>todo</t>
        </is>
      </c>
      <c r="Z1673">
        <f>(M1673*Weights!$B$2) + (MIN(Q1673,Weights!$B$5)*Weights!$B$3*(W1673/100)*Weights!$B$4)</f>
        <v/>
      </c>
      <c r="AA1673">
        <f>IF(Z1673= ,,RANK.EQ({pri_col_letter}{r},{pri_range},0))</f>
        <v/>
      </c>
    </row>
    <row r="1674">
      <c r="A1674" t="inlineStr">
        <is>
          <t>Northwest Seaport Alliance</t>
        </is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inlineStr">
        <is>
          <t>Tier 4</t>
        </is>
      </c>
      <c r="O1674" t="inlineStr">
        <is>
          <t>Jeff Bellerud — COO</t>
        </is>
      </c>
      <c r="P1674" t="inlineStr">
        <is>
          <t>COO</t>
        </is>
      </c>
      <c r="Y1674" t="inlineStr">
        <is>
          <t>todo</t>
        </is>
      </c>
      <c r="Z1674">
        <f>(M1674*Weights!$B$2) + (MIN(Q1674,Weights!$B$5)*Weights!$B$3*(W1674/100)*Weights!$B$4)</f>
        <v/>
      </c>
      <c r="AA1674">
        <f>IF(Z1674= ,,RANK.EQ({pri_col_letter}{r},{pri_range},0))</f>
        <v/>
      </c>
    </row>
    <row r="1675">
      <c r="A1675" t="inlineStr">
        <is>
          <t>Nulogy</t>
        </is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inlineStr">
        <is>
          <t>Tier 4</t>
        </is>
      </c>
      <c r="O1675" t="inlineStr">
        <is>
          <t>Jason Tham — Chief Innovation Officer, Founder</t>
        </is>
      </c>
      <c r="P1675" t="inlineStr">
        <is>
          <t>Chief Innovation Officer, Founder</t>
        </is>
      </c>
      <c r="Y1675" t="inlineStr">
        <is>
          <t>todo</t>
        </is>
      </c>
      <c r="Z1675">
        <f>(M1675*Weights!$B$2) + (MIN(Q1675,Weights!$B$5)*Weights!$B$3*(W1675/100)*Weights!$B$4)</f>
        <v/>
      </c>
      <c r="AA1675">
        <f>IF(Z1675= ,,RANK.EQ({pri_col_letter}{r},{pri_range},0))</f>
        <v/>
      </c>
    </row>
    <row r="1676">
      <c r="A1676" t="inlineStr">
        <is>
          <t>Nutrispin</t>
        </is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inlineStr">
        <is>
          <t>Tier 4</t>
        </is>
      </c>
      <c r="O1676" t="inlineStr">
        <is>
          <t>Hash Harshvardhan — CEO &amp; Founder</t>
        </is>
      </c>
      <c r="P1676" t="inlineStr">
        <is>
          <t>CEO &amp; Founder</t>
        </is>
      </c>
      <c r="Y1676" t="inlineStr">
        <is>
          <t>todo</t>
        </is>
      </c>
      <c r="Z1676">
        <f>(M1676*Weights!$B$2) + (MIN(Q1676,Weights!$B$5)*Weights!$B$3*(W1676/100)*Weights!$B$4)</f>
        <v/>
      </c>
      <c r="AA1676">
        <f>IF(Z1676= ,,RANK.EQ({pri_col_letter}{r},{pri_range},0))</f>
        <v/>
      </c>
    </row>
    <row r="1677">
      <c r="A1677" t="inlineStr">
        <is>
          <t>OEC Group</t>
        </is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>
        <is>
          <t>Tier 4</t>
        </is>
      </c>
      <c r="O1677" t="inlineStr">
        <is>
          <t>Julian Chuang — Regional IT &amp; IS Head</t>
        </is>
      </c>
      <c r="P1677" t="inlineStr">
        <is>
          <t>Regional IT &amp; IS Head</t>
        </is>
      </c>
      <c r="Y1677" t="inlineStr">
        <is>
          <t>todo</t>
        </is>
      </c>
      <c r="Z1677">
        <f>(M1677*Weights!$B$2) + (MIN(Q1677,Weights!$B$5)*Weights!$B$3*(W1677/100)*Weights!$B$4)</f>
        <v/>
      </c>
      <c r="AA1677">
        <f>IF(Z1677= ,,RANK.EQ({pri_col_letter}{r},{pri_range},0))</f>
        <v/>
      </c>
    </row>
    <row r="1678">
      <c r="A1678" t="inlineStr">
        <is>
          <t>OEC Group (Canada)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>
        <is>
          <t>Tier 4</t>
        </is>
      </c>
      <c r="O1678" t="inlineStr">
        <is>
          <t>John Berry — Senior Vice President of IT</t>
        </is>
      </c>
      <c r="P1678" t="inlineStr">
        <is>
          <t>Senior Vice President of IT</t>
        </is>
      </c>
      <c r="Y1678" t="inlineStr">
        <is>
          <t>todo</t>
        </is>
      </c>
      <c r="Z1678">
        <f>(M1678*Weights!$B$2) + (MIN(Q1678,Weights!$B$5)*Weights!$B$3*(W1678/100)*Weights!$B$4)</f>
        <v/>
      </c>
      <c r="AA1678">
        <f>IF(Z1678= ,,RANK.EQ({pri_col_letter}{r},{pri_range},0))</f>
        <v/>
      </c>
    </row>
    <row r="1679">
      <c r="A1679" t="inlineStr">
        <is>
          <t>OMP</t>
        </is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inlineStr">
        <is>
          <t>Tier 4</t>
        </is>
      </c>
      <c r="O1679" t="inlineStr">
        <is>
          <t>Andrew Driscoll — Global Commercial Lead</t>
        </is>
      </c>
      <c r="P1679" t="inlineStr">
        <is>
          <t>Global Commercial Lead</t>
        </is>
      </c>
      <c r="Y1679" t="inlineStr">
        <is>
          <t>todo</t>
        </is>
      </c>
      <c r="Z1679">
        <f>(M1679*Weights!$B$2) + (MIN(Q1679,Weights!$B$5)*Weights!$B$3*(W1679/100)*Weights!$B$4)</f>
        <v/>
      </c>
      <c r="AA1679">
        <f>IF(Z1679= ,,RANK.EQ({pri_col_letter}{r},{pri_range},0))</f>
        <v/>
      </c>
    </row>
    <row r="1680">
      <c r="A1680" t="inlineStr">
        <is>
          <t>OOCL Logistic</t>
        </is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inlineStr">
        <is>
          <t>Tier 4</t>
        </is>
      </c>
      <c r="O1680" t="inlineStr">
        <is>
          <t>Ricky Giovannone — President</t>
        </is>
      </c>
      <c r="P1680" t="inlineStr">
        <is>
          <t>President</t>
        </is>
      </c>
      <c r="Y1680" t="inlineStr">
        <is>
          <t>todo</t>
        </is>
      </c>
      <c r="Z1680">
        <f>(M1680*Weights!$B$2) + (MIN(Q1680,Weights!$B$5)*Weights!$B$3*(W1680/100)*Weights!$B$4)</f>
        <v/>
      </c>
      <c r="AA1680">
        <f>IF(Z1680= ,,RANK.EQ({pri_col_letter}{r},{pri_range},0))</f>
        <v/>
      </c>
    </row>
    <row r="1681">
      <c r="A1681" t="inlineStr">
        <is>
          <t>OVERSEAS CONTAINER FORWARDING</t>
        </is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>
        <is>
          <t>Tier 4</t>
        </is>
      </c>
      <c r="O1681" t="inlineStr">
        <is>
          <t>Joanne Sheard — Director of IT/Admin</t>
        </is>
      </c>
      <c r="P1681" t="inlineStr">
        <is>
          <t>Director of IT/Admin</t>
        </is>
      </c>
      <c r="Y1681" t="inlineStr">
        <is>
          <t>todo</t>
        </is>
      </c>
      <c r="Z1681">
        <f>(M1681*Weights!$B$2) + (MIN(Q1681,Weights!$B$5)*Weights!$B$3*(W1681/100)*Weights!$B$4)</f>
        <v/>
      </c>
      <c r="AA1681">
        <f>IF(Z1681= ,,RANK.EQ({pri_col_letter}{r},{pri_range},0))</f>
        <v/>
      </c>
    </row>
    <row r="1682">
      <c r="A1682" t="inlineStr">
        <is>
          <t>OVO Logistics</t>
        </is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inlineStr">
        <is>
          <t>Tier 4</t>
        </is>
      </c>
      <c r="O1682" t="inlineStr">
        <is>
          <t>Jeff Smith — Chief Executive Officer</t>
        </is>
      </c>
      <c r="P1682" t="inlineStr">
        <is>
          <t>Chief Executive Officer</t>
        </is>
      </c>
      <c r="Y1682" t="inlineStr">
        <is>
          <t>todo</t>
        </is>
      </c>
      <c r="Z1682">
        <f>(M1682*Weights!$B$2) + (MIN(Q1682,Weights!$B$5)*Weights!$B$3*(W1682/100)*Weights!$B$4)</f>
        <v/>
      </c>
      <c r="AA1682">
        <f>IF(Z1682= ,,RANK.EQ({pri_col_letter}{r},{pri_range},0))</f>
        <v/>
      </c>
    </row>
    <row r="1683">
      <c r="A1683" t="inlineStr">
        <is>
          <t>OceanScore</t>
        </is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inlineStr">
        <is>
          <t>Tier 4</t>
        </is>
      </c>
      <c r="O1683" t="inlineStr">
        <is>
          <t>Albrecht Grell — CEO</t>
        </is>
      </c>
      <c r="P1683" t="inlineStr">
        <is>
          <t>CEO</t>
        </is>
      </c>
      <c r="Y1683" t="inlineStr">
        <is>
          <t>todo</t>
        </is>
      </c>
      <c r="Z1683">
        <f>(M1683*Weights!$B$2) + (MIN(Q1683,Weights!$B$5)*Weights!$B$3*(W1683/100)*Weights!$B$4)</f>
        <v/>
      </c>
      <c r="AA1683">
        <f>IF(Z1683= ,,RANK.EQ({pri_col_letter}{r},{pri_range},0))</f>
        <v/>
      </c>
    </row>
    <row r="1684">
      <c r="A1684" t="inlineStr">
        <is>
          <t>Old Dominion University</t>
        </is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inlineStr">
        <is>
          <t>Tier 4</t>
        </is>
      </c>
      <c r="O1684" t="inlineStr">
        <is>
          <t>Ken Kahn — Professor</t>
        </is>
      </c>
      <c r="P1684" t="inlineStr">
        <is>
          <t>Professor</t>
        </is>
      </c>
      <c r="Y1684" t="inlineStr">
        <is>
          <t>todo</t>
        </is>
      </c>
      <c r="Z1684">
        <f>(M1684*Weights!$B$2) + (MIN(Q1684,Weights!$B$5)*Weights!$B$3*(W1684/100)*Weights!$B$4)</f>
        <v/>
      </c>
      <c r="AA1684">
        <f>IF(Z1684= ,,RANK.EQ({pri_col_letter}{r},{pri_range},0))</f>
        <v/>
      </c>
    </row>
    <row r="1685">
      <c r="A1685" t="inlineStr">
        <is>
          <t>Omnifold</t>
        </is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inlineStr">
        <is>
          <t>Tier 4</t>
        </is>
      </c>
      <c r="O1685" t="inlineStr">
        <is>
          <t>Garrett Long — CMO</t>
        </is>
      </c>
      <c r="P1685" t="inlineStr">
        <is>
          <t>CMO</t>
        </is>
      </c>
      <c r="Y1685" t="inlineStr">
        <is>
          <t>todo</t>
        </is>
      </c>
      <c r="Z1685">
        <f>(M1685*Weights!$B$2) + (MIN(Q1685,Weights!$B$5)*Weights!$B$3*(W1685/100)*Weights!$B$4)</f>
        <v/>
      </c>
      <c r="AA1685">
        <f>IF(Z1685= ,,RANK.EQ({pri_col_letter}{r},{pri_range},0))</f>
        <v/>
      </c>
    </row>
    <row r="1686">
      <c r="A1686" t="inlineStr">
        <is>
          <t>OpenTug</t>
        </is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inlineStr">
        <is>
          <t>Tier 4</t>
        </is>
      </c>
      <c r="O1686" t="inlineStr">
        <is>
          <t>Jason Aristides — CEO</t>
        </is>
      </c>
      <c r="P1686" t="inlineStr">
        <is>
          <t>CEO</t>
        </is>
      </c>
      <c r="Y1686" t="inlineStr">
        <is>
          <t>todo</t>
        </is>
      </c>
      <c r="Z1686">
        <f>(M1686*Weights!$B$2) + (MIN(Q1686,Weights!$B$5)*Weights!$B$3*(W1686/100)*Weights!$B$4)</f>
        <v/>
      </c>
      <c r="AA1686">
        <f>IF(Z1686= ,,RANK.EQ({pri_col_letter}{r},{pri_range},0))</f>
        <v/>
      </c>
    </row>
    <row r="1687">
      <c r="A1687" t="inlineStr">
        <is>
          <t>Oppenheimer &amp; Co. Inc.</t>
        </is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inlineStr">
        <is>
          <t>Tier 4</t>
        </is>
      </c>
      <c r="O1687" t="inlineStr">
        <is>
          <t>Fred Larsen — Managing Director, Investment Banking</t>
        </is>
      </c>
      <c r="P1687" t="inlineStr">
        <is>
          <t>Managing Director, Investment Banking</t>
        </is>
      </c>
      <c r="Y1687" t="inlineStr">
        <is>
          <t>todo</t>
        </is>
      </c>
      <c r="Z1687">
        <f>(M1687*Weights!$B$2) + (MIN(Q1687,Weights!$B$5)*Weights!$B$3*(W1687/100)*Weights!$B$4)</f>
        <v/>
      </c>
      <c r="AA1687">
        <f>IF(Z1687= ,,RANK.EQ({pri_col_letter}{r},{pri_range},0))</f>
        <v/>
      </c>
    </row>
    <row r="1688">
      <c r="A1688" t="inlineStr">
        <is>
          <t>Optima Overnight</t>
        </is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inlineStr">
        <is>
          <t>Tier 4</t>
        </is>
      </c>
      <c r="O1688" t="inlineStr">
        <is>
          <t>Len Braudis — CEO</t>
        </is>
      </c>
      <c r="P1688" t="inlineStr">
        <is>
          <t>CEO</t>
        </is>
      </c>
      <c r="Y1688" t="inlineStr">
        <is>
          <t>todo</t>
        </is>
      </c>
      <c r="Z1688">
        <f>(M1688*Weights!$B$2) + (MIN(Q1688,Weights!$B$5)*Weights!$B$3*(W1688/100)*Weights!$B$4)</f>
        <v/>
      </c>
      <c r="AA1688">
        <f>IF(Z1688= ,,RANK.EQ({pri_col_letter}{r},{pri_range},0))</f>
        <v/>
      </c>
    </row>
    <row r="1689">
      <c r="A1689" t="inlineStr">
        <is>
          <t>Optiyol</t>
        </is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inlineStr">
        <is>
          <t>Tier 4</t>
        </is>
      </c>
      <c r="O1689" t="inlineStr">
        <is>
          <t>Mark Wells — VP Americas</t>
        </is>
      </c>
      <c r="P1689" t="inlineStr">
        <is>
          <t>VP Americas</t>
        </is>
      </c>
      <c r="Y1689" t="inlineStr">
        <is>
          <t>todo</t>
        </is>
      </c>
      <c r="Z1689">
        <f>(M1689*Weights!$B$2) + (MIN(Q1689,Weights!$B$5)*Weights!$B$3*(W1689/100)*Weights!$B$4)</f>
        <v/>
      </c>
      <c r="AA1689">
        <f>IF(Z1689= ,,RANK.EQ({pri_col_letter}{r},{pri_range},0))</f>
        <v/>
      </c>
    </row>
    <row r="1690">
      <c r="A1690" t="inlineStr">
        <is>
          <t>Oracle</t>
        </is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>
        <is>
          <t>Tier 4</t>
        </is>
      </c>
      <c r="O1690" t="inlineStr">
        <is>
          <t>Chris Peckham — Director, Product Strategy</t>
        </is>
      </c>
      <c r="P1690" t="inlineStr">
        <is>
          <t>Director, Product Strategy</t>
        </is>
      </c>
      <c r="Y1690" t="inlineStr">
        <is>
          <t>todo</t>
        </is>
      </c>
      <c r="Z1690">
        <f>(M1690*Weights!$B$2) + (MIN(Q1690,Weights!$B$5)*Weights!$B$3*(W1690/100)*Weights!$B$4)</f>
        <v/>
      </c>
      <c r="AA1690">
        <f>IF(Z1690= ,,RANK.EQ({pri_col_letter}{r},{pri_range},0))</f>
        <v/>
      </c>
    </row>
    <row r="1691">
      <c r="A1691" t="inlineStr">
        <is>
          <t>Orderful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inlineStr">
        <is>
          <t>Tier 4</t>
        </is>
      </c>
      <c r="O1691" t="inlineStr">
        <is>
          <t>Grace Sharkey — Senior Manager of Comms and PR</t>
        </is>
      </c>
      <c r="P1691" t="inlineStr">
        <is>
          <t>Senior Manager of Comms and PR</t>
        </is>
      </c>
      <c r="Y1691" t="inlineStr">
        <is>
          <t>todo</t>
        </is>
      </c>
      <c r="Z1691">
        <f>(M1691*Weights!$B$2) + (MIN(Q1691,Weights!$B$5)*Weights!$B$3*(W1691/100)*Weights!$B$4)</f>
        <v/>
      </c>
      <c r="AA1691">
        <f>IF(Z1691= ,,RANK.EQ({pri_col_letter}{r},{pri_range},0))</f>
        <v/>
      </c>
    </row>
    <row r="1692">
      <c r="A1692" t="inlineStr">
        <is>
          <t>Otto Express LLC</t>
        </is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inlineStr">
        <is>
          <t>Tier 4</t>
        </is>
      </c>
      <c r="O1692" t="inlineStr">
        <is>
          <t>Francisco Balderrama — CEO</t>
        </is>
      </c>
      <c r="P1692" t="inlineStr">
        <is>
          <t>CEO</t>
        </is>
      </c>
      <c r="Y1692" t="inlineStr">
        <is>
          <t>todo</t>
        </is>
      </c>
      <c r="Z1692">
        <f>(M1692*Weights!$B$2) + (MIN(Q1692,Weights!$B$5)*Weights!$B$3*(W1692/100)*Weights!$B$4)</f>
        <v/>
      </c>
      <c r="AA1692">
        <f>IF(Z1692= ,,RANK.EQ({pri_col_letter}{r},{pri_range},0))</f>
        <v/>
      </c>
    </row>
    <row r="1693">
      <c r="A1693" t="inlineStr">
        <is>
          <t>Outrider</t>
        </is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inlineStr">
        <is>
          <t>Tier 4</t>
        </is>
      </c>
      <c r="O1693" t="inlineStr">
        <is>
          <t>Andrew Smith — CEO</t>
        </is>
      </c>
      <c r="P1693" t="inlineStr">
        <is>
          <t>CEO</t>
        </is>
      </c>
      <c r="Y1693" t="inlineStr">
        <is>
          <t>todo</t>
        </is>
      </c>
      <c r="Z1693">
        <f>(M1693*Weights!$B$2) + (MIN(Q1693,Weights!$B$5)*Weights!$B$3*(W1693/100)*Weights!$B$4)</f>
        <v/>
      </c>
      <c r="AA1693">
        <f>IF(Z1693= ,,RANK.EQ({pri_col_letter}{r},{pri_range},0))</f>
        <v/>
      </c>
    </row>
    <row r="1694">
      <c r="A1694" t="inlineStr">
        <is>
          <t>Overseas Express Consolidators (Canada) Inc.</t>
        </is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inlineStr">
        <is>
          <t>Tier 4</t>
        </is>
      </c>
      <c r="O1694" t="inlineStr">
        <is>
          <t>Marc Bibeau — Executive Chairman</t>
        </is>
      </c>
      <c r="P1694" t="inlineStr">
        <is>
          <t>Executive Chairman</t>
        </is>
      </c>
      <c r="Y1694" t="inlineStr">
        <is>
          <t>todo</t>
        </is>
      </c>
      <c r="Z1694">
        <f>(M1694*Weights!$B$2) + (MIN(Q1694,Weights!$B$5)*Weights!$B$3*(W1694/100)*Weights!$B$4)</f>
        <v/>
      </c>
      <c r="AA1694">
        <f>IF(Z1694= ,,RANK.EQ({pri_col_letter}{r},{pri_range},0))</f>
        <v/>
      </c>
    </row>
    <row r="1695">
      <c r="A1695" t="inlineStr">
        <is>
          <t>Ox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inlineStr">
        <is>
          <t>Tier 4</t>
        </is>
      </c>
      <c r="O1695" t="inlineStr">
        <is>
          <t>Tanner Green — Chief Executive Officer</t>
        </is>
      </c>
      <c r="P1695" t="inlineStr">
        <is>
          <t>Chief Executive Officer</t>
        </is>
      </c>
      <c r="Y1695" t="inlineStr">
        <is>
          <t>todo</t>
        </is>
      </c>
      <c r="Z1695">
        <f>(M1695*Weights!$B$2) + (MIN(Q1695,Weights!$B$5)*Weights!$B$3*(W1695/100)*Weights!$B$4)</f>
        <v/>
      </c>
      <c r="AA1695">
        <f>IF(Z1695= ,,RANK.EQ({pri_col_letter}{r},{pri_range},0))</f>
        <v/>
      </c>
    </row>
    <row r="1696">
      <c r="A1696" t="inlineStr">
        <is>
          <t>PCS Software</t>
        </is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inlineStr">
        <is>
          <t>Tier 4</t>
        </is>
      </c>
      <c r="O1696" t="inlineStr">
        <is>
          <t>Mark Hill — CEO</t>
        </is>
      </c>
      <c r="P1696" t="inlineStr">
        <is>
          <t>CEO</t>
        </is>
      </c>
      <c r="Y1696" t="inlineStr">
        <is>
          <t>todo</t>
        </is>
      </c>
      <c r="Z1696">
        <f>(M1696*Weights!$B$2) + (MIN(Q1696,Weights!$B$5)*Weights!$B$3*(W1696/100)*Weights!$B$4)</f>
        <v/>
      </c>
      <c r="AA1696">
        <f>IF(Z1696= ,,RANK.EQ({pri_col_letter}{r},{pri_range},0))</f>
        <v/>
      </c>
    </row>
    <row r="1697">
      <c r="A1697" t="inlineStr">
        <is>
          <t>PDS</t>
        </is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inlineStr">
        <is>
          <t>Tier 4</t>
        </is>
      </c>
      <c r="O1697" t="inlineStr">
        <is>
          <t>Ankur Agarwal — Head of Ventures</t>
        </is>
      </c>
      <c r="P1697" t="inlineStr">
        <is>
          <t>Head of Ventures</t>
        </is>
      </c>
      <c r="Y1697" t="inlineStr">
        <is>
          <t>todo</t>
        </is>
      </c>
      <c r="Z1697">
        <f>(M1697*Weights!$B$2) + (MIN(Q1697,Weights!$B$5)*Weights!$B$3*(W1697/100)*Weights!$B$4)</f>
        <v/>
      </c>
      <c r="AA1697">
        <f>IF(Z1697= ,,RANK.EQ({pri_col_letter}{r},{pri_range},0))</f>
        <v/>
      </c>
    </row>
    <row r="1698">
      <c r="A1698" t="inlineStr">
        <is>
          <t>PTS Logistics, Inc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inlineStr">
        <is>
          <t>Tier 4</t>
        </is>
      </c>
      <c r="O1698" t="inlineStr">
        <is>
          <t>Paul Gibbs — CEO</t>
        </is>
      </c>
      <c r="P1698" t="inlineStr">
        <is>
          <t>CEO</t>
        </is>
      </c>
      <c r="Y1698" t="inlineStr">
        <is>
          <t>todo</t>
        </is>
      </c>
      <c r="Z1698">
        <f>(M1698*Weights!$B$2) + (MIN(Q1698,Weights!$B$5)*Weights!$B$3*(W1698/100)*Weights!$B$4)</f>
        <v/>
      </c>
      <c r="AA1698">
        <f>IF(Z1698= ,,RANK.EQ({pri_col_letter}{r},{pri_range},0))</f>
        <v/>
      </c>
    </row>
    <row r="1699">
      <c r="A1699" t="inlineStr">
        <is>
          <t>PULPO WMS</t>
        </is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inlineStr">
        <is>
          <t>Tier 4</t>
        </is>
      </c>
      <c r="O1699" t="inlineStr">
        <is>
          <t>Thomas Kircheis — CEO</t>
        </is>
      </c>
      <c r="P1699" t="inlineStr">
        <is>
          <t>CEO</t>
        </is>
      </c>
      <c r="Y1699" t="inlineStr">
        <is>
          <t>todo</t>
        </is>
      </c>
      <c r="Z1699">
        <f>(M1699*Weights!$B$2) + (MIN(Q1699,Weights!$B$5)*Weights!$B$3*(W1699/100)*Weights!$B$4)</f>
        <v/>
      </c>
      <c r="AA1699">
        <f>IF(Z1699= ,,RANK.EQ({pri_col_letter}{r},{pri_range},0))</f>
        <v/>
      </c>
    </row>
    <row r="1700">
      <c r="A1700" t="inlineStr">
        <is>
          <t>Palace</t>
        </is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inlineStr">
        <is>
          <t>Tier 4</t>
        </is>
      </c>
      <c r="O1700" t="inlineStr">
        <is>
          <t>Leeds Rising — CEO</t>
        </is>
      </c>
      <c r="P1700" t="inlineStr">
        <is>
          <t>CEO</t>
        </is>
      </c>
      <c r="Y1700" t="inlineStr">
        <is>
          <t>todo</t>
        </is>
      </c>
      <c r="Z1700">
        <f>(M1700*Weights!$B$2) + (MIN(Q1700,Weights!$B$5)*Weights!$B$3*(W1700/100)*Weights!$B$4)</f>
        <v/>
      </c>
      <c r="AA1700">
        <f>IF(Z1700= ,,RANK.EQ({pri_col_letter}{r},{pri_range},0))</f>
        <v/>
      </c>
    </row>
    <row r="1701">
      <c r="A1701" t="inlineStr">
        <is>
          <t>Pamona Farming</t>
        </is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inlineStr">
        <is>
          <t>Tier 4</t>
        </is>
      </c>
      <c r="O1701" t="inlineStr">
        <is>
          <t>Derek DeGroot — CFO</t>
        </is>
      </c>
      <c r="P1701" t="inlineStr">
        <is>
          <t>CFO</t>
        </is>
      </c>
      <c r="Y1701" t="inlineStr">
        <is>
          <t>todo</t>
        </is>
      </c>
      <c r="Z1701">
        <f>(M1701*Weights!$B$2) + (MIN(Q1701,Weights!$B$5)*Weights!$B$3*(W1701/100)*Weights!$B$4)</f>
        <v/>
      </c>
      <c r="AA1701">
        <f>IF(Z1701= ,,RANK.EQ({pri_col_letter}{r},{pri_range},0))</f>
        <v/>
      </c>
    </row>
    <row r="1702">
      <c r="A1702" t="inlineStr">
        <is>
          <t>Panasonic Connect</t>
        </is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inlineStr">
        <is>
          <t>Tier 4</t>
        </is>
      </c>
      <c r="O1702" t="inlineStr">
        <is>
          <t>Atsushi Tsuchiya — Director of R&amp;D</t>
        </is>
      </c>
      <c r="P1702" t="inlineStr">
        <is>
          <t>Director of R&amp;D</t>
        </is>
      </c>
      <c r="Y1702" t="inlineStr">
        <is>
          <t>todo</t>
        </is>
      </c>
      <c r="Z1702">
        <f>(M1702*Weights!$B$2) + (MIN(Q1702,Weights!$B$5)*Weights!$B$3*(W1702/100)*Weights!$B$4)</f>
        <v/>
      </c>
      <c r="AA1702">
        <f>IF(Z1702= ,,RANK.EQ({pri_col_letter}{r},{pri_range},0))</f>
        <v/>
      </c>
    </row>
    <row r="1703">
      <c r="A1703" t="inlineStr">
        <is>
          <t>Pando.ai</t>
        </is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inlineStr">
        <is>
          <t>Tier 4</t>
        </is>
      </c>
      <c r="O1703" t="inlineStr">
        <is>
          <t>Nitin Jayakrishnan — CEO &amp; Co-Founder</t>
        </is>
      </c>
      <c r="P1703" t="inlineStr">
        <is>
          <t>CEO &amp; Co-Founder</t>
        </is>
      </c>
      <c r="Y1703" t="inlineStr">
        <is>
          <t>todo</t>
        </is>
      </c>
      <c r="Z1703">
        <f>(M1703*Weights!$B$2) + (MIN(Q1703,Weights!$B$5)*Weights!$B$3*(W1703/100)*Weights!$B$4)</f>
        <v/>
      </c>
      <c r="AA1703">
        <f>IF(Z1703= ,,RANK.EQ({pri_col_letter}{r},{pri_range},0))</f>
        <v/>
      </c>
    </row>
    <row r="1704">
      <c r="A1704" t="inlineStr">
        <is>
          <t>Paper Transport</t>
        </is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inlineStr">
        <is>
          <t>Tier 4</t>
        </is>
      </c>
      <c r="O1704" t="inlineStr">
        <is>
          <t>Jared Stedl — Chief Commercial Officer</t>
        </is>
      </c>
      <c r="P1704" t="inlineStr">
        <is>
          <t>Chief Commercial Officer</t>
        </is>
      </c>
      <c r="Y1704" t="inlineStr">
        <is>
          <t>todo</t>
        </is>
      </c>
      <c r="Z1704">
        <f>(M1704*Weights!$B$2) + (MIN(Q1704,Weights!$B$5)*Weights!$B$3*(W1704/100)*Weights!$B$4)</f>
        <v/>
      </c>
      <c r="AA1704">
        <f>IF(Z1704= ,,RANK.EQ({pri_col_letter}{r},{pri_range},0))</f>
        <v/>
      </c>
    </row>
    <row r="1705">
      <c r="A1705" t="inlineStr">
        <is>
          <t>Parke &amp; Son, Inc.</t>
        </is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inlineStr">
        <is>
          <t>Tier 4</t>
        </is>
      </c>
      <c r="O1705" t="inlineStr">
        <is>
          <t>Gavin Stoddard — President &amp; CEO</t>
        </is>
      </c>
      <c r="P1705" t="inlineStr">
        <is>
          <t>President &amp; CEO</t>
        </is>
      </c>
      <c r="Y1705" t="inlineStr">
        <is>
          <t>todo</t>
        </is>
      </c>
      <c r="Z1705">
        <f>(M1705*Weights!$B$2) + (MIN(Q1705,Weights!$B$5)*Weights!$B$3*(W1705/100)*Weights!$B$4)</f>
        <v/>
      </c>
      <c r="AA1705">
        <f>IF(Z1705= ,,RANK.EQ({pri_col_letter}{r},{pri_range},0))</f>
        <v/>
      </c>
    </row>
    <row r="1706">
      <c r="A1706" t="inlineStr">
        <is>
          <t>Partners Group</t>
        </is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inlineStr">
        <is>
          <t>Tier 4</t>
        </is>
      </c>
      <c r="O1706" t="inlineStr">
        <is>
          <t>Samir Wadhwani — Investment Professional</t>
        </is>
      </c>
      <c r="P1706" t="inlineStr">
        <is>
          <t>Investment Professional</t>
        </is>
      </c>
      <c r="Y1706" t="inlineStr">
        <is>
          <t>todo</t>
        </is>
      </c>
      <c r="Z1706">
        <f>(M1706*Weights!$B$2) + (MIN(Q1706,Weights!$B$5)*Weights!$B$3*(W1706/100)*Weights!$B$4)</f>
        <v/>
      </c>
      <c r="AA1706">
        <f>IF(Z1706= ,,RANK.EQ({pri_col_letter}{r},{pri_range},0))</f>
        <v/>
      </c>
    </row>
    <row r="1707">
      <c r="A1707" t="inlineStr">
        <is>
          <t>Partners Warehouse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inlineStr">
        <is>
          <t>Tier 4</t>
        </is>
      </c>
      <c r="O1707" t="inlineStr">
        <is>
          <t>Robert Shaunnessey — Vice President</t>
        </is>
      </c>
      <c r="P1707" t="inlineStr">
        <is>
          <t>Vice President</t>
        </is>
      </c>
      <c r="Y1707" t="inlineStr">
        <is>
          <t>todo</t>
        </is>
      </c>
      <c r="Z1707">
        <f>(M1707*Weights!$B$2) + (MIN(Q1707,Weights!$B$5)*Weights!$B$3*(W1707/100)*Weights!$B$4)</f>
        <v/>
      </c>
      <c r="AA1707">
        <f>IF(Z1707= ,,RANK.EQ({pri_col_letter}{r},{pri_range},0))</f>
        <v/>
      </c>
    </row>
    <row r="1708">
      <c r="A1708" t="inlineStr">
        <is>
          <t>Passport Global</t>
        </is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inlineStr">
        <is>
          <t>Tier 4</t>
        </is>
      </c>
      <c r="O1708" t="inlineStr">
        <is>
          <t>Kandace King — 3PL Gal</t>
        </is>
      </c>
      <c r="P1708" t="inlineStr">
        <is>
          <t>3PL Gal</t>
        </is>
      </c>
      <c r="Y1708" t="inlineStr">
        <is>
          <t>todo</t>
        </is>
      </c>
      <c r="Z1708">
        <f>(M1708*Weights!$B$2) + (MIN(Q1708,Weights!$B$5)*Weights!$B$3*(W1708/100)*Weights!$B$4)</f>
        <v/>
      </c>
      <c r="AA1708">
        <f>IF(Z1708= ,,RANK.EQ({pri_col_letter}{r},{pri_range},0))</f>
        <v/>
      </c>
    </row>
    <row r="1709">
      <c r="A1709" t="inlineStr">
        <is>
          <t>PawCo Foods</t>
        </is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inlineStr">
        <is>
          <t>Tier 4</t>
        </is>
      </c>
      <c r="O1709" t="inlineStr">
        <is>
          <t>Bhavani Subramaniam — COO</t>
        </is>
      </c>
      <c r="P1709" t="inlineStr">
        <is>
          <t>COO</t>
        </is>
      </c>
      <c r="Y1709" t="inlineStr">
        <is>
          <t>todo</t>
        </is>
      </c>
      <c r="Z1709">
        <f>(M1709*Weights!$B$2) + (MIN(Q1709,Weights!$B$5)*Weights!$B$3*(W1709/100)*Weights!$B$4)</f>
        <v/>
      </c>
      <c r="AA1709">
        <f>IF(Z1709= ,,RANK.EQ({pri_col_letter}{r},{pri_range},0))</f>
        <v/>
      </c>
    </row>
    <row r="1710">
      <c r="A1710" t="inlineStr">
        <is>
          <t>Pax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>
        <is>
          <t>Tier 4</t>
        </is>
      </c>
      <c r="O1710" t="inlineStr">
        <is>
          <t>Penny Chen — CEO</t>
        </is>
      </c>
      <c r="P1710" t="inlineStr">
        <is>
          <t>CEO</t>
        </is>
      </c>
      <c r="Y1710" t="inlineStr">
        <is>
          <t>todo</t>
        </is>
      </c>
      <c r="Z1710">
        <f>(M1710*Weights!$B$2) + (MIN(Q1710,Weights!$B$5)*Weights!$B$3*(W1710/100)*Weights!$B$4)</f>
        <v/>
      </c>
      <c r="AA1710">
        <f>IF(Z1710= ,,RANK.EQ({pri_col_letter}{r},{pri_range},0))</f>
        <v/>
      </c>
    </row>
    <row r="1711">
      <c r="A1711" t="inlineStr">
        <is>
          <t>Pax AI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inlineStr">
        <is>
          <t>Tier 4</t>
        </is>
      </c>
      <c r="O1711" t="inlineStr">
        <is>
          <t>Trey Layton — Founding Team</t>
        </is>
      </c>
      <c r="P1711" t="inlineStr">
        <is>
          <t>Founding Team</t>
        </is>
      </c>
      <c r="Y1711" t="inlineStr">
        <is>
          <t>todo</t>
        </is>
      </c>
      <c r="Z1711">
        <f>(M1711*Weights!$B$2) + (MIN(Q1711,Weights!$B$5)*Weights!$B$3*(W1711/100)*Weights!$B$4)</f>
        <v/>
      </c>
      <c r="AA1711">
        <f>IF(Z1711= ,,RANK.EQ({pri_col_letter}{r},{pri_range},0))</f>
        <v/>
      </c>
    </row>
    <row r="1712">
      <c r="A1712" t="inlineStr">
        <is>
          <t>PayCargo Labs, LLC</t>
        </is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inlineStr">
        <is>
          <t>Tier 4</t>
        </is>
      </c>
      <c r="O1712" t="inlineStr">
        <is>
          <t>Dennis Monts — President and Chief Operating Officer</t>
        </is>
      </c>
      <c r="P1712" t="inlineStr">
        <is>
          <t>President and Chief Operating Officer</t>
        </is>
      </c>
      <c r="Y1712" t="inlineStr">
        <is>
          <t>todo</t>
        </is>
      </c>
      <c r="Z1712">
        <f>(M1712*Weights!$B$2) + (MIN(Q1712,Weights!$B$5)*Weights!$B$3*(W1712/100)*Weights!$B$4)</f>
        <v/>
      </c>
      <c r="AA1712">
        <f>IF(Z1712= ,,RANK.EQ({pri_col_letter}{r},{pri_range},0))</f>
        <v/>
      </c>
    </row>
    <row r="1713">
      <c r="A1713" t="inlineStr">
        <is>
          <t>Peidmont Health</t>
        </is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inlineStr">
        <is>
          <t>Tier 4</t>
        </is>
      </c>
      <c r="O1713" t="inlineStr">
        <is>
          <t>Joe Colonna — CSCO</t>
        </is>
      </c>
      <c r="P1713" t="inlineStr">
        <is>
          <t>CSCO</t>
        </is>
      </c>
      <c r="Y1713" t="inlineStr">
        <is>
          <t>todo</t>
        </is>
      </c>
      <c r="Z1713">
        <f>(M1713*Weights!$B$2) + (MIN(Q1713,Weights!$B$5)*Weights!$B$3*(W1713/100)*Weights!$B$4)</f>
        <v/>
      </c>
      <c r="AA1713">
        <f>IF(Z1713= ,,RANK.EQ({pri_col_letter}{r},{pri_range},0))</f>
        <v/>
      </c>
    </row>
    <row r="1714">
      <c r="A1714" t="inlineStr">
        <is>
          <t>Pepsi</t>
        </is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inlineStr">
        <is>
          <t>Tier 4</t>
        </is>
      </c>
      <c r="O1714" t="inlineStr">
        <is>
          <t>Natalie Mano — Sr. Director</t>
        </is>
      </c>
      <c r="P1714" t="inlineStr">
        <is>
          <t>Sr. Director</t>
        </is>
      </c>
      <c r="Y1714" t="inlineStr">
        <is>
          <t>todo</t>
        </is>
      </c>
      <c r="Z1714">
        <f>(M1714*Weights!$B$2) + (MIN(Q1714,Weights!$B$5)*Weights!$B$3*(W1714/100)*Weights!$B$4)</f>
        <v/>
      </c>
      <c r="AA1714">
        <f>IF(Z1714= ,,RANK.EQ({pri_col_letter}{r},{pri_range},0))</f>
        <v/>
      </c>
    </row>
    <row r="1715">
      <c r="A1715" t="inlineStr">
        <is>
          <t>Persona AI</t>
        </is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>
        <is>
          <t>Tier 4</t>
        </is>
      </c>
      <c r="O1715" t="inlineStr">
        <is>
          <t>Brian Davis — Manufacturing Architect</t>
        </is>
      </c>
      <c r="P1715" t="inlineStr">
        <is>
          <t>Manufacturing Architect</t>
        </is>
      </c>
      <c r="Y1715" t="inlineStr">
        <is>
          <t>todo</t>
        </is>
      </c>
      <c r="Z1715">
        <f>(M1715*Weights!$B$2) + (MIN(Q1715,Weights!$B$5)*Weights!$B$3*(W1715/100)*Weights!$B$4)</f>
        <v/>
      </c>
      <c r="AA1715">
        <f>IF(Z1715= ,,RANK.EQ({pri_col_letter}{r},{pri_range},0))</f>
        <v/>
      </c>
    </row>
    <row r="1716">
      <c r="A1716" t="inlineStr">
        <is>
          <t>Peterbilt Motors</t>
        </is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>
        <is>
          <t>Tier 4</t>
        </is>
      </c>
      <c r="O1716" t="inlineStr">
        <is>
          <t>Justin Vincik — Product Planning</t>
        </is>
      </c>
      <c r="P1716" t="inlineStr">
        <is>
          <t>Product Planning</t>
        </is>
      </c>
      <c r="Y1716" t="inlineStr">
        <is>
          <t>todo</t>
        </is>
      </c>
      <c r="Z1716">
        <f>(M1716*Weights!$B$2) + (MIN(Q1716,Weights!$B$5)*Weights!$B$3*(W1716/100)*Weights!$B$4)</f>
        <v/>
      </c>
      <c r="AA1716">
        <f>IF(Z1716= ,,RANK.EQ({pri_col_letter}{r},{pri_range},0))</f>
        <v/>
      </c>
    </row>
    <row r="1717">
      <c r="A1717" t="inlineStr">
        <is>
          <t>Phillip Morris</t>
        </is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inlineStr">
        <is>
          <t>Tier 4</t>
        </is>
      </c>
      <c r="O1717" t="inlineStr">
        <is>
          <t>Sidra Tufail — Vice President</t>
        </is>
      </c>
      <c r="P1717" t="inlineStr">
        <is>
          <t>Vice President</t>
        </is>
      </c>
      <c r="Y1717" t="inlineStr">
        <is>
          <t>todo</t>
        </is>
      </c>
      <c r="Z1717">
        <f>(M1717*Weights!$B$2) + (MIN(Q1717,Weights!$B$5)*Weights!$B$3*(W1717/100)*Weights!$B$4)</f>
        <v/>
      </c>
      <c r="AA1717">
        <f>IF(Z1717= ,,RANK.EQ({pri_col_letter}{r},{pri_range},0))</f>
        <v/>
      </c>
    </row>
    <row r="1718">
      <c r="A1718" t="inlineStr">
        <is>
          <t>Phinxt robotics Ltd</t>
        </is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inlineStr">
        <is>
          <t>Tier 4</t>
        </is>
      </c>
      <c r="O1718" t="inlineStr">
        <is>
          <t>Quirino Zagarese — CTO</t>
        </is>
      </c>
      <c r="P1718" t="inlineStr">
        <is>
          <t>CTO</t>
        </is>
      </c>
      <c r="Y1718" t="inlineStr">
        <is>
          <t>todo</t>
        </is>
      </c>
      <c r="Z1718">
        <f>(M1718*Weights!$B$2) + (MIN(Q1718,Weights!$B$5)*Weights!$B$3*(W1718/100)*Weights!$B$4)</f>
        <v/>
      </c>
      <c r="AA1718">
        <f>IF(Z1718= ,,RANK.EQ({pri_col_letter}{r},{pri_range},0))</f>
        <v/>
      </c>
    </row>
    <row r="1719">
      <c r="A1719" t="inlineStr">
        <is>
          <t>Phoenix Assurance</t>
        </is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inlineStr">
        <is>
          <t>Tier 4</t>
        </is>
      </c>
      <c r="O1719" t="inlineStr">
        <is>
          <t>Brian Smith — Chief Commercial Officer</t>
        </is>
      </c>
      <c r="P1719" t="inlineStr">
        <is>
          <t>Chief Commercial Officer</t>
        </is>
      </c>
      <c r="Y1719" t="inlineStr">
        <is>
          <t>todo</t>
        </is>
      </c>
      <c r="Z1719">
        <f>(M1719*Weights!$B$2) + (MIN(Q1719,Weights!$B$5)*Weights!$B$3*(W1719/100)*Weights!$B$4)</f>
        <v/>
      </c>
      <c r="AA1719">
        <f>IF(Z1719= ,,RANK.EQ({pri_col_letter}{r},{pri_range},0))</f>
        <v/>
      </c>
    </row>
    <row r="1720">
      <c r="A1720" t="inlineStr">
        <is>
          <t>Picasso Tiles</t>
        </is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>
        <is>
          <t>Tier 4</t>
        </is>
      </c>
      <c r="O1720" t="inlineStr">
        <is>
          <t>Dan Seo — Software Engineering Manager</t>
        </is>
      </c>
      <c r="P1720" t="inlineStr">
        <is>
          <t>Software Engineering Manager</t>
        </is>
      </c>
      <c r="Y1720" t="inlineStr">
        <is>
          <t>todo</t>
        </is>
      </c>
      <c r="Z1720">
        <f>(M1720*Weights!$B$2) + (MIN(Q1720,Weights!$B$5)*Weights!$B$3*(W1720/100)*Weights!$B$4)</f>
        <v/>
      </c>
      <c r="AA1720">
        <f>IF(Z1720= ,,RANK.EQ({pri_col_letter}{r},{pri_range},0))</f>
        <v/>
      </c>
    </row>
    <row r="1721">
      <c r="A1721" t="inlineStr">
        <is>
          <t>Pinnacle Growth Advisors</t>
        </is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inlineStr">
        <is>
          <t>Tier 4</t>
        </is>
      </c>
      <c r="O1721" t="inlineStr">
        <is>
          <t>Brent Orsuga — Founder</t>
        </is>
      </c>
      <c r="P1721" t="inlineStr">
        <is>
          <t>Founder</t>
        </is>
      </c>
      <c r="Y1721" t="inlineStr">
        <is>
          <t>todo</t>
        </is>
      </c>
      <c r="Z1721">
        <f>(M1721*Weights!$B$2) + (MIN(Q1721,Weights!$B$5)*Weights!$B$3*(W1721/100)*Weights!$B$4)</f>
        <v/>
      </c>
      <c r="AA1721">
        <f>IF(Z1721= ,,RANK.EQ({pri_col_letter}{r},{pri_range},0))</f>
        <v/>
      </c>
    </row>
    <row r="1722">
      <c r="A1722" t="inlineStr">
        <is>
          <t>Piper Sandler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inlineStr">
        <is>
          <t>Tier 4</t>
        </is>
      </c>
      <c r="O1722" t="inlineStr">
        <is>
          <t>Shiva Kumar — Managing Director</t>
        </is>
      </c>
      <c r="P1722" t="inlineStr">
        <is>
          <t>Managing Director</t>
        </is>
      </c>
      <c r="Y1722" t="inlineStr">
        <is>
          <t>todo</t>
        </is>
      </c>
      <c r="Z1722">
        <f>(M1722*Weights!$B$2) + (MIN(Q1722,Weights!$B$5)*Weights!$B$3*(W1722/100)*Weights!$B$4)</f>
        <v/>
      </c>
      <c r="AA1722">
        <f>IF(Z1722= ,,RANK.EQ({pri_col_letter}{r},{pri_range},0))</f>
        <v/>
      </c>
    </row>
    <row r="1723">
      <c r="A1723" t="inlineStr">
        <is>
          <t>Plantryx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>
        <is>
          <t>Tier 4</t>
        </is>
      </c>
      <c r="O1723" t="inlineStr">
        <is>
          <t>Majd Karafan — Chief Product &amp; Science Officer</t>
        </is>
      </c>
      <c r="P1723" t="inlineStr">
        <is>
          <t>Chief Product &amp; Science Officer</t>
        </is>
      </c>
      <c r="Y1723" t="inlineStr">
        <is>
          <t>todo</t>
        </is>
      </c>
      <c r="Z1723">
        <f>(M1723*Weights!$B$2) + (MIN(Q1723,Weights!$B$5)*Weights!$B$3*(W1723/100)*Weights!$B$4)</f>
        <v/>
      </c>
      <c r="AA1723">
        <f>IF(Z1723= ,,RANK.EQ({pri_col_letter}{r},{pri_range},0))</f>
        <v/>
      </c>
    </row>
    <row r="1724">
      <c r="A1724" t="inlineStr">
        <is>
          <t>Polar Box</t>
        </is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inlineStr">
        <is>
          <t>Tier 4</t>
        </is>
      </c>
      <c r="O1724" t="inlineStr">
        <is>
          <t>Jorge Gonzalez — CEO</t>
        </is>
      </c>
      <c r="P1724" t="inlineStr">
        <is>
          <t>CEO</t>
        </is>
      </c>
      <c r="Y1724" t="inlineStr">
        <is>
          <t>todo</t>
        </is>
      </c>
      <c r="Z1724">
        <f>(M1724*Weights!$B$2) + (MIN(Q1724,Weights!$B$5)*Weights!$B$3*(W1724/100)*Weights!$B$4)</f>
        <v/>
      </c>
      <c r="AA1724">
        <f>IF(Z1724= ,,RANK.EQ({pri_col_letter}{r},{pri_range},0))</f>
        <v/>
      </c>
    </row>
    <row r="1725">
      <c r="A1725" t="inlineStr">
        <is>
          <t>Polaris Transport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inlineStr">
        <is>
          <t>Tier 4</t>
        </is>
      </c>
      <c r="O1725" t="inlineStr">
        <is>
          <t>Dave Brajkovich — Chief Technology Officer</t>
        </is>
      </c>
      <c r="P1725" t="inlineStr">
        <is>
          <t>Chief Technology Officer</t>
        </is>
      </c>
      <c r="Y1725" t="inlineStr">
        <is>
          <t>todo</t>
        </is>
      </c>
      <c r="Z1725">
        <f>(M1725*Weights!$B$2) + (MIN(Q1725,Weights!$B$5)*Weights!$B$3*(W1725/100)*Weights!$B$4)</f>
        <v/>
      </c>
      <c r="AA1725">
        <f>IF(Z1725= ,,RANK.EQ({pri_col_letter}{r},{pri_range},0))</f>
        <v/>
      </c>
    </row>
    <row r="1726">
      <c r="A1726" t="inlineStr">
        <is>
          <t>Pompanette - Bomar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inlineStr">
        <is>
          <t>Tier 4</t>
        </is>
      </c>
      <c r="O1726" t="inlineStr">
        <is>
          <t>Spaulding Bisbee — Shipping Manager</t>
        </is>
      </c>
      <c r="P1726" t="inlineStr">
        <is>
          <t>Shipping Manager</t>
        </is>
      </c>
      <c r="Y1726" t="inlineStr">
        <is>
          <t>todo</t>
        </is>
      </c>
      <c r="Z1726">
        <f>(M1726*Weights!$B$2) + (MIN(Q1726,Weights!$B$5)*Weights!$B$3*(W1726/100)*Weights!$B$4)</f>
        <v/>
      </c>
      <c r="AA1726">
        <f>IF(Z1726= ,,RANK.EQ({pri_col_letter}{r},{pri_range},0))</f>
        <v/>
      </c>
    </row>
    <row r="1727">
      <c r="A1727" t="inlineStr">
        <is>
          <t>Port St John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inlineStr">
        <is>
          <t>Tier 4</t>
        </is>
      </c>
      <c r="O1727" t="inlineStr">
        <is>
          <t>Craig Bell Estabrooks — CEO</t>
        </is>
      </c>
      <c r="P1727" t="inlineStr">
        <is>
          <t>CEO</t>
        </is>
      </c>
      <c r="Y1727" t="inlineStr">
        <is>
          <t>todo</t>
        </is>
      </c>
      <c r="Z1727">
        <f>(M1727*Weights!$B$2) + (MIN(Q1727,Weights!$B$5)*Weights!$B$3*(W1727/100)*Weights!$B$4)</f>
        <v/>
      </c>
      <c r="AA1727">
        <f>IF(Z1727= ,,RANK.EQ({pri_col_letter}{r},{pri_range},0))</f>
        <v/>
      </c>
    </row>
    <row r="1728">
      <c r="A1728" t="inlineStr">
        <is>
          <t>Port Tampa Bay</t>
        </is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inlineStr">
        <is>
          <t>Tier 4</t>
        </is>
      </c>
      <c r="O1728" t="inlineStr">
        <is>
          <t>Raul Alfonso — Executive VP/CCO</t>
        </is>
      </c>
      <c r="P1728" t="inlineStr">
        <is>
          <t>Executive VP/CCO</t>
        </is>
      </c>
      <c r="Y1728" t="inlineStr">
        <is>
          <t>todo</t>
        </is>
      </c>
      <c r="Z1728">
        <f>(M1728*Weights!$B$2) + (MIN(Q1728,Weights!$B$5)*Weights!$B$3*(W1728/100)*Weights!$B$4)</f>
        <v/>
      </c>
      <c r="AA1728">
        <f>IF(Z1728= ,,RANK.EQ({pri_col_letter}{r},{pri_range},0))</f>
        <v/>
      </c>
    </row>
    <row r="1729">
      <c r="A1729" t="inlineStr">
        <is>
          <t>Port X Logistics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inlineStr">
        <is>
          <t>Tier 4</t>
        </is>
      </c>
      <c r="O1729" t="inlineStr">
        <is>
          <t>Brian Kempisty — Founder</t>
        </is>
      </c>
      <c r="P1729" t="inlineStr">
        <is>
          <t>Founder</t>
        </is>
      </c>
      <c r="Y1729" t="inlineStr">
        <is>
          <t>todo</t>
        </is>
      </c>
      <c r="Z1729">
        <f>(M1729*Weights!$B$2) + (MIN(Q1729,Weights!$B$5)*Weights!$B$3*(W1729/100)*Weights!$B$4)</f>
        <v/>
      </c>
      <c r="AA1729">
        <f>IF(Z1729= ,,RANK.EQ({pri_col_letter}{r},{pri_range},0))</f>
        <v/>
      </c>
    </row>
    <row r="1730">
      <c r="A1730" t="inlineStr">
        <is>
          <t>PortCity Logistics</t>
        </is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inlineStr">
        <is>
          <t>Tier 4</t>
        </is>
      </c>
      <c r="O1730" t="inlineStr">
        <is>
          <t>Chris Somerville — SVP Technology Strategy</t>
        </is>
      </c>
      <c r="P1730" t="inlineStr">
        <is>
          <t>SVP Technology Strategy</t>
        </is>
      </c>
      <c r="Y1730" t="inlineStr">
        <is>
          <t>todo</t>
        </is>
      </c>
      <c r="Z1730">
        <f>(M1730*Weights!$B$2) + (MIN(Q1730,Weights!$B$5)*Weights!$B$3*(W1730/100)*Weights!$B$4)</f>
        <v/>
      </c>
      <c r="AA1730">
        <f>IF(Z1730= ,,RANK.EQ({pri_col_letter}{r},{pri_range},0))</f>
        <v/>
      </c>
    </row>
    <row r="1731">
      <c r="A1731" t="inlineStr">
        <is>
          <t>Porter Logistics</t>
        </is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inlineStr">
        <is>
          <t>Tier 4</t>
        </is>
      </c>
      <c r="O1731" t="inlineStr">
        <is>
          <t>Robert Crump — CEO</t>
        </is>
      </c>
      <c r="P1731" t="inlineStr">
        <is>
          <t>CEO</t>
        </is>
      </c>
      <c r="Y1731" t="inlineStr">
        <is>
          <t>todo</t>
        </is>
      </c>
      <c r="Z1731">
        <f>(M1731*Weights!$B$2) + (MIN(Q1731,Weights!$B$5)*Weights!$B$3*(W1731/100)*Weights!$B$4)</f>
        <v/>
      </c>
      <c r="AA1731">
        <f>IF(Z1731= ,,RANK.EQ({pri_col_letter}{r},{pri_range},0))</f>
        <v/>
      </c>
    </row>
    <row r="1732">
      <c r="A1732" t="inlineStr">
        <is>
          <t>Porth</t>
        </is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inlineStr">
        <is>
          <t>Tier 4</t>
        </is>
      </c>
      <c r="O1732" t="inlineStr">
        <is>
          <t>Gustavo Matte — Cofunder &amp; CEO</t>
        </is>
      </c>
      <c r="P1732" t="inlineStr">
        <is>
          <t>Cofunder &amp; CEO</t>
        </is>
      </c>
      <c r="Y1732" t="inlineStr">
        <is>
          <t>todo</t>
        </is>
      </c>
      <c r="Z1732">
        <f>(M1732*Weights!$B$2) + (MIN(Q1732,Weights!$B$5)*Weights!$B$3*(W1732/100)*Weights!$B$4)</f>
        <v/>
      </c>
      <c r="AA1732">
        <f>IF(Z1732= ,,RANK.EQ({pri_col_letter}{r},{pri_range},0))</f>
        <v/>
      </c>
    </row>
    <row r="1733">
      <c r="A1733" t="inlineStr">
        <is>
          <t>Prewave</t>
        </is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inlineStr">
        <is>
          <t>Tier 4</t>
        </is>
      </c>
      <c r="O1733" t="inlineStr">
        <is>
          <t>Stephan Langbauer — President, North America</t>
        </is>
      </c>
      <c r="P1733" t="inlineStr">
        <is>
          <t>President, North America</t>
        </is>
      </c>
      <c r="Y1733" t="inlineStr">
        <is>
          <t>todo</t>
        </is>
      </c>
      <c r="Z1733">
        <f>(M1733*Weights!$B$2) + (MIN(Q1733,Weights!$B$5)*Weights!$B$3*(W1733/100)*Weights!$B$4)</f>
        <v/>
      </c>
      <c r="AA1733">
        <f>IF(Z1733= ,,RANK.EQ({pri_col_letter}{r},{pri_range},0))</f>
        <v/>
      </c>
    </row>
    <row r="1734">
      <c r="A1734" t="inlineStr">
        <is>
          <t>Primary Arms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>
        <is>
          <t>Tier 4</t>
        </is>
      </c>
      <c r="O1734" t="inlineStr">
        <is>
          <t>Simon Bahad — IT</t>
        </is>
      </c>
      <c r="P1734" t="inlineStr">
        <is>
          <t>IT</t>
        </is>
      </c>
      <c r="Y1734" t="inlineStr">
        <is>
          <t>todo</t>
        </is>
      </c>
      <c r="Z1734">
        <f>(M1734*Weights!$B$2) + (MIN(Q1734,Weights!$B$5)*Weights!$B$3*(W1734/100)*Weights!$B$4)</f>
        <v/>
      </c>
      <c r="AA1734">
        <f>IF(Z1734= ,,RANK.EQ({pri_col_letter}{r},{pri_range},0))</f>
        <v/>
      </c>
    </row>
    <row r="1735">
      <c r="A1735" t="inlineStr">
        <is>
          <t>Primus Solutions / ShipPrimus TMS</t>
        </is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inlineStr">
        <is>
          <t>Tier 4</t>
        </is>
      </c>
      <c r="O1735" t="inlineStr">
        <is>
          <t>Amanda Bohl — CEO</t>
        </is>
      </c>
      <c r="P1735" t="inlineStr">
        <is>
          <t>CEO</t>
        </is>
      </c>
      <c r="Y1735" t="inlineStr">
        <is>
          <t>todo</t>
        </is>
      </c>
      <c r="Z1735">
        <f>(M1735*Weights!$B$2) + (MIN(Q1735,Weights!$B$5)*Weights!$B$3*(W1735/100)*Weights!$B$4)</f>
        <v/>
      </c>
      <c r="AA1735">
        <f>IF(Z1735= ,,RANK.EQ({pri_col_letter}{r},{pri_range},0))</f>
        <v/>
      </c>
    </row>
    <row r="1736">
      <c r="A1736" t="inlineStr">
        <is>
          <t>Priority Express, Inc.</t>
        </is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inlineStr">
        <is>
          <t>Tier 4</t>
        </is>
      </c>
      <c r="O1736" t="inlineStr">
        <is>
          <t>Brendan Barry, LCB, CCS — Vice President</t>
        </is>
      </c>
      <c r="P1736" t="inlineStr">
        <is>
          <t>Vice President</t>
        </is>
      </c>
      <c r="Y1736" t="inlineStr">
        <is>
          <t>todo</t>
        </is>
      </c>
      <c r="Z1736">
        <f>(M1736*Weights!$B$2) + (MIN(Q1736,Weights!$B$5)*Weights!$B$3*(W1736/100)*Weights!$B$4)</f>
        <v/>
      </c>
      <c r="AA1736">
        <f>IF(Z1736= ,,RANK.EQ({pri_col_letter}{r},{pri_range},0))</f>
        <v/>
      </c>
    </row>
    <row r="1737">
      <c r="A1737" t="inlineStr">
        <is>
          <t>Privalia Brazil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inlineStr">
        <is>
          <t>Tier 4</t>
        </is>
      </c>
      <c r="O1737" t="inlineStr">
        <is>
          <t>Cesar Borges — COO</t>
        </is>
      </c>
      <c r="P1737" t="inlineStr">
        <is>
          <t>COO</t>
        </is>
      </c>
      <c r="Y1737" t="inlineStr">
        <is>
          <t>todo</t>
        </is>
      </c>
      <c r="Z1737">
        <f>(M1737*Weights!$B$2) + (MIN(Q1737,Weights!$B$5)*Weights!$B$3*(W1737/100)*Weights!$B$4)</f>
        <v/>
      </c>
      <c r="AA1737">
        <f>IF(Z1737= ,,RANK.EQ({pri_col_letter}{r},{pri_range},0))</f>
        <v/>
      </c>
    </row>
    <row r="1738">
      <c r="A1738" t="inlineStr">
        <is>
          <t>Prodensa</t>
        </is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inlineStr">
        <is>
          <t>Tier 4</t>
        </is>
      </c>
      <c r="O1738" t="inlineStr">
        <is>
          <t>Emilio Cadena — CEO</t>
        </is>
      </c>
      <c r="P1738" t="inlineStr">
        <is>
          <t>CEO</t>
        </is>
      </c>
      <c r="Y1738" t="inlineStr">
        <is>
          <t>todo</t>
        </is>
      </c>
      <c r="Z1738">
        <f>(M1738*Weights!$B$2) + (MIN(Q1738,Weights!$B$5)*Weights!$B$3*(W1738/100)*Weights!$B$4)</f>
        <v/>
      </c>
      <c r="AA1738">
        <f>IF(Z1738= ,,RANK.EQ({pri_col_letter}{r},{pri_range},0))</f>
        <v/>
      </c>
    </row>
    <row r="1739">
      <c r="A1739" t="inlineStr">
        <is>
          <t>Proeza Ventures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inlineStr">
        <is>
          <t>Tier 4</t>
        </is>
      </c>
      <c r="O1739" t="inlineStr">
        <is>
          <t>Rodolfo Dieck — Managing Partner</t>
        </is>
      </c>
      <c r="P1739" t="inlineStr">
        <is>
          <t>Managing Partner</t>
        </is>
      </c>
      <c r="Y1739" t="inlineStr">
        <is>
          <t>todo</t>
        </is>
      </c>
      <c r="Z1739">
        <f>(M1739*Weights!$B$2) + (MIN(Q1739,Weights!$B$5)*Weights!$B$3*(W1739/100)*Weights!$B$4)</f>
        <v/>
      </c>
      <c r="AA1739">
        <f>IF(Z1739= ,,RANK.EQ({pri_col_letter}{r},{pri_range},0))</f>
        <v/>
      </c>
    </row>
    <row r="1740">
      <c r="A1740" t="inlineStr">
        <is>
          <t>Promofill</t>
        </is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inlineStr">
        <is>
          <t>Tier 4</t>
        </is>
      </c>
      <c r="O1740" t="inlineStr">
        <is>
          <t>Dan Barnett — CEO</t>
        </is>
      </c>
      <c r="P1740" t="inlineStr">
        <is>
          <t>CEO</t>
        </is>
      </c>
      <c r="Y1740" t="inlineStr">
        <is>
          <t>todo</t>
        </is>
      </c>
      <c r="Z1740">
        <f>(M1740*Weights!$B$2) + (MIN(Q1740,Weights!$B$5)*Weights!$B$3*(W1740/100)*Weights!$B$4)</f>
        <v/>
      </c>
      <c r="AA1740">
        <f>IF(Z1740= ,,RANK.EQ({pri_col_letter}{r},{pri_range},0))</f>
        <v/>
      </c>
    </row>
    <row r="1741">
      <c r="A1741" t="inlineStr">
        <is>
          <t>Prompt Global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inlineStr">
        <is>
          <t>Tier 4</t>
        </is>
      </c>
      <c r="O1741" t="inlineStr">
        <is>
          <t>Robert Petti — CEO</t>
        </is>
      </c>
      <c r="P1741" t="inlineStr">
        <is>
          <t>CEO</t>
        </is>
      </c>
      <c r="Y1741" t="inlineStr">
        <is>
          <t>todo</t>
        </is>
      </c>
      <c r="Z1741">
        <f>(M1741*Weights!$B$2) + (MIN(Q1741,Weights!$B$5)*Weights!$B$3*(W1741/100)*Weights!$B$4)</f>
        <v/>
      </c>
      <c r="AA1741">
        <f>IF(Z1741= ,,RANK.EQ({pri_col_letter}{r},{pri_range},0))</f>
        <v/>
      </c>
    </row>
    <row r="1742">
      <c r="A1742" t="inlineStr">
        <is>
          <t>Proponents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inlineStr">
        <is>
          <t>Tier 4</t>
        </is>
      </c>
      <c r="O1742" t="inlineStr">
        <is>
          <t>Patrick McGlynn — SVP Technology &amp; Systems</t>
        </is>
      </c>
      <c r="P1742" t="inlineStr">
        <is>
          <t>SVP Technology &amp; Systems</t>
        </is>
      </c>
      <c r="Y1742" t="inlineStr">
        <is>
          <t>todo</t>
        </is>
      </c>
      <c r="Z1742">
        <f>(M1742*Weights!$B$2) + (MIN(Q1742,Weights!$B$5)*Weights!$B$3*(W1742/100)*Weights!$B$4)</f>
        <v/>
      </c>
      <c r="AA1742">
        <f>IF(Z1742= ,,RANK.EQ({pri_col_letter}{r},{pri_range},0))</f>
        <v/>
      </c>
    </row>
    <row r="1743">
      <c r="A1743" t="inlineStr">
        <is>
          <t>Prox Technologies, Inc.</t>
        </is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inlineStr">
        <is>
          <t>Tier 4</t>
        </is>
      </c>
      <c r="O1743" t="inlineStr">
        <is>
          <t>Greg Makodzeba — COO</t>
        </is>
      </c>
      <c r="P1743" t="inlineStr">
        <is>
          <t>COO</t>
        </is>
      </c>
      <c r="Y1743" t="inlineStr">
        <is>
          <t>todo</t>
        </is>
      </c>
      <c r="Z1743">
        <f>(M1743*Weights!$B$2) + (MIN(Q1743,Weights!$B$5)*Weights!$B$3*(W1743/100)*Weights!$B$4)</f>
        <v/>
      </c>
      <c r="AA1743">
        <f>IF(Z1743= ,,RANK.EQ({pri_col_letter}{r},{pri_range},0))</f>
        <v/>
      </c>
    </row>
    <row r="1744">
      <c r="A1744" t="inlineStr">
        <is>
          <t>Prozis</t>
        </is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inlineStr">
        <is>
          <t>Tier 4</t>
        </is>
      </c>
      <c r="O1744" t="inlineStr">
        <is>
          <t>Davide Lovison — Head of Delivery</t>
        </is>
      </c>
      <c r="P1744" t="inlineStr">
        <is>
          <t>Head of Delivery</t>
        </is>
      </c>
      <c r="Y1744" t="inlineStr">
        <is>
          <t>todo</t>
        </is>
      </c>
      <c r="Z1744">
        <f>(M1744*Weights!$B$2) + (MIN(Q1744,Weights!$B$5)*Weights!$B$3*(W1744/100)*Weights!$B$4)</f>
        <v/>
      </c>
      <c r="AA1744">
        <f>IF(Z1744= ,,RANK.EQ({pri_col_letter}{r},{pri_range},0))</f>
        <v/>
      </c>
    </row>
    <row r="1745">
      <c r="A1745" t="inlineStr">
        <is>
          <t>Puget Sound Food Hub Cooperative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inlineStr">
        <is>
          <t>Tier 4</t>
        </is>
      </c>
      <c r="O1745" t="inlineStr">
        <is>
          <t>Andrew Yokom — Executive Director</t>
        </is>
      </c>
      <c r="P1745" t="inlineStr">
        <is>
          <t>Executive Director</t>
        </is>
      </c>
      <c r="Y1745" t="inlineStr">
        <is>
          <t>todo</t>
        </is>
      </c>
      <c r="Z1745">
        <f>(M1745*Weights!$B$2) + (MIN(Q1745,Weights!$B$5)*Weights!$B$3*(W1745/100)*Weights!$B$4)</f>
        <v/>
      </c>
      <c r="AA1745">
        <f>IF(Z1745= ,,RANK.EQ({pri_col_letter}{r},{pri_range},0))</f>
        <v/>
      </c>
    </row>
    <row r="1746">
      <c r="A1746" t="inlineStr">
        <is>
          <t>Pyck GmbH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inlineStr">
        <is>
          <t>Tier 4</t>
        </is>
      </c>
      <c r="O1746" t="inlineStr">
        <is>
          <t>Daniel Jarr — CEO &amp; Co-Founder</t>
        </is>
      </c>
      <c r="P1746" t="inlineStr">
        <is>
          <t>CEO &amp; Co-Founder</t>
        </is>
      </c>
      <c r="Y1746" t="inlineStr">
        <is>
          <t>todo</t>
        </is>
      </c>
      <c r="Z1746">
        <f>(M1746*Weights!$B$2) + (MIN(Q1746,Weights!$B$5)*Weights!$B$3*(W1746/100)*Weights!$B$4)</f>
        <v/>
      </c>
      <c r="AA1746">
        <f>IF(Z1746= ,,RANK.EQ({pri_col_letter}{r},{pri_range},0))</f>
        <v/>
      </c>
    </row>
    <row r="1747">
      <c r="A1747" t="inlineStr">
        <is>
          <t>QRC Logistics</t>
        </is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inlineStr">
        <is>
          <t>Tier 4</t>
        </is>
      </c>
      <c r="O1747" t="inlineStr">
        <is>
          <t>James Drew — President</t>
        </is>
      </c>
      <c r="P1747" t="inlineStr">
        <is>
          <t>President</t>
        </is>
      </c>
      <c r="Y1747" t="inlineStr">
        <is>
          <t>todo</t>
        </is>
      </c>
      <c r="Z1747">
        <f>(M1747*Weights!$B$2) + (MIN(Q1747,Weights!$B$5)*Weights!$B$3*(W1747/100)*Weights!$B$4)</f>
        <v/>
      </c>
      <c r="AA1747">
        <f>IF(Z1747= ,,RANK.EQ({pri_col_letter}{r},{pri_range},0))</f>
        <v/>
      </c>
    </row>
    <row r="1748">
      <c r="A1748" t="inlineStr">
        <is>
          <t>QUAIL Logistics</t>
        </is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inlineStr">
        <is>
          <t>Tier 4</t>
        </is>
      </c>
      <c r="O1748" t="inlineStr">
        <is>
          <t>Anthony Watson — CEO</t>
        </is>
      </c>
      <c r="P1748" t="inlineStr">
        <is>
          <t>CEO</t>
        </is>
      </c>
      <c r="Y1748" t="inlineStr">
        <is>
          <t>todo</t>
        </is>
      </c>
      <c r="Z1748">
        <f>(M1748*Weights!$B$2) + (MIN(Q1748,Weights!$B$5)*Weights!$B$3*(W1748/100)*Weights!$B$4)</f>
        <v/>
      </c>
      <c r="AA1748">
        <f>IF(Z1748= ,,RANK.EQ({pri_col_letter}{r},{pri_range},0))</f>
        <v/>
      </c>
    </row>
    <row r="1749">
      <c r="A1749" t="inlineStr">
        <is>
          <t>Qcells America (ES)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inlineStr">
        <is>
          <t>Tier 4</t>
        </is>
      </c>
      <c r="O1749" t="inlineStr">
        <is>
          <t>Jin Jung — Team leader</t>
        </is>
      </c>
      <c r="P1749" t="inlineStr">
        <is>
          <t>Team leader</t>
        </is>
      </c>
      <c r="Y1749" t="inlineStr">
        <is>
          <t>todo</t>
        </is>
      </c>
      <c r="Z1749">
        <f>(M1749*Weights!$B$2) + (MIN(Q1749,Weights!$B$5)*Weights!$B$3*(W1749/100)*Weights!$B$4)</f>
        <v/>
      </c>
      <c r="AA1749">
        <f>IF(Z1749= ,,RANK.EQ({pri_col_letter}{r},{pri_range},0))</f>
        <v/>
      </c>
    </row>
    <row r="1750">
      <c r="A1750" t="inlineStr">
        <is>
          <t>Qcells America (GES)</t>
        </is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inlineStr">
        <is>
          <t>Tier 4</t>
        </is>
      </c>
      <c r="O1750" t="inlineStr">
        <is>
          <t>Marcelo Baek — Team leader</t>
        </is>
      </c>
      <c r="P1750" t="inlineStr">
        <is>
          <t>Team leader</t>
        </is>
      </c>
      <c r="Y1750" t="inlineStr">
        <is>
          <t>todo</t>
        </is>
      </c>
      <c r="Z1750">
        <f>(M1750*Weights!$B$2) + (MIN(Q1750,Weights!$B$5)*Weights!$B$3*(W1750/100)*Weights!$B$4)</f>
        <v/>
      </c>
      <c r="AA1750">
        <f>IF(Z1750= ,,RANK.EQ({pri_col_letter}{r},{pri_range},0))</f>
        <v/>
      </c>
    </row>
    <row r="1751">
      <c r="A1751" t="inlineStr">
        <is>
          <t>QuikQ</t>
        </is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inlineStr">
        <is>
          <t>Tier 4</t>
        </is>
      </c>
      <c r="O1751" t="inlineStr">
        <is>
          <t>Jon Russell — CEO</t>
        </is>
      </c>
      <c r="P1751" t="inlineStr">
        <is>
          <t>CEO</t>
        </is>
      </c>
      <c r="Y1751" t="inlineStr">
        <is>
          <t>todo</t>
        </is>
      </c>
      <c r="Z1751">
        <f>(M1751*Weights!$B$2) + (MIN(Q1751,Weights!$B$5)*Weights!$B$3*(W1751/100)*Weights!$B$4)</f>
        <v/>
      </c>
      <c r="AA1751">
        <f>IF(Z1751= ,,RANK.EQ({pri_col_letter}{r},{pri_range},0))</f>
        <v/>
      </c>
    </row>
    <row r="1752">
      <c r="A1752" t="inlineStr">
        <is>
          <t>RBC Capital Markets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inlineStr">
        <is>
          <t>Tier 4</t>
        </is>
      </c>
      <c r="O1752" t="inlineStr">
        <is>
          <t>Kevin Cullinane — Managing Director</t>
        </is>
      </c>
      <c r="P1752" t="inlineStr">
        <is>
          <t>Managing Director</t>
        </is>
      </c>
      <c r="Y1752" t="inlineStr">
        <is>
          <t>todo</t>
        </is>
      </c>
      <c r="Z1752">
        <f>(M1752*Weights!$B$2) + (MIN(Q1752,Weights!$B$5)*Weights!$B$3*(W1752/100)*Weights!$B$4)</f>
        <v/>
      </c>
      <c r="AA1752">
        <f>IF(Z1752= ,,RANK.EQ({pri_col_letter}{r},{pri_range},0))</f>
        <v/>
      </c>
    </row>
    <row r="1753">
      <c r="A1753" t="inlineStr">
        <is>
          <t>RCS logistics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inlineStr">
        <is>
          <t>Tier 4</t>
        </is>
      </c>
      <c r="O1753" t="inlineStr">
        <is>
          <t>Brian Heaney — President</t>
        </is>
      </c>
      <c r="P1753" t="inlineStr">
        <is>
          <t>President</t>
        </is>
      </c>
      <c r="Y1753" t="inlineStr">
        <is>
          <t>todo</t>
        </is>
      </c>
      <c r="Z1753">
        <f>(M1753*Weights!$B$2) + (MIN(Q1753,Weights!$B$5)*Weights!$B$3*(W1753/100)*Weights!$B$4)</f>
        <v/>
      </c>
      <c r="AA1753">
        <f>IF(Z1753= ,,RANK.EQ({pri_col_letter}{r},{pri_range},0))</f>
        <v/>
      </c>
    </row>
    <row r="1754">
      <c r="A1754" t="inlineStr">
        <is>
          <t>REFASHIOND Ventures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inlineStr">
        <is>
          <t>Tier 4</t>
        </is>
      </c>
      <c r="O1754" t="inlineStr">
        <is>
          <t>Lisa Morales-Hellebo — Managing General Partner &amp; Founder</t>
        </is>
      </c>
      <c r="P1754" t="inlineStr">
        <is>
          <t>Managing General Partner &amp; Founder</t>
        </is>
      </c>
      <c r="Y1754" t="inlineStr">
        <is>
          <t>todo</t>
        </is>
      </c>
      <c r="Z1754">
        <f>(M1754*Weights!$B$2) + (MIN(Q1754,Weights!$B$5)*Weights!$B$3*(W1754/100)*Weights!$B$4)</f>
        <v/>
      </c>
      <c r="AA1754">
        <f>IF(Z1754= ,,RANK.EQ({pri_col_letter}{r},{pri_range},0))</f>
        <v/>
      </c>
    </row>
    <row r="1755">
      <c r="A1755" t="inlineStr">
        <is>
          <t>RFX</t>
        </is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inlineStr">
        <is>
          <t>Tier 4</t>
        </is>
      </c>
      <c r="O1755" t="inlineStr">
        <is>
          <t>Nate Lourie — CEO</t>
        </is>
      </c>
      <c r="P1755" t="inlineStr">
        <is>
          <t>CEO</t>
        </is>
      </c>
      <c r="Y1755" t="inlineStr">
        <is>
          <t>todo</t>
        </is>
      </c>
      <c r="Z1755">
        <f>(M1755*Weights!$B$2) + (MIN(Q1755,Weights!$B$5)*Weights!$B$3*(W1755/100)*Weights!$B$4)</f>
        <v/>
      </c>
      <c r="AA1755">
        <f>IF(Z1755= ,,RANK.EQ({pri_col_letter}{r},{pri_range},0))</f>
        <v/>
      </c>
    </row>
    <row r="1756">
      <c r="A1756" t="inlineStr">
        <is>
          <t>RIM logistics</t>
        </is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inlineStr">
        <is>
          <t>Tier 4</t>
        </is>
      </c>
      <c r="O1756" t="inlineStr">
        <is>
          <t>Jason Steinke — EVP</t>
        </is>
      </c>
      <c r="P1756" t="inlineStr">
        <is>
          <t>EVP</t>
        </is>
      </c>
      <c r="Y1756" t="inlineStr">
        <is>
          <t>todo</t>
        </is>
      </c>
      <c r="Z1756">
        <f>(M1756*Weights!$B$2) + (MIN(Q1756,Weights!$B$5)*Weights!$B$3*(W1756/100)*Weights!$B$4)</f>
        <v/>
      </c>
      <c r="AA1756">
        <f>IF(Z1756= ,,RANK.EQ({pri_col_letter}{r},{pri_range},0))</f>
        <v/>
      </c>
    </row>
    <row r="1757">
      <c r="A1757" t="inlineStr">
        <is>
          <t>RL Cold</t>
        </is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inlineStr">
        <is>
          <t>Tier 4</t>
        </is>
      </c>
      <c r="O1757" t="inlineStr">
        <is>
          <t>Zach Romano — Chief Operating Officer</t>
        </is>
      </c>
      <c r="P1757" t="inlineStr">
        <is>
          <t>Chief Operating Officer</t>
        </is>
      </c>
      <c r="Y1757" t="inlineStr">
        <is>
          <t>todo</t>
        </is>
      </c>
      <c r="Z1757">
        <f>(M1757*Weights!$B$2) + (MIN(Q1757,Weights!$B$5)*Weights!$B$3*(W1757/100)*Weights!$B$4)</f>
        <v/>
      </c>
      <c r="AA1757">
        <f>IF(Z1757= ,,RANK.EQ({pri_col_letter}{r},{pri_range},0))</f>
        <v/>
      </c>
    </row>
    <row r="1758">
      <c r="A1758" t="inlineStr">
        <is>
          <t>RVN Reefer Van Network</t>
        </is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inlineStr">
        <is>
          <t>Tier 4</t>
        </is>
      </c>
      <c r="O1758" t="inlineStr">
        <is>
          <t>Evan Ford — National Account Manager</t>
        </is>
      </c>
      <c r="P1758" t="inlineStr">
        <is>
          <t>National Account Manager</t>
        </is>
      </c>
      <c r="Y1758" t="inlineStr">
        <is>
          <t>todo</t>
        </is>
      </c>
      <c r="Z1758">
        <f>(M1758*Weights!$B$2) + (MIN(Q1758,Weights!$B$5)*Weights!$B$3*(W1758/100)*Weights!$B$4)</f>
        <v/>
      </c>
      <c r="AA1758">
        <f>IF(Z1758= ,,RANK.EQ({pri_col_letter}{r},{pri_range},0))</f>
        <v/>
      </c>
    </row>
    <row r="1759">
      <c r="A1759" t="inlineStr">
        <is>
          <t>RWSolutions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inlineStr">
        <is>
          <t>Tier 4</t>
        </is>
      </c>
      <c r="O1759" t="inlineStr">
        <is>
          <t>Nils Walle — Co-Founder</t>
        </is>
      </c>
      <c r="P1759" t="inlineStr">
        <is>
          <t>Co-Founder</t>
        </is>
      </c>
      <c r="Y1759" t="inlineStr">
        <is>
          <t>todo</t>
        </is>
      </c>
      <c r="Z1759">
        <f>(M1759*Weights!$B$2) + (MIN(Q1759,Weights!$B$5)*Weights!$B$3*(W1759/100)*Weights!$B$4)</f>
        <v/>
      </c>
      <c r="AA1759">
        <f>IF(Z1759= ,,RANK.EQ({pri_col_letter}{r},{pri_range},0))</f>
        <v/>
      </c>
    </row>
    <row r="1760">
      <c r="A1760" t="inlineStr">
        <is>
          <t>Radaro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inlineStr">
        <is>
          <t>Tier 4</t>
        </is>
      </c>
      <c r="O1760" t="inlineStr">
        <is>
          <t>Joe Thull — Radaro Inc.</t>
        </is>
      </c>
      <c r="P1760" t="inlineStr">
        <is>
          <t>Radaro Inc.</t>
        </is>
      </c>
      <c r="Y1760" t="inlineStr">
        <is>
          <t>todo</t>
        </is>
      </c>
      <c r="Z1760">
        <f>(M1760*Weights!$B$2) + (MIN(Q1760,Weights!$B$5)*Weights!$B$3*(W1760/100)*Weights!$B$4)</f>
        <v/>
      </c>
      <c r="AA1760">
        <f>IF(Z1760= ,,RANK.EQ({pri_col_letter}{r},{pri_range},0))</f>
        <v/>
      </c>
    </row>
    <row r="1761">
      <c r="A1761" t="inlineStr">
        <is>
          <t>Radial Inc.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inlineStr">
        <is>
          <t>Tier 4</t>
        </is>
      </c>
      <c r="O1761" t="inlineStr">
        <is>
          <t>Gene Bannon Jr — Senior Director</t>
        </is>
      </c>
      <c r="P1761" t="inlineStr">
        <is>
          <t>Senior Director</t>
        </is>
      </c>
      <c r="Y1761" t="inlineStr">
        <is>
          <t>todo</t>
        </is>
      </c>
      <c r="Z1761">
        <f>(M1761*Weights!$B$2) + (MIN(Q1761,Weights!$B$5)*Weights!$B$3*(W1761/100)*Weights!$B$4)</f>
        <v/>
      </c>
      <c r="AA1761">
        <f>IF(Z1761= ,,RANK.EQ({pri_col_letter}{r},{pri_range},0))</f>
        <v/>
      </c>
    </row>
    <row r="1762">
      <c r="A1762" t="inlineStr">
        <is>
          <t>Radian Capital</t>
        </is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inlineStr">
        <is>
          <t>Tier 4</t>
        </is>
      </c>
      <c r="O1762" t="inlineStr">
        <is>
          <t>Samuel Winchester — Investor</t>
        </is>
      </c>
      <c r="P1762" t="inlineStr">
        <is>
          <t>Investor</t>
        </is>
      </c>
      <c r="Y1762" t="inlineStr">
        <is>
          <t>todo</t>
        </is>
      </c>
      <c r="Z1762">
        <f>(M1762*Weights!$B$2) + (MIN(Q1762,Weights!$B$5)*Weights!$B$3*(W1762/100)*Weights!$B$4)</f>
        <v/>
      </c>
      <c r="AA1762">
        <f>IF(Z1762= ,,RANK.EQ({pri_col_letter}{r},{pri_range},0))</f>
        <v/>
      </c>
    </row>
    <row r="1763">
      <c r="A1763" t="inlineStr">
        <is>
          <t>Railinc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inlineStr">
        <is>
          <t>Tier 4</t>
        </is>
      </c>
      <c r="O1763" t="inlineStr">
        <is>
          <t>Mika Majapuro — VP, Strategy</t>
        </is>
      </c>
      <c r="P1763" t="inlineStr">
        <is>
          <t>VP, Strategy</t>
        </is>
      </c>
      <c r="Y1763" t="inlineStr">
        <is>
          <t>todo</t>
        </is>
      </c>
      <c r="Z1763">
        <f>(M1763*Weights!$B$2) + (MIN(Q1763,Weights!$B$5)*Weights!$B$3*(W1763/100)*Weights!$B$4)</f>
        <v/>
      </c>
      <c r="AA1763">
        <f>IF(Z1763= ,,RANK.EQ({pri_col_letter}{r},{pri_range},0))</f>
        <v/>
      </c>
    </row>
    <row r="1764">
      <c r="A1764" t="inlineStr">
        <is>
          <t>Rajant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inlineStr">
        <is>
          <t>Tier 4</t>
        </is>
      </c>
      <c r="O1764" t="inlineStr">
        <is>
          <t>Paul Hellhake — President &amp; CTO</t>
        </is>
      </c>
      <c r="P1764" t="inlineStr">
        <is>
          <t>President &amp; CTO</t>
        </is>
      </c>
      <c r="Y1764" t="inlineStr">
        <is>
          <t>todo</t>
        </is>
      </c>
      <c r="Z1764">
        <f>(M1764*Weights!$B$2) + (MIN(Q1764,Weights!$B$5)*Weights!$B$3*(W1764/100)*Weights!$B$4)</f>
        <v/>
      </c>
      <c r="AA1764">
        <f>IF(Z1764= ,,RANK.EQ({pri_col_letter}{r},{pri_range},0))</f>
        <v/>
      </c>
    </row>
    <row r="1765">
      <c r="A1765" t="inlineStr">
        <is>
          <t>Ram International Shipping</t>
        </is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inlineStr">
        <is>
          <t>Tier 4</t>
        </is>
      </c>
      <c r="O1765" t="inlineStr">
        <is>
          <t>Melis Kordal — Brand Awareness Manager</t>
        </is>
      </c>
      <c r="P1765" t="inlineStr">
        <is>
          <t>Brand Awareness Manager</t>
        </is>
      </c>
      <c r="Y1765" t="inlineStr">
        <is>
          <t>todo</t>
        </is>
      </c>
      <c r="Z1765">
        <f>(M1765*Weights!$B$2) + (MIN(Q1765,Weights!$B$5)*Weights!$B$3*(W1765/100)*Weights!$B$4)</f>
        <v/>
      </c>
      <c r="AA1765">
        <f>IF(Z1765= ,,RANK.EQ({pri_col_letter}{r},{pri_range},0))</f>
        <v/>
      </c>
    </row>
    <row r="1766">
      <c r="A1766" t="inlineStr">
        <is>
          <t>Randall Partners</t>
        </is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inlineStr">
        <is>
          <t>Tier 4</t>
        </is>
      </c>
      <c r="O1766" t="inlineStr">
        <is>
          <t>Nick Lazzara — Partner</t>
        </is>
      </c>
      <c r="P1766" t="inlineStr">
        <is>
          <t>Partner</t>
        </is>
      </c>
      <c r="Y1766" t="inlineStr">
        <is>
          <t>todo</t>
        </is>
      </c>
      <c r="Z1766">
        <f>(M1766*Weights!$B$2) + (MIN(Q1766,Weights!$B$5)*Weights!$B$3*(W1766/100)*Weights!$B$4)</f>
        <v/>
      </c>
      <c r="AA1766">
        <f>IF(Z1766= ,,RANK.EQ({pri_col_letter}{r},{pri_range},0))</f>
        <v/>
      </c>
    </row>
    <row r="1767">
      <c r="A1767" t="inlineStr">
        <is>
          <t>Ranon Logistics Network</t>
        </is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inlineStr">
        <is>
          <t>Tier 4</t>
        </is>
      </c>
      <c r="O1767" t="inlineStr">
        <is>
          <t>Jose Montoya — COO/CCO</t>
        </is>
      </c>
      <c r="P1767" t="inlineStr">
        <is>
          <t>COO/CCO</t>
        </is>
      </c>
      <c r="Y1767" t="inlineStr">
        <is>
          <t>todo</t>
        </is>
      </c>
      <c r="Z1767">
        <f>(M1767*Weights!$B$2) + (MIN(Q1767,Weights!$B$5)*Weights!$B$3*(W1767/100)*Weights!$B$4)</f>
        <v/>
      </c>
      <c r="AA1767">
        <f>IF(Z1767= ,,RANK.EQ({pri_col_letter}{r},{pri_range},0))</f>
        <v/>
      </c>
    </row>
    <row r="1768">
      <c r="A1768" t="inlineStr">
        <is>
          <t>Rapid Logistics BV</t>
        </is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inlineStr">
        <is>
          <t>Tier 4</t>
        </is>
      </c>
      <c r="O1768" t="inlineStr">
        <is>
          <t>Otto Spaan — Chief Commercial Officer</t>
        </is>
      </c>
      <c r="P1768" t="inlineStr">
        <is>
          <t>Chief Commercial Officer</t>
        </is>
      </c>
      <c r="Y1768" t="inlineStr">
        <is>
          <t>todo</t>
        </is>
      </c>
      <c r="Z1768">
        <f>(M1768*Weights!$B$2) + (MIN(Q1768,Weights!$B$5)*Weights!$B$3*(W1768/100)*Weights!$B$4)</f>
        <v/>
      </c>
      <c r="AA1768">
        <f>IF(Z1768= ,,RANK.EQ({pri_col_letter}{r},{pri_range},0))</f>
        <v/>
      </c>
    </row>
    <row r="1769">
      <c r="A1769" t="inlineStr">
        <is>
          <t>Ratchet Ventures</t>
        </is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inlineStr">
        <is>
          <t>Tier 4</t>
        </is>
      </c>
      <c r="O1769" t="inlineStr">
        <is>
          <t>Ryan Sullivan — Principal</t>
        </is>
      </c>
      <c r="P1769" t="inlineStr">
        <is>
          <t>Principal</t>
        </is>
      </c>
      <c r="Y1769" t="inlineStr">
        <is>
          <t>todo</t>
        </is>
      </c>
      <c r="Z1769">
        <f>(M1769*Weights!$B$2) + (MIN(Q1769,Weights!$B$5)*Weights!$B$3*(W1769/100)*Weights!$B$4)</f>
        <v/>
      </c>
      <c r="AA1769">
        <f>IF(Z1769= ,,RANK.EQ({pri_col_letter}{r},{pri_range},0))</f>
        <v/>
      </c>
    </row>
    <row r="1770">
      <c r="A1770" t="inlineStr">
        <is>
          <t>ReBound Returns</t>
        </is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inlineStr">
        <is>
          <t>Tier 4</t>
        </is>
      </c>
      <c r="O1770" t="inlineStr">
        <is>
          <t>Eelco van der Zande — Managing Director</t>
        </is>
      </c>
      <c r="P1770" t="inlineStr">
        <is>
          <t>Managing Director</t>
        </is>
      </c>
      <c r="Y1770" t="inlineStr">
        <is>
          <t>todo</t>
        </is>
      </c>
      <c r="Z1770">
        <f>(M1770*Weights!$B$2) + (MIN(Q1770,Weights!$B$5)*Weights!$B$3*(W1770/100)*Weights!$B$4)</f>
        <v/>
      </c>
      <c r="AA1770">
        <f>IF(Z1770= ,,RANK.EQ({pri_col_letter}{r},{pri_range},0))</f>
        <v/>
      </c>
    </row>
    <row r="1771">
      <c r="A1771" t="inlineStr">
        <is>
          <t>Reason Technologies</t>
        </is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inlineStr">
        <is>
          <t>Tier 4</t>
        </is>
      </c>
      <c r="O1771" t="inlineStr">
        <is>
          <t>Digvijay (DJ) Makwana — CEO &amp; Founder</t>
        </is>
      </c>
      <c r="P1771" t="inlineStr">
        <is>
          <t>CEO &amp; Founder</t>
        </is>
      </c>
      <c r="Y1771" t="inlineStr">
        <is>
          <t>todo</t>
        </is>
      </c>
      <c r="Z1771">
        <f>(M1771*Weights!$B$2) + (MIN(Q1771,Weights!$B$5)*Weights!$B$3*(W1771/100)*Weights!$B$4)</f>
        <v/>
      </c>
      <c r="AA1771">
        <f>IF(Z1771= ,,RANK.EQ({pri_col_letter}{r},{pri_range},0))</f>
        <v/>
      </c>
    </row>
    <row r="1772">
      <c r="A1772" t="inlineStr">
        <is>
          <t>Recon Logistics BV</t>
        </is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inlineStr">
        <is>
          <t>Tier 4</t>
        </is>
      </c>
      <c r="O1772" t="inlineStr">
        <is>
          <t>Carlos Gelici — Director</t>
        </is>
      </c>
      <c r="P1772" t="inlineStr">
        <is>
          <t>Director</t>
        </is>
      </c>
      <c r="Y1772" t="inlineStr">
        <is>
          <t>todo</t>
        </is>
      </c>
      <c r="Z1772">
        <f>(M1772*Weights!$B$2) + (MIN(Q1772,Weights!$B$5)*Weights!$B$3*(W1772/100)*Weights!$B$4)</f>
        <v/>
      </c>
      <c r="AA1772">
        <f>IF(Z1772= ,,RANK.EQ({pri_col_letter}{r},{pri_range},0))</f>
        <v/>
      </c>
    </row>
    <row r="1773">
      <c r="A1773" t="inlineStr">
        <is>
          <t>Rectangle</t>
        </is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inlineStr">
        <is>
          <t>Tier 4</t>
        </is>
      </c>
      <c r="O1773" t="inlineStr">
        <is>
          <t>Matt Salefski — CEO</t>
        </is>
      </c>
      <c r="P1773" t="inlineStr">
        <is>
          <t>CEO</t>
        </is>
      </c>
      <c r="Y1773" t="inlineStr">
        <is>
          <t>todo</t>
        </is>
      </c>
      <c r="Z1773">
        <f>(M1773*Weights!$B$2) + (MIN(Q1773,Weights!$B$5)*Weights!$B$3*(W1773/100)*Weights!$B$4)</f>
        <v/>
      </c>
      <c r="AA1773">
        <f>IF(Z1773= ,,RANK.EQ({pri_col_letter}{r},{pri_range},0))</f>
        <v/>
      </c>
    </row>
    <row r="1774">
      <c r="A1774" t="inlineStr">
        <is>
          <t>Red Arts Capital</t>
        </is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inlineStr">
        <is>
          <t>Tier 4</t>
        </is>
      </c>
      <c r="O1774" t="inlineStr">
        <is>
          <t>Nicholas Antoine — Co-CEO</t>
        </is>
      </c>
      <c r="P1774" t="inlineStr">
        <is>
          <t>Co-CEO</t>
        </is>
      </c>
      <c r="Y1774" t="inlineStr">
        <is>
          <t>todo</t>
        </is>
      </c>
      <c r="Z1774">
        <f>(M1774*Weights!$B$2) + (MIN(Q1774,Weights!$B$5)*Weights!$B$3*(W1774/100)*Weights!$B$4)</f>
        <v/>
      </c>
      <c r="AA1774">
        <f>IF(Z1774= ,,RANK.EQ({pri_col_letter}{r},{pri_range},0))</f>
        <v/>
      </c>
    </row>
    <row r="1775">
      <c r="A1775" t="inlineStr">
        <is>
          <t>Redarts Capital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inlineStr">
        <is>
          <t>Tier 4</t>
        </is>
      </c>
      <c r="O1775" t="inlineStr">
        <is>
          <t>Chad Strader — Managing Partner &amp; CO-CEO</t>
        </is>
      </c>
      <c r="P1775" t="inlineStr">
        <is>
          <t>Managing Partner &amp; CO-CEO</t>
        </is>
      </c>
      <c r="Y1775" t="inlineStr">
        <is>
          <t>todo</t>
        </is>
      </c>
      <c r="Z1775">
        <f>(M1775*Weights!$B$2) + (MIN(Q1775,Weights!$B$5)*Weights!$B$3*(W1775/100)*Weights!$B$4)</f>
        <v/>
      </c>
      <c r="AA1775">
        <f>IF(Z1775= ,,RANK.EQ({pri_col_letter}{r},{pri_range},0))</f>
        <v/>
      </c>
    </row>
    <row r="1776">
      <c r="A1776" t="inlineStr">
        <is>
          <t>Rehrig Pacific Co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inlineStr">
        <is>
          <t>Tier 4</t>
        </is>
      </c>
      <c r="O1776" t="inlineStr">
        <is>
          <t>Amanda Vernaglia — Director, Target Development</t>
        </is>
      </c>
      <c r="P1776" t="inlineStr">
        <is>
          <t>Director, Target Development</t>
        </is>
      </c>
      <c r="Y1776" t="inlineStr">
        <is>
          <t>todo</t>
        </is>
      </c>
      <c r="Z1776">
        <f>(M1776*Weights!$B$2) + (MIN(Q1776,Weights!$B$5)*Weights!$B$3*(W1776/100)*Weights!$B$4)</f>
        <v/>
      </c>
      <c r="AA1776">
        <f>IF(Z1776= ,,RANK.EQ({pri_col_letter}{r},{pri_range},0))</f>
        <v/>
      </c>
    </row>
    <row r="1777">
      <c r="A1777" t="inlineStr">
        <is>
          <t>Reimer Associates Inc.</t>
        </is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>
        <is>
          <t>Tier 4</t>
        </is>
      </c>
      <c r="O1777" t="inlineStr">
        <is>
          <t>Rob Koppel — Vice President, Executive Search</t>
        </is>
      </c>
      <c r="P1777" t="inlineStr">
        <is>
          <t>Vice President, Executive Search</t>
        </is>
      </c>
      <c r="Y1777" t="inlineStr">
        <is>
          <t>todo</t>
        </is>
      </c>
      <c r="Z1777">
        <f>(M1777*Weights!$B$2) + (MIN(Q1777,Weights!$B$5)*Weights!$B$3*(W1777/100)*Weights!$B$4)</f>
        <v/>
      </c>
      <c r="AA1777">
        <f>IF(Z1777= ,,RANK.EQ({pri_col_letter}{r},{pri_range},0))</f>
        <v/>
      </c>
    </row>
    <row r="1778">
      <c r="A1778" t="inlineStr">
        <is>
          <t>Rejoice International</t>
        </is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>
        <is>
          <t>Tier 4</t>
        </is>
      </c>
      <c r="O1778" t="inlineStr">
        <is>
          <t>Tongzhou Shi — Chief Investment Advisor</t>
        </is>
      </c>
      <c r="P1778" t="inlineStr">
        <is>
          <t>Chief Investment Advisor</t>
        </is>
      </c>
      <c r="Y1778" t="inlineStr">
        <is>
          <t>todo</t>
        </is>
      </c>
      <c r="Z1778">
        <f>(M1778*Weights!$B$2) + (MIN(Q1778,Weights!$B$5)*Weights!$B$3*(W1778/100)*Weights!$B$4)</f>
        <v/>
      </c>
      <c r="AA1778">
        <f>IF(Z1778= ,,RANK.EQ({pri_col_letter}{r},{pri_range},0))</f>
        <v/>
      </c>
    </row>
    <row r="1779">
      <c r="A1779" t="inlineStr">
        <is>
          <t>Relocalize</t>
        </is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>
        <is>
          <t>Tier 4</t>
        </is>
      </c>
      <c r="O1779" t="inlineStr">
        <is>
          <t>D. Wayne McIntyre — CEO &amp; Co-Founder</t>
        </is>
      </c>
      <c r="P1779" t="inlineStr">
        <is>
          <t>CEO &amp; Co-Founder</t>
        </is>
      </c>
      <c r="Y1779" t="inlineStr">
        <is>
          <t>todo</t>
        </is>
      </c>
      <c r="Z1779">
        <f>(M1779*Weights!$B$2) + (MIN(Q1779,Weights!$B$5)*Weights!$B$3*(W1779/100)*Weights!$B$4)</f>
        <v/>
      </c>
      <c r="AA1779">
        <f>IF(Z1779= ,,RANK.EQ({pri_col_letter}{r},{pri_range},0))</f>
        <v/>
      </c>
    </row>
    <row r="1780">
      <c r="A1780" t="inlineStr">
        <is>
          <t>Repurpose</t>
        </is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>
        <is>
          <t>Tier 4</t>
        </is>
      </c>
      <c r="O1780" t="inlineStr">
        <is>
          <t>Jordan Silverman — Co-Founder/COO</t>
        </is>
      </c>
      <c r="P1780" t="inlineStr">
        <is>
          <t>Co-Founder/COO</t>
        </is>
      </c>
      <c r="Y1780" t="inlineStr">
        <is>
          <t>todo</t>
        </is>
      </c>
      <c r="Z1780">
        <f>(M1780*Weights!$B$2) + (MIN(Q1780,Weights!$B$5)*Weights!$B$3*(W1780/100)*Weights!$B$4)</f>
        <v/>
      </c>
      <c r="AA1780">
        <f>IF(Z1780= ,,RANK.EQ({pri_col_letter}{r},{pri_range},0))</f>
        <v/>
      </c>
    </row>
    <row r="1781">
      <c r="A1781" t="inlineStr">
        <is>
          <t>Revolution Transport, LLC</t>
        </is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>
        <is>
          <t>Tier 4</t>
        </is>
      </c>
      <c r="O1781" t="inlineStr">
        <is>
          <t>James Adams — CEO</t>
        </is>
      </c>
      <c r="P1781" t="inlineStr">
        <is>
          <t>CEO</t>
        </is>
      </c>
      <c r="Y1781" t="inlineStr">
        <is>
          <t>todo</t>
        </is>
      </c>
      <c r="Z1781">
        <f>(M1781*Weights!$B$2) + (MIN(Q1781,Weights!$B$5)*Weights!$B$3*(W1781/100)*Weights!$B$4)</f>
        <v/>
      </c>
      <c r="AA1781">
        <f>IF(Z1781= ,,RANK.EQ({pri_col_letter}{r},{pri_range},0))</f>
        <v/>
      </c>
    </row>
    <row r="1782">
      <c r="A1782" t="inlineStr">
        <is>
          <t>Richie Media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>
        <is>
          <t>Tier 4</t>
        </is>
      </c>
      <c r="O1782" t="inlineStr">
        <is>
          <t>Chip Richie — Videographer</t>
        </is>
      </c>
      <c r="P1782" t="inlineStr">
        <is>
          <t>Videographer</t>
        </is>
      </c>
      <c r="Y1782" t="inlineStr">
        <is>
          <t>todo</t>
        </is>
      </c>
      <c r="Z1782">
        <f>(M1782*Weights!$B$2) + (MIN(Q1782,Weights!$B$5)*Weights!$B$3*(W1782/100)*Weights!$B$4)</f>
        <v/>
      </c>
      <c r="AA1782">
        <f>IF(Z1782= ,,RANK.EQ({pri_col_letter}{r},{pri_range},0))</f>
        <v/>
      </c>
    </row>
    <row r="1783">
      <c r="A1783" t="inlineStr">
        <is>
          <t>Ricoh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>
        <is>
          <t>Tier 4</t>
        </is>
      </c>
      <c r="O1783" t="inlineStr">
        <is>
          <t>Steve Cousins — Senior Director Portfolio Architecture</t>
        </is>
      </c>
      <c r="P1783" t="inlineStr">
        <is>
          <t>Senior Director Portfolio Architecture</t>
        </is>
      </c>
      <c r="Y1783" t="inlineStr">
        <is>
          <t>todo</t>
        </is>
      </c>
      <c r="Z1783">
        <f>(M1783*Weights!$B$2) + (MIN(Q1783,Weights!$B$5)*Weights!$B$3*(W1783/100)*Weights!$B$4)</f>
        <v/>
      </c>
      <c r="AA1783">
        <f>IF(Z1783= ,,RANK.EQ({pri_col_letter}{r},{pri_range},0))</f>
        <v/>
      </c>
    </row>
    <row r="1784">
      <c r="A1784" t="inlineStr">
        <is>
          <t>Ridge</t>
        </is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>
        <is>
          <t>Tier 4</t>
        </is>
      </c>
      <c r="O1784" t="inlineStr">
        <is>
          <t>Andres Engel — COO</t>
        </is>
      </c>
      <c r="P1784" t="inlineStr">
        <is>
          <t>COO</t>
        </is>
      </c>
      <c r="Y1784" t="inlineStr">
        <is>
          <t>todo</t>
        </is>
      </c>
      <c r="Z1784">
        <f>(M1784*Weights!$B$2) + (MIN(Q1784,Weights!$B$5)*Weights!$B$3*(W1784/100)*Weights!$B$4)</f>
        <v/>
      </c>
      <c r="AA1784">
        <f>IF(Z1784= ,,RANK.EQ({pri_col_letter}{r},{pri_range},0))</f>
        <v/>
      </c>
    </row>
    <row r="1785">
      <c r="A1785" t="inlineStr">
        <is>
          <t>Rig on Wheels Broker &amp; Recruitment Services</t>
        </is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>
        <is>
          <t>Tier 4</t>
        </is>
      </c>
      <c r="O1785" t="inlineStr">
        <is>
          <t>Kameel Gaines — CEO</t>
        </is>
      </c>
      <c r="P1785" t="inlineStr">
        <is>
          <t>CEO</t>
        </is>
      </c>
      <c r="Y1785" t="inlineStr">
        <is>
          <t>todo</t>
        </is>
      </c>
      <c r="Z1785">
        <f>(M1785*Weights!$B$2) + (MIN(Q1785,Weights!$B$5)*Weights!$B$3*(W1785/100)*Weights!$B$4)</f>
        <v/>
      </c>
      <c r="AA1785">
        <f>IF(Z1785= ,,RANK.EQ({pri_col_letter}{r},{pri_range},0))</f>
        <v/>
      </c>
    </row>
    <row r="1786">
      <c r="A1786" t="inlineStr">
        <is>
          <t>Rippey AI</t>
        </is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>
        <is>
          <t>Tier 4</t>
        </is>
      </c>
      <c r="O1786" t="inlineStr">
        <is>
          <t>Matt Motsick — CEO</t>
        </is>
      </c>
      <c r="P1786" t="inlineStr">
        <is>
          <t>CEO</t>
        </is>
      </c>
      <c r="Y1786" t="inlineStr">
        <is>
          <t>todo</t>
        </is>
      </c>
      <c r="Z1786">
        <f>(M1786*Weights!$B$2) + (MIN(Q1786,Weights!$B$5)*Weights!$B$3*(W1786/100)*Weights!$B$4)</f>
        <v/>
      </c>
      <c r="AA1786">
        <f>IF(Z1786= ,,RANK.EQ({pri_col_letter}{r},{pri_range},0))</f>
        <v/>
      </c>
    </row>
    <row r="1787">
      <c r="A1787" t="inlineStr">
        <is>
          <t>Rite-Hite</t>
        </is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>
        <is>
          <t>Tier 4</t>
        </is>
      </c>
      <c r="O1787" t="inlineStr">
        <is>
          <t>Luke Phillips — Corporate M&amp;A and Venture Capital</t>
        </is>
      </c>
      <c r="P1787" t="inlineStr">
        <is>
          <t>Corporate M&amp;A and Venture Capital</t>
        </is>
      </c>
      <c r="Y1787" t="inlineStr">
        <is>
          <t>todo</t>
        </is>
      </c>
      <c r="Z1787">
        <f>(M1787*Weights!$B$2) + (MIN(Q1787,Weights!$B$5)*Weights!$B$3*(W1787/100)*Weights!$B$4)</f>
        <v/>
      </c>
      <c r="AA1787">
        <f>IF(Z1787= ,,RANK.EQ({pri_col_letter}{r},{pri_range},0))</f>
        <v/>
      </c>
    </row>
    <row r="1788">
      <c r="A1788" t="inlineStr">
        <is>
          <t>Ritesize</t>
        </is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>
        <is>
          <t>Tier 4</t>
        </is>
      </c>
      <c r="O1788" t="inlineStr">
        <is>
          <t>Nishil Soni — CEO</t>
        </is>
      </c>
      <c r="P1788" t="inlineStr">
        <is>
          <t>CEO</t>
        </is>
      </c>
      <c r="Y1788" t="inlineStr">
        <is>
          <t>todo</t>
        </is>
      </c>
      <c r="Z1788">
        <f>(M1788*Weights!$B$2) + (MIN(Q1788,Weights!$B$5)*Weights!$B$3*(W1788/100)*Weights!$B$4)</f>
        <v/>
      </c>
      <c r="AA1788">
        <f>IF(Z1788= ,,RANK.EQ({pri_col_letter}{r},{pri_range},0))</f>
        <v/>
      </c>
    </row>
    <row r="1789">
      <c r="A1789" t="inlineStr">
        <is>
          <t>Riverson Scaffold</t>
        </is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>
        <is>
          <t>Tier 4</t>
        </is>
      </c>
      <c r="O1789" t="inlineStr">
        <is>
          <t>Chris Jones — Area Supervisor/Site Manager</t>
        </is>
      </c>
      <c r="P1789" t="inlineStr">
        <is>
          <t>Area Supervisor/Site Manager</t>
        </is>
      </c>
      <c r="Y1789" t="inlineStr">
        <is>
          <t>todo</t>
        </is>
      </c>
      <c r="Z1789">
        <f>(M1789*Weights!$B$2) + (MIN(Q1789,Weights!$B$5)*Weights!$B$3*(W1789/100)*Weights!$B$4)</f>
        <v/>
      </c>
      <c r="AA1789">
        <f>IF(Z1789= ,,RANK.EQ({pri_col_letter}{r},{pri_range},0))</f>
        <v/>
      </c>
    </row>
    <row r="1790">
      <c r="A1790" t="inlineStr">
        <is>
          <t>Riverwood Capital</t>
        </is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>
        <is>
          <t>Tier 4</t>
        </is>
      </c>
      <c r="O1790" t="inlineStr">
        <is>
          <t>Joe De Pinho — Partner</t>
        </is>
      </c>
      <c r="P1790" t="inlineStr">
        <is>
          <t>Partner</t>
        </is>
      </c>
      <c r="Y1790" t="inlineStr">
        <is>
          <t>todo</t>
        </is>
      </c>
      <c r="Z1790">
        <f>(M1790*Weights!$B$2) + (MIN(Q1790,Weights!$B$5)*Weights!$B$3*(W1790/100)*Weights!$B$4)</f>
        <v/>
      </c>
      <c r="AA1790">
        <f>IF(Z1790= ,,RANK.EQ({pri_col_letter}{r},{pri_range},0))</f>
        <v/>
      </c>
    </row>
    <row r="1791">
      <c r="A1791" t="inlineStr">
        <is>
          <t>Rlcold</t>
        </is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>
        <is>
          <t>Tier 4</t>
        </is>
      </c>
      <c r="O1791" t="inlineStr">
        <is>
          <t>Josh Lewis — Founder</t>
        </is>
      </c>
      <c r="P1791" t="inlineStr">
        <is>
          <t>Founder</t>
        </is>
      </c>
      <c r="Y1791" t="inlineStr">
        <is>
          <t>todo</t>
        </is>
      </c>
      <c r="Z1791">
        <f>(M1791*Weights!$B$2) + (MIN(Q1791,Weights!$B$5)*Weights!$B$3*(W1791/100)*Weights!$B$4)</f>
        <v/>
      </c>
      <c r="AA1791">
        <f>IF(Z1791= ,,RANK.EQ({pri_col_letter}{r},{pri_range},0))</f>
        <v/>
      </c>
    </row>
    <row r="1792">
      <c r="A1792" t="inlineStr">
        <is>
          <t>RoadEx CY Inc.</t>
        </is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>
        <is>
          <t>Tier 4</t>
        </is>
      </c>
      <c r="O1792" t="inlineStr">
        <is>
          <t>Lisa Wan — President</t>
        </is>
      </c>
      <c r="P1792" t="inlineStr">
        <is>
          <t>President</t>
        </is>
      </c>
      <c r="Y1792" t="inlineStr">
        <is>
          <t>todo</t>
        </is>
      </c>
      <c r="Z1792">
        <f>(M1792*Weights!$B$2) + (MIN(Q1792,Weights!$B$5)*Weights!$B$3*(W1792/100)*Weights!$B$4)</f>
        <v/>
      </c>
      <c r="AA1792">
        <f>IF(Z1792= ,,RANK.EQ({pri_col_letter}{r},{pri_range},0))</f>
        <v/>
      </c>
    </row>
    <row r="1793">
      <c r="A1793" t="inlineStr">
        <is>
          <t>Roadrunner Transportation Systems</t>
        </is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>
        <is>
          <t>Tier 4</t>
        </is>
      </c>
      <c r="O1793" t="inlineStr">
        <is>
          <t>Tomasz Jamroz — Chief Operating Officer</t>
        </is>
      </c>
      <c r="P1793" t="inlineStr">
        <is>
          <t>Chief Operating Officer</t>
        </is>
      </c>
      <c r="Y1793" t="inlineStr">
        <is>
          <t>todo</t>
        </is>
      </c>
      <c r="Z1793">
        <f>(M1793*Weights!$B$2) + (MIN(Q1793,Weights!$B$5)*Weights!$B$3*(W1793/100)*Weights!$B$4)</f>
        <v/>
      </c>
      <c r="AA1793">
        <f>IF(Z1793= ,,RANK.EQ({pri_col_letter}{r},{pri_range},0))</f>
        <v/>
      </c>
    </row>
    <row r="1794">
      <c r="A1794" t="inlineStr">
        <is>
          <t>Roadtex - an Echo Company</t>
        </is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>
        <is>
          <t>Tier 4</t>
        </is>
      </c>
      <c r="O1794" t="inlineStr">
        <is>
          <t>James Jelinek — President</t>
        </is>
      </c>
      <c r="P1794" t="inlineStr">
        <is>
          <t>President</t>
        </is>
      </c>
      <c r="Y1794" t="inlineStr">
        <is>
          <t>todo</t>
        </is>
      </c>
      <c r="Z1794">
        <f>(M1794*Weights!$B$2) + (MIN(Q1794,Weights!$B$5)*Weights!$B$3*(W1794/100)*Weights!$B$4)</f>
        <v/>
      </c>
      <c r="AA1794">
        <f>IF(Z1794= ,,RANK.EQ({pri_col_letter}{r},{pri_range},0))</f>
        <v/>
      </c>
    </row>
    <row r="1795">
      <c r="A1795" t="inlineStr">
        <is>
          <t>Rocket Shippers</t>
        </is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>
        <is>
          <t>Tier 4</t>
        </is>
      </c>
      <c r="O1795" t="inlineStr">
        <is>
          <t>Leo Russell — CEO</t>
        </is>
      </c>
      <c r="P1795" t="inlineStr">
        <is>
          <t>CEO</t>
        </is>
      </c>
      <c r="Y1795" t="inlineStr">
        <is>
          <t>todo</t>
        </is>
      </c>
      <c r="Z1795">
        <f>(M1795*Weights!$B$2) + (MIN(Q1795,Weights!$B$5)*Weights!$B$3*(W1795/100)*Weights!$B$4)</f>
        <v/>
      </c>
      <c r="AA1795">
        <f>IF(Z1795= ,,RANK.EQ({pri_col_letter}{r},{pri_range},0))</f>
        <v/>
      </c>
    </row>
    <row r="1796">
      <c r="A1796" t="inlineStr">
        <is>
          <t>Rodan + Fields</t>
        </is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>
        <is>
          <t>Tier 4</t>
        </is>
      </c>
      <c r="O1796" t="inlineStr">
        <is>
          <t>Bryan Wayda — Chief Supply and Service Officer</t>
        </is>
      </c>
      <c r="P1796" t="inlineStr">
        <is>
          <t>Chief Supply and Service Officer</t>
        </is>
      </c>
      <c r="Y1796" t="inlineStr">
        <is>
          <t>todo</t>
        </is>
      </c>
      <c r="Z1796">
        <f>(M1796*Weights!$B$2) + (MIN(Q1796,Weights!$B$5)*Weights!$B$3*(W1796/100)*Weights!$B$4)</f>
        <v/>
      </c>
      <c r="AA1796">
        <f>IF(Z1796= ,,RANK.EQ({pri_col_letter}{r},{pri_range},0))</f>
        <v/>
      </c>
    </row>
    <row r="1797">
      <c r="A1797" t="inlineStr">
        <is>
          <t>Roehl Transport Inc.</t>
        </is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>
        <is>
          <t>Tier 4</t>
        </is>
      </c>
      <c r="O1797" t="inlineStr">
        <is>
          <t>John Paape — CIO/VP Information Technology</t>
        </is>
      </c>
      <c r="P1797" t="inlineStr">
        <is>
          <t>CIO/VP Information Technology</t>
        </is>
      </c>
      <c r="Y1797" t="inlineStr">
        <is>
          <t>todo</t>
        </is>
      </c>
      <c r="Z1797">
        <f>(M1797*Weights!$B$2) + (MIN(Q1797,Weights!$B$5)*Weights!$B$3*(W1797/100)*Weights!$B$4)</f>
        <v/>
      </c>
      <c r="AA1797">
        <f>IF(Z1797= ,,RANK.EQ({pri_col_letter}{r},{pri_range},0))</f>
        <v/>
      </c>
    </row>
    <row r="1798">
      <c r="A1798" t="inlineStr">
        <is>
          <t>Rossi Search Partners Inc</t>
        </is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>
        <is>
          <t>Tier 4</t>
        </is>
      </c>
      <c r="O1798" t="inlineStr">
        <is>
          <t>Silvio Rossi — President</t>
        </is>
      </c>
      <c r="P1798" t="inlineStr">
        <is>
          <t>President</t>
        </is>
      </c>
      <c r="Y1798" t="inlineStr">
        <is>
          <t>todo</t>
        </is>
      </c>
      <c r="Z1798">
        <f>(M1798*Weights!$B$2) + (MIN(Q1798,Weights!$B$5)*Weights!$B$3*(W1798/100)*Weights!$B$4)</f>
        <v/>
      </c>
      <c r="AA1798">
        <f>IF(Z1798= ,,RANK.EQ({pri_col_letter}{r},{pri_range},0))</f>
        <v/>
      </c>
    </row>
    <row r="1799">
      <c r="A1799" t="inlineStr">
        <is>
          <t>Rue Gilt Groupe</t>
        </is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>
        <is>
          <t>Tier 4</t>
        </is>
      </c>
      <c r="O1799" t="inlineStr">
        <is>
          <t>Jeff Faulconer — Senior Director, Enterprise Solutions</t>
        </is>
      </c>
      <c r="P1799" t="inlineStr">
        <is>
          <t>Senior Director, Enterprise Solutions</t>
        </is>
      </c>
      <c r="Y1799" t="inlineStr">
        <is>
          <t>todo</t>
        </is>
      </c>
      <c r="Z1799">
        <f>(M1799*Weights!$B$2) + (MIN(Q1799,Weights!$B$5)*Weights!$B$3*(W1799/100)*Weights!$B$4)</f>
        <v/>
      </c>
      <c r="AA1799">
        <f>IF(Z1799= ,,RANK.EQ({pri_col_letter}{r},{pri_range},0))</f>
        <v/>
      </c>
    </row>
    <row r="1800">
      <c r="A1800" t="inlineStr">
        <is>
          <t>Rufus Labs</t>
        </is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>
        <is>
          <t>Tier 4</t>
        </is>
      </c>
      <c r="O1800" t="inlineStr">
        <is>
          <t>Gabe Grifoni — CEO</t>
        </is>
      </c>
      <c r="P1800" t="inlineStr">
        <is>
          <t>CEO</t>
        </is>
      </c>
      <c r="Y1800" t="inlineStr">
        <is>
          <t>todo</t>
        </is>
      </c>
      <c r="Z1800">
        <f>(M1800*Weights!$B$2) + (MIN(Q1800,Weights!$B$5)*Weights!$B$3*(W1800/100)*Weights!$B$4)</f>
        <v/>
      </c>
      <c r="AA1800">
        <f>IF(Z1800= ,,RANK.EQ({pri_col_letter}{r},{pri_range},0))</f>
        <v/>
      </c>
    </row>
    <row r="1801">
      <c r="A1801" t="inlineStr">
        <is>
          <t>Ruhewell</t>
        </is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inlineStr">
        <is>
          <t>Tier 4</t>
        </is>
      </c>
      <c r="O1801" t="inlineStr">
        <is>
          <t>Jill Daneshpour — Founder</t>
        </is>
      </c>
      <c r="P1801" t="inlineStr">
        <is>
          <t>Founder</t>
        </is>
      </c>
      <c r="Y1801" t="inlineStr">
        <is>
          <t>todo</t>
        </is>
      </c>
      <c r="Z1801">
        <f>(M1801*Weights!$B$2) + (MIN(Q1801,Weights!$B$5)*Weights!$B$3*(W1801/100)*Weights!$B$4)</f>
        <v/>
      </c>
      <c r="AA1801">
        <f>IF(Z1801= ,,RANK.EQ({pri_col_letter}{r},{pri_range},0))</f>
        <v/>
      </c>
    </row>
    <row r="1802">
      <c r="A1802" t="inlineStr">
        <is>
          <t>Rygen</t>
        </is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>
        <is>
          <t>Tier 4</t>
        </is>
      </c>
      <c r="O1802" t="inlineStr">
        <is>
          <t>Matt Garkusha — Lead Product Manager, X1</t>
        </is>
      </c>
      <c r="P1802" t="inlineStr">
        <is>
          <t>Lead Product Manager, X1</t>
        </is>
      </c>
      <c r="Y1802" t="inlineStr">
        <is>
          <t>todo</t>
        </is>
      </c>
      <c r="Z1802">
        <f>(M1802*Weights!$B$2) + (MIN(Q1802,Weights!$B$5)*Weights!$B$3*(W1802/100)*Weights!$B$4)</f>
        <v/>
      </c>
      <c r="AA1802">
        <f>IF(Z1802= ,,RANK.EQ({pri_col_letter}{r},{pri_range},0))</f>
        <v/>
      </c>
    </row>
    <row r="1803">
      <c r="A1803" t="inlineStr">
        <is>
          <t>S2G Ventures</t>
        </is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inlineStr">
        <is>
          <t>Tier 4</t>
        </is>
      </c>
      <c r="O1803" t="inlineStr">
        <is>
          <t>Kate Danaher — Managing Director</t>
        </is>
      </c>
      <c r="P1803" t="inlineStr">
        <is>
          <t>Managing Director</t>
        </is>
      </c>
      <c r="Y1803" t="inlineStr">
        <is>
          <t>todo</t>
        </is>
      </c>
      <c r="Z1803">
        <f>(M1803*Weights!$B$2) + (MIN(Q1803,Weights!$B$5)*Weights!$B$3*(W1803/100)*Weights!$B$4)</f>
        <v/>
      </c>
      <c r="AA1803">
        <f>IF(Z1803= ,,RANK.EQ({pri_col_letter}{r},{pri_range},0))</f>
        <v/>
      </c>
    </row>
    <row r="1804">
      <c r="A1804" t="inlineStr">
        <is>
          <t>SCIP</t>
        </is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inlineStr">
        <is>
          <t>Tier 4</t>
        </is>
      </c>
      <c r="O1804" t="inlineStr">
        <is>
          <t>Andy Kohm — CEO &amp; Founder</t>
        </is>
      </c>
      <c r="P1804" t="inlineStr">
        <is>
          <t>CEO &amp; Founder</t>
        </is>
      </c>
      <c r="Y1804" t="inlineStr">
        <is>
          <t>todo</t>
        </is>
      </c>
      <c r="Z1804">
        <f>(M1804*Weights!$B$2) + (MIN(Q1804,Weights!$B$5)*Weights!$B$3*(W1804/100)*Weights!$B$4)</f>
        <v/>
      </c>
      <c r="AA1804">
        <f>IF(Z1804= ,,RANK.EQ({pri_col_letter}{r},{pri_range},0))</f>
        <v/>
      </c>
    </row>
    <row r="1805">
      <c r="A1805" t="inlineStr">
        <is>
          <t>SCLA Journal</t>
        </is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inlineStr">
        <is>
          <t>Tier 4</t>
        </is>
      </c>
      <c r="O1805" t="inlineStr">
        <is>
          <t>Amy Thorne — Editorial Director</t>
        </is>
      </c>
      <c r="P1805" t="inlineStr">
        <is>
          <t>Editorial Director</t>
        </is>
      </c>
      <c r="Y1805" t="inlineStr">
        <is>
          <t>todo</t>
        </is>
      </c>
      <c r="Z1805">
        <f>(M1805*Weights!$B$2) + (MIN(Q1805,Weights!$B$5)*Weights!$B$3*(W1805/100)*Weights!$B$4)</f>
        <v/>
      </c>
      <c r="AA1805">
        <f>IF(Z1805= ,,RANK.EQ({pri_col_letter}{r},{pri_range},0))</f>
        <v/>
      </c>
    </row>
    <row r="1806">
      <c r="A1806" t="inlineStr">
        <is>
          <t>SCW</t>
        </is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inlineStr">
        <is>
          <t>Tier 4</t>
        </is>
      </c>
      <c r="O1806" t="inlineStr">
        <is>
          <t>Cory Weikel — CEO</t>
        </is>
      </c>
      <c r="P1806" t="inlineStr">
        <is>
          <t>CEO</t>
        </is>
      </c>
      <c r="Y1806" t="inlineStr">
        <is>
          <t>todo</t>
        </is>
      </c>
      <c r="Z1806">
        <f>(M1806*Weights!$B$2) + (MIN(Q1806,Weights!$B$5)*Weights!$B$3*(W1806/100)*Weights!$B$4)</f>
        <v/>
      </c>
      <c r="AA1806">
        <f>IF(Z1806= ,,RANK.EQ({pri_col_letter}{r},{pri_range},0))</f>
        <v/>
      </c>
    </row>
    <row r="1807">
      <c r="A1807" t="inlineStr">
        <is>
          <t>SDIA</t>
        </is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inlineStr">
        <is>
          <t>Tier 4</t>
        </is>
      </c>
      <c r="O1807" t="inlineStr">
        <is>
          <t>Carl Klinck — Group leader</t>
        </is>
      </c>
      <c r="P1807" t="inlineStr">
        <is>
          <t>Group leader</t>
        </is>
      </c>
      <c r="Y1807" t="inlineStr">
        <is>
          <t>todo</t>
        </is>
      </c>
      <c r="Z1807">
        <f>(M1807*Weights!$B$2) + (MIN(Q1807,Weights!$B$5)*Weights!$B$3*(W1807/100)*Weights!$B$4)</f>
        <v/>
      </c>
      <c r="AA1807">
        <f>IF(Z1807= ,,RANK.EQ({pri_col_letter}{r},{pri_range},0))</f>
        <v/>
      </c>
    </row>
    <row r="1808">
      <c r="A1808" t="inlineStr">
        <is>
          <t>SDIABS</t>
        </is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inlineStr">
        <is>
          <t>Tier 4</t>
        </is>
      </c>
      <c r="O1808" t="inlineStr">
        <is>
          <t>Sung Jin — Team leader</t>
        </is>
      </c>
      <c r="P1808" t="inlineStr">
        <is>
          <t>Team leader</t>
        </is>
      </c>
      <c r="Y1808" t="inlineStr">
        <is>
          <t>todo</t>
        </is>
      </c>
      <c r="Z1808">
        <f>(M1808*Weights!$B$2) + (MIN(Q1808,Weights!$B$5)*Weights!$B$3*(W1808/100)*Weights!$B$4)</f>
        <v/>
      </c>
      <c r="AA1808">
        <f>IF(Z1808= ,,RANK.EQ({pri_col_letter}{r},{pri_range},0))</f>
        <v/>
      </c>
    </row>
    <row r="1809">
      <c r="A1809" t="inlineStr">
        <is>
          <t>SE Ventures</t>
        </is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inlineStr">
        <is>
          <t>Tier 4</t>
        </is>
      </c>
      <c r="O1809" t="inlineStr">
        <is>
          <t>Amit Chaturvedy — Managing Partner &amp; Global Head</t>
        </is>
      </c>
      <c r="P1809" t="inlineStr">
        <is>
          <t>Managing Partner &amp; Global Head</t>
        </is>
      </c>
      <c r="Y1809" t="inlineStr">
        <is>
          <t>todo</t>
        </is>
      </c>
      <c r="Z1809">
        <f>(M1809*Weights!$B$2) + (MIN(Q1809,Weights!$B$5)*Weights!$B$3*(W1809/100)*Weights!$B$4)</f>
        <v/>
      </c>
      <c r="AA1809">
        <f>IF(Z1809= ,,RANK.EQ({pri_col_letter}{r},{pri_range},0))</f>
        <v/>
      </c>
    </row>
    <row r="1810">
      <c r="A1810" t="inlineStr">
        <is>
          <t>SEAIR Global</t>
        </is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inlineStr">
        <is>
          <t>Tier 4</t>
        </is>
      </c>
      <c r="O1810" t="inlineStr">
        <is>
          <t>Kunal Thakkar — CEO</t>
        </is>
      </c>
      <c r="P1810" t="inlineStr">
        <is>
          <t>CEO</t>
        </is>
      </c>
      <c r="Y1810" t="inlineStr">
        <is>
          <t>todo</t>
        </is>
      </c>
      <c r="Z1810">
        <f>(M1810*Weights!$B$2) + (MIN(Q1810,Weights!$B$5)*Weights!$B$3*(W1810/100)*Weights!$B$4)</f>
        <v/>
      </c>
      <c r="AA1810">
        <f>IF(Z1810= ,,RANK.EQ({pri_col_letter}{r},{pri_range},0))</f>
        <v/>
      </c>
    </row>
    <row r="1811">
      <c r="A1811" t="inlineStr">
        <is>
          <t>SEN1Media</t>
        </is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inlineStr">
        <is>
          <t>Tier 4</t>
        </is>
      </c>
      <c r="O1811" t="inlineStr">
        <is>
          <t>Steevens Noel — Managing Director</t>
        </is>
      </c>
      <c r="P1811" t="inlineStr">
        <is>
          <t>Managing Director</t>
        </is>
      </c>
      <c r="Y1811" t="inlineStr">
        <is>
          <t>todo</t>
        </is>
      </c>
      <c r="Z1811">
        <f>(M1811*Weights!$B$2) + (MIN(Q1811,Weights!$B$5)*Weights!$B$3*(W1811/100)*Weights!$B$4)</f>
        <v/>
      </c>
      <c r="AA1811">
        <f>IF(Z1811= ,,RANK.EQ({pri_col_letter}{r},{pri_range},0))</f>
        <v/>
      </c>
    </row>
    <row r="1812">
      <c r="A1812" t="inlineStr">
        <is>
          <t>SGLabs: QicSCan AI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inlineStr">
        <is>
          <t>Tier 4</t>
        </is>
      </c>
      <c r="O1812" t="inlineStr">
        <is>
          <t>Gaurav Goomer — CEO</t>
        </is>
      </c>
      <c r="P1812" t="inlineStr">
        <is>
          <t>CEO</t>
        </is>
      </c>
      <c r="Y1812" t="inlineStr">
        <is>
          <t>todo</t>
        </is>
      </c>
      <c r="Z1812">
        <f>(M1812*Weights!$B$2) + (MIN(Q1812,Weights!$B$5)*Weights!$B$3*(W1812/100)*Weights!$B$4)</f>
        <v/>
      </c>
      <c r="AA1812">
        <f>IF(Z1812= ,,RANK.EQ({pri_col_letter}{r},{pri_range},0))</f>
        <v/>
      </c>
    </row>
    <row r="1813">
      <c r="A1813" t="inlineStr">
        <is>
          <t>SLAMCore</t>
        </is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inlineStr">
        <is>
          <t>Tier 4</t>
        </is>
      </c>
      <c r="O1813" t="inlineStr">
        <is>
          <t>Owen Nicholson — CEO &amp; Co‑founder</t>
        </is>
      </c>
      <c r="P1813" t="inlineStr">
        <is>
          <t>CEO &amp; Co‑founder</t>
        </is>
      </c>
      <c r="Y1813" t="inlineStr">
        <is>
          <t>todo</t>
        </is>
      </c>
      <c r="Z1813">
        <f>(M1813*Weights!$B$2) + (MIN(Q1813,Weights!$B$5)*Weights!$B$3*(W1813/100)*Weights!$B$4)</f>
        <v/>
      </c>
      <c r="AA1813">
        <f>IF(Z1813= ,,RANK.EQ({pri_col_letter}{r},{pri_range},0))</f>
        <v/>
      </c>
    </row>
    <row r="1814">
      <c r="A1814" t="inlineStr">
        <is>
          <t>SLM Group</t>
        </is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inlineStr">
        <is>
          <t>Tier 4</t>
        </is>
      </c>
      <c r="O1814" t="inlineStr">
        <is>
          <t>Daniel Luzzi — Managing Director</t>
        </is>
      </c>
      <c r="P1814" t="inlineStr">
        <is>
          <t>Managing Director</t>
        </is>
      </c>
      <c r="Y1814" t="inlineStr">
        <is>
          <t>todo</t>
        </is>
      </c>
      <c r="Z1814">
        <f>(M1814*Weights!$B$2) + (MIN(Q1814,Weights!$B$5)*Weights!$B$3*(W1814/100)*Weights!$B$4)</f>
        <v/>
      </c>
      <c r="AA1814">
        <f>IF(Z1814= ,,RANK.EQ({pri_col_letter}{r},{pri_range},0))</f>
        <v/>
      </c>
    </row>
    <row r="1815">
      <c r="A1815" t="inlineStr">
        <is>
          <t>SMB Transport, LLC</t>
        </is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inlineStr">
        <is>
          <t>Tier 4</t>
        </is>
      </c>
      <c r="O1815" t="inlineStr">
        <is>
          <t>Suzi Bennett — Agent Owner</t>
        </is>
      </c>
      <c r="P1815" t="inlineStr">
        <is>
          <t>Agent Owner</t>
        </is>
      </c>
      <c r="Y1815" t="inlineStr">
        <is>
          <t>todo</t>
        </is>
      </c>
      <c r="Z1815">
        <f>(M1815*Weights!$B$2) + (MIN(Q1815,Weights!$B$5)*Weights!$B$3*(W1815/100)*Weights!$B$4)</f>
        <v/>
      </c>
      <c r="AA1815">
        <f>IF(Z1815= ,,RANK.EQ({pri_col_letter}{r},{pri_range},0))</f>
        <v/>
      </c>
    </row>
    <row r="1816">
      <c r="A1816" t="inlineStr">
        <is>
          <t>SNCB</t>
        </is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inlineStr">
        <is>
          <t>Tier 4</t>
        </is>
      </c>
      <c r="O1816" t="inlineStr">
        <is>
          <t>David Squinquel — Manager of Operational Planning &amp; Competencies</t>
        </is>
      </c>
      <c r="P1816" t="inlineStr">
        <is>
          <t>Manager of Operational Planning &amp; Competencies</t>
        </is>
      </c>
      <c r="Y1816" t="inlineStr">
        <is>
          <t>todo</t>
        </is>
      </c>
      <c r="Z1816">
        <f>(M1816*Weights!$B$2) + (MIN(Q1816,Weights!$B$5)*Weights!$B$3*(W1816/100)*Weights!$B$4)</f>
        <v/>
      </c>
      <c r="AA1816">
        <f>IF(Z1816= ,,RANK.EQ({pri_col_letter}{r},{pri_range},0))</f>
        <v/>
      </c>
    </row>
    <row r="1817">
      <c r="A1817" t="inlineStr">
        <is>
          <t>SOAR Transportation Group</t>
        </is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inlineStr">
        <is>
          <t>Tier 4</t>
        </is>
      </c>
      <c r="O1817" t="inlineStr">
        <is>
          <t>Brian Pharaoh — Vice President</t>
        </is>
      </c>
      <c r="P1817" t="inlineStr">
        <is>
          <t>Vice President</t>
        </is>
      </c>
      <c r="Y1817" t="inlineStr">
        <is>
          <t>todo</t>
        </is>
      </c>
      <c r="Z1817">
        <f>(M1817*Weights!$B$2) + (MIN(Q1817,Weights!$B$5)*Weights!$B$3*(W1817/100)*Weights!$B$4)</f>
        <v/>
      </c>
      <c r="AA1817">
        <f>IF(Z1817= ,,RANK.EQ({pri_col_letter}{r},{pri_range},0))</f>
        <v/>
      </c>
    </row>
    <row r="1818">
      <c r="A1818" t="inlineStr">
        <is>
          <t>SPS Commerce, Inc</t>
        </is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inlineStr">
        <is>
          <t>Tier 4</t>
        </is>
      </c>
      <c r="O1818" t="inlineStr">
        <is>
          <t>John Strenger — Vice President, Corp Dev</t>
        </is>
      </c>
      <c r="P1818" t="inlineStr">
        <is>
          <t>Vice President, Corp Dev</t>
        </is>
      </c>
      <c r="Y1818" t="inlineStr">
        <is>
          <t>todo</t>
        </is>
      </c>
      <c r="Z1818">
        <f>(M1818*Weights!$B$2) + (MIN(Q1818,Weights!$B$5)*Weights!$B$3*(W1818/100)*Weights!$B$4)</f>
        <v/>
      </c>
      <c r="AA1818">
        <f>IF(Z1818= ,,RANK.EQ({pri_col_letter}{r},{pri_range},0))</f>
        <v/>
      </c>
    </row>
    <row r="1819">
      <c r="A1819" t="inlineStr">
        <is>
          <t>SS Automation and Controls</t>
        </is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inlineStr">
        <is>
          <t>Tier 4</t>
        </is>
      </c>
      <c r="O1819" t="inlineStr">
        <is>
          <t>Bryan Brevard — Senior Technology Consultant</t>
        </is>
      </c>
      <c r="P1819" t="inlineStr">
        <is>
          <t>Senior Technology Consultant</t>
        </is>
      </c>
      <c r="Y1819" t="inlineStr">
        <is>
          <t>todo</t>
        </is>
      </c>
      <c r="Z1819">
        <f>(M1819*Weights!$B$2) + (MIN(Q1819,Weights!$B$5)*Weights!$B$3*(W1819/100)*Weights!$B$4)</f>
        <v/>
      </c>
      <c r="AA1819">
        <f>IF(Z1819= ,,RANK.EQ({pri_col_letter}{r},{pri_range},0))</f>
        <v/>
      </c>
    </row>
    <row r="1820">
      <c r="A1820" t="inlineStr">
        <is>
          <t>STG Partners</t>
        </is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>
        <is>
          <t>Tier 4</t>
        </is>
      </c>
      <c r="O1820" t="inlineStr">
        <is>
          <t>Adam Hendricks — Managing Director</t>
        </is>
      </c>
      <c r="P1820" t="inlineStr">
        <is>
          <t>Managing Director</t>
        </is>
      </c>
      <c r="Y1820" t="inlineStr">
        <is>
          <t>todo</t>
        </is>
      </c>
      <c r="Z1820">
        <f>(M1820*Weights!$B$2) + (MIN(Q1820,Weights!$B$5)*Weights!$B$3*(W1820/100)*Weights!$B$4)</f>
        <v/>
      </c>
      <c r="AA1820">
        <f>IF(Z1820= ,,RANK.EQ({pri_col_letter}{r},{pri_range},0))</f>
        <v/>
      </c>
    </row>
    <row r="1821">
      <c r="A1821" t="inlineStr">
        <is>
          <t>STIQ</t>
        </is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inlineStr">
        <is>
          <t>Tier 4</t>
        </is>
      </c>
      <c r="O1821" t="inlineStr">
        <is>
          <t>Tom Anderson — Co-Founder</t>
        </is>
      </c>
      <c r="P1821" t="inlineStr">
        <is>
          <t>Co-Founder</t>
        </is>
      </c>
      <c r="Y1821" t="inlineStr">
        <is>
          <t>todo</t>
        </is>
      </c>
      <c r="Z1821">
        <f>(M1821*Weights!$B$2) + (MIN(Q1821,Weights!$B$5)*Weights!$B$3*(W1821/100)*Weights!$B$4)</f>
        <v/>
      </c>
      <c r="AA1821">
        <f>IF(Z1821= ,,RANK.EQ({pri_col_letter}{r},{pri_range},0))</f>
        <v/>
      </c>
    </row>
    <row r="1822">
      <c r="A1822" t="inlineStr">
        <is>
          <t>SWS Power Solutions</t>
        </is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inlineStr">
        <is>
          <t>Tier 4</t>
        </is>
      </c>
      <c r="O1822" t="inlineStr">
        <is>
          <t>Patrick Sluga — CEO &amp; Founder</t>
        </is>
      </c>
      <c r="P1822" t="inlineStr">
        <is>
          <t>CEO &amp; Founder</t>
        </is>
      </c>
      <c r="Y1822" t="inlineStr">
        <is>
          <t>todo</t>
        </is>
      </c>
      <c r="Z1822">
        <f>(M1822*Weights!$B$2) + (MIN(Q1822,Weights!$B$5)*Weights!$B$3*(W1822/100)*Weights!$B$4)</f>
        <v/>
      </c>
      <c r="AA1822">
        <f>IF(Z1822= ,,RANK.EQ({pri_col_letter}{r},{pri_range},0))</f>
        <v/>
      </c>
    </row>
    <row r="1823">
      <c r="A1823" t="inlineStr">
        <is>
          <t>SYNAOS</t>
        </is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inlineStr">
        <is>
          <t>Tier 4</t>
        </is>
      </c>
      <c r="O1823" t="inlineStr">
        <is>
          <t>Dr Wolfgang Hackenberg — CEO</t>
        </is>
      </c>
      <c r="P1823" t="inlineStr">
        <is>
          <t>CEO</t>
        </is>
      </c>
      <c r="Y1823" t="inlineStr">
        <is>
          <t>todo</t>
        </is>
      </c>
      <c r="Z1823">
        <f>(M1823*Weights!$B$2) + (MIN(Q1823,Weights!$B$5)*Weights!$B$3*(W1823/100)*Weights!$B$4)</f>
        <v/>
      </c>
      <c r="AA1823">
        <f>IF(Z1823= ,,RANK.EQ({pri_col_letter}{r},{pri_range},0))</f>
        <v/>
      </c>
    </row>
    <row r="1824">
      <c r="A1824" t="inlineStr">
        <is>
          <t>SYNTRA</t>
        </is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>
        <is>
          <t>Tier 4</t>
        </is>
      </c>
      <c r="O1824" t="inlineStr">
        <is>
          <t>Carlos Carrillo Jr — CEO &amp; Founder</t>
        </is>
      </c>
      <c r="P1824" t="inlineStr">
        <is>
          <t>CEO &amp; Founder</t>
        </is>
      </c>
      <c r="Y1824" t="inlineStr">
        <is>
          <t>todo</t>
        </is>
      </c>
      <c r="Z1824">
        <f>(M1824*Weights!$B$2) + (MIN(Q1824,Weights!$B$5)*Weights!$B$3*(W1824/100)*Weights!$B$4)</f>
        <v/>
      </c>
      <c r="AA1824">
        <f>IF(Z1824= ,,RANK.EQ({pri_col_letter}{r},{pri_range},0))</f>
        <v/>
      </c>
    </row>
    <row r="1825">
      <c r="A1825" t="inlineStr">
        <is>
          <t>SYNTRA SCOTI Platform</t>
        </is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inlineStr">
        <is>
          <t>Tier 4</t>
        </is>
      </c>
      <c r="O1825" t="inlineStr">
        <is>
          <t>Mike Sharpe — Chief Solutions Officer</t>
        </is>
      </c>
      <c r="P1825" t="inlineStr">
        <is>
          <t>Chief Solutions Officer</t>
        </is>
      </c>
      <c r="Y1825" t="inlineStr">
        <is>
          <t>todo</t>
        </is>
      </c>
      <c r="Z1825">
        <f>(M1825*Weights!$B$2) + (MIN(Q1825,Weights!$B$5)*Weights!$B$3*(W1825/100)*Weights!$B$4)</f>
        <v/>
      </c>
      <c r="AA1825">
        <f>IF(Z1825= ,,RANK.EQ({pri_col_letter}{r},{pri_range},0))</f>
        <v/>
      </c>
    </row>
    <row r="1826">
      <c r="A1826" t="inlineStr">
        <is>
          <t>Saddle Creek Logistics</t>
        </is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inlineStr">
        <is>
          <t>Tier 4</t>
        </is>
      </c>
      <c r="O1826" t="inlineStr">
        <is>
          <t>Jaime Culberson — Director, Systems</t>
        </is>
      </c>
      <c r="P1826" t="inlineStr">
        <is>
          <t>Director, Systems</t>
        </is>
      </c>
      <c r="Y1826" t="inlineStr">
        <is>
          <t>todo</t>
        </is>
      </c>
      <c r="Z1826">
        <f>(M1826*Weights!$B$2) + (MIN(Q1826,Weights!$B$5)*Weights!$B$3*(W1826/100)*Weights!$B$4)</f>
        <v/>
      </c>
      <c r="AA1826">
        <f>IF(Z1826= ,,RANK.EQ({pri_col_letter}{r},{pri_range},0))</f>
        <v/>
      </c>
    </row>
    <row r="1827">
      <c r="A1827" t="inlineStr">
        <is>
          <t>Safran Passenger Innovations</t>
        </is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inlineStr">
        <is>
          <t>Tier 4</t>
        </is>
      </c>
      <c r="O1827" t="inlineStr">
        <is>
          <t>Erika Estrada — Supplier Performance Manager</t>
        </is>
      </c>
      <c r="P1827" t="inlineStr">
        <is>
          <t>Supplier Performance Manager</t>
        </is>
      </c>
      <c r="Y1827" t="inlineStr">
        <is>
          <t>todo</t>
        </is>
      </c>
      <c r="Z1827">
        <f>(M1827*Weights!$B$2) + (MIN(Q1827,Weights!$B$5)*Weights!$B$3*(W1827/100)*Weights!$B$4)</f>
        <v/>
      </c>
      <c r="AA1827">
        <f>IF(Z1827= ,,RANK.EQ({pri_col_letter}{r},{pri_range},0))</f>
        <v/>
      </c>
    </row>
    <row r="1828">
      <c r="A1828" t="inlineStr">
        <is>
          <t>Salsa Jeans</t>
        </is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inlineStr">
        <is>
          <t>Tier 4</t>
        </is>
      </c>
      <c r="O1828" t="inlineStr">
        <is>
          <t>Mário Ferreira — Transports Manager</t>
        </is>
      </c>
      <c r="P1828" t="inlineStr">
        <is>
          <t>Transports Manager</t>
        </is>
      </c>
      <c r="Y1828" t="inlineStr">
        <is>
          <t>todo</t>
        </is>
      </c>
      <c r="Z1828">
        <f>(M1828*Weights!$B$2) + (MIN(Q1828,Weights!$B$5)*Weights!$B$3*(W1828/100)*Weights!$B$4)</f>
        <v/>
      </c>
      <c r="AA1828">
        <f>IF(Z1828= ,,RANK.EQ({pri_col_letter}{r},{pri_range},0))</f>
        <v/>
      </c>
    </row>
    <row r="1829">
      <c r="A1829" t="inlineStr">
        <is>
          <t>Salt River Project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inlineStr">
        <is>
          <t>Tier 4</t>
        </is>
      </c>
      <c r="O1829" t="inlineStr">
        <is>
          <t>Adam Douglas — Director</t>
        </is>
      </c>
      <c r="P1829" t="inlineStr">
        <is>
          <t>Director</t>
        </is>
      </c>
      <c r="Y1829" t="inlineStr">
        <is>
          <t>todo</t>
        </is>
      </c>
      <c r="Z1829">
        <f>(M1829*Weights!$B$2) + (MIN(Q1829,Weights!$B$5)*Weights!$B$3*(W1829/100)*Weights!$B$4)</f>
        <v/>
      </c>
      <c r="AA1829">
        <f>IF(Z1829= ,,RANK.EQ({pri_col_letter}{r},{pri_range},0))</f>
        <v/>
      </c>
    </row>
    <row r="1830">
      <c r="A1830" t="inlineStr">
        <is>
          <t>Salvador Tech</t>
        </is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inlineStr">
        <is>
          <t>Tier 4</t>
        </is>
      </c>
      <c r="O1830" t="inlineStr">
        <is>
          <t>Amit Hammer — CEO</t>
        </is>
      </c>
      <c r="P1830" t="inlineStr">
        <is>
          <t>CEO</t>
        </is>
      </c>
      <c r="Y1830" t="inlineStr">
        <is>
          <t>todo</t>
        </is>
      </c>
      <c r="Z1830">
        <f>(M1830*Weights!$B$2) + (MIN(Q1830,Weights!$B$5)*Weights!$B$3*(W1830/100)*Weights!$B$4)</f>
        <v/>
      </c>
      <c r="AA1830">
        <f>IF(Z1830= ,,RANK.EQ({pri_col_letter}{r},{pri_range},0))</f>
        <v/>
      </c>
    </row>
    <row r="1831">
      <c r="A1831" t="inlineStr">
        <is>
          <t>Salzillo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inlineStr">
        <is>
          <t>Tier 4</t>
        </is>
      </c>
      <c r="O1831" t="inlineStr">
        <is>
          <t>Paola López Espinoza — Digital Transformation Manager</t>
        </is>
      </c>
      <c r="P1831" t="inlineStr">
        <is>
          <t>Digital Transformation Manager</t>
        </is>
      </c>
      <c r="Y1831" t="inlineStr">
        <is>
          <t>todo</t>
        </is>
      </c>
      <c r="Z1831">
        <f>(M1831*Weights!$B$2) + (MIN(Q1831,Weights!$B$5)*Weights!$B$3*(W1831/100)*Weights!$B$4)</f>
        <v/>
      </c>
      <c r="AA1831">
        <f>IF(Z1831= ,,RANK.EQ({pri_col_letter}{r},{pri_range},0))</f>
        <v/>
      </c>
    </row>
    <row r="1832">
      <c r="A1832" t="inlineStr">
        <is>
          <t>Samsung Austin Semiconductor</t>
        </is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inlineStr">
        <is>
          <t>Tier 4</t>
        </is>
      </c>
      <c r="O1832" t="inlineStr">
        <is>
          <t>Timothy Drennon — Director / Team leader</t>
        </is>
      </c>
      <c r="P1832" t="inlineStr">
        <is>
          <t>Director / Team leader</t>
        </is>
      </c>
      <c r="Y1832" t="inlineStr">
        <is>
          <t>todo</t>
        </is>
      </c>
      <c r="Z1832">
        <f>(M1832*Weights!$B$2) + (MIN(Q1832,Weights!$B$5)*Weights!$B$3*(W1832/100)*Weights!$B$4)</f>
        <v/>
      </c>
      <c r="AA1832">
        <f>IF(Z1832= ,,RANK.EQ({pri_col_letter}{r},{pri_range},0))</f>
        <v/>
      </c>
    </row>
    <row r="1833">
      <c r="A1833" t="inlineStr">
        <is>
          <t>Sapphire</t>
        </is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inlineStr">
        <is>
          <t>Tier 4</t>
        </is>
      </c>
      <c r="O1833" t="inlineStr">
        <is>
          <t>Andrew Vogeley — Investor</t>
        </is>
      </c>
      <c r="P1833" t="inlineStr">
        <is>
          <t>Investor</t>
        </is>
      </c>
      <c r="Y1833" t="inlineStr">
        <is>
          <t>todo</t>
        </is>
      </c>
      <c r="Z1833">
        <f>(M1833*Weights!$B$2) + (MIN(Q1833,Weights!$B$5)*Weights!$B$3*(W1833/100)*Weights!$B$4)</f>
        <v/>
      </c>
      <c r="AA1833">
        <f>IF(Z1833= ,,RANK.EQ({pri_col_letter}{r},{pri_range},0))</f>
        <v/>
      </c>
    </row>
    <row r="1834">
      <c r="A1834" t="inlineStr">
        <is>
          <t>Schematic Ventures</t>
        </is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inlineStr">
        <is>
          <t>Tier 4</t>
        </is>
      </c>
      <c r="O1834" t="inlineStr">
        <is>
          <t>Julian Counihan — Investor</t>
        </is>
      </c>
      <c r="P1834" t="inlineStr">
        <is>
          <t>Investor</t>
        </is>
      </c>
      <c r="Y1834" t="inlineStr">
        <is>
          <t>todo</t>
        </is>
      </c>
      <c r="Z1834">
        <f>(M1834*Weights!$B$2) + (MIN(Q1834,Weights!$B$5)*Weights!$B$3*(W1834/100)*Weights!$B$4)</f>
        <v/>
      </c>
      <c r="AA1834">
        <f>IF(Z1834= ,,RANK.EQ({pri_col_letter}{r},{pri_range},0))</f>
        <v/>
      </c>
    </row>
    <row r="1835">
      <c r="A1835" t="inlineStr">
        <is>
          <t>SeaSky Advisors</t>
        </is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inlineStr">
        <is>
          <t>Tier 4</t>
        </is>
      </c>
      <c r="O1835" t="inlineStr">
        <is>
          <t>Amine Khechfe — CEO, Advisor, Board</t>
        </is>
      </c>
      <c r="P1835" t="inlineStr">
        <is>
          <t>CEO, Advisor, Board</t>
        </is>
      </c>
      <c r="Y1835" t="inlineStr">
        <is>
          <t>todo</t>
        </is>
      </c>
      <c r="Z1835">
        <f>(M1835*Weights!$B$2) + (MIN(Q1835,Weights!$B$5)*Weights!$B$3*(W1835/100)*Weights!$B$4)</f>
        <v/>
      </c>
      <c r="AA1835">
        <f>IF(Z1835= ,,RANK.EQ({pri_col_letter}{r},{pri_range},0))</f>
        <v/>
      </c>
    </row>
    <row r="1836">
      <c r="A1836" t="inlineStr">
        <is>
          <t>Seabound</t>
        </is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inlineStr">
        <is>
          <t>Tier 4</t>
        </is>
      </c>
      <c r="O1836" t="inlineStr">
        <is>
          <t>Alisha Fredriksson — CEO &amp; Co-Founder</t>
        </is>
      </c>
      <c r="P1836" t="inlineStr">
        <is>
          <t>CEO &amp; Co-Founder</t>
        </is>
      </c>
      <c r="Y1836" t="inlineStr">
        <is>
          <t>todo</t>
        </is>
      </c>
      <c r="Z1836">
        <f>(M1836*Weights!$B$2) + (MIN(Q1836,Weights!$B$5)*Weights!$B$3*(W1836/100)*Weights!$B$4)</f>
        <v/>
      </c>
      <c r="AA1836">
        <f>IF(Z1836= ,,RANK.EQ({pri_col_letter}{r},{pri_range},0))</f>
        <v/>
      </c>
    </row>
    <row r="1837">
      <c r="A1837" t="inlineStr">
        <is>
          <t>Secro</t>
        </is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inlineStr">
        <is>
          <t>Tier 4</t>
        </is>
      </c>
      <c r="O1837" t="inlineStr">
        <is>
          <t>Michele Sancricca — CEO &amp; Co-Founder</t>
        </is>
      </c>
      <c r="P1837" t="inlineStr">
        <is>
          <t>CEO &amp; Co-Founder</t>
        </is>
      </c>
      <c r="Y1837" t="inlineStr">
        <is>
          <t>todo</t>
        </is>
      </c>
      <c r="Z1837">
        <f>(M1837*Weights!$B$2) + (MIN(Q1837,Weights!$B$5)*Weights!$B$3*(W1837/100)*Weights!$B$4)</f>
        <v/>
      </c>
      <c r="AA1837">
        <f>IF(Z1837= ,,RANK.EQ({pri_col_letter}{r},{pri_range},0))</f>
        <v/>
      </c>
    </row>
    <row r="1838">
      <c r="A1838" t="inlineStr">
        <is>
          <t>SelectFlorida</t>
        </is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inlineStr">
        <is>
          <t>Tier 4</t>
        </is>
      </c>
      <c r="O1838" t="inlineStr">
        <is>
          <t>Matt Swanson — President &amp; CEO</t>
        </is>
      </c>
      <c r="P1838" t="inlineStr">
        <is>
          <t>President &amp; CEO</t>
        </is>
      </c>
      <c r="Y1838" t="inlineStr">
        <is>
          <t>todo</t>
        </is>
      </c>
      <c r="Z1838">
        <f>(M1838*Weights!$B$2) + (MIN(Q1838,Weights!$B$5)*Weights!$B$3*(W1838/100)*Weights!$B$4)</f>
        <v/>
      </c>
      <c r="AA1838">
        <f>IF(Z1838= ,,RANK.EQ({pri_col_letter}{r},{pri_range},0))</f>
        <v/>
      </c>
    </row>
    <row r="1839">
      <c r="A1839" t="inlineStr">
        <is>
          <t>Self</t>
        </is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>
        <is>
          <t>Tier 4</t>
        </is>
      </c>
      <c r="O1839" t="inlineStr">
        <is>
          <t>Jie Huang — Builder</t>
        </is>
      </c>
      <c r="P1839" t="inlineStr">
        <is>
          <t>Builder</t>
        </is>
      </c>
      <c r="Y1839" t="inlineStr">
        <is>
          <t>todo</t>
        </is>
      </c>
      <c r="Z1839">
        <f>(M1839*Weights!$B$2) + (MIN(Q1839,Weights!$B$5)*Weights!$B$3*(W1839/100)*Weights!$B$4)</f>
        <v/>
      </c>
      <c r="AA1839">
        <f>IF(Z1839= ,,RANK.EQ({pri_col_letter}{r},{pri_range},0))</f>
        <v/>
      </c>
    </row>
    <row r="1840">
      <c r="A1840" t="inlineStr">
        <is>
          <t>Seller Hardware</t>
        </is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inlineStr">
        <is>
          <t>Tier 4</t>
        </is>
      </c>
      <c r="O1840" t="inlineStr">
        <is>
          <t>Jeremy Greenberg — CEO</t>
        </is>
      </c>
      <c r="P1840" t="inlineStr">
        <is>
          <t>CEO</t>
        </is>
      </c>
      <c r="Y1840" t="inlineStr">
        <is>
          <t>todo</t>
        </is>
      </c>
      <c r="Z1840">
        <f>(M1840*Weights!$B$2) + (MIN(Q1840,Weights!$B$5)*Weights!$B$3*(W1840/100)*Weights!$B$4)</f>
        <v/>
      </c>
      <c r="AA1840">
        <f>IF(Z1840= ,,RANK.EQ({pri_col_letter}{r},{pri_range},0))</f>
        <v/>
      </c>
    </row>
    <row r="1841">
      <c r="A1841" t="inlineStr">
        <is>
          <t>Sendflex</t>
        </is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inlineStr">
        <is>
          <t>Tier 4</t>
        </is>
      </c>
      <c r="O1841" t="inlineStr">
        <is>
          <t>Bob Malley — CEO</t>
        </is>
      </c>
      <c r="P1841" t="inlineStr">
        <is>
          <t>CEO</t>
        </is>
      </c>
      <c r="Y1841" t="inlineStr">
        <is>
          <t>todo</t>
        </is>
      </c>
      <c r="Z1841">
        <f>(M1841*Weights!$B$2) + (MIN(Q1841,Weights!$B$5)*Weights!$B$3*(W1841/100)*Weights!$B$4)</f>
        <v/>
      </c>
      <c r="AA1841">
        <f>IF(Z1841= ,,RANK.EQ({pri_col_letter}{r},{pri_range},0))</f>
        <v/>
      </c>
    </row>
    <row r="1842">
      <c r="A1842" t="inlineStr">
        <is>
          <t>Sens AI Platforms, Inc</t>
        </is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inlineStr">
        <is>
          <t>Tier 4</t>
        </is>
      </c>
      <c r="O1842" t="inlineStr">
        <is>
          <t>Ray Sikka — CEO</t>
        </is>
      </c>
      <c r="P1842" t="inlineStr">
        <is>
          <t>CEO</t>
        </is>
      </c>
      <c r="Y1842" t="inlineStr">
        <is>
          <t>todo</t>
        </is>
      </c>
      <c r="Z1842">
        <f>(M1842*Weights!$B$2) + (MIN(Q1842,Weights!$B$5)*Weights!$B$3*(W1842/100)*Weights!$B$4)</f>
        <v/>
      </c>
      <c r="AA1842">
        <f>IF(Z1842= ,,RANK.EQ({pri_col_letter}{r},{pri_range},0))</f>
        <v/>
      </c>
    </row>
    <row r="1843">
      <c r="A1843" t="inlineStr">
        <is>
          <t>Sensigo</t>
        </is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inlineStr">
        <is>
          <t>Tier 4</t>
        </is>
      </c>
      <c r="O1843" t="inlineStr">
        <is>
          <t>Rakesh Hegde — CEO</t>
        </is>
      </c>
      <c r="P1843" t="inlineStr">
        <is>
          <t>CEO</t>
        </is>
      </c>
      <c r="Y1843" t="inlineStr">
        <is>
          <t>todo</t>
        </is>
      </c>
      <c r="Z1843">
        <f>(M1843*Weights!$B$2) + (MIN(Q1843,Weights!$B$5)*Weights!$B$3*(W1843/100)*Weights!$B$4)</f>
        <v/>
      </c>
      <c r="AA1843">
        <f>IF(Z1843= ,,RANK.EQ({pri_col_letter}{r},{pri_range},0))</f>
        <v/>
      </c>
    </row>
    <row r="1844">
      <c r="A1844" t="inlineStr">
        <is>
          <t>Seoyon E-HWA Texas</t>
        </is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>
        <is>
          <t>Tier 4</t>
        </is>
      </c>
      <c r="O1844" t="inlineStr">
        <is>
          <t>Sung Ho — President</t>
        </is>
      </c>
      <c r="P1844" t="inlineStr">
        <is>
          <t>President</t>
        </is>
      </c>
      <c r="Y1844" t="inlineStr">
        <is>
          <t>todo</t>
        </is>
      </c>
      <c r="Z1844">
        <f>(M1844*Weights!$B$2) + (MIN(Q1844,Weights!$B$5)*Weights!$B$3*(W1844/100)*Weights!$B$4)</f>
        <v/>
      </c>
      <c r="AA1844">
        <f>IF(Z1844= ,,RANK.EQ({pri_col_letter}{r},{pri_range},0))</f>
        <v/>
      </c>
    </row>
    <row r="1845">
      <c r="A1845" t="inlineStr">
        <is>
          <t>Sereact</t>
        </is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inlineStr">
        <is>
          <t>Tier 4</t>
        </is>
      </c>
      <c r="O1845" t="inlineStr">
        <is>
          <t>Ralf Gulde — CEO &amp; Co-Founder</t>
        </is>
      </c>
      <c r="P1845" t="inlineStr">
        <is>
          <t>CEO &amp; Co-Founder</t>
        </is>
      </c>
      <c r="Y1845" t="inlineStr">
        <is>
          <t>todo</t>
        </is>
      </c>
      <c r="Z1845">
        <f>(M1845*Weights!$B$2) + (MIN(Q1845,Weights!$B$5)*Weights!$B$3*(W1845/100)*Weights!$B$4)</f>
        <v/>
      </c>
      <c r="AA1845">
        <f>IF(Z1845= ,,RANK.EQ({pri_col_letter}{r},{pri_range},0))</f>
        <v/>
      </c>
    </row>
    <row r="1846">
      <c r="A1846" t="inlineStr">
        <is>
          <t>Serve Freight</t>
        </is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inlineStr">
        <is>
          <t>Tier 4</t>
        </is>
      </c>
      <c r="O1846" t="inlineStr">
        <is>
          <t>John Pidgorodetskiy — CEO &amp; Founder</t>
        </is>
      </c>
      <c r="P1846" t="inlineStr">
        <is>
          <t>CEO &amp; Founder</t>
        </is>
      </c>
      <c r="Y1846" t="inlineStr">
        <is>
          <t>todo</t>
        </is>
      </c>
      <c r="Z1846">
        <f>(M1846*Weights!$B$2) + (MIN(Q1846,Weights!$B$5)*Weights!$B$3*(W1846/100)*Weights!$B$4)</f>
        <v/>
      </c>
      <c r="AA1846">
        <f>IF(Z1846= ,,RANK.EQ({pri_col_letter}{r},{pri_range},0))</f>
        <v/>
      </c>
    </row>
    <row r="1847">
      <c r="A1847" t="inlineStr">
        <is>
          <t>Ship Happens</t>
        </is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inlineStr">
        <is>
          <t>Tier 4</t>
        </is>
      </c>
      <c r="O1847" t="inlineStr">
        <is>
          <t>Jennifer Morris — Content Creator/Media</t>
        </is>
      </c>
      <c r="P1847" t="inlineStr">
        <is>
          <t>Content Creator/Media</t>
        </is>
      </c>
      <c r="Y1847" t="inlineStr">
        <is>
          <t>todo</t>
        </is>
      </c>
      <c r="Z1847">
        <f>(M1847*Weights!$B$2) + (MIN(Q1847,Weights!$B$5)*Weights!$B$3*(W1847/100)*Weights!$B$4)</f>
        <v/>
      </c>
      <c r="AA1847">
        <f>IF(Z1847= ,,RANK.EQ({pri_col_letter}{r},{pri_range},0))</f>
        <v/>
      </c>
    </row>
    <row r="1848">
      <c r="A1848" t="inlineStr">
        <is>
          <t>Shipping and Freight Resource</t>
        </is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inlineStr">
        <is>
          <t>Tier 4</t>
        </is>
      </c>
      <c r="O1848" t="inlineStr">
        <is>
          <t>Hariesh Manaadiar — Founder</t>
        </is>
      </c>
      <c r="P1848" t="inlineStr">
        <is>
          <t>Founder</t>
        </is>
      </c>
      <c r="Y1848" t="inlineStr">
        <is>
          <t>todo</t>
        </is>
      </c>
      <c r="Z1848">
        <f>(M1848*Weights!$B$2) + (MIN(Q1848,Weights!$B$5)*Weights!$B$3*(W1848/100)*Weights!$B$4)</f>
        <v/>
      </c>
      <c r="AA1848">
        <f>IF(Z1848= ,,RANK.EQ({pri_col_letter}{r},{pri_range},0))</f>
        <v/>
      </c>
    </row>
    <row r="1849">
      <c r="A1849" t="inlineStr">
        <is>
          <t>Shipthis Inc</t>
        </is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inlineStr">
        <is>
          <t>Tier 4</t>
        </is>
      </c>
      <c r="O1849" t="inlineStr">
        <is>
          <t>Ahmed Shabib — CEO</t>
        </is>
      </c>
      <c r="P1849" t="inlineStr">
        <is>
          <t>CEO</t>
        </is>
      </c>
      <c r="Y1849" t="inlineStr">
        <is>
          <t>todo</t>
        </is>
      </c>
      <c r="Z1849">
        <f>(M1849*Weights!$B$2) + (MIN(Q1849,Weights!$B$5)*Weights!$B$3*(W1849/100)*Weights!$B$4)</f>
        <v/>
      </c>
      <c r="AA1849">
        <f>IF(Z1849= ,,RANK.EQ({pri_col_letter}{r},{pri_range},0))</f>
        <v/>
      </c>
    </row>
    <row r="1850">
      <c r="A1850" t="inlineStr">
        <is>
          <t>Shipthis, Inc</t>
        </is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>
        <is>
          <t>Tier 4</t>
        </is>
      </c>
      <c r="O1850" t="inlineStr">
        <is>
          <t>Sartaj Beary — Chief Business Officer</t>
        </is>
      </c>
      <c r="P1850" t="inlineStr">
        <is>
          <t>Chief Business Officer</t>
        </is>
      </c>
      <c r="Y1850" t="inlineStr">
        <is>
          <t>todo</t>
        </is>
      </c>
      <c r="Z1850">
        <f>(M1850*Weights!$B$2) + (MIN(Q1850,Weights!$B$5)*Weights!$B$3*(W1850/100)*Weights!$B$4)</f>
        <v/>
      </c>
      <c r="AA1850">
        <f>IF(Z1850= ,,RANK.EQ({pri_col_letter}{r},{pri_range},0))</f>
        <v/>
      </c>
    </row>
    <row r="1851">
      <c r="A1851" t="inlineStr">
        <is>
          <t>Shypple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>
        <is>
          <t>Tier 4</t>
        </is>
      </c>
      <c r="O1851" t="inlineStr">
        <is>
          <t>Jarell Habets — CEO</t>
        </is>
      </c>
      <c r="P1851" t="inlineStr">
        <is>
          <t>CEO</t>
        </is>
      </c>
      <c r="Y1851" t="inlineStr">
        <is>
          <t>todo</t>
        </is>
      </c>
      <c r="Z1851">
        <f>(M1851*Weights!$B$2) + (MIN(Q1851,Weights!$B$5)*Weights!$B$3*(W1851/100)*Weights!$B$4)</f>
        <v/>
      </c>
      <c r="AA1851">
        <f>IF(Z1851= ,,RANK.EQ({pri_col_letter}{r},{pri_range},0))</f>
        <v/>
      </c>
    </row>
    <row r="1852">
      <c r="A1852" t="inlineStr">
        <is>
          <t>Siam Logistics</t>
        </is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>
        <is>
          <t>Tier 4</t>
        </is>
      </c>
      <c r="O1852" t="inlineStr">
        <is>
          <t>Sang Funches — Owner</t>
        </is>
      </c>
      <c r="P1852" t="inlineStr">
        <is>
          <t>Owner</t>
        </is>
      </c>
      <c r="Y1852" t="inlineStr">
        <is>
          <t>todo</t>
        </is>
      </c>
      <c r="Z1852">
        <f>(M1852*Weights!$B$2) + (MIN(Q1852,Weights!$B$5)*Weights!$B$3*(W1852/100)*Weights!$B$4)</f>
        <v/>
      </c>
      <c r="AA1852">
        <f>IF(Z1852= ,,RANK.EQ({pri_col_letter}{r},{pri_range},0))</f>
        <v/>
      </c>
    </row>
    <row r="1853">
      <c r="A1853" t="inlineStr">
        <is>
          <t>Sift</t>
        </is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>
        <is>
          <t>Tier 4</t>
        </is>
      </c>
      <c r="O1853" t="inlineStr">
        <is>
          <t>JJ Houldin — Co-Founder &amp; Managing Partner</t>
        </is>
      </c>
      <c r="P1853" t="inlineStr">
        <is>
          <t>Co-Founder &amp; Managing Partner</t>
        </is>
      </c>
      <c r="Y1853" t="inlineStr">
        <is>
          <t>todo</t>
        </is>
      </c>
      <c r="Z1853">
        <f>(M1853*Weights!$B$2) + (MIN(Q1853,Weights!$B$5)*Weights!$B$3*(W1853/100)*Weights!$B$4)</f>
        <v/>
      </c>
      <c r="AA1853">
        <f>IF(Z1853= ,,RANK.EQ({pri_col_letter}{r},{pri_range},0))</f>
        <v/>
      </c>
    </row>
    <row r="1854">
      <c r="A1854" t="inlineStr">
        <is>
          <t>Sigma Solve Inc</t>
        </is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>
        <is>
          <t>Tier 4</t>
        </is>
      </c>
      <c r="O1854" t="inlineStr">
        <is>
          <t>Chris Barton — Senior Client Partner</t>
        </is>
      </c>
      <c r="P1854" t="inlineStr">
        <is>
          <t>Senior Client Partner</t>
        </is>
      </c>
      <c r="Y1854" t="inlineStr">
        <is>
          <t>todo</t>
        </is>
      </c>
      <c r="Z1854">
        <f>(M1854*Weights!$B$2) + (MIN(Q1854,Weights!$B$5)*Weights!$B$3*(W1854/100)*Weights!$B$4)</f>
        <v/>
      </c>
      <c r="AA1854">
        <f>IF(Z1854= ,,RANK.EQ({pri_col_letter}{r},{pri_range},0))</f>
        <v/>
      </c>
    </row>
    <row r="1855">
      <c r="A1855" t="inlineStr">
        <is>
          <t>Silk Road Nexus</t>
        </is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>
        <is>
          <t>Tier 4</t>
        </is>
      </c>
      <c r="O1855" t="inlineStr">
        <is>
          <t>Nikhil Varshney — Owner</t>
        </is>
      </c>
      <c r="P1855" t="inlineStr">
        <is>
          <t>Owner</t>
        </is>
      </c>
      <c r="Y1855" t="inlineStr">
        <is>
          <t>todo</t>
        </is>
      </c>
      <c r="Z1855">
        <f>(M1855*Weights!$B$2) + (MIN(Q1855,Weights!$B$5)*Weights!$B$3*(W1855/100)*Weights!$B$4)</f>
        <v/>
      </c>
      <c r="AA1855">
        <f>IF(Z1855= ,,RANK.EQ({pri_col_letter}{r},{pri_range},0))</f>
        <v/>
      </c>
    </row>
    <row r="1856">
      <c r="A1856" t="inlineStr">
        <is>
          <t>Silversmith Capital Partners</t>
        </is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>
        <is>
          <t>Tier 4</t>
        </is>
      </c>
      <c r="O1856" t="inlineStr">
        <is>
          <t>Jack McKim — Associate</t>
        </is>
      </c>
      <c r="P1856" t="inlineStr">
        <is>
          <t>Associate</t>
        </is>
      </c>
      <c r="Y1856" t="inlineStr">
        <is>
          <t>todo</t>
        </is>
      </c>
      <c r="Z1856">
        <f>(M1856*Weights!$B$2) + (MIN(Q1856,Weights!$B$5)*Weights!$B$3*(W1856/100)*Weights!$B$4)</f>
        <v/>
      </c>
      <c r="AA1856">
        <f>IF(Z1856= ,,RANK.EQ({pri_col_letter}{r},{pri_range},0))</f>
        <v/>
      </c>
    </row>
    <row r="1857">
      <c r="A1857" t="inlineStr">
        <is>
          <t>Simyon NA Corp</t>
        </is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>
        <is>
          <t>Tier 4</t>
        </is>
      </c>
      <c r="O1857" t="inlineStr">
        <is>
          <t>Chaekyong Lee — President</t>
        </is>
      </c>
      <c r="P1857" t="inlineStr">
        <is>
          <t>President</t>
        </is>
      </c>
      <c r="Y1857" t="inlineStr">
        <is>
          <t>todo</t>
        </is>
      </c>
      <c r="Z1857">
        <f>(M1857*Weights!$B$2) + (MIN(Q1857,Weights!$B$5)*Weights!$B$3*(W1857/100)*Weights!$B$4)</f>
        <v/>
      </c>
      <c r="AA1857">
        <f>IF(Z1857= ,,RANK.EQ({pri_col_letter}{r},{pri_range},0))</f>
        <v/>
      </c>
    </row>
    <row r="1858">
      <c r="A1858" t="inlineStr">
        <is>
          <t>SinnovaTek</t>
        </is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>
        <is>
          <t>Tier 4</t>
        </is>
      </c>
      <c r="O1858" t="inlineStr">
        <is>
          <t>Tyler Brown — President &amp; COO</t>
        </is>
      </c>
      <c r="P1858" t="inlineStr">
        <is>
          <t>President &amp; COO</t>
        </is>
      </c>
      <c r="Y1858" t="inlineStr">
        <is>
          <t>todo</t>
        </is>
      </c>
      <c r="Z1858">
        <f>(M1858*Weights!$B$2) + (MIN(Q1858,Weights!$B$5)*Weights!$B$3*(W1858/100)*Weights!$B$4)</f>
        <v/>
      </c>
      <c r="AA1858">
        <f>IF(Z1858= ,,RANK.EQ({pri_col_letter}{r},{pri_range},0))</f>
        <v/>
      </c>
    </row>
    <row r="1859">
      <c r="A1859" t="inlineStr">
        <is>
          <t>SiriusXM</t>
        </is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>
        <is>
          <t>Tier 4</t>
        </is>
      </c>
      <c r="O1859" t="inlineStr">
        <is>
          <t>Charles Gracey — Host, Trucking Sense</t>
        </is>
      </c>
      <c r="P1859" t="inlineStr">
        <is>
          <t>Host, Trucking Sense</t>
        </is>
      </c>
      <c r="Y1859" t="inlineStr">
        <is>
          <t>todo</t>
        </is>
      </c>
      <c r="Z1859">
        <f>(M1859*Weights!$B$2) + (MIN(Q1859,Weights!$B$5)*Weights!$B$3*(W1859/100)*Weights!$B$4)</f>
        <v/>
      </c>
      <c r="AA1859">
        <f>IF(Z1859= ,,RANK.EQ({pri_col_letter}{r},{pri_range},0))</f>
        <v/>
      </c>
    </row>
    <row r="1860">
      <c r="A1860" t="inlineStr">
        <is>
          <t>Sitehound, Inc</t>
        </is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>
        <is>
          <t>Tier 4</t>
        </is>
      </c>
      <c r="O1860" t="inlineStr">
        <is>
          <t>T. Nick Williams — CEO</t>
        </is>
      </c>
      <c r="P1860" t="inlineStr">
        <is>
          <t>CEO</t>
        </is>
      </c>
      <c r="Y1860" t="inlineStr">
        <is>
          <t>todo</t>
        </is>
      </c>
      <c r="Z1860">
        <f>(M1860*Weights!$B$2) + (MIN(Q1860,Weights!$B$5)*Weights!$B$3*(W1860/100)*Weights!$B$4)</f>
        <v/>
      </c>
      <c r="AA1860">
        <f>IF(Z1860= ,,RANK.EQ({pri_col_letter}{r},{pri_range},0))</f>
        <v/>
      </c>
    </row>
    <row r="1861">
      <c r="A1861" t="inlineStr">
        <is>
          <t>Sixth Street Growth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>
        <is>
          <t>Tier 4</t>
        </is>
      </c>
      <c r="O1861" t="inlineStr">
        <is>
          <t>Chris Perron — VP</t>
        </is>
      </c>
      <c r="P1861" t="inlineStr">
        <is>
          <t>VP</t>
        </is>
      </c>
      <c r="Y1861" t="inlineStr">
        <is>
          <t>todo</t>
        </is>
      </c>
      <c r="Z1861">
        <f>(M1861*Weights!$B$2) + (MIN(Q1861,Weights!$B$5)*Weights!$B$3*(W1861/100)*Weights!$B$4)</f>
        <v/>
      </c>
      <c r="AA1861">
        <f>IF(Z1861= ,,RANK.EQ({pri_col_letter}{r},{pri_range},0))</f>
        <v/>
      </c>
    </row>
    <row r="1862">
      <c r="A1862" t="inlineStr">
        <is>
          <t>Skypace</t>
        </is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>
        <is>
          <t>Tier 4</t>
        </is>
      </c>
      <c r="O1862" t="inlineStr">
        <is>
          <t>Vlad Nikalayeu — CEO</t>
        </is>
      </c>
      <c r="P1862" t="inlineStr">
        <is>
          <t>CEO</t>
        </is>
      </c>
      <c r="Y1862" t="inlineStr">
        <is>
          <t>todo</t>
        </is>
      </c>
      <c r="Z1862">
        <f>(M1862*Weights!$B$2) + (MIN(Q1862,Weights!$B$5)*Weights!$B$3*(W1862/100)*Weights!$B$4)</f>
        <v/>
      </c>
      <c r="AA1862">
        <f>IF(Z1862= ,,RANK.EQ({pri_col_letter}{r},{pri_range},0))</f>
        <v/>
      </c>
    </row>
    <row r="1863">
      <c r="A1863" t="inlineStr">
        <is>
          <t>Smart Warehousing</t>
        </is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>
        <is>
          <t>Tier 4</t>
        </is>
      </c>
      <c r="O1863" t="inlineStr">
        <is>
          <t>Carl Wasinger — CEO</t>
        </is>
      </c>
      <c r="P1863" t="inlineStr">
        <is>
          <t>CEO</t>
        </is>
      </c>
      <c r="Y1863" t="inlineStr">
        <is>
          <t>todo</t>
        </is>
      </c>
      <c r="Z1863">
        <f>(M1863*Weights!$B$2) + (MIN(Q1863,Weights!$B$5)*Weights!$B$3*(W1863/100)*Weights!$B$4)</f>
        <v/>
      </c>
      <c r="AA1863">
        <f>IF(Z1863= ,,RANK.EQ({pri_col_letter}{r},{pri_range},0))</f>
        <v/>
      </c>
    </row>
    <row r="1864">
      <c r="A1864" t="inlineStr">
        <is>
          <t>SmartBOL</t>
        </is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>
        <is>
          <t>Tier 4</t>
        </is>
      </c>
      <c r="O1864" t="inlineStr">
        <is>
          <t>Abhay Raut — President</t>
        </is>
      </c>
      <c r="P1864" t="inlineStr">
        <is>
          <t>President</t>
        </is>
      </c>
      <c r="Y1864" t="inlineStr">
        <is>
          <t>todo</t>
        </is>
      </c>
      <c r="Z1864">
        <f>(M1864*Weights!$B$2) + (MIN(Q1864,Weights!$B$5)*Weights!$B$3*(W1864/100)*Weights!$B$4)</f>
        <v/>
      </c>
      <c r="AA1864">
        <f>IF(Z1864= ,,RANK.EQ({pri_col_letter}{r},{pri_range},0))</f>
        <v/>
      </c>
    </row>
    <row r="1865">
      <c r="A1865" t="inlineStr">
        <is>
          <t>Snap-on Inc.</t>
        </is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>
        <is>
          <t>Tier 4</t>
        </is>
      </c>
      <c r="O1865" t="inlineStr">
        <is>
          <t>Thomas Dannunzio — Velocity Center General Manager</t>
        </is>
      </c>
      <c r="P1865" t="inlineStr">
        <is>
          <t>Velocity Center General Manager</t>
        </is>
      </c>
      <c r="Y1865" t="inlineStr">
        <is>
          <t>todo</t>
        </is>
      </c>
      <c r="Z1865">
        <f>(M1865*Weights!$B$2) + (MIN(Q1865,Weights!$B$5)*Weights!$B$3*(W1865/100)*Weights!$B$4)</f>
        <v/>
      </c>
      <c r="AA1865">
        <f>IF(Z1865= ,,RANK.EQ({pri_col_letter}{r},{pri_range},0))</f>
        <v/>
      </c>
    </row>
    <row r="1866">
      <c r="A1866" t="inlineStr">
        <is>
          <t>Sotira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>
        <is>
          <t>Tier 4</t>
        </is>
      </c>
      <c r="O1866" t="inlineStr">
        <is>
          <t>Amrita Bhasin — CEO</t>
        </is>
      </c>
      <c r="P1866" t="inlineStr">
        <is>
          <t>CEO</t>
        </is>
      </c>
      <c r="Y1866" t="inlineStr">
        <is>
          <t>todo</t>
        </is>
      </c>
      <c r="Z1866">
        <f>(M1866*Weights!$B$2) + (MIN(Q1866,Weights!$B$5)*Weights!$B$3*(W1866/100)*Weights!$B$4)</f>
        <v/>
      </c>
      <c r="AA1866">
        <f>IF(Z1866= ,,RANK.EQ({pri_col_letter}{r},{pri_range},0))</f>
        <v/>
      </c>
    </row>
    <row r="1867">
      <c r="A1867" t="inlineStr">
        <is>
          <t>SourceIQ</t>
        </is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>
        <is>
          <t>Tier 4</t>
        </is>
      </c>
      <c r="O1867" t="inlineStr">
        <is>
          <t>Alan Bray — CEO</t>
        </is>
      </c>
      <c r="P1867" t="inlineStr">
        <is>
          <t>CEO</t>
        </is>
      </c>
      <c r="Y1867" t="inlineStr">
        <is>
          <t>todo</t>
        </is>
      </c>
      <c r="Z1867">
        <f>(M1867*Weights!$B$2) + (MIN(Q1867,Weights!$B$5)*Weights!$B$3*(W1867/100)*Weights!$B$4)</f>
        <v/>
      </c>
      <c r="AA1867">
        <f>IF(Z1867= ,,RANK.EQ({pri_col_letter}{r},{pri_range},0))</f>
        <v/>
      </c>
    </row>
    <row r="1868">
      <c r="A1868" t="inlineStr">
        <is>
          <t>Southeastern Freight Lines</t>
        </is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>
        <is>
          <t>Tier 4</t>
        </is>
      </c>
      <c r="O1868" t="inlineStr">
        <is>
          <t>Mike Redden — VP of National Accounts</t>
        </is>
      </c>
      <c r="P1868" t="inlineStr">
        <is>
          <t>VP of National Accounts</t>
        </is>
      </c>
      <c r="Y1868" t="inlineStr">
        <is>
          <t>todo</t>
        </is>
      </c>
      <c r="Z1868">
        <f>(M1868*Weights!$B$2) + (MIN(Q1868,Weights!$B$5)*Weights!$B$3*(W1868/100)*Weights!$B$4)</f>
        <v/>
      </c>
      <c r="AA1868">
        <f>IF(Z1868= ,,RANK.EQ({pri_col_letter}{r},{pri_range},0))</f>
        <v/>
      </c>
    </row>
    <row r="1869">
      <c r="A1869" t="inlineStr">
        <is>
          <t>Sparrow XPL Pty Ltd</t>
        </is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>
        <is>
          <t>Tier 4</t>
        </is>
      </c>
      <c r="O1869" t="inlineStr">
        <is>
          <t>Matthew Sheen — CEO</t>
        </is>
      </c>
      <c r="P1869" t="inlineStr">
        <is>
          <t>CEO</t>
        </is>
      </c>
      <c r="Y1869" t="inlineStr">
        <is>
          <t>todo</t>
        </is>
      </c>
      <c r="Z1869">
        <f>(M1869*Weights!$B$2) + (MIN(Q1869,Weights!$B$5)*Weights!$B$3*(W1869/100)*Weights!$B$4)</f>
        <v/>
      </c>
      <c r="AA1869">
        <f>IF(Z1869= ,,RANK.EQ({pri_col_letter}{r},{pri_range},0))</f>
        <v/>
      </c>
    </row>
    <row r="1870">
      <c r="A1870" t="inlineStr">
        <is>
          <t>Spectrohm</t>
        </is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>
        <is>
          <t>Tier 4</t>
        </is>
      </c>
      <c r="O1870" t="inlineStr">
        <is>
          <t>Tim Cargol — CEO</t>
        </is>
      </c>
      <c r="P1870" t="inlineStr">
        <is>
          <t>CEO</t>
        </is>
      </c>
      <c r="Y1870" t="inlineStr">
        <is>
          <t>todo</t>
        </is>
      </c>
      <c r="Z1870">
        <f>(M1870*Weights!$B$2) + (MIN(Q1870,Weights!$B$5)*Weights!$B$3*(W1870/100)*Weights!$B$4)</f>
        <v/>
      </c>
      <c r="AA1870">
        <f>IF(Z1870= ,,RANK.EQ({pri_col_letter}{r},{pri_range},0))</f>
        <v/>
      </c>
    </row>
    <row r="1871">
      <c r="A1871" t="inlineStr">
        <is>
          <t>Spectrum Equity</t>
        </is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>
        <is>
          <t>Tier 4</t>
        </is>
      </c>
      <c r="O1871" t="inlineStr">
        <is>
          <t>Adam Gassin — Principal</t>
        </is>
      </c>
      <c r="P1871" t="inlineStr">
        <is>
          <t>Principal</t>
        </is>
      </c>
      <c r="Y1871" t="inlineStr">
        <is>
          <t>todo</t>
        </is>
      </c>
      <c r="Z1871">
        <f>(M1871*Weights!$B$2) + (MIN(Q1871,Weights!$B$5)*Weights!$B$3*(W1871/100)*Weights!$B$4)</f>
        <v/>
      </c>
      <c r="AA1871">
        <f>IF(Z1871= ,,RANK.EQ({pri_col_letter}{r},{pri_range},0))</f>
        <v/>
      </c>
    </row>
    <row r="1872">
      <c r="A1872" t="inlineStr">
        <is>
          <t>Spin LGX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>
        <is>
          <t>Tier 4</t>
        </is>
      </c>
      <c r="O1872" t="inlineStr">
        <is>
          <t>Carter Tse — CFO</t>
        </is>
      </c>
      <c r="P1872" t="inlineStr">
        <is>
          <t>CFO</t>
        </is>
      </c>
      <c r="Y1872" t="inlineStr">
        <is>
          <t>todo</t>
        </is>
      </c>
      <c r="Z1872">
        <f>(M1872*Weights!$B$2) + (MIN(Q1872,Weights!$B$5)*Weights!$B$3*(W1872/100)*Weights!$B$4)</f>
        <v/>
      </c>
      <c r="AA1872">
        <f>IF(Z1872= ,,RANK.EQ({pri_col_letter}{r},{pri_range},0))</f>
        <v/>
      </c>
    </row>
    <row r="1873">
      <c r="A1873" t="inlineStr">
        <is>
          <t>Spring GDS Canada</t>
        </is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>
        <is>
          <t>Tier 4</t>
        </is>
      </c>
      <c r="O1873" t="inlineStr">
        <is>
          <t>Thomas Steetskamp — Director E-commerce Development</t>
        </is>
      </c>
      <c r="P1873" t="inlineStr">
        <is>
          <t>Director E-commerce Development</t>
        </is>
      </c>
      <c r="Y1873" t="inlineStr">
        <is>
          <t>todo</t>
        </is>
      </c>
      <c r="Z1873">
        <f>(M1873*Weights!$B$2) + (MIN(Q1873,Weights!$B$5)*Weights!$B$3*(W1873/100)*Weights!$B$4)</f>
        <v/>
      </c>
      <c r="AA1873">
        <f>IF(Z1873= ,,RANK.EQ({pri_col_letter}{r},{pri_range},0))</f>
        <v/>
      </c>
    </row>
    <row r="1874">
      <c r="A1874" t="inlineStr">
        <is>
          <t>Spring Near East, part of PDS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>
        <is>
          <t>Tier 4</t>
        </is>
      </c>
      <c r="O1874" t="inlineStr">
        <is>
          <t>Lisa McAlinden — Product &amp; Sustainability Director</t>
        </is>
      </c>
      <c r="P1874" t="inlineStr">
        <is>
          <t>Product &amp; Sustainability Director</t>
        </is>
      </c>
      <c r="Y1874" t="inlineStr">
        <is>
          <t>todo</t>
        </is>
      </c>
      <c r="Z1874">
        <f>(M1874*Weights!$B$2) + (MIN(Q1874,Weights!$B$5)*Weights!$B$3*(W1874/100)*Weights!$B$4)</f>
        <v/>
      </c>
      <c r="AA1874">
        <f>IF(Z1874= ,,RANK.EQ({pri_col_letter}{r},{pri_range},0))</f>
        <v/>
      </c>
    </row>
    <row r="1875">
      <c r="A1875" t="inlineStr">
        <is>
          <t>Spyre Group</t>
        </is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>
        <is>
          <t>Tier 4</t>
        </is>
      </c>
      <c r="O1875" t="inlineStr">
        <is>
          <t>Ahi Gvirtsman — Co-Founder and CKO</t>
        </is>
      </c>
      <c r="P1875" t="inlineStr">
        <is>
          <t>Co-Founder and CKO</t>
        </is>
      </c>
      <c r="Y1875" t="inlineStr">
        <is>
          <t>todo</t>
        </is>
      </c>
      <c r="Z1875">
        <f>(M1875*Weights!$B$2) + (MIN(Q1875,Weights!$B$5)*Weights!$B$3*(W1875/100)*Weights!$B$4)</f>
        <v/>
      </c>
      <c r="AA1875">
        <f>IF(Z1875= ,,RANK.EQ({pri_col_letter}{r},{pri_range},0))</f>
        <v/>
      </c>
    </row>
    <row r="1876">
      <c r="A1876" t="inlineStr">
        <is>
          <t>Squint</t>
        </is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inlineStr">
        <is>
          <t>Tier 4</t>
        </is>
      </c>
      <c r="O1876" t="inlineStr">
        <is>
          <t>Devin Bhushan — CEO &amp; Founder</t>
        </is>
      </c>
      <c r="P1876" t="inlineStr">
        <is>
          <t>CEO &amp; Founder</t>
        </is>
      </c>
      <c r="Y1876" t="inlineStr">
        <is>
          <t>todo</t>
        </is>
      </c>
      <c r="Z1876">
        <f>(M1876*Weights!$B$2) + (MIN(Q1876,Weights!$B$5)*Weights!$B$3*(W1876/100)*Weights!$B$4)</f>
        <v/>
      </c>
      <c r="AA1876">
        <f>IF(Z1876= ,,RANK.EQ({pri_col_letter}{r},{pri_range},0))</f>
        <v/>
      </c>
    </row>
    <row r="1877">
      <c r="A1877" t="inlineStr">
        <is>
          <t>St. Onge</t>
        </is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>
        <is>
          <t>Tier 4</t>
        </is>
      </c>
      <c r="O1877" t="inlineStr">
        <is>
          <t>Matt Kulp — EVP &amp; Managing Partner</t>
        </is>
      </c>
      <c r="P1877" t="inlineStr">
        <is>
          <t>EVP &amp; Managing Partner</t>
        </is>
      </c>
      <c r="Y1877" t="inlineStr">
        <is>
          <t>todo</t>
        </is>
      </c>
      <c r="Z1877">
        <f>(M1877*Weights!$B$2) + (MIN(Q1877,Weights!$B$5)*Weights!$B$3*(W1877/100)*Weights!$B$4)</f>
        <v/>
      </c>
      <c r="AA1877">
        <f>IF(Z1877= ,,RANK.EQ({pri_col_letter}{r},{pri_range},0))</f>
        <v/>
      </c>
    </row>
    <row r="1878">
      <c r="A1878" t="inlineStr">
        <is>
          <t>Standard Holding Corporation</t>
        </is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inlineStr">
        <is>
          <t>Tier 4</t>
        </is>
      </c>
      <c r="O1878" t="inlineStr">
        <is>
          <t>John Bauer — CEO</t>
        </is>
      </c>
      <c r="P1878" t="inlineStr">
        <is>
          <t>CEO</t>
        </is>
      </c>
      <c r="Y1878" t="inlineStr">
        <is>
          <t>todo</t>
        </is>
      </c>
      <c r="Z1878">
        <f>(M1878*Weights!$B$2) + (MIN(Q1878,Weights!$B$5)*Weights!$B$3*(W1878/100)*Weights!$B$4)</f>
        <v/>
      </c>
      <c r="AA1878">
        <f>IF(Z1878= ,,RANK.EQ({pri_col_letter}{r},{pri_range},0))</f>
        <v/>
      </c>
    </row>
    <row r="1879">
      <c r="A1879" t="inlineStr">
        <is>
          <t>Standard Industries</t>
        </is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inlineStr">
        <is>
          <t>Tier 4</t>
        </is>
      </c>
      <c r="O1879" t="inlineStr">
        <is>
          <t>Yair Leshem — Director, Digital Transformation &amp; Innovation</t>
        </is>
      </c>
      <c r="P1879" t="inlineStr">
        <is>
          <t>Director, Digital Transformation &amp; Innovation</t>
        </is>
      </c>
      <c r="Y1879" t="inlineStr">
        <is>
          <t>todo</t>
        </is>
      </c>
      <c r="Z1879">
        <f>(M1879*Weights!$B$2) + (MIN(Q1879,Weights!$B$5)*Weights!$B$3*(W1879/100)*Weights!$B$4)</f>
        <v/>
      </c>
      <c r="AA1879">
        <f>IF(Z1879= ,,RANK.EQ({pri_col_letter}{r},{pri_range},0))</f>
        <v/>
      </c>
    </row>
    <row r="1880">
      <c r="A1880" t="inlineStr">
        <is>
          <t>Standard Logistics</t>
        </is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inlineStr">
        <is>
          <t>Tier 4</t>
        </is>
      </c>
      <c r="O1880" t="inlineStr">
        <is>
          <t>Volker Bargenda — President</t>
        </is>
      </c>
      <c r="P1880" t="inlineStr">
        <is>
          <t>President</t>
        </is>
      </c>
      <c r="Y1880" t="inlineStr">
        <is>
          <t>todo</t>
        </is>
      </c>
      <c r="Z1880">
        <f>(M1880*Weights!$B$2) + (MIN(Q1880,Weights!$B$5)*Weights!$B$3*(W1880/100)*Weights!$B$4)</f>
        <v/>
      </c>
      <c r="AA1880">
        <f>IF(Z1880= ,,RANK.EQ({pri_col_letter}{r},{pri_range},0))</f>
        <v/>
      </c>
    </row>
    <row r="1881">
      <c r="A1881" t="inlineStr">
        <is>
          <t>Star Distribution Systems, Inc.</t>
        </is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inlineStr">
        <is>
          <t>Tier 4</t>
        </is>
      </c>
      <c r="O1881" t="inlineStr">
        <is>
          <t>Larry Jimenez — Vice President</t>
        </is>
      </c>
      <c r="P1881" t="inlineStr">
        <is>
          <t>Vice President</t>
        </is>
      </c>
      <c r="Y1881" t="inlineStr">
        <is>
          <t>todo</t>
        </is>
      </c>
      <c r="Z1881">
        <f>(M1881*Weights!$B$2) + (MIN(Q1881,Weights!$B$5)*Weights!$B$3*(W1881/100)*Weights!$B$4)</f>
        <v/>
      </c>
      <c r="AA1881">
        <f>IF(Z1881= ,,RANK.EQ({pri_col_letter}{r},{pri_range},0))</f>
        <v/>
      </c>
    </row>
    <row r="1882">
      <c r="A1882" t="inlineStr">
        <is>
          <t>Starboard</t>
        </is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inlineStr">
        <is>
          <t>Tier 4</t>
        </is>
      </c>
      <c r="O1882" t="inlineStr">
        <is>
          <t>Sumeet Trehan — CEO</t>
        </is>
      </c>
      <c r="P1882" t="inlineStr">
        <is>
          <t>CEO</t>
        </is>
      </c>
      <c r="Y1882" t="inlineStr">
        <is>
          <t>todo</t>
        </is>
      </c>
      <c r="Z1882">
        <f>(M1882*Weights!$B$2) + (MIN(Q1882,Weights!$B$5)*Weights!$B$3*(W1882/100)*Weights!$B$4)</f>
        <v/>
      </c>
      <c r="AA1882">
        <f>IF(Z1882= ,,RANK.EQ({pri_col_letter}{r},{pri_range},0))</f>
        <v/>
      </c>
    </row>
    <row r="1883">
      <c r="A1883" t="inlineStr">
        <is>
          <t>Stealth</t>
        </is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inlineStr">
        <is>
          <t>Tier 4</t>
        </is>
      </c>
      <c r="O1883" t="inlineStr">
        <is>
          <t>Katelyn Foley — Founder</t>
        </is>
      </c>
      <c r="P1883" t="inlineStr">
        <is>
          <t>Founder</t>
        </is>
      </c>
      <c r="Y1883" t="inlineStr">
        <is>
          <t>todo</t>
        </is>
      </c>
      <c r="Z1883">
        <f>(M1883*Weights!$B$2) + (MIN(Q1883,Weights!$B$5)*Weights!$B$3*(W1883/100)*Weights!$B$4)</f>
        <v/>
      </c>
      <c r="AA1883">
        <f>IF(Z1883= ,,RANK.EQ({pri_col_letter}{r},{pri_range},0))</f>
        <v/>
      </c>
    </row>
    <row r="1884">
      <c r="A1884" t="inlineStr">
        <is>
          <t>Stealth Company</t>
        </is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inlineStr">
        <is>
          <t>Tier 4</t>
        </is>
      </c>
      <c r="O1884" t="inlineStr">
        <is>
          <t>Paul Tonsager — Executive Vice President Commercial</t>
        </is>
      </c>
      <c r="P1884" t="inlineStr">
        <is>
          <t>Executive Vice President Commercial</t>
        </is>
      </c>
      <c r="Y1884" t="inlineStr">
        <is>
          <t>todo</t>
        </is>
      </c>
      <c r="Z1884">
        <f>(M1884*Weights!$B$2) + (MIN(Q1884,Weights!$B$5)*Weights!$B$3*(W1884/100)*Weights!$B$4)</f>
        <v/>
      </c>
      <c r="AA1884">
        <f>IF(Z1884= ,,RANK.EQ({pri_col_letter}{r},{pri_range},0))</f>
        <v/>
      </c>
    </row>
    <row r="1885">
      <c r="A1885" t="inlineStr">
        <is>
          <t>Steam Logistics</t>
        </is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inlineStr">
        <is>
          <t>Tier 4</t>
        </is>
      </c>
      <c r="O1885" t="inlineStr">
        <is>
          <t>Ryan Doherty — Executive Vice President</t>
        </is>
      </c>
      <c r="P1885" t="inlineStr">
        <is>
          <t>Executive Vice President</t>
        </is>
      </c>
      <c r="Y1885" t="inlineStr">
        <is>
          <t>todo</t>
        </is>
      </c>
      <c r="Z1885">
        <f>(M1885*Weights!$B$2) + (MIN(Q1885,Weights!$B$5)*Weights!$B$3*(W1885/100)*Weights!$B$4)</f>
        <v/>
      </c>
      <c r="AA1885">
        <f>IF(Z1885= ,,RANK.EQ({pri_col_letter}{r},{pri_range},0))</f>
        <v/>
      </c>
    </row>
    <row r="1886">
      <c r="A1886" t="inlineStr">
        <is>
          <t>Stemregen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inlineStr">
        <is>
          <t>Tier 4</t>
        </is>
      </c>
      <c r="O1886" t="inlineStr">
        <is>
          <t>Spencer Matthews — Chief Operating Officer</t>
        </is>
      </c>
      <c r="P1886" t="inlineStr">
        <is>
          <t>Chief Operating Officer</t>
        </is>
      </c>
      <c r="Y1886" t="inlineStr">
        <is>
          <t>todo</t>
        </is>
      </c>
      <c r="Z1886">
        <f>(M1886*Weights!$B$2) + (MIN(Q1886,Weights!$B$5)*Weights!$B$3*(W1886/100)*Weights!$B$4)</f>
        <v/>
      </c>
      <c r="AA1886">
        <f>IF(Z1886= ,,RANK.EQ({pri_col_letter}{r},{pri_range},0))</f>
        <v/>
      </c>
    </row>
    <row r="1887">
      <c r="A1887" t="inlineStr">
        <is>
          <t>Stifel</t>
        </is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inlineStr">
        <is>
          <t>Tier 4</t>
        </is>
      </c>
      <c r="O1887" t="inlineStr">
        <is>
          <t>Alan Faulkner — Managing Director</t>
        </is>
      </c>
      <c r="P1887" t="inlineStr">
        <is>
          <t>Managing Director</t>
        </is>
      </c>
      <c r="Y1887" t="inlineStr">
        <is>
          <t>todo</t>
        </is>
      </c>
      <c r="Z1887">
        <f>(M1887*Weights!$B$2) + (MIN(Q1887,Weights!$B$5)*Weights!$B$3*(W1887/100)*Weights!$B$4)</f>
        <v/>
      </c>
      <c r="AA1887">
        <f>IF(Z1887= ,,RANK.EQ({pri_col_letter}{r},{pri_range},0))</f>
        <v/>
      </c>
    </row>
    <row r="1888">
      <c r="A1888" t="inlineStr">
        <is>
          <t>Stinger Bat Co</t>
        </is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inlineStr">
        <is>
          <t>Tier 4</t>
        </is>
      </c>
      <c r="O1888" t="inlineStr">
        <is>
          <t>Brandon Eaton — CEO &amp; Co-Founder</t>
        </is>
      </c>
      <c r="P1888" t="inlineStr">
        <is>
          <t>CEO &amp; Co-Founder</t>
        </is>
      </c>
      <c r="Y1888" t="inlineStr">
        <is>
          <t>todo</t>
        </is>
      </c>
      <c r="Z1888">
        <f>(M1888*Weights!$B$2) + (MIN(Q1888,Weights!$B$5)*Weights!$B$3*(W1888/100)*Weights!$B$4)</f>
        <v/>
      </c>
      <c r="AA1888">
        <f>IF(Z1888= ,,RANK.EQ({pri_col_letter}{r},{pri_range},0))</f>
        <v/>
      </c>
    </row>
    <row r="1889">
      <c r="A1889" t="inlineStr">
        <is>
          <t>Stock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inlineStr">
        <is>
          <t>Tier 4</t>
        </is>
      </c>
      <c r="O1889" t="inlineStr">
        <is>
          <t>Abby Nawrocki — CEO</t>
        </is>
      </c>
      <c r="P1889" t="inlineStr">
        <is>
          <t>CEO</t>
        </is>
      </c>
      <c r="Y1889" t="inlineStr">
        <is>
          <t>todo</t>
        </is>
      </c>
      <c r="Z1889">
        <f>(M1889*Weights!$B$2) + (MIN(Q1889,Weights!$B$5)*Weights!$B$3*(W1889/100)*Weights!$B$4)</f>
        <v/>
      </c>
      <c r="AA1889">
        <f>IF(Z1889= ,,RANK.EQ({pri_col_letter}{r},{pri_range},0))</f>
        <v/>
      </c>
    </row>
    <row r="1890">
      <c r="A1890" t="inlineStr">
        <is>
          <t>Stokes Trucking LLC</t>
        </is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inlineStr">
        <is>
          <t>Tier 4</t>
        </is>
      </c>
      <c r="O1890" t="inlineStr">
        <is>
          <t>Mark Lawver — General Manager</t>
        </is>
      </c>
      <c r="P1890" t="inlineStr">
        <is>
          <t>General Manager</t>
        </is>
      </c>
      <c r="Y1890" t="inlineStr">
        <is>
          <t>todo</t>
        </is>
      </c>
      <c r="Z1890">
        <f>(M1890*Weights!$B$2) + (MIN(Q1890,Weights!$B$5)*Weights!$B$3*(W1890/100)*Weights!$B$4)</f>
        <v/>
      </c>
      <c r="AA1890">
        <f>IF(Z1890= ,,RANK.EQ({pri_col_letter}{r},{pri_range},0))</f>
        <v/>
      </c>
    </row>
    <row r="1891">
      <c r="A1891" t="inlineStr">
        <is>
          <t>Stonearch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inlineStr">
        <is>
          <t>Tier 4</t>
        </is>
      </c>
      <c r="O1891" t="inlineStr">
        <is>
          <t>Jason Luedtke — CEO</t>
        </is>
      </c>
      <c r="P1891" t="inlineStr">
        <is>
          <t>CEO</t>
        </is>
      </c>
      <c r="Y1891" t="inlineStr">
        <is>
          <t>todo</t>
        </is>
      </c>
      <c r="Z1891">
        <f>(M1891*Weights!$B$2) + (MIN(Q1891,Weights!$B$5)*Weights!$B$3*(W1891/100)*Weights!$B$4)</f>
        <v/>
      </c>
      <c r="AA1891">
        <f>IF(Z1891= ,,RANK.EQ({pri_col_letter}{r},{pri_range},0))</f>
        <v/>
      </c>
    </row>
    <row r="1892">
      <c r="A1892" t="inlineStr">
        <is>
          <t>Storopack</t>
        </is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>
        <is>
          <t>Tier 4</t>
        </is>
      </c>
      <c r="O1892" t="inlineStr">
        <is>
          <t>Tyler Moore — National Account Manager</t>
        </is>
      </c>
      <c r="P1892" t="inlineStr">
        <is>
          <t>National Account Manager</t>
        </is>
      </c>
      <c r="Y1892" t="inlineStr">
        <is>
          <t>todo</t>
        </is>
      </c>
      <c r="Z1892">
        <f>(M1892*Weights!$B$2) + (MIN(Q1892,Weights!$B$5)*Weights!$B$3*(W1892/100)*Weights!$B$4)</f>
        <v/>
      </c>
      <c r="AA1892">
        <f>IF(Z1892= ,,RANK.EQ({pri_col_letter}{r},{pri_range},0))</f>
        <v/>
      </c>
    </row>
    <row r="1893">
      <c r="A1893" t="inlineStr">
        <is>
          <t>Strang Logistics</t>
        </is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inlineStr">
        <is>
          <t>Tier 4</t>
        </is>
      </c>
      <c r="O1893" t="inlineStr">
        <is>
          <t>Andrew Strang — CEO</t>
        </is>
      </c>
      <c r="P1893" t="inlineStr">
        <is>
          <t>CEO</t>
        </is>
      </c>
      <c r="Y1893" t="inlineStr">
        <is>
          <t>todo</t>
        </is>
      </c>
      <c r="Z1893">
        <f>(M1893*Weights!$B$2) + (MIN(Q1893,Weights!$B$5)*Weights!$B$3*(W1893/100)*Weights!$B$4)</f>
        <v/>
      </c>
      <c r="AA1893">
        <f>IF(Z1893= ,,RANK.EQ({pri_col_letter}{r},{pri_range},0))</f>
        <v/>
      </c>
    </row>
    <row r="1894">
      <c r="A1894" t="inlineStr">
        <is>
          <t>Streamline Corp.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inlineStr">
        <is>
          <t>Tier 4</t>
        </is>
      </c>
      <c r="O1894" t="inlineStr">
        <is>
          <t>Sumant Shringari — CEO and Co-Founder</t>
        </is>
      </c>
      <c r="P1894" t="inlineStr">
        <is>
          <t>CEO and Co-Founder</t>
        </is>
      </c>
      <c r="Y1894" t="inlineStr">
        <is>
          <t>todo</t>
        </is>
      </c>
      <c r="Z1894">
        <f>(M1894*Weights!$B$2) + (MIN(Q1894,Weights!$B$5)*Weights!$B$3*(W1894/100)*Weights!$B$4)</f>
        <v/>
      </c>
      <c r="AA1894">
        <f>IF(Z1894= ,,RANK.EQ({pri_col_letter}{r},{pri_range},0))</f>
        <v/>
      </c>
    </row>
    <row r="1895">
      <c r="A1895" t="inlineStr">
        <is>
          <t>Stripes</t>
        </is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>
        <is>
          <t>Tier 4</t>
        </is>
      </c>
      <c r="O1895" t="inlineStr">
        <is>
          <t>Jindra Zitek — Partner</t>
        </is>
      </c>
      <c r="P1895" t="inlineStr">
        <is>
          <t>Partner</t>
        </is>
      </c>
      <c r="Y1895" t="inlineStr">
        <is>
          <t>todo</t>
        </is>
      </c>
      <c r="Z1895">
        <f>(M1895*Weights!$B$2) + (MIN(Q1895,Weights!$B$5)*Weights!$B$3*(W1895/100)*Weights!$B$4)</f>
        <v/>
      </c>
      <c r="AA1895">
        <f>IF(Z1895= ,,RANK.EQ({pri_col_letter}{r},{pri_range},0))</f>
        <v/>
      </c>
    </row>
    <row r="1896">
      <c r="A1896" t="inlineStr">
        <is>
          <t>SummitEdge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inlineStr">
        <is>
          <t>Tier 4</t>
        </is>
      </c>
      <c r="O1896" t="inlineStr">
        <is>
          <t>Manjot Singh — Chief Executive Officer</t>
        </is>
      </c>
      <c r="P1896" t="inlineStr">
        <is>
          <t>Chief Executive Officer</t>
        </is>
      </c>
      <c r="Y1896" t="inlineStr">
        <is>
          <t>todo</t>
        </is>
      </c>
      <c r="Z1896">
        <f>(M1896*Weights!$B$2) + (MIN(Q1896,Weights!$B$5)*Weights!$B$3*(W1896/100)*Weights!$B$4)</f>
        <v/>
      </c>
      <c r="AA1896">
        <f>IF(Z1896= ,,RANK.EQ({pri_col_letter}{r},{pri_range},0))</f>
        <v/>
      </c>
    </row>
    <row r="1897">
      <c r="A1897" t="inlineStr">
        <is>
          <t>SuperCIrcle</t>
        </is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6100000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inlineStr">
        <is>
          <t>Tier 4</t>
        </is>
      </c>
      <c r="O1897" t="inlineStr">
        <is>
          <t>Katie Tobias — Chief Commercial Officer</t>
        </is>
      </c>
      <c r="P1897" t="inlineStr">
        <is>
          <t>Chief Commercial Officer</t>
        </is>
      </c>
      <c r="Y1897" t="inlineStr">
        <is>
          <t>todo</t>
        </is>
      </c>
      <c r="Z1897">
        <f>(M1897*Weights!$B$2) + (MIN(Q1897,Weights!$B$5)*Weights!$B$3*(W1897/100)*Weights!$B$4)</f>
        <v/>
      </c>
      <c r="AA1897">
        <f>IF(Z1897= ,,RANK.EQ({pri_col_letter}{r},{pri_range},0))</f>
        <v/>
      </c>
    </row>
    <row r="1898">
      <c r="A1898" t="inlineStr">
        <is>
          <t>Supership</t>
        </is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inlineStr">
        <is>
          <t>Tier 4</t>
        </is>
      </c>
      <c r="O1898" t="inlineStr">
        <is>
          <t>Sean Copeland — CEO</t>
        </is>
      </c>
      <c r="P1898" t="inlineStr">
        <is>
          <t>CEO</t>
        </is>
      </c>
      <c r="Y1898" t="inlineStr">
        <is>
          <t>todo</t>
        </is>
      </c>
      <c r="Z1898">
        <f>(M1898*Weights!$B$2) + (MIN(Q1898,Weights!$B$5)*Weights!$B$3*(W1898/100)*Weights!$B$4)</f>
        <v/>
      </c>
      <c r="AA1898">
        <f>IF(Z1898= ,,RANK.EQ({pri_col_letter}{r},{pri_range},0))</f>
        <v/>
      </c>
    </row>
    <row r="1899">
      <c r="A1899" t="inlineStr">
        <is>
          <t>Supply Chain Management Review</t>
        </is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inlineStr">
        <is>
          <t>Tier 4</t>
        </is>
      </c>
      <c r="O1899" t="inlineStr">
        <is>
          <t>Brian Straight — Editor-In-Chief</t>
        </is>
      </c>
      <c r="P1899" t="inlineStr">
        <is>
          <t>Editor-In-Chief</t>
        </is>
      </c>
      <c r="Y1899" t="inlineStr">
        <is>
          <t>todo</t>
        </is>
      </c>
      <c r="Z1899">
        <f>(M1899*Weights!$B$2) + (MIN(Q1899,Weights!$B$5)*Weights!$B$3*(W1899/100)*Weights!$B$4)</f>
        <v/>
      </c>
      <c r="AA1899">
        <f>IF(Z1899= ,,RANK.EQ({pri_col_letter}{r},{pri_range},0))</f>
        <v/>
      </c>
    </row>
    <row r="1900">
      <c r="A1900" t="inlineStr">
        <is>
          <t>Supply Chain Now</t>
        </is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inlineStr">
        <is>
          <t>Tier 4</t>
        </is>
      </c>
      <c r="O1900" t="inlineStr">
        <is>
          <t>Scott Luton — CEO &amp; Host</t>
        </is>
      </c>
      <c r="P1900" t="inlineStr">
        <is>
          <t>CEO &amp; Host</t>
        </is>
      </c>
      <c r="Y1900" t="inlineStr">
        <is>
          <t>todo</t>
        </is>
      </c>
      <c r="Z1900">
        <f>(M1900*Weights!$B$2) + (MIN(Q1900,Weights!$B$5)*Weights!$B$3*(W1900/100)*Weights!$B$4)</f>
        <v/>
      </c>
      <c r="AA1900">
        <f>IF(Z1900= ,,RANK.EQ({pri_col_letter}{r},{pri_range},0))</f>
        <v/>
      </c>
    </row>
    <row r="1901">
      <c r="A1901" t="inlineStr">
        <is>
          <t>Supply Chain Now - BlueWorld Supply Chain Consulting</t>
        </is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inlineStr">
        <is>
          <t>Tier 4</t>
        </is>
      </c>
      <c r="O1901" t="inlineStr">
        <is>
          <t>Jake Barr — Co-Host</t>
        </is>
      </c>
      <c r="P1901" t="inlineStr">
        <is>
          <t>Co-Host</t>
        </is>
      </c>
      <c r="Y1901" t="inlineStr">
        <is>
          <t>todo</t>
        </is>
      </c>
      <c r="Z1901">
        <f>(M1901*Weights!$B$2) + (MIN(Q1901,Weights!$B$5)*Weights!$B$3*(W1901/100)*Weights!$B$4)</f>
        <v/>
      </c>
      <c r="AA1901">
        <f>IF(Z1901= ,,RANK.EQ({pri_col_letter}{r},{pri_range},0))</f>
        <v/>
      </c>
    </row>
    <row r="1902">
      <c r="A1902" t="inlineStr">
        <is>
          <t>Supply Chain Solutions</t>
        </is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inlineStr">
        <is>
          <t>Tier 4</t>
        </is>
      </c>
      <c r="O1902" t="inlineStr">
        <is>
          <t>David Whittaker — President</t>
        </is>
      </c>
      <c r="P1902" t="inlineStr">
        <is>
          <t>President</t>
        </is>
      </c>
      <c r="Y1902" t="inlineStr">
        <is>
          <t>todo</t>
        </is>
      </c>
      <c r="Z1902">
        <f>(M1902*Weights!$B$2) + (MIN(Q1902,Weights!$B$5)*Weights!$B$3*(W1902/100)*Weights!$B$4)</f>
        <v/>
      </c>
      <c r="AA1902">
        <f>IF(Z1902= ,,RANK.EQ({pri_col_letter}{r},{pri_range},0))</f>
        <v/>
      </c>
    </row>
    <row r="1903">
      <c r="A1903" t="inlineStr">
        <is>
          <t>Supply Chaney</t>
        </is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inlineStr">
        <is>
          <t>Tier 4</t>
        </is>
      </c>
      <c r="O1903" t="inlineStr">
        <is>
          <t>Nathan Chaney — Founder</t>
        </is>
      </c>
      <c r="P1903" t="inlineStr">
        <is>
          <t>Founder</t>
        </is>
      </c>
      <c r="Y1903" t="inlineStr">
        <is>
          <t>todo</t>
        </is>
      </c>
      <c r="Z1903">
        <f>(M1903*Weights!$B$2) + (MIN(Q1903,Weights!$B$5)*Weights!$B$3*(W1903/100)*Weights!$B$4)</f>
        <v/>
      </c>
      <c r="AA1903">
        <f>IF(Z1903= ,,RANK.EQ({pri_col_letter}{r},{pri_range},0))</f>
        <v/>
      </c>
    </row>
    <row r="1904">
      <c r="A1904" t="inlineStr">
        <is>
          <t>Swisslog Americas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inlineStr">
        <is>
          <t>Tier 4</t>
        </is>
      </c>
      <c r="O1904" t="inlineStr">
        <is>
          <t>Mike Barker — President &amp; CEO</t>
        </is>
      </c>
      <c r="P1904" t="inlineStr">
        <is>
          <t>President &amp; CEO</t>
        </is>
      </c>
      <c r="Y1904" t="inlineStr">
        <is>
          <t>todo</t>
        </is>
      </c>
      <c r="Z1904">
        <f>(M1904*Weights!$B$2) + (MIN(Q1904,Weights!$B$5)*Weights!$B$3*(W1904/100)*Weights!$B$4)</f>
        <v/>
      </c>
      <c r="AA1904">
        <f>IF(Z1904= ,,RANK.EQ({pri_col_letter}{r},{pri_range},0))</f>
        <v/>
      </c>
    </row>
    <row r="1905">
      <c r="A1905" t="inlineStr">
        <is>
          <t>Synkka LTD</t>
        </is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inlineStr">
        <is>
          <t>Tier 4</t>
        </is>
      </c>
      <c r="O1905" t="inlineStr">
        <is>
          <t>Jordon Cornish — CEO &amp; Co-Founder</t>
        </is>
      </c>
      <c r="P1905" t="inlineStr">
        <is>
          <t>CEO &amp; Co-Founder</t>
        </is>
      </c>
      <c r="Y1905" t="inlineStr">
        <is>
          <t>todo</t>
        </is>
      </c>
      <c r="Z1905">
        <f>(M1905*Weights!$B$2) + (MIN(Q1905,Weights!$B$5)*Weights!$B$3*(W1905/100)*Weights!$B$4)</f>
        <v/>
      </c>
      <c r="AA1905">
        <f>IF(Z1905= ,,RANK.EQ({pri_col_letter}{r},{pri_range},0))</f>
        <v/>
      </c>
    </row>
    <row r="1906">
      <c r="A1906" t="inlineStr">
        <is>
          <t>System Loco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inlineStr">
        <is>
          <t>Tier 4</t>
        </is>
      </c>
      <c r="O1906" t="inlineStr">
        <is>
          <t>Souroush Honary — Founder, Co-CEO</t>
        </is>
      </c>
      <c r="P1906" t="inlineStr">
        <is>
          <t>Founder, Co-CEO</t>
        </is>
      </c>
      <c r="Y1906" t="inlineStr">
        <is>
          <t>todo</t>
        </is>
      </c>
      <c r="Z1906">
        <f>(M1906*Weights!$B$2) + (MIN(Q1906,Weights!$B$5)*Weights!$B$3*(W1906/100)*Weights!$B$4)</f>
        <v/>
      </c>
      <c r="AA1906">
        <f>IF(Z1906= ,,RANK.EQ({pri_col_letter}{r},{pri_range},0))</f>
        <v/>
      </c>
    </row>
    <row r="1907">
      <c r="A1907" t="inlineStr">
        <is>
          <t>System Loco Ltd</t>
        </is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inlineStr">
        <is>
          <t>Tier 4</t>
        </is>
      </c>
      <c r="O1907" t="inlineStr">
        <is>
          <t>Charles Fraenkl — CEO</t>
        </is>
      </c>
      <c r="P1907" t="inlineStr">
        <is>
          <t>CEO</t>
        </is>
      </c>
      <c r="Y1907" t="inlineStr">
        <is>
          <t>todo</t>
        </is>
      </c>
      <c r="Z1907">
        <f>(M1907*Weights!$B$2) + (MIN(Q1907,Weights!$B$5)*Weights!$B$3*(W1907/100)*Weights!$B$4)</f>
        <v/>
      </c>
      <c r="AA1907">
        <f>IF(Z1907= ,,RANK.EQ({pri_col_letter}{r},{pri_range},0))</f>
        <v/>
      </c>
    </row>
    <row r="1908">
      <c r="A1908" t="inlineStr">
        <is>
          <t>Systems Logic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inlineStr">
        <is>
          <t>Tier 4</t>
        </is>
      </c>
      <c r="O1908" t="inlineStr">
        <is>
          <t>Anthony Allwood — CEO &amp; Founder</t>
        </is>
      </c>
      <c r="P1908" t="inlineStr">
        <is>
          <t>CEO &amp; Founder</t>
        </is>
      </c>
      <c r="Y1908" t="inlineStr">
        <is>
          <t>todo</t>
        </is>
      </c>
      <c r="Z1908">
        <f>(M1908*Weights!$B$2) + (MIN(Q1908,Weights!$B$5)*Weights!$B$3*(W1908/100)*Weights!$B$4)</f>
        <v/>
      </c>
      <c r="AA1908">
        <f>IF(Z1908= ,,RANK.EQ({pri_col_letter}{r},{pri_range},0))</f>
        <v/>
      </c>
    </row>
    <row r="1909">
      <c r="A1909" t="inlineStr">
        <is>
          <t>Systems Logic, creators of Wireless Warehouse in a Box WMS</t>
        </is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inlineStr">
        <is>
          <t>Tier 4</t>
        </is>
      </c>
      <c r="O1909" t="inlineStr">
        <is>
          <t>Graydon Dickson — Client Solutions Consultant</t>
        </is>
      </c>
      <c r="P1909" t="inlineStr">
        <is>
          <t>Client Solutions Consultant</t>
        </is>
      </c>
      <c r="Y1909" t="inlineStr">
        <is>
          <t>todo</t>
        </is>
      </c>
      <c r="Z1909">
        <f>(M1909*Weights!$B$2) + (MIN(Q1909,Weights!$B$5)*Weights!$B$3*(W1909/100)*Weights!$B$4)</f>
        <v/>
      </c>
      <c r="AA1909">
        <f>IF(Z1909= ,,RANK.EQ({pri_col_letter}{r},{pri_range},0))</f>
        <v/>
      </c>
    </row>
    <row r="1910">
      <c r="A1910" t="inlineStr">
        <is>
          <t>T21</t>
        </is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inlineStr">
        <is>
          <t>Tier 4</t>
        </is>
      </c>
      <c r="O1910" t="inlineStr">
        <is>
          <t>Osiel Cruz Galindo — Chief of Staff</t>
        </is>
      </c>
      <c r="P1910" t="inlineStr">
        <is>
          <t>Chief of Staff</t>
        </is>
      </c>
      <c r="Y1910" t="inlineStr">
        <is>
          <t>todo</t>
        </is>
      </c>
      <c r="Z1910">
        <f>(M1910*Weights!$B$2) + (MIN(Q1910,Weights!$B$5)*Weights!$B$3*(W1910/100)*Weights!$B$4)</f>
        <v/>
      </c>
      <c r="AA1910">
        <f>IF(Z1910= ,,RANK.EQ({pri_col_letter}{r},{pri_range},0))</f>
        <v/>
      </c>
    </row>
    <row r="1911">
      <c r="A1911" t="inlineStr">
        <is>
          <t>TC Transport-Normandy/US1 Logistics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inlineStr">
        <is>
          <t>Tier 4</t>
        </is>
      </c>
      <c r="O1911" t="inlineStr">
        <is>
          <t>Chris Trapani- Henning — President</t>
        </is>
      </c>
      <c r="P1911" t="inlineStr">
        <is>
          <t>President</t>
        </is>
      </c>
      <c r="Y1911" t="inlineStr">
        <is>
          <t>todo</t>
        </is>
      </c>
      <c r="Z1911">
        <f>(M1911*Weights!$B$2) + (MIN(Q1911,Weights!$B$5)*Weights!$B$3*(W1911/100)*Weights!$B$4)</f>
        <v/>
      </c>
      <c r="AA1911">
        <f>IF(Z1911= ,,RANK.EQ({pri_col_letter}{r},{pri_range},0))</f>
        <v/>
      </c>
    </row>
    <row r="1912">
      <c r="A1912" t="inlineStr">
        <is>
          <t>TELUS Global Ventures</t>
        </is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inlineStr">
        <is>
          <t>Tier 4</t>
        </is>
      </c>
      <c r="O1912" t="inlineStr">
        <is>
          <t>Rohit Nuwal — Partner</t>
        </is>
      </c>
      <c r="P1912" t="inlineStr">
        <is>
          <t>Partner</t>
        </is>
      </c>
      <c r="Y1912" t="inlineStr">
        <is>
          <t>todo</t>
        </is>
      </c>
      <c r="Z1912">
        <f>(M1912*Weights!$B$2) + (MIN(Q1912,Weights!$B$5)*Weights!$B$3*(W1912/100)*Weights!$B$4)</f>
        <v/>
      </c>
      <c r="AA1912">
        <f>IF(Z1912= ,,RANK.EQ({pri_col_letter}{r},{pri_range},0))</f>
        <v/>
      </c>
    </row>
    <row r="1913">
      <c r="A1913" t="inlineStr">
        <is>
          <t>TIACA</t>
        </is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inlineStr">
        <is>
          <t>Tier 4</t>
        </is>
      </c>
      <c r="O1913" t="inlineStr">
        <is>
          <t>Glyn Hughes — Director General</t>
        </is>
      </c>
      <c r="P1913" t="inlineStr">
        <is>
          <t>Director General</t>
        </is>
      </c>
      <c r="Y1913" t="inlineStr">
        <is>
          <t>todo</t>
        </is>
      </c>
      <c r="Z1913">
        <f>(M1913*Weights!$B$2) + (MIN(Q1913,Weights!$B$5)*Weights!$B$3*(W1913/100)*Weights!$B$4)</f>
        <v/>
      </c>
      <c r="AA1913">
        <f>IF(Z1913= ,,RANK.EQ({pri_col_letter}{r},{pri_range},0))</f>
        <v/>
      </c>
    </row>
    <row r="1914">
      <c r="A1914" t="inlineStr">
        <is>
          <t>TILT.AI</t>
        </is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>
        <is>
          <t>Tier 4</t>
        </is>
      </c>
      <c r="O1914" t="inlineStr">
        <is>
          <t>Francesco Petruzzelli — CEO</t>
        </is>
      </c>
      <c r="P1914" t="inlineStr">
        <is>
          <t>CEO</t>
        </is>
      </c>
      <c r="Y1914" t="inlineStr">
        <is>
          <t>todo</t>
        </is>
      </c>
      <c r="Z1914">
        <f>(M1914*Weights!$B$2) + (MIN(Q1914,Weights!$B$5)*Weights!$B$3*(W1914/100)*Weights!$B$4)</f>
        <v/>
      </c>
      <c r="AA1914">
        <f>IF(Z1914= ,,RANK.EQ({pri_col_letter}{r},{pri_range},0))</f>
        <v/>
      </c>
    </row>
    <row r="1915">
      <c r="A1915" t="inlineStr">
        <is>
          <t>TJC</t>
        </is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inlineStr">
        <is>
          <t>Tier 4</t>
        </is>
      </c>
      <c r="O1915" t="inlineStr">
        <is>
          <t>Jeff Dombek — Principal</t>
        </is>
      </c>
      <c r="P1915" t="inlineStr">
        <is>
          <t>Principal</t>
        </is>
      </c>
      <c r="Y1915" t="inlineStr">
        <is>
          <t>todo</t>
        </is>
      </c>
      <c r="Z1915">
        <f>(M1915*Weights!$B$2) + (MIN(Q1915,Weights!$B$5)*Weights!$B$3*(W1915/100)*Weights!$B$4)</f>
        <v/>
      </c>
      <c r="AA1915">
        <f>IF(Z1915= ,,RANK.EQ({pri_col_letter}{r},{pri_range},0))</f>
        <v/>
      </c>
    </row>
    <row r="1916">
      <c r="A1916" t="inlineStr">
        <is>
          <t>TMV Ventures</t>
        </is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inlineStr">
        <is>
          <t>Tier 4</t>
        </is>
      </c>
      <c r="O1916" t="inlineStr">
        <is>
          <t>Marina Hadjipateras — General Partner and Co-Founder</t>
        </is>
      </c>
      <c r="P1916" t="inlineStr">
        <is>
          <t>General Partner and Co-Founder</t>
        </is>
      </c>
      <c r="Y1916" t="inlineStr">
        <is>
          <t>todo</t>
        </is>
      </c>
      <c r="Z1916">
        <f>(M1916*Weights!$B$2) + (MIN(Q1916,Weights!$B$5)*Weights!$B$3*(W1916/100)*Weights!$B$4)</f>
        <v/>
      </c>
      <c r="AA1916">
        <f>IF(Z1916= ,,RANK.EQ({pri_col_letter}{r},{pri_range},0))</f>
        <v/>
      </c>
    </row>
    <row r="1917">
      <c r="A1917" t="inlineStr">
        <is>
          <t>TRAFFIX Group Inc.</t>
        </is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>
        <is>
          <t>Tier 4</t>
        </is>
      </c>
      <c r="O1917" t="inlineStr">
        <is>
          <t>Craig Swain — Executive Vice President</t>
        </is>
      </c>
      <c r="P1917" t="inlineStr">
        <is>
          <t>Executive Vice President</t>
        </is>
      </c>
      <c r="Y1917" t="inlineStr">
        <is>
          <t>todo</t>
        </is>
      </c>
      <c r="Z1917">
        <f>(M1917*Weights!$B$2) + (MIN(Q1917,Weights!$B$5)*Weights!$B$3*(W1917/100)*Weights!$B$4)</f>
        <v/>
      </c>
      <c r="AA1917">
        <f>IF(Z1917= ,,RANK.EQ({pri_col_letter}{r},{pri_range},0))</f>
        <v/>
      </c>
    </row>
    <row r="1918">
      <c r="A1918" t="inlineStr">
        <is>
          <t>TRANSPORTES GLIZIM</t>
        </is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inlineStr">
        <is>
          <t>Tier 4</t>
        </is>
      </c>
      <c r="O1918" t="inlineStr">
        <is>
          <t>CARLOS FRANCISCO PEREZ ZAVALETA — CEO</t>
        </is>
      </c>
      <c r="P1918" t="inlineStr">
        <is>
          <t>CEO</t>
        </is>
      </c>
      <c r="Y1918" t="inlineStr">
        <is>
          <t>todo</t>
        </is>
      </c>
      <c r="Z1918">
        <f>(M1918*Weights!$B$2) + (MIN(Q1918,Weights!$B$5)*Weights!$B$3*(W1918/100)*Weights!$B$4)</f>
        <v/>
      </c>
      <c r="AA1918">
        <f>IF(Z1918= ,,RANK.EQ({pri_col_letter}{r},{pri_range},0))</f>
        <v/>
      </c>
    </row>
    <row r="1919">
      <c r="A1919" t="inlineStr">
        <is>
          <t>TYH Warehousing</t>
        </is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inlineStr">
        <is>
          <t>Tier 4</t>
        </is>
      </c>
      <c r="O1919" t="inlineStr">
        <is>
          <t>Dovid Beckerman — Partner</t>
        </is>
      </c>
      <c r="P1919" t="inlineStr">
        <is>
          <t>Partner</t>
        </is>
      </c>
      <c r="Y1919" t="inlineStr">
        <is>
          <t>todo</t>
        </is>
      </c>
      <c r="Z1919">
        <f>(M1919*Weights!$B$2) + (MIN(Q1919,Weights!$B$5)*Weights!$B$3*(W1919/100)*Weights!$B$4)</f>
        <v/>
      </c>
      <c r="AA1919">
        <f>IF(Z1919= ,,RANK.EQ({pri_col_letter}{r},{pri_range},0))</f>
        <v/>
      </c>
    </row>
    <row r="1920">
      <c r="A1920" t="inlineStr">
        <is>
          <t>Tag</t>
        </is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>
        <is>
          <t>Tier 4</t>
        </is>
      </c>
      <c r="O1920" t="inlineStr">
        <is>
          <t>Patrick Toner — Tag</t>
        </is>
      </c>
      <c r="P1920" t="inlineStr">
        <is>
          <t>Tag</t>
        </is>
      </c>
      <c r="Y1920" t="inlineStr">
        <is>
          <t>todo</t>
        </is>
      </c>
      <c r="Z1920">
        <f>(M1920*Weights!$B$2) + (MIN(Q1920,Weights!$B$5)*Weights!$B$3*(W1920/100)*Weights!$B$4)</f>
        <v/>
      </c>
      <c r="AA1920">
        <f>IF(Z1920= ,,RANK.EQ({pri_col_letter}{r},{pri_range},0))</f>
        <v/>
      </c>
    </row>
    <row r="1921">
      <c r="A1921" t="inlineStr">
        <is>
          <t>Tailwind Futures</t>
        </is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inlineStr">
        <is>
          <t>Tier 4</t>
        </is>
      </c>
      <c r="O1921" t="inlineStr">
        <is>
          <t>Osama Idrees — Partner</t>
        </is>
      </c>
      <c r="P1921" t="inlineStr">
        <is>
          <t>Partner</t>
        </is>
      </c>
      <c r="Y1921" t="inlineStr">
        <is>
          <t>todo</t>
        </is>
      </c>
      <c r="Z1921">
        <f>(M1921*Weights!$B$2) + (MIN(Q1921,Weights!$B$5)*Weights!$B$3*(W1921/100)*Weights!$B$4)</f>
        <v/>
      </c>
      <c r="AA1921">
        <f>IF(Z1921= ,,RANK.EQ({pri_col_letter}{r},{pri_range},0))</f>
        <v/>
      </c>
    </row>
    <row r="1922">
      <c r="A1922" t="inlineStr">
        <is>
          <t>Taksa Technology Solutions</t>
        </is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inlineStr">
        <is>
          <t>Tier 4</t>
        </is>
      </c>
      <c r="O1922" t="inlineStr">
        <is>
          <t>Karan Arora — Director</t>
        </is>
      </c>
      <c r="P1922" t="inlineStr">
        <is>
          <t>Director</t>
        </is>
      </c>
      <c r="Y1922" t="inlineStr">
        <is>
          <t>todo</t>
        </is>
      </c>
      <c r="Z1922">
        <f>(M1922*Weights!$B$2) + (MIN(Q1922,Weights!$B$5)*Weights!$B$3*(W1922/100)*Weights!$B$4)</f>
        <v/>
      </c>
      <c r="AA1922">
        <f>IF(Z1922= ,,RANK.EQ({pri_col_letter}{r},{pri_range},0))</f>
        <v/>
      </c>
    </row>
    <row r="1923">
      <c r="A1923" t="inlineStr">
        <is>
          <t>Talento</t>
        </is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inlineStr">
        <is>
          <t>Tier 4</t>
        </is>
      </c>
      <c r="O1923" t="inlineStr">
        <is>
          <t>Mia Mazal — Co-Founder</t>
        </is>
      </c>
      <c r="P1923" t="inlineStr">
        <is>
          <t>Co-Founder</t>
        </is>
      </c>
      <c r="Y1923" t="inlineStr">
        <is>
          <t>todo</t>
        </is>
      </c>
      <c r="Z1923">
        <f>(M1923*Weights!$B$2) + (MIN(Q1923,Weights!$B$5)*Weights!$B$3*(W1923/100)*Weights!$B$4)</f>
        <v/>
      </c>
      <c r="AA1923">
        <f>IF(Z1923= ,,RANK.EQ({pri_col_letter}{r},{pri_range},0))</f>
        <v/>
      </c>
    </row>
    <row r="1924">
      <c r="A1924" t="inlineStr">
        <is>
          <t>Talon Logistics Inc</t>
        </is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inlineStr">
        <is>
          <t>Tier 4</t>
        </is>
      </c>
      <c r="O1924" t="inlineStr">
        <is>
          <t>Emmanuel Carrillo — CEO</t>
        </is>
      </c>
      <c r="P1924" t="inlineStr">
        <is>
          <t>CEO</t>
        </is>
      </c>
      <c r="Y1924" t="inlineStr">
        <is>
          <t>todo</t>
        </is>
      </c>
      <c r="Z1924">
        <f>(M1924*Weights!$B$2) + (MIN(Q1924,Weights!$B$5)*Weights!$B$3*(W1924/100)*Weights!$B$4)</f>
        <v/>
      </c>
      <c r="AA1924">
        <f>IF(Z1924= ,,RANK.EQ({pri_col_letter}{r},{pri_range},0))</f>
        <v/>
      </c>
    </row>
    <row r="1925">
      <c r="A1925" t="inlineStr">
        <is>
          <t>Tansect Supply Chain Solutions</t>
        </is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inlineStr">
        <is>
          <t>Tier 4</t>
        </is>
      </c>
      <c r="O1925" t="inlineStr">
        <is>
          <t>Michael Heisman — CEO &amp; Founder</t>
        </is>
      </c>
      <c r="P1925" t="inlineStr">
        <is>
          <t>CEO &amp; Founder</t>
        </is>
      </c>
      <c r="Y1925" t="inlineStr">
        <is>
          <t>todo</t>
        </is>
      </c>
      <c r="Z1925">
        <f>(M1925*Weights!$B$2) + (MIN(Q1925,Weights!$B$5)*Weights!$B$3*(W1925/100)*Weights!$B$4)</f>
        <v/>
      </c>
      <c r="AA1925">
        <f>IF(Z1925= ,,RANK.EQ({pri_col_letter}{r},{pri_range},0))</f>
        <v/>
      </c>
    </row>
    <row r="1926">
      <c r="A1926" t="inlineStr">
        <is>
          <t>Tealbook</t>
        </is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inlineStr">
        <is>
          <t>Tier 4</t>
        </is>
      </c>
      <c r="O1926" t="inlineStr">
        <is>
          <t>Stephany Lapierre — CEO &amp; Founder</t>
        </is>
      </c>
      <c r="P1926" t="inlineStr">
        <is>
          <t>CEO &amp; Founder</t>
        </is>
      </c>
      <c r="Y1926" t="inlineStr">
        <is>
          <t>todo</t>
        </is>
      </c>
      <c r="Z1926">
        <f>(M1926*Weights!$B$2) + (MIN(Q1926,Weights!$B$5)*Weights!$B$3*(W1926/100)*Weights!$B$4)</f>
        <v/>
      </c>
      <c r="AA1926">
        <f>IF(Z1926= ,,RANK.EQ({pri_col_letter}{r},{pri_range},0))</f>
        <v/>
      </c>
    </row>
    <row r="1927">
      <c r="A1927" t="inlineStr">
        <is>
          <t>Tech Square Ventures</t>
        </is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>
        <is>
          <t>Tier 4</t>
        </is>
      </c>
      <c r="O1927" t="inlineStr">
        <is>
          <t>Jason Kuo — Principal</t>
        </is>
      </c>
      <c r="P1927" t="inlineStr">
        <is>
          <t>Principal</t>
        </is>
      </c>
      <c r="Y1927" t="inlineStr">
        <is>
          <t>todo</t>
        </is>
      </c>
      <c r="Z1927">
        <f>(M1927*Weights!$B$2) + (MIN(Q1927,Weights!$B$5)*Weights!$B$3*(W1927/100)*Weights!$B$4)</f>
        <v/>
      </c>
      <c r="AA1927">
        <f>IF(Z1927= ,,RANK.EQ({pri_col_letter}{r},{pri_range},0))</f>
        <v/>
      </c>
    </row>
    <row r="1928">
      <c r="A1928" t="inlineStr">
        <is>
          <t>Tech Writers Bureau</t>
        </is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inlineStr">
        <is>
          <t>Tier 4</t>
        </is>
      </c>
      <c r="O1928" t="inlineStr">
        <is>
          <t>Carlos Soto — Editor</t>
        </is>
      </c>
      <c r="P1928" t="inlineStr">
        <is>
          <t>Editor</t>
        </is>
      </c>
      <c r="Y1928" t="inlineStr">
        <is>
          <t>todo</t>
        </is>
      </c>
      <c r="Z1928">
        <f>(M1928*Weights!$B$2) + (MIN(Q1928,Weights!$B$5)*Weights!$B$3*(W1928/100)*Weights!$B$4)</f>
        <v/>
      </c>
      <c r="AA1928">
        <f>IF(Z1928= ,,RANK.EQ({pri_col_letter}{r},{pri_range},0))</f>
        <v/>
      </c>
    </row>
    <row r="1929">
      <c r="A1929" t="inlineStr">
        <is>
          <t>Techdinamics Integrations</t>
        </is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inlineStr">
        <is>
          <t>Tier 4</t>
        </is>
      </c>
      <c r="O1929" t="inlineStr">
        <is>
          <t>Edward Aguiar — CEO/CTO</t>
        </is>
      </c>
      <c r="P1929" t="inlineStr">
        <is>
          <t>CEO/CTO</t>
        </is>
      </c>
      <c r="Y1929" t="inlineStr">
        <is>
          <t>todo</t>
        </is>
      </c>
      <c r="Z1929">
        <f>(M1929*Weights!$B$2) + (MIN(Q1929,Weights!$B$5)*Weights!$B$3*(W1929/100)*Weights!$B$4)</f>
        <v/>
      </c>
      <c r="AA1929">
        <f>IF(Z1929= ,,RANK.EQ({pri_col_letter}{r},{pri_range},0))</f>
        <v/>
      </c>
    </row>
    <row r="1930">
      <c r="A1930" t="inlineStr">
        <is>
          <t>Technical Traffic Consultants</t>
        </is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inlineStr">
        <is>
          <t>Tier 4</t>
        </is>
      </c>
      <c r="O1930" t="inlineStr">
        <is>
          <t>Lauren Plate — Executive Vice President</t>
        </is>
      </c>
      <c r="P1930" t="inlineStr">
        <is>
          <t>Executive Vice President</t>
        </is>
      </c>
      <c r="Y1930" t="inlineStr">
        <is>
          <t>todo</t>
        </is>
      </c>
      <c r="Z1930">
        <f>(M1930*Weights!$B$2) + (MIN(Q1930,Weights!$B$5)*Weights!$B$3*(W1930/100)*Weights!$B$4)</f>
        <v/>
      </c>
      <c r="AA1930">
        <f>IF(Z1930= ,,RANK.EQ({pri_col_letter}{r},{pri_range},0))</f>
        <v/>
      </c>
    </row>
    <row r="1931">
      <c r="A1931" t="inlineStr">
        <is>
          <t>Tekletics</t>
        </is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inlineStr">
        <is>
          <t>Tier 4</t>
        </is>
      </c>
      <c r="O1931" t="inlineStr">
        <is>
          <t>Casey Fox — CTO</t>
        </is>
      </c>
      <c r="P1931" t="inlineStr">
        <is>
          <t>CTO</t>
        </is>
      </c>
      <c r="Y1931" t="inlineStr">
        <is>
          <t>todo</t>
        </is>
      </c>
      <c r="Z1931">
        <f>(M1931*Weights!$B$2) + (MIN(Q1931,Weights!$B$5)*Weights!$B$3*(W1931/100)*Weights!$B$4)</f>
        <v/>
      </c>
      <c r="AA1931">
        <f>IF(Z1931= ,,RANK.EQ({pri_col_letter}{r},{pri_range},0))</f>
        <v/>
      </c>
    </row>
    <row r="1932">
      <c r="A1932" t="inlineStr">
        <is>
          <t>Tenvos</t>
        </is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inlineStr">
        <is>
          <t>Tier 4</t>
        </is>
      </c>
      <c r="O1932" t="inlineStr">
        <is>
          <t>Rim Olson — CEO &amp; Co-Founder</t>
        </is>
      </c>
      <c r="P1932" t="inlineStr">
        <is>
          <t>CEO &amp; Co-Founder</t>
        </is>
      </c>
      <c r="Y1932" t="inlineStr">
        <is>
          <t>todo</t>
        </is>
      </c>
      <c r="Z1932">
        <f>(M1932*Weights!$B$2) + (MIN(Q1932,Weights!$B$5)*Weights!$B$3*(W1932/100)*Weights!$B$4)</f>
        <v/>
      </c>
      <c r="AA1932">
        <f>IF(Z1932= ,,RANK.EQ({pri_col_letter}{r},{pri_range},0))</f>
        <v/>
      </c>
    </row>
    <row r="1933">
      <c r="A1933" t="inlineStr">
        <is>
          <t>Teradyne</t>
        </is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inlineStr">
        <is>
          <t>Tier 4</t>
        </is>
      </c>
      <c r="O1933" t="inlineStr">
        <is>
          <t>Natalia Aguilar — Business Analyst</t>
        </is>
      </c>
      <c r="P1933" t="inlineStr">
        <is>
          <t>Business Analyst</t>
        </is>
      </c>
      <c r="Y1933" t="inlineStr">
        <is>
          <t>todo</t>
        </is>
      </c>
      <c r="Z1933">
        <f>(M1933*Weights!$B$2) + (MIN(Q1933,Weights!$B$5)*Weights!$B$3*(W1933/100)*Weights!$B$4)</f>
        <v/>
      </c>
      <c r="AA1933">
        <f>IF(Z1933= ,,RANK.EQ({pri_col_letter}{r},{pri_range},0))</f>
        <v/>
      </c>
    </row>
    <row r="1934">
      <c r="A1934" t="inlineStr">
        <is>
          <t>Test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inlineStr">
        <is>
          <t>Tier 4</t>
        </is>
      </c>
      <c r="O1934" t="inlineStr">
        <is>
          <t>Joana Pro test — Test</t>
        </is>
      </c>
      <c r="P1934" t="inlineStr">
        <is>
          <t>Test</t>
        </is>
      </c>
      <c r="Y1934" t="inlineStr">
        <is>
          <t>todo</t>
        </is>
      </c>
      <c r="Z1934">
        <f>(M1934*Weights!$B$2) + (MIN(Q1934,Weights!$B$5)*Weights!$B$3*(W1934/100)*Weights!$B$4)</f>
        <v/>
      </c>
      <c r="AA1934">
        <f>IF(Z1934= ,,RANK.EQ({pri_col_letter}{r},{pri_range},0))</f>
        <v/>
      </c>
    </row>
    <row r="1935">
      <c r="A1935" t="inlineStr">
        <is>
          <t>TexPower</t>
        </is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inlineStr">
        <is>
          <t>Tier 4</t>
        </is>
      </c>
      <c r="O1935" t="inlineStr">
        <is>
          <t>Wangda Li — CTO &amp; Co-Founder</t>
        </is>
      </c>
      <c r="P1935" t="inlineStr">
        <is>
          <t>CTO &amp; Co-Founder</t>
        </is>
      </c>
      <c r="Y1935" t="inlineStr">
        <is>
          <t>todo</t>
        </is>
      </c>
      <c r="Z1935">
        <f>(M1935*Weights!$B$2) + (MIN(Q1935,Weights!$B$5)*Weights!$B$3*(W1935/100)*Weights!$B$4)</f>
        <v/>
      </c>
      <c r="AA1935">
        <f>IF(Z1935= ,,RANK.EQ({pri_col_letter}{r},{pri_range},0))</f>
        <v/>
      </c>
    </row>
    <row r="1936">
      <c r="A1936" t="inlineStr">
        <is>
          <t>The Aggregate Co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inlineStr">
        <is>
          <t>Tier 4</t>
        </is>
      </c>
      <c r="O1936" t="inlineStr">
        <is>
          <t>Justin Irvine — CEO</t>
        </is>
      </c>
      <c r="P1936" t="inlineStr">
        <is>
          <t>CEO</t>
        </is>
      </c>
      <c r="Y1936" t="inlineStr">
        <is>
          <t>todo</t>
        </is>
      </c>
      <c r="Z1936">
        <f>(M1936*Weights!$B$2) + (MIN(Q1936,Weights!$B$5)*Weights!$B$3*(W1936/100)*Weights!$B$4)</f>
        <v/>
      </c>
      <c r="AA1936">
        <f>IF(Z1936= ,,RANK.EQ({pri_col_letter}{r},{pri_range},0))</f>
        <v/>
      </c>
    </row>
    <row r="1937">
      <c r="A1937" t="inlineStr">
        <is>
          <t>The Arab Contractors &amp; ARABCO</t>
        </is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inlineStr">
        <is>
          <t>Tier 4</t>
        </is>
      </c>
      <c r="O1937" t="inlineStr">
        <is>
          <t>Dr. Menna Yasser — Head of International Relations</t>
        </is>
      </c>
      <c r="P1937" t="inlineStr">
        <is>
          <t>Head of International Relations</t>
        </is>
      </c>
      <c r="Y1937" t="inlineStr">
        <is>
          <t>todo</t>
        </is>
      </c>
      <c r="Z1937">
        <f>(M1937*Weights!$B$2) + (MIN(Q1937,Weights!$B$5)*Weights!$B$3*(W1937/100)*Weights!$B$4)</f>
        <v/>
      </c>
      <c r="AA1937">
        <f>IF(Z1937= ,,RANK.EQ({pri_col_letter}{r},{pri_range},0))</f>
        <v/>
      </c>
    </row>
    <row r="1938">
      <c r="A1938" t="inlineStr">
        <is>
          <t>The Bootstrapper's Guide to Logistics</t>
        </is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inlineStr">
        <is>
          <t>Tier 4</t>
        </is>
      </c>
      <c r="O1938" t="inlineStr">
        <is>
          <t>Nate Shutes — Founder</t>
        </is>
      </c>
      <c r="P1938" t="inlineStr">
        <is>
          <t>Founder</t>
        </is>
      </c>
      <c r="Y1938" t="inlineStr">
        <is>
          <t>todo</t>
        </is>
      </c>
      <c r="Z1938">
        <f>(M1938*Weights!$B$2) + (MIN(Q1938,Weights!$B$5)*Weights!$B$3*(W1938/100)*Weights!$B$4)</f>
        <v/>
      </c>
      <c r="AA1938">
        <f>IF(Z1938= ,,RANK.EQ({pri_col_letter}{r},{pri_range},0))</f>
        <v/>
      </c>
    </row>
    <row r="1939">
      <c r="A1939" t="inlineStr">
        <is>
          <t>The Company Lab</t>
        </is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inlineStr">
        <is>
          <t>Tier 4</t>
        </is>
      </c>
      <c r="O1939" t="inlineStr">
        <is>
          <t>Tasia Malakasis — CEO</t>
        </is>
      </c>
      <c r="P1939" t="inlineStr">
        <is>
          <t>CEO</t>
        </is>
      </c>
      <c r="Y1939" t="inlineStr">
        <is>
          <t>todo</t>
        </is>
      </c>
      <c r="Z1939">
        <f>(M1939*Weights!$B$2) + (MIN(Q1939,Weights!$B$5)*Weights!$B$3*(W1939/100)*Weights!$B$4)</f>
        <v/>
      </c>
      <c r="AA1939">
        <f>IF(Z1939= ,,RANK.EQ({pri_col_letter}{r},{pri_range},0))</f>
        <v/>
      </c>
    </row>
    <row r="1940">
      <c r="A1940" t="inlineStr">
        <is>
          <t>The Dane Technologies</t>
        </is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inlineStr">
        <is>
          <t>Tier 4</t>
        </is>
      </c>
      <c r="O1940" t="inlineStr">
        <is>
          <t>Daniel Johnson — CEO &amp; Founder</t>
        </is>
      </c>
      <c r="P1940" t="inlineStr">
        <is>
          <t>CEO &amp; Founder</t>
        </is>
      </c>
      <c r="Y1940" t="inlineStr">
        <is>
          <t>todo</t>
        </is>
      </c>
      <c r="Z1940">
        <f>(M1940*Weights!$B$2) + (MIN(Q1940,Weights!$B$5)*Weights!$B$3*(W1940/100)*Weights!$B$4)</f>
        <v/>
      </c>
      <c r="AA1940">
        <f>IF(Z1940= ,,RANK.EQ({pri_col_letter}{r},{pri_range},0))</f>
        <v/>
      </c>
    </row>
    <row r="1941">
      <c r="A1941" t="inlineStr">
        <is>
          <t>The Freight Buyers Club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inlineStr">
        <is>
          <t>Tier 4</t>
        </is>
      </c>
      <c r="O1941" t="inlineStr">
        <is>
          <t>Mike King — Host &amp; Editor</t>
        </is>
      </c>
      <c r="P1941" t="inlineStr">
        <is>
          <t>Host &amp; Editor</t>
        </is>
      </c>
      <c r="Y1941" t="inlineStr">
        <is>
          <t>todo</t>
        </is>
      </c>
      <c r="Z1941">
        <f>(M1941*Weights!$B$2) + (MIN(Q1941,Weights!$B$5)*Weights!$B$3*(W1941/100)*Weights!$B$4)</f>
        <v/>
      </c>
      <c r="AA1941">
        <f>IF(Z1941= ,,RANK.EQ({pri_col_letter}{r},{pri_range},0))</f>
        <v/>
      </c>
    </row>
    <row r="1942">
      <c r="A1942" t="inlineStr">
        <is>
          <t>The GOATS of Growth</t>
        </is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inlineStr">
        <is>
          <t>Tier 4</t>
        </is>
      </c>
      <c r="O1942" t="inlineStr">
        <is>
          <t>Jay Webb — CEO/Founder</t>
        </is>
      </c>
      <c r="P1942" t="inlineStr">
        <is>
          <t>CEO/Founder</t>
        </is>
      </c>
      <c r="Y1942" t="inlineStr">
        <is>
          <t>todo</t>
        </is>
      </c>
      <c r="Z1942">
        <f>(M1942*Weights!$B$2) + (MIN(Q1942,Weights!$B$5)*Weights!$B$3*(W1942/100)*Weights!$B$4)</f>
        <v/>
      </c>
      <c r="AA1942">
        <f>IF(Z1942= ,,RANK.EQ({pri_col_letter}{r},{pri_range},0))</f>
        <v/>
      </c>
    </row>
    <row r="1943">
      <c r="A1943" t="inlineStr">
        <is>
          <t>The Icebox Cool Stuff</t>
        </is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inlineStr">
        <is>
          <t>Tier 4</t>
        </is>
      </c>
      <c r="O1943" t="inlineStr">
        <is>
          <t>Will Biejwas — VP of Technology</t>
        </is>
      </c>
      <c r="P1943" t="inlineStr">
        <is>
          <t>VP of Technology</t>
        </is>
      </c>
      <c r="Y1943" t="inlineStr">
        <is>
          <t>todo</t>
        </is>
      </c>
      <c r="Z1943">
        <f>(M1943*Weights!$B$2) + (MIN(Q1943,Weights!$B$5)*Weights!$B$3*(W1943/100)*Weights!$B$4)</f>
        <v/>
      </c>
      <c r="AA1943">
        <f>IF(Z1943= ,,RANK.EQ({pri_col_letter}{r},{pri_range},0))</f>
        <v/>
      </c>
    </row>
    <row r="1944">
      <c r="A1944" t="inlineStr">
        <is>
          <t>The Kindest Kid Co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inlineStr">
        <is>
          <t>Tier 4</t>
        </is>
      </c>
      <c r="O1944" t="inlineStr">
        <is>
          <t>Renee Cascarina — CEO</t>
        </is>
      </c>
      <c r="P1944" t="inlineStr">
        <is>
          <t>CEO</t>
        </is>
      </c>
      <c r="Y1944" t="inlineStr">
        <is>
          <t>todo</t>
        </is>
      </c>
      <c r="Z1944">
        <f>(M1944*Weights!$B$2) + (MIN(Q1944,Weights!$B$5)*Weights!$B$3*(W1944/100)*Weights!$B$4)</f>
        <v/>
      </c>
      <c r="AA1944">
        <f>IF(Z1944= ,,RANK.EQ({pri_col_letter}{r},{pri_range},0))</f>
        <v/>
      </c>
    </row>
    <row r="1945">
      <c r="A1945" t="inlineStr">
        <is>
          <t>The LEGO Group</t>
        </is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inlineStr">
        <is>
          <t>Tier 4</t>
        </is>
      </c>
      <c r="O1945" t="inlineStr">
        <is>
          <t>Tyler Goddu — Director of Finance</t>
        </is>
      </c>
      <c r="P1945" t="inlineStr">
        <is>
          <t>Director of Finance</t>
        </is>
      </c>
      <c r="Y1945" t="inlineStr">
        <is>
          <t>todo</t>
        </is>
      </c>
      <c r="Z1945">
        <f>(M1945*Weights!$B$2) + (MIN(Q1945,Weights!$B$5)*Weights!$B$3*(W1945/100)*Weights!$B$4)</f>
        <v/>
      </c>
      <c r="AA1945">
        <f>IF(Z1945= ,,RANK.EQ({pri_col_letter}{r},{pri_range},0))</f>
        <v/>
      </c>
    </row>
    <row r="1946">
      <c r="A1946" t="inlineStr">
        <is>
          <t>The Maritime Professor®</t>
        </is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inlineStr">
        <is>
          <t>Tier 4</t>
        </is>
      </c>
      <c r="O1946" t="inlineStr">
        <is>
          <t>Lauren Beagen — CEO</t>
        </is>
      </c>
      <c r="P1946" t="inlineStr">
        <is>
          <t>CEO</t>
        </is>
      </c>
      <c r="Y1946" t="inlineStr">
        <is>
          <t>todo</t>
        </is>
      </c>
      <c r="Z1946">
        <f>(M1946*Weights!$B$2) + (MIN(Q1946,Weights!$B$5)*Weights!$B$3*(W1946/100)*Weights!$B$4)</f>
        <v/>
      </c>
      <c r="AA1946">
        <f>IF(Z1946= ,,RANK.EQ({pri_col_letter}{r},{pri_range},0))</f>
        <v/>
      </c>
    </row>
    <row r="1947">
      <c r="A1947" t="inlineStr">
        <is>
          <t>The Nuclear Company</t>
        </is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inlineStr">
        <is>
          <t>Tier 4</t>
        </is>
      </c>
      <c r="O1947" t="inlineStr">
        <is>
          <t>Joe Klecha — Chief Nuclear Officer</t>
        </is>
      </c>
      <c r="P1947" t="inlineStr">
        <is>
          <t>Chief Nuclear Officer</t>
        </is>
      </c>
      <c r="Y1947" t="inlineStr">
        <is>
          <t>todo</t>
        </is>
      </c>
      <c r="Z1947">
        <f>(M1947*Weights!$B$2) + (MIN(Q1947,Weights!$B$5)*Weights!$B$3*(W1947/100)*Weights!$B$4)</f>
        <v/>
      </c>
      <c r="AA1947">
        <f>IF(Z1947= ,,RANK.EQ({pri_col_letter}{r},{pri_range},0))</f>
        <v/>
      </c>
    </row>
    <row r="1948">
      <c r="A1948" t="inlineStr">
        <is>
          <t>The Pallet Alliance Inc.</t>
        </is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>
        <is>
          <t>Tier 4</t>
        </is>
      </c>
      <c r="O1948" t="inlineStr">
        <is>
          <t>Patrick Noone — SVP</t>
        </is>
      </c>
      <c r="P1948" t="inlineStr">
        <is>
          <t>SVP</t>
        </is>
      </c>
      <c r="Y1948" t="inlineStr">
        <is>
          <t>todo</t>
        </is>
      </c>
      <c r="Z1948">
        <f>(M1948*Weights!$B$2) + (MIN(Q1948,Weights!$B$5)*Weights!$B$3*(W1948/100)*Weights!$B$4)</f>
        <v/>
      </c>
      <c r="AA1948">
        <f>IF(Z1948= ,,RANK.EQ({pri_col_letter}{r},{pri_range},0))</f>
        <v/>
      </c>
    </row>
    <row r="1949">
      <c r="A1949" t="inlineStr">
        <is>
          <t>The Proctor &amp; Gamble Company</t>
        </is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>
        <is>
          <t>Tier 4</t>
        </is>
      </c>
      <c r="O1949" t="inlineStr">
        <is>
          <t>Jen Weil — Product Supply Innovation Director</t>
        </is>
      </c>
      <c r="P1949" t="inlineStr">
        <is>
          <t>Product Supply Innovation Director</t>
        </is>
      </c>
      <c r="Y1949" t="inlineStr">
        <is>
          <t>todo</t>
        </is>
      </c>
      <c r="Z1949">
        <f>(M1949*Weights!$B$2) + (MIN(Q1949,Weights!$B$5)*Weights!$B$3*(W1949/100)*Weights!$B$4)</f>
        <v/>
      </c>
      <c r="AA1949">
        <f>IF(Z1949= ,,RANK.EQ({pri_col_letter}{r},{pri_range},0))</f>
        <v/>
      </c>
    </row>
    <row r="1950">
      <c r="A1950" t="inlineStr">
        <is>
          <t>The Stephens Group, LLC</t>
        </is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>
        <is>
          <t>Tier 4</t>
        </is>
      </c>
      <c r="O1950" t="inlineStr">
        <is>
          <t>Anthony Porcellie — Vice President</t>
        </is>
      </c>
      <c r="P1950" t="inlineStr">
        <is>
          <t>Vice President</t>
        </is>
      </c>
      <c r="Y1950" t="inlineStr">
        <is>
          <t>todo</t>
        </is>
      </c>
      <c r="Z1950">
        <f>(M1950*Weights!$B$2) + (MIN(Q1950,Weights!$B$5)*Weights!$B$3*(W1950/100)*Weights!$B$4)</f>
        <v/>
      </c>
      <c r="AA1950">
        <f>IF(Z1950= ,,RANK.EQ({pri_col_letter}{r},{pri_range},0))</f>
        <v/>
      </c>
    </row>
    <row r="1951">
      <c r="A1951" t="inlineStr">
        <is>
          <t>ThinkFreight</t>
        </is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>
        <is>
          <t>Tier 4</t>
        </is>
      </c>
      <c r="O1951" t="inlineStr">
        <is>
          <t>Thomas Werdine — Founder</t>
        </is>
      </c>
      <c r="P1951" t="inlineStr">
        <is>
          <t>Founder</t>
        </is>
      </c>
      <c r="Y1951" t="inlineStr">
        <is>
          <t>todo</t>
        </is>
      </c>
      <c r="Z1951">
        <f>(M1951*Weights!$B$2) + (MIN(Q1951,Weights!$B$5)*Weights!$B$3*(W1951/100)*Weights!$B$4)</f>
        <v/>
      </c>
      <c r="AA1951">
        <f>IF(Z1951= ,,RANK.EQ({pri_col_letter}{r},{pri_range},0))</f>
        <v/>
      </c>
    </row>
    <row r="1952">
      <c r="A1952" t="inlineStr">
        <is>
          <t>Thomax</t>
        </is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inlineStr">
        <is>
          <t>Tier 4</t>
        </is>
      </c>
      <c r="O1952" t="inlineStr">
        <is>
          <t>Hollie Wright — General Manager - North America</t>
        </is>
      </c>
      <c r="P1952" t="inlineStr">
        <is>
          <t>General Manager - North America</t>
        </is>
      </c>
      <c r="Y1952" t="inlineStr">
        <is>
          <t>todo</t>
        </is>
      </c>
      <c r="Z1952">
        <f>(M1952*Weights!$B$2) + (MIN(Q1952,Weights!$B$5)*Weights!$B$3*(W1952/100)*Weights!$B$4)</f>
        <v/>
      </c>
      <c r="AA1952">
        <f>IF(Z1952= ,,RANK.EQ({pri_col_letter}{r},{pri_range},0))</f>
        <v/>
      </c>
    </row>
    <row r="1953">
      <c r="A1953" t="inlineStr">
        <is>
          <t>Thru-Put Partners</t>
        </is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>
        <is>
          <t>Tier 4</t>
        </is>
      </c>
      <c r="O1953" t="inlineStr">
        <is>
          <t>Kevin Hume — CoFounder - CTO</t>
        </is>
      </c>
      <c r="P1953" t="inlineStr">
        <is>
          <t>CoFounder - CTO</t>
        </is>
      </c>
      <c r="Y1953" t="inlineStr">
        <is>
          <t>todo</t>
        </is>
      </c>
      <c r="Z1953">
        <f>(M1953*Weights!$B$2) + (MIN(Q1953,Weights!$B$5)*Weights!$B$3*(W1953/100)*Weights!$B$4)</f>
        <v/>
      </c>
      <c r="AA1953">
        <f>IF(Z1953= ,,RANK.EQ({pri_col_letter}{r},{pri_range},0))</f>
        <v/>
      </c>
    </row>
    <row r="1954">
      <c r="A1954" t="inlineStr">
        <is>
          <t>ThruPut Partners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inlineStr">
        <is>
          <t>Tier 4</t>
        </is>
      </c>
      <c r="O1954" t="inlineStr">
        <is>
          <t>Brian Hudock — CEO &amp; Founder</t>
        </is>
      </c>
      <c r="P1954" t="inlineStr">
        <is>
          <t>CEO &amp; Founder</t>
        </is>
      </c>
      <c r="Y1954" t="inlineStr">
        <is>
          <t>todo</t>
        </is>
      </c>
      <c r="Z1954">
        <f>(M1954*Weights!$B$2) + (MIN(Q1954,Weights!$B$5)*Weights!$B$3*(W1954/100)*Weights!$B$4)</f>
        <v/>
      </c>
      <c r="AA1954">
        <f>IF(Z1954= ,,RANK.EQ({pri_col_letter}{r},{pri_range},0))</f>
        <v/>
      </c>
    </row>
    <row r="1955">
      <c r="A1955" t="inlineStr">
        <is>
          <t>Tokio Marine Holdings, Inc.</t>
        </is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>
        <is>
          <t>Tier 4</t>
        </is>
      </c>
      <c r="O1955" t="inlineStr">
        <is>
          <t>Marty Matsuoka — Deputy Head of Digital Innovation</t>
        </is>
      </c>
      <c r="P1955" t="inlineStr">
        <is>
          <t>Deputy Head of Digital Innovation</t>
        </is>
      </c>
      <c r="Y1955" t="inlineStr">
        <is>
          <t>todo</t>
        </is>
      </c>
      <c r="Z1955">
        <f>(M1955*Weights!$B$2) + (MIN(Q1955,Weights!$B$5)*Weights!$B$3*(W1955/100)*Weights!$B$4)</f>
        <v/>
      </c>
      <c r="AA1955">
        <f>IF(Z1955= ,,RANK.EQ({pri_col_letter}{r},{pri_range},0))</f>
        <v/>
      </c>
    </row>
    <row r="1956">
      <c r="A1956" t="inlineStr">
        <is>
          <t>Toronto Metropolitan University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>
        <is>
          <t>Tier 4</t>
        </is>
      </c>
      <c r="O1956" t="inlineStr">
        <is>
          <t>Jacob Rosenfeld — Student Press</t>
        </is>
      </c>
      <c r="P1956" t="inlineStr">
        <is>
          <t>Student Press</t>
        </is>
      </c>
      <c r="Y1956" t="inlineStr">
        <is>
          <t>todo</t>
        </is>
      </c>
      <c r="Z1956">
        <f>(M1956*Weights!$B$2) + (MIN(Q1956,Weights!$B$5)*Weights!$B$3*(W1956/100)*Weights!$B$4)</f>
        <v/>
      </c>
      <c r="AA1956">
        <f>IF(Z1956= ,,RANK.EQ({pri_col_letter}{r},{pri_range},0))</f>
        <v/>
      </c>
    </row>
    <row r="1957">
      <c r="A1957" t="inlineStr">
        <is>
          <t>Total Distribution, Inc.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>
        <is>
          <t>Tier 4</t>
        </is>
      </c>
      <c r="O1957" t="inlineStr">
        <is>
          <t>Doug Sibila — President &amp; CEO</t>
        </is>
      </c>
      <c r="P1957" t="inlineStr">
        <is>
          <t>President &amp; CEO</t>
        </is>
      </c>
      <c r="Y1957" t="inlineStr">
        <is>
          <t>todo</t>
        </is>
      </c>
      <c r="Z1957">
        <f>(M1957*Weights!$B$2) + (MIN(Q1957,Weights!$B$5)*Weights!$B$3*(W1957/100)*Weights!$B$4)</f>
        <v/>
      </c>
      <c r="AA1957">
        <f>IF(Z1957= ,,RANK.EQ({pri_col_letter}{r},{pri_range},0))</f>
        <v/>
      </c>
    </row>
    <row r="1958">
      <c r="A1958" t="inlineStr">
        <is>
          <t>Trade Duty Refund</t>
        </is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>
        <is>
          <t>Tier 4</t>
        </is>
      </c>
      <c r="O1958" t="inlineStr">
        <is>
          <t>Jocelyn Montpert — CEO</t>
        </is>
      </c>
      <c r="P1958" t="inlineStr">
        <is>
          <t>CEO</t>
        </is>
      </c>
      <c r="Y1958" t="inlineStr">
        <is>
          <t>todo</t>
        </is>
      </c>
      <c r="Z1958">
        <f>(M1958*Weights!$B$2) + (MIN(Q1958,Weights!$B$5)*Weights!$B$3*(W1958/100)*Weights!$B$4)</f>
        <v/>
      </c>
      <c r="AA1958">
        <f>IF(Z1958= ,,RANK.EQ({pri_col_letter}{r},{pri_range},0))</f>
        <v/>
      </c>
    </row>
    <row r="1959">
      <c r="A1959" t="inlineStr">
        <is>
          <t>Tradeforce Multiplier</t>
        </is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>
        <is>
          <t>Tier 4</t>
        </is>
      </c>
      <c r="O1959" t="inlineStr">
        <is>
          <t>Cindy Allen — CEO</t>
        </is>
      </c>
      <c r="P1959" t="inlineStr">
        <is>
          <t>CEO</t>
        </is>
      </c>
      <c r="Y1959" t="inlineStr">
        <is>
          <t>todo</t>
        </is>
      </c>
      <c r="Z1959">
        <f>(M1959*Weights!$B$2) + (MIN(Q1959,Weights!$B$5)*Weights!$B$3*(W1959/100)*Weights!$B$4)</f>
        <v/>
      </c>
      <c r="AA1959">
        <f>IF(Z1959= ,,RANK.EQ({pri_col_letter}{r},{pri_range},0))</f>
        <v/>
      </c>
    </row>
    <row r="1960">
      <c r="A1960" t="inlineStr">
        <is>
          <t>Tradeverifyd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>
        <is>
          <t>Tier 4</t>
        </is>
      </c>
      <c r="O1960" t="inlineStr">
        <is>
          <t>Karyl Fowler — Chief Policy Officer</t>
        </is>
      </c>
      <c r="P1960" t="inlineStr">
        <is>
          <t>Chief Policy Officer</t>
        </is>
      </c>
      <c r="Y1960" t="inlineStr">
        <is>
          <t>todo</t>
        </is>
      </c>
      <c r="Z1960">
        <f>(M1960*Weights!$B$2) + (MIN(Q1960,Weights!$B$5)*Weights!$B$3*(W1960/100)*Weights!$B$4)</f>
        <v/>
      </c>
      <c r="AA1960">
        <f>IF(Z1960= ,,RANK.EQ({pri_col_letter}{r},{pri_range},0))</f>
        <v/>
      </c>
    </row>
    <row r="1961">
      <c r="A1961" t="inlineStr">
        <is>
          <t>TransImpact</t>
        </is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inlineStr">
        <is>
          <t>Tier 4</t>
        </is>
      </c>
      <c r="O1961" t="inlineStr">
        <is>
          <t>Michael Papuga — Senior Vice President of M&amp;A Integration</t>
        </is>
      </c>
      <c r="P1961" t="inlineStr">
        <is>
          <t>Senior Vice President of M&amp;A Integration</t>
        </is>
      </c>
      <c r="Y1961" t="inlineStr">
        <is>
          <t>todo</t>
        </is>
      </c>
      <c r="Z1961">
        <f>(M1961*Weights!$B$2) + (MIN(Q1961,Weights!$B$5)*Weights!$B$3*(W1961/100)*Weights!$B$4)</f>
        <v/>
      </c>
      <c r="AA1961">
        <f>IF(Z1961= ,,RANK.EQ({pri_col_letter}{r},{pri_range},0))</f>
        <v/>
      </c>
    </row>
    <row r="1962">
      <c r="A1962" t="inlineStr">
        <is>
          <t>Transmotion</t>
        </is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inlineStr">
        <is>
          <t>Tier 4</t>
        </is>
      </c>
      <c r="O1962" t="inlineStr">
        <is>
          <t>Josh Dickemann — President</t>
        </is>
      </c>
      <c r="P1962" t="inlineStr">
        <is>
          <t>President</t>
        </is>
      </c>
      <c r="Y1962" t="inlineStr">
        <is>
          <t>todo</t>
        </is>
      </c>
      <c r="Z1962">
        <f>(M1962*Weights!$B$2) + (MIN(Q1962,Weights!$B$5)*Weights!$B$3*(W1962/100)*Weights!$B$4)</f>
        <v/>
      </c>
      <c r="AA1962">
        <f>IF(Z1962= ,,RANK.EQ({pri_col_letter}{r},{pri_range},0))</f>
        <v/>
      </c>
    </row>
    <row r="1963">
      <c r="A1963" t="inlineStr">
        <is>
          <t>Transport Topics</t>
        </is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>
        <is>
          <t>Tier 4</t>
        </is>
      </c>
      <c r="O1963" t="inlineStr">
        <is>
          <t>Seth Clevenger — Managing Editor, Features</t>
        </is>
      </c>
      <c r="P1963" t="inlineStr">
        <is>
          <t>Managing Editor, Features</t>
        </is>
      </c>
      <c r="Y1963" t="inlineStr">
        <is>
          <t>todo</t>
        </is>
      </c>
      <c r="Z1963">
        <f>(M1963*Weights!$B$2) + (MIN(Q1963,Weights!$B$5)*Weights!$B$3*(W1963/100)*Weights!$B$4)</f>
        <v/>
      </c>
      <c r="AA1963">
        <f>IF(Z1963= ,,RANK.EQ({pri_col_letter}{r},{pri_range},0))</f>
        <v/>
      </c>
    </row>
    <row r="1964">
      <c r="A1964" t="inlineStr">
        <is>
          <t>Trapezoid.AI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>
        <is>
          <t>Tier 4</t>
        </is>
      </c>
      <c r="O1964" t="inlineStr">
        <is>
          <t>Jonathan Cook — CEO &amp; Founder</t>
        </is>
      </c>
      <c r="P1964" t="inlineStr">
        <is>
          <t>CEO &amp; Founder</t>
        </is>
      </c>
      <c r="Y1964" t="inlineStr">
        <is>
          <t>todo</t>
        </is>
      </c>
      <c r="Z1964">
        <f>(M1964*Weights!$B$2) + (MIN(Q1964,Weights!$B$5)*Weights!$B$3*(W1964/100)*Weights!$B$4)</f>
        <v/>
      </c>
      <c r="AA1964">
        <f>IF(Z1964= ,,RANK.EQ({pri_col_letter}{r},{pri_range},0))</f>
        <v/>
      </c>
    </row>
    <row r="1965">
      <c r="A1965" t="inlineStr">
        <is>
          <t>Travelers freight logistics llc</t>
        </is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>
        <is>
          <t>Tier 4</t>
        </is>
      </c>
      <c r="O1965" t="inlineStr">
        <is>
          <t>Isaiah Milligan — Freight broker</t>
        </is>
      </c>
      <c r="P1965" t="inlineStr">
        <is>
          <t>Freight broker</t>
        </is>
      </c>
      <c r="Y1965" t="inlineStr">
        <is>
          <t>todo</t>
        </is>
      </c>
      <c r="Z1965">
        <f>(M1965*Weights!$B$2) + (MIN(Q1965,Weights!$B$5)*Weights!$B$3*(W1965/100)*Weights!$B$4)</f>
        <v/>
      </c>
      <c r="AA1965">
        <f>IF(Z1965= ,,RANK.EQ({pri_col_letter}{r},{pri_range},0))</f>
        <v/>
      </c>
    </row>
    <row r="1966">
      <c r="A1966" t="inlineStr">
        <is>
          <t>Trax Technologies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>
        <is>
          <t>Tier 4</t>
        </is>
      </c>
      <c r="O1966" t="inlineStr">
        <is>
          <t>Macy Savage — Enterprise Account Director</t>
        </is>
      </c>
      <c r="P1966" t="inlineStr">
        <is>
          <t>Enterprise Account Director</t>
        </is>
      </c>
      <c r="Y1966" t="inlineStr">
        <is>
          <t>todo</t>
        </is>
      </c>
      <c r="Z1966">
        <f>(M1966*Weights!$B$2) + (MIN(Q1966,Weights!$B$5)*Weights!$B$3*(W1966/100)*Weights!$B$4)</f>
        <v/>
      </c>
      <c r="AA1966">
        <f>IF(Z1966= ,,RANK.EQ({pri_col_letter}{r},{pri_range},0))</f>
        <v/>
      </c>
    </row>
    <row r="1967">
      <c r="A1967" t="inlineStr">
        <is>
          <t>Treedis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>
        <is>
          <t>Tier 4</t>
        </is>
      </c>
      <c r="O1967" t="inlineStr">
        <is>
          <t>Omer Shamay — CEO &amp; Co-Founder</t>
        </is>
      </c>
      <c r="P1967" t="inlineStr">
        <is>
          <t>CEO &amp; Co-Founder</t>
        </is>
      </c>
      <c r="Y1967" t="inlineStr">
        <is>
          <t>todo</t>
        </is>
      </c>
      <c r="Z1967">
        <f>(M1967*Weights!$B$2) + (MIN(Q1967,Weights!$B$5)*Weights!$B$3*(W1967/100)*Weights!$B$4)</f>
        <v/>
      </c>
      <c r="AA1967">
        <f>IF(Z1967= ,,RANK.EQ({pri_col_letter}{r},{pri_range},0))</f>
        <v/>
      </c>
    </row>
    <row r="1968">
      <c r="A1968" t="inlineStr">
        <is>
          <t>Trigent Inc</t>
        </is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>
        <is>
          <t>Tier 4</t>
        </is>
      </c>
      <c r="O1968" t="inlineStr">
        <is>
          <t>Pratapa Bernard — Vice President - Products &amp; Strategy</t>
        </is>
      </c>
      <c r="P1968" t="inlineStr">
        <is>
          <t>Vice President - Products &amp; Strategy</t>
        </is>
      </c>
      <c r="Y1968" t="inlineStr">
        <is>
          <t>todo</t>
        </is>
      </c>
      <c r="Z1968">
        <f>(M1968*Weights!$B$2) + (MIN(Q1968,Weights!$B$5)*Weights!$B$3*(W1968/100)*Weights!$B$4)</f>
        <v/>
      </c>
      <c r="AA1968">
        <f>IF(Z1968= ,,RANK.EQ({pri_col_letter}{r},{pri_range},0))</f>
        <v/>
      </c>
    </row>
    <row r="1969">
      <c r="A1969" t="inlineStr">
        <is>
          <t>Trillium Digital Services</t>
        </is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>
        <is>
          <t>Tier 4</t>
        </is>
      </c>
      <c r="O1969" t="inlineStr">
        <is>
          <t>Deborah Dull — Managing Partner</t>
        </is>
      </c>
      <c r="P1969" t="inlineStr">
        <is>
          <t>Managing Partner</t>
        </is>
      </c>
      <c r="Y1969" t="inlineStr">
        <is>
          <t>todo</t>
        </is>
      </c>
      <c r="Z1969">
        <f>(M1969*Weights!$B$2) + (MIN(Q1969,Weights!$B$5)*Weights!$B$3*(W1969/100)*Weights!$B$4)</f>
        <v/>
      </c>
      <c r="AA1969">
        <f>IF(Z1969= ,,RANK.EQ({pri_col_letter}{r},{pri_range},0))</f>
        <v/>
      </c>
    </row>
    <row r="1970">
      <c r="A1970" t="inlineStr">
        <is>
          <t>Trimac</t>
        </is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>
        <is>
          <t>Tier 4</t>
        </is>
      </c>
      <c r="O1970" t="inlineStr">
        <is>
          <t>Jeff McCaig — Chairman of the Baord</t>
        </is>
      </c>
      <c r="P1970" t="inlineStr">
        <is>
          <t>Chairman of the Baord</t>
        </is>
      </c>
      <c r="Y1970" t="inlineStr">
        <is>
          <t>todo</t>
        </is>
      </c>
      <c r="Z1970">
        <f>(M1970*Weights!$B$2) + (MIN(Q1970,Weights!$B$5)*Weights!$B$3*(W1970/100)*Weights!$B$4)</f>
        <v/>
      </c>
      <c r="AA1970">
        <f>IF(Z1970= ,,RANK.EQ({pri_col_letter}{r},{pri_range},0))</f>
        <v/>
      </c>
    </row>
    <row r="1971">
      <c r="A1971" t="inlineStr">
        <is>
          <t>Trinitas Farming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>
        <is>
          <t>Tier 4</t>
        </is>
      </c>
      <c r="O1971" t="inlineStr">
        <is>
          <t>Claudio Arriola — Managing Partner</t>
        </is>
      </c>
      <c r="P1971" t="inlineStr">
        <is>
          <t>Managing Partner</t>
        </is>
      </c>
      <c r="Y1971" t="inlineStr">
        <is>
          <t>todo</t>
        </is>
      </c>
      <c r="Z1971">
        <f>(M1971*Weights!$B$2) + (MIN(Q1971,Weights!$B$5)*Weights!$B$3*(W1971/100)*Weights!$B$4)</f>
        <v/>
      </c>
      <c r="AA1971">
        <f>IF(Z1971= ,,RANK.EQ({pri_col_letter}{r},{pri_range},0))</f>
        <v/>
      </c>
    </row>
    <row r="1972">
      <c r="A1972" t="inlineStr">
        <is>
          <t>Trinity II</t>
        </is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>
        <is>
          <t>Tier 4</t>
        </is>
      </c>
      <c r="O1972" t="inlineStr">
        <is>
          <t>Gregory Woolford — Shipping Manager</t>
        </is>
      </c>
      <c r="P1972" t="inlineStr">
        <is>
          <t>Shipping Manager</t>
        </is>
      </c>
      <c r="Y1972" t="inlineStr">
        <is>
          <t>todo</t>
        </is>
      </c>
      <c r="Z1972">
        <f>(M1972*Weights!$B$2) + (MIN(Q1972,Weights!$B$5)*Weights!$B$3*(W1972/100)*Weights!$B$4)</f>
        <v/>
      </c>
      <c r="AA1972">
        <f>IF(Z1972= ,,RANK.EQ({pri_col_letter}{r},{pri_range},0))</f>
        <v/>
      </c>
    </row>
    <row r="1973">
      <c r="A1973" t="inlineStr">
        <is>
          <t>Trinity Industries</t>
        </is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>
        <is>
          <t>Tier 4</t>
        </is>
      </c>
      <c r="O1973" t="inlineStr">
        <is>
          <t>Lindsay Franckowiak — Vice President, Parts &amp; Components</t>
        </is>
      </c>
      <c r="P1973" t="inlineStr">
        <is>
          <t>Vice President, Parts &amp; Components</t>
        </is>
      </c>
      <c r="Y1973" t="inlineStr">
        <is>
          <t>todo</t>
        </is>
      </c>
      <c r="Z1973">
        <f>(M1973*Weights!$B$2) + (MIN(Q1973,Weights!$B$5)*Weights!$B$3*(W1973/100)*Weights!$B$4)</f>
        <v/>
      </c>
      <c r="AA1973">
        <f>IF(Z1973= ,,RANK.EQ({pri_col_letter}{r},{pri_range},0))</f>
        <v/>
      </c>
    </row>
    <row r="1974">
      <c r="A1974" t="inlineStr">
        <is>
          <t>Triple Eagle Logistics Canada Inc.</t>
        </is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>
        <is>
          <t>Tier 4</t>
        </is>
      </c>
      <c r="O1974" t="inlineStr">
        <is>
          <t>Eric Deng — Owner/CEO</t>
        </is>
      </c>
      <c r="P1974" t="inlineStr">
        <is>
          <t>Owner/CEO</t>
        </is>
      </c>
      <c r="Y1974" t="inlineStr">
        <is>
          <t>todo</t>
        </is>
      </c>
      <c r="Z1974">
        <f>(M1974*Weights!$B$2) + (MIN(Q1974,Weights!$B$5)*Weights!$B$3*(W1974/100)*Weights!$B$4)</f>
        <v/>
      </c>
      <c r="AA1974">
        <f>IF(Z1974= ,,RANK.EQ({pri_col_letter}{r},{pri_range},0))</f>
        <v/>
      </c>
    </row>
    <row r="1975">
      <c r="A1975" t="inlineStr">
        <is>
          <t>Tritium Partners</t>
        </is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>
        <is>
          <t>Tier 4</t>
        </is>
      </c>
      <c r="O1975" t="inlineStr">
        <is>
          <t>Philip Spencer — Principal</t>
        </is>
      </c>
      <c r="P1975" t="inlineStr">
        <is>
          <t>Principal</t>
        </is>
      </c>
      <c r="Y1975" t="inlineStr">
        <is>
          <t>todo</t>
        </is>
      </c>
      <c r="Z1975">
        <f>(M1975*Weights!$B$2) + (MIN(Q1975,Weights!$B$5)*Weights!$B$3*(W1975/100)*Weights!$B$4)</f>
        <v/>
      </c>
      <c r="AA1975">
        <f>IF(Z1975= ,,RANK.EQ({pri_col_letter}{r},{pri_range},0))</f>
        <v/>
      </c>
    </row>
    <row r="1976">
      <c r="A1976" t="inlineStr">
        <is>
          <t>Troops2Logistics</t>
        </is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>
        <is>
          <t>Tier 4</t>
        </is>
      </c>
      <c r="O1976" t="inlineStr">
        <is>
          <t>Scot Snyder — President</t>
        </is>
      </c>
      <c r="P1976" t="inlineStr">
        <is>
          <t>President</t>
        </is>
      </c>
      <c r="Y1976" t="inlineStr">
        <is>
          <t>todo</t>
        </is>
      </c>
      <c r="Z1976">
        <f>(M1976*Weights!$B$2) + (MIN(Q1976,Weights!$B$5)*Weights!$B$3*(W1976/100)*Weights!$B$4)</f>
        <v/>
      </c>
      <c r="AA1976">
        <f>IF(Z1976= ,,RANK.EQ({pri_col_letter}{r},{pri_range},0))</f>
        <v/>
      </c>
    </row>
    <row r="1977">
      <c r="A1977" t="inlineStr">
        <is>
          <t>True North Supply Chain Advisory LLC</t>
        </is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>
        <is>
          <t>Tier 4</t>
        </is>
      </c>
      <c r="O1977" t="inlineStr">
        <is>
          <t>Tim Scott — Founder</t>
        </is>
      </c>
      <c r="P1977" t="inlineStr">
        <is>
          <t>Founder</t>
        </is>
      </c>
      <c r="Y1977" t="inlineStr">
        <is>
          <t>todo</t>
        </is>
      </c>
      <c r="Z1977">
        <f>(M1977*Weights!$B$2) + (MIN(Q1977,Weights!$B$5)*Weights!$B$3*(W1977/100)*Weights!$B$4)</f>
        <v/>
      </c>
      <c r="AA1977">
        <f>IF(Z1977= ,,RANK.EQ({pri_col_letter}{r},{pri_range},0))</f>
        <v/>
      </c>
    </row>
    <row r="1978">
      <c r="A1978" t="inlineStr">
        <is>
          <t>Turn / River Capital</t>
        </is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inlineStr">
        <is>
          <t>Tier 4</t>
        </is>
      </c>
      <c r="O1978" t="inlineStr">
        <is>
          <t>Prashanth Cherukuri — Executive Director</t>
        </is>
      </c>
      <c r="P1978" t="inlineStr">
        <is>
          <t>Executive Director</t>
        </is>
      </c>
      <c r="Y1978" t="inlineStr">
        <is>
          <t>todo</t>
        </is>
      </c>
      <c r="Z1978">
        <f>(M1978*Weights!$B$2) + (MIN(Q1978,Weights!$B$5)*Weights!$B$3*(W1978/100)*Weights!$B$4)</f>
        <v/>
      </c>
      <c r="AA1978">
        <f>IF(Z1978= ,,RANK.EQ({pri_col_letter}{r},{pri_range},0))</f>
        <v/>
      </c>
    </row>
    <row r="1979">
      <c r="A1979" t="inlineStr">
        <is>
          <t>Twelve</t>
        </is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inlineStr">
        <is>
          <t>Tier 4</t>
        </is>
      </c>
      <c r="O1979" t="inlineStr">
        <is>
          <t>Nicholas Flanders — CEO &amp; Co-Founder</t>
        </is>
      </c>
      <c r="P1979" t="inlineStr">
        <is>
          <t>CEO &amp; Co-Founder</t>
        </is>
      </c>
      <c r="Y1979" t="inlineStr">
        <is>
          <t>todo</t>
        </is>
      </c>
      <c r="Z1979">
        <f>(M1979*Weights!$B$2) + (MIN(Q1979,Weights!$B$5)*Weights!$B$3*(W1979/100)*Weights!$B$4)</f>
        <v/>
      </c>
      <c r="AA1979">
        <f>IF(Z1979= ,,RANK.EQ({pri_col_letter}{r},{pri_range},0))</f>
        <v/>
      </c>
    </row>
    <row r="1980">
      <c r="A1980" t="inlineStr">
        <is>
          <t>U Bond</t>
        </is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inlineStr">
        <is>
          <t>Tier 4</t>
        </is>
      </c>
      <c r="O1980" t="inlineStr">
        <is>
          <t>Jeff Sun — President</t>
        </is>
      </c>
      <c r="P1980" t="inlineStr">
        <is>
          <t>President</t>
        </is>
      </c>
      <c r="Y1980" t="inlineStr">
        <is>
          <t>todo</t>
        </is>
      </c>
      <c r="Z1980">
        <f>(M1980*Weights!$B$2) + (MIN(Q1980,Weights!$B$5)*Weights!$B$3*(W1980/100)*Weights!$B$4)</f>
        <v/>
      </c>
      <c r="AA1980">
        <f>IF(Z1980= ,,RANK.EQ({pri_col_letter}{r},{pri_range},0))</f>
        <v/>
      </c>
    </row>
    <row r="1981">
      <c r="A1981" t="inlineStr">
        <is>
          <t>U.S. Multimodal Group</t>
        </is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inlineStr">
        <is>
          <t>Tier 4</t>
        </is>
      </c>
      <c r="O1981" t="inlineStr">
        <is>
          <t>Robert Thornburg — CIO</t>
        </is>
      </c>
      <c r="P1981" t="inlineStr">
        <is>
          <t>CIO</t>
        </is>
      </c>
      <c r="Y1981" t="inlineStr">
        <is>
          <t>todo</t>
        </is>
      </c>
      <c r="Z1981">
        <f>(M1981*Weights!$B$2) + (MIN(Q1981,Weights!$B$5)*Weights!$B$3*(W1981/100)*Weights!$B$4)</f>
        <v/>
      </c>
      <c r="AA1981">
        <f>IF(Z1981= ,,RANK.EQ({pri_col_letter}{r},{pri_range},0))</f>
        <v/>
      </c>
    </row>
    <row r="1982">
      <c r="A1982" t="inlineStr">
        <is>
          <t>UAB Matomai</t>
        </is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inlineStr">
        <is>
          <t>Tier 4</t>
        </is>
      </c>
      <c r="O1982" t="inlineStr">
        <is>
          <t>Paulius Rakauskas — Co-founder</t>
        </is>
      </c>
      <c r="P1982" t="inlineStr">
        <is>
          <t>Co-founder</t>
        </is>
      </c>
      <c r="Y1982" t="inlineStr">
        <is>
          <t>todo</t>
        </is>
      </c>
      <c r="Z1982">
        <f>(M1982*Weights!$B$2) + (MIN(Q1982,Weights!$B$5)*Weights!$B$3*(W1982/100)*Weights!$B$4)</f>
        <v/>
      </c>
      <c r="AA1982">
        <f>IF(Z1982= ,,RANK.EQ({pri_col_letter}{r},{pri_range},0))</f>
        <v/>
      </c>
    </row>
    <row r="1983">
      <c r="A1983" t="inlineStr">
        <is>
          <t>UFPT</t>
        </is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inlineStr">
        <is>
          <t>Tier 4</t>
        </is>
      </c>
      <c r="O1983" t="inlineStr">
        <is>
          <t>Darrin Parker — Director of Planning &amp; Analysis</t>
        </is>
      </c>
      <c r="P1983" t="inlineStr">
        <is>
          <t>Director of Planning &amp; Analysis</t>
        </is>
      </c>
      <c r="Y1983" t="inlineStr">
        <is>
          <t>todo</t>
        </is>
      </c>
      <c r="Z1983">
        <f>(M1983*Weights!$B$2) + (MIN(Q1983,Weights!$B$5)*Weights!$B$3*(W1983/100)*Weights!$B$4)</f>
        <v/>
      </c>
      <c r="AA1983">
        <f>IF(Z1983= ,,RANK.EQ({pri_col_letter}{r},{pri_range},0))</f>
        <v/>
      </c>
    </row>
    <row r="1984">
      <c r="A1984" t="inlineStr">
        <is>
          <t>ULTL</t>
        </is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inlineStr">
        <is>
          <t>Tier 4</t>
        </is>
      </c>
      <c r="O1984" t="inlineStr">
        <is>
          <t>Curtis Garrett — CEO &amp; Founder</t>
        </is>
      </c>
      <c r="P1984" t="inlineStr">
        <is>
          <t>CEO &amp; Founder</t>
        </is>
      </c>
      <c r="Y1984" t="inlineStr">
        <is>
          <t>todo</t>
        </is>
      </c>
      <c r="Z1984">
        <f>(M1984*Weights!$B$2) + (MIN(Q1984,Weights!$B$5)*Weights!$B$3*(W1984/100)*Weights!$B$4)</f>
        <v/>
      </c>
      <c r="AA1984">
        <f>IF(Z1984= ,,RANK.EQ({pri_col_letter}{r},{pri_range},0))</f>
        <v/>
      </c>
    </row>
    <row r="1985">
      <c r="A1985" t="inlineStr">
        <is>
          <t>US Mexico Foundation</t>
        </is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inlineStr">
        <is>
          <t>Tier 4</t>
        </is>
      </c>
      <c r="O1985" t="inlineStr">
        <is>
          <t>Enrique Perret — Director</t>
        </is>
      </c>
      <c r="P1985" t="inlineStr">
        <is>
          <t>Director</t>
        </is>
      </c>
      <c r="Y1985" t="inlineStr">
        <is>
          <t>todo</t>
        </is>
      </c>
      <c r="Z1985">
        <f>(M1985*Weights!$B$2) + (MIN(Q1985,Weights!$B$5)*Weights!$B$3*(W1985/100)*Weights!$B$4)</f>
        <v/>
      </c>
      <c r="AA1985">
        <f>IF(Z1985= ,,RANK.EQ({pri_col_letter}{r},{pri_range},0))</f>
        <v/>
      </c>
    </row>
    <row r="1986">
      <c r="A1986" t="inlineStr">
        <is>
          <t>USA Brokerage, LLC</t>
        </is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inlineStr">
        <is>
          <t>Tier 4</t>
        </is>
      </c>
      <c r="O1986" t="inlineStr">
        <is>
          <t>Steve Schneider — COO</t>
        </is>
      </c>
      <c r="P1986" t="inlineStr">
        <is>
          <t>COO</t>
        </is>
      </c>
      <c r="Y1986" t="inlineStr">
        <is>
          <t>todo</t>
        </is>
      </c>
      <c r="Z1986">
        <f>(M1986*Weights!$B$2) + (MIN(Q1986,Weights!$B$5)*Weights!$B$3*(W1986/100)*Weights!$B$4)</f>
        <v/>
      </c>
      <c r="AA1986">
        <f>IF(Z1986= ,,RANK.EQ({pri_col_letter}{r},{pri_range},0))</f>
        <v/>
      </c>
    </row>
    <row r="1987">
      <c r="A1987" t="inlineStr">
        <is>
          <t>UTC Overseas Group</t>
        </is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>
        <is>
          <t>Tier 4</t>
        </is>
      </c>
      <c r="O1987" t="inlineStr">
        <is>
          <t>Sebastian Stahl — EVP Strategic Development</t>
        </is>
      </c>
      <c r="P1987" t="inlineStr">
        <is>
          <t>EVP Strategic Development</t>
        </is>
      </c>
      <c r="Y1987" t="inlineStr">
        <is>
          <t>todo</t>
        </is>
      </c>
      <c r="Z1987">
        <f>(M1987*Weights!$B$2) + (MIN(Q1987,Weights!$B$5)*Weights!$B$3*(W1987/100)*Weights!$B$4)</f>
        <v/>
      </c>
      <c r="AA1987">
        <f>IF(Z1987= ,,RANK.EQ({pri_col_letter}{r},{pri_range},0))</f>
        <v/>
      </c>
    </row>
    <row r="1988">
      <c r="A1988" t="inlineStr">
        <is>
          <t>UTK Global Supply Chain Institute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inlineStr">
        <is>
          <t>Tier 4</t>
        </is>
      </c>
      <c r="O1988" t="inlineStr">
        <is>
          <t>Alan Amling — Assistant Professor</t>
        </is>
      </c>
      <c r="P1988" t="inlineStr">
        <is>
          <t>Assistant Professor</t>
        </is>
      </c>
      <c r="Y1988" t="inlineStr">
        <is>
          <t>todo</t>
        </is>
      </c>
      <c r="Z1988">
        <f>(M1988*Weights!$B$2) + (MIN(Q1988,Weights!$B$5)*Weights!$B$3*(W1988/100)*Weights!$B$4)</f>
        <v/>
      </c>
      <c r="AA1988">
        <f>IF(Z1988= ,,RANK.EQ({pri_col_letter}{r},{pri_range},0))</f>
        <v/>
      </c>
    </row>
    <row r="1989">
      <c r="A1989" t="inlineStr">
        <is>
          <t>UTrust Insurance</t>
        </is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inlineStr">
        <is>
          <t>Tier 4</t>
        </is>
      </c>
      <c r="O1989" t="inlineStr">
        <is>
          <t>Mila Shuliak — Companion</t>
        </is>
      </c>
      <c r="P1989" t="inlineStr">
        <is>
          <t>Companion</t>
        </is>
      </c>
      <c r="Y1989" t="inlineStr">
        <is>
          <t>todo</t>
        </is>
      </c>
      <c r="Z1989">
        <f>(M1989*Weights!$B$2) + (MIN(Q1989,Weights!$B$5)*Weights!$B$3*(W1989/100)*Weights!$B$4)</f>
        <v/>
      </c>
      <c r="AA1989">
        <f>IF(Z1989= ,,RANK.EQ({pri_col_letter}{r},{pri_range},0))</f>
        <v/>
      </c>
    </row>
    <row r="1990">
      <c r="A1990" t="inlineStr">
        <is>
          <t>UgoWork</t>
        </is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>
        <is>
          <t>Tier 4</t>
        </is>
      </c>
      <c r="O1990" t="inlineStr">
        <is>
          <t>Julien Millérioux — Product Manager</t>
        </is>
      </c>
      <c r="P1990" t="inlineStr">
        <is>
          <t>Product Manager</t>
        </is>
      </c>
      <c r="Y1990" t="inlineStr">
        <is>
          <t>todo</t>
        </is>
      </c>
      <c r="Z1990">
        <f>(M1990*Weights!$B$2) + (MIN(Q1990,Weights!$B$5)*Weights!$B$3*(W1990/100)*Weights!$B$4)</f>
        <v/>
      </c>
      <c r="AA1990">
        <f>IF(Z1990= ,,RANK.EQ({pri_col_letter}{r},{pri_range},0))</f>
        <v/>
      </c>
    </row>
    <row r="1991">
      <c r="A1991" t="inlineStr">
        <is>
          <t>Understand LTL &amp; rateHero</t>
        </is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>
        <is>
          <t>Tier 4</t>
        </is>
      </c>
      <c r="O1991" t="inlineStr">
        <is>
          <t>Curtis Garrett — CEO</t>
        </is>
      </c>
      <c r="P1991" t="inlineStr">
        <is>
          <t>CEO</t>
        </is>
      </c>
      <c r="Y1991" t="inlineStr">
        <is>
          <t>todo</t>
        </is>
      </c>
      <c r="Z1991">
        <f>(M1991*Weights!$B$2) + (MIN(Q1991,Weights!$B$5)*Weights!$B$3*(W1991/100)*Weights!$B$4)</f>
        <v/>
      </c>
      <c r="AA1991">
        <f>IF(Z1991= ,,RANK.EQ({pri_col_letter}{r},{pri_range},0))</f>
        <v/>
      </c>
    </row>
    <row r="1992">
      <c r="A1992" t="inlineStr">
        <is>
          <t>Unit AI</t>
        </is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inlineStr">
        <is>
          <t>Tier 4</t>
        </is>
      </c>
      <c r="O1992" t="inlineStr">
        <is>
          <t>Avihou Barkay — Co-founder</t>
        </is>
      </c>
      <c r="P1992" t="inlineStr">
        <is>
          <t>Co-founder</t>
        </is>
      </c>
      <c r="Y1992" t="inlineStr">
        <is>
          <t>todo</t>
        </is>
      </c>
      <c r="Z1992">
        <f>(M1992*Weights!$B$2) + (MIN(Q1992,Weights!$B$5)*Weights!$B$3*(W1992/100)*Weights!$B$4)</f>
        <v/>
      </c>
      <c r="AA1992">
        <f>IF(Z1992= ,,RANK.EQ({pri_col_letter}{r},{pri_range},0))</f>
        <v/>
      </c>
    </row>
    <row r="1993">
      <c r="A1993" t="inlineStr">
        <is>
          <t>United Against Poverty, Inc.</t>
        </is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>
        <is>
          <t>Tier 4</t>
        </is>
      </c>
      <c r="O1993" t="inlineStr">
        <is>
          <t>Jacqueline Kazimer — Director, Product Partner Relationships</t>
        </is>
      </c>
      <c r="P1993" t="inlineStr">
        <is>
          <t>Director, Product Partner Relationships</t>
        </is>
      </c>
      <c r="Y1993" t="inlineStr">
        <is>
          <t>todo</t>
        </is>
      </c>
      <c r="Z1993">
        <f>(M1993*Weights!$B$2) + (MIN(Q1993,Weights!$B$5)*Weights!$B$3*(W1993/100)*Weights!$B$4)</f>
        <v/>
      </c>
      <c r="AA1993">
        <f>IF(Z1993= ,,RANK.EQ({pri_col_letter}{r},{pri_range},0))</f>
        <v/>
      </c>
    </row>
    <row r="1994">
      <c r="A1994" t="inlineStr">
        <is>
          <t>United Freight Solutions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inlineStr">
        <is>
          <t>Tier 4</t>
        </is>
      </c>
      <c r="O1994" t="inlineStr">
        <is>
          <t>Carter Garrett — President</t>
        </is>
      </c>
      <c r="P1994" t="inlineStr">
        <is>
          <t>President</t>
        </is>
      </c>
      <c r="Y1994" t="inlineStr">
        <is>
          <t>todo</t>
        </is>
      </c>
      <c r="Z1994">
        <f>(M1994*Weights!$B$2) + (MIN(Q1994,Weights!$B$5)*Weights!$B$3*(W1994/100)*Weights!$B$4)</f>
        <v/>
      </c>
      <c r="AA1994">
        <f>IF(Z1994= ,,RANK.EQ({pri_col_letter}{r},{pri_range},0))</f>
        <v/>
      </c>
    </row>
    <row r="1995">
      <c r="A1995" t="inlineStr">
        <is>
          <t>United States Transportation Command</t>
        </is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inlineStr">
        <is>
          <t>Tier 4</t>
        </is>
      </c>
      <c r="O1995" t="inlineStr">
        <is>
          <t>Brandon Williams — Chief, Campaigns Branch</t>
        </is>
      </c>
      <c r="P1995" t="inlineStr">
        <is>
          <t>Chief, Campaigns Branch</t>
        </is>
      </c>
      <c r="Y1995" t="inlineStr">
        <is>
          <t>todo</t>
        </is>
      </c>
      <c r="Z1995">
        <f>(M1995*Weights!$B$2) + (MIN(Q1995,Weights!$B$5)*Weights!$B$3*(W1995/100)*Weights!$B$4)</f>
        <v/>
      </c>
      <c r="AA1995">
        <f>IF(Z1995= ,,RANK.EQ({pri_col_letter}{r},{pri_range},0))</f>
        <v/>
      </c>
    </row>
    <row r="1996">
      <c r="A1996" t="inlineStr">
        <is>
          <t>United Transportation Services</t>
        </is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inlineStr">
        <is>
          <t>Tier 4</t>
        </is>
      </c>
      <c r="O1996" t="inlineStr">
        <is>
          <t>Bruce Parsons — CEO</t>
        </is>
      </c>
      <c r="P1996" t="inlineStr">
        <is>
          <t>CEO</t>
        </is>
      </c>
      <c r="Y1996" t="inlineStr">
        <is>
          <t>todo</t>
        </is>
      </c>
      <c r="Z1996">
        <f>(M1996*Weights!$B$2) + (MIN(Q1996,Weights!$B$5)*Weights!$B$3*(W1996/100)*Weights!$B$4)</f>
        <v/>
      </c>
      <c r="AA1996">
        <f>IF(Z1996= ,,RANK.EQ({pri_col_letter}{r},{pri_range},0))</f>
        <v/>
      </c>
    </row>
    <row r="1997">
      <c r="A1997" t="inlineStr">
        <is>
          <t>United Vision Logistics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inlineStr">
        <is>
          <t>Tier 4</t>
        </is>
      </c>
      <c r="O1997" t="inlineStr">
        <is>
          <t>Steve Schaaf — CTO</t>
        </is>
      </c>
      <c r="P1997" t="inlineStr">
        <is>
          <t>CTO</t>
        </is>
      </c>
      <c r="Y1997" t="inlineStr">
        <is>
          <t>todo</t>
        </is>
      </c>
      <c r="Z1997">
        <f>(M1997*Weights!$B$2) + (MIN(Q1997,Weights!$B$5)*Weights!$B$3*(W1997/100)*Weights!$B$4)</f>
        <v/>
      </c>
      <c r="AA1997">
        <f>IF(Z1997= ,,RANK.EQ({pri_col_letter}{r},{pri_range},0))</f>
        <v/>
      </c>
    </row>
    <row r="1998">
      <c r="A1998" t="inlineStr">
        <is>
          <t>United Warehouse Co</t>
        </is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inlineStr">
        <is>
          <t>Tier 4</t>
        </is>
      </c>
      <c r="O1998" t="inlineStr">
        <is>
          <t>Brett Schaefer — President/CEO</t>
        </is>
      </c>
      <c r="P1998" t="inlineStr">
        <is>
          <t>President/CEO</t>
        </is>
      </c>
      <c r="Y1998" t="inlineStr">
        <is>
          <t>todo</t>
        </is>
      </c>
      <c r="Z1998">
        <f>(M1998*Weights!$B$2) + (MIN(Q1998,Weights!$B$5)*Weights!$B$3*(W1998/100)*Weights!$B$4)</f>
        <v/>
      </c>
      <c r="AA1998">
        <f>IF(Z1998= ,,RANK.EQ({pri_col_letter}{r},{pri_range},0))</f>
        <v/>
      </c>
    </row>
    <row r="1999">
      <c r="A1999" t="inlineStr">
        <is>
          <t>Universal</t>
        </is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inlineStr">
        <is>
          <t>Tier 4</t>
        </is>
      </c>
      <c r="O1999" t="inlineStr">
        <is>
          <t>Ryan Frederickson — President</t>
        </is>
      </c>
      <c r="P1999" t="inlineStr">
        <is>
          <t>President</t>
        </is>
      </c>
      <c r="Y1999" t="inlineStr">
        <is>
          <t>todo</t>
        </is>
      </c>
      <c r="Z1999">
        <f>(M1999*Weights!$B$2) + (MIN(Q1999,Weights!$B$5)*Weights!$B$3*(W1999/100)*Weights!$B$4)</f>
        <v/>
      </c>
      <c r="AA1999">
        <f>IF(Z1999= ,,RANK.EQ({pri_col_letter}{r},{pri_range},0))</f>
        <v/>
      </c>
    </row>
    <row r="2000">
      <c r="A2000" t="inlineStr">
        <is>
          <t>Up Partners</t>
        </is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inlineStr">
        <is>
          <t>Tier 4</t>
        </is>
      </c>
      <c r="O2000" t="inlineStr">
        <is>
          <t>Ally Warson — Partner</t>
        </is>
      </c>
      <c r="P2000" t="inlineStr">
        <is>
          <t>Partner</t>
        </is>
      </c>
      <c r="Y2000" t="inlineStr">
        <is>
          <t>todo</t>
        </is>
      </c>
      <c r="Z2000">
        <f>(M2000*Weights!$B$2) + (MIN(Q2000,Weights!$B$5)*Weights!$B$3*(W2000/100)*Weights!$B$4)</f>
        <v/>
      </c>
      <c r="AA2000">
        <f>IF(Z2000= ,,RANK.EQ({pri_col_letter}{r},{pri_range},0))</f>
        <v/>
      </c>
    </row>
    <row r="2001">
      <c r="A2001" t="inlineStr">
        <is>
          <t>Updata Partners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inlineStr">
        <is>
          <t>Tier 4</t>
        </is>
      </c>
      <c r="O2001" t="inlineStr">
        <is>
          <t>Justin Williams — Vice President</t>
        </is>
      </c>
      <c r="P2001" t="inlineStr">
        <is>
          <t>Vice President</t>
        </is>
      </c>
      <c r="Y2001" t="inlineStr">
        <is>
          <t>todo</t>
        </is>
      </c>
      <c r="Z2001">
        <f>(M2001*Weights!$B$2) + (MIN(Q2001,Weights!$B$5)*Weights!$B$3*(W2001/100)*Weights!$B$4)</f>
        <v/>
      </c>
      <c r="AA2001">
        <f>IF(Z2001= ,,RANK.EQ({pri_col_letter}{r},{pri_range},0))</f>
        <v/>
      </c>
    </row>
    <row r="2002">
      <c r="A2002" t="inlineStr">
        <is>
          <t>Uptown Paws Club</t>
        </is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inlineStr">
        <is>
          <t>Tier 4</t>
        </is>
      </c>
      <c r="O2002" t="inlineStr">
        <is>
          <t>Danielle Bigby — CEO</t>
        </is>
      </c>
      <c r="P2002" t="inlineStr">
        <is>
          <t>CEO</t>
        </is>
      </c>
      <c r="Y2002" t="inlineStr">
        <is>
          <t>todo</t>
        </is>
      </c>
      <c r="Z2002">
        <f>(M2002*Weights!$B$2) + (MIN(Q2002,Weights!$B$5)*Weights!$B$3*(W2002/100)*Weights!$B$4)</f>
        <v/>
      </c>
      <c r="AA2002">
        <f>IF(Z2002= ,,RANK.EQ({pri_col_letter}{r},{pri_range},0))</f>
        <v/>
      </c>
    </row>
    <row r="2003">
      <c r="A2003" t="inlineStr">
        <is>
          <t>Upwell</t>
        </is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inlineStr">
        <is>
          <t>Tier 4</t>
        </is>
      </c>
      <c r="O2003" t="inlineStr">
        <is>
          <t>Connor Lee — Sr. Account Exec.</t>
        </is>
      </c>
      <c r="P2003" t="inlineStr">
        <is>
          <t>Sr. Account Exec.</t>
        </is>
      </c>
      <c r="Y2003" t="inlineStr">
        <is>
          <t>todo</t>
        </is>
      </c>
      <c r="Z2003">
        <f>(M2003*Weights!$B$2) + (MIN(Q2003,Weights!$B$5)*Weights!$B$3*(W2003/100)*Weights!$B$4)</f>
        <v/>
      </c>
      <c r="AA2003">
        <f>IF(Z2003= ,,RANK.EQ({pri_col_letter}{r},{pri_range},0))</f>
        <v/>
      </c>
    </row>
    <row r="2004">
      <c r="A2004" t="inlineStr">
        <is>
          <t>Utah Inland Port Authority</t>
        </is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inlineStr">
        <is>
          <t>Tier 4</t>
        </is>
      </c>
      <c r="O2004" t="inlineStr">
        <is>
          <t>Benjamin Hart — Executive Director</t>
        </is>
      </c>
      <c r="P2004" t="inlineStr">
        <is>
          <t>Executive Director</t>
        </is>
      </c>
      <c r="Y2004" t="inlineStr">
        <is>
          <t>todo</t>
        </is>
      </c>
      <c r="Z2004">
        <f>(M2004*Weights!$B$2) + (MIN(Q2004,Weights!$B$5)*Weights!$B$3*(W2004/100)*Weights!$B$4)</f>
        <v/>
      </c>
      <c r="AA2004">
        <f>IF(Z2004= ,,RANK.EQ({pri_col_letter}{r},{pri_range},0))</f>
        <v/>
      </c>
    </row>
    <row r="2005">
      <c r="A2005" t="inlineStr">
        <is>
          <t>Utrust Insurance</t>
        </is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inlineStr">
        <is>
          <t>Tier 4</t>
        </is>
      </c>
      <c r="O2005" t="inlineStr">
        <is>
          <t>Maksym Shuliak — Commercial Director</t>
        </is>
      </c>
      <c r="P2005" t="inlineStr">
        <is>
          <t>Commercial Director</t>
        </is>
      </c>
      <c r="Y2005" t="inlineStr">
        <is>
          <t>todo</t>
        </is>
      </c>
      <c r="Z2005">
        <f>(M2005*Weights!$B$2) + (MIN(Q2005,Weights!$B$5)*Weights!$B$3*(W2005/100)*Weights!$B$4)</f>
        <v/>
      </c>
      <c r="AA2005">
        <f>IF(Z2005= ,,RANK.EQ({pri_col_letter}{r},{pri_range},0))</f>
        <v/>
      </c>
    </row>
    <row r="2006">
      <c r="A2006" t="inlineStr">
        <is>
          <t>VELA</t>
        </is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inlineStr">
        <is>
          <t>Tier 4</t>
        </is>
      </c>
      <c r="O2006" t="inlineStr">
        <is>
          <t>Lars Oetjen — Head of US development</t>
        </is>
      </c>
      <c r="P2006" t="inlineStr">
        <is>
          <t>Head of US development</t>
        </is>
      </c>
      <c r="Y2006" t="inlineStr">
        <is>
          <t>todo</t>
        </is>
      </c>
      <c r="Z2006">
        <f>(M2006*Weights!$B$2) + (MIN(Q2006,Weights!$B$5)*Weights!$B$3*(W2006/100)*Weights!$B$4)</f>
        <v/>
      </c>
      <c r="AA2006">
        <f>IF(Z2006= ,,RANK.EQ({pri_col_letter}{r},{pri_range},0))</f>
        <v/>
      </c>
    </row>
    <row r="2007">
      <c r="A2007" t="inlineStr">
        <is>
          <t>VELA-transport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inlineStr">
        <is>
          <t>Tier 4</t>
        </is>
      </c>
      <c r="O2007" t="inlineStr">
        <is>
          <t>Michael Fernandez-Ferri — Executive Chair &amp; Co-Founder</t>
        </is>
      </c>
      <c r="P2007" t="inlineStr">
        <is>
          <t>Executive Chair &amp; Co-Founder</t>
        </is>
      </c>
      <c r="Y2007" t="inlineStr">
        <is>
          <t>todo</t>
        </is>
      </c>
      <c r="Z2007">
        <f>(M2007*Weights!$B$2) + (MIN(Q2007,Weights!$B$5)*Weights!$B$3*(W2007/100)*Weights!$B$4)</f>
        <v/>
      </c>
      <c r="AA2007">
        <f>IF(Z2007= ,,RANK.EQ({pri_col_letter}{r},{pri_range},0))</f>
        <v/>
      </c>
    </row>
    <row r="2008">
      <c r="A2008" t="inlineStr">
        <is>
          <t>Vale</t>
        </is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inlineStr">
        <is>
          <t>Tier 4</t>
        </is>
      </c>
      <c r="O2008" t="inlineStr">
        <is>
          <t>Ivo Petkov — Head of Contracts Management</t>
        </is>
      </c>
      <c r="P2008" t="inlineStr">
        <is>
          <t>Head of Contracts Management</t>
        </is>
      </c>
      <c r="Y2008" t="inlineStr">
        <is>
          <t>todo</t>
        </is>
      </c>
      <c r="Z2008">
        <f>(M2008*Weights!$B$2) + (MIN(Q2008,Weights!$B$5)*Weights!$B$3*(W2008/100)*Weights!$B$4)</f>
        <v/>
      </c>
      <c r="AA2008">
        <f>IF(Z2008= ,,RANK.EQ({pri_col_letter}{r},{pri_range},0))</f>
        <v/>
      </c>
    </row>
    <row r="2009">
      <c r="A2009" t="inlineStr">
        <is>
          <t>Vale Oman Pelletizing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inlineStr">
        <is>
          <t>Tier 4</t>
        </is>
      </c>
      <c r="O2009" t="inlineStr">
        <is>
          <t>Sheikha Al Ghaithi — Contract Management Specialist</t>
        </is>
      </c>
      <c r="P2009" t="inlineStr">
        <is>
          <t>Contract Management Specialist</t>
        </is>
      </c>
      <c r="Y2009" t="inlineStr">
        <is>
          <t>todo</t>
        </is>
      </c>
      <c r="Z2009">
        <f>(M2009*Weights!$B$2) + (MIN(Q2009,Weights!$B$5)*Weights!$B$3*(W2009/100)*Weights!$B$4)</f>
        <v/>
      </c>
      <c r="AA2009">
        <f>IF(Z2009= ,,RANK.EQ({pri_col_letter}{r},{pri_range},0))</f>
        <v/>
      </c>
    </row>
    <row r="2010">
      <c r="A2010" t="inlineStr">
        <is>
          <t>VallorAI</t>
        </is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inlineStr">
        <is>
          <t>Tier 4</t>
        </is>
      </c>
      <c r="O2010" t="inlineStr">
        <is>
          <t>Antonio Goncalves — CEO</t>
        </is>
      </c>
      <c r="P2010" t="inlineStr">
        <is>
          <t>CEO</t>
        </is>
      </c>
      <c r="Y2010" t="inlineStr">
        <is>
          <t>todo</t>
        </is>
      </c>
      <c r="Z2010">
        <f>(M2010*Weights!$B$2) + (MIN(Q2010,Weights!$B$5)*Weights!$B$3*(W2010/100)*Weights!$B$4)</f>
        <v/>
      </c>
      <c r="AA2010">
        <f>IF(Z2010= ,,RANK.EQ({pri_col_letter}{r},{pri_range},0))</f>
        <v/>
      </c>
    </row>
    <row r="2011">
      <c r="A2011" t="inlineStr">
        <is>
          <t>Valoroo</t>
        </is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inlineStr">
        <is>
          <t>Tier 4</t>
        </is>
      </c>
      <c r="O2011" t="inlineStr">
        <is>
          <t>Danny Ortiz — Head of Strategic Partnerships</t>
        </is>
      </c>
      <c r="P2011" t="inlineStr">
        <is>
          <t>Head of Strategic Partnerships</t>
        </is>
      </c>
      <c r="Y2011" t="inlineStr">
        <is>
          <t>todo</t>
        </is>
      </c>
      <c r="Z2011">
        <f>(M2011*Weights!$B$2) + (MIN(Q2011,Weights!$B$5)*Weights!$B$3*(W2011/100)*Weights!$B$4)</f>
        <v/>
      </c>
      <c r="AA2011">
        <f>IF(Z2011= ,,RANK.EQ({pri_col_letter}{r},{pri_range},0))</f>
        <v/>
      </c>
    </row>
    <row r="2012">
      <c r="A2012" t="inlineStr">
        <is>
          <t>Valoroo Inc.</t>
        </is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inlineStr">
        <is>
          <t>Tier 4</t>
        </is>
      </c>
      <c r="O2012" t="inlineStr">
        <is>
          <t>Nick Schrock — CEO</t>
        </is>
      </c>
      <c r="P2012" t="inlineStr">
        <is>
          <t>CEO</t>
        </is>
      </c>
      <c r="Y2012" t="inlineStr">
        <is>
          <t>todo</t>
        </is>
      </c>
      <c r="Z2012">
        <f>(M2012*Weights!$B$2) + (MIN(Q2012,Weights!$B$5)*Weights!$B$3*(W2012/100)*Weights!$B$4)</f>
        <v/>
      </c>
      <c r="AA2012">
        <f>IF(Z2012= ,,RANK.EQ({pri_col_letter}{r},{pri_range},0))</f>
        <v/>
      </c>
    </row>
    <row r="2013">
      <c r="A2013" t="inlineStr">
        <is>
          <t>Vamo Delivery</t>
        </is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inlineStr">
        <is>
          <t>Tier 4</t>
        </is>
      </c>
      <c r="O2013" t="inlineStr">
        <is>
          <t>Claire Larsen — CEO</t>
        </is>
      </c>
      <c r="P2013" t="inlineStr">
        <is>
          <t>CEO</t>
        </is>
      </c>
      <c r="Y2013" t="inlineStr">
        <is>
          <t>todo</t>
        </is>
      </c>
      <c r="Z2013">
        <f>(M2013*Weights!$B$2) + (MIN(Q2013,Weights!$B$5)*Weights!$B$3*(W2013/100)*Weights!$B$4)</f>
        <v/>
      </c>
      <c r="AA2013">
        <f>IF(Z2013= ,,RANK.EQ({pri_col_letter}{r},{pri_range},0))</f>
        <v/>
      </c>
    </row>
    <row r="2014">
      <c r="A2014" t="inlineStr">
        <is>
          <t>Vector Global Logistics</t>
        </is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inlineStr">
        <is>
          <t>Tier 4</t>
        </is>
      </c>
      <c r="O2014" t="inlineStr">
        <is>
          <t>Enrique Alvarez — Managing Director</t>
        </is>
      </c>
      <c r="P2014" t="inlineStr">
        <is>
          <t>Managing Director</t>
        </is>
      </c>
      <c r="Y2014" t="inlineStr">
        <is>
          <t>todo</t>
        </is>
      </c>
      <c r="Z2014">
        <f>(M2014*Weights!$B$2) + (MIN(Q2014,Weights!$B$5)*Weights!$B$3*(W2014/100)*Weights!$B$4)</f>
        <v/>
      </c>
      <c r="AA2014">
        <f>IF(Z2014= ,,RANK.EQ({pri_col_letter}{r},{pri_range},0))</f>
        <v/>
      </c>
    </row>
    <row r="2015">
      <c r="A2015" t="inlineStr">
        <is>
          <t>Vendorflow Inc.</t>
        </is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inlineStr">
        <is>
          <t>Tier 4</t>
        </is>
      </c>
      <c r="O2015" t="inlineStr">
        <is>
          <t>Eric Rodriguez — CEO</t>
        </is>
      </c>
      <c r="P2015" t="inlineStr">
        <is>
          <t>CEO</t>
        </is>
      </c>
      <c r="Y2015" t="inlineStr">
        <is>
          <t>todo</t>
        </is>
      </c>
      <c r="Z2015">
        <f>(M2015*Weights!$B$2) + (MIN(Q2015,Weights!$B$5)*Weights!$B$3*(W2015/100)*Weights!$B$4)</f>
        <v/>
      </c>
      <c r="AA2015">
        <f>IF(Z2015= ,,RANK.EQ({pri_col_letter}{r},{pri_range},0))</f>
        <v/>
      </c>
    </row>
    <row r="2016">
      <c r="A2016" t="inlineStr">
        <is>
          <t>Vention</t>
        </is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inlineStr">
        <is>
          <t>Tier 4</t>
        </is>
      </c>
      <c r="O2016" t="inlineStr">
        <is>
          <t>Brendan Sterne — CPO</t>
        </is>
      </c>
      <c r="P2016" t="inlineStr">
        <is>
          <t>CPO</t>
        </is>
      </c>
      <c r="Y2016" t="inlineStr">
        <is>
          <t>todo</t>
        </is>
      </c>
      <c r="Z2016">
        <f>(M2016*Weights!$B$2) + (MIN(Q2016,Weights!$B$5)*Weights!$B$3*(W2016/100)*Weights!$B$4)</f>
        <v/>
      </c>
      <c r="AA2016">
        <f>IF(Z2016= ,,RANK.EQ({pri_col_letter}{r},{pri_range},0))</f>
        <v/>
      </c>
    </row>
    <row r="2017">
      <c r="A2017" t="inlineStr">
        <is>
          <t>Vertex Inc.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inlineStr">
        <is>
          <t>Tier 4</t>
        </is>
      </c>
      <c r="O2017" t="inlineStr">
        <is>
          <t>Nigel Rughani — VP, Corporate Development</t>
        </is>
      </c>
      <c r="P2017" t="inlineStr">
        <is>
          <t>VP, Corporate Development</t>
        </is>
      </c>
      <c r="Y2017" t="inlineStr">
        <is>
          <t>todo</t>
        </is>
      </c>
      <c r="Z2017">
        <f>(M2017*Weights!$B$2) + (MIN(Q2017,Weights!$B$5)*Weights!$B$3*(W2017/100)*Weights!$B$4)</f>
        <v/>
      </c>
      <c r="AA2017">
        <f>IF(Z2017= ,,RANK.EQ({pri_col_letter}{r},{pri_range},0))</f>
        <v/>
      </c>
    </row>
    <row r="2018">
      <c r="A2018" t="inlineStr">
        <is>
          <t>Viking Global Investors</t>
        </is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inlineStr">
        <is>
          <t>Tier 4</t>
        </is>
      </c>
      <c r="O2018" t="inlineStr">
        <is>
          <t>Mihir Jain — Principal</t>
        </is>
      </c>
      <c r="P2018" t="inlineStr">
        <is>
          <t>Principal</t>
        </is>
      </c>
      <c r="Y2018" t="inlineStr">
        <is>
          <t>todo</t>
        </is>
      </c>
      <c r="Z2018">
        <f>(M2018*Weights!$B$2) + (MIN(Q2018,Weights!$B$5)*Weights!$B$3*(W2018/100)*Weights!$B$4)</f>
        <v/>
      </c>
      <c r="AA2018">
        <f>IF(Z2018= ,,RANK.EQ({pri_col_letter}{r},{pri_range},0))</f>
        <v/>
      </c>
    </row>
    <row r="2019">
      <c r="A2019" t="inlineStr">
        <is>
          <t>Vincero</t>
        </is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inlineStr">
        <is>
          <t>Tier 4</t>
        </is>
      </c>
      <c r="O2019" t="inlineStr">
        <is>
          <t>Sean Agatep — Co-Founder/COO</t>
        </is>
      </c>
      <c r="P2019" t="inlineStr">
        <is>
          <t>Co-Founder/COO</t>
        </is>
      </c>
      <c r="Y2019" t="inlineStr">
        <is>
          <t>todo</t>
        </is>
      </c>
      <c r="Z2019">
        <f>(M2019*Weights!$B$2) + (MIN(Q2019,Weights!$B$5)*Weights!$B$3*(W2019/100)*Weights!$B$4)</f>
        <v/>
      </c>
      <c r="AA2019">
        <f>IF(Z2019= ,,RANK.EQ({pri_col_letter}{r},{pri_range},0))</f>
        <v/>
      </c>
    </row>
    <row r="2020">
      <c r="A2020" t="inlineStr">
        <is>
          <t>Visionairo Systems</t>
        </is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inlineStr">
        <is>
          <t>Tier 4</t>
        </is>
      </c>
      <c r="O2020" t="inlineStr">
        <is>
          <t>Gideon Richheimer — CEO</t>
        </is>
      </c>
      <c r="P2020" t="inlineStr">
        <is>
          <t>CEO</t>
        </is>
      </c>
      <c r="Y2020" t="inlineStr">
        <is>
          <t>todo</t>
        </is>
      </c>
      <c r="Z2020">
        <f>(M2020*Weights!$B$2) + (MIN(Q2020,Weights!$B$5)*Weights!$B$3*(W2020/100)*Weights!$B$4)</f>
        <v/>
      </c>
      <c r="AA2020">
        <f>IF(Z2020= ,,RANK.EQ({pri_col_letter}{r},{pri_range},0))</f>
        <v/>
      </c>
    </row>
    <row r="2021">
      <c r="A2021" t="inlineStr">
        <is>
          <t>Visionventory.ai</t>
        </is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inlineStr">
        <is>
          <t>Tier 4</t>
        </is>
      </c>
      <c r="O2021" t="inlineStr">
        <is>
          <t>Jaeyong An — CEO</t>
        </is>
      </c>
      <c r="P2021" t="inlineStr">
        <is>
          <t>CEO</t>
        </is>
      </c>
      <c r="Y2021" t="inlineStr">
        <is>
          <t>todo</t>
        </is>
      </c>
      <c r="Z2021">
        <f>(M2021*Weights!$B$2) + (MIN(Q2021,Weights!$B$5)*Weights!$B$3*(W2021/100)*Weights!$B$4)</f>
        <v/>
      </c>
      <c r="AA2021">
        <f>IF(Z2021= ,,RANK.EQ({pri_col_letter}{r},{pri_range},0))</f>
        <v/>
      </c>
    </row>
    <row r="2022">
      <c r="A2022" t="inlineStr">
        <is>
          <t>Vitti Logistics</t>
        </is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inlineStr">
        <is>
          <t>Tier 4</t>
        </is>
      </c>
      <c r="O2022" t="inlineStr">
        <is>
          <t>Antonio Luna — CEO &amp; Founder</t>
        </is>
      </c>
      <c r="P2022" t="inlineStr">
        <is>
          <t>CEO &amp; Founder</t>
        </is>
      </c>
      <c r="Y2022" t="inlineStr">
        <is>
          <t>todo</t>
        </is>
      </c>
      <c r="Z2022">
        <f>(M2022*Weights!$B$2) + (MIN(Q2022,Weights!$B$5)*Weights!$B$3*(W2022/100)*Weights!$B$4)</f>
        <v/>
      </c>
      <c r="AA2022">
        <f>IF(Z2022= ,,RANK.EQ({pri_col_letter}{r},{pri_range},0))</f>
        <v/>
      </c>
    </row>
    <row r="2023">
      <c r="A2023" t="inlineStr">
        <is>
          <t>Voltify</t>
        </is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inlineStr">
        <is>
          <t>Tier 4</t>
        </is>
      </c>
      <c r="O2023" t="inlineStr">
        <is>
          <t>Daphna Langer — CEO Just</t>
        </is>
      </c>
      <c r="P2023" t="inlineStr">
        <is>
          <t>CEO Just</t>
        </is>
      </c>
      <c r="Y2023" t="inlineStr">
        <is>
          <t>todo</t>
        </is>
      </c>
      <c r="Z2023">
        <f>(M2023*Weights!$B$2) + (MIN(Q2023,Weights!$B$5)*Weights!$B$3*(W2023/100)*Weights!$B$4)</f>
        <v/>
      </c>
      <c r="AA2023">
        <f>IF(Z2023= ,,RANK.EQ({pri_col_letter}{r},{pri_range},0))</f>
        <v/>
      </c>
    </row>
    <row r="2024">
      <c r="A2024" t="inlineStr">
        <is>
          <t>Volvo Group</t>
        </is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inlineStr">
        <is>
          <t>Tier 4</t>
        </is>
      </c>
      <c r="O2024" t="inlineStr">
        <is>
          <t>Kirkland Mcleod — Senior Manager, Services &amp; Solutions Innovation</t>
        </is>
      </c>
      <c r="P2024" t="inlineStr">
        <is>
          <t>Senior Manager, Services &amp; Solutions Innovation</t>
        </is>
      </c>
      <c r="Y2024" t="inlineStr">
        <is>
          <t>todo</t>
        </is>
      </c>
      <c r="Z2024">
        <f>(M2024*Weights!$B$2) + (MIN(Q2024,Weights!$B$5)*Weights!$B$3*(W2024/100)*Weights!$B$4)</f>
        <v/>
      </c>
      <c r="AA2024">
        <f>IF(Z2024= ,,RANK.EQ({pri_col_letter}{r},{pri_range},0))</f>
        <v/>
      </c>
    </row>
    <row r="2025">
      <c r="A2025" t="inlineStr">
        <is>
          <t>Volvo Group Venture Capital</t>
        </is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inlineStr">
        <is>
          <t>Tier 4</t>
        </is>
      </c>
      <c r="O2025" t="inlineStr">
        <is>
          <t>Joe Darcy — Investment Director</t>
        </is>
      </c>
      <c r="P2025" t="inlineStr">
        <is>
          <t>Investment Director</t>
        </is>
      </c>
      <c r="Y2025" t="inlineStr">
        <is>
          <t>todo</t>
        </is>
      </c>
      <c r="Z2025">
        <f>(M2025*Weights!$B$2) + (MIN(Q2025,Weights!$B$5)*Weights!$B$3*(W2025/100)*Weights!$B$4)</f>
        <v/>
      </c>
      <c r="AA2025">
        <f>IF(Z2025= ,,RANK.EQ({pri_col_letter}{r},{pri_range},0))</f>
        <v/>
      </c>
    </row>
    <row r="2026">
      <c r="A2026" t="inlineStr">
        <is>
          <t>Voxel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inlineStr">
        <is>
          <t>Tier 4</t>
        </is>
      </c>
      <c r="O2026" t="inlineStr">
        <is>
          <t>Allan Malcolm — CMO</t>
        </is>
      </c>
      <c r="P2026" t="inlineStr">
        <is>
          <t>CMO</t>
        </is>
      </c>
      <c r="Y2026" t="inlineStr">
        <is>
          <t>todo</t>
        </is>
      </c>
      <c r="Z2026">
        <f>(M2026*Weights!$B$2) + (MIN(Q2026,Weights!$B$5)*Weights!$B$3*(W2026/100)*Weights!$B$4)</f>
        <v/>
      </c>
      <c r="AA2026">
        <f>IF(Z2026= ,,RANK.EQ({pri_col_letter}{r},{pri_range},0))</f>
        <v/>
      </c>
    </row>
    <row r="2027">
      <c r="A2027" t="inlineStr">
        <is>
          <t>Vulcan Forms</t>
        </is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inlineStr">
        <is>
          <t>Tier 4</t>
        </is>
      </c>
      <c r="O2027" t="inlineStr">
        <is>
          <t>Kevin Kassekert — CEO</t>
        </is>
      </c>
      <c r="P2027" t="inlineStr">
        <is>
          <t>CEO</t>
        </is>
      </c>
      <c r="Y2027" t="inlineStr">
        <is>
          <t>todo</t>
        </is>
      </c>
      <c r="Z2027">
        <f>(M2027*Weights!$B$2) + (MIN(Q2027,Weights!$B$5)*Weights!$B$3*(W2027/100)*Weights!$B$4)</f>
        <v/>
      </c>
      <c r="AA2027">
        <f>IF(Z2027= ,,RANK.EQ({pri_col_letter}{r},{pri_range},0))</f>
        <v/>
      </c>
    </row>
    <row r="2028">
      <c r="A2028" t="inlineStr">
        <is>
          <t>WCA World</t>
        </is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inlineStr">
        <is>
          <t>Tier 4</t>
        </is>
      </c>
      <c r="O2028" t="inlineStr">
        <is>
          <t>Steve Howard — Director eCommerce Solutions</t>
        </is>
      </c>
      <c r="P2028" t="inlineStr">
        <is>
          <t>Director eCommerce Solutions</t>
        </is>
      </c>
      <c r="Y2028" t="inlineStr">
        <is>
          <t>todo</t>
        </is>
      </c>
      <c r="Z2028">
        <f>(M2028*Weights!$B$2) + (MIN(Q2028,Weights!$B$5)*Weights!$B$3*(W2028/100)*Weights!$B$4)</f>
        <v/>
      </c>
      <c r="AA2028">
        <f>IF(Z2028= ,,RANK.EQ({pri_col_letter}{r},{pri_range},0))</f>
        <v/>
      </c>
    </row>
    <row r="2029">
      <c r="A2029" t="inlineStr">
        <is>
          <t>WE CAN MOVE IT LOGISTICS LLC</t>
        </is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inlineStr">
        <is>
          <t>Tier 4</t>
        </is>
      </c>
      <c r="O2029" t="inlineStr">
        <is>
          <t>Mario Gomez — CEO</t>
        </is>
      </c>
      <c r="P2029" t="inlineStr">
        <is>
          <t>CEO</t>
        </is>
      </c>
      <c r="Y2029" t="inlineStr">
        <is>
          <t>todo</t>
        </is>
      </c>
      <c r="Z2029">
        <f>(M2029*Weights!$B$2) + (MIN(Q2029,Weights!$B$5)*Weights!$B$3*(W2029/100)*Weights!$B$4)</f>
        <v/>
      </c>
      <c r="AA2029">
        <f>IF(Z2029= ,,RANK.EQ({pri_col_letter}{r},{pri_range},0))</f>
        <v/>
      </c>
    </row>
    <row r="2030">
      <c r="A2030" t="inlineStr">
        <is>
          <t>WEAV3D</t>
        </is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inlineStr">
        <is>
          <t>Tier 4</t>
        </is>
      </c>
      <c r="O2030" t="inlineStr">
        <is>
          <t>Lewis Motion — CEO</t>
        </is>
      </c>
      <c r="P2030" t="inlineStr">
        <is>
          <t>CEO</t>
        </is>
      </c>
      <c r="Y2030" t="inlineStr">
        <is>
          <t>todo</t>
        </is>
      </c>
      <c r="Z2030">
        <f>(M2030*Weights!$B$2) + (MIN(Q2030,Weights!$B$5)*Weights!$B$3*(W2030/100)*Weights!$B$4)</f>
        <v/>
      </c>
      <c r="AA2030">
        <f>IF(Z2030= ,,RANK.EQ({pri_col_letter}{r},{pri_range},0))</f>
        <v/>
      </c>
    </row>
    <row r="2031">
      <c r="A2031" t="inlineStr">
        <is>
          <t>WF Whelan Logistics</t>
        </is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inlineStr">
        <is>
          <t>Tier 4</t>
        </is>
      </c>
      <c r="O2031" t="inlineStr">
        <is>
          <t>Steve Capser — Chief Operating Officer</t>
        </is>
      </c>
      <c r="P2031" t="inlineStr">
        <is>
          <t>Chief Operating Officer</t>
        </is>
      </c>
      <c r="Y2031" t="inlineStr">
        <is>
          <t>todo</t>
        </is>
      </c>
      <c r="Z2031">
        <f>(M2031*Weights!$B$2) + (MIN(Q2031,Weights!$B$5)*Weights!$B$3*(W2031/100)*Weights!$B$4)</f>
        <v/>
      </c>
      <c r="AA2031">
        <f>IF(Z2031= ,,RANK.EQ({pri_col_letter}{r},{pri_range},0))</f>
        <v/>
      </c>
    </row>
    <row r="2032">
      <c r="A2032" t="inlineStr">
        <is>
          <t>WK Kellogg Co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>
        <is>
          <t>Tier 4</t>
        </is>
      </c>
      <c r="O2032" t="inlineStr">
        <is>
          <t>Federico Conde — Sr Director of IT</t>
        </is>
      </c>
      <c r="P2032" t="inlineStr">
        <is>
          <t>Sr Director of IT</t>
        </is>
      </c>
      <c r="Y2032" t="inlineStr">
        <is>
          <t>todo</t>
        </is>
      </c>
      <c r="Z2032">
        <f>(M2032*Weights!$B$2) + (MIN(Q2032,Weights!$B$5)*Weights!$B$3*(W2032/100)*Weights!$B$4)</f>
        <v/>
      </c>
      <c r="AA2032">
        <f>IF(Z2032= ,,RANK.EQ({pri_col_letter}{r},{pri_range},0))</f>
        <v/>
      </c>
    </row>
    <row r="2033">
      <c r="A2033" t="inlineStr">
        <is>
          <t>WNS Global Services</t>
        </is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inlineStr">
        <is>
          <t>Tier 4</t>
        </is>
      </c>
      <c r="O2033" t="inlineStr">
        <is>
          <t>Sarang Gaikwad — Senior Vice President</t>
        </is>
      </c>
      <c r="P2033" t="inlineStr">
        <is>
          <t>Senior Vice President</t>
        </is>
      </c>
      <c r="Y2033" t="inlineStr">
        <is>
          <t>todo</t>
        </is>
      </c>
      <c r="Z2033">
        <f>(M2033*Weights!$B$2) + (MIN(Q2033,Weights!$B$5)*Weights!$B$3*(W2033/100)*Weights!$B$4)</f>
        <v/>
      </c>
      <c r="AA2033">
        <f>IF(Z2033= ,,RANK.EQ({pri_col_letter}{r},{pri_range},0))</f>
        <v/>
      </c>
    </row>
    <row r="2034">
      <c r="A2034" t="inlineStr">
        <is>
          <t>WTWH Media - Automated Warehouse</t>
        </is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>
        <is>
          <t>Tier 4</t>
        </is>
      </c>
      <c r="O2034" t="inlineStr">
        <is>
          <t>Eugene Demaitre — Editorial Director - Robotics</t>
        </is>
      </c>
      <c r="P2034" t="inlineStr">
        <is>
          <t>Editorial Director - Robotics</t>
        </is>
      </c>
      <c r="Y2034" t="inlineStr">
        <is>
          <t>todo</t>
        </is>
      </c>
      <c r="Z2034">
        <f>(M2034*Weights!$B$2) + (MIN(Q2034,Weights!$B$5)*Weights!$B$3*(W2034/100)*Weights!$B$4)</f>
        <v/>
      </c>
      <c r="AA2034">
        <f>IF(Z2034= ,,RANK.EQ({pri_col_letter}{r},{pri_range},0))</f>
        <v/>
      </c>
    </row>
    <row r="2035">
      <c r="A2035" t="inlineStr">
        <is>
          <t>Ward Transport &amp; Logistics Corp</t>
        </is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inlineStr">
        <is>
          <t>Tier 4</t>
        </is>
      </c>
      <c r="O2035" t="inlineStr">
        <is>
          <t>Michael Zupon — Vice President Of Technology</t>
        </is>
      </c>
      <c r="P2035" t="inlineStr">
        <is>
          <t>Vice President Of Technology</t>
        </is>
      </c>
      <c r="Y2035" t="inlineStr">
        <is>
          <t>todo</t>
        </is>
      </c>
      <c r="Z2035">
        <f>(M2035*Weights!$B$2) + (MIN(Q2035,Weights!$B$5)*Weights!$B$3*(W2035/100)*Weights!$B$4)</f>
        <v/>
      </c>
      <c r="AA2035">
        <f>IF(Z2035= ,,RANK.EQ({pri_col_letter}{r},{pri_range},0))</f>
        <v/>
      </c>
    </row>
    <row r="2036">
      <c r="A2036" t="inlineStr">
        <is>
          <t>WareBee</t>
        </is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>
        <is>
          <t>Tier 4</t>
        </is>
      </c>
      <c r="O2036" t="inlineStr">
        <is>
          <t>Simon Fishgang — Co-Founder</t>
        </is>
      </c>
      <c r="P2036" t="inlineStr">
        <is>
          <t>Co-Founder</t>
        </is>
      </c>
      <c r="Y2036" t="inlineStr">
        <is>
          <t>todo</t>
        </is>
      </c>
      <c r="Z2036">
        <f>(M2036*Weights!$B$2) + (MIN(Q2036,Weights!$B$5)*Weights!$B$3*(W2036/100)*Weights!$B$4)</f>
        <v/>
      </c>
      <c r="AA2036">
        <f>IF(Z2036= ,,RANK.EQ({pri_col_letter}{r},{pri_range},0))</f>
        <v/>
      </c>
    </row>
    <row r="2037">
      <c r="A2037" t="inlineStr">
        <is>
          <t>WeShip</t>
        </is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inlineStr">
        <is>
          <t>Tier 4</t>
        </is>
      </c>
      <c r="O2037" t="inlineStr">
        <is>
          <t>Marc Goodfriend — CEO</t>
        </is>
      </c>
      <c r="P2037" t="inlineStr">
        <is>
          <t>CEO</t>
        </is>
      </c>
      <c r="Y2037" t="inlineStr">
        <is>
          <t>todo</t>
        </is>
      </c>
      <c r="Z2037">
        <f>(M2037*Weights!$B$2) + (MIN(Q2037,Weights!$B$5)*Weights!$B$3*(W2037/100)*Weights!$B$4)</f>
        <v/>
      </c>
      <c r="AA2037">
        <f>IF(Z2037= ,,RANK.EQ({pri_col_letter}{r},{pri_range},0))</f>
        <v/>
      </c>
    </row>
    <row r="2038">
      <c r="A2038" t="inlineStr">
        <is>
          <t>Westly Group</t>
        </is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inlineStr">
        <is>
          <t>Tier 4</t>
        </is>
      </c>
      <c r="O2038" t="inlineStr">
        <is>
          <t>Danny Cotter — Managing Partner</t>
        </is>
      </c>
      <c r="P2038" t="inlineStr">
        <is>
          <t>Managing Partner</t>
        </is>
      </c>
      <c r="Y2038" t="inlineStr">
        <is>
          <t>todo</t>
        </is>
      </c>
      <c r="Z2038">
        <f>(M2038*Weights!$B$2) + (MIN(Q2038,Weights!$B$5)*Weights!$B$3*(W2038/100)*Weights!$B$4)</f>
        <v/>
      </c>
      <c r="AA2038">
        <f>IF(Z2038= ,,RANK.EQ({pri_col_letter}{r},{pri_range},0))</f>
        <v/>
      </c>
    </row>
    <row r="2039">
      <c r="A2039" t="inlineStr">
        <is>
          <t>Wiliot</t>
        </is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>
        <is>
          <t>Tier 4</t>
        </is>
      </c>
      <c r="O2039" t="inlineStr">
        <is>
          <t>Amir Khoshniyati — Vice President</t>
        </is>
      </c>
      <c r="P2039" t="inlineStr">
        <is>
          <t>Vice President</t>
        </is>
      </c>
      <c r="Y2039" t="inlineStr">
        <is>
          <t>todo</t>
        </is>
      </c>
      <c r="Z2039">
        <f>(M2039*Weights!$B$2) + (MIN(Q2039,Weights!$B$5)*Weights!$B$3*(W2039/100)*Weights!$B$4)</f>
        <v/>
      </c>
      <c r="AA2039">
        <f>IF(Z2039= ,,RANK.EQ({pri_col_letter}{r},{pri_range},0))</f>
        <v/>
      </c>
    </row>
    <row r="2040">
      <c r="A2040" t="inlineStr">
        <is>
          <t>Wisor.ai - AI quoting, sales, and pricing engine for freight forwarders</t>
        </is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>
        <is>
          <t>Tier 4</t>
        </is>
      </c>
      <c r="O2040" t="inlineStr">
        <is>
          <t>Ran Margaliot — COO</t>
        </is>
      </c>
      <c r="P2040" t="inlineStr">
        <is>
          <t>COO</t>
        </is>
      </c>
      <c r="Y2040" t="inlineStr">
        <is>
          <t>todo</t>
        </is>
      </c>
      <c r="Z2040">
        <f>(M2040*Weights!$B$2) + (MIN(Q2040,Weights!$B$5)*Weights!$B$3*(W2040/100)*Weights!$B$4)</f>
        <v/>
      </c>
      <c r="AA2040">
        <f>IF(Z2040= ,,RANK.EQ({pri_col_letter}{r},{pri_range},0))</f>
        <v/>
      </c>
    </row>
    <row r="2041">
      <c r="A2041" t="inlineStr">
        <is>
          <t>Wittington Ventures</t>
        </is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inlineStr">
        <is>
          <t>Tier 4</t>
        </is>
      </c>
      <c r="O2041" t="inlineStr">
        <is>
          <t>Darian Zigante — Investor</t>
        </is>
      </c>
      <c r="P2041" t="inlineStr">
        <is>
          <t>Investor</t>
        </is>
      </c>
      <c r="Y2041" t="inlineStr">
        <is>
          <t>todo</t>
        </is>
      </c>
      <c r="Z2041">
        <f>(M2041*Weights!$B$2) + (MIN(Q2041,Weights!$B$5)*Weights!$B$3*(W2041/100)*Weights!$B$4)</f>
        <v/>
      </c>
      <c r="AA2041">
        <f>IF(Z2041= ,,RANK.EQ({pri_col_letter}{r},{pri_range},0))</f>
        <v/>
      </c>
    </row>
    <row r="2042">
      <c r="A2042" t="inlineStr">
        <is>
          <t>Wonder Services</t>
        </is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>
        <is>
          <t>Tier 4</t>
        </is>
      </c>
      <c r="O2042" t="inlineStr">
        <is>
          <t>Amanda Prochaska — Chief Wonder Officer</t>
        </is>
      </c>
      <c r="P2042" t="inlineStr">
        <is>
          <t>Chief Wonder Officer</t>
        </is>
      </c>
      <c r="Y2042" t="inlineStr">
        <is>
          <t>todo</t>
        </is>
      </c>
      <c r="Z2042">
        <f>(M2042*Weights!$B$2) + (MIN(Q2042,Weights!$B$5)*Weights!$B$3*(W2042/100)*Weights!$B$4)</f>
        <v/>
      </c>
      <c r="AA2042">
        <f>IF(Z2042= ,,RANK.EQ({pri_col_letter}{r},{pri_range},0))</f>
        <v/>
      </c>
    </row>
    <row r="2043">
      <c r="A2043" t="inlineStr">
        <is>
          <t>Wonik IPS USA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inlineStr">
        <is>
          <t>Tier 4</t>
        </is>
      </c>
      <c r="O2043" t="inlineStr">
        <is>
          <t>Sunjoon (James) — Senior Vice President</t>
        </is>
      </c>
      <c r="P2043" t="inlineStr">
        <is>
          <t>Senior Vice President</t>
        </is>
      </c>
      <c r="Y2043" t="inlineStr">
        <is>
          <t>todo</t>
        </is>
      </c>
      <c r="Z2043">
        <f>(M2043*Weights!$B$2) + (MIN(Q2043,Weights!$B$5)*Weights!$B$3*(W2043/100)*Weights!$B$4)</f>
        <v/>
      </c>
      <c r="AA2043">
        <f>IF(Z2043= ,,RANK.EQ({pri_col_letter}{r},{pri_range},0))</f>
        <v/>
      </c>
    </row>
    <row r="2044">
      <c r="A2044" t="inlineStr">
        <is>
          <t>Woodland Gourmet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inlineStr">
        <is>
          <t>Tier 4</t>
        </is>
      </c>
      <c r="O2044" t="inlineStr">
        <is>
          <t>Chase Pham — Buyer</t>
        </is>
      </c>
      <c r="P2044" t="inlineStr">
        <is>
          <t>Buyer</t>
        </is>
      </c>
      <c r="Y2044" t="inlineStr">
        <is>
          <t>todo</t>
        </is>
      </c>
      <c r="Z2044">
        <f>(M2044*Weights!$B$2) + (MIN(Q2044,Weights!$B$5)*Weights!$B$3*(W2044/100)*Weights!$B$4)</f>
        <v/>
      </c>
      <c r="AA2044">
        <f>IF(Z2044= ,,RANK.EQ({pri_col_letter}{r},{pri_range},0))</f>
        <v/>
      </c>
    </row>
    <row r="2045">
      <c r="A2045" t="inlineStr">
        <is>
          <t>Working Capital Advisors</t>
        </is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inlineStr">
        <is>
          <t>Tier 4</t>
        </is>
      </c>
      <c r="O2045" t="inlineStr">
        <is>
          <t>Simon Ma — Analyst</t>
        </is>
      </c>
      <c r="P2045" t="inlineStr">
        <is>
          <t>Analyst</t>
        </is>
      </c>
      <c r="Y2045" t="inlineStr">
        <is>
          <t>todo</t>
        </is>
      </c>
      <c r="Z2045">
        <f>(M2045*Weights!$B$2) + (MIN(Q2045,Weights!$B$5)*Weights!$B$3*(W2045/100)*Weights!$B$4)</f>
        <v/>
      </c>
      <c r="AA2045">
        <f>IF(Z2045= ,,RANK.EQ({pri_col_letter}{r},{pri_range},0))</f>
        <v/>
      </c>
    </row>
    <row r="2046">
      <c r="A2046" t="inlineStr">
        <is>
          <t>World Group</t>
        </is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inlineStr">
        <is>
          <t>Tier 4</t>
        </is>
      </c>
      <c r="O2046" t="inlineStr">
        <is>
          <t>Robert Kelley — Chief Technology Officer</t>
        </is>
      </c>
      <c r="P2046" t="inlineStr">
        <is>
          <t>Chief Technology Officer</t>
        </is>
      </c>
      <c r="Y2046" t="inlineStr">
        <is>
          <t>todo</t>
        </is>
      </c>
      <c r="Z2046">
        <f>(M2046*Weights!$B$2) + (MIN(Q2046,Weights!$B$5)*Weights!$B$3*(W2046/100)*Weights!$B$4)</f>
        <v/>
      </c>
      <c r="AA2046">
        <f>IF(Z2046= ,,RANK.EQ({pri_col_letter}{r},{pri_range},0))</f>
        <v/>
      </c>
    </row>
    <row r="2047">
      <c r="A2047" t="inlineStr">
        <is>
          <t>Würth Industry USA</t>
        </is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inlineStr">
        <is>
          <t>Tier 4</t>
        </is>
      </c>
      <c r="O2047" t="inlineStr">
        <is>
          <t>Chad Baker — Director of Asset Intelligence Solutions</t>
        </is>
      </c>
      <c r="P2047" t="inlineStr">
        <is>
          <t>Director of Asset Intelligence Solutions</t>
        </is>
      </c>
      <c r="Y2047" t="inlineStr">
        <is>
          <t>todo</t>
        </is>
      </c>
      <c r="Z2047">
        <f>(M2047*Weights!$B$2) + (MIN(Q2047,Weights!$B$5)*Weights!$B$3*(W2047/100)*Weights!$B$4)</f>
        <v/>
      </c>
      <c r="AA2047">
        <f>IF(Z2047= ,,RANK.EQ({pri_col_letter}{r},{pri_range},0))</f>
        <v/>
      </c>
    </row>
    <row r="2048">
      <c r="A2048" t="inlineStr">
        <is>
          <t>XRC Ventures</t>
        </is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inlineStr">
        <is>
          <t>Tier 4</t>
        </is>
      </c>
      <c r="O2048" t="inlineStr">
        <is>
          <t>Pano Anthos — Managing Partner &amp; Founder</t>
        </is>
      </c>
      <c r="P2048" t="inlineStr">
        <is>
          <t>Managing Partner &amp; Founder</t>
        </is>
      </c>
      <c r="Y2048" t="inlineStr">
        <is>
          <t>todo</t>
        </is>
      </c>
      <c r="Z2048">
        <f>(M2048*Weights!$B$2) + (MIN(Q2048,Weights!$B$5)*Weights!$B$3*(W2048/100)*Weights!$B$4)</f>
        <v/>
      </c>
      <c r="AA2048">
        <f>IF(Z2048= ,,RANK.EQ({pri_col_letter}{r},{pri_range},0))</f>
        <v/>
      </c>
    </row>
    <row r="2049">
      <c r="A2049" t="inlineStr">
        <is>
          <t>Xeneta</t>
        </is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5000000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>
        <is>
          <t>Tier 4</t>
        </is>
      </c>
      <c r="O2049" t="inlineStr">
        <is>
          <t>Fabio Brocca — Chief Product Officer</t>
        </is>
      </c>
      <c r="P2049" t="inlineStr">
        <is>
          <t>Chief Product Officer</t>
        </is>
      </c>
      <c r="Y2049" t="inlineStr">
        <is>
          <t>todo</t>
        </is>
      </c>
      <c r="Z2049">
        <f>(M2049*Weights!$B$2) + (MIN(Q2049,Weights!$B$5)*Weights!$B$3*(W2049/100)*Weights!$B$4)</f>
        <v/>
      </c>
      <c r="AA2049">
        <f>IF(Z2049= ,,RANK.EQ({pri_col_letter}{r},{pri_range},0))</f>
        <v/>
      </c>
    </row>
    <row r="2050">
      <c r="A2050" t="inlineStr">
        <is>
          <t>Xpedited Services</t>
        </is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>
        <is>
          <t>Tier 4</t>
        </is>
      </c>
      <c r="O2050" t="inlineStr">
        <is>
          <t>Bobby Cerchione — Partner</t>
        </is>
      </c>
      <c r="P2050" t="inlineStr">
        <is>
          <t>Partner</t>
        </is>
      </c>
      <c r="Y2050" t="inlineStr">
        <is>
          <t>todo</t>
        </is>
      </c>
      <c r="Z2050">
        <f>(M2050*Weights!$B$2) + (MIN(Q2050,Weights!$B$5)*Weights!$B$3*(W2050/100)*Weights!$B$4)</f>
        <v/>
      </c>
      <c r="AA2050">
        <f>IF(Z2050= ,,RANK.EQ({pri_col_letter}{r},{pri_range},0))</f>
        <v/>
      </c>
    </row>
    <row r="2051">
      <c r="A2051" t="inlineStr">
        <is>
          <t>YYR Innovation</t>
        </is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inlineStr">
        <is>
          <t>Tier 4</t>
        </is>
      </c>
      <c r="O2051" t="inlineStr">
        <is>
          <t>Mike Riegler — Principal</t>
        </is>
      </c>
      <c r="P2051" t="inlineStr">
        <is>
          <t>Principal</t>
        </is>
      </c>
      <c r="Y2051" t="inlineStr">
        <is>
          <t>todo</t>
        </is>
      </c>
      <c r="Z2051">
        <f>(M2051*Weights!$B$2) + (MIN(Q2051,Weights!$B$5)*Weights!$B$3*(W2051/100)*Weights!$B$4)</f>
        <v/>
      </c>
      <c r="AA2051">
        <f>IF(Z2051= ,,RANK.EQ({pri_col_letter}{r},{pri_range},0))</f>
        <v/>
      </c>
    </row>
    <row r="2052">
      <c r="A2052" t="inlineStr">
        <is>
          <t>Yamaha Motor Ventures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>
        <is>
          <t>Tier 4</t>
        </is>
      </c>
      <c r="O2052" t="inlineStr">
        <is>
          <t>DANIEL BARTH — Principal</t>
        </is>
      </c>
      <c r="P2052" t="inlineStr">
        <is>
          <t>Principal</t>
        </is>
      </c>
      <c r="Y2052" t="inlineStr">
        <is>
          <t>todo</t>
        </is>
      </c>
      <c r="Z2052">
        <f>(M2052*Weights!$B$2) + (MIN(Q2052,Weights!$B$5)*Weights!$B$3*(W2052/100)*Weights!$B$4)</f>
        <v/>
      </c>
      <c r="AA2052">
        <f>IF(Z2052= ,,RANK.EQ({pri_col_letter}{r},{pri_range},0))</f>
        <v/>
      </c>
    </row>
    <row r="2053">
      <c r="A2053" t="inlineStr">
        <is>
          <t>Yamato America</t>
        </is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>
        <is>
          <t>Tier 4</t>
        </is>
      </c>
      <c r="O2053" t="inlineStr">
        <is>
          <t>Jim Ho — VP of IT</t>
        </is>
      </c>
      <c r="P2053" t="inlineStr">
        <is>
          <t>VP of IT</t>
        </is>
      </c>
      <c r="Y2053" t="inlineStr">
        <is>
          <t>todo</t>
        </is>
      </c>
      <c r="Z2053">
        <f>(M2053*Weights!$B$2) + (MIN(Q2053,Weights!$B$5)*Weights!$B$3*(W2053/100)*Weights!$B$4)</f>
        <v/>
      </c>
      <c r="AA2053">
        <f>IF(Z2053= ,,RANK.EQ({pri_col_letter}{r},{pri_range},0))</f>
        <v/>
      </c>
    </row>
    <row r="2054">
      <c r="A2054" t="inlineStr">
        <is>
          <t>Yamato Transport</t>
        </is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>
        <is>
          <t>Tier 4</t>
        </is>
      </c>
      <c r="O2054" t="inlineStr">
        <is>
          <t>Aiko Tabuchi — Manager, Digital Innovation</t>
        </is>
      </c>
      <c r="P2054" t="inlineStr">
        <is>
          <t>Manager, Digital Innovation</t>
        </is>
      </c>
      <c r="Y2054" t="inlineStr">
        <is>
          <t>todo</t>
        </is>
      </c>
      <c r="Z2054">
        <f>(M2054*Weights!$B$2) + (MIN(Q2054,Weights!$B$5)*Weights!$B$3*(W2054/100)*Weights!$B$4)</f>
        <v/>
      </c>
      <c r="AA2054">
        <f>IF(Z2054= ,,RANK.EQ({pri_col_letter}{r},{pri_range},0))</f>
        <v/>
      </c>
    </row>
    <row r="2055">
      <c r="A2055" t="inlineStr">
        <is>
          <t>Yukon Outfitters</t>
        </is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>
        <is>
          <t>Tier 4</t>
        </is>
      </c>
      <c r="O2055" t="inlineStr">
        <is>
          <t>Preston Powell — Owner</t>
        </is>
      </c>
      <c r="P2055" t="inlineStr">
        <is>
          <t>Owner</t>
        </is>
      </c>
      <c r="Y2055" t="inlineStr">
        <is>
          <t>todo</t>
        </is>
      </c>
      <c r="Z2055">
        <f>(M2055*Weights!$B$2) + (MIN(Q2055,Weights!$B$5)*Weights!$B$3*(W2055/100)*Weights!$B$4)</f>
        <v/>
      </c>
      <c r="AA2055">
        <f>IF(Z2055= ,,RANK.EQ({pri_col_letter}{r},{pri_range},0))</f>
        <v/>
      </c>
    </row>
    <row r="2056">
      <c r="A2056" t="inlineStr">
        <is>
          <t>ZF Group</t>
        </is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>
        <is>
          <t>Tier 4</t>
        </is>
      </c>
      <c r="O2056" t="inlineStr">
        <is>
          <t>Barath Indrakumar — Head of Innovation &amp; Technology</t>
        </is>
      </c>
      <c r="P2056" t="inlineStr">
        <is>
          <t>Head of Innovation &amp; Technology</t>
        </is>
      </c>
      <c r="Y2056" t="inlineStr">
        <is>
          <t>todo</t>
        </is>
      </c>
      <c r="Z2056">
        <f>(M2056*Weights!$B$2) + (MIN(Q2056,Weights!$B$5)*Weights!$B$3*(W2056/100)*Weights!$B$4)</f>
        <v/>
      </c>
      <c r="AA2056">
        <f>IF(Z2056= ,,RANK.EQ({pri_col_letter}{r},{pri_range},0))</f>
        <v/>
      </c>
    </row>
    <row r="2057">
      <c r="A2057" t="inlineStr">
        <is>
          <t>ZIM</t>
        </is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>
        <is>
          <t>Tier 4</t>
        </is>
      </c>
      <c r="O2057" t="inlineStr">
        <is>
          <t>Oded Shachar — CTO</t>
        </is>
      </c>
      <c r="P2057" t="inlineStr">
        <is>
          <t>CTO</t>
        </is>
      </c>
      <c r="Y2057" t="inlineStr">
        <is>
          <t>todo</t>
        </is>
      </c>
      <c r="Z2057">
        <f>(M2057*Weights!$B$2) + (MIN(Q2057,Weights!$B$5)*Weights!$B$3*(W2057/100)*Weights!$B$4)</f>
        <v/>
      </c>
      <c r="AA2057">
        <f>IF(Z2057= ,,RANK.EQ({pri_col_letter}{r},{pri_range},0))</f>
        <v/>
      </c>
    </row>
    <row r="2058">
      <c r="A2058" t="inlineStr">
        <is>
          <t>ZIM Ventures at ZIM</t>
        </is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>
        <is>
          <t>Tier 4</t>
        </is>
      </c>
      <c r="O2058" t="inlineStr">
        <is>
          <t>Avi Chai — Investor</t>
        </is>
      </c>
      <c r="P2058" t="inlineStr">
        <is>
          <t>Investor</t>
        </is>
      </c>
      <c r="Y2058" t="inlineStr">
        <is>
          <t>todo</t>
        </is>
      </c>
      <c r="Z2058">
        <f>(M2058*Weights!$B$2) + (MIN(Q2058,Weights!$B$5)*Weights!$B$3*(W2058/100)*Weights!$B$4)</f>
        <v/>
      </c>
      <c r="AA2058">
        <f>IF(Z2058= ,,RANK.EQ({pri_col_letter}{r},{pri_range},0))</f>
        <v/>
      </c>
    </row>
    <row r="2059">
      <c r="A2059" t="inlineStr">
        <is>
          <t>Zeem Solutions</t>
        </is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>
        <is>
          <t>Tier 4</t>
        </is>
      </c>
      <c r="O2059" t="inlineStr">
        <is>
          <t>Don Peer — VP</t>
        </is>
      </c>
      <c r="P2059" t="inlineStr">
        <is>
          <t>VP</t>
        </is>
      </c>
      <c r="Y2059" t="inlineStr">
        <is>
          <t>todo</t>
        </is>
      </c>
      <c r="Z2059">
        <f>(M2059*Weights!$B$2) + (MIN(Q2059,Weights!$B$5)*Weights!$B$3*(W2059/100)*Weights!$B$4)</f>
        <v/>
      </c>
      <c r="AA2059">
        <f>IF(Z2059= ,,RANK.EQ({pri_col_letter}{r},{pri_range},0))</f>
        <v/>
      </c>
    </row>
    <row r="2060">
      <c r="A2060" t="inlineStr">
        <is>
          <t>ZenWTR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>
        <is>
          <t>Tier 4</t>
        </is>
      </c>
      <c r="O2060" t="inlineStr">
        <is>
          <t>Chris De Leon — Director, Transportaion</t>
        </is>
      </c>
      <c r="P2060" t="inlineStr">
        <is>
          <t>Director, Transportaion</t>
        </is>
      </c>
      <c r="Y2060" t="inlineStr">
        <is>
          <t>todo</t>
        </is>
      </c>
      <c r="Z2060">
        <f>(M2060*Weights!$B$2) + (MIN(Q2060,Weights!$B$5)*Weights!$B$3*(W2060/100)*Weights!$B$4)</f>
        <v/>
      </c>
      <c r="AA2060">
        <f>IF(Z2060= ,,RANK.EQ({pri_col_letter}{r},{pri_range},0))</f>
        <v/>
      </c>
    </row>
    <row r="2061">
      <c r="A2061" t="inlineStr">
        <is>
          <t>Zero100</t>
        </is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inlineStr">
        <is>
          <t>Tier 4</t>
        </is>
      </c>
      <c r="O2061" t="inlineStr">
        <is>
          <t>Jenna Fink — Principal Analyst</t>
        </is>
      </c>
      <c r="P2061" t="inlineStr">
        <is>
          <t>Principal Analyst</t>
        </is>
      </c>
      <c r="Y2061" t="inlineStr">
        <is>
          <t>todo</t>
        </is>
      </c>
      <c r="Z2061">
        <f>(M2061*Weights!$B$2) + (MIN(Q2061,Weights!$B$5)*Weights!$B$3*(W2061/100)*Weights!$B$4)</f>
        <v/>
      </c>
      <c r="AA2061">
        <f>IF(Z2061= ,,RANK.EQ({pri_col_letter}{r},{pri_range},0))</f>
        <v/>
      </c>
    </row>
    <row r="2062">
      <c r="A2062" t="inlineStr">
        <is>
          <t>Zeus</t>
        </is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inlineStr">
        <is>
          <t>Tier 4</t>
        </is>
      </c>
      <c r="O2062" t="inlineStr">
        <is>
          <t>Clemente Theotokis — Co-Founder &amp; Managing Director</t>
        </is>
      </c>
      <c r="P2062" t="inlineStr">
        <is>
          <t>Co-Founder &amp; Managing Director</t>
        </is>
      </c>
      <c r="Y2062" t="inlineStr">
        <is>
          <t>todo</t>
        </is>
      </c>
      <c r="Z2062">
        <f>(M2062*Weights!$B$2) + (MIN(Q2062,Weights!$B$5)*Weights!$B$3*(W2062/100)*Weights!$B$4)</f>
        <v/>
      </c>
      <c r="AA2062">
        <f>IF(Z2062= ,,RANK.EQ({pri_col_letter}{r},{pri_range},0))</f>
        <v/>
      </c>
    </row>
    <row r="2063">
      <c r="A2063" t="inlineStr">
        <is>
          <t>Zeus Logics</t>
        </is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inlineStr">
        <is>
          <t>Tier 4</t>
        </is>
      </c>
      <c r="O2063" t="inlineStr">
        <is>
          <t>Christopher Wall — CEO, CO-Founde</t>
        </is>
      </c>
      <c r="P2063" t="inlineStr">
        <is>
          <t>CEO, CO-Founde</t>
        </is>
      </c>
      <c r="Y2063" t="inlineStr">
        <is>
          <t>todo</t>
        </is>
      </c>
      <c r="Z2063">
        <f>(M2063*Weights!$B$2) + (MIN(Q2063,Weights!$B$5)*Weights!$B$3*(W2063/100)*Weights!$B$4)</f>
        <v/>
      </c>
      <c r="AA2063">
        <f>IF(Z2063= ,,RANK.EQ({pri_col_letter}{r},{pri_range},0))</f>
        <v/>
      </c>
    </row>
    <row r="2064">
      <c r="A2064" t="inlineStr">
        <is>
          <t>Zimark</t>
        </is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inlineStr">
        <is>
          <t>Tier 4</t>
        </is>
      </c>
      <c r="O2064" t="inlineStr">
        <is>
          <t>Karin Levy — CEO</t>
        </is>
      </c>
      <c r="P2064" t="inlineStr">
        <is>
          <t>CEO</t>
        </is>
      </c>
      <c r="Y2064" t="inlineStr">
        <is>
          <t>todo</t>
        </is>
      </c>
      <c r="Z2064">
        <f>(M2064*Weights!$B$2) + (MIN(Q2064,Weights!$B$5)*Weights!$B$3*(W2064/100)*Weights!$B$4)</f>
        <v/>
      </c>
      <c r="AA2064">
        <f>IF(Z2064= ,,RANK.EQ({pri_col_letter}{r},{pri_range},0))</f>
        <v/>
      </c>
    </row>
    <row r="2065">
      <c r="A2065" t="inlineStr">
        <is>
          <t>Zipline Logistics</t>
        </is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inlineStr">
        <is>
          <t>Tier 4</t>
        </is>
      </c>
      <c r="O2065" t="inlineStr">
        <is>
          <t>David Commiskey — CEO</t>
        </is>
      </c>
      <c r="P2065" t="inlineStr">
        <is>
          <t>CEO</t>
        </is>
      </c>
      <c r="Y2065" t="inlineStr">
        <is>
          <t>todo</t>
        </is>
      </c>
      <c r="Z2065">
        <f>(M2065*Weights!$B$2) + (MIN(Q2065,Weights!$B$5)*Weights!$B$3*(W2065/100)*Weights!$B$4)</f>
        <v/>
      </c>
      <c r="AA2065">
        <f>IF(Z2065= ,,RANK.EQ({pri_col_letter}{r},{pri_range},0))</f>
        <v/>
      </c>
    </row>
    <row r="2066">
      <c r="A2066" t="inlineStr">
        <is>
          <t>aifleet</t>
        </is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inlineStr">
        <is>
          <t>Tier 4</t>
        </is>
      </c>
      <c r="O2066" t="inlineStr">
        <is>
          <t>Marc El Khoury — CEO - Co-Founder</t>
        </is>
      </c>
      <c r="P2066" t="inlineStr">
        <is>
          <t>CEO - Co-Founder</t>
        </is>
      </c>
      <c r="Y2066" t="inlineStr">
        <is>
          <t>todo</t>
        </is>
      </c>
      <c r="Z2066">
        <f>(M2066*Weights!$B$2) + (MIN(Q2066,Weights!$B$5)*Weights!$B$3*(W2066/100)*Weights!$B$4)</f>
        <v/>
      </c>
      <c r="AA2066">
        <f>IF(Z2066= ,,RANK.EQ({pri_col_letter}{r},{pri_range},0))</f>
        <v/>
      </c>
    </row>
    <row r="2067">
      <c r="A2067" t="inlineStr">
        <is>
          <t>anata</t>
        </is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inlineStr">
        <is>
          <t>Tier 4</t>
        </is>
      </c>
      <c r="O2067" t="inlineStr">
        <is>
          <t>David Narayan — Founder</t>
        </is>
      </c>
      <c r="P2067" t="inlineStr">
        <is>
          <t>Founder</t>
        </is>
      </c>
      <c r="Y2067" t="inlineStr">
        <is>
          <t>todo</t>
        </is>
      </c>
      <c r="Z2067">
        <f>(M2067*Weights!$B$2) + (MIN(Q2067,Weights!$B$5)*Weights!$B$3*(W2067/100)*Weights!$B$4)</f>
        <v/>
      </c>
      <c r="AA2067">
        <f>IF(Z2067= ,,RANK.EQ({pri_col_letter}{r},{pri_range},0))</f>
        <v/>
      </c>
    </row>
    <row r="2068">
      <c r="A2068" t="inlineStr">
        <is>
          <t>driverDoc</t>
        </is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>
        <is>
          <t>Tier 4</t>
        </is>
      </c>
      <c r="O2068" t="inlineStr">
        <is>
          <t>Jim Mullen — Board Member</t>
        </is>
      </c>
      <c r="P2068" t="inlineStr">
        <is>
          <t>Board Member</t>
        </is>
      </c>
      <c r="Y2068" t="inlineStr">
        <is>
          <t>todo</t>
        </is>
      </c>
      <c r="Z2068">
        <f>(M2068*Weights!$B$2) + (MIN(Q2068,Weights!$B$5)*Weights!$B$3*(W2068/100)*Weights!$B$4)</f>
        <v/>
      </c>
      <c r="AA2068">
        <f>IF(Z2068= ,,RANK.EQ({pri_col_letter}{r},{pri_range},0))</f>
        <v/>
      </c>
    </row>
    <row r="2069">
      <c r="A2069" t="inlineStr">
        <is>
          <t>eGateway Capital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>
        <is>
          <t>Tier 4</t>
        </is>
      </c>
      <c r="O2069" t="inlineStr">
        <is>
          <t>Bruce seidel — Investments &amp; Platform</t>
        </is>
      </c>
      <c r="P2069" t="inlineStr">
        <is>
          <t>Investments &amp; Platform</t>
        </is>
      </c>
      <c r="Y2069" t="inlineStr">
        <is>
          <t>todo</t>
        </is>
      </c>
      <c r="Z2069">
        <f>(M2069*Weights!$B$2) + (MIN(Q2069,Weights!$B$5)*Weights!$B$3*(W2069/100)*Weights!$B$4)</f>
        <v/>
      </c>
      <c r="AA2069">
        <f>IF(Z2069= ,,RANK.EQ({pri_col_letter}{r},{pri_range},0))</f>
        <v/>
      </c>
    </row>
    <row r="2070">
      <c r="A2070" t="inlineStr">
        <is>
          <t>evolv Consulting</t>
        </is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>
        <is>
          <t>Tier 4</t>
        </is>
      </c>
      <c r="O2070" t="inlineStr">
        <is>
          <t>Matt Roche — Client Partner</t>
        </is>
      </c>
      <c r="P2070" t="inlineStr">
        <is>
          <t>Client Partner</t>
        </is>
      </c>
      <c r="Y2070" t="inlineStr">
        <is>
          <t>todo</t>
        </is>
      </c>
      <c r="Z2070">
        <f>(M2070*Weights!$B$2) + (MIN(Q2070,Weights!$B$5)*Weights!$B$3*(W2070/100)*Weights!$B$4)</f>
        <v/>
      </c>
      <c r="AA2070">
        <f>IF(Z2070= ,,RANK.EQ({pri_col_letter}{r},{pri_range},0))</f>
        <v/>
      </c>
    </row>
    <row r="2071">
      <c r="A2071" t="inlineStr">
        <is>
          <t>ex9 - autonomous logistics</t>
        </is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>
        <is>
          <t>Tier 4</t>
        </is>
      </c>
      <c r="O2071" t="inlineStr">
        <is>
          <t>Ksenia Duarte — CEO &amp; Founder</t>
        </is>
      </c>
      <c r="P2071" t="inlineStr">
        <is>
          <t>CEO &amp; Founder</t>
        </is>
      </c>
      <c r="Y2071" t="inlineStr">
        <is>
          <t>todo</t>
        </is>
      </c>
      <c r="Z2071">
        <f>(M2071*Weights!$B$2) + (MIN(Q2071,Weights!$B$5)*Weights!$B$3*(W2071/100)*Weights!$B$4)</f>
        <v/>
      </c>
      <c r="AA2071">
        <f>IF(Z2071= ,,RANK.EQ({pri_col_letter}{r},{pri_range},0))</f>
        <v/>
      </c>
    </row>
    <row r="2072">
      <c r="A2072" t="inlineStr">
        <is>
          <t>gofor delivers, inc.</t>
        </is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>
        <is>
          <t>Tier 4</t>
        </is>
      </c>
      <c r="O2072" t="inlineStr">
        <is>
          <t>Dillon McDonald — CEO</t>
        </is>
      </c>
      <c r="P2072" t="inlineStr">
        <is>
          <t>CEO</t>
        </is>
      </c>
      <c r="Y2072" t="inlineStr">
        <is>
          <t>todo</t>
        </is>
      </c>
      <c r="Z2072">
        <f>(M2072*Weights!$B$2) + (MIN(Q2072,Weights!$B$5)*Weights!$B$3*(W2072/100)*Weights!$B$4)</f>
        <v/>
      </c>
      <c r="AA2072">
        <f>IF(Z2072= ,,RANK.EQ({pri_col_letter}{r},{pri_range},0))</f>
        <v/>
      </c>
    </row>
    <row r="2073">
      <c r="A2073" t="inlineStr">
        <is>
          <t>http://www.moneiva.com</t>
        </is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>
        <is>
          <t>Tier 4</t>
        </is>
      </c>
      <c r="O2073" t="inlineStr">
        <is>
          <t>Marina Brown — Founder, CEO</t>
        </is>
      </c>
      <c r="P2073" t="inlineStr">
        <is>
          <t>Founder, CEO</t>
        </is>
      </c>
      <c r="Y2073" t="inlineStr">
        <is>
          <t>todo</t>
        </is>
      </c>
      <c r="Z2073">
        <f>(M2073*Weights!$B$2) + (MIN(Q2073,Weights!$B$5)*Weights!$B$3*(W2073/100)*Weights!$B$4)</f>
        <v/>
      </c>
      <c r="AA2073">
        <f>IF(Z2073= ,,RANK.EQ({pri_col_letter}{r},{pri_range},0))</f>
        <v/>
      </c>
    </row>
    <row r="2074">
      <c r="A2074" t="inlineStr">
        <is>
          <t>jomashop.com</t>
        </is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>
        <is>
          <t>Tier 4</t>
        </is>
      </c>
      <c r="O2074" t="inlineStr">
        <is>
          <t>marvin sternberg — ceo</t>
        </is>
      </c>
      <c r="P2074" t="inlineStr">
        <is>
          <t>ceo</t>
        </is>
      </c>
      <c r="Y2074" t="inlineStr">
        <is>
          <t>todo</t>
        </is>
      </c>
      <c r="Z2074">
        <f>(M2074*Weights!$B$2) + (MIN(Q2074,Weights!$B$5)*Weights!$B$3*(W2074/100)*Weights!$B$4)</f>
        <v/>
      </c>
      <c r="AA2074">
        <f>IF(Z2074= ,,RANK.EQ({pri_col_letter}{r},{pri_range},0))</f>
        <v/>
      </c>
    </row>
    <row r="2075">
      <c r="A2075" t="inlineStr">
        <is>
          <t>rateHero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>
        <is>
          <t>Tier 4</t>
        </is>
      </c>
      <c r="O2075" t="inlineStr">
        <is>
          <t>Elliot Brazil — CPO</t>
        </is>
      </c>
      <c r="P2075" t="inlineStr">
        <is>
          <t>CPO</t>
        </is>
      </c>
      <c r="Y2075" t="inlineStr">
        <is>
          <t>todo</t>
        </is>
      </c>
      <c r="Z2075">
        <f>(M2075*Weights!$B$2) + (MIN(Q2075,Weights!$B$5)*Weights!$B$3*(W2075/100)*Weights!$B$4)</f>
        <v/>
      </c>
      <c r="AA2075">
        <f>IF(Z2075= ,,RANK.EQ({pri_col_letter}{r},{pri_range},0))</f>
        <v/>
      </c>
    </row>
    <row r="2076">
      <c r="A2076" t="inlineStr">
        <is>
          <t>test</t>
        </is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inlineStr">
        <is>
          <t>Tier 4</t>
        </is>
      </c>
      <c r="O2076" t="inlineStr">
        <is>
          <t>Samuel Rojas — test</t>
        </is>
      </c>
      <c r="P2076" t="inlineStr">
        <is>
          <t>test</t>
        </is>
      </c>
      <c r="Y2076" t="inlineStr">
        <is>
          <t>todo</t>
        </is>
      </c>
      <c r="Z2076">
        <f>(M2076*Weights!$B$2) + (MIN(Q2076,Weights!$B$5)*Weights!$B$3*(W2076/100)*Weights!$B$4)</f>
        <v/>
      </c>
      <c r="AA2076">
        <f>IF(Z2076= ,,RANK.EQ({pri_col_letter}{r},{pri_range},0))</f>
        <v/>
      </c>
    </row>
    <row r="2077">
      <c r="A2077" t="inlineStr">
        <is>
          <t>test101</t>
        </is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>
        <is>
          <t>Tier 4</t>
        </is>
      </c>
      <c r="O2077" t="inlineStr">
        <is>
          <t>Test Test — test</t>
        </is>
      </c>
      <c r="P2077" t="inlineStr">
        <is>
          <t>test</t>
        </is>
      </c>
      <c r="Y2077" t="inlineStr">
        <is>
          <t>todo</t>
        </is>
      </c>
      <c r="Z2077">
        <f>(M2077*Weights!$B$2) + (MIN(Q2077,Weights!$B$5)*Weights!$B$3*(W2077/100)*Weights!$B$4)</f>
        <v/>
      </c>
      <c r="AA2077">
        <f>IF(Z2077= ,,RANK.EQ({pri_col_letter}{r},{pri_range},0))</f>
        <v/>
      </c>
    </row>
    <row r="2078">
      <c r="A2078" t="inlineStr">
        <is>
          <t>testafdafdas</t>
        </is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inlineStr">
        <is>
          <t>Tier 4</t>
        </is>
      </c>
      <c r="O2078" t="inlineStr">
        <is>
          <t>Gary Greenfields — QA</t>
        </is>
      </c>
      <c r="P2078" t="inlineStr">
        <is>
          <t>QA</t>
        </is>
      </c>
      <c r="Y2078" t="inlineStr">
        <is>
          <t>todo</t>
        </is>
      </c>
      <c r="Z2078">
        <f>(M2078*Weights!$B$2) + (MIN(Q2078,Weights!$B$5)*Weights!$B$3*(W2078/100)*Weights!$B$4)</f>
        <v/>
      </c>
      <c r="AA2078">
        <f>IF(Z2078= ,,RANK.EQ({pri_col_letter}{r},{pri_range},0))</f>
        <v/>
      </c>
    </row>
    <row r="2079">
      <c r="A2079" t="inlineStr">
        <is>
          <t>testing</t>
        </is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inlineStr">
        <is>
          <t>Tier 4</t>
        </is>
      </c>
      <c r="O2079" t="inlineStr">
        <is>
          <t>Testing Testing — testing</t>
        </is>
      </c>
      <c r="P2079" t="inlineStr">
        <is>
          <t>testing</t>
        </is>
      </c>
      <c r="Y2079" t="inlineStr">
        <is>
          <t>todo</t>
        </is>
      </c>
      <c r="Z2079">
        <f>(M2079*Weights!$B$2) + (MIN(Q2079,Weights!$B$5)*Weights!$B$3*(W2079/100)*Weights!$B$4)</f>
        <v/>
      </c>
      <c r="AA2079">
        <f>IF(Z2079= ,,RANK.EQ({pri_col_letter}{r},{pri_range},0))</f>
        <v/>
      </c>
    </row>
    <row r="2080">
      <c r="A2080" t="inlineStr">
        <is>
          <t>thinklive inc</t>
        </is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inlineStr">
        <is>
          <t>Tier 4</t>
        </is>
      </c>
      <c r="O2080" t="inlineStr">
        <is>
          <t>Kiruba Raja — CEO</t>
        </is>
      </c>
      <c r="P2080" t="inlineStr">
        <is>
          <t>CEO</t>
        </is>
      </c>
      <c r="Y2080" t="inlineStr">
        <is>
          <t>todo</t>
        </is>
      </c>
      <c r="Z2080">
        <f>(M2080*Weights!$B$2) + (MIN(Q2080,Weights!$B$5)*Weights!$B$3*(W2080/100)*Weights!$B$4)</f>
        <v/>
      </c>
      <c r="AA2080">
        <f>IF(Z2080= ,,RANK.EQ({pri_col_letter}{r},{pri_range},0))</f>
        <v/>
      </c>
    </row>
    <row r="2081">
      <c r="A2081" t="inlineStr">
        <is>
          <t>ReBound</t>
        </is>
      </c>
      <c r="B2081" t="n">
        <v>4</v>
      </c>
      <c r="C2081" t="n">
        <v>0</v>
      </c>
      <c r="D2081" t="n">
        <v>1</v>
      </c>
      <c r="E2081" t="n">
        <v>0</v>
      </c>
      <c r="F2081" t="n">
        <v>4</v>
      </c>
      <c r="G2081" t="n">
        <v>0</v>
      </c>
      <c r="I2081" t="n">
        <v>4</v>
      </c>
      <c r="J2081" t="n">
        <v>0.25</v>
      </c>
      <c r="K2081" t="n">
        <v>0</v>
      </c>
      <c r="L2081" t="n">
        <v>0</v>
      </c>
      <c r="M2081" t="n">
        <v>0</v>
      </c>
      <c r="N2081" t="inlineStr">
        <is>
          <t>Tier 4</t>
        </is>
      </c>
      <c r="O2081" t="inlineStr">
        <is>
          <t>Sidney Miller — Customer Success and Ops Support Analyst; Alexandra Romantseva — Head of Marketing; Berit Mann — Enterprise Sales Executive; Liselotte Reijrink — Director of Sales</t>
        </is>
      </c>
      <c r="P2081" t="inlineStr">
        <is>
          <t>Head of Marketing | Customer Success and Ops Support Analyst | Enterprise Sales Executive</t>
        </is>
      </c>
      <c r="Y2081" t="inlineStr">
        <is>
          <t>todo</t>
        </is>
      </c>
      <c r="Z2081">
        <f>(M2081*Weights!$B$2) + (MIN(Q2081,Weights!$B$5)*Weights!$B$3*(W2081/100)*Weights!$B$4)</f>
        <v/>
      </c>
      <c r="AA2081">
        <f>IF(Z2081= ,,RANK.EQ({pri_col_letter}{r},{pri_range},0))</f>
        <v/>
      </c>
    </row>
    <row r="2082">
      <c r="A2082" t="inlineStr">
        <is>
          <t>1st Choice Freight</t>
        </is>
      </c>
      <c r="B2082" t="n">
        <v>2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Tier 4</t>
        </is>
      </c>
      <c r="O2082" t="inlineStr">
        <is>
          <t>Justin McKessy — President; Matt Ellis — Director of Sales</t>
        </is>
      </c>
      <c r="P2082" t="inlineStr">
        <is>
          <t>President | Director of Sales</t>
        </is>
      </c>
      <c r="Y2082" t="inlineStr">
        <is>
          <t>todo</t>
        </is>
      </c>
      <c r="Z2082">
        <f>(M2082*Weights!$B$2) + (MIN(Q2082,Weights!$B$5)*Weights!$B$3*(W2082/100)*Weights!$B$4)</f>
        <v/>
      </c>
      <c r="AA2082">
        <f>IF(Z2082= ,,RANK.EQ({pri_col_letter}{r},{pri_range},0))</f>
        <v/>
      </c>
    </row>
    <row r="2083">
      <c r="A2083" t="inlineStr">
        <is>
          <t>AMS Fulfillment</t>
        </is>
      </c>
      <c r="B2083" t="n">
        <v>2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Tier 4</t>
        </is>
      </c>
      <c r="O2083" t="inlineStr">
        <is>
          <t>Greg Morello — CEO; Chris Copelan — VP of Sales and Business Development</t>
        </is>
      </c>
      <c r="P2083" t="inlineStr">
        <is>
          <t>CEO | VP of Sales and Business Development</t>
        </is>
      </c>
      <c r="Y2083" t="inlineStr">
        <is>
          <t>todo</t>
        </is>
      </c>
      <c r="Z2083">
        <f>(M2083*Weights!$B$2) + (MIN(Q2083,Weights!$B$5)*Weights!$B$3*(W2083/100)*Weights!$B$4)</f>
        <v/>
      </c>
      <c r="AA2083">
        <f>IF(Z2083= ,,RANK.EQ({pri_col_letter}{r},{pri_range},0))</f>
        <v/>
      </c>
    </row>
    <row r="2084">
      <c r="A2084" t="inlineStr">
        <is>
          <t>ARCO Design/Build</t>
        </is>
      </c>
      <c r="B2084" t="n">
        <v>2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Tier 4</t>
        </is>
      </c>
      <c r="O2084" t="inlineStr">
        <is>
          <t>Tyler Bateh — Senior Project Manager; Ina Lamparello — Director of Business Development</t>
        </is>
      </c>
      <c r="P2084" t="inlineStr">
        <is>
          <t>Senior Project Manager | Director of Business Development</t>
        </is>
      </c>
      <c r="Y2084" t="inlineStr">
        <is>
          <t>todo</t>
        </is>
      </c>
      <c r="Z2084">
        <f>(M2084*Weights!$B$2) + (MIN(Q2084,Weights!$B$5)*Weights!$B$3*(W2084/100)*Weights!$B$4)</f>
        <v/>
      </c>
      <c r="AA2084">
        <f>IF(Z2084= ,,RANK.EQ({pri_col_letter}{r},{pri_range},0))</f>
        <v/>
      </c>
    </row>
    <row r="2085">
      <c r="A2085" t="inlineStr">
        <is>
          <t>Americold Logistics</t>
        </is>
      </c>
      <c r="B2085" t="n">
        <v>2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Tier 4</t>
        </is>
      </c>
      <c r="O2085" t="inlineStr">
        <is>
          <t>Rob Chambers — President; Todd Quimby — VP, Business Development</t>
        </is>
      </c>
      <c r="P2085" t="inlineStr">
        <is>
          <t>President | VP, Business Development</t>
        </is>
      </c>
      <c r="Y2085" t="inlineStr">
        <is>
          <t>todo</t>
        </is>
      </c>
      <c r="Z2085">
        <f>(M2085*Weights!$B$2) + (MIN(Q2085,Weights!$B$5)*Weights!$B$3*(W2085/100)*Weights!$B$4)</f>
        <v/>
      </c>
      <c r="AA2085">
        <f>IF(Z2085= ,,RANK.EQ({pri_col_letter}{r},{pri_range},0))</f>
        <v/>
      </c>
    </row>
    <row r="2086">
      <c r="A2086" t="inlineStr">
        <is>
          <t>Argents</t>
        </is>
      </c>
      <c r="B2086" t="n">
        <v>2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Tier 4</t>
        </is>
      </c>
      <c r="O2086" t="inlineStr">
        <is>
          <t>Tony Chiappetta — Co-Owner; Adam Sneed — Director of Sales</t>
        </is>
      </c>
      <c r="P2086" t="inlineStr">
        <is>
          <t>Co-Owner | Director of Sales</t>
        </is>
      </c>
      <c r="Y2086" t="inlineStr">
        <is>
          <t>todo</t>
        </is>
      </c>
      <c r="Z2086">
        <f>(M2086*Weights!$B$2) + (MIN(Q2086,Weights!$B$5)*Weights!$B$3*(W2086/100)*Weights!$B$4)</f>
        <v/>
      </c>
      <c r="AA2086">
        <f>IF(Z2086= ,,RANK.EQ({pri_col_letter}{r},{pri_range},0))</f>
        <v/>
      </c>
    </row>
    <row r="2087">
      <c r="A2087" t="inlineStr">
        <is>
          <t>AutoScheduler.AI</t>
        </is>
      </c>
      <c r="B2087" t="n">
        <v>2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Tier 4</t>
        </is>
      </c>
      <c r="O2087" t="inlineStr">
        <is>
          <t>Keith Moore — CEO; Jon Veschio — Vice President, Sales</t>
        </is>
      </c>
      <c r="P2087" t="inlineStr">
        <is>
          <t>CEO | Vice President, Sales</t>
        </is>
      </c>
      <c r="Y2087" t="inlineStr">
        <is>
          <t>todo</t>
        </is>
      </c>
      <c r="Z2087">
        <f>(M2087*Weights!$B$2) + (MIN(Q2087,Weights!$B$5)*Weights!$B$3*(W2087/100)*Weights!$B$4)</f>
        <v/>
      </c>
      <c r="AA2087">
        <f>IF(Z2087= ,,RANK.EQ({pri_col_letter}{r},{pri_range},0))</f>
        <v/>
      </c>
    </row>
    <row r="2088">
      <c r="A2088" t="inlineStr">
        <is>
          <t>BAS Agente de Seguros y Fianzas</t>
        </is>
      </c>
      <c r="B2088" t="n">
        <v>2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Tier 4</t>
        </is>
      </c>
      <c r="O2088" t="inlineStr">
        <is>
          <t>JUAN CARLOS BENAVIDES — CEO; MARELY BERENGUEL — MARKETING MANAGER</t>
        </is>
      </c>
      <c r="P2088" t="inlineStr">
        <is>
          <t>CEO | MARKETING MANAGER</t>
        </is>
      </c>
      <c r="Y2088" t="inlineStr">
        <is>
          <t>todo</t>
        </is>
      </c>
      <c r="Z2088">
        <f>(M2088*Weights!$B$2) + (MIN(Q2088,Weights!$B$5)*Weights!$B$3*(W2088/100)*Weights!$B$4)</f>
        <v/>
      </c>
      <c r="AA2088">
        <f>IF(Z2088= ,,RANK.EQ({pri_col_letter}{r},{pri_range},0))</f>
        <v/>
      </c>
    </row>
    <row r="2089">
      <c r="A2089" t="inlineStr">
        <is>
          <t>Bamboo Rose</t>
        </is>
      </c>
      <c r="B2089" t="n">
        <v>2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Tier 4</t>
        </is>
      </c>
      <c r="O2089" t="inlineStr">
        <is>
          <t>Justin Friel — Sr. Account Director, Enterprise; Dennis Chan — Sr. Account Executive</t>
        </is>
      </c>
      <c r="P2089" t="inlineStr">
        <is>
          <t>Sr. Account Director, Enterprise | Sr. Account Executive</t>
        </is>
      </c>
      <c r="Y2089" t="inlineStr">
        <is>
          <t>todo</t>
        </is>
      </c>
      <c r="Z2089">
        <f>(M2089*Weights!$B$2) + (MIN(Q2089,Weights!$B$5)*Weights!$B$3*(W2089/100)*Weights!$B$4)</f>
        <v/>
      </c>
      <c r="AA2089">
        <f>IF(Z2089= ,,RANK.EQ({pri_col_letter}{r},{pri_range},0))</f>
        <v/>
      </c>
    </row>
    <row r="2090">
      <c r="A2090" t="inlineStr">
        <is>
          <t>BlueRock TMS</t>
        </is>
      </c>
      <c r="B2090" t="n">
        <v>2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Tier 4</t>
        </is>
      </c>
      <c r="O2090" t="inlineStr">
        <is>
          <t>Brent Wallace — Vice President, North America; Wim Mues — VP of Sales and Marketing</t>
        </is>
      </c>
      <c r="P2090" t="inlineStr">
        <is>
          <t>Vice President, North America | VP of Sales and Marketing</t>
        </is>
      </c>
      <c r="Y2090" t="inlineStr">
        <is>
          <t>todo</t>
        </is>
      </c>
      <c r="Z2090">
        <f>(M2090*Weights!$B$2) + (MIN(Q2090,Weights!$B$5)*Weights!$B$3*(W2090/100)*Weights!$B$4)</f>
        <v/>
      </c>
      <c r="AA2090">
        <f>IF(Z2090= ,,RANK.EQ({pri_col_letter}{r},{pri_range},0))</f>
        <v/>
      </c>
    </row>
    <row r="2091">
      <c r="A2091" t="inlineStr">
        <is>
          <t>Borderlanders Inc</t>
        </is>
      </c>
      <c r="B2091" t="n">
        <v>2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Tier 4</t>
        </is>
      </c>
      <c r="O2091" t="inlineStr">
        <is>
          <t>Frank Akron — CEO; Dakota Verrico — Director of Business Development</t>
        </is>
      </c>
      <c r="P2091" t="inlineStr">
        <is>
          <t>CEO | Director of Business Development</t>
        </is>
      </c>
      <c r="Y2091" t="inlineStr">
        <is>
          <t>todo</t>
        </is>
      </c>
      <c r="Z2091">
        <f>(M2091*Weights!$B$2) + (MIN(Q2091,Weights!$B$5)*Weights!$B$3*(W2091/100)*Weights!$B$4)</f>
        <v/>
      </c>
      <c r="AA2091">
        <f>IF(Z2091= ,,RANK.EQ({pri_col_letter}{r},{pri_range},0))</f>
        <v/>
      </c>
    </row>
    <row r="2092">
      <c r="A2092" t="inlineStr">
        <is>
          <t>Broker Carrier Summit</t>
        </is>
      </c>
      <c r="B2092" t="n">
        <v>2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Tier 4</t>
        </is>
      </c>
      <c r="O2092" t="inlineStr">
        <is>
          <t>Dan Lindsey — CEO; Rebecca Cooke — Director of Sales &amp; Partnerships</t>
        </is>
      </c>
      <c r="P2092" t="inlineStr">
        <is>
          <t>CEO | Director of Sales &amp; Partnerships</t>
        </is>
      </c>
      <c r="Y2092" t="inlineStr">
        <is>
          <t>todo</t>
        </is>
      </c>
      <c r="Z2092">
        <f>(M2092*Weights!$B$2) + (MIN(Q2092,Weights!$B$5)*Weights!$B$3*(W2092/100)*Weights!$B$4)</f>
        <v/>
      </c>
      <c r="AA2092">
        <f>IF(Z2092= ,,RANK.EQ({pri_col_letter}{r},{pri_range},0))</f>
        <v/>
      </c>
    </row>
    <row r="2093">
      <c r="A2093" t="inlineStr">
        <is>
          <t>Burq</t>
        </is>
      </c>
      <c r="B2093" t="n">
        <v>2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Tier 4</t>
        </is>
      </c>
      <c r="O2093" t="inlineStr">
        <is>
          <t>Janet Cao — Strategic Partnerships &amp; Initiatives; Ricky Dhingra — VP of Sales</t>
        </is>
      </c>
      <c r="P2093" t="inlineStr">
        <is>
          <t>Strategic Partnerships &amp; Initiatives | VP of Sales</t>
        </is>
      </c>
      <c r="Y2093" t="inlineStr">
        <is>
          <t>todo</t>
        </is>
      </c>
      <c r="Z2093">
        <f>(M2093*Weights!$B$2) + (MIN(Q2093,Weights!$B$5)*Weights!$B$3*(W2093/100)*Weights!$B$4)</f>
        <v/>
      </c>
      <c r="AA2093">
        <f>IF(Z2093= ,,RANK.EQ({pri_col_letter}{r},{pri_range},0))</f>
        <v/>
      </c>
    </row>
    <row r="2094">
      <c r="A2094" t="inlineStr">
        <is>
          <t>C.R. England Inc.</t>
        </is>
      </c>
      <c r="B2094" t="n">
        <v>2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Tier 4</t>
        </is>
      </c>
      <c r="O2094" t="inlineStr">
        <is>
          <t>Mary O'Toole — Sr Director - Enterprise Account Management; Lori Eakins — Vice President of Corporate Sales</t>
        </is>
      </c>
      <c r="P2094" t="inlineStr">
        <is>
          <t>Sr Director - Enterprise Account Management | Vice President of Corporate Sales</t>
        </is>
      </c>
      <c r="Y2094" t="inlineStr">
        <is>
          <t>todo</t>
        </is>
      </c>
      <c r="Z2094">
        <f>(M2094*Weights!$B$2) + (MIN(Q2094,Weights!$B$5)*Weights!$B$3*(W2094/100)*Weights!$B$4)</f>
        <v/>
      </c>
      <c r="AA2094">
        <f>IF(Z2094= ,,RANK.EQ({pri_col_letter}{r},{pri_range},0))</f>
        <v/>
      </c>
    </row>
    <row r="2095">
      <c r="A2095" t="inlineStr">
        <is>
          <t>CDL Last Mile</t>
        </is>
      </c>
      <c r="B2095" t="n">
        <v>2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Tier 4</t>
        </is>
      </c>
      <c r="O2095" t="inlineStr">
        <is>
          <t>Anthony Curcio — Vice President; Michael Curcio — VP Business Development</t>
        </is>
      </c>
      <c r="P2095" t="inlineStr">
        <is>
          <t>Vice President | VP Business Development</t>
        </is>
      </c>
      <c r="Y2095" t="inlineStr">
        <is>
          <t>todo</t>
        </is>
      </c>
      <c r="Z2095">
        <f>(M2095*Weights!$B$2) + (MIN(Q2095,Weights!$B$5)*Weights!$B$3*(W2095/100)*Weights!$B$4)</f>
        <v/>
      </c>
      <c r="AA2095">
        <f>IF(Z2095= ,,RANK.EQ({pri_col_letter}{r},{pri_range},0))</f>
        <v/>
      </c>
    </row>
    <row r="2096">
      <c r="A2096" t="inlineStr">
        <is>
          <t>CIMS</t>
        </is>
      </c>
      <c r="B2096" t="n">
        <v>2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inlineStr">
        <is>
          <t>Tier 4</t>
        </is>
      </c>
      <c r="O2096" t="inlineStr">
        <is>
          <t>WES DOWNIE — CEO; RANDY COLE — VP of Sales and Marketing</t>
        </is>
      </c>
      <c r="P2096" t="inlineStr">
        <is>
          <t>CEO | VP of Sales and Marketing</t>
        </is>
      </c>
      <c r="Y2096" t="inlineStr">
        <is>
          <t>todo</t>
        </is>
      </c>
      <c r="Z2096">
        <f>(M2096*Weights!$B$2) + (MIN(Q2096,Weights!$B$5)*Weights!$B$3*(W2096/100)*Weights!$B$4)</f>
        <v/>
      </c>
      <c r="AA2096">
        <f>IF(Z2096= ,,RANK.EQ({pri_col_letter}{r},{pri_range},0))</f>
        <v/>
      </c>
    </row>
    <row r="2097">
      <c r="A2097" t="inlineStr">
        <is>
          <t>Celerik Labs</t>
        </is>
      </c>
      <c r="B2097" t="n">
        <v>2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Tier 4</t>
        </is>
      </c>
      <c r="O2097" t="inlineStr">
        <is>
          <t>Maria Cardenas — CEO; Lily Chin — Senior Account Executive</t>
        </is>
      </c>
      <c r="P2097" t="inlineStr">
        <is>
          <t>CEO | Senior Account Executive</t>
        </is>
      </c>
      <c r="Y2097" t="inlineStr">
        <is>
          <t>todo</t>
        </is>
      </c>
      <c r="Z2097">
        <f>(M2097*Weights!$B$2) + (MIN(Q2097,Weights!$B$5)*Weights!$B$3*(W2097/100)*Weights!$B$4)</f>
        <v/>
      </c>
      <c r="AA2097">
        <f>IF(Z2097= ,,RANK.EQ({pri_col_letter}{r},{pri_range},0))</f>
        <v/>
      </c>
    </row>
    <row r="2098">
      <c r="A2098" t="inlineStr">
        <is>
          <t>Chainsight</t>
        </is>
      </c>
      <c r="B2098" t="n">
        <v>2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Tier 4</t>
        </is>
      </c>
      <c r="O2098" t="inlineStr">
        <is>
          <t>Santos Carrillo — CEO &amp; Founder; Luke Eber — Partnership Development Director</t>
        </is>
      </c>
      <c r="P2098" t="inlineStr">
        <is>
          <t>CEO &amp; Founder | Partnership Development Director</t>
        </is>
      </c>
      <c r="Y2098" t="inlineStr">
        <is>
          <t>todo</t>
        </is>
      </c>
      <c r="Z2098">
        <f>(M2098*Weights!$B$2) + (MIN(Q2098,Weights!$B$5)*Weights!$B$3*(W2098/100)*Weights!$B$4)</f>
        <v/>
      </c>
      <c r="AA2098">
        <f>IF(Z2098= ,,RANK.EQ({pri_col_letter}{r},{pri_range},0))</f>
        <v/>
      </c>
    </row>
    <row r="2099">
      <c r="A2099" t="inlineStr">
        <is>
          <t>Coldcart, Inc.</t>
        </is>
      </c>
      <c r="B2099" t="n">
        <v>2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Tier 4</t>
        </is>
      </c>
      <c r="O2099" t="inlineStr">
        <is>
          <t>Eric West — Advisor; Robert LeGere — Head of Sales</t>
        </is>
      </c>
      <c r="P2099" t="inlineStr">
        <is>
          <t>Advisor | Head of Sales</t>
        </is>
      </c>
      <c r="Y2099" t="inlineStr">
        <is>
          <t>todo</t>
        </is>
      </c>
      <c r="Z2099">
        <f>(M2099*Weights!$B$2) + (MIN(Q2099,Weights!$B$5)*Weights!$B$3*(W2099/100)*Weights!$B$4)</f>
        <v/>
      </c>
      <c r="AA2099">
        <f>IF(Z2099= ,,RANK.EQ({pri_col_letter}{r},{pri_range},0))</f>
        <v/>
      </c>
    </row>
    <row r="2100">
      <c r="A2100" t="inlineStr">
        <is>
          <t>Cubiscan</t>
        </is>
      </c>
      <c r="B2100" t="n">
        <v>2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Tier 4</t>
        </is>
      </c>
      <c r="O2100" t="inlineStr">
        <is>
          <t>Jake Hobbs — Enterprise Account Manager; Scooter Sayers — Director of Business Development - LTL Solutions</t>
        </is>
      </c>
      <c r="P2100" t="inlineStr">
        <is>
          <t>Enterprise Account Manager | Director of Business Development - LTL Solutions</t>
        </is>
      </c>
      <c r="Y2100" t="inlineStr">
        <is>
          <t>todo</t>
        </is>
      </c>
      <c r="Z2100">
        <f>(M2100*Weights!$B$2) + (MIN(Q2100,Weights!$B$5)*Weights!$B$3*(W2100/100)*Weights!$B$4)</f>
        <v/>
      </c>
      <c r="AA2100">
        <f>IF(Z2100= ,,RANK.EQ({pri_col_letter}{r},{pri_range},0))</f>
        <v/>
      </c>
    </row>
    <row r="2101">
      <c r="A2101" t="inlineStr">
        <is>
          <t>Digital Trade Works</t>
        </is>
      </c>
      <c r="B2101" t="n">
        <v>2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Tier 4</t>
        </is>
      </c>
      <c r="O2101" t="inlineStr">
        <is>
          <t>Merisa Lee Gimpel — Founder &amp; MD; Alex Waites — Sales</t>
        </is>
      </c>
      <c r="P2101" t="inlineStr">
        <is>
          <t>Founder &amp; MD | Sales</t>
        </is>
      </c>
      <c r="Y2101" t="inlineStr">
        <is>
          <t>todo</t>
        </is>
      </c>
      <c r="Z2101">
        <f>(M2101*Weights!$B$2) + (MIN(Q2101,Weights!$B$5)*Weights!$B$3*(W2101/100)*Weights!$B$4)</f>
        <v/>
      </c>
      <c r="AA2101">
        <f>IF(Z2101= ,,RANK.EQ({pri_col_letter}{r},{pri_range},0))</f>
        <v/>
      </c>
    </row>
    <row r="2102">
      <c r="A2102" t="inlineStr">
        <is>
          <t>EasyCargo - Load efficiently</t>
        </is>
      </c>
      <c r="B2102" t="n">
        <v>2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inlineStr">
        <is>
          <t>Tier 4</t>
        </is>
      </c>
      <c r="O2102" t="inlineStr">
        <is>
          <t>Matthew Vinciguerra — U.S. representative; Lukas Polame — Business Development Manager</t>
        </is>
      </c>
      <c r="P2102" t="inlineStr">
        <is>
          <t>U.S. representative | Business Development Manager</t>
        </is>
      </c>
      <c r="Y2102" t="inlineStr">
        <is>
          <t>todo</t>
        </is>
      </c>
      <c r="Z2102">
        <f>(M2102*Weights!$B$2) + (MIN(Q2102,Weights!$B$5)*Weights!$B$3*(W2102/100)*Weights!$B$4)</f>
        <v/>
      </c>
      <c r="AA2102">
        <f>IF(Z2102= ,,RANK.EQ({pri_col_letter}{r},{pri_range},0))</f>
        <v/>
      </c>
    </row>
    <row r="2103">
      <c r="A2103" t="inlineStr">
        <is>
          <t>Ember LifeSciences</t>
        </is>
      </c>
      <c r="B2103" t="n">
        <v>2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Tier 4</t>
        </is>
      </c>
      <c r="O2103" t="inlineStr">
        <is>
          <t>Brian Bejarano — Chief Commercial Officer; Krithika Karnati — Sales Account Manager</t>
        </is>
      </c>
      <c r="P2103" t="inlineStr">
        <is>
          <t>Chief Commercial Officer | Sales Account Manager</t>
        </is>
      </c>
      <c r="Y2103" t="inlineStr">
        <is>
          <t>todo</t>
        </is>
      </c>
      <c r="Z2103">
        <f>(M2103*Weights!$B$2) + (MIN(Q2103,Weights!$B$5)*Weights!$B$3*(W2103/100)*Weights!$B$4)</f>
        <v/>
      </c>
      <c r="AA2103">
        <f>IF(Z2103= ,,RANK.EQ({pri_col_letter}{r},{pri_range},0))</f>
        <v/>
      </c>
    </row>
    <row r="2104">
      <c r="A2104" t="inlineStr">
        <is>
          <t>Endava</t>
        </is>
      </c>
      <c r="B2104" t="n">
        <v>2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Tier 4</t>
        </is>
      </c>
      <c r="O2104" t="inlineStr">
        <is>
          <t>Alex Cheesman — Senior Industry Advisor; Gareth Colman — Business Development Manager</t>
        </is>
      </c>
      <c r="P2104" t="inlineStr">
        <is>
          <t>Senior Industry Advisor | Business Development Manager</t>
        </is>
      </c>
      <c r="Y2104" t="inlineStr">
        <is>
          <t>todo</t>
        </is>
      </c>
      <c r="Z2104">
        <f>(M2104*Weights!$B$2) + (MIN(Q2104,Weights!$B$5)*Weights!$B$3*(W2104/100)*Weights!$B$4)</f>
        <v/>
      </c>
      <c r="AA2104">
        <f>IF(Z2104= ,,RANK.EQ({pri_col_letter}{r},{pri_range},0))</f>
        <v/>
      </c>
    </row>
    <row r="2105">
      <c r="A2105" t="inlineStr">
        <is>
          <t>FIDELITONE</t>
        </is>
      </c>
      <c r="B2105" t="n">
        <v>2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Tier 4</t>
        </is>
      </c>
      <c r="O2105" t="inlineStr">
        <is>
          <t>Christine Haan — Strategic Account Manager; Bowen Smith — Director, Business Development</t>
        </is>
      </c>
      <c r="P2105" t="inlineStr">
        <is>
          <t>Strategic Account Manager | Director, Business Development</t>
        </is>
      </c>
      <c r="Y2105" t="inlineStr">
        <is>
          <t>todo</t>
        </is>
      </c>
      <c r="Z2105">
        <f>(M2105*Weights!$B$2) + (MIN(Q2105,Weights!$B$5)*Weights!$B$3*(W2105/100)*Weights!$B$4)</f>
        <v/>
      </c>
      <c r="AA2105">
        <f>IF(Z2105= ,,RANK.EQ({pri_col_letter}{r},{pri_range},0))</f>
        <v/>
      </c>
    </row>
    <row r="2106">
      <c r="A2106" t="inlineStr">
        <is>
          <t>Gregory</t>
        </is>
      </c>
      <c r="B2106" t="n">
        <v>2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Tier 4</t>
        </is>
      </c>
      <c r="O2106" t="inlineStr">
        <is>
          <t>Anna Patrick — Associate Vice President; Amanda Lauzon — Director of Marketing</t>
        </is>
      </c>
      <c r="P2106" t="inlineStr">
        <is>
          <t>Associate Vice President | Director of Marketing</t>
        </is>
      </c>
      <c r="Y2106" t="inlineStr">
        <is>
          <t>todo</t>
        </is>
      </c>
      <c r="Z2106">
        <f>(M2106*Weights!$B$2) + (MIN(Q2106,Weights!$B$5)*Weights!$B$3*(W2106/100)*Weights!$B$4)</f>
        <v/>
      </c>
      <c r="AA2106">
        <f>IF(Z2106= ,,RANK.EQ({pri_col_letter}{r},{pri_range},0))</f>
        <v/>
      </c>
    </row>
    <row r="2107">
      <c r="A2107" t="inlineStr">
        <is>
          <t>Hotglue</t>
        </is>
      </c>
      <c r="B2107" t="n">
        <v>2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Tier 4</t>
        </is>
      </c>
      <c r="O2107" t="inlineStr">
        <is>
          <t>Hassan Syyid — CEO; Kevin Wright — Head of GTM &amp; Partnerships</t>
        </is>
      </c>
      <c r="P2107" t="inlineStr">
        <is>
          <t>CEO | Head of GTM &amp; Partnerships</t>
        </is>
      </c>
      <c r="Y2107" t="inlineStr">
        <is>
          <t>todo</t>
        </is>
      </c>
      <c r="Z2107">
        <f>(M2107*Weights!$B$2) + (MIN(Q2107,Weights!$B$5)*Weights!$B$3*(W2107/100)*Weights!$B$4)</f>
        <v/>
      </c>
      <c r="AA2107">
        <f>IF(Z2107= ,,RANK.EQ({pri_col_letter}{r},{pri_range},0))</f>
        <v/>
      </c>
    </row>
    <row r="2108">
      <c r="A2108" t="inlineStr">
        <is>
          <t>Hylios</t>
        </is>
      </c>
      <c r="B2108" t="n">
        <v>2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Tier 4</t>
        </is>
      </c>
      <c r="O2108" t="inlineStr">
        <is>
          <t>Andrew O'Hara — Founder; Erik Knapp — Strategic Advisor, Partnerships &amp; Growth</t>
        </is>
      </c>
      <c r="P2108" t="inlineStr">
        <is>
          <t>Founder | Strategic Advisor, Partnerships &amp; Growth</t>
        </is>
      </c>
      <c r="Y2108" t="inlineStr">
        <is>
          <t>todo</t>
        </is>
      </c>
      <c r="Z2108">
        <f>(M2108*Weights!$B$2) + (MIN(Q2108,Weights!$B$5)*Weights!$B$3*(W2108/100)*Weights!$B$4)</f>
        <v/>
      </c>
      <c r="AA2108">
        <f>IF(Z2108= ,,RANK.EQ({pri_col_letter}{r},{pri_range},0))</f>
        <v/>
      </c>
    </row>
    <row r="2109">
      <c r="A2109" t="inlineStr">
        <is>
          <t>International Warehouse Logistics Association</t>
        </is>
      </c>
      <c r="B2109" t="n">
        <v>2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Tier 4</t>
        </is>
      </c>
      <c r="O2109" t="inlineStr">
        <is>
          <t>Jay Capron — IWLA; Joe Fabro — Marketing &amp; PR Manager</t>
        </is>
      </c>
      <c r="P2109" t="inlineStr">
        <is>
          <t>IWLA | Marketing &amp; PR Manager</t>
        </is>
      </c>
      <c r="Y2109" t="inlineStr">
        <is>
          <t>todo</t>
        </is>
      </c>
      <c r="Z2109">
        <f>(M2109*Weights!$B$2) + (MIN(Q2109,Weights!$B$5)*Weights!$B$3*(W2109/100)*Weights!$B$4)</f>
        <v/>
      </c>
      <c r="AA2109">
        <f>IF(Z2109= ,,RANK.EQ({pri_col_letter}{r},{pri_range},0))</f>
        <v/>
      </c>
    </row>
    <row r="2110">
      <c r="A2110" t="inlineStr">
        <is>
          <t>Johnson Storage &amp; Moving</t>
        </is>
      </c>
      <c r="B2110" t="n">
        <v>2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Tier 4</t>
        </is>
      </c>
      <c r="O2110" t="inlineStr">
        <is>
          <t>Don Hindman — President &amp; Chief Executive Officer, Principal; Shane Elliot — Business Development Executive</t>
        </is>
      </c>
      <c r="P2110" t="inlineStr">
        <is>
          <t>President &amp; Chief Executive Officer, Principal | Business Development Executive</t>
        </is>
      </c>
      <c r="Y2110" t="inlineStr">
        <is>
          <t>todo</t>
        </is>
      </c>
      <c r="Z2110">
        <f>(M2110*Weights!$B$2) + (MIN(Q2110,Weights!$B$5)*Weights!$B$3*(W2110/100)*Weights!$B$4)</f>
        <v/>
      </c>
      <c r="AA2110">
        <f>IF(Z2110= ,,RANK.EQ({pri_col_letter}{r},{pri_range},0))</f>
        <v/>
      </c>
    </row>
    <row r="2111">
      <c r="A2111" t="inlineStr">
        <is>
          <t>Katoen Natie</t>
        </is>
      </c>
      <c r="B2111" t="n">
        <v>2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Tier 4</t>
        </is>
      </c>
      <c r="O2111" t="inlineStr">
        <is>
          <t>Julien Govaert — Head of Business Line Consumer Electronics; Patricia Warnock — Business Development Manager US</t>
        </is>
      </c>
      <c r="P2111" t="inlineStr">
        <is>
          <t>Head of Business Line Consumer Electronics | Business Development Manager US</t>
        </is>
      </c>
      <c r="Y2111" t="inlineStr">
        <is>
          <t>todo</t>
        </is>
      </c>
      <c r="Z2111">
        <f>(M2111*Weights!$B$2) + (MIN(Q2111,Weights!$B$5)*Weights!$B$3*(W2111/100)*Weights!$B$4)</f>
        <v/>
      </c>
      <c r="AA2111">
        <f>IF(Z2111= ,,RANK.EQ({pri_col_letter}{r},{pri_range},0))</f>
        <v/>
      </c>
    </row>
    <row r="2112">
      <c r="A2112" t="inlineStr">
        <is>
          <t>LeadCoverage</t>
        </is>
      </c>
      <c r="B2112" t="n">
        <v>2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Tier 4</t>
        </is>
      </c>
      <c r="O2112" t="inlineStr">
        <is>
          <t>Will Haraway — Chief Content Officer &amp; Co-Founder; Jeff Courtney — Head of Sales</t>
        </is>
      </c>
      <c r="P2112" t="inlineStr">
        <is>
          <t>Chief Content Officer &amp; Co-Founder | Head of Sales</t>
        </is>
      </c>
      <c r="Y2112" t="inlineStr">
        <is>
          <t>todo</t>
        </is>
      </c>
      <c r="Z2112">
        <f>(M2112*Weights!$B$2) + (MIN(Q2112,Weights!$B$5)*Weights!$B$3*(W2112/100)*Weights!$B$4)</f>
        <v/>
      </c>
      <c r="AA2112">
        <f>IF(Z2112= ,,RANK.EQ({pri_col_letter}{r},{pri_range},0))</f>
        <v/>
      </c>
    </row>
    <row r="2113">
      <c r="A2113" t="inlineStr">
        <is>
          <t>Lindenmeyr Munroe</t>
        </is>
      </c>
      <c r="B2113" t="n">
        <v>2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Tier 4</t>
        </is>
      </c>
      <c r="O2113" t="inlineStr">
        <is>
          <t>Ed Pratt — Strategic Account Manager; jason shugar — National Sales Manager - Packaging</t>
        </is>
      </c>
      <c r="P2113" t="inlineStr">
        <is>
          <t>Strategic Account Manager | National Sales Manager - Packaging</t>
        </is>
      </c>
      <c r="Y2113" t="inlineStr">
        <is>
          <t>todo</t>
        </is>
      </c>
      <c r="Z2113">
        <f>(M2113*Weights!$B$2) + (MIN(Q2113,Weights!$B$5)*Weights!$B$3*(W2113/100)*Weights!$B$4)</f>
        <v/>
      </c>
      <c r="AA2113">
        <f>IF(Z2113= ,,RANK.EQ({pri_col_letter}{r},{pri_range},0))</f>
        <v/>
      </c>
    </row>
    <row r="2114">
      <c r="A2114" t="inlineStr">
        <is>
          <t>Locus</t>
        </is>
      </c>
      <c r="B2114" t="n">
        <v>2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30000000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Tier 4</t>
        </is>
      </c>
      <c r="O2114" t="inlineStr">
        <is>
          <t>Russell Hoppes — VP, Solutions &amp; Delivery; Sai Shiva Jampala — Director - Pre-Sales</t>
        </is>
      </c>
      <c r="P2114" t="inlineStr">
        <is>
          <t>VP, Solutions &amp; Delivery | Director - Pre-Sales</t>
        </is>
      </c>
      <c r="Y2114" t="inlineStr">
        <is>
          <t>todo</t>
        </is>
      </c>
      <c r="Z2114">
        <f>(M2114*Weights!$B$2) + (MIN(Q2114,Weights!$B$5)*Weights!$B$3*(W2114/100)*Weights!$B$4)</f>
        <v/>
      </c>
      <c r="AA2114">
        <f>IF(Z2114= ,,RANK.EQ({pri_col_letter}{r},{pri_range},0))</f>
        <v/>
      </c>
    </row>
    <row r="2115">
      <c r="A2115" t="inlineStr">
        <is>
          <t>LogicPath Logistics, LLC</t>
        </is>
      </c>
      <c r="B2115" t="n">
        <v>2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Tier 4</t>
        </is>
      </c>
      <c r="O2115" t="inlineStr">
        <is>
          <t>Scott Kaufman — CEO; Kendra Jackson — Chief Revenue Officer</t>
        </is>
      </c>
      <c r="P2115" t="inlineStr">
        <is>
          <t>CEO | Chief Revenue Officer</t>
        </is>
      </c>
      <c r="Y2115" t="inlineStr">
        <is>
          <t>todo</t>
        </is>
      </c>
      <c r="Z2115">
        <f>(M2115*Weights!$B$2) + (MIN(Q2115,Weights!$B$5)*Weights!$B$3*(W2115/100)*Weights!$B$4)</f>
        <v/>
      </c>
      <c r="AA2115">
        <f>IF(Z2115= ,,RANK.EQ({pri_col_letter}{r},{pri_range},0))</f>
        <v/>
      </c>
    </row>
    <row r="2116">
      <c r="A2116" t="inlineStr">
        <is>
          <t>Logicall Group</t>
        </is>
      </c>
      <c r="B2116" t="n">
        <v>2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Tier 4</t>
        </is>
      </c>
      <c r="O2116" t="inlineStr">
        <is>
          <t>Wessel Dirks — Group MD Air &amp; Ocean (Freight Forwarding); Martijn Backus — Sales Director</t>
        </is>
      </c>
      <c r="P2116" t="inlineStr">
        <is>
          <t>Group MD Air &amp; Ocean (Freight Forwarding) | Sales Director</t>
        </is>
      </c>
      <c r="Y2116" t="inlineStr">
        <is>
          <t>todo</t>
        </is>
      </c>
      <c r="Z2116">
        <f>(M2116*Weights!$B$2) + (MIN(Q2116,Weights!$B$5)*Weights!$B$3*(W2116/100)*Weights!$B$4)</f>
        <v/>
      </c>
      <c r="AA2116">
        <f>IF(Z2116= ,,RANK.EQ({pri_col_letter}{r},{pri_range},0))</f>
        <v/>
      </c>
    </row>
    <row r="2117">
      <c r="A2117" t="inlineStr">
        <is>
          <t>MIXMOVE</t>
        </is>
      </c>
      <c r="B2117" t="n">
        <v>2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Tier 4</t>
        </is>
      </c>
      <c r="O2117" t="inlineStr">
        <is>
          <t>Artur Alves — CEO / Co-founder; Christopher Schmitt — Director of Sales</t>
        </is>
      </c>
      <c r="P2117" t="inlineStr">
        <is>
          <t>CEO / Co-founder | Director of Sales</t>
        </is>
      </c>
      <c r="Y2117" t="inlineStr">
        <is>
          <t>todo</t>
        </is>
      </c>
      <c r="Z2117">
        <f>(M2117*Weights!$B$2) + (MIN(Q2117,Weights!$B$5)*Weights!$B$3*(W2117/100)*Weights!$B$4)</f>
        <v/>
      </c>
      <c r="AA2117">
        <f>IF(Z2117= ,,RANK.EQ({pri_col_letter}{r},{pri_range},0))</f>
        <v/>
      </c>
    </row>
    <row r="2118">
      <c r="A2118" t="inlineStr">
        <is>
          <t>MLM Transport</t>
        </is>
      </c>
      <c r="B2118" t="n">
        <v>2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Tier 4</t>
        </is>
      </c>
      <c r="O2118" t="inlineStr">
        <is>
          <t>Clay Million — GM - Charleston; Bryant Baucum — VP of Sales</t>
        </is>
      </c>
      <c r="P2118" t="inlineStr">
        <is>
          <t>GM - Charleston | VP of Sales</t>
        </is>
      </c>
      <c r="Y2118" t="inlineStr">
        <is>
          <t>todo</t>
        </is>
      </c>
      <c r="Z2118">
        <f>(M2118*Weights!$B$2) + (MIN(Q2118,Weights!$B$5)*Weights!$B$3*(W2118/100)*Weights!$B$4)</f>
        <v/>
      </c>
      <c r="AA2118">
        <f>IF(Z2118= ,,RANK.EQ({pri_col_letter}{r},{pri_range},0))</f>
        <v/>
      </c>
    </row>
    <row r="2119">
      <c r="A2119" t="inlineStr">
        <is>
          <t>Mastery Logistics Systems</t>
        </is>
      </c>
      <c r="B2119" t="n">
        <v>2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Tier 4</t>
        </is>
      </c>
      <c r="O2119" t="inlineStr">
        <is>
          <t>Patrick Gomez — Strategic Account Director; Andy Miller — Global Alliances</t>
        </is>
      </c>
      <c r="P2119" t="inlineStr">
        <is>
          <t>Strategic Account Director | Global Alliances</t>
        </is>
      </c>
      <c r="Y2119" t="inlineStr">
        <is>
          <t>todo</t>
        </is>
      </c>
      <c r="Z2119">
        <f>(M2119*Weights!$B$2) + (MIN(Q2119,Weights!$B$5)*Weights!$B$3*(W2119/100)*Weights!$B$4)</f>
        <v/>
      </c>
      <c r="AA2119">
        <f>IF(Z2119= ,,RANK.EQ({pri_col_letter}{r},{pri_range},0))</f>
        <v/>
      </c>
    </row>
    <row r="2120">
      <c r="A2120" t="inlineStr">
        <is>
          <t>Multipowr</t>
        </is>
      </c>
      <c r="B2120" t="n">
        <v>2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Tier 4</t>
        </is>
      </c>
      <c r="O2120" t="inlineStr">
        <is>
          <t>Peter Besard — CEO &amp; Founder; Istvan Horvath — Business Development Manager</t>
        </is>
      </c>
      <c r="P2120" t="inlineStr">
        <is>
          <t>CEO &amp; Founder | Business Development Manager</t>
        </is>
      </c>
      <c r="Y2120" t="inlineStr">
        <is>
          <t>todo</t>
        </is>
      </c>
      <c r="Z2120">
        <f>(M2120*Weights!$B$2) + (MIN(Q2120,Weights!$B$5)*Weights!$B$3*(W2120/100)*Weights!$B$4)</f>
        <v/>
      </c>
      <c r="AA2120">
        <f>IF(Z2120= ,,RANK.EQ({pri_col_letter}{r},{pri_range},0))</f>
        <v/>
      </c>
    </row>
    <row r="2121">
      <c r="A2121" t="inlineStr">
        <is>
          <t>Navix</t>
        </is>
      </c>
      <c r="B2121" t="n">
        <v>2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Tier 4</t>
        </is>
      </c>
      <c r="O2121" t="inlineStr">
        <is>
          <t>Eric Krueger — CEO and Co-founder; Chelsey Reynolds — VP of Sales</t>
        </is>
      </c>
      <c r="P2121" t="inlineStr">
        <is>
          <t>CEO and Co-founder | VP of Sales</t>
        </is>
      </c>
      <c r="Y2121" t="inlineStr">
        <is>
          <t>todo</t>
        </is>
      </c>
      <c r="Z2121">
        <f>(M2121*Weights!$B$2) + (MIN(Q2121,Weights!$B$5)*Weights!$B$3*(W2121/100)*Weights!$B$4)</f>
        <v/>
      </c>
      <c r="AA2121">
        <f>IF(Z2121= ,,RANK.EQ({pri_col_letter}{r},{pri_range},0))</f>
        <v/>
      </c>
    </row>
    <row r="2122">
      <c r="A2122" t="inlineStr">
        <is>
          <t>OnTrac</t>
        </is>
      </c>
      <c r="B2122" t="n">
        <v>2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Tier 4</t>
        </is>
      </c>
      <c r="O2122" t="inlineStr">
        <is>
          <t>Mason Rudolph — Sr Manager Strategic Partnerships; Margie Mitchell — Director of Sales - Middle Market</t>
        </is>
      </c>
      <c r="P2122" t="inlineStr">
        <is>
          <t>Sr Manager Strategic Partnerships | Director of Sales - Middle Market</t>
        </is>
      </c>
      <c r="Y2122" t="inlineStr">
        <is>
          <t>todo</t>
        </is>
      </c>
      <c r="Z2122">
        <f>(M2122*Weights!$B$2) + (MIN(Q2122,Weights!$B$5)*Weights!$B$3*(W2122/100)*Weights!$B$4)</f>
        <v/>
      </c>
      <c r="AA2122">
        <f>IF(Z2122= ,,RANK.EQ({pri_col_letter}{r},{pri_range},0))</f>
        <v/>
      </c>
    </row>
    <row r="2123">
      <c r="A2123" t="inlineStr">
        <is>
          <t>Optiflow</t>
        </is>
      </c>
      <c r="B2123" t="n">
        <v>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Tier 4</t>
        </is>
      </c>
      <c r="O2123" t="inlineStr">
        <is>
          <t>Gaurav Mogra — Founder &amp; CEO; Burton White — Senior Vice President Partnership &amp; Advisory</t>
        </is>
      </c>
      <c r="P2123" t="inlineStr">
        <is>
          <t>Founder &amp; CEO | Senior Vice President Partnership &amp; Advisory</t>
        </is>
      </c>
      <c r="Y2123" t="inlineStr">
        <is>
          <t>todo</t>
        </is>
      </c>
      <c r="Z2123">
        <f>(M2123*Weights!$B$2) + (MIN(Q2123,Weights!$B$5)*Weights!$B$3*(W2123/100)*Weights!$B$4)</f>
        <v/>
      </c>
      <c r="AA2123">
        <f>IF(Z2123= ,,RANK.EQ({pri_col_letter}{r},{pri_range},0))</f>
        <v/>
      </c>
    </row>
    <row r="2124">
      <c r="A2124" t="inlineStr">
        <is>
          <t>Optimologic</t>
        </is>
      </c>
      <c r="B2124" t="n">
        <v>2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Tier 4</t>
        </is>
      </c>
      <c r="O2124" t="inlineStr">
        <is>
          <t>Szymon Gomula — CEO; Martin Steczek — Director of Sales</t>
        </is>
      </c>
      <c r="P2124" t="inlineStr">
        <is>
          <t>CEO | Director of Sales</t>
        </is>
      </c>
      <c r="Y2124" t="inlineStr">
        <is>
          <t>todo</t>
        </is>
      </c>
      <c r="Z2124">
        <f>(M2124*Weights!$B$2) + (MIN(Q2124,Weights!$B$5)*Weights!$B$3*(W2124/100)*Weights!$B$4)</f>
        <v/>
      </c>
      <c r="AA2124">
        <f>IF(Z2124= ,,RANK.EQ({pri_col_letter}{r},{pri_range},0))</f>
        <v/>
      </c>
    </row>
    <row r="2125">
      <c r="A2125" t="inlineStr">
        <is>
          <t>Optimus</t>
        </is>
      </c>
      <c r="B2125" t="n">
        <v>2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Tier 4</t>
        </is>
      </c>
      <c r="O2125" t="inlineStr">
        <is>
          <t>Ed Stockman — CEO; Max Riemer — Account Executive</t>
        </is>
      </c>
      <c r="P2125" t="inlineStr">
        <is>
          <t>CEO | Account Executive</t>
        </is>
      </c>
      <c r="Y2125" t="inlineStr">
        <is>
          <t>todo</t>
        </is>
      </c>
      <c r="Z2125">
        <f>(M2125*Weights!$B$2) + (MIN(Q2125,Weights!$B$5)*Weights!$B$3*(W2125/100)*Weights!$B$4)</f>
        <v/>
      </c>
      <c r="AA2125">
        <f>IF(Z2125= ,,RANK.EQ({pri_col_letter}{r},{pri_range},0))</f>
        <v/>
      </c>
    </row>
    <row r="2126">
      <c r="A2126" t="inlineStr">
        <is>
          <t>Optimus Technologies</t>
        </is>
      </c>
      <c r="B2126" t="n">
        <v>2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Tier 4</t>
        </is>
      </c>
      <c r="O2126" t="inlineStr">
        <is>
          <t>Karl Thomas — Director of Strategic Partnerships; Dennis Geipel — Western Region Sales Manager</t>
        </is>
      </c>
      <c r="P2126" t="inlineStr">
        <is>
          <t>Director of Strategic Partnerships | Western Region Sales Manager</t>
        </is>
      </c>
      <c r="Y2126" t="inlineStr">
        <is>
          <t>todo</t>
        </is>
      </c>
      <c r="Z2126">
        <f>(M2126*Weights!$B$2) + (MIN(Q2126,Weights!$B$5)*Weights!$B$3*(W2126/100)*Weights!$B$4)</f>
        <v/>
      </c>
      <c r="AA2126">
        <f>IF(Z2126= ,,RANK.EQ({pri_col_letter}{r},{pri_range},0))</f>
        <v/>
      </c>
    </row>
    <row r="2127">
      <c r="A2127" t="inlineStr">
        <is>
          <t>PHD Solutions Inc.</t>
        </is>
      </c>
      <c r="B2127" t="n">
        <v>2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Tier 4</t>
        </is>
      </c>
      <c r="O2127" t="inlineStr">
        <is>
          <t>Paul Driegen — Founder &amp; Co-CEO; Bret Evans — Director of Sales</t>
        </is>
      </c>
      <c r="P2127" t="inlineStr">
        <is>
          <t>Founder &amp; Co-CEO | Director of Sales</t>
        </is>
      </c>
      <c r="Y2127" t="inlineStr">
        <is>
          <t>todo</t>
        </is>
      </c>
      <c r="Z2127">
        <f>(M2127*Weights!$B$2) + (MIN(Q2127,Weights!$B$5)*Weights!$B$3*(W2127/100)*Weights!$B$4)</f>
        <v/>
      </c>
      <c r="AA2127">
        <f>IF(Z2127= ,,RANK.EQ({pri_col_letter}{r},{pri_range},0))</f>
        <v/>
      </c>
    </row>
    <row r="2128">
      <c r="A2128" t="inlineStr">
        <is>
          <t>PT CHAYA INTERFREIGHT CARGO</t>
        </is>
      </c>
      <c r="B2128" t="n">
        <v>2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Tier 4</t>
        </is>
      </c>
      <c r="O2128" t="inlineStr">
        <is>
          <t>Adhika Caksana — Commercial Director; Farrell Tjaja — Business Development</t>
        </is>
      </c>
      <c r="P2128" t="inlineStr">
        <is>
          <t>Commercial Director | Business Development</t>
        </is>
      </c>
      <c r="Y2128" t="inlineStr">
        <is>
          <t>todo</t>
        </is>
      </c>
      <c r="Z2128">
        <f>(M2128*Weights!$B$2) + (MIN(Q2128,Weights!$B$5)*Weights!$B$3*(W2128/100)*Weights!$B$4)</f>
        <v/>
      </c>
      <c r="AA2128">
        <f>IF(Z2128= ,,RANK.EQ({pri_col_letter}{r},{pri_range},0))</f>
        <v/>
      </c>
    </row>
    <row r="2129">
      <c r="A2129" t="inlineStr">
        <is>
          <t>ProvisionAi</t>
        </is>
      </c>
      <c r="B2129" t="n">
        <v>2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Tier 4</t>
        </is>
      </c>
      <c r="O2129" t="inlineStr">
        <is>
          <t>Thomas Moore — CEO; Martin Casalini — Head of Marketing</t>
        </is>
      </c>
      <c r="P2129" t="inlineStr">
        <is>
          <t>CEO | Head of Marketing</t>
        </is>
      </c>
      <c r="Y2129" t="inlineStr">
        <is>
          <t>todo</t>
        </is>
      </c>
      <c r="Z2129">
        <f>(M2129*Weights!$B$2) + (MIN(Q2129,Weights!$B$5)*Weights!$B$3*(W2129/100)*Weights!$B$4)</f>
        <v/>
      </c>
      <c r="AA2129">
        <f>IF(Z2129= ,,RANK.EQ({pri_col_letter}{r},{pri_range},0))</f>
        <v/>
      </c>
    </row>
    <row r="2130">
      <c r="A2130" t="inlineStr">
        <is>
          <t>Quickcode.ai</t>
        </is>
      </c>
      <c r="B2130" t="n">
        <v>2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Tier 4</t>
        </is>
      </c>
      <c r="O2130" t="inlineStr">
        <is>
          <t>Joe Morales — CTO; Jordan Shrago — Director of Sales</t>
        </is>
      </c>
      <c r="P2130" t="inlineStr">
        <is>
          <t>CTO | Director of Sales</t>
        </is>
      </c>
      <c r="Y2130" t="inlineStr">
        <is>
          <t>todo</t>
        </is>
      </c>
      <c r="Z2130">
        <f>(M2130*Weights!$B$2) + (MIN(Q2130,Weights!$B$5)*Weights!$B$3*(W2130/100)*Weights!$B$4)</f>
        <v/>
      </c>
      <c r="AA2130">
        <f>IF(Z2130= ,,RANK.EQ({pri_col_letter}{r},{pri_range},0))</f>
        <v/>
      </c>
    </row>
    <row r="2131">
      <c r="A2131" t="inlineStr">
        <is>
          <t>RL Solutions</t>
        </is>
      </c>
      <c r="B2131" t="n">
        <v>2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Tier 4</t>
        </is>
      </c>
      <c r="O2131" t="inlineStr">
        <is>
          <t>Ben Simmons — COO; Chris Graham — VP of Sales</t>
        </is>
      </c>
      <c r="P2131" t="inlineStr">
        <is>
          <t>COO | VP of Sales</t>
        </is>
      </c>
      <c r="Y2131" t="inlineStr">
        <is>
          <t>todo</t>
        </is>
      </c>
      <c r="Z2131">
        <f>(M2131*Weights!$B$2) + (MIN(Q2131,Weights!$B$5)*Weights!$B$3*(W2131/100)*Weights!$B$4)</f>
        <v/>
      </c>
      <c r="AA2131">
        <f>IF(Z2131= ,,RANK.EQ({pri_col_letter}{r},{pri_range},0))</f>
        <v/>
      </c>
    </row>
    <row r="2132">
      <c r="A2132" t="inlineStr">
        <is>
          <t>RapidCanvas</t>
        </is>
      </c>
      <c r="B2132" t="n">
        <v>2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Tier 4</t>
        </is>
      </c>
      <c r="O2132" t="inlineStr">
        <is>
          <t>Ray Hsu — Vice President, Industrial AI Solutions; Davis Gallagher — AI Growth Manager</t>
        </is>
      </c>
      <c r="P2132" t="inlineStr">
        <is>
          <t>Vice President, Industrial AI Solutions | AI Growth Manager</t>
        </is>
      </c>
      <c r="Y2132" t="inlineStr">
        <is>
          <t>todo</t>
        </is>
      </c>
      <c r="Z2132">
        <f>(M2132*Weights!$B$2) + (MIN(Q2132,Weights!$B$5)*Weights!$B$3*(W2132/100)*Weights!$B$4)</f>
        <v/>
      </c>
      <c r="AA2132">
        <f>IF(Z2132= ,,RANK.EQ({pri_col_letter}{r},{pri_range},0))</f>
        <v/>
      </c>
    </row>
    <row r="2133">
      <c r="A2133" t="inlineStr">
        <is>
          <t>RealCold</t>
        </is>
      </c>
      <c r="B2133" t="n">
        <v>2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Tier 4</t>
        </is>
      </c>
      <c r="O2133" t="inlineStr">
        <is>
          <t>Arin Simpson — Sr. Director, Strategic Partnerships; James Chambers — Sr. Director of Marketing</t>
        </is>
      </c>
      <c r="P2133" t="inlineStr">
        <is>
          <t>Sr. Director, Strategic Partnerships | Sr. Director of Marketing</t>
        </is>
      </c>
      <c r="Y2133" t="inlineStr">
        <is>
          <t>todo</t>
        </is>
      </c>
      <c r="Z2133">
        <f>(M2133*Weights!$B$2) + (MIN(Q2133,Weights!$B$5)*Weights!$B$3*(W2133/100)*Weights!$B$4)</f>
        <v/>
      </c>
      <c r="AA2133">
        <f>IF(Z2133= ,,RANK.EQ({pri_col_letter}{r},{pri_range},0))</f>
        <v/>
      </c>
    </row>
    <row r="2134">
      <c r="A2134" t="inlineStr">
        <is>
          <t>Reliance Partners</t>
        </is>
      </c>
      <c r="B2134" t="n">
        <v>2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Tier 4</t>
        </is>
      </c>
      <c r="O2134" t="inlineStr">
        <is>
          <t>Ronald Ramsey — Chief Commercial Officer; Jessie Merritt — EVP of Sales</t>
        </is>
      </c>
      <c r="P2134" t="inlineStr">
        <is>
          <t>Chief Commercial Officer | EVP of Sales</t>
        </is>
      </c>
      <c r="Y2134" t="inlineStr">
        <is>
          <t>todo</t>
        </is>
      </c>
      <c r="Z2134">
        <f>(M2134*Weights!$B$2) + (MIN(Q2134,Weights!$B$5)*Weights!$B$3*(W2134/100)*Weights!$B$4)</f>
        <v/>
      </c>
      <c r="AA2134">
        <f>IF(Z2134= ,,RANK.EQ({pri_col_letter}{r},{pri_range},0))</f>
        <v/>
      </c>
    </row>
    <row r="2135">
      <c r="A2135" t="inlineStr">
        <is>
          <t>Riibotics</t>
        </is>
      </c>
      <c r="B2135" t="n">
        <v>2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Tier 4</t>
        </is>
      </c>
      <c r="O2135" t="inlineStr">
        <is>
          <t>Seungmin Baek — CEO &amp; Co-Founder; Joy Baik — Director, Business Development</t>
        </is>
      </c>
      <c r="P2135" t="inlineStr">
        <is>
          <t>CEO &amp; Co-Founder | Director, Business Development</t>
        </is>
      </c>
      <c r="Y2135" t="inlineStr">
        <is>
          <t>todo</t>
        </is>
      </c>
      <c r="Z2135">
        <f>(M2135*Weights!$B$2) + (MIN(Q2135,Weights!$B$5)*Weights!$B$3*(W2135/100)*Weights!$B$4)</f>
        <v/>
      </c>
      <c r="AA2135">
        <f>IF(Z2135= ,,RANK.EQ({pri_col_letter}{r},{pri_range},0))</f>
        <v/>
      </c>
    </row>
    <row r="2136">
      <c r="A2136" t="inlineStr">
        <is>
          <t>Ruan</t>
        </is>
      </c>
      <c r="B2136" t="n">
        <v>2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Tier 4</t>
        </is>
      </c>
      <c r="O2136" t="inlineStr">
        <is>
          <t>Chad Willis — CIO; Ryan Wegner — VP Sales</t>
        </is>
      </c>
      <c r="P2136" t="inlineStr">
        <is>
          <t>CIO | VP Sales</t>
        </is>
      </c>
      <c r="Y2136" t="inlineStr">
        <is>
          <t>todo</t>
        </is>
      </c>
      <c r="Z2136">
        <f>(M2136*Weights!$B$2) + (MIN(Q2136,Weights!$B$5)*Weights!$B$3*(W2136/100)*Weights!$B$4)</f>
        <v/>
      </c>
      <c r="AA2136">
        <f>IF(Z2136= ,,RANK.EQ({pri_col_letter}{r},{pri_range},0))</f>
        <v/>
      </c>
    </row>
    <row r="2137">
      <c r="A2137" t="inlineStr">
        <is>
          <t>SPARQ360</t>
        </is>
      </c>
      <c r="B2137" t="n">
        <v>2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Tier 4</t>
        </is>
      </c>
      <c r="O2137" t="inlineStr">
        <is>
          <t>Morgan Anderson — CEO; Evan Junker — Chief Growth Officer</t>
        </is>
      </c>
      <c r="P2137" t="inlineStr">
        <is>
          <t>CEO | Chief Growth Officer</t>
        </is>
      </c>
      <c r="Y2137" t="inlineStr">
        <is>
          <t>todo</t>
        </is>
      </c>
      <c r="Z2137">
        <f>(M2137*Weights!$B$2) + (MIN(Q2137,Weights!$B$5)*Weights!$B$3*(W2137/100)*Weights!$B$4)</f>
        <v/>
      </c>
      <c r="AA2137">
        <f>IF(Z2137= ,,RANK.EQ({pri_col_letter}{r},{pri_range},0))</f>
        <v/>
      </c>
    </row>
    <row r="2138">
      <c r="A2138" t="inlineStr">
        <is>
          <t>Seegrid Corporation</t>
        </is>
      </c>
      <c r="B2138" t="n">
        <v>2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Tier 4</t>
        </is>
      </c>
      <c r="O2138" t="inlineStr">
        <is>
          <t>Christopher Baker — CEO; David Griffin — Chief Sales Officer</t>
        </is>
      </c>
      <c r="P2138" t="inlineStr">
        <is>
          <t>CEO | Chief Sales Officer</t>
        </is>
      </c>
      <c r="Y2138" t="inlineStr">
        <is>
          <t>todo</t>
        </is>
      </c>
      <c r="Z2138">
        <f>(M2138*Weights!$B$2) + (MIN(Q2138,Weights!$B$5)*Weights!$B$3*(W2138/100)*Weights!$B$4)</f>
        <v/>
      </c>
      <c r="AA2138">
        <f>IF(Z2138= ,,RANK.EQ({pri_col_letter}{r},{pri_range},0))</f>
        <v/>
      </c>
    </row>
    <row r="2139">
      <c r="A2139" t="inlineStr">
        <is>
          <t>Sensolus</t>
        </is>
      </c>
      <c r="B2139" t="n">
        <v>2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Tier 4</t>
        </is>
      </c>
      <c r="O2139" t="inlineStr">
        <is>
          <t>Steve Logue — General Manager; Carson Garner — Sales Leader, NA</t>
        </is>
      </c>
      <c r="P2139" t="inlineStr">
        <is>
          <t>General Manager | Sales Leader, NA</t>
        </is>
      </c>
      <c r="Y2139" t="inlineStr">
        <is>
          <t>todo</t>
        </is>
      </c>
      <c r="Z2139">
        <f>(M2139*Weights!$B$2) + (MIN(Q2139,Weights!$B$5)*Weights!$B$3*(W2139/100)*Weights!$B$4)</f>
        <v/>
      </c>
      <c r="AA2139">
        <f>IF(Z2139= ,,RANK.EQ({pri_col_letter}{r},{pri_range},0))</f>
        <v/>
      </c>
    </row>
    <row r="2140">
      <c r="A2140" t="inlineStr">
        <is>
          <t>Shipfusion</t>
        </is>
      </c>
      <c r="B2140" t="n">
        <v>2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Tier 4</t>
        </is>
      </c>
      <c r="O2140" t="inlineStr">
        <is>
          <t>Gary Mirsky — VP, Strategy; Jonathan Witt — Partnership Manager</t>
        </is>
      </c>
      <c r="P2140" t="inlineStr">
        <is>
          <t>VP, Strategy | Partnership Manager</t>
        </is>
      </c>
      <c r="Y2140" t="inlineStr">
        <is>
          <t>todo</t>
        </is>
      </c>
      <c r="Z2140">
        <f>(M2140*Weights!$B$2) + (MIN(Q2140,Weights!$B$5)*Weights!$B$3*(W2140/100)*Weights!$B$4)</f>
        <v/>
      </c>
      <c r="AA2140">
        <f>IF(Z2140= ,,RANK.EQ({pri_col_letter}{r},{pri_range},0))</f>
        <v/>
      </c>
    </row>
    <row r="2141">
      <c r="A2141" t="inlineStr">
        <is>
          <t>SnapFulfil</t>
        </is>
      </c>
      <c r="B2141" t="n">
        <v>2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inlineStr">
        <is>
          <t>Tier 4</t>
        </is>
      </c>
      <c r="O2141" t="inlineStr">
        <is>
          <t>Cheree Brewer — Account Manager; Katie McCauley — Senior Manager, Marketing</t>
        </is>
      </c>
      <c r="P2141" t="inlineStr">
        <is>
          <t>Account Manager | Senior Manager, Marketing</t>
        </is>
      </c>
      <c r="Y2141" t="inlineStr">
        <is>
          <t>todo</t>
        </is>
      </c>
      <c r="Z2141">
        <f>(M2141*Weights!$B$2) + (MIN(Q2141,Weights!$B$5)*Weights!$B$3*(W2141/100)*Weights!$B$4)</f>
        <v/>
      </c>
      <c r="AA2141">
        <f>IF(Z2141= ,,RANK.EQ({pri_col_letter}{r},{pri_range},0))</f>
        <v/>
      </c>
    </row>
    <row r="2142">
      <c r="A2142" t="inlineStr">
        <is>
          <t>Sunland Logistics Solutions</t>
        </is>
      </c>
      <c r="B2142" t="n">
        <v>2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inlineStr">
        <is>
          <t>Tier 4</t>
        </is>
      </c>
      <c r="O2142" t="inlineStr">
        <is>
          <t>Arch Thomason — CEO; Bryan Austin — VP Business Development</t>
        </is>
      </c>
      <c r="P2142" t="inlineStr">
        <is>
          <t>CEO | VP Business Development</t>
        </is>
      </c>
      <c r="Y2142" t="inlineStr">
        <is>
          <t>todo</t>
        </is>
      </c>
      <c r="Z2142">
        <f>(M2142*Weights!$B$2) + (MIN(Q2142,Weights!$B$5)*Weights!$B$3*(W2142/100)*Weights!$B$4)</f>
        <v/>
      </c>
      <c r="AA2142">
        <f>IF(Z2142= ,,RANK.EQ({pri_col_letter}{r},{pri_range},0))</f>
        <v/>
      </c>
    </row>
    <row r="2143">
      <c r="A2143" t="inlineStr">
        <is>
          <t>TAC Index</t>
        </is>
      </c>
      <c r="B2143" t="n">
        <v>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Tier 4</t>
        </is>
      </c>
      <c r="O2143" t="inlineStr">
        <is>
          <t>Cameron Honarvar — Director - TAC Americas; Al Lambert — Head of Sales - APAC</t>
        </is>
      </c>
      <c r="P2143" t="inlineStr">
        <is>
          <t>Director - TAC Americas | Head of Sales - APAC</t>
        </is>
      </c>
      <c r="Y2143" t="inlineStr">
        <is>
          <t>todo</t>
        </is>
      </c>
      <c r="Z2143">
        <f>(M2143*Weights!$B$2) + (MIN(Q2143,Weights!$B$5)*Weights!$B$3*(W2143/100)*Weights!$B$4)</f>
        <v/>
      </c>
      <c r="AA2143">
        <f>IF(Z2143= ,,RANK.EQ({pri_col_letter}{r},{pri_range},0))</f>
        <v/>
      </c>
    </row>
    <row r="2144">
      <c r="A2144" t="inlineStr">
        <is>
          <t>Takt, Inc.</t>
        </is>
      </c>
      <c r="B2144" t="n">
        <v>2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Tier 4</t>
        </is>
      </c>
      <c r="O2144" t="inlineStr">
        <is>
          <t>Alex Pankhurst — Chief Strategy Officer; Jordan Knight — Head of Sales</t>
        </is>
      </c>
      <c r="P2144" t="inlineStr">
        <is>
          <t>Chief Strategy Officer | Head of Sales</t>
        </is>
      </c>
      <c r="Y2144" t="inlineStr">
        <is>
          <t>todo</t>
        </is>
      </c>
      <c r="Z2144">
        <f>(M2144*Weights!$B$2) + (MIN(Q2144,Weights!$B$5)*Weights!$B$3*(W2144/100)*Weights!$B$4)</f>
        <v/>
      </c>
      <c r="AA2144">
        <f>IF(Z2144= ,,RANK.EQ({pri_col_letter}{r},{pri_range},0))</f>
        <v/>
      </c>
    </row>
    <row r="2145">
      <c r="A2145" t="inlineStr">
        <is>
          <t>TemperPack</t>
        </is>
      </c>
      <c r="B2145" t="n">
        <v>2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Tier 4</t>
        </is>
      </c>
      <c r="O2145" t="inlineStr">
        <is>
          <t>Peter Wells — CEO; Taylor Vest — Sales Director E-commerce</t>
        </is>
      </c>
      <c r="P2145" t="inlineStr">
        <is>
          <t>CEO | Sales Director E-commerce</t>
        </is>
      </c>
      <c r="Y2145" t="inlineStr">
        <is>
          <t>todo</t>
        </is>
      </c>
      <c r="Z2145">
        <f>(M2145*Weights!$B$2) + (MIN(Q2145,Weights!$B$5)*Weights!$B$3*(W2145/100)*Weights!$B$4)</f>
        <v/>
      </c>
      <c r="AA2145">
        <f>IF(Z2145= ,,RANK.EQ({pri_col_letter}{r},{pri_range},0))</f>
        <v/>
      </c>
    </row>
    <row r="2146">
      <c r="A2146" t="inlineStr">
        <is>
          <t>TextLocate</t>
        </is>
      </c>
      <c r="B2146" t="n">
        <v>2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Tier 4</t>
        </is>
      </c>
      <c r="O2146" t="inlineStr">
        <is>
          <t>Ryan Rogers — Founder; Andrew Hendry — Account Executive</t>
        </is>
      </c>
      <c r="P2146" t="inlineStr">
        <is>
          <t>Founder | Account Executive</t>
        </is>
      </c>
      <c r="Y2146" t="inlineStr">
        <is>
          <t>todo</t>
        </is>
      </c>
      <c r="Z2146">
        <f>(M2146*Weights!$B$2) + (MIN(Q2146,Weights!$B$5)*Weights!$B$3*(W2146/100)*Weights!$B$4)</f>
        <v/>
      </c>
      <c r="AA2146">
        <f>IF(Z2146= ,,RANK.EQ({pri_col_letter}{r},{pri_range},0))</f>
        <v/>
      </c>
    </row>
    <row r="2147">
      <c r="A2147" t="inlineStr">
        <is>
          <t>The Custom Companies</t>
        </is>
      </c>
      <c r="B2147" t="n">
        <v>2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Tier 4</t>
        </is>
      </c>
      <c r="O2147" t="inlineStr">
        <is>
          <t>Joseph Klikas — CXO - Chief Experience Officer; Katy Cherkas — Director of Marketing</t>
        </is>
      </c>
      <c r="P2147" t="inlineStr">
        <is>
          <t>CXO - Chief Experience Officer | Director of Marketing</t>
        </is>
      </c>
      <c r="Y2147" t="inlineStr">
        <is>
          <t>todo</t>
        </is>
      </c>
      <c r="Z2147">
        <f>(M2147*Weights!$B$2) + (MIN(Q2147,Weights!$B$5)*Weights!$B$3*(W2147/100)*Weights!$B$4)</f>
        <v/>
      </c>
      <c r="AA2147">
        <f>IF(Z2147= ,,RANK.EQ({pri_col_letter}{r},{pri_range},0))</f>
        <v/>
      </c>
    </row>
    <row r="2148">
      <c r="A2148" t="inlineStr">
        <is>
          <t>Third Person</t>
        </is>
      </c>
      <c r="B2148" t="n">
        <v>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Tier 4</t>
        </is>
      </c>
      <c r="O2148" t="inlineStr">
        <is>
          <t>Matthew Hertz — CEO; Katie Lentile — Chief Growth Officer</t>
        </is>
      </c>
      <c r="P2148" t="inlineStr">
        <is>
          <t>CEO | Chief Growth Officer</t>
        </is>
      </c>
      <c r="Y2148" t="inlineStr">
        <is>
          <t>todo</t>
        </is>
      </c>
      <c r="Z2148">
        <f>(M2148*Weights!$B$2) + (MIN(Q2148,Weights!$B$5)*Weights!$B$3*(W2148/100)*Weights!$B$4)</f>
        <v/>
      </c>
      <c r="AA2148">
        <f>IF(Z2148= ,,RANK.EQ({pri_col_letter}{r},{pri_range},0))</f>
        <v/>
      </c>
    </row>
    <row r="2149">
      <c r="A2149" t="inlineStr">
        <is>
          <t>Thruvision</t>
        </is>
      </c>
      <c r="B2149" t="n">
        <v>2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Tier 4</t>
        </is>
      </c>
      <c r="O2149" t="inlineStr">
        <is>
          <t>Kevin Gramer — VP Americas; David Fryman — Sr. Director Sales - Americas</t>
        </is>
      </c>
      <c r="P2149" t="inlineStr">
        <is>
          <t>VP Americas | Sr. Director Sales - Americas</t>
        </is>
      </c>
      <c r="Y2149" t="inlineStr">
        <is>
          <t>todo</t>
        </is>
      </c>
      <c r="Z2149">
        <f>(M2149*Weights!$B$2) + (MIN(Q2149,Weights!$B$5)*Weights!$B$3*(W2149/100)*Weights!$B$4)</f>
        <v/>
      </c>
      <c r="AA2149">
        <f>IF(Z2149= ,,RANK.EQ({pri_col_letter}{r},{pri_range},0))</f>
        <v/>
      </c>
    </row>
    <row r="2150">
      <c r="A2150" t="inlineStr">
        <is>
          <t>Tusk</t>
        </is>
      </c>
      <c r="B2150" t="n">
        <v>2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Tier 4</t>
        </is>
      </c>
      <c r="O2150" t="inlineStr">
        <is>
          <t>Ben Emmrich — CEO and cofounder; Jake Gingerich — Head of Sales &amp; GTM</t>
        </is>
      </c>
      <c r="P2150" t="inlineStr">
        <is>
          <t>CEO and cofounder | Head of Sales &amp; GTM</t>
        </is>
      </c>
      <c r="Y2150" t="inlineStr">
        <is>
          <t>todo</t>
        </is>
      </c>
      <c r="Z2150">
        <f>(M2150*Weights!$B$2) + (MIN(Q2150,Weights!$B$5)*Weights!$B$3*(W2150/100)*Weights!$B$4)</f>
        <v/>
      </c>
      <c r="AA2150">
        <f>IF(Z2150= ,,RANK.EQ({pri_col_letter}{r},{pri_range},0))</f>
        <v/>
      </c>
    </row>
    <row r="2151">
      <c r="A2151" t="inlineStr">
        <is>
          <t>United Delivery Service, Ltd.</t>
        </is>
      </c>
      <c r="B2151" t="n">
        <v>2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Tier 4</t>
        </is>
      </c>
      <c r="O2151" t="inlineStr">
        <is>
          <t>Ron Castaldo — CEO; Jerry Kee — Senior Sales Director</t>
        </is>
      </c>
      <c r="P2151" t="inlineStr">
        <is>
          <t>CEO | Senior Sales Director</t>
        </is>
      </c>
      <c r="Y2151" t="inlineStr">
        <is>
          <t>todo</t>
        </is>
      </c>
      <c r="Z2151">
        <f>(M2151*Weights!$B$2) + (MIN(Q2151,Weights!$B$5)*Weights!$B$3*(W2151/100)*Weights!$B$4)</f>
        <v/>
      </c>
      <c r="AA2151">
        <f>IF(Z2151= ,,RANK.EQ({pri_col_letter}{r},{pri_range},0))</f>
        <v/>
      </c>
    </row>
    <row r="2152">
      <c r="A2152" t="inlineStr">
        <is>
          <t>Waller Consulting</t>
        </is>
      </c>
      <c r="B2152" t="n">
        <v>2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Tier 4</t>
        </is>
      </c>
      <c r="O2152" t="inlineStr">
        <is>
          <t>Mark Kidwell — Principal; Roger Manini — Sr. Account Executive</t>
        </is>
      </c>
      <c r="P2152" t="inlineStr">
        <is>
          <t>Principal | Sr. Account Executive</t>
        </is>
      </c>
      <c r="Y2152" t="inlineStr">
        <is>
          <t>todo</t>
        </is>
      </c>
      <c r="Z2152">
        <f>(M2152*Weights!$B$2) + (MIN(Q2152,Weights!$B$5)*Weights!$B$3*(W2152/100)*Weights!$B$4)</f>
        <v/>
      </c>
      <c r="AA2152">
        <f>IF(Z2152= ,,RANK.EQ({pri_col_letter}{r},{pri_range},0))</f>
        <v/>
      </c>
    </row>
    <row r="2153">
      <c r="A2153" t="inlineStr">
        <is>
          <t>WareMatch</t>
        </is>
      </c>
      <c r="B2153" t="n">
        <v>2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Tier 4</t>
        </is>
      </c>
      <c r="O2153" t="inlineStr">
        <is>
          <t>Ryan Kalisky — CEO; Jacob Brown — Director of Sales and Partnerships</t>
        </is>
      </c>
      <c r="P2153" t="inlineStr">
        <is>
          <t>CEO | Director of Sales and Partnerships</t>
        </is>
      </c>
      <c r="Y2153" t="inlineStr">
        <is>
          <t>todo</t>
        </is>
      </c>
      <c r="Z2153">
        <f>(M2153*Weights!$B$2) + (MIN(Q2153,Weights!$B$5)*Weights!$B$3*(W2153/100)*Weights!$B$4)</f>
        <v/>
      </c>
      <c r="AA2153">
        <f>IF(Z2153= ,,RANK.EQ({pri_col_letter}{r},{pri_range},0))</f>
        <v/>
      </c>
    </row>
    <row r="2154">
      <c r="A2154" t="inlineStr">
        <is>
          <t>Wisor.ai</t>
        </is>
      </c>
      <c r="B2154" t="n">
        <v>2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Tier 4</t>
        </is>
      </c>
      <c r="O2154" t="inlineStr">
        <is>
          <t>Raz Ronen — CEO; Adi Blecher — VP of Marketing</t>
        </is>
      </c>
      <c r="P2154" t="inlineStr">
        <is>
          <t>CEO | VP of Marketing</t>
        </is>
      </c>
      <c r="Y2154" t="inlineStr">
        <is>
          <t>todo</t>
        </is>
      </c>
      <c r="Z2154">
        <f>(M2154*Weights!$B$2) + (MIN(Q2154,Weights!$B$5)*Weights!$B$3*(W2154/100)*Weights!$B$4)</f>
        <v/>
      </c>
      <c r="AA2154">
        <f>IF(Z2154= ,,RANK.EQ({pri_col_letter}{r},{pri_range},0))</f>
        <v/>
      </c>
    </row>
    <row r="2155">
      <c r="A2155" t="inlineStr">
        <is>
          <t>Yard Management Solutions</t>
        </is>
      </c>
      <c r="B2155" t="n">
        <v>2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Tier 4</t>
        </is>
      </c>
      <c r="O2155" t="inlineStr">
        <is>
          <t>Colin Mansfield — Company Vice President; Kris Gerkins — Director of Strategic Sales</t>
        </is>
      </c>
      <c r="P2155" t="inlineStr">
        <is>
          <t>Company Vice President | Director of Strategic Sales</t>
        </is>
      </c>
      <c r="Y2155" t="inlineStr">
        <is>
          <t>todo</t>
        </is>
      </c>
      <c r="Z2155">
        <f>(M2155*Weights!$B$2) + (MIN(Q2155,Weights!$B$5)*Weights!$B$3*(W2155/100)*Weights!$B$4)</f>
        <v/>
      </c>
      <c r="AA2155">
        <f>IF(Z2155= ,,RANK.EQ({pri_col_letter}{r},{pri_range},0))</f>
        <v/>
      </c>
    </row>
    <row r="2156">
      <c r="A2156" t="inlineStr">
        <is>
          <t>a2b Fulfillment</t>
        </is>
      </c>
      <c r="B2156" t="n">
        <v>2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Tier 4</t>
        </is>
      </c>
      <c r="O2156" t="inlineStr">
        <is>
          <t>Ayal Latz — President; Brian McGarry — VP of Sales</t>
        </is>
      </c>
      <c r="P2156" t="inlineStr">
        <is>
          <t>President | VP of Sales</t>
        </is>
      </c>
      <c r="Y2156" t="inlineStr">
        <is>
          <t>todo</t>
        </is>
      </c>
      <c r="Z2156">
        <f>(M2156*Weights!$B$2) + (MIN(Q2156,Weights!$B$5)*Weights!$B$3*(W2156/100)*Weights!$B$4)</f>
        <v/>
      </c>
      <c r="AA2156">
        <f>IF(Z2156= ,,RANK.EQ({pri_col_letter}{r},{pri_range},0))</f>
        <v/>
      </c>
    </row>
    <row r="2157">
      <c r="A2157" t="inlineStr">
        <is>
          <t>driverDOC</t>
        </is>
      </c>
      <c r="B2157" t="n">
        <v>2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Tier 4</t>
        </is>
      </c>
      <c r="O2157" t="inlineStr">
        <is>
          <t>Josh Kolar — CEO &amp; Founder; Jerry Mensinger — VP of Sales</t>
        </is>
      </c>
      <c r="P2157" t="inlineStr">
        <is>
          <t>CEO &amp; Founder | VP of Sales</t>
        </is>
      </c>
      <c r="Y2157" t="inlineStr">
        <is>
          <t>todo</t>
        </is>
      </c>
      <c r="Z2157">
        <f>(M2157*Weights!$B$2) + (MIN(Q2157,Weights!$B$5)*Weights!$B$3*(W2157/100)*Weights!$B$4)</f>
        <v/>
      </c>
      <c r="AA2157">
        <f>IF(Z2157= ,,RANK.EQ({pri_col_letter}{r},{pri_range},0))</f>
        <v/>
      </c>
    </row>
    <row r="2158">
      <c r="A2158" t="inlineStr">
        <is>
          <t>vaibe</t>
        </is>
      </c>
      <c r="B2158" t="n">
        <v>2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Tier 4</t>
        </is>
      </c>
      <c r="O2158" t="inlineStr">
        <is>
          <t>Tiago Sottomayor — Chief Technology Officer; Daniela Costa Sepúlveda — Marketing Manager</t>
        </is>
      </c>
      <c r="P2158" t="inlineStr">
        <is>
          <t>Chief Technology Officer | Marketing Manager</t>
        </is>
      </c>
      <c r="Y2158" t="inlineStr">
        <is>
          <t>todo</t>
        </is>
      </c>
      <c r="Z2158">
        <f>(M2158*Weights!$B$2) + (MIN(Q2158,Weights!$B$5)*Weights!$B$3*(W2158/100)*Weights!$B$4)</f>
        <v/>
      </c>
      <c r="AA2158">
        <f>IF(Z2158= ,,RANK.EQ({pri_col_letter}{r},{pri_range},0))</f>
        <v/>
      </c>
    </row>
    <row r="2159">
      <c r="A2159" t="inlineStr">
        <is>
          <t>Ajinomoto Foods North America, Inc.</t>
        </is>
      </c>
      <c r="B2159" t="n">
        <v>5</v>
      </c>
      <c r="C2159" t="n">
        <v>2</v>
      </c>
      <c r="D2159" t="n">
        <v>5</v>
      </c>
      <c r="E2159" t="n">
        <v>0</v>
      </c>
      <c r="F2159" t="n">
        <v>0</v>
      </c>
      <c r="G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55</v>
      </c>
      <c r="N2159" t="inlineStr">
        <is>
          <t>Tier 3</t>
        </is>
      </c>
      <c r="O2159" t="inlineStr">
        <is>
          <t>Frank Mainolfi — SVP of Logistics; Gema Verdin — Vice President of Supply Chain Management; Eric Nadera — Senior Warehouse and Distribution Manager; Horacia Martin — Manager of Distribution Center Warehouse and Operations; Vincent Kho — Logistics Manager</t>
        </is>
      </c>
      <c r="P2159" t="inlineStr">
        <is>
          <t>SVP of Logistics | Vice President of Supply Chain Management | Senior Warehouse and Distribution Manager</t>
        </is>
      </c>
      <c r="Y2159" t="inlineStr">
        <is>
          <t>todo</t>
        </is>
      </c>
      <c r="Z2159">
        <f>(M2159*Weights!$B$2) + (MIN(Q2159,Weights!$B$5)*Weights!$B$3*(W2159/100)*Weights!$B$4)</f>
        <v/>
      </c>
      <c r="AA2159">
        <f>IF(Z2159= ,,RANK.EQ({pri_col_letter}{r},{pri_range},0))</f>
        <v/>
      </c>
    </row>
    <row r="2160">
      <c r="A2160" t="inlineStr">
        <is>
          <t>CHS, Inc.</t>
        </is>
      </c>
      <c r="B2160" t="n">
        <v>4</v>
      </c>
      <c r="C2160" t="n">
        <v>2</v>
      </c>
      <c r="D2160" t="n">
        <v>4</v>
      </c>
      <c r="E2160" t="n">
        <v>1</v>
      </c>
      <c r="F2160" t="n">
        <v>0</v>
      </c>
      <c r="G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52</v>
      </c>
      <c r="N2160" t="inlineStr">
        <is>
          <t>Tier 3</t>
        </is>
      </c>
      <c r="O2160" t="inlineStr">
        <is>
          <t>Justin Cauley — VP, Transportation; Justin Potes — VP, Fleet; Nadia Targosz — Director of Transportation Sourcing; Curt Reynolds — Director of Transportation</t>
        </is>
      </c>
      <c r="P2160" t="inlineStr">
        <is>
          <t>VP, Transportation | VP, Fleet | Director of Transportation Sourcing</t>
        </is>
      </c>
      <c r="Y2160" t="inlineStr">
        <is>
          <t>todo</t>
        </is>
      </c>
      <c r="Z2160">
        <f>(M2160*Weights!$B$2) + (MIN(Q2160,Weights!$B$5)*Weights!$B$3*(W2160/100)*Weights!$B$4)</f>
        <v/>
      </c>
      <c r="AA2160">
        <f>IF(Z2160= ,,RANK.EQ({pri_col_letter}{r},{pri_range},0))</f>
        <v/>
      </c>
    </row>
    <row r="2161">
      <c r="A2161" t="inlineStr">
        <is>
          <t>APL Logistics</t>
        </is>
      </c>
      <c r="B2161" t="n">
        <v>11</v>
      </c>
      <c r="C2161" t="n">
        <v>1</v>
      </c>
      <c r="D2161" t="n">
        <v>1</v>
      </c>
      <c r="E2161" t="n">
        <v>0</v>
      </c>
      <c r="F2161" t="n">
        <v>6</v>
      </c>
      <c r="G2161" t="n">
        <v>0</v>
      </c>
      <c r="H2161" t="n">
        <v>1458000000</v>
      </c>
      <c r="I2161" t="n">
        <v>6</v>
      </c>
      <c r="J2161" t="n">
        <v>0.09090909090909091</v>
      </c>
      <c r="K2161" t="n">
        <v>12</v>
      </c>
      <c r="L2161" t="n">
        <v>25</v>
      </c>
      <c r="M2161" t="n">
        <v>51</v>
      </c>
      <c r="N2161" t="inlineStr">
        <is>
          <t>Tier 3</t>
        </is>
      </c>
      <c r="O2161" t="inlineStr">
        <is>
          <t>Joe Laro — Head of Sales Operations, Americas; Hakan Yaren — CIO; Phillip Dearth — VP, Americas; Carmine Santo — Chief of Staff, President Office &amp; Administration; David Bresnahan — Director of Domestic Business Solutions and Continuous Improvement</t>
        </is>
      </c>
      <c r="P2161" t="inlineStr">
        <is>
          <t>Chief of Staff, President Office &amp; Administration | CIO | VP, Americas</t>
        </is>
      </c>
      <c r="Y2161" t="inlineStr">
        <is>
          <t>todo</t>
        </is>
      </c>
      <c r="Z2161">
        <f>(M2161*Weights!$B$2) + (MIN(Q2161,Weights!$B$5)*Weights!$B$3*(W2161/100)*Weights!$B$4)</f>
        <v/>
      </c>
      <c r="AA2161">
        <f>IF(Z2161= ,,RANK.EQ({pri_col_letter}{r},{pri_range},0))</f>
        <v/>
      </c>
    </row>
    <row r="2162">
      <c r="A2162" t="inlineStr">
        <is>
          <t>BarkBox</t>
        </is>
      </c>
      <c r="B2162" t="n">
        <v>4</v>
      </c>
      <c r="C2162" t="n">
        <v>2</v>
      </c>
      <c r="D2162" t="n">
        <v>4</v>
      </c>
      <c r="E2162" t="n">
        <v>0</v>
      </c>
      <c r="F2162" t="n">
        <v>0</v>
      </c>
      <c r="G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50</v>
      </c>
      <c r="N2162" t="inlineStr">
        <is>
          <t>Tier 3</t>
        </is>
      </c>
      <c r="O2162" t="inlineStr">
        <is>
          <t>James OLeary — Chief Supply Chain Officer; Jeremia Venter — Vice President of Supply Chain; John Walles — Director of Logistics; Mark Diaz — Sr. International Logistics Manager</t>
        </is>
      </c>
      <c r="P2162" t="inlineStr">
        <is>
          <t>Chief Supply Chain Officer | Vice President of Supply Chain | Director of Logistics</t>
        </is>
      </c>
      <c r="Y2162" t="inlineStr">
        <is>
          <t>todo</t>
        </is>
      </c>
      <c r="Z2162">
        <f>(M2162*Weights!$B$2) + (MIN(Q2162,Weights!$B$5)*Weights!$B$3*(W2162/100)*Weights!$B$4)</f>
        <v/>
      </c>
      <c r="AA2162">
        <f>IF(Z2162= ,,RANK.EQ({pri_col_letter}{r},{pri_range},0))</f>
        <v/>
      </c>
    </row>
    <row r="2163">
      <c r="A2163" t="inlineStr">
        <is>
          <t>Logitech</t>
        </is>
      </c>
      <c r="B2163" t="n">
        <v>4</v>
      </c>
      <c r="C2163" t="n">
        <v>2</v>
      </c>
      <c r="D2163" t="n">
        <v>4</v>
      </c>
      <c r="E2163" t="n">
        <v>0</v>
      </c>
      <c r="F2163" t="n">
        <v>0</v>
      </c>
      <c r="G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50</v>
      </c>
      <c r="N2163" t="inlineStr">
        <is>
          <t>Tier 3</t>
        </is>
      </c>
      <c r="O2163" t="inlineStr">
        <is>
          <t>Sacni Leon — Head of DTX Ops, Reverse Logistics &amp; Circularity Operations; Brad Blackman — Head of AMR Logistics; Bruno Almeida — Sr. Manager AMR Logistics; Nore Balbiani — AMR Logistics Manager</t>
        </is>
      </c>
      <c r="P2163" t="inlineStr">
        <is>
          <t>Head of AMR Logistics | Head of DTX Ops, Reverse Logistics &amp; Circularity Operations | Sr. Manager AMR Logistics</t>
        </is>
      </c>
      <c r="Y2163" t="inlineStr">
        <is>
          <t>todo</t>
        </is>
      </c>
      <c r="Z2163">
        <f>(M2163*Weights!$B$2) + (MIN(Q2163,Weights!$B$5)*Weights!$B$3*(W2163/100)*Weights!$B$4)</f>
        <v/>
      </c>
      <c r="AA2163">
        <f>IF(Z2163= ,,RANK.EQ({pri_col_letter}{r},{pri_range},0))</f>
        <v/>
      </c>
    </row>
    <row r="2164">
      <c r="A2164" t="inlineStr">
        <is>
          <t>Stitch Fix</t>
        </is>
      </c>
      <c r="B2164" t="n">
        <v>4</v>
      </c>
      <c r="C2164" t="n">
        <v>2</v>
      </c>
      <c r="D2164" t="n">
        <v>4</v>
      </c>
      <c r="E2164" t="n">
        <v>0</v>
      </c>
      <c r="F2164" t="n">
        <v>0</v>
      </c>
      <c r="G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50</v>
      </c>
      <c r="N2164" t="inlineStr">
        <is>
          <t>Tier 3</t>
        </is>
      </c>
      <c r="O2164" t="inlineStr">
        <is>
          <t>Carrie Benson — Head of Transportation; Kim Cioto — VP of Operations; David Sisto — Sr. Director of Operations Strategy &amp; Planning; Molly Hammond — Operations Systems Enablement Lead</t>
        </is>
      </c>
      <c r="P2164" t="inlineStr">
        <is>
          <t>Head of Transportation | VP of Operations | Sr. Director of Operations Strategy &amp; Planning</t>
        </is>
      </c>
      <c r="Y2164" t="inlineStr">
        <is>
          <t>todo</t>
        </is>
      </c>
      <c r="Z2164">
        <f>(M2164*Weights!$B$2) + (MIN(Q2164,Weights!$B$5)*Weights!$B$3*(W2164/100)*Weights!$B$4)</f>
        <v/>
      </c>
      <c r="AA2164">
        <f>IF(Z2164= ,,RANK.EQ({pri_col_letter}{r},{pri_range},0))</f>
        <v/>
      </c>
    </row>
    <row r="2165">
      <c r="A2165" t="inlineStr">
        <is>
          <t>AEO</t>
        </is>
      </c>
      <c r="B2165" t="n">
        <v>6</v>
      </c>
      <c r="C2165" t="n">
        <v>2</v>
      </c>
      <c r="D2165" t="n">
        <v>3</v>
      </c>
      <c r="E2165" t="n">
        <v>0</v>
      </c>
      <c r="F2165" t="n">
        <v>0</v>
      </c>
      <c r="G2165" t="n">
        <v>0</v>
      </c>
      <c r="I2165" t="n">
        <v>0</v>
      </c>
      <c r="J2165" t="n">
        <v>0.5</v>
      </c>
      <c r="K2165" t="n">
        <v>0</v>
      </c>
      <c r="L2165" t="n">
        <v>0</v>
      </c>
      <c r="M2165" t="n">
        <v>48</v>
      </c>
      <c r="N2165" t="inlineStr">
        <is>
          <t>Tier 3</t>
        </is>
      </c>
      <c r="O2165" t="inlineStr">
        <is>
          <t>Jen Baiker — Vice President - Transportation And Customer Promise; Brandon Friez — Senior Vice President - Global Logistics And Supply Chain Intelligence; Lyndsay Molinaro — Director - Supply Chain Strategy; Rajat Jain — Chief Technology Officer; Jeffrey Mitch — Director - Financial Planning And Analysis</t>
        </is>
      </c>
      <c r="P2165" t="inlineStr">
        <is>
          <t>Vice President - Transportation And Customer Promise | Senior Vice President - Global Logistics And Supply Chain Intelligence | Chief Technology Officer</t>
        </is>
      </c>
      <c r="Y2165" t="inlineStr">
        <is>
          <t>todo</t>
        </is>
      </c>
      <c r="Z2165">
        <f>(M2165*Weights!$B$2) + (MIN(Q2165,Weights!$B$5)*Weights!$B$3*(W2165/100)*Weights!$B$4)</f>
        <v/>
      </c>
      <c r="AA2165">
        <f>IF(Z2165= ,,RANK.EQ({pri_col_letter}{r},{pri_range},0))</f>
        <v/>
      </c>
    </row>
    <row r="2166">
      <c r="A2166" t="inlineStr">
        <is>
          <t>Johnson &amp; Johnson</t>
        </is>
      </c>
      <c r="B2166" t="n">
        <v>4</v>
      </c>
      <c r="C2166" t="n">
        <v>2</v>
      </c>
      <c r="D2166" t="n">
        <v>3</v>
      </c>
      <c r="E2166" t="n">
        <v>0</v>
      </c>
      <c r="F2166" t="n">
        <v>0</v>
      </c>
      <c r="G2166" t="n">
        <v>0</v>
      </c>
      <c r="I2166" t="n">
        <v>0</v>
      </c>
      <c r="J2166" t="n">
        <v>0.75</v>
      </c>
      <c r="K2166" t="n">
        <v>0</v>
      </c>
      <c r="L2166" t="n">
        <v>0</v>
      </c>
      <c r="M2166" t="n">
        <v>46</v>
      </c>
      <c r="N2166" t="inlineStr">
        <is>
          <t>Tier 3</t>
        </is>
      </c>
      <c r="O2166" t="inlineStr">
        <is>
          <t>Bineetha Balakrishnan — VP, Global Transportation &amp; Trade Operations; Gerardo Vargas Montes — VP, Supply Chain Deliver; Gabby Graninger — Transportation Business Process &amp; Technology Leader; Rhonda Fendelet — VP Global Deliver</t>
        </is>
      </c>
      <c r="P2166" t="inlineStr">
        <is>
          <t>VP, Global Transportation &amp; Trade Operations | VP, Supply Chain Deliver | Transportation Business Process &amp; Technology Leader</t>
        </is>
      </c>
      <c r="Y2166" t="inlineStr">
        <is>
          <t>todo</t>
        </is>
      </c>
      <c r="Z2166">
        <f>(M2166*Weights!$B$2) + (MIN(Q2166,Weights!$B$5)*Weights!$B$3*(W2166/100)*Weights!$B$4)</f>
        <v/>
      </c>
      <c r="AA2166">
        <f>IF(Z2166= ,,RANK.EQ({pri_col_letter}{r},{pri_range},0))</f>
        <v/>
      </c>
    </row>
    <row r="2167">
      <c r="A2167" t="inlineStr">
        <is>
          <t>Kenco</t>
        </is>
      </c>
      <c r="B2167" t="n">
        <v>4</v>
      </c>
      <c r="C2167" t="n">
        <v>2</v>
      </c>
      <c r="D2167" t="n">
        <v>3</v>
      </c>
      <c r="E2167" t="n">
        <v>0</v>
      </c>
      <c r="F2167" t="n">
        <v>0</v>
      </c>
      <c r="G2167" t="n">
        <v>0</v>
      </c>
      <c r="I2167" t="n">
        <v>0</v>
      </c>
      <c r="J2167" t="n">
        <v>0.75</v>
      </c>
      <c r="K2167" t="n">
        <v>0</v>
      </c>
      <c r="L2167" t="n">
        <v>0</v>
      </c>
      <c r="M2167" t="n">
        <v>46</v>
      </c>
      <c r="N2167" t="inlineStr">
        <is>
          <t>Tier 3</t>
        </is>
      </c>
      <c r="O2167" t="inlineStr">
        <is>
          <t>Brad Young — Vice President, Transportation Management; Jason Minghini — Senior Vice President Supply Chain Solutions; Todd Bucher — Senior Director, Transportation Technologies; Aaron Parsons — Director - Parcel Solutions</t>
        </is>
      </c>
      <c r="P2167" t="inlineStr">
        <is>
          <t>Vice President, Transportation Management | Senior Vice President Supply Chain Solutions | Senior Director, Transportation Technologies</t>
        </is>
      </c>
      <c r="Y2167" t="inlineStr">
        <is>
          <t>todo</t>
        </is>
      </c>
      <c r="Z2167">
        <f>(M2167*Weights!$B$2) + (MIN(Q2167,Weights!$B$5)*Weights!$B$3*(W2167/100)*Weights!$B$4)</f>
        <v/>
      </c>
      <c r="AA2167">
        <f>IF(Z2167= ,,RANK.EQ({pri_col_letter}{r},{pri_range},0))</f>
        <v/>
      </c>
    </row>
    <row r="2168">
      <c r="A2168" t="inlineStr">
        <is>
          <t>Caraway</t>
        </is>
      </c>
      <c r="B2168" t="n">
        <v>6</v>
      </c>
      <c r="C2168" t="n">
        <v>1</v>
      </c>
      <c r="D2168" t="n">
        <v>6</v>
      </c>
      <c r="E2168" t="n">
        <v>0</v>
      </c>
      <c r="F2168" t="n">
        <v>0</v>
      </c>
      <c r="G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45</v>
      </c>
      <c r="N2168" t="inlineStr">
        <is>
          <t>Tier 3</t>
        </is>
      </c>
      <c r="O2168" t="inlineStr">
        <is>
          <t>Mark Riskowitz — VP, Operations; Katya Lotzof — Associate Director, Logistics &amp; Fulfillment Ops; Brian Feld — Logistics &amp; Distribution Manager; Megan Goldman — Ecommerce Operations Manager; Tim Schreiner — Wholesale Operations Manager</t>
        </is>
      </c>
      <c r="P2168" t="inlineStr">
        <is>
          <t>VP, Operations | Associate Director, Logistics &amp; Fulfillment Ops | Logistics &amp; Distribution Manager</t>
        </is>
      </c>
      <c r="Y2168" t="inlineStr">
        <is>
          <t>todo</t>
        </is>
      </c>
      <c r="Z2168">
        <f>(M2168*Weights!$B$2) + (MIN(Q2168,Weights!$B$5)*Weights!$B$3*(W2168/100)*Weights!$B$4)</f>
        <v/>
      </c>
      <c r="AA2168">
        <f>IF(Z2168= ,,RANK.EQ({pri_col_letter}{r},{pri_range},0))</f>
        <v/>
      </c>
    </row>
    <row r="2169">
      <c r="A2169" t="inlineStr">
        <is>
          <t>Aterian</t>
        </is>
      </c>
      <c r="B2169" t="n">
        <v>3</v>
      </c>
      <c r="C2169" t="n">
        <v>2</v>
      </c>
      <c r="D2169" t="n">
        <v>3</v>
      </c>
      <c r="E2169" t="n">
        <v>0</v>
      </c>
      <c r="F2169" t="n">
        <v>0</v>
      </c>
      <c r="G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45</v>
      </c>
      <c r="N2169" t="inlineStr">
        <is>
          <t>Tier 3</t>
        </is>
      </c>
      <c r="O2169" t="inlineStr">
        <is>
          <t>Kevin Nohl — SVP- Global Supply Chain; Jacob Modrzynski — Head of Supply Chain; Chase Carlson — Director of Operations</t>
        </is>
      </c>
      <c r="P2169" t="inlineStr">
        <is>
          <t>SVP- Global Supply Chain | Head of Supply Chain | Director of Operations</t>
        </is>
      </c>
      <c r="Y2169" t="inlineStr">
        <is>
          <t>todo</t>
        </is>
      </c>
      <c r="Z2169">
        <f>(M2169*Weights!$B$2) + (MIN(Q2169,Weights!$B$5)*Weights!$B$3*(W2169/100)*Weights!$B$4)</f>
        <v/>
      </c>
      <c r="AA2169">
        <f>IF(Z2169= ,,RANK.EQ({pri_col_letter}{r},{pri_range},0))</f>
        <v/>
      </c>
    </row>
    <row r="2170">
      <c r="A2170" t="inlineStr">
        <is>
          <t>Globe Electric</t>
        </is>
      </c>
      <c r="B2170" t="n">
        <v>3</v>
      </c>
      <c r="C2170" t="n">
        <v>2</v>
      </c>
      <c r="D2170" t="n">
        <v>3</v>
      </c>
      <c r="E2170" t="n">
        <v>0</v>
      </c>
      <c r="F2170" t="n">
        <v>0</v>
      </c>
      <c r="G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45</v>
      </c>
      <c r="N2170" t="inlineStr">
        <is>
          <t>Tier 3</t>
        </is>
      </c>
      <c r="O2170" t="inlineStr">
        <is>
          <t>Jason Starr — VP Operations; Kristina Enbom — EVP, Operations; Shannon Mccarty — Logistics Manager</t>
        </is>
      </c>
      <c r="P2170" t="inlineStr">
        <is>
          <t>VP Operations | EVP, Operations | Logistics Manager</t>
        </is>
      </c>
      <c r="Y2170" t="inlineStr">
        <is>
          <t>todo</t>
        </is>
      </c>
      <c r="Z2170">
        <f>(M2170*Weights!$B$2) + (MIN(Q2170,Weights!$B$5)*Weights!$B$3*(W2170/100)*Weights!$B$4)</f>
        <v/>
      </c>
      <c r="AA2170">
        <f>IF(Z2170= ,,RANK.EQ({pri_col_letter}{r},{pri_range},0))</f>
        <v/>
      </c>
    </row>
    <row r="2171">
      <c r="A2171" t="inlineStr">
        <is>
          <t>Grocery Outlet</t>
        </is>
      </c>
      <c r="B2171" t="n">
        <v>3</v>
      </c>
      <c r="C2171" t="n">
        <v>2</v>
      </c>
      <c r="D2171" t="n">
        <v>3</v>
      </c>
      <c r="E2171" t="n">
        <v>0</v>
      </c>
      <c r="F2171" t="n">
        <v>0</v>
      </c>
      <c r="G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45</v>
      </c>
      <c r="N2171" t="inlineStr">
        <is>
          <t>Tier 3</t>
        </is>
      </c>
      <c r="O2171" t="inlineStr">
        <is>
          <t>Brian Schwartz — VP of Distribution; Melinda McClure — VP of Network Strategy and Engineering; Scott Fremont — Cheif Supply Chain Officer</t>
        </is>
      </c>
      <c r="P2171" t="inlineStr">
        <is>
          <t>VP of Distribution | VP of Network Strategy and Engineering | Cheif Supply Chain Officer</t>
        </is>
      </c>
      <c r="Y2171" t="inlineStr">
        <is>
          <t>todo</t>
        </is>
      </c>
      <c r="Z2171">
        <f>(M2171*Weights!$B$2) + (MIN(Q2171,Weights!$B$5)*Weights!$B$3*(W2171/100)*Weights!$B$4)</f>
        <v/>
      </c>
      <c r="AA2171">
        <f>IF(Z2171= ,,RANK.EQ({pri_col_letter}{r},{pri_range},0))</f>
        <v/>
      </c>
    </row>
    <row r="2172">
      <c r="A2172" t="inlineStr">
        <is>
          <t>Microsoft</t>
        </is>
      </c>
      <c r="B2172" t="n">
        <v>3</v>
      </c>
      <c r="C2172" t="n">
        <v>2</v>
      </c>
      <c r="D2172" t="n">
        <v>3</v>
      </c>
      <c r="E2172" t="n">
        <v>0</v>
      </c>
      <c r="F2172" t="n">
        <v>0</v>
      </c>
      <c r="G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45</v>
      </c>
      <c r="N2172" t="inlineStr">
        <is>
          <t>Tier 3</t>
        </is>
      </c>
      <c r="O2172" t="inlineStr">
        <is>
          <t>Jeff Davidson — General Manager, Global Devices Customer Supply Chain; Marco Eipper — Global Head of Network Optimization; Rochisshil Varma — Supply Chain Manager</t>
        </is>
      </c>
      <c r="P2172" t="inlineStr">
        <is>
          <t>Global Head of Network Optimization | General Manager, Global Devices Customer Supply Chain | Supply Chain Manager</t>
        </is>
      </c>
      <c r="Y2172" t="inlineStr">
        <is>
          <t>todo</t>
        </is>
      </c>
      <c r="Z2172">
        <f>(M2172*Weights!$B$2) + (MIN(Q2172,Weights!$B$5)*Weights!$B$3*(W2172/100)*Weights!$B$4)</f>
        <v/>
      </c>
      <c r="AA2172">
        <f>IF(Z2172= ,,RANK.EQ({pri_col_letter}{r},{pri_range},0))</f>
        <v/>
      </c>
    </row>
    <row r="2173">
      <c r="A2173" t="inlineStr">
        <is>
          <t>Nutrabolt</t>
        </is>
      </c>
      <c r="B2173" t="n">
        <v>3</v>
      </c>
      <c r="C2173" t="n">
        <v>2</v>
      </c>
      <c r="D2173" t="n">
        <v>3</v>
      </c>
      <c r="E2173" t="n">
        <v>0</v>
      </c>
      <c r="F2173" t="n">
        <v>0</v>
      </c>
      <c r="G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45</v>
      </c>
      <c r="N2173" t="inlineStr">
        <is>
          <t>Tier 3</t>
        </is>
      </c>
      <c r="O2173" t="inlineStr">
        <is>
          <t>Derek Geiss — Chief Supply Chain Officer; Thomas Mallory — SVP Global Logistics; Jon Pruitt — Operations Director</t>
        </is>
      </c>
      <c r="P2173" t="inlineStr">
        <is>
          <t>SVP Global Logistics | Chief Supply Chain Officer | Operations Director</t>
        </is>
      </c>
      <c r="Y2173" t="inlineStr">
        <is>
          <t>todo</t>
        </is>
      </c>
      <c r="Z2173">
        <f>(M2173*Weights!$B$2) + (MIN(Q2173,Weights!$B$5)*Weights!$B$3*(W2173/100)*Weights!$B$4)</f>
        <v/>
      </c>
      <c r="AA2173">
        <f>IF(Z2173= ,,RANK.EQ({pri_col_letter}{r},{pri_range},0))</f>
        <v/>
      </c>
    </row>
    <row r="2174">
      <c r="A2174" t="inlineStr">
        <is>
          <t>Zazzle</t>
        </is>
      </c>
      <c r="B2174" t="n">
        <v>3</v>
      </c>
      <c r="C2174" t="n">
        <v>2</v>
      </c>
      <c r="D2174" t="n">
        <v>3</v>
      </c>
      <c r="E2174" t="n">
        <v>0</v>
      </c>
      <c r="F2174" t="n">
        <v>0</v>
      </c>
      <c r="G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45</v>
      </c>
      <c r="N2174" t="inlineStr">
        <is>
          <t>Tier 3</t>
        </is>
      </c>
      <c r="O2174" t="inlineStr">
        <is>
          <t>Jon Agnich — VP Systems and Logistics; Charles Ohiaeri — Chief Fulfillment Officer; Sharon Tinker — Logistics Strategist</t>
        </is>
      </c>
      <c r="P2174" t="inlineStr">
        <is>
          <t>VP Systems and Logistics | Chief Fulfillment Officer | Logistics Strategist</t>
        </is>
      </c>
      <c r="Y2174" t="inlineStr">
        <is>
          <t>todo</t>
        </is>
      </c>
      <c r="Z2174">
        <f>(M2174*Weights!$B$2) + (MIN(Q2174,Weights!$B$5)*Weights!$B$3*(W2174/100)*Weights!$B$4)</f>
        <v/>
      </c>
      <c r="AA2174">
        <f>IF(Z2174= ,,RANK.EQ({pri_col_letter}{r},{pri_range},0))</f>
        <v/>
      </c>
    </row>
    <row r="2175">
      <c r="A2175" t="inlineStr">
        <is>
          <t>The Coca-Cola Company</t>
        </is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I2175" t="n">
        <v>0</v>
      </c>
      <c r="J2175" t="n">
        <v>1</v>
      </c>
      <c r="K2175" t="n">
        <v>0</v>
      </c>
      <c r="L2175" t="n">
        <v>25</v>
      </c>
      <c r="M2175" t="n">
        <v>45</v>
      </c>
      <c r="N2175" t="inlineStr">
        <is>
          <t>Tier 3</t>
        </is>
      </c>
      <c r="O2175" t="inlineStr">
        <is>
          <t>Nish Embry — Head of SCPMCOE Innovation &amp; Supply Chain</t>
        </is>
      </c>
      <c r="P2175" t="inlineStr">
        <is>
          <t>Head of SCPMCOE Innovation &amp; Supply Chain</t>
        </is>
      </c>
      <c r="Y2175" t="inlineStr">
        <is>
          <t>todo</t>
        </is>
      </c>
      <c r="Z2175">
        <f>(M2175*Weights!$B$2) + (MIN(Q2175,Weights!$B$5)*Weights!$B$3*(W2175/100)*Weights!$B$4)</f>
        <v/>
      </c>
      <c r="AA2175">
        <f>IF(Z2175= ,,RANK.EQ({pri_col_letter}{r},{pri_range},0))</f>
        <v/>
      </c>
    </row>
    <row r="2176">
      <c r="A2176" t="inlineStr">
        <is>
          <t>CBRE</t>
        </is>
      </c>
      <c r="B2176" t="n">
        <v>9</v>
      </c>
      <c r="C2176" t="n">
        <v>1</v>
      </c>
      <c r="D2176" t="n">
        <v>6</v>
      </c>
      <c r="E2176" t="n">
        <v>0</v>
      </c>
      <c r="F2176" t="n">
        <v>2</v>
      </c>
      <c r="G2176" t="n">
        <v>1</v>
      </c>
      <c r="I2176" t="n">
        <v>3</v>
      </c>
      <c r="J2176" t="n">
        <v>0.6666666666666666</v>
      </c>
      <c r="K2176" t="n">
        <v>0</v>
      </c>
      <c r="L2176" t="n">
        <v>0</v>
      </c>
      <c r="M2176" t="n">
        <v>44</v>
      </c>
      <c r="N2176" t="inlineStr">
        <is>
          <t>Tier 3</t>
        </is>
      </c>
      <c r="O2176" t="inlineStr">
        <is>
          <t>Jeff Vertun — SVP Global Supply Chain Collective; John Kirkman — Senior Managing Director, Supply Chain; Tyler Heard — Supply Chain Network Modeler; Evan Clark — Global Supply Chain Collective; Matt Von der Ahe — Senior Vice President</t>
        </is>
      </c>
      <c r="P2176" t="inlineStr">
        <is>
          <t>SVP Global Supply Chain Collective | Global Supply Chain Collective | Senior Managing Director, Supply Chain</t>
        </is>
      </c>
      <c r="Y2176" t="inlineStr">
        <is>
          <t>todo</t>
        </is>
      </c>
      <c r="Z2176">
        <f>(M2176*Weights!$B$2) + (MIN(Q2176,Weights!$B$5)*Weights!$B$3*(W2176/100)*Weights!$B$4)</f>
        <v/>
      </c>
      <c r="AA2176">
        <f>IF(Z2176= ,,RANK.EQ({pri_col_letter}{r},{pri_range},0))</f>
        <v/>
      </c>
    </row>
    <row r="2177">
      <c r="A2177" t="inlineStr">
        <is>
          <t>Arizona Public Service</t>
        </is>
      </c>
      <c r="B2177" t="n">
        <v>9</v>
      </c>
      <c r="C2177" t="n">
        <v>0</v>
      </c>
      <c r="D2177" t="n">
        <v>8</v>
      </c>
      <c r="E2177" t="n">
        <v>1</v>
      </c>
      <c r="F2177" t="n">
        <v>0</v>
      </c>
      <c r="G2177" t="n">
        <v>0</v>
      </c>
      <c r="I2177" t="n">
        <v>0</v>
      </c>
      <c r="J2177" t="n">
        <v>0.8888888888888888</v>
      </c>
      <c r="K2177" t="n">
        <v>0</v>
      </c>
      <c r="L2177" t="n">
        <v>0</v>
      </c>
      <c r="M2177" t="n">
        <v>43</v>
      </c>
      <c r="N2177" t="inlineStr">
        <is>
          <t>Tier 3</t>
        </is>
      </c>
      <c r="O2177" t="inlineStr">
        <is>
          <t>Christopher Contreras — Warehouse Supervisor; Greg Lujan — Warehouse Supervisor; Joseph Neuheisel — Warehouse Supervisor; Kurk Woolery — Warehouse Leader; Nicholas Pompa — Warehouse Supervisor</t>
        </is>
      </c>
      <c r="P2177" t="inlineStr">
        <is>
          <t>Warehouse Supervisor | Warehouse Leader | Warehouse Manager</t>
        </is>
      </c>
      <c r="Y2177" t="inlineStr">
        <is>
          <t>todo</t>
        </is>
      </c>
      <c r="Z2177">
        <f>(M2177*Weights!$B$2) + (MIN(Q2177,Weights!$B$5)*Weights!$B$3*(W2177/100)*Weights!$B$4)</f>
        <v/>
      </c>
      <c r="AA2177">
        <f>IF(Z2177= ,,RANK.EQ({pri_col_letter}{r},{pri_range},0))</f>
        <v/>
      </c>
    </row>
    <row r="2178">
      <c r="A2178" t="inlineStr">
        <is>
          <t>Google</t>
        </is>
      </c>
      <c r="B2178" t="n">
        <v>8</v>
      </c>
      <c r="C2178" t="n">
        <v>1</v>
      </c>
      <c r="D2178" t="n">
        <v>5</v>
      </c>
      <c r="E2178" t="n">
        <v>0</v>
      </c>
      <c r="F2178" t="n">
        <v>0</v>
      </c>
      <c r="G2178" t="n">
        <v>0</v>
      </c>
      <c r="I2178" t="n">
        <v>0</v>
      </c>
      <c r="J2178" t="n">
        <v>0.625</v>
      </c>
      <c r="K2178" t="n">
        <v>0</v>
      </c>
      <c r="L2178" t="n">
        <v>0</v>
      </c>
      <c r="M2178" t="n">
        <v>43</v>
      </c>
      <c r="N2178" t="inlineStr">
        <is>
          <t>Tier 3</t>
        </is>
      </c>
      <c r="O2178" t="inlineStr">
        <is>
          <t>Yip Chan — Head of Transportation Systems Solutions; Paula Natoli — Director, Global Strategic Industries, Supply Chain &amp; Logistics; Kevin Sproule — Director of Business Operations; Melissa Cava — Director of Fulfillment; Omar Molina — Director of Transportation</t>
        </is>
      </c>
      <c r="P2178" t="inlineStr">
        <is>
          <t>Head of Transportation Systems Solutions | Head of Inventory Management | Director of Business Operations</t>
        </is>
      </c>
      <c r="Y2178" t="inlineStr">
        <is>
          <t>todo</t>
        </is>
      </c>
      <c r="Z2178">
        <f>(M2178*Weights!$B$2) + (MIN(Q2178,Weights!$B$5)*Weights!$B$3*(W2178/100)*Weights!$B$4)</f>
        <v/>
      </c>
      <c r="AA2178">
        <f>IF(Z2178= ,,RANK.EQ({pri_col_letter}{r},{pri_range},0))</f>
        <v/>
      </c>
    </row>
    <row r="2179">
      <c r="A2179" t="inlineStr">
        <is>
          <t>HD Supply</t>
        </is>
      </c>
      <c r="B2179" t="n">
        <v>3</v>
      </c>
      <c r="C2179" t="n">
        <v>2</v>
      </c>
      <c r="D2179" t="n">
        <v>2</v>
      </c>
      <c r="E2179" t="n">
        <v>1</v>
      </c>
      <c r="F2179" t="n">
        <v>0</v>
      </c>
      <c r="G2179" t="n">
        <v>0</v>
      </c>
      <c r="I2179" t="n">
        <v>0</v>
      </c>
      <c r="J2179" t="n">
        <v>0.6666666666666666</v>
      </c>
      <c r="K2179" t="n">
        <v>0</v>
      </c>
      <c r="L2179" t="n">
        <v>0</v>
      </c>
      <c r="M2179" t="n">
        <v>43</v>
      </c>
      <c r="N2179" t="inlineStr">
        <is>
          <t>Tier 3</t>
        </is>
      </c>
      <c r="O2179" t="inlineStr">
        <is>
          <t>Feridoun Amirjalayer — Vice President, Supply Chain; John Drake — Senior VP, Supply Chain; Brian Turner — Senior Manager Sourcing</t>
        </is>
      </c>
      <c r="P2179" t="inlineStr">
        <is>
          <t>Vice President, Supply Chain | Senior VP, Supply Chain | Senior Manager Sourcing</t>
        </is>
      </c>
      <c r="Y2179" t="inlineStr">
        <is>
          <t>todo</t>
        </is>
      </c>
      <c r="Z2179">
        <f>(M2179*Weights!$B$2) + (MIN(Q2179,Weights!$B$5)*Weights!$B$3*(W2179/100)*Weights!$B$4)</f>
        <v/>
      </c>
      <c r="AA2179">
        <f>IF(Z2179= ,,RANK.EQ({pri_col_letter}{r},{pri_range},0))</f>
        <v/>
      </c>
    </row>
    <row r="2180">
      <c r="A2180" t="inlineStr">
        <is>
          <t>Dairy Famers of America</t>
        </is>
      </c>
      <c r="B2180" t="n">
        <v>5</v>
      </c>
      <c r="C2180" t="n">
        <v>1</v>
      </c>
      <c r="D2180" t="n">
        <v>5</v>
      </c>
      <c r="E2180" t="n">
        <v>1</v>
      </c>
      <c r="F2180" t="n">
        <v>0</v>
      </c>
      <c r="G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42</v>
      </c>
      <c r="N2180" t="inlineStr">
        <is>
          <t>Tier 3</t>
        </is>
      </c>
      <c r="O2180" t="inlineStr">
        <is>
          <t>Brad Adams — Vice President of Logistics; Kyle Hutcheson — Strategic Sourcing, Warehouse and Logistics; Brian Blough — Director, Logistics Automation; Frank Vandy — Director, Logistics; Matt Hogan — St. Director Supply Chain</t>
        </is>
      </c>
      <c r="P2180" t="inlineStr">
        <is>
          <t>Vice President of Logistics | Strategic Sourcing, Warehouse and Logistics | Director, Logistics Automation</t>
        </is>
      </c>
      <c r="Y2180" t="inlineStr">
        <is>
          <t>todo</t>
        </is>
      </c>
      <c r="Z2180">
        <f>(M2180*Weights!$B$2) + (MIN(Q2180,Weights!$B$5)*Weights!$B$3*(W2180/100)*Weights!$B$4)</f>
        <v/>
      </c>
      <c r="AA2180">
        <f>IF(Z2180= ,,RANK.EQ({pri_col_letter}{r},{pri_range},0))</f>
        <v/>
      </c>
    </row>
    <row r="2181">
      <c r="A2181" t="inlineStr">
        <is>
          <t>Walmart</t>
        </is>
      </c>
      <c r="B2181" t="n">
        <v>5</v>
      </c>
      <c r="C2181" t="n">
        <v>0</v>
      </c>
      <c r="D2181" t="n">
        <v>3</v>
      </c>
      <c r="E2181" t="n">
        <v>0</v>
      </c>
      <c r="F2181" t="n">
        <v>0</v>
      </c>
      <c r="G2181" t="n">
        <v>0</v>
      </c>
      <c r="I2181" t="n">
        <v>0</v>
      </c>
      <c r="J2181" t="n">
        <v>0.6</v>
      </c>
      <c r="K2181" t="n">
        <v>0</v>
      </c>
      <c r="L2181" t="n">
        <v>25</v>
      </c>
      <c r="M2181" t="n">
        <v>42</v>
      </c>
      <c r="N2181" t="inlineStr">
        <is>
          <t>Tier 3</t>
        </is>
      </c>
      <c r="O2181" t="inlineStr">
        <is>
          <t>Arun Kannan — Senior Director, Transportation Planning; Juan Gomez — Senior Director – Transportation Optimization and Network Strategy; Sonia Salahuddin — Senior Director, Operations; Anil Nair — VP, Walmart eCommerce; Gagan Singh — Senior Director and GM, Walmart Seller Fulfilled Solutions</t>
        </is>
      </c>
      <c r="P2181" t="inlineStr">
        <is>
          <t>Senior Director, Transportation Planning | VP, Walmart eCommerce | Senior Director and GM, Walmart Seller Fulfilled Solutions</t>
        </is>
      </c>
      <c r="Y2181" t="inlineStr">
        <is>
          <t>todo</t>
        </is>
      </c>
      <c r="Z2181">
        <f>(M2181*Weights!$B$2) + (MIN(Q2181,Weights!$B$5)*Weights!$B$3*(W2181/100)*Weights!$B$4)</f>
        <v/>
      </c>
      <c r="AA2181">
        <f>IF(Z2181= ,,RANK.EQ({pri_col_letter}{r},{pri_range},0))</f>
        <v/>
      </c>
    </row>
    <row r="2182">
      <c r="A2182" t="inlineStr">
        <is>
          <t>Prologis</t>
        </is>
      </c>
      <c r="B2182" t="n">
        <v>4</v>
      </c>
      <c r="C2182" t="n">
        <v>2</v>
      </c>
      <c r="D2182" t="n">
        <v>2</v>
      </c>
      <c r="E2182" t="n">
        <v>0</v>
      </c>
      <c r="F2182" t="n">
        <v>0</v>
      </c>
      <c r="G2182" t="n">
        <v>0</v>
      </c>
      <c r="I2182" t="n">
        <v>0</v>
      </c>
      <c r="J2182" t="n">
        <v>0.5</v>
      </c>
      <c r="K2182" t="n">
        <v>0</v>
      </c>
      <c r="L2182" t="n">
        <v>0</v>
      </c>
      <c r="M2182" t="n">
        <v>42</v>
      </c>
      <c r="N2182" t="inlineStr">
        <is>
          <t>Tier 3</t>
        </is>
      </c>
      <c r="O2182" t="inlineStr">
        <is>
          <t>Deborah Kennedy — VP Business Operations; Marvin Cunningham — Global Head of Essentials Operations; Sean Mueller — VP; Elise Powers — Solutions Manager</t>
        </is>
      </c>
      <c r="P2182" t="inlineStr">
        <is>
          <t>VP Business Operations | Global Head of Essentials Operations | VP</t>
        </is>
      </c>
      <c r="Y2182" t="inlineStr">
        <is>
          <t>todo</t>
        </is>
      </c>
      <c r="Z2182">
        <f>(M2182*Weights!$B$2) + (MIN(Q2182,Weights!$B$5)*Weights!$B$3*(W2182/100)*Weights!$B$4)</f>
        <v/>
      </c>
      <c r="AA2182">
        <f>IF(Z2182= ,,RANK.EQ({pri_col_letter}{r},{pri_range},0))</f>
        <v/>
      </c>
    </row>
    <row r="2183">
      <c r="A2183" t="inlineStr">
        <is>
          <t>Apothecary Products</t>
        </is>
      </c>
      <c r="B2183" t="n">
        <v>2</v>
      </c>
      <c r="C2183" t="n">
        <v>2</v>
      </c>
      <c r="D2183" t="n">
        <v>2</v>
      </c>
      <c r="E2183" t="n">
        <v>1</v>
      </c>
      <c r="F2183" t="n">
        <v>0</v>
      </c>
      <c r="G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42</v>
      </c>
      <c r="N2183" t="inlineStr">
        <is>
          <t>Tier 3</t>
        </is>
      </c>
      <c r="O2183" t="inlineStr">
        <is>
          <t>Jeff Adams — VP of Strategic Sourcing &amp; Inbound Logistics; Randy Nichols — SVP, Operations</t>
        </is>
      </c>
      <c r="P2183" t="inlineStr">
        <is>
          <t>VP of Strategic Sourcing &amp; Inbound Logistics | SVP, Operations</t>
        </is>
      </c>
      <c r="Y2183" t="inlineStr">
        <is>
          <t>todo</t>
        </is>
      </c>
      <c r="Z2183">
        <f>(M2183*Weights!$B$2) + (MIN(Q2183,Weights!$B$5)*Weights!$B$3*(W2183/100)*Weights!$B$4)</f>
        <v/>
      </c>
      <c r="AA2183">
        <f>IF(Z2183= ,,RANK.EQ({pri_col_letter}{r},{pri_range},0))</f>
        <v/>
      </c>
    </row>
    <row r="2184">
      <c r="A2184" t="inlineStr">
        <is>
          <t>Monin</t>
        </is>
      </c>
      <c r="B2184" t="n">
        <v>6</v>
      </c>
      <c r="C2184" t="n">
        <v>1</v>
      </c>
      <c r="D2184" t="n">
        <v>5</v>
      </c>
      <c r="E2184" t="n">
        <v>0</v>
      </c>
      <c r="F2184" t="n">
        <v>0</v>
      </c>
      <c r="G2184" t="n">
        <v>0</v>
      </c>
      <c r="I2184" t="n">
        <v>0</v>
      </c>
      <c r="J2184" t="n">
        <v>0.8333333333333334</v>
      </c>
      <c r="K2184" t="n">
        <v>0</v>
      </c>
      <c r="L2184" t="n">
        <v>0</v>
      </c>
      <c r="M2184" t="n">
        <v>41</v>
      </c>
      <c r="N2184" t="inlineStr">
        <is>
          <t>Tier 3</t>
        </is>
      </c>
      <c r="O2184" t="inlineStr">
        <is>
          <t>Brian Newton — VP of Supply Chain; Joani Gottwik — Sr. Director of Warehousing and Logistics; Andy Howe — Sr. Warehouse Manager; Giancarlo Villamar — Warehouse Manager; Matt Cummings — Sr. Logistics Manager</t>
        </is>
      </c>
      <c r="P2184" t="inlineStr">
        <is>
          <t>VP of Supply Chain | Sr. Director of Warehousing and Logistics | Sr. Warehouse Manager</t>
        </is>
      </c>
      <c r="Y2184" t="inlineStr">
        <is>
          <t>todo</t>
        </is>
      </c>
      <c r="Z2184">
        <f>(M2184*Weights!$B$2) + (MIN(Q2184,Weights!$B$5)*Weights!$B$3*(W2184/100)*Weights!$B$4)</f>
        <v/>
      </c>
      <c r="AA2184">
        <f>IF(Z2184= ,,RANK.EQ({pri_col_letter}{r},{pri_range},0))</f>
        <v/>
      </c>
    </row>
    <row r="2185">
      <c r="A2185" t="inlineStr">
        <is>
          <t>AEO Inc</t>
        </is>
      </c>
      <c r="B2185" t="n">
        <v>3</v>
      </c>
      <c r="C2185" t="n">
        <v>2</v>
      </c>
      <c r="D2185" t="n">
        <v>2</v>
      </c>
      <c r="E2185" t="n">
        <v>0</v>
      </c>
      <c r="F2185" t="n">
        <v>0</v>
      </c>
      <c r="G2185" t="n">
        <v>0</v>
      </c>
      <c r="I2185" t="n">
        <v>0</v>
      </c>
      <c r="J2185" t="n">
        <v>0.6666666666666666</v>
      </c>
      <c r="K2185" t="n">
        <v>0</v>
      </c>
      <c r="L2185" t="n">
        <v>0</v>
      </c>
      <c r="M2185" t="n">
        <v>41</v>
      </c>
      <c r="N2185" t="inlineStr">
        <is>
          <t>Tier 3</t>
        </is>
      </c>
      <c r="O2185" t="inlineStr">
        <is>
          <t>Sarah Clarke — Chief Supply Chain &amp; Technology Officer; Evan Rock — Vice President Supply Chain Operations; Alden Miles — General Manager</t>
        </is>
      </c>
      <c r="P2185" t="inlineStr">
        <is>
          <t>Vice President Supply Chain Operations | Chief Supply Chain &amp; Technology Officer | General Manager</t>
        </is>
      </c>
      <c r="Y2185" t="inlineStr">
        <is>
          <t>todo</t>
        </is>
      </c>
      <c r="Z2185">
        <f>(M2185*Weights!$B$2) + (MIN(Q2185,Weights!$B$5)*Weights!$B$3*(W2185/100)*Weights!$B$4)</f>
        <v/>
      </c>
      <c r="AA2185">
        <f>IF(Z2185= ,,RANK.EQ({pri_col_letter}{r},{pri_range},0))</f>
        <v/>
      </c>
    </row>
    <row r="2186">
      <c r="A2186" t="inlineStr">
        <is>
          <t>Iron Mountain</t>
        </is>
      </c>
      <c r="B2186" t="n">
        <v>6</v>
      </c>
      <c r="C2186" t="n">
        <v>2</v>
      </c>
      <c r="D2186" t="n">
        <v>2</v>
      </c>
      <c r="E2186" t="n">
        <v>0</v>
      </c>
      <c r="F2186" t="n">
        <v>2</v>
      </c>
      <c r="G2186" t="n">
        <v>1</v>
      </c>
      <c r="I2186" t="n">
        <v>3</v>
      </c>
      <c r="J2186" t="n">
        <v>0.3333333333333333</v>
      </c>
      <c r="K2186" t="n">
        <v>0</v>
      </c>
      <c r="L2186" t="n">
        <v>0</v>
      </c>
      <c r="M2186" t="n">
        <v>40</v>
      </c>
      <c r="N2186" t="inlineStr">
        <is>
          <t>Tier 3</t>
        </is>
      </c>
      <c r="O2186" t="inlineStr">
        <is>
          <t>Steve Harkins — Senior Vice President, Global Warehouse and Logistics; Steven James — Vice President, Operations; Rob Copeland — Commercial Director, North America; Brett Spector — Senior Director, Strategic Partnerships; John Ennen — Senior Business Development Manager</t>
        </is>
      </c>
      <c r="P2186" t="inlineStr">
        <is>
          <t>Senior Vice President, Global Warehouse and Logistics | Vice President, Operations | Commercial Director, North America</t>
        </is>
      </c>
      <c r="Y2186" t="inlineStr">
        <is>
          <t>todo</t>
        </is>
      </c>
      <c r="Z2186">
        <f>(M2186*Weights!$B$2) + (MIN(Q2186,Weights!$B$5)*Weights!$B$3*(W2186/100)*Weights!$B$4)</f>
        <v/>
      </c>
      <c r="AA2186">
        <f>IF(Z2186= ,,RANK.EQ({pri_col_letter}{r},{pri_range},0))</f>
        <v/>
      </c>
    </row>
    <row r="2187">
      <c r="A2187" t="inlineStr">
        <is>
          <t>GoPuff</t>
        </is>
      </c>
      <c r="B2187" t="n">
        <v>5</v>
      </c>
      <c r="C2187" t="n">
        <v>1</v>
      </c>
      <c r="D2187" t="n">
        <v>5</v>
      </c>
      <c r="E2187" t="n">
        <v>0</v>
      </c>
      <c r="F2187" t="n">
        <v>0</v>
      </c>
      <c r="G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40</v>
      </c>
      <c r="N2187" t="inlineStr">
        <is>
          <t>Tier 3</t>
        </is>
      </c>
      <c r="O2187" t="inlineStr">
        <is>
          <t>Jacob McCants — Head of Supply Chain &amp; Logistics; Bharat Radhakrishnan — Director, Distribution &amp; Transportation; Gabriel Corrochano — Sr. Director, Supply Chain; Jason Regas — Director, Supply Chain; Pat Clark — Director, Supply Chain Analytics</t>
        </is>
      </c>
      <c r="P2187" t="inlineStr">
        <is>
          <t>Head of Supply Chain &amp; Logistics | Director, Distribution &amp; Transportation | Sr. Director, Supply Chain</t>
        </is>
      </c>
      <c r="Y2187" t="inlineStr">
        <is>
          <t>todo</t>
        </is>
      </c>
      <c r="Z2187">
        <f>(M2187*Weights!$B$2) + (MIN(Q2187,Weights!$B$5)*Weights!$B$3*(W2187/100)*Weights!$B$4)</f>
        <v/>
      </c>
      <c r="AA2187">
        <f>IF(Z2187= ,,RANK.EQ({pri_col_letter}{r},{pri_range},0))</f>
        <v/>
      </c>
    </row>
    <row r="2188">
      <c r="A2188" t="inlineStr">
        <is>
          <t>Olipop</t>
        </is>
      </c>
      <c r="B2188" t="n">
        <v>5</v>
      </c>
      <c r="C2188" t="n">
        <v>1</v>
      </c>
      <c r="D2188" t="n">
        <v>5</v>
      </c>
      <c r="E2188" t="n">
        <v>0</v>
      </c>
      <c r="F2188" t="n">
        <v>0</v>
      </c>
      <c r="G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40</v>
      </c>
      <c r="N2188" t="inlineStr">
        <is>
          <t>Tier 3</t>
        </is>
      </c>
      <c r="O2188" t="inlineStr">
        <is>
          <t>George Scobell — SVP, Supply Chain; Timothy Joseph — Sr. Director Operations &amp; Co-Manufacturing; Sonny Vongdachan — Transportation Manager; Dom Bubri — Sr Director, FP&amp;A and Supply Chain Finance; Danny Chen — Sr. Manager, Supply Chain Finance</t>
        </is>
      </c>
      <c r="P2188" t="inlineStr">
        <is>
          <t>SVP, Supply Chain | Sr. Director Operations &amp; Co-Manufacturing | Transportation Manager</t>
        </is>
      </c>
      <c r="Y2188" t="inlineStr">
        <is>
          <t>todo</t>
        </is>
      </c>
      <c r="Z2188">
        <f>(M2188*Weights!$B$2) + (MIN(Q2188,Weights!$B$5)*Weights!$B$3*(W2188/100)*Weights!$B$4)</f>
        <v/>
      </c>
      <c r="AA2188">
        <f>IF(Z2188= ,,RANK.EQ({pri_col_letter}{r},{pri_range},0))</f>
        <v/>
      </c>
    </row>
    <row r="2189">
      <c r="A2189" t="inlineStr">
        <is>
          <t>Alcatel-Lucent Enterprise</t>
        </is>
      </c>
      <c r="B2189" t="n">
        <v>2</v>
      </c>
      <c r="C2189" t="n">
        <v>2</v>
      </c>
      <c r="D2189" t="n">
        <v>2</v>
      </c>
      <c r="E2189" t="n">
        <v>0</v>
      </c>
      <c r="F2189" t="n">
        <v>0</v>
      </c>
      <c r="G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40</v>
      </c>
      <c r="N2189" t="inlineStr">
        <is>
          <t>Tier 3</t>
        </is>
      </c>
      <c r="O2189" t="inlineStr">
        <is>
          <t>Rasheed Mohamad — EVP, Global Operations &amp; Business Technology; Brad Magnani — VP WW Head of Technical Operations</t>
        </is>
      </c>
      <c r="P2189" t="inlineStr">
        <is>
          <t>VP WW Head of Technical Operations | EVP, Global Operations &amp; Business Technology</t>
        </is>
      </c>
      <c r="Y2189" t="inlineStr">
        <is>
          <t>todo</t>
        </is>
      </c>
      <c r="Z2189">
        <f>(M2189*Weights!$B$2) + (MIN(Q2189,Weights!$B$5)*Weights!$B$3*(W2189/100)*Weights!$B$4)</f>
        <v/>
      </c>
      <c r="AA2189">
        <f>IF(Z2189= ,,RANK.EQ({pri_col_letter}{r},{pri_range},0))</f>
        <v/>
      </c>
    </row>
    <row r="2190">
      <c r="A2190" t="inlineStr">
        <is>
          <t>Conagra Brands</t>
        </is>
      </c>
      <c r="B2190" t="n">
        <v>2</v>
      </c>
      <c r="C2190" t="n">
        <v>2</v>
      </c>
      <c r="D2190" t="n">
        <v>2</v>
      </c>
      <c r="E2190" t="n">
        <v>0</v>
      </c>
      <c r="F2190" t="n">
        <v>0</v>
      </c>
      <c r="G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40</v>
      </c>
      <c r="N2190" t="inlineStr">
        <is>
          <t>Tier 3</t>
        </is>
      </c>
      <c r="O2190" t="inlineStr">
        <is>
          <t>Aimee Tousignant — VP, Customer Supply Chain and PMO; Aimee Tousignant — Vice President Customer Supply Chain and PMO</t>
        </is>
      </c>
      <c r="P2190" t="inlineStr">
        <is>
          <t>VP, Customer Supply Chain and PMO | Vice President Customer Supply Chain and PMO</t>
        </is>
      </c>
      <c r="Y2190" t="inlineStr">
        <is>
          <t>todo</t>
        </is>
      </c>
      <c r="Z2190">
        <f>(M2190*Weights!$B$2) + (MIN(Q2190,Weights!$B$5)*Weights!$B$3*(W2190/100)*Weights!$B$4)</f>
        <v/>
      </c>
      <c r="AA2190">
        <f>IF(Z2190= ,,RANK.EQ({pri_col_letter}{r},{pri_range},0))</f>
        <v/>
      </c>
    </row>
    <row r="2191">
      <c r="A2191" t="inlineStr">
        <is>
          <t>Parts Town</t>
        </is>
      </c>
      <c r="B2191" t="n">
        <v>2</v>
      </c>
      <c r="C2191" t="n">
        <v>2</v>
      </c>
      <c r="D2191" t="n">
        <v>2</v>
      </c>
      <c r="E2191" t="n">
        <v>0</v>
      </c>
      <c r="F2191" t="n">
        <v>0</v>
      </c>
      <c r="G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40</v>
      </c>
      <c r="N2191" t="inlineStr">
        <is>
          <t>Tier 3</t>
        </is>
      </c>
      <c r="O2191" t="inlineStr">
        <is>
          <t>Audreyanne Snow — VP, Operations &amp; Logistics; Lisa Backlin — Group Senior Vice President, Supply Chain</t>
        </is>
      </c>
      <c r="P2191" t="inlineStr">
        <is>
          <t>VP, Operations &amp; Logistics | Group Senior Vice President, Supply Chain</t>
        </is>
      </c>
      <c r="Y2191" t="inlineStr">
        <is>
          <t>todo</t>
        </is>
      </c>
      <c r="Z2191">
        <f>(M2191*Weights!$B$2) + (MIN(Q2191,Weights!$B$5)*Weights!$B$3*(W2191/100)*Weights!$B$4)</f>
        <v/>
      </c>
      <c r="AA2191">
        <f>IF(Z2191= ,,RANK.EQ({pri_col_letter}{r},{pri_range},0))</f>
        <v/>
      </c>
    </row>
    <row r="2192">
      <c r="A2192" t="inlineStr">
        <is>
          <t>Risk Strategies</t>
        </is>
      </c>
      <c r="B2192" t="n">
        <v>2</v>
      </c>
      <c r="C2192" t="n">
        <v>2</v>
      </c>
      <c r="D2192" t="n">
        <v>2</v>
      </c>
      <c r="E2192" t="n">
        <v>0</v>
      </c>
      <c r="F2192" t="n">
        <v>0</v>
      </c>
      <c r="G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40</v>
      </c>
      <c r="N2192" t="inlineStr">
        <is>
          <t>Tier 3</t>
        </is>
      </c>
      <c r="O2192" t="inlineStr">
        <is>
          <t>Adam Green — Senior Vice President - Logistics; Brian Dreher — Vice President, Risk Advisor, Transportation</t>
        </is>
      </c>
      <c r="P2192" t="inlineStr">
        <is>
          <t>Senior Vice President - Logistics | Vice President, Risk Advisor, Transportation</t>
        </is>
      </c>
      <c r="Y2192" t="inlineStr">
        <is>
          <t>todo</t>
        </is>
      </c>
      <c r="Z2192">
        <f>(M2192*Weights!$B$2) + (MIN(Q2192,Weights!$B$5)*Weights!$B$3*(W2192/100)*Weights!$B$4)</f>
        <v/>
      </c>
      <c r="AA2192">
        <f>IF(Z2192= ,,RANK.EQ({pri_col_letter}{r},{pri_range},0))</f>
        <v/>
      </c>
    </row>
    <row r="2193">
      <c r="A2193" t="inlineStr">
        <is>
          <t>Sol de Janeiro</t>
        </is>
      </c>
      <c r="B2193" t="n">
        <v>2</v>
      </c>
      <c r="C2193" t="n">
        <v>2</v>
      </c>
      <c r="D2193" t="n">
        <v>2</v>
      </c>
      <c r="E2193" t="n">
        <v>0</v>
      </c>
      <c r="F2193" t="n">
        <v>0</v>
      </c>
      <c r="G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40</v>
      </c>
      <c r="N2193" t="inlineStr">
        <is>
          <t>Tier 3</t>
        </is>
      </c>
      <c r="O2193" t="inlineStr">
        <is>
          <t>Scott Schienvar — Chief Supply Chain Officer; Eric Miller — SVP Global Operations</t>
        </is>
      </c>
      <c r="P2193" t="inlineStr">
        <is>
          <t>SVP Global Operations | Chief Supply Chain Officer</t>
        </is>
      </c>
      <c r="Y2193" t="inlineStr">
        <is>
          <t>todo</t>
        </is>
      </c>
      <c r="Z2193">
        <f>(M2193*Weights!$B$2) + (MIN(Q2193,Weights!$B$5)*Weights!$B$3*(W2193/100)*Weights!$B$4)</f>
        <v/>
      </c>
      <c r="AA2193">
        <f>IF(Z2193= ,,RANK.EQ({pri_col_letter}{r},{pri_range},0))</f>
        <v/>
      </c>
    </row>
    <row r="2194">
      <c r="A2194" t="inlineStr">
        <is>
          <t>Stanford Medicine</t>
        </is>
      </c>
      <c r="B2194" t="n">
        <v>2</v>
      </c>
      <c r="C2194" t="n">
        <v>2</v>
      </c>
      <c r="D2194" t="n">
        <v>2</v>
      </c>
      <c r="E2194" t="n">
        <v>0</v>
      </c>
      <c r="F2194" t="n">
        <v>0</v>
      </c>
      <c r="G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40</v>
      </c>
      <c r="N2194" t="inlineStr">
        <is>
          <t>Tier 3</t>
        </is>
      </c>
      <c r="O2194" t="inlineStr">
        <is>
          <t>Amanda Chawla — SVP, Chief Supply Chain &amp; Post Acute Care Officer; Nicholas Trzeciak — Vice President of Logistics &amp; Distribution</t>
        </is>
      </c>
      <c r="P2194" t="inlineStr">
        <is>
          <t>Vice President of Logistics &amp; Distribution | SVP, Chief Supply Chain &amp; Post Acute Care Officer</t>
        </is>
      </c>
      <c r="Y2194" t="inlineStr">
        <is>
          <t>todo</t>
        </is>
      </c>
      <c r="Z2194">
        <f>(M2194*Weights!$B$2) + (MIN(Q2194,Weights!$B$5)*Weights!$B$3*(W2194/100)*Weights!$B$4)</f>
        <v/>
      </c>
      <c r="AA2194">
        <f>IF(Z2194= ,,RANK.EQ({pri_col_letter}{r},{pri_range},0))</f>
        <v/>
      </c>
    </row>
    <row r="2195">
      <c r="A2195" t="inlineStr">
        <is>
          <t>Staples</t>
        </is>
      </c>
      <c r="B2195" t="n">
        <v>2</v>
      </c>
      <c r="C2195" t="n">
        <v>2</v>
      </c>
      <c r="D2195" t="n">
        <v>2</v>
      </c>
      <c r="E2195" t="n">
        <v>0</v>
      </c>
      <c r="F2195" t="n">
        <v>0</v>
      </c>
      <c r="G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40</v>
      </c>
      <c r="N2195" t="inlineStr">
        <is>
          <t>Tier 3</t>
        </is>
      </c>
      <c r="O2195" t="inlineStr">
        <is>
          <t>Nilesh Mohan — Vice President, Supply Chain Technology; Ryan Hanson — Chief Supply Chain Officer</t>
        </is>
      </c>
      <c r="P2195" t="inlineStr">
        <is>
          <t>Chief Supply Chain Officer | Vice President, Supply Chain Technology</t>
        </is>
      </c>
      <c r="Y2195" t="inlineStr">
        <is>
          <t>todo</t>
        </is>
      </c>
      <c r="Z2195">
        <f>(M2195*Weights!$B$2) + (MIN(Q2195,Weights!$B$5)*Weights!$B$3*(W2195/100)*Weights!$B$4)</f>
        <v/>
      </c>
      <c r="AA2195">
        <f>IF(Z2195= ,,RANK.EQ({pri_col_letter}{r},{pri_range},0))</f>
        <v/>
      </c>
    </row>
    <row r="2196">
      <c r="A2196" t="inlineStr">
        <is>
          <t>Tailored Brands</t>
        </is>
      </c>
      <c r="B2196" t="n">
        <v>2</v>
      </c>
      <c r="C2196" t="n">
        <v>2</v>
      </c>
      <c r="D2196" t="n">
        <v>2</v>
      </c>
      <c r="E2196" t="n">
        <v>0</v>
      </c>
      <c r="F2196" t="n">
        <v>0</v>
      </c>
      <c r="G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40</v>
      </c>
      <c r="N2196" t="inlineStr">
        <is>
          <t>Tier 3</t>
        </is>
      </c>
      <c r="O2196" t="inlineStr">
        <is>
          <t>Jamie Bragg — EVP, Chief Supply Chain Officer; Rob Holland — Vice President - Transportation</t>
        </is>
      </c>
      <c r="P2196" t="inlineStr">
        <is>
          <t>Vice President - Transportation | EVP, Chief Supply Chain Officer</t>
        </is>
      </c>
      <c r="Y2196" t="inlineStr">
        <is>
          <t>todo</t>
        </is>
      </c>
      <c r="Z2196">
        <f>(M2196*Weights!$B$2) + (MIN(Q2196,Weights!$B$5)*Weights!$B$3*(W2196/100)*Weights!$B$4)</f>
        <v/>
      </c>
      <c r="AA2196">
        <f>IF(Z2196= ,,RANK.EQ({pri_col_letter}{r},{pri_range},0))</f>
        <v/>
      </c>
    </row>
    <row r="2197">
      <c r="A2197" t="inlineStr">
        <is>
          <t>US Foods</t>
        </is>
      </c>
      <c r="B2197" t="n">
        <v>2</v>
      </c>
      <c r="C2197" t="n">
        <v>2</v>
      </c>
      <c r="D2197" t="n">
        <v>2</v>
      </c>
      <c r="E2197" t="n">
        <v>0</v>
      </c>
      <c r="F2197" t="n">
        <v>0</v>
      </c>
      <c r="G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40</v>
      </c>
      <c r="N2197" t="inlineStr">
        <is>
          <t>Tier 3</t>
        </is>
      </c>
      <c r="O2197" t="inlineStr">
        <is>
          <t>Jeremy Druckemiller — VP, Transportation and Logistics; Tim Grey — Vice President - Operations</t>
        </is>
      </c>
      <c r="P2197" t="inlineStr">
        <is>
          <t>VP, Transportation and Logistics | Vice President - Operations</t>
        </is>
      </c>
      <c r="Y2197" t="inlineStr">
        <is>
          <t>todo</t>
        </is>
      </c>
      <c r="Z2197">
        <f>(M2197*Weights!$B$2) + (MIN(Q2197,Weights!$B$5)*Weights!$B$3*(W2197/100)*Weights!$B$4)</f>
        <v/>
      </c>
      <c r="AA2197">
        <f>IF(Z2197= ,,RANK.EQ({pri_col_letter}{r},{pri_range},0))</f>
        <v/>
      </c>
    </row>
    <row r="2198">
      <c r="A2198" t="inlineStr">
        <is>
          <t>C.H. Robinson</t>
        </is>
      </c>
      <c r="B2198" t="n">
        <v>8</v>
      </c>
      <c r="C2198" t="n">
        <v>0</v>
      </c>
      <c r="D2198" t="n">
        <v>0</v>
      </c>
      <c r="E2198" t="n">
        <v>0</v>
      </c>
      <c r="F2198" t="n">
        <v>6</v>
      </c>
      <c r="G2198" t="n">
        <v>0</v>
      </c>
      <c r="H2198" t="n">
        <v>17724956000</v>
      </c>
      <c r="I2198" t="n">
        <v>6</v>
      </c>
      <c r="J2198" t="n">
        <v>0</v>
      </c>
      <c r="K2198" t="n">
        <v>12</v>
      </c>
      <c r="L2198" t="n">
        <v>25</v>
      </c>
      <c r="M2198" t="n">
        <v>39</v>
      </c>
      <c r="N2198" t="inlineStr">
        <is>
          <t>Tier 3</t>
        </is>
      </c>
      <c r="O2198" t="inlineStr">
        <is>
          <t>Cody Griggs — Vice President; Chris Cutshaw — VP; Jim Mancini — Vice President - Customer Success; Dane Secott — Vice President - Sales; Sean Fay — Vice President -Global Sales</t>
        </is>
      </c>
      <c r="P2198" t="inlineStr">
        <is>
          <t>Vice President | VP | Vice President - Customer Success</t>
        </is>
      </c>
      <c r="Y2198" t="inlineStr">
        <is>
          <t>todo</t>
        </is>
      </c>
      <c r="Z2198">
        <f>(M2198*Weights!$B$2) + (MIN(Q2198,Weights!$B$5)*Weights!$B$3*(W2198/100)*Weights!$B$4)</f>
        <v/>
      </c>
      <c r="AA2198">
        <f>IF(Z2198= ,,RANK.EQ({pri_col_letter}{r},{pri_range},0))</f>
        <v/>
      </c>
    </row>
    <row r="2199">
      <c r="A2199" t="inlineStr">
        <is>
          <t>Loblaw</t>
        </is>
      </c>
      <c r="B2199" t="n">
        <v>2</v>
      </c>
      <c r="C2199" t="n">
        <v>2</v>
      </c>
      <c r="D2199" t="n">
        <v>2</v>
      </c>
      <c r="E2199" t="n">
        <v>0</v>
      </c>
      <c r="F2199" t="n">
        <v>1</v>
      </c>
      <c r="G2199" t="n">
        <v>1</v>
      </c>
      <c r="I2199" t="n">
        <v>2</v>
      </c>
      <c r="J2199" t="n">
        <v>1</v>
      </c>
      <c r="K2199" t="n">
        <v>0</v>
      </c>
      <c r="L2199" t="n">
        <v>0</v>
      </c>
      <c r="M2199" t="n">
        <v>38</v>
      </c>
      <c r="N2199" t="inlineStr">
        <is>
          <t>Tier 3</t>
        </is>
      </c>
      <c r="O2199" t="inlineStr">
        <is>
          <t>Mark Bednis — VP Supply Chain Analytics; Chad Friio — VP Supply Chain BD</t>
        </is>
      </c>
      <c r="P2199" t="inlineStr">
        <is>
          <t>VP Supply Chain Analytics | VP Supply Chain BD</t>
        </is>
      </c>
      <c r="Y2199" t="inlineStr">
        <is>
          <t>todo</t>
        </is>
      </c>
      <c r="Z2199">
        <f>(M2199*Weights!$B$2) + (MIN(Q2199,Weights!$B$5)*Weights!$B$3*(W2199/100)*Weights!$B$4)</f>
        <v/>
      </c>
      <c r="AA2199">
        <f>IF(Z2199= ,,RANK.EQ({pri_col_letter}{r},{pri_range},0))</f>
        <v/>
      </c>
    </row>
    <row r="2200">
      <c r="A2200" t="inlineStr">
        <is>
          <t>Allegiant</t>
        </is>
      </c>
      <c r="B2200" t="n">
        <v>11</v>
      </c>
      <c r="C2200" t="n">
        <v>0</v>
      </c>
      <c r="D2200" t="n">
        <v>3</v>
      </c>
      <c r="E2200" t="n">
        <v>7</v>
      </c>
      <c r="F2200" t="n">
        <v>0</v>
      </c>
      <c r="G2200" t="n">
        <v>0</v>
      </c>
      <c r="I2200" t="n">
        <v>0</v>
      </c>
      <c r="J2200" t="n">
        <v>0.2727272727272727</v>
      </c>
      <c r="K2200" t="n">
        <v>0</v>
      </c>
      <c r="L2200" t="n">
        <v>0</v>
      </c>
      <c r="M2200" t="n">
        <v>37</v>
      </c>
      <c r="N2200" t="inlineStr">
        <is>
          <t>Tier 3</t>
        </is>
      </c>
      <c r="O2200" t="inlineStr">
        <is>
          <t>Barbara LeCounte — Director Fuel Procurement &amp; Logistics; Amanda Bishop — Manager, Fuel Logistics &amp; Procurement; Jennifer Resonable — VP Procurement; Dustin Record — Trade &amp; Logistics Lead; Niloofar Fard — Fuel Procurement</t>
        </is>
      </c>
      <c r="P2200" t="inlineStr">
        <is>
          <t>Director Fuel Procurement &amp; Logistics | VP Procurement | Manager, Fuel Logistics &amp; Procurement</t>
        </is>
      </c>
      <c r="Y2200" t="inlineStr">
        <is>
          <t>todo</t>
        </is>
      </c>
      <c r="Z2200">
        <f>(M2200*Weights!$B$2) + (MIN(Q2200,Weights!$B$5)*Weights!$B$3*(W2200/100)*Weights!$B$4)</f>
        <v/>
      </c>
      <c r="AA2200">
        <f>IF(Z2200= ,,RANK.EQ({pri_col_letter}{r},{pri_range},0))</f>
        <v/>
      </c>
    </row>
    <row r="2201">
      <c r="A2201" t="inlineStr">
        <is>
          <t>Kimberly Clark Company</t>
        </is>
      </c>
      <c r="B2201" t="n">
        <v>6</v>
      </c>
      <c r="C2201" t="n">
        <v>1</v>
      </c>
      <c r="D2201" t="n">
        <v>4</v>
      </c>
      <c r="E2201" t="n">
        <v>0</v>
      </c>
      <c r="F2201" t="n">
        <v>0</v>
      </c>
      <c r="G2201" t="n">
        <v>2</v>
      </c>
      <c r="I2201" t="n">
        <v>2</v>
      </c>
      <c r="J2201" t="n">
        <v>0.6666666666666666</v>
      </c>
      <c r="K2201" t="n">
        <v>0</v>
      </c>
      <c r="L2201" t="n">
        <v>0</v>
      </c>
      <c r="M2201" t="n">
        <v>37</v>
      </c>
      <c r="N2201" t="inlineStr">
        <is>
          <t>Tier 3</t>
        </is>
      </c>
      <c r="O2201" t="inlineStr">
        <is>
          <t>Sarah Haffner — Vice President, Supply Chain Digital Transformation; Beth Verboomen — Director, Logistics Operations; Joel Shaw — Sr. Director, Logistics Operations; David Balensiefen — Supply Chain Sr. Consultant – Advanced Analytics; Chris Gilbert — Manager, Data Foundations</t>
        </is>
      </c>
      <c r="P2201" t="inlineStr">
        <is>
          <t>Vice President, Supply Chain Digital Transformation | Director, Logistics Operations | Sr. Director, Logistics Operations</t>
        </is>
      </c>
      <c r="Y2201" t="inlineStr">
        <is>
          <t>todo</t>
        </is>
      </c>
      <c r="Z2201">
        <f>(M2201*Weights!$B$2) + (MIN(Q2201,Weights!$B$5)*Weights!$B$3*(W2201/100)*Weights!$B$4)</f>
        <v/>
      </c>
      <c r="AA2201">
        <f>IF(Z2201= ,,RANK.EQ({pri_col_letter}{r},{pri_range},0))</f>
        <v/>
      </c>
    </row>
    <row r="2202">
      <c r="A2202" t="inlineStr">
        <is>
          <t>Seed Health</t>
        </is>
      </c>
      <c r="B2202" t="n">
        <v>6</v>
      </c>
      <c r="C2202" t="n">
        <v>1</v>
      </c>
      <c r="D2202" t="n">
        <v>4</v>
      </c>
      <c r="E2202" t="n">
        <v>0</v>
      </c>
      <c r="F2202" t="n">
        <v>0</v>
      </c>
      <c r="G2202" t="n">
        <v>0</v>
      </c>
      <c r="I2202" t="n">
        <v>0</v>
      </c>
      <c r="J2202" t="n">
        <v>0.6666666666666666</v>
      </c>
      <c r="K2202" t="n">
        <v>0</v>
      </c>
      <c r="L2202" t="n">
        <v>0</v>
      </c>
      <c r="M2202" t="n">
        <v>37</v>
      </c>
      <c r="N2202" t="inlineStr">
        <is>
          <t>Tier 3</t>
        </is>
      </c>
      <c r="O2202" t="inlineStr">
        <is>
          <t>Keith Frymark — Chief Supply Chain Officer; DeJuan Hall — Senior Analyst, Supply Chain; Katharine Deutsch — Specialist, Operations + Supply Chain; Mia Pitsironis — Senior Manager, Supply Chain; Brian Helman — CFO</t>
        </is>
      </c>
      <c r="P2202" t="inlineStr">
        <is>
          <t>Chief Supply Chain Officer | CFO | Senior Analyst, Supply Chain</t>
        </is>
      </c>
      <c r="Y2202" t="inlineStr">
        <is>
          <t>todo</t>
        </is>
      </c>
      <c r="Z2202">
        <f>(M2202*Weights!$B$2) + (MIN(Q2202,Weights!$B$5)*Weights!$B$3*(W2202/100)*Weights!$B$4)</f>
        <v/>
      </c>
      <c r="AA2202">
        <f>IF(Z2202= ,,RANK.EQ({pri_col_letter}{r},{pri_range},0))</f>
        <v/>
      </c>
    </row>
    <row r="2203">
      <c r="A2203" t="inlineStr">
        <is>
          <t>TJX</t>
        </is>
      </c>
      <c r="B2203" t="n">
        <v>6</v>
      </c>
      <c r="C2203" t="n">
        <v>1</v>
      </c>
      <c r="D2203" t="n">
        <v>4</v>
      </c>
      <c r="E2203" t="n">
        <v>0</v>
      </c>
      <c r="F2203" t="n">
        <v>0</v>
      </c>
      <c r="G2203" t="n">
        <v>1</v>
      </c>
      <c r="I2203" t="n">
        <v>1</v>
      </c>
      <c r="J2203" t="n">
        <v>0.6666666666666666</v>
      </c>
      <c r="K2203" t="n">
        <v>0</v>
      </c>
      <c r="L2203" t="n">
        <v>0</v>
      </c>
      <c r="M2203" t="n">
        <v>37</v>
      </c>
      <c r="N2203" t="inlineStr">
        <is>
          <t>Tier 3</t>
        </is>
      </c>
      <c r="O2203" t="inlineStr">
        <is>
          <t>Pat Brown — VP Supply Chain Innovation &amp; Engineering.; Justin Casey — Supply Chain Technology and Innovation Manager; Mathew Fay — Supply Chain Technology and Innovation Manager; Theresa Cooper-Blackwood — Manager of Integrated Supply Chain Business Systems; Sharla Miller — Regional Manager of Facilities</t>
        </is>
      </c>
      <c r="P2203" t="inlineStr">
        <is>
          <t>VP Supply Chain Innovation &amp; Engineering. | Supply Chain Technology and Innovation Manager | Manager of Integrated Supply Chain Business Systems</t>
        </is>
      </c>
      <c r="Y2203" t="inlineStr">
        <is>
          <t>todo</t>
        </is>
      </c>
      <c r="Z2203">
        <f>(M2203*Weights!$B$2) + (MIN(Q2203,Weights!$B$5)*Weights!$B$3*(W2203/100)*Weights!$B$4)</f>
        <v/>
      </c>
      <c r="AA2203">
        <f>IF(Z2203= ,,RANK.EQ({pri_col_letter}{r},{pri_range},0))</f>
        <v/>
      </c>
    </row>
    <row r="2204">
      <c r="A2204" t="inlineStr">
        <is>
          <t>Univar Solutions</t>
        </is>
      </c>
      <c r="B2204" t="n">
        <v>4</v>
      </c>
      <c r="C2204" t="n">
        <v>1</v>
      </c>
      <c r="D2204" t="n">
        <v>4</v>
      </c>
      <c r="E2204" t="n">
        <v>1</v>
      </c>
      <c r="F2204" t="n">
        <v>0</v>
      </c>
      <c r="G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37</v>
      </c>
      <c r="N2204" t="inlineStr">
        <is>
          <t>Tier 3</t>
        </is>
      </c>
      <c r="O2204" t="inlineStr">
        <is>
          <t>Rob McRae — VP of Logistics; Dustin Vock — Director, Logistics Procurement; Jack Shires — Director, Transportation; Travis Vedral — Sr. Director, Transportation Strategy</t>
        </is>
      </c>
      <c r="P2204" t="inlineStr">
        <is>
          <t>VP of Logistics | Director, Logistics Procurement | Director, Transportation</t>
        </is>
      </c>
      <c r="Y2204" t="inlineStr">
        <is>
          <t>todo</t>
        </is>
      </c>
      <c r="Z2204">
        <f>(M2204*Weights!$B$2) + (MIN(Q2204,Weights!$B$5)*Weights!$B$3*(W2204/100)*Weights!$B$4)</f>
        <v/>
      </c>
      <c r="AA2204">
        <f>IF(Z2204= ,,RANK.EQ({pri_col_letter}{r},{pri_range},0))</f>
        <v/>
      </c>
    </row>
    <row r="2205">
      <c r="A2205" t="inlineStr">
        <is>
          <t>Henkel</t>
        </is>
      </c>
      <c r="B2205" t="n">
        <v>8</v>
      </c>
      <c r="C2205" t="n">
        <v>0</v>
      </c>
      <c r="D2205" t="n">
        <v>6</v>
      </c>
      <c r="E2205" t="n">
        <v>2</v>
      </c>
      <c r="F2205" t="n">
        <v>0</v>
      </c>
      <c r="G2205" t="n">
        <v>0</v>
      </c>
      <c r="I2205" t="n">
        <v>0</v>
      </c>
      <c r="J2205" t="n">
        <v>0.75</v>
      </c>
      <c r="K2205" t="n">
        <v>0</v>
      </c>
      <c r="L2205" t="n">
        <v>0</v>
      </c>
      <c r="M2205" t="n">
        <v>36</v>
      </c>
      <c r="N2205" t="inlineStr">
        <is>
          <t>Tier 3</t>
        </is>
      </c>
      <c r="O2205" t="inlineStr">
        <is>
          <t>Anne Acampora — Senior Manager Logistics Purchasing; Joe Taranto — Procurement Manager, Logistics Sourcing &amp; Project Support; Trisha Brandon — Director of Distribution; Gohar Azhar — Sr Mgr Logistics Excellence &amp; DA; R Todd Morley — Leader North American Distribution Services</t>
        </is>
      </c>
      <c r="P2205" t="inlineStr">
        <is>
          <t>Senior Manager Logistics Purchasing | Procurement Manager, Logistics Sourcing &amp; Project Support | Director of Distribution</t>
        </is>
      </c>
      <c r="Y2205" t="inlineStr">
        <is>
          <t>todo</t>
        </is>
      </c>
      <c r="Z2205">
        <f>(M2205*Weights!$B$2) + (MIN(Q2205,Weights!$B$5)*Weights!$B$3*(W2205/100)*Weights!$B$4)</f>
        <v/>
      </c>
      <c r="AA2205">
        <f>IF(Z2205= ,,RANK.EQ({pri_col_letter}{r},{pri_range},0))</f>
        <v/>
      </c>
    </row>
    <row r="2206">
      <c r="A2206" t="inlineStr">
        <is>
          <t>4flow</t>
        </is>
      </c>
      <c r="B2206" t="n">
        <v>7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423000000</v>
      </c>
      <c r="I2206" t="n">
        <v>1</v>
      </c>
      <c r="J2206" t="n">
        <v>0.1428571428571428</v>
      </c>
      <c r="K2206" t="n">
        <v>0</v>
      </c>
      <c r="L2206" t="n">
        <v>0</v>
      </c>
      <c r="M2206" t="n">
        <v>36</v>
      </c>
      <c r="N2206" t="inlineStr">
        <is>
          <t>Tier 3</t>
        </is>
      </c>
      <c r="O2206" t="inlineStr">
        <is>
          <t>Roger Sechler — Vice President of Transportation; Roger Sechler — Vice President , North America; David Salerno — Director of Managed Services; Greg Toornman — Strategic Advisor; Julian Schwandt — Director of Managed Services</t>
        </is>
      </c>
      <c r="P2206" t="inlineStr">
        <is>
          <t>Vice President of Transportation | Vice President , North America | Director of Managed Services</t>
        </is>
      </c>
      <c r="Y2206" t="inlineStr">
        <is>
          <t>todo</t>
        </is>
      </c>
      <c r="Z2206">
        <f>(M2206*Weights!$B$2) + (MIN(Q2206,Weights!$B$5)*Weights!$B$3*(W2206/100)*Weights!$B$4)</f>
        <v/>
      </c>
      <c r="AA2206">
        <f>IF(Z2206= ,,RANK.EQ({pri_col_letter}{r},{pri_range},0))</f>
        <v/>
      </c>
    </row>
    <row r="2207">
      <c r="A2207" t="inlineStr">
        <is>
          <t>TruConnect</t>
        </is>
      </c>
      <c r="B2207" t="n">
        <v>5</v>
      </c>
      <c r="C2207" t="n">
        <v>1</v>
      </c>
      <c r="D2207" t="n">
        <v>4</v>
      </c>
      <c r="E2207" t="n">
        <v>0</v>
      </c>
      <c r="F2207" t="n">
        <v>0</v>
      </c>
      <c r="G2207" t="n">
        <v>0</v>
      </c>
      <c r="I2207" t="n">
        <v>0</v>
      </c>
      <c r="J2207" t="n">
        <v>0.8</v>
      </c>
      <c r="K2207" t="n">
        <v>0</v>
      </c>
      <c r="L2207" t="n">
        <v>0</v>
      </c>
      <c r="M2207" t="n">
        <v>36</v>
      </c>
      <c r="N2207" t="inlineStr">
        <is>
          <t>Tier 3</t>
        </is>
      </c>
      <c r="O2207" t="inlineStr">
        <is>
          <t>Scott George — VP of Supply Chain; Bryan Plazo — Sr Fulfillment Officer; David Tran — Senior Management, Supply Chain &amp; Logistics Strategist; Joey DeGuzman — Sr Supply Chain Manager; Andrew Magana — COO</t>
        </is>
      </c>
      <c r="P2207" t="inlineStr">
        <is>
          <t>VP of Supply Chain | COO | Sr Fulfillment Officer</t>
        </is>
      </c>
      <c r="Y2207" t="inlineStr">
        <is>
          <t>todo</t>
        </is>
      </c>
      <c r="Z2207">
        <f>(M2207*Weights!$B$2) + (MIN(Q2207,Weights!$B$5)*Weights!$B$3*(W2207/100)*Weights!$B$4)</f>
        <v/>
      </c>
      <c r="AA2207">
        <f>IF(Z2207= ,,RANK.EQ({pri_col_letter}{r},{pri_range},0))</f>
        <v/>
      </c>
    </row>
    <row r="2208">
      <c r="A2208" t="inlineStr">
        <is>
          <t>Ford Motor Company</t>
        </is>
      </c>
      <c r="B2208" t="n">
        <v>8</v>
      </c>
      <c r="C2208" t="n">
        <v>1</v>
      </c>
      <c r="D2208" t="n">
        <v>7</v>
      </c>
      <c r="E2208" t="n">
        <v>0</v>
      </c>
      <c r="F2208" t="n">
        <v>0</v>
      </c>
      <c r="G2208" t="n">
        <v>0</v>
      </c>
      <c r="I2208" t="n">
        <v>0</v>
      </c>
      <c r="J2208" t="n">
        <v>0.875</v>
      </c>
      <c r="K2208" t="n">
        <v>0</v>
      </c>
      <c r="L2208" t="n">
        <v>25</v>
      </c>
      <c r="M2208" t="n">
        <v>76</v>
      </c>
      <c r="N2208" t="inlineStr">
        <is>
          <t>Tier 2</t>
        </is>
      </c>
      <c r="O2208" t="inlineStr">
        <is>
          <t>Douglas Cantriel — Head of North American Transportation &amp; Modernization; Aaron Bartal — Import &amp; Export Transportation Manager; Abigail Espinoza — Indirect Transportation Leader; Derek Rafalski — Replenishment &amp; Outbound Transportation Leader; Elijah Rosenthal — Network Transportation Manager</t>
        </is>
      </c>
      <c r="P2208" t="inlineStr">
        <is>
          <t>Head of North American Transportation &amp; Modernization | Import &amp; Export Transportation Manager | Indirect Transportation Leader</t>
        </is>
      </c>
      <c r="Y2208" t="inlineStr">
        <is>
          <t>todo</t>
        </is>
      </c>
      <c r="Z2208">
        <f>(M2208*Weights!$B$2) + (MIN(Q2208,Weights!$B$5)*Weights!$B$3*(W2208/100)*Weights!$B$4)</f>
        <v/>
      </c>
      <c r="AA2208">
        <f>IF(Z2208= ,,RANK.EQ({pri_col_letter}{r},{pri_range},0))</f>
        <v/>
      </c>
    </row>
    <row r="2209">
      <c r="A2209" t="inlineStr">
        <is>
          <t>GOAT Group</t>
        </is>
      </c>
      <c r="B2209" t="n">
        <v>8</v>
      </c>
      <c r="C2209" t="n">
        <v>1</v>
      </c>
      <c r="D2209" t="n">
        <v>7</v>
      </c>
      <c r="E2209" t="n">
        <v>0</v>
      </c>
      <c r="F2209" t="n">
        <v>0</v>
      </c>
      <c r="G2209" t="n">
        <v>2</v>
      </c>
      <c r="I2209" t="n">
        <v>2</v>
      </c>
      <c r="J2209" t="n">
        <v>0.875</v>
      </c>
      <c r="K2209" t="n">
        <v>0</v>
      </c>
      <c r="L2209" t="n">
        <v>25</v>
      </c>
      <c r="M2209" t="n">
        <v>76</v>
      </c>
      <c r="N2209" t="inlineStr">
        <is>
          <t>Tier 2</t>
        </is>
      </c>
      <c r="O2209" t="inlineStr">
        <is>
          <t>Ken Boremi — VP Global Logistics; Gloria Seckler Osuna — Director, Operations Data &amp; Strategy; Sam Im — Senior Director, Global Fulfillment; Alex Kim — Associate Director, Domestic Fulfillment; David Lewington — Director of Global Logistics</t>
        </is>
      </c>
      <c r="P2209" t="inlineStr">
        <is>
          <t>VP Global Logistics | Director, Operations Data &amp; Strategy | Senior Director, Global Fulfillment</t>
        </is>
      </c>
      <c r="Y2209" t="inlineStr">
        <is>
          <t>todo</t>
        </is>
      </c>
      <c r="Z2209">
        <f>(M2209*Weights!$B$2) + (MIN(Q2209,Weights!$B$5)*Weights!$B$3*(W2209/100)*Weights!$B$4)</f>
        <v/>
      </c>
      <c r="AA2209">
        <f>IF(Z2209= ,,RANK.EQ({pri_col_letter}{r},{pri_range},0))</f>
        <v/>
      </c>
    </row>
    <row r="2210">
      <c r="A2210" t="inlineStr">
        <is>
          <t>GEODIS</t>
        </is>
      </c>
      <c r="B2210" t="n">
        <v>6</v>
      </c>
      <c r="C2210" t="n">
        <v>1</v>
      </c>
      <c r="D2210" t="n">
        <v>1</v>
      </c>
      <c r="E2210" t="n">
        <v>0</v>
      </c>
      <c r="F2210" t="n">
        <v>2</v>
      </c>
      <c r="G2210" t="n">
        <v>0</v>
      </c>
      <c r="H2210" t="n">
        <v>12114000000</v>
      </c>
      <c r="I2210" t="n">
        <v>2</v>
      </c>
      <c r="J2210" t="n">
        <v>0.1666666666666667</v>
      </c>
      <c r="K2210" t="n">
        <v>0</v>
      </c>
      <c r="L2210" t="n">
        <v>25</v>
      </c>
      <c r="M2210" t="n">
        <v>76</v>
      </c>
      <c r="N2210" t="inlineStr">
        <is>
          <t>Tier 2</t>
        </is>
      </c>
      <c r="O2210" t="inlineStr">
        <is>
          <t>John Lower — VP, Transportation Brokerage; Shibu Raj — CIO &amp; EVP; Michelle Johnson — GEODIS; Guillaume Bournisien — Managing Director, North America Freight Forwarding; Gregor Thompson — VP Business Development</t>
        </is>
      </c>
      <c r="P2210" t="inlineStr">
        <is>
          <t>VP, Transportation Brokerage | CIO &amp; EVP | GEODIS</t>
        </is>
      </c>
      <c r="Y2210" t="inlineStr">
        <is>
          <t>todo</t>
        </is>
      </c>
      <c r="Z2210">
        <f>(M2210*Weights!$B$2) + (MIN(Q2210,Weights!$B$5)*Weights!$B$3*(W2210/100)*Weights!$B$4)</f>
        <v/>
      </c>
      <c r="AA2210">
        <f>IF(Z2210= ,,RANK.EQ({pri_col_letter}{r},{pri_range},0))</f>
        <v/>
      </c>
    </row>
    <row r="2211">
      <c r="A2211" t="inlineStr">
        <is>
          <t>Ryder System, Inc.</t>
        </is>
      </c>
      <c r="B2211" t="n">
        <v>15</v>
      </c>
      <c r="C2211" t="n">
        <v>3</v>
      </c>
      <c r="D2211" t="n">
        <v>3</v>
      </c>
      <c r="E2211" t="n">
        <v>0</v>
      </c>
      <c r="F2211" t="n">
        <v>5</v>
      </c>
      <c r="G2211" t="n">
        <v>3</v>
      </c>
      <c r="I2211" t="n">
        <v>8</v>
      </c>
      <c r="J2211" t="n">
        <v>0.2</v>
      </c>
      <c r="K2211" t="n">
        <v>12</v>
      </c>
      <c r="L2211" t="n">
        <v>25</v>
      </c>
      <c r="M2211" t="n">
        <v>75</v>
      </c>
      <c r="N2211" t="inlineStr">
        <is>
          <t>Tier 2</t>
        </is>
      </c>
      <c r="O2211" t="inlineStr">
        <is>
          <t>Kendra Phillips — VP Transportation Management &amp; Brokerage; Kristy Killingbeck — Vice President, Supply Chain Operations; Gary Allen — VP Supply Chain Excellence; Anne Hendricks — Director Corporate Communications; Dave Yoder — Group Director Product Development &amp; Innovation</t>
        </is>
      </c>
      <c r="P2211" t="inlineStr">
        <is>
          <t>VP Transportation Management &amp; Brokerage | Vice President, Supply Chain Operations | VP Supply Chain Excellence</t>
        </is>
      </c>
      <c r="Y2211" t="inlineStr">
        <is>
          <t>todo</t>
        </is>
      </c>
      <c r="Z2211">
        <f>(M2211*Weights!$B$2) + (MIN(Q2211,Weights!$B$5)*Weights!$B$3*(W2211/100)*Weights!$B$4)</f>
        <v/>
      </c>
      <c r="AA2211">
        <f>IF(Z2211= ,,RANK.EQ({pri_col_letter}{r},{pri_range},0))</f>
        <v/>
      </c>
    </row>
    <row r="2212">
      <c r="A2212" t="inlineStr">
        <is>
          <t>ULINE</t>
        </is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11000000000</v>
      </c>
      <c r="I2212" t="n">
        <v>0</v>
      </c>
      <c r="J2212" t="n">
        <v>1</v>
      </c>
      <c r="K2212" t="n">
        <v>0</v>
      </c>
      <c r="L2212" t="n">
        <v>25</v>
      </c>
      <c r="M2212" t="n">
        <v>75</v>
      </c>
      <c r="N2212" t="inlineStr">
        <is>
          <t>Tier 2</t>
        </is>
      </c>
      <c r="O2212" t="inlineStr">
        <is>
          <t>Angelo Ventrone — VP of Logistics</t>
        </is>
      </c>
      <c r="P2212" t="inlineStr">
        <is>
          <t>VP of Logistics</t>
        </is>
      </c>
      <c r="Y2212" t="inlineStr">
        <is>
          <t>todo</t>
        </is>
      </c>
      <c r="Z2212">
        <f>(M2212*Weights!$B$2) + (MIN(Q2212,Weights!$B$5)*Weights!$B$3*(W2212/100)*Weights!$B$4)</f>
        <v/>
      </c>
      <c r="AA2212">
        <f>IF(Z2212= ,,RANK.EQ({pri_col_letter}{r},{pri_range},0))</f>
        <v/>
      </c>
    </row>
    <row r="2213">
      <c r="A2213" t="inlineStr">
        <is>
          <t>Cardinal Health</t>
        </is>
      </c>
      <c r="B2213" t="n">
        <v>11</v>
      </c>
      <c r="C2213" t="n">
        <v>0</v>
      </c>
      <c r="D2213" t="n">
        <v>9</v>
      </c>
      <c r="E2213" t="n">
        <v>1</v>
      </c>
      <c r="F2213" t="n">
        <v>1</v>
      </c>
      <c r="G2213" t="n">
        <v>1</v>
      </c>
      <c r="I2213" t="n">
        <v>2</v>
      </c>
      <c r="J2213" t="n">
        <v>0.8181818181818182</v>
      </c>
      <c r="K2213" t="n">
        <v>0</v>
      </c>
      <c r="L2213" t="n">
        <v>25</v>
      </c>
      <c r="M2213" t="n">
        <v>72</v>
      </c>
      <c r="N2213" t="inlineStr">
        <is>
          <t>Tier 2</t>
        </is>
      </c>
      <c r="O2213" t="inlineStr">
        <is>
          <t>Allyson Yalch — Senior Consultant - Transportation Procurement; Guy Antoine — Director, Logistics Operations; Jason Schwieterman — Director, Global Logistics – Business Intelligence; Jill Lester — Director, Logistics Products and Technology; Kim Abreu — Consultant, Parcel Transportation</t>
        </is>
      </c>
      <c r="P2213" t="inlineStr">
        <is>
          <t>Senior Consultant - Transportation Procurement | Director, Logistics Operations | Director, Global Logistics – Business Intelligence</t>
        </is>
      </c>
      <c r="Y2213" t="inlineStr">
        <is>
          <t>todo</t>
        </is>
      </c>
      <c r="Z2213">
        <f>(M2213*Weights!$B$2) + (MIN(Q2213,Weights!$B$5)*Weights!$B$3*(W2213/100)*Weights!$B$4)</f>
        <v/>
      </c>
      <c r="AA2213">
        <f>IF(Z2213= ,,RANK.EQ({pri_col_letter}{r},{pri_range},0))</f>
        <v/>
      </c>
    </row>
    <row r="2214">
      <c r="A2214" t="inlineStr">
        <is>
          <t>Church &amp; Dwight</t>
        </is>
      </c>
      <c r="B2214" t="n">
        <v>7</v>
      </c>
      <c r="C2214" t="n">
        <v>3</v>
      </c>
      <c r="D2214" t="n">
        <v>5</v>
      </c>
      <c r="E2214" t="n">
        <v>0</v>
      </c>
      <c r="F2214" t="n">
        <v>0</v>
      </c>
      <c r="G2214" t="n">
        <v>1</v>
      </c>
      <c r="I2214" t="n">
        <v>1</v>
      </c>
      <c r="J2214" t="n">
        <v>0.7142857142857143</v>
      </c>
      <c r="K2214" t="n">
        <v>0</v>
      </c>
      <c r="L2214" t="n">
        <v>0</v>
      </c>
      <c r="M2214" t="n">
        <v>72</v>
      </c>
      <c r="N2214" t="inlineStr">
        <is>
          <t>Tier 2</t>
        </is>
      </c>
      <c r="O2214" t="inlineStr">
        <is>
          <t>Carlos Ruiz — EVP, Chief Supply Chain Officer; Jerry Wolfe — VP, Supply Chain; Matt Duffy — VP, Supply Chain Strategy; Erskine Smith — Senior Director, Logistics; John Williams — Distribution Network Strategy &amp; Operations</t>
        </is>
      </c>
      <c r="P2214" t="inlineStr">
        <is>
          <t>VP, Supply Chain | VP, Supply Chain Strategy | EVP, Chief Supply Chain Officer</t>
        </is>
      </c>
      <c r="Y2214" t="inlineStr">
        <is>
          <t>todo</t>
        </is>
      </c>
      <c r="Z2214">
        <f>(M2214*Weights!$B$2) + (MIN(Q2214,Weights!$B$5)*Weights!$B$3*(W2214/100)*Weights!$B$4)</f>
        <v/>
      </c>
      <c r="AA2214">
        <f>IF(Z2214= ,,RANK.EQ({pri_col_letter}{r},{pri_range},0))</f>
        <v/>
      </c>
    </row>
    <row r="2215">
      <c r="A2215" t="inlineStr">
        <is>
          <t>Uline</t>
        </is>
      </c>
      <c r="B2215" t="n">
        <v>3</v>
      </c>
      <c r="C2215" t="n">
        <v>0</v>
      </c>
      <c r="D2215" t="n">
        <v>3</v>
      </c>
      <c r="E2215" t="n">
        <v>0</v>
      </c>
      <c r="F2215" t="n">
        <v>0</v>
      </c>
      <c r="G2215" t="n">
        <v>0</v>
      </c>
      <c r="H2215" t="n">
        <v>11000000000</v>
      </c>
      <c r="I2215" t="n">
        <v>0</v>
      </c>
      <c r="J2215" t="n">
        <v>1</v>
      </c>
      <c r="K2215" t="n">
        <v>0</v>
      </c>
      <c r="L2215" t="n">
        <v>25</v>
      </c>
      <c r="M2215" t="n">
        <v>70</v>
      </c>
      <c r="N2215" t="inlineStr">
        <is>
          <t>Tier 2</t>
        </is>
      </c>
      <c r="O2215" t="inlineStr">
        <is>
          <t>Kyle Bartko — Director of Logistics; Paul Ancona — Director of Operations; Jen Martin — Logistics Manager</t>
        </is>
      </c>
      <c r="P2215" t="inlineStr">
        <is>
          <t>Director of Logistics | Director of Operations | Logistics Manager</t>
        </is>
      </c>
      <c r="Y2215" t="inlineStr">
        <is>
          <t>todo</t>
        </is>
      </c>
      <c r="Z2215">
        <f>(M2215*Weights!$B$2) + (MIN(Q2215,Weights!$B$5)*Weights!$B$3*(W2215/100)*Weights!$B$4)</f>
        <v/>
      </c>
      <c r="AA2215">
        <f>IF(Z2215= ,,RANK.EQ({pri_col_letter}{r},{pri_range},0))</f>
        <v/>
      </c>
    </row>
    <row r="2216">
      <c r="A2216" t="inlineStr">
        <is>
          <t>DHL Supply Chain</t>
        </is>
      </c>
      <c r="B2216" t="n">
        <v>78</v>
      </c>
      <c r="C2216" t="n">
        <v>5</v>
      </c>
      <c r="D2216" t="n">
        <v>11</v>
      </c>
      <c r="E2216" t="n">
        <v>0</v>
      </c>
      <c r="F2216" t="n">
        <v>44</v>
      </c>
      <c r="G2216" t="n">
        <v>6</v>
      </c>
      <c r="I2216" t="n">
        <v>50</v>
      </c>
      <c r="J2216" t="n">
        <v>0.141025641025641</v>
      </c>
      <c r="K2216" t="n">
        <v>12</v>
      </c>
      <c r="L2216" t="n">
        <v>25</v>
      </c>
      <c r="M2216" t="n">
        <v>69</v>
      </c>
      <c r="N2216" t="inlineStr">
        <is>
          <t>Tier 2</t>
        </is>
      </c>
      <c r="O2216" t="inlineStr">
        <is>
          <t>James Hoskins — Vice President Operations; Todd Benton — Vice President Operations; Jake Armstrong — Vice President Operations; Paige Vanfossen — Vice President, Operations; Brendan Reinert — Vice President of Operations</t>
        </is>
      </c>
      <c r="P2216" t="inlineStr">
        <is>
          <t>Vice President of Operations | Vice President Operations | Vice President, Operations</t>
        </is>
      </c>
      <c r="Y2216" t="inlineStr">
        <is>
          <t>todo</t>
        </is>
      </c>
      <c r="Z2216">
        <f>(M2216*Weights!$B$2) + (MIN(Q2216,Weights!$B$5)*Weights!$B$3*(W2216/100)*Weights!$B$4)</f>
        <v/>
      </c>
      <c r="AA2216">
        <f>IF(Z2216= ,,RANK.EQ({pri_col_letter}{r},{pri_range},0))</f>
        <v/>
      </c>
    </row>
    <row r="2217">
      <c r="A2217" t="inlineStr">
        <is>
          <t>Kenvue</t>
        </is>
      </c>
      <c r="B2217" t="n">
        <v>8</v>
      </c>
      <c r="C2217" t="n">
        <v>2</v>
      </c>
      <c r="D2217" t="n">
        <v>7</v>
      </c>
      <c r="E2217" t="n">
        <v>1</v>
      </c>
      <c r="F2217" t="n">
        <v>0</v>
      </c>
      <c r="G2217" t="n">
        <v>0</v>
      </c>
      <c r="I2217" t="n">
        <v>0</v>
      </c>
      <c r="J2217" t="n">
        <v>0.875</v>
      </c>
      <c r="K2217" t="n">
        <v>0</v>
      </c>
      <c r="L2217" t="n">
        <v>0</v>
      </c>
      <c r="M2217" t="n">
        <v>68</v>
      </c>
      <c r="N2217" t="inlineStr">
        <is>
          <t>Tier 2</t>
        </is>
      </c>
      <c r="O2217" t="inlineStr">
        <is>
          <t>Meri Stevens — Chief Operations Officer; Rodney Leonard — VP, US Deliver Operations; Christian Corrado — Sr Director Logistics Procurement; Chris Williams — Sr. Director Distribution and Transportation; Darlene Krysiak — Director NA Transportation &amp; Trade Compliance</t>
        </is>
      </c>
      <c r="P2217" t="inlineStr">
        <is>
          <t>VP, US Deliver Operations | Chief Operations Officer | Sr Director Logistics Procurement</t>
        </is>
      </c>
      <c r="Y2217" t="inlineStr">
        <is>
          <t>todo</t>
        </is>
      </c>
      <c r="Z2217">
        <f>(M2217*Weights!$B$2) + (MIN(Q2217,Weights!$B$5)*Weights!$B$3*(W2217/100)*Weights!$B$4)</f>
        <v/>
      </c>
      <c r="AA2217">
        <f>IF(Z2217= ,,RANK.EQ({pri_col_letter}{r},{pri_range},0))</f>
        <v/>
      </c>
    </row>
    <row r="2218">
      <c r="A2218" t="inlineStr">
        <is>
          <t>Dollar General</t>
        </is>
      </c>
      <c r="B2218" t="n">
        <v>5</v>
      </c>
      <c r="C2218" t="n">
        <v>3</v>
      </c>
      <c r="D2218" t="n">
        <v>4</v>
      </c>
      <c r="E2218" t="n">
        <v>0</v>
      </c>
      <c r="F2218" t="n">
        <v>0</v>
      </c>
      <c r="G2218" t="n">
        <v>0</v>
      </c>
      <c r="I2218" t="n">
        <v>0</v>
      </c>
      <c r="J2218" t="n">
        <v>0.8</v>
      </c>
      <c r="K2218" t="n">
        <v>0</v>
      </c>
      <c r="L2218" t="n">
        <v>0</v>
      </c>
      <c r="M2218" t="n">
        <v>66</v>
      </c>
      <c r="N2218" t="inlineStr">
        <is>
          <t>Tier 2</t>
        </is>
      </c>
      <c r="O2218" t="inlineStr">
        <is>
          <t>Rod West — EVP, Global Supply Chain; Nick Metzger — VP, Distribution Centers; Misty Melton — Vice President, Supply Chain Distribution; John Morgan — Senior Logistics Manager; Brian Mitchell — Sr. Director</t>
        </is>
      </c>
      <c r="P2218" t="inlineStr">
        <is>
          <t>VP, Distribution Centers | Vice President, Supply Chain Distribution | EVP, Global Supply Chain</t>
        </is>
      </c>
      <c r="Y2218" t="inlineStr">
        <is>
          <t>todo</t>
        </is>
      </c>
      <c r="Z2218">
        <f>(M2218*Weights!$B$2) + (MIN(Q2218,Weights!$B$5)*Weights!$B$3*(W2218/100)*Weights!$B$4)</f>
        <v/>
      </c>
      <c r="AA2218">
        <f>IF(Z2218= ,,RANK.EQ({pri_col_letter}{r},{pri_range},0))</f>
        <v/>
      </c>
    </row>
    <row r="2219">
      <c r="A2219" t="inlineStr">
        <is>
          <t>PepsiCo</t>
        </is>
      </c>
      <c r="B2219" t="n">
        <v>15</v>
      </c>
      <c r="C2219" t="n">
        <v>0</v>
      </c>
      <c r="D2219" t="n">
        <v>5</v>
      </c>
      <c r="E2219" t="n">
        <v>1</v>
      </c>
      <c r="F2219" t="n">
        <v>0</v>
      </c>
      <c r="G2219" t="n">
        <v>0</v>
      </c>
      <c r="I2219" t="n">
        <v>0</v>
      </c>
      <c r="J2219" t="n">
        <v>0.3333333333333333</v>
      </c>
      <c r="K2219" t="n">
        <v>0</v>
      </c>
      <c r="L2219" t="n">
        <v>25</v>
      </c>
      <c r="M2219" t="n">
        <v>62</v>
      </c>
      <c r="N2219" t="inlineStr">
        <is>
          <t>Tier 2</t>
        </is>
      </c>
      <c r="O2219" t="inlineStr">
        <is>
          <t>Adam Buttgenbach — Global Procurement Director, Fleet Transformation; Caroline Hirner — North America Fleet Sustainability Mgr; Derek Dellinger — Warehouse Director; Gaston Bukasa — North America Fleet Sustainability Mgr; Bob Zimmer — Fleet Sr Manager</t>
        </is>
      </c>
      <c r="P2219" t="inlineStr">
        <is>
          <t>Global Procurement Director, Fleet Transformation | North America Fleet Sustainability Mgr | Warehouse Director</t>
        </is>
      </c>
      <c r="Y2219" t="inlineStr">
        <is>
          <t>todo</t>
        </is>
      </c>
      <c r="Z2219">
        <f>(M2219*Weights!$B$2) + (MIN(Q2219,Weights!$B$5)*Weights!$B$3*(W2219/100)*Weights!$B$4)</f>
        <v/>
      </c>
      <c r="AA2219">
        <f>IF(Z2219= ,,RANK.EQ({pri_col_letter}{r},{pri_range},0))</f>
        <v/>
      </c>
    </row>
    <row r="2220">
      <c r="A2220" t="inlineStr">
        <is>
          <t>BNSF Railway</t>
        </is>
      </c>
      <c r="B2220" t="n">
        <v>3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23350000000</v>
      </c>
      <c r="I2220" t="n">
        <v>0</v>
      </c>
      <c r="J2220" t="n">
        <v>0.3333333333333333</v>
      </c>
      <c r="K2220" t="n">
        <v>0</v>
      </c>
      <c r="L2220" t="n">
        <v>25</v>
      </c>
      <c r="M2220" t="n">
        <v>62</v>
      </c>
      <c r="N2220" t="inlineStr">
        <is>
          <t>Tier 2</t>
        </is>
      </c>
      <c r="O2220" t="inlineStr">
        <is>
          <t>Cody Coats — Intermodal Solutions Manager; Jon Gabriel — Group Vice President, Consumer Products; Stephanie Kuntzman — Assistant Vice President, Consumer Products</t>
        </is>
      </c>
      <c r="P2220" t="inlineStr">
        <is>
          <t>Assistant Vice President, Consumer Products | Group Vice President, Consumer Products | Intermodal Solutions Manager</t>
        </is>
      </c>
      <c r="Y2220" t="inlineStr">
        <is>
          <t>todo</t>
        </is>
      </c>
      <c r="Z2220">
        <f>(M2220*Weights!$B$2) + (MIN(Q2220,Weights!$B$5)*Weights!$B$3*(W2220/100)*Weights!$B$4)</f>
        <v/>
      </c>
      <c r="AA2220">
        <f>IF(Z2220= ,,RANK.EQ({pri_col_letter}{r},{pri_range},0))</f>
        <v/>
      </c>
    </row>
    <row r="2221">
      <c r="A2221" t="inlineStr">
        <is>
          <t>Butcher Box</t>
        </is>
      </c>
      <c r="B2221" t="n">
        <v>3</v>
      </c>
      <c r="C2221" t="n">
        <v>3</v>
      </c>
      <c r="D2221" t="n">
        <v>3</v>
      </c>
      <c r="E2221" t="n">
        <v>1</v>
      </c>
      <c r="F2221" t="n">
        <v>0</v>
      </c>
      <c r="G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62</v>
      </c>
      <c r="N2221" t="inlineStr">
        <is>
          <t>Tier 2</t>
        </is>
      </c>
      <c r="O2221" t="inlineStr">
        <is>
          <t>Clark Howard — Chief Supply Chain and Procurement Officer; Greg Norton — VP of Operations; Anudeep Kuppampati — Head of Supply Chain Systems</t>
        </is>
      </c>
      <c r="P2221" t="inlineStr">
        <is>
          <t>Chief Supply Chain and Procurement Officer | VP of Operations | Head of Supply Chain Systems</t>
        </is>
      </c>
      <c r="Y2221" t="inlineStr">
        <is>
          <t>todo</t>
        </is>
      </c>
      <c r="Z2221">
        <f>(M2221*Weights!$B$2) + (MIN(Q2221,Weights!$B$5)*Weights!$B$3*(W2221/100)*Weights!$B$4)</f>
        <v/>
      </c>
      <c r="AA2221">
        <f>IF(Z2221= ,,RANK.EQ({pri_col_letter}{r},{pri_range},0))</f>
        <v/>
      </c>
    </row>
    <row r="2222">
      <c r="A2222" t="inlineStr">
        <is>
          <t>Amazon</t>
        </is>
      </c>
      <c r="B2222" t="n">
        <v>10</v>
      </c>
      <c r="C2222" t="n">
        <v>0</v>
      </c>
      <c r="D2222" t="n">
        <v>6</v>
      </c>
      <c r="E2222" t="n">
        <v>1</v>
      </c>
      <c r="F2222" t="n">
        <v>0</v>
      </c>
      <c r="G2222" t="n">
        <v>3</v>
      </c>
      <c r="I2222" t="n">
        <v>3</v>
      </c>
      <c r="J2222" t="n">
        <v>0.6</v>
      </c>
      <c r="K2222" t="n">
        <v>0</v>
      </c>
      <c r="L2222" t="n">
        <v>25</v>
      </c>
      <c r="M2222" t="n">
        <v>61</v>
      </c>
      <c r="N2222" t="inlineStr">
        <is>
          <t>Tier 2</t>
        </is>
      </c>
      <c r="O2222" t="inlineStr">
        <is>
          <t>Cait Gillespie — Supply Chain Manager, Grocery Logistics; Andy Parra — Director, Supply Chain Mexico; John Wong — Supply Chain Industrial Fund; Alyssa Opzoomer — 3PL Supply Chain Strategy; Jisoo Yoon — Supply Chain Manager, WW Engineering</t>
        </is>
      </c>
      <c r="P2222" t="inlineStr">
        <is>
          <t>Director, Supply Chain Mexico | Supply Chain Industrial Fund | 3PL Supply Chain Strategy</t>
        </is>
      </c>
      <c r="Y2222" t="inlineStr">
        <is>
          <t>todo</t>
        </is>
      </c>
      <c r="Z2222">
        <f>(M2222*Weights!$B$2) + (MIN(Q2222,Weights!$B$5)*Weights!$B$3*(W2222/100)*Weights!$B$4)</f>
        <v/>
      </c>
      <c r="AA2222">
        <f>IF(Z2222= ,,RANK.EQ({pri_col_letter}{r},{pri_range},0))</f>
        <v/>
      </c>
    </row>
    <row r="2223">
      <c r="A2223" t="inlineStr">
        <is>
          <t>Mattel</t>
        </is>
      </c>
      <c r="B2223" t="n">
        <v>4</v>
      </c>
      <c r="C2223" t="n">
        <v>3</v>
      </c>
      <c r="D2223" t="n">
        <v>3</v>
      </c>
      <c r="E2223" t="n">
        <v>0</v>
      </c>
      <c r="F2223" t="n">
        <v>0</v>
      </c>
      <c r="G2223" t="n">
        <v>1</v>
      </c>
      <c r="I2223" t="n">
        <v>1</v>
      </c>
      <c r="J2223" t="n">
        <v>0.75</v>
      </c>
      <c r="K2223" t="n">
        <v>0</v>
      </c>
      <c r="L2223" t="n">
        <v>0</v>
      </c>
      <c r="M2223" t="n">
        <v>61</v>
      </c>
      <c r="N2223" t="inlineStr">
        <is>
          <t>Tier 2</t>
        </is>
      </c>
      <c r="O2223" t="inlineStr">
        <is>
          <t>Deepak Telang — VP, Supply Chain; Gregory Javor — SVP, Global Supply Chain Operations; Mario Ayala — VP, NA DC operations &amp; Direct to Consumer Logistics; Nirav Parikh — Sr. Director IT Solutions</t>
        </is>
      </c>
      <c r="P2223" t="inlineStr">
        <is>
          <t>VP, Supply Chain | SVP, Global Supply Chain Operations | VP, NA DC operations &amp; Direct to Consumer Logistics</t>
        </is>
      </c>
      <c r="Y2223" t="inlineStr">
        <is>
          <t>todo</t>
        </is>
      </c>
      <c r="Z2223">
        <f>(M2223*Weights!$B$2) + (MIN(Q2223,Weights!$B$5)*Weights!$B$3*(W2223/100)*Weights!$B$4)</f>
        <v/>
      </c>
      <c r="AA2223">
        <f>IF(Z2223= ,,RANK.EQ({pri_col_letter}{r},{pri_range},0))</f>
        <v/>
      </c>
    </row>
    <row r="2224">
      <c r="A2224" t="inlineStr">
        <is>
          <t>Target</t>
        </is>
      </c>
      <c r="B2224" t="n">
        <v>4</v>
      </c>
      <c r="C2224" t="n">
        <v>1</v>
      </c>
      <c r="D2224" t="n">
        <v>4</v>
      </c>
      <c r="E2224" t="n">
        <v>0</v>
      </c>
      <c r="F2224" t="n">
        <v>0</v>
      </c>
      <c r="G2224" t="n">
        <v>0</v>
      </c>
      <c r="I2224" t="n">
        <v>0</v>
      </c>
      <c r="J2224" t="n">
        <v>1</v>
      </c>
      <c r="K2224" t="n">
        <v>0</v>
      </c>
      <c r="L2224" t="n">
        <v>25</v>
      </c>
      <c r="M2224" t="n">
        <v>60</v>
      </c>
      <c r="N2224" t="inlineStr">
        <is>
          <t>Tier 2</t>
        </is>
      </c>
      <c r="O2224" t="inlineStr">
        <is>
          <t>Daryl Glass — SVP, Fulfillment &amp; Last Mile; Alex Ramos — Senior Director First Mile Transportation; Ashley MacLearn — Sr. Director of Inventory Management Operations; Michael Boegemann — Senior Director, Operations Solution Design</t>
        </is>
      </c>
      <c r="P2224" t="inlineStr">
        <is>
          <t>SVP, Fulfillment &amp; Last Mile | Senior Director First Mile Transportation | Sr. Director of Inventory Management Operations</t>
        </is>
      </c>
      <c r="Y2224" t="inlineStr">
        <is>
          <t>todo</t>
        </is>
      </c>
      <c r="Z2224">
        <f>(M2224*Weights!$B$2) + (MIN(Q2224,Weights!$B$5)*Weights!$B$3*(W2224/100)*Weights!$B$4)</f>
        <v/>
      </c>
      <c r="AA2224">
        <f>IF(Z2224= ,,RANK.EQ({pri_col_letter}{r},{pri_range},0))</f>
        <v/>
      </c>
    </row>
    <row r="2225">
      <c r="A2225" t="inlineStr">
        <is>
          <t>Misfits Market</t>
        </is>
      </c>
      <c r="B2225" t="n">
        <v>3</v>
      </c>
      <c r="C2225" t="n">
        <v>3</v>
      </c>
      <c r="D2225" t="n">
        <v>3</v>
      </c>
      <c r="E2225" t="n">
        <v>0</v>
      </c>
      <c r="F2225" t="n">
        <v>0</v>
      </c>
      <c r="G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60</v>
      </c>
      <c r="N2225" t="inlineStr">
        <is>
          <t>Tier 2</t>
        </is>
      </c>
      <c r="O2225" t="inlineStr">
        <is>
          <t>Neil Neufeld — Chief Supply Chain Officer; Tony Masco — VP of Logistics; Rahul Signal — VP of Supply Chain</t>
        </is>
      </c>
      <c r="P2225" t="inlineStr">
        <is>
          <t>VP of Logistics | VP of Supply Chain | Chief Supply Chain Officer</t>
        </is>
      </c>
      <c r="Y2225" t="inlineStr">
        <is>
          <t>todo</t>
        </is>
      </c>
      <c r="Z2225">
        <f>(M2225*Weights!$B$2) + (MIN(Q2225,Weights!$B$5)*Weights!$B$3*(W2225/100)*Weights!$B$4)</f>
        <v/>
      </c>
      <c r="AA2225">
        <f>IF(Z2225= ,,RANK.EQ({pri_col_letter}{r},{pri_range},0))</f>
        <v/>
      </c>
    </row>
    <row r="2226">
      <c r="A2226" t="inlineStr">
        <is>
          <t>GoodShip</t>
        </is>
      </c>
      <c r="B2226" t="n">
        <v>17</v>
      </c>
      <c r="C2226" t="n">
        <v>2</v>
      </c>
      <c r="D2226" t="n">
        <v>6</v>
      </c>
      <c r="E2226" t="n">
        <v>1</v>
      </c>
      <c r="F2226" t="n">
        <v>7</v>
      </c>
      <c r="G2226" t="n">
        <v>1</v>
      </c>
      <c r="I2226" t="n">
        <v>8</v>
      </c>
      <c r="J2226" t="n">
        <v>0.3529411764705883</v>
      </c>
      <c r="K2226" t="n">
        <v>0</v>
      </c>
      <c r="L2226" t="n">
        <v>0</v>
      </c>
      <c r="M2226" t="n">
        <v>59</v>
      </c>
      <c r="N2226" t="inlineStr">
        <is>
          <t>Tier 2</t>
        </is>
      </c>
      <c r="O2226" t="inlineStr">
        <is>
          <t>John Pisano — Head of Operations; Jeremy Larson — VP of Transportation; Mike Teasdale — Director, Logistics Sourcing; Jonathan Mullis — Sr Manager Domestic Logistics; Jim Carver — Sr. Director of Supply Chain</t>
        </is>
      </c>
      <c r="P2226" t="inlineStr">
        <is>
          <t>VP of Transportation | Head of Operations | Director, Logistics Sourcing</t>
        </is>
      </c>
      <c r="Y2226" t="inlineStr">
        <is>
          <t>todo</t>
        </is>
      </c>
      <c r="Z2226">
        <f>(M2226*Weights!$B$2) + (MIN(Q2226,Weights!$B$5)*Weights!$B$3*(W2226/100)*Weights!$B$4)</f>
        <v/>
      </c>
      <c r="AA2226">
        <f>IF(Z2226= ,,RANK.EQ({pri_col_letter}{r},{pri_range},0))</f>
        <v/>
      </c>
    </row>
    <row r="2227">
      <c r="A2227" t="inlineStr">
        <is>
          <t>Covenant Logistics</t>
        </is>
      </c>
      <c r="B2227" t="n">
        <v>6</v>
      </c>
      <c r="C2227" t="n">
        <v>3</v>
      </c>
      <c r="D2227" t="n">
        <v>3</v>
      </c>
      <c r="E2227" t="n">
        <v>0</v>
      </c>
      <c r="F2227" t="n">
        <v>2</v>
      </c>
      <c r="G2227" t="n">
        <v>0</v>
      </c>
      <c r="I2227" t="n">
        <v>2</v>
      </c>
      <c r="J2227" t="n">
        <v>0.5</v>
      </c>
      <c r="K2227" t="n">
        <v>0</v>
      </c>
      <c r="L2227" t="n">
        <v>0</v>
      </c>
      <c r="M2227" t="n">
        <v>59</v>
      </c>
      <c r="N2227" t="inlineStr">
        <is>
          <t>Tier 2</t>
        </is>
      </c>
      <c r="O2227" t="inlineStr">
        <is>
          <t>Jim Massengill — SVP, Warehouse Operations; Jon Stanley — VP, Contract Warehousing &amp; Distribution Sales; Nate Cowart — VP, Sales - Contract Logistics; Matt McLelland — VP of Sustainability and Innovation; Tyson Wimberly — Senior Vice President</t>
        </is>
      </c>
      <c r="P2227" t="inlineStr">
        <is>
          <t>SVP, Warehouse Operations | Senior Vice President | COO</t>
        </is>
      </c>
      <c r="Y2227" t="inlineStr">
        <is>
          <t>todo</t>
        </is>
      </c>
      <c r="Z2227">
        <f>(M2227*Weights!$B$2) + (MIN(Q2227,Weights!$B$5)*Weights!$B$3*(W2227/100)*Weights!$B$4)</f>
        <v/>
      </c>
      <c r="AA2227">
        <f>IF(Z2227= ,,RANK.EQ({pri_col_letter}{r},{pri_range},0))</f>
        <v/>
      </c>
    </row>
    <row r="2228">
      <c r="A2228" t="inlineStr">
        <is>
          <t>DSV</t>
        </is>
      </c>
      <c r="B2228" t="n">
        <v>11</v>
      </c>
      <c r="C2228" t="n">
        <v>1</v>
      </c>
      <c r="D2228" t="n">
        <v>2</v>
      </c>
      <c r="E2228" t="n">
        <v>0</v>
      </c>
      <c r="F2228" t="n">
        <v>1</v>
      </c>
      <c r="G2228" t="n">
        <v>1</v>
      </c>
      <c r="I2228" t="n">
        <v>2</v>
      </c>
      <c r="J2228" t="n">
        <v>0.1818181818181818</v>
      </c>
      <c r="K2228" t="n">
        <v>0</v>
      </c>
      <c r="L2228" t="n">
        <v>25</v>
      </c>
      <c r="M2228" t="n">
        <v>57</v>
      </c>
      <c r="N2228" t="inlineStr">
        <is>
          <t>Tier 2</t>
        </is>
      </c>
      <c r="O2228" t="inlineStr">
        <is>
          <t>Cathy Sidaphay — VP Global Transport and Logistics; Daniel Bergman — CCO Contract Logistics; Fabiana Nakai — VP of Multi-National Accounts; Filip Wilssens — Director, Head Process, Data &amp; Digitalization NORAM/LATAM; Peter Matthiesen — Head of Innovation</t>
        </is>
      </c>
      <c r="P2228" t="inlineStr">
        <is>
          <t>VP Global Transport and Logistics | CCO Contract Logistics | VP of Multi-National Accounts</t>
        </is>
      </c>
      <c r="Y2228" t="inlineStr">
        <is>
          <t>todo</t>
        </is>
      </c>
      <c r="Z2228">
        <f>(M2228*Weights!$B$2) + (MIN(Q2228,Weights!$B$5)*Weights!$B$3*(W2228/100)*Weights!$B$4)</f>
        <v/>
      </c>
      <c r="AA2228">
        <f>IF(Z2228= ,,RANK.EQ({pri_col_letter}{r},{pri_range},0))</f>
        <v/>
      </c>
    </row>
    <row r="2229">
      <c r="A2229" t="inlineStr">
        <is>
          <t>Cart.com</t>
        </is>
      </c>
      <c r="B2229" t="n">
        <v>4</v>
      </c>
      <c r="C2229" t="n">
        <v>3</v>
      </c>
      <c r="D2229" t="n">
        <v>3</v>
      </c>
      <c r="E2229" t="n">
        <v>0</v>
      </c>
      <c r="F2229" t="n">
        <v>2</v>
      </c>
      <c r="G2229" t="n">
        <v>0</v>
      </c>
      <c r="I2229" t="n">
        <v>2</v>
      </c>
      <c r="J2229" t="n">
        <v>0.75</v>
      </c>
      <c r="K2229" t="n">
        <v>0</v>
      </c>
      <c r="L2229" t="n">
        <v>0</v>
      </c>
      <c r="M2229" t="n">
        <v>57</v>
      </c>
      <c r="N2229" t="inlineStr">
        <is>
          <t>Tier 2</t>
        </is>
      </c>
      <c r="O2229" t="inlineStr">
        <is>
          <t>Doug King — VP of Transportation; Mario Rivera — SVP, Fulfillment Solutions; Rav Randhawa — VP Fulfillment Sales; Carolyn Martin — VP, Business Development</t>
        </is>
      </c>
      <c r="P2229" t="inlineStr">
        <is>
          <t>VP of Transportation | SVP, Fulfillment Solutions | VP Fulfillment Sales</t>
        </is>
      </c>
      <c r="Y2229" t="inlineStr">
        <is>
          <t>todo</t>
        </is>
      </c>
      <c r="Z2229">
        <f>(M2229*Weights!$B$2) + (MIN(Q2229,Weights!$B$5)*Weights!$B$3*(W2229/100)*Weights!$B$4)</f>
        <v/>
      </c>
      <c r="AA2229">
        <f>IF(Z2229= ,,RANK.EQ({pri_col_letter}{r},{pri_range},0))</f>
        <v/>
      </c>
    </row>
    <row r="2230">
      <c r="A2230" t="inlineStr">
        <is>
          <t>Distribution Management</t>
        </is>
      </c>
      <c r="B2230" t="n">
        <v>3</v>
      </c>
      <c r="C2230" t="n">
        <v>2</v>
      </c>
      <c r="D2230" t="n">
        <v>3</v>
      </c>
      <c r="E2230" t="n">
        <v>0</v>
      </c>
      <c r="F2230" t="n">
        <v>0</v>
      </c>
      <c r="G2230" t="n">
        <v>0</v>
      </c>
      <c r="H2230" t="n">
        <v>800000000</v>
      </c>
      <c r="I2230" t="n">
        <v>0</v>
      </c>
      <c r="J2230" t="n">
        <v>1</v>
      </c>
      <c r="K2230" t="n">
        <v>0</v>
      </c>
      <c r="L2230" t="n">
        <v>0</v>
      </c>
      <c r="M2230" t="n">
        <v>57</v>
      </c>
      <c r="N2230" t="inlineStr">
        <is>
          <t>Tier 2</t>
        </is>
      </c>
      <c r="O2230" t="inlineStr">
        <is>
          <t>Rick Goe — SVP, Supply Chain; Alex McCoy — VP of DC Operations; Tim Gramlich — Director of Transportation</t>
        </is>
      </c>
      <c r="P2230" t="inlineStr">
        <is>
          <t>VP of DC Operations | SVP, Supply Chain | Director of Transportation</t>
        </is>
      </c>
      <c r="Y2230" t="inlineStr">
        <is>
          <t>todo</t>
        </is>
      </c>
      <c r="Z2230">
        <f>(M2230*Weights!$B$2) + (MIN(Q2230,Weights!$B$5)*Weights!$B$3*(W2230/100)*Weights!$B$4)</f>
        <v/>
      </c>
      <c r="AA2230">
        <f>IF(Z2230= ,,RANK.EQ({pri_col_letter}{r},{pri_range},0))</f>
        <v/>
      </c>
    </row>
    <row r="2231">
      <c r="A2231" t="inlineStr">
        <is>
          <t>GXO</t>
        </is>
      </c>
      <c r="B2231" t="n">
        <v>14</v>
      </c>
      <c r="C2231" t="n">
        <v>6</v>
      </c>
      <c r="D2231" t="n">
        <v>7</v>
      </c>
      <c r="E2231" t="n">
        <v>0</v>
      </c>
      <c r="F2231" t="n">
        <v>0</v>
      </c>
      <c r="G2231" t="n">
        <v>2</v>
      </c>
      <c r="I2231" t="n">
        <v>2</v>
      </c>
      <c r="J2231" t="n">
        <v>0.5</v>
      </c>
      <c r="K2231" t="n">
        <v>0</v>
      </c>
      <c r="L2231" t="n">
        <v>25</v>
      </c>
      <c r="M2231" t="n">
        <v>157</v>
      </c>
      <c r="N2231" t="inlineStr">
        <is>
          <t>Tier 1</t>
        </is>
      </c>
      <c r="O2231" t="inlineStr">
        <is>
          <t>Jamie Saucedo — Vice President, Business Operations; Kim Kyle — Senior Vice President, Operations - Consumer (Operations Management); Cathy Chambers — Vice President, SC Operations; Chris Alfonso — Vice President, SC Operations; Derek Drabenstadt — VP, SC Operations</t>
        </is>
      </c>
      <c r="P2231" t="inlineStr">
        <is>
          <t>Senior Vice President, Operations - Consumer (Operations Management) | Vice President, SC Operations | VP, SC Operations</t>
        </is>
      </c>
      <c r="Y2231" t="inlineStr">
        <is>
          <t>todo</t>
        </is>
      </c>
      <c r="Z2231">
        <f>(M2231*Weights!$B$2) + (MIN(Q2231,Weights!$B$5)*Weights!$B$3*(W2231/100)*Weights!$B$4)</f>
        <v/>
      </c>
      <c r="AA2231">
        <f>IF(Z2231= ,,RANK.EQ({pri_col_letter}{r},{pri_range},0))</f>
        <v/>
      </c>
    </row>
    <row r="2232">
      <c r="A2232" t="inlineStr">
        <is>
          <t>StockX</t>
        </is>
      </c>
      <c r="B2232" t="n">
        <v>10</v>
      </c>
      <c r="C2232" t="n">
        <v>4</v>
      </c>
      <c r="D2232" t="n">
        <v>7</v>
      </c>
      <c r="E2232" t="n">
        <v>1</v>
      </c>
      <c r="F2232" t="n">
        <v>0</v>
      </c>
      <c r="G2232" t="n">
        <v>1</v>
      </c>
      <c r="I2232" t="n">
        <v>1</v>
      </c>
      <c r="J2232" t="n">
        <v>0.7</v>
      </c>
      <c r="K2232" t="n">
        <v>0</v>
      </c>
      <c r="L2232" t="n">
        <v>25</v>
      </c>
      <c r="M2232" t="n">
        <v>125</v>
      </c>
      <c r="N2232" t="inlineStr">
        <is>
          <t>Tier 1</t>
        </is>
      </c>
      <c r="O2232" t="inlineStr">
        <is>
          <t>Alexis Takvorian — VP, Global Transportation; Victor Wilson — VP, Operations; Tyler Strom — Sr. Manager, Regional Head of Transportation, North America; Tabitha Davenport — Head of Supply Chain &amp; Operations; Irena Salwerowicz — Director, Operations</t>
        </is>
      </c>
      <c r="P2232" t="inlineStr">
        <is>
          <t>VP, Global Transportation | VP, Operations | Sr. Manager, Regional Head of Transportation, North America</t>
        </is>
      </c>
      <c r="Y2232" t="inlineStr">
        <is>
          <t>todo</t>
        </is>
      </c>
      <c r="Z2232">
        <f>(M2232*Weights!$B$2) + (MIN(Q2232,Weights!$B$5)*Weights!$B$3*(W2232/100)*Weights!$B$4)</f>
        <v/>
      </c>
      <c r="AA2232">
        <f>IF(Z2232= ,,RANK.EQ({pri_col_letter}{r},{pri_range},0))</f>
        <v/>
      </c>
    </row>
    <row r="2233">
      <c r="A2233" t="inlineStr">
        <is>
          <t>Unilever</t>
        </is>
      </c>
      <c r="B2233" t="n">
        <v>9</v>
      </c>
      <c r="C2233" t="n">
        <v>1</v>
      </c>
      <c r="D2233" t="n">
        <v>7</v>
      </c>
      <c r="E2233" t="n">
        <v>7</v>
      </c>
      <c r="F2233" t="n">
        <v>0</v>
      </c>
      <c r="G2233" t="n">
        <v>0</v>
      </c>
      <c r="I2233" t="n">
        <v>0</v>
      </c>
      <c r="J2233" t="n">
        <v>0.7777777777777778</v>
      </c>
      <c r="K2233" t="n">
        <v>0</v>
      </c>
      <c r="L2233" t="n">
        <v>25</v>
      </c>
      <c r="M2233" t="n">
        <v>91</v>
      </c>
      <c r="N2233" t="inlineStr">
        <is>
          <t>Tier 1</t>
        </is>
      </c>
      <c r="O2233" t="inlineStr">
        <is>
          <t>Andrew Sylling — Head of Procurement, Logistics North America; Amit Mitna — Procurement Director Logistics Asia; Anna Borsuk — Procurement Director Logistics Europe; Arsalan Bashir — Associate Manager, Logistics Procurement; Aura Chavez — Associate Director, Logistics Procurement</t>
        </is>
      </c>
      <c r="P2233" t="inlineStr">
        <is>
          <t>Head of Procurement, Logistics North America | Procurement Director Logistics Asia | Procurement Director Logistics Europe</t>
        </is>
      </c>
      <c r="Y2233" t="inlineStr">
        <is>
          <t>todo</t>
        </is>
      </c>
      <c r="Z2233">
        <f>(M2233*Weights!$B$2) + (MIN(Q2233,Weights!$B$5)*Weights!$B$3*(W2233/100)*Weights!$B$4)</f>
        <v/>
      </c>
      <c r="AA2233">
        <f>IF(Z2233= ,,RANK.EQ({pri_col_letter}{r},{pri_range},0))</f>
        <v/>
      </c>
    </row>
    <row r="2234">
      <c r="A2234" t="inlineStr">
        <is>
          <t>Thrive Market</t>
        </is>
      </c>
      <c r="B2234" t="n">
        <v>7</v>
      </c>
      <c r="C2234" t="n">
        <v>2</v>
      </c>
      <c r="D2234" t="n">
        <v>4</v>
      </c>
      <c r="E2234" t="n">
        <v>0</v>
      </c>
      <c r="F2234" t="n">
        <v>0</v>
      </c>
      <c r="G2234" t="n">
        <v>0</v>
      </c>
      <c r="H2234" t="n">
        <v>700000000</v>
      </c>
      <c r="I2234" t="n">
        <v>0</v>
      </c>
      <c r="J2234" t="n">
        <v>0.5714285714285714</v>
      </c>
      <c r="K2234" t="n">
        <v>0</v>
      </c>
      <c r="L2234" t="n">
        <v>25</v>
      </c>
      <c r="M2234" t="n">
        <v>90</v>
      </c>
      <c r="N2234" t="inlineStr">
        <is>
          <t>Tier 1</t>
        </is>
      </c>
      <c r="O2234" t="inlineStr">
        <is>
          <t>Cherris Armour — VP, Fulfillment; Taylor Wilson — VP, Operations Integration &amp; CI; Bran King — Sr. Director, Transportation; Rob Young — Director, Logistics Systems; Scott Lescher — COO</t>
        </is>
      </c>
      <c r="P2234" t="inlineStr">
        <is>
          <t>VP, Fulfillment | VP, Operations Integration &amp; CI | Sr. Director, Transportation</t>
        </is>
      </c>
      <c r="Y2234" t="inlineStr">
        <is>
          <t>todo</t>
        </is>
      </c>
      <c r="Z2234">
        <f>(M2234*Weights!$B$2) + (MIN(Q2234,Weights!$B$5)*Weights!$B$3*(W2234/100)*Weights!$B$4)</f>
        <v/>
      </c>
      <c r="AA2234">
        <f>IF(Z2234= ,,RANK.EQ({pri_col_letter}{r},{pri_range},0))</f>
        <v/>
      </c>
    </row>
    <row r="2235">
      <c r="A2235" t="inlineStr">
        <is>
          <t>Unilever Prestige</t>
        </is>
      </c>
      <c r="B2235" t="n">
        <v>7</v>
      </c>
      <c r="C2235" t="n">
        <v>2</v>
      </c>
      <c r="D2235" t="n">
        <v>6</v>
      </c>
      <c r="E2235" t="n">
        <v>2</v>
      </c>
      <c r="F2235" t="n">
        <v>0</v>
      </c>
      <c r="G2235" t="n">
        <v>0</v>
      </c>
      <c r="I2235" t="n">
        <v>0</v>
      </c>
      <c r="J2235" t="n">
        <v>0.8571428571428571</v>
      </c>
      <c r="K2235" t="n">
        <v>0</v>
      </c>
      <c r="L2235" t="n">
        <v>25</v>
      </c>
      <c r="M2235" t="n">
        <v>90</v>
      </c>
      <c r="N2235" t="inlineStr">
        <is>
          <t>Tier 1</t>
        </is>
      </c>
      <c r="O2235" t="inlineStr">
        <is>
          <t>Gabriella Costilla — VP Global Supply Chain Strategy; Kathryn Fair — Global Head of Supply Chain - Unilever Prestige; Sulin Wu — Logistics Procurement Manager; Maggie Brommer — Head of Procurement; Andreas Andrea — Director, Distribution &amp; Logistics</t>
        </is>
      </c>
      <c r="P2235" t="inlineStr">
        <is>
          <t>VP Global Supply Chain Strategy | Global Head of Supply Chain - Unilever Prestige | Head of Procurement</t>
        </is>
      </c>
      <c r="Y2235" t="inlineStr">
        <is>
          <t>todo</t>
        </is>
      </c>
      <c r="Z2235">
        <f>(M2235*Weights!$B$2) + (MIN(Q2235,Weights!$B$5)*Weights!$B$3*(W2235/100)*Weights!$B$4)</f>
        <v/>
      </c>
      <c r="AA2235">
        <f>IF(Z2235= ,,RANK.EQ({pri_col_letter}{r},{pri_range},0))</f>
        <v/>
      </c>
    </row>
    <row r="2236">
      <c r="A2236" t="inlineStr">
        <is>
          <t>Fabletics</t>
        </is>
      </c>
      <c r="B2236" t="n">
        <v>10</v>
      </c>
      <c r="C2236" t="n">
        <v>3</v>
      </c>
      <c r="D2236" t="n">
        <v>8</v>
      </c>
      <c r="E2236" t="n">
        <v>0</v>
      </c>
      <c r="F2236" t="n">
        <v>0</v>
      </c>
      <c r="G2236" t="n">
        <v>1</v>
      </c>
      <c r="I2236" t="n">
        <v>1</v>
      </c>
      <c r="J2236" t="n">
        <v>0.8</v>
      </c>
      <c r="K2236" t="n">
        <v>0</v>
      </c>
      <c r="L2236" t="n">
        <v>0</v>
      </c>
      <c r="M2236" t="n">
        <v>87</v>
      </c>
      <c r="N2236" t="inlineStr">
        <is>
          <t>Tier 1</t>
        </is>
      </c>
      <c r="O2236" t="inlineStr">
        <is>
          <t>Bert Hooper — Senior VP, Global Fulfillment Center; Alison Langus — SVP of Operations; Opal Portis — VP, Global Supply Chain; Navendu Sharma — Director, Sustainable Business Operations; Alex Moore — Senior Director Industrial Engineering, Global Fulfillment Center</t>
        </is>
      </c>
      <c r="P2236" t="inlineStr">
        <is>
          <t>Senior VP, Global Fulfillment Center | SVP of Operations | VP, Global Supply Chain</t>
        </is>
      </c>
      <c r="Y2236" t="inlineStr">
        <is>
          <t>todo</t>
        </is>
      </c>
      <c r="Z2236">
        <f>(M2236*Weights!$B$2) + (MIN(Q2236,Weights!$B$5)*Weights!$B$3*(W2236/100)*Weights!$B$4)</f>
        <v/>
      </c>
      <c r="AA2236">
        <f>IF(Z2236= ,,RANK.EQ({pri_col_letter}{r},{pri_range},0))</f>
        <v/>
      </c>
    </row>
    <row r="2237">
      <c r="A2237" t="inlineStr">
        <is>
          <t>Patagonia</t>
        </is>
      </c>
      <c r="B2237" t="n">
        <v>8</v>
      </c>
      <c r="C2237" t="n">
        <v>2</v>
      </c>
      <c r="D2237" t="n">
        <v>6</v>
      </c>
      <c r="E2237" t="n">
        <v>0</v>
      </c>
      <c r="F2237" t="n">
        <v>0</v>
      </c>
      <c r="G2237" t="n">
        <v>1</v>
      </c>
      <c r="I2237" t="n">
        <v>1</v>
      </c>
      <c r="J2237" t="n">
        <v>0.75</v>
      </c>
      <c r="K2237" t="n">
        <v>0</v>
      </c>
      <c r="L2237" t="n">
        <v>25</v>
      </c>
      <c r="M2237" t="n">
        <v>87</v>
      </c>
      <c r="N2237" t="inlineStr">
        <is>
          <t>Tier 1</t>
        </is>
      </c>
      <c r="O2237" t="inlineStr">
        <is>
          <t>Chris Joyce — North America VP, Logistics &amp; Distribution; Todd Soller — Chief Supply Chain Officer; Gabby Zawacki — East Coast Distribution Center Supervisor; Mike Petersen — Director of Warehouse Operations; Chris Miles — Operations Manager</t>
        </is>
      </c>
      <c r="P2237" t="inlineStr">
        <is>
          <t>North America VP, Logistics &amp; Distribution | Chief Supply Chain Officer | East Coast Distribution Center Supervisor</t>
        </is>
      </c>
      <c r="Y2237" t="inlineStr">
        <is>
          <t>todo</t>
        </is>
      </c>
      <c r="Z2237">
        <f>(M2237*Weights!$B$2) + (MIN(Q2237,Weights!$B$5)*Weights!$B$3*(W2237/100)*Weights!$B$4)</f>
        <v/>
      </c>
      <c r="AA2237">
        <f>IF(Z2237= ,,RANK.EQ({pri_col_letter}{r},{pri_range},0))</f>
        <v/>
      </c>
    </row>
    <row r="2238">
      <c r="A2238" t="inlineStr">
        <is>
          <t>Kraft Heinz</t>
        </is>
      </c>
      <c r="B2238" t="n">
        <v>3</v>
      </c>
      <c r="C2238" t="n">
        <v>3</v>
      </c>
      <c r="D2238" t="n">
        <v>3</v>
      </c>
      <c r="E2238" t="n">
        <v>0</v>
      </c>
      <c r="F2238" t="n">
        <v>0</v>
      </c>
      <c r="G2238" t="n">
        <v>0</v>
      </c>
      <c r="I2238" t="n">
        <v>0</v>
      </c>
      <c r="J2238" t="n">
        <v>1</v>
      </c>
      <c r="K2238" t="n">
        <v>0</v>
      </c>
      <c r="L2238" t="n">
        <v>25</v>
      </c>
      <c r="M2238" t="n">
        <v>85</v>
      </c>
      <c r="N2238" t="inlineStr">
        <is>
          <t>Tier 1</t>
        </is>
      </c>
      <c r="O2238" t="inlineStr">
        <is>
          <t>Bill Durbin — Vice President of Logistics; Viral Parekh — Head of Logistics Operations; Adis Sulejmanovic — Head of Digital Supply Chain Transformation</t>
        </is>
      </c>
      <c r="P2238" t="inlineStr">
        <is>
          <t>Vice President of Logistics | Head of Logistics Operations | Head of Digital Supply Chain Transformation</t>
        </is>
      </c>
      <c r="Y2238" t="inlineStr">
        <is>
          <t>todo</t>
        </is>
      </c>
      <c r="Z2238">
        <f>(M2238*Weights!$B$2) + (MIN(Q2238,Weights!$B$5)*Weights!$B$3*(W2238/100)*Weights!$B$4)</f>
        <v/>
      </c>
      <c r="AA2238">
        <f>IF(Z2238= ,,RANK.EQ({pri_col_letter}{r},{pri_range},0))</f>
        <v/>
      </c>
    </row>
    <row r="2239">
      <c r="A2239" t="inlineStr">
        <is>
          <t>Global Industrial Company</t>
        </is>
      </c>
      <c r="B2239" t="n">
        <v>6</v>
      </c>
      <c r="C2239" t="n">
        <v>4</v>
      </c>
      <c r="D2239" t="n">
        <v>4</v>
      </c>
      <c r="E2239" t="n">
        <v>0</v>
      </c>
      <c r="F2239" t="n">
        <v>0</v>
      </c>
      <c r="G2239" t="n">
        <v>0</v>
      </c>
      <c r="I2239" t="n">
        <v>0</v>
      </c>
      <c r="J2239" t="n">
        <v>0.6666666666666666</v>
      </c>
      <c r="K2239" t="n">
        <v>0</v>
      </c>
      <c r="L2239" t="n">
        <v>0</v>
      </c>
      <c r="M2239" t="n">
        <v>82</v>
      </c>
      <c r="N2239" t="inlineStr">
        <is>
          <t>Tier 1</t>
        </is>
      </c>
      <c r="O2239" t="inlineStr">
        <is>
          <t>Christopher Longhito — SVP &amp; Chief Supply Chain Officer; Andy Greve — VP Supply Chain; John Gabel — VP Operations; Ryan Forbes — VP Transportation; Mandar Gupte — Sr. Director</t>
        </is>
      </c>
      <c r="P2239" t="inlineStr">
        <is>
          <t>VP Supply Chain | VP Operations | VP Transportation</t>
        </is>
      </c>
      <c r="Y2239" t="inlineStr">
        <is>
          <t>todo</t>
        </is>
      </c>
      <c r="Z2239">
        <f>(M2239*Weights!$B$2) + (MIN(Q2239,Weights!$B$5)*Weights!$B$3*(W2239/100)*Weights!$B$4)</f>
        <v/>
      </c>
      <c r="AA2239">
        <f>IF(Z2239= ,,RANK.EQ({pri_col_letter}{r},{pri_range},0))</f>
        <v/>
      </c>
    </row>
    <row r="2240">
      <c r="A2240" t="inlineStr">
        <is>
          <t>ArcBest</t>
        </is>
      </c>
      <c r="B2240" t="n">
        <v>27</v>
      </c>
      <c r="C2240" t="n">
        <v>0</v>
      </c>
      <c r="D2240" t="n">
        <v>1</v>
      </c>
      <c r="E2240" t="n">
        <v>0</v>
      </c>
      <c r="F2240" t="n">
        <v>9</v>
      </c>
      <c r="G2240" t="n">
        <v>6</v>
      </c>
      <c r="I2240" t="n">
        <v>15</v>
      </c>
      <c r="J2240" t="n">
        <v>0.03703703703703703</v>
      </c>
      <c r="K2240" t="n">
        <v>12</v>
      </c>
      <c r="L2240" t="n">
        <v>0</v>
      </c>
      <c r="M2240" t="n">
        <v>-1</v>
      </c>
      <c r="O2240" t="inlineStr">
        <is>
          <t>Zachary Kelch — Vice President, Smart Autonomy Business Line - Vaux; Dennis Anderson — Chief Innovation Officer; Jared Belt — Vice President, Commercialization - Vaux; Jefferson Maldonado — Vice President, Smart Autonomy Engineering - Vaux; Brian Nachtigall — General Manager - Vaux</t>
        </is>
      </c>
      <c r="P2240" t="inlineStr">
        <is>
          <t>Vice President, Smart Autonomy Business Line - Vaux | Chief Innovation Officer | Vice President, Commercialization - Vaux</t>
        </is>
      </c>
      <c r="Y2240" t="inlineStr">
        <is>
          <t>todo</t>
        </is>
      </c>
      <c r="Z2240">
        <f>(M2240*Weights!$B$2) + (MIN(Q2240,Weights!$B$5)*Weights!$B$3*(W2240/100)*Weights!$B$4)</f>
        <v/>
      </c>
      <c r="AA2240">
        <f>IF(Z2240= ,,RANK.EQ({pri_col_letter}{r},{pri_range},0))</f>
        <v/>
      </c>
    </row>
    <row r="2241">
      <c r="A2241" t="inlineStr">
        <is>
          <t>HappyRobot</t>
        </is>
      </c>
      <c r="B2241" t="n">
        <v>12</v>
      </c>
      <c r="C2241" t="n">
        <v>1</v>
      </c>
      <c r="D2241" t="n">
        <v>1</v>
      </c>
      <c r="E2241" t="n">
        <v>0</v>
      </c>
      <c r="F2241" t="n">
        <v>10</v>
      </c>
      <c r="G2241" t="n">
        <v>0</v>
      </c>
      <c r="I2241" t="n">
        <v>10</v>
      </c>
      <c r="J2241" t="n">
        <v>0.08333333333333333</v>
      </c>
      <c r="K2241" t="n">
        <v>12</v>
      </c>
      <c r="L2241" t="n">
        <v>0</v>
      </c>
      <c r="M2241" t="n">
        <v>-1</v>
      </c>
      <c r="O2241" t="inlineStr">
        <is>
          <t>Quili Pena — Head of Strategy &amp; Operations; Pablo Palafox — CEO &amp; Co-Founder; Kathryn Dean — Head of Growth; Marta Pico — Growth Strategist; Tony Baciocco — Go-To-Market</t>
        </is>
      </c>
      <c r="P2241" t="inlineStr">
        <is>
          <t>Head of Strategy &amp; Operations | CEO &amp; Co-Founder | Head of Growth</t>
        </is>
      </c>
      <c r="Y2241" t="inlineStr">
        <is>
          <t>todo</t>
        </is>
      </c>
      <c r="Z2241">
        <f>(M2241*Weights!$B$2) + (MIN(Q2241,Weights!$B$5)*Weights!$B$3*(W2241/100)*Weights!$B$4)</f>
        <v/>
      </c>
      <c r="AA2241">
        <f>IF(Z2241= ,,RANK.EQ({pri_col_letter}{r},{pri_range},0))</f>
        <v/>
      </c>
    </row>
    <row r="2242">
      <c r="A2242" t="inlineStr">
        <is>
          <t>1 Logtech Inc.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O2242" t="inlineStr">
        <is>
          <t>Andrew Larson — Head of Sales</t>
        </is>
      </c>
      <c r="P2242" t="inlineStr">
        <is>
          <t>Head of Sales</t>
        </is>
      </c>
      <c r="Y2242" t="inlineStr">
        <is>
          <t>todo</t>
        </is>
      </c>
      <c r="Z2242">
        <f>(M2242*Weights!$B$2) + (MIN(Q2242,Weights!$B$5)*Weights!$B$3*(W2242/100)*Weights!$B$4)</f>
        <v/>
      </c>
      <c r="AA2242">
        <f>IF(Z2242= ,,RANK.EQ({pri_col_letter}{r},{pri_range},0))</f>
        <v/>
      </c>
    </row>
    <row r="2243">
      <c r="A2243" t="inlineStr">
        <is>
          <t>130448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O2243" t="inlineStr">
        <is>
          <t>Kevin vonGrabe — VP of Sales</t>
        </is>
      </c>
      <c r="P2243" t="inlineStr">
        <is>
          <t>VP of Sales</t>
        </is>
      </c>
      <c r="Y2243" t="inlineStr">
        <is>
          <t>todo</t>
        </is>
      </c>
      <c r="Z2243">
        <f>(M2243*Weights!$B$2) + (MIN(Q2243,Weights!$B$5)*Weights!$B$3*(W2243/100)*Weights!$B$4)</f>
        <v/>
      </c>
      <c r="AA2243">
        <f>IF(Z2243= ,,RANK.EQ({pri_col_letter}{r},{pri_range},0))</f>
        <v/>
      </c>
    </row>
    <row r="2244">
      <c r="A2244" t="inlineStr">
        <is>
          <t>A.P. Moller Holding</t>
        </is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O2244" t="inlineStr">
        <is>
          <t>Chetan Mehta — Head of Growth Equity</t>
        </is>
      </c>
      <c r="P2244" t="inlineStr">
        <is>
          <t>Head of Growth Equity</t>
        </is>
      </c>
      <c r="Y2244" t="inlineStr">
        <is>
          <t>todo</t>
        </is>
      </c>
      <c r="Z2244">
        <f>(M2244*Weights!$B$2) + (MIN(Q2244,Weights!$B$5)*Weights!$B$3*(W2244/100)*Weights!$B$4)</f>
        <v/>
      </c>
      <c r="AA2244">
        <f>IF(Z2244= ,,RANK.EQ({pri_col_letter}{r},{pri_range},0))</f>
        <v/>
      </c>
    </row>
    <row r="2245">
      <c r="A2245" t="inlineStr">
        <is>
          <t>APEX LOGISTICS INC</t>
        </is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O2245" t="inlineStr">
        <is>
          <t>ELIZABETH PARKER — Business Development Manager</t>
        </is>
      </c>
      <c r="P2245" t="inlineStr">
        <is>
          <t>Business Development Manager</t>
        </is>
      </c>
      <c r="Y2245" t="inlineStr">
        <is>
          <t>todo</t>
        </is>
      </c>
      <c r="Z2245">
        <f>(M2245*Weights!$B$2) + (MIN(Q2245,Weights!$B$5)*Weights!$B$3*(W2245/100)*Weights!$B$4)</f>
        <v/>
      </c>
      <c r="AA2245">
        <f>IF(Z2245= ,,RANK.EQ({pri_col_letter}{r},{pri_range},0))</f>
        <v/>
      </c>
    </row>
    <row r="2246">
      <c r="A2246" t="inlineStr">
        <is>
          <t>ARCO Design Build</t>
        </is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O2246" t="inlineStr">
        <is>
          <t>Kyle Davidsen — Director, Business Development</t>
        </is>
      </c>
      <c r="P2246" t="inlineStr">
        <is>
          <t>Director, Business Development</t>
        </is>
      </c>
      <c r="Y2246" t="inlineStr">
        <is>
          <t>todo</t>
        </is>
      </c>
      <c r="Z2246">
        <f>(M2246*Weights!$B$2) + (MIN(Q2246,Weights!$B$5)*Weights!$B$3*(W2246/100)*Weights!$B$4)</f>
        <v/>
      </c>
      <c r="AA2246">
        <f>IF(Z2246= ,,RANK.EQ({pri_col_letter}{r},{pri_range},0))</f>
        <v/>
      </c>
    </row>
    <row r="2247">
      <c r="A2247" t="inlineStr">
        <is>
          <t>AWL Automation</t>
        </is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O2247" t="inlineStr">
        <is>
          <t>Sandra Vogel — Business Development Manager</t>
        </is>
      </c>
      <c r="P2247" t="inlineStr">
        <is>
          <t>Business Development Manager</t>
        </is>
      </c>
      <c r="Y2247" t="inlineStr">
        <is>
          <t>todo</t>
        </is>
      </c>
      <c r="Z2247">
        <f>(M2247*Weights!$B$2) + (MIN(Q2247,Weights!$B$5)*Weights!$B$3*(W2247/100)*Weights!$B$4)</f>
        <v/>
      </c>
      <c r="AA2247">
        <f>IF(Z2247= ,,RANK.EQ({pri_col_letter}{r},{pri_range},0))</f>
        <v/>
      </c>
    </row>
    <row r="2248">
      <c r="A2248" t="inlineStr">
        <is>
          <t>Acme Distribution</t>
        </is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O2248" t="inlineStr">
        <is>
          <t>James Lee — Director of Sales</t>
        </is>
      </c>
      <c r="P2248" t="inlineStr">
        <is>
          <t>Director of Sales</t>
        </is>
      </c>
      <c r="Y2248" t="inlineStr">
        <is>
          <t>todo</t>
        </is>
      </c>
      <c r="Z2248">
        <f>(M2248*Weights!$B$2) + (MIN(Q2248,Weights!$B$5)*Weights!$B$3*(W2248/100)*Weights!$B$4)</f>
        <v/>
      </c>
      <c r="AA2248">
        <f>IF(Z2248= ,,RANK.EQ({pri_col_letter}{r},{pri_range},0))</f>
        <v/>
      </c>
    </row>
    <row r="2249">
      <c r="A2249" t="inlineStr">
        <is>
          <t>Acme Distribution Centers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O2249" t="inlineStr">
        <is>
          <t>Jose Dorado — Sales</t>
        </is>
      </c>
      <c r="P2249" t="inlineStr">
        <is>
          <t>Sales</t>
        </is>
      </c>
      <c r="Y2249" t="inlineStr">
        <is>
          <t>todo</t>
        </is>
      </c>
      <c r="Z2249">
        <f>(M2249*Weights!$B$2) + (MIN(Q2249,Weights!$B$5)*Weights!$B$3*(W2249/100)*Weights!$B$4)</f>
        <v/>
      </c>
      <c r="AA2249">
        <f>IF(Z2249= ,,RANK.EQ({pri_col_letter}{r},{pri_range},0))</f>
        <v/>
      </c>
    </row>
    <row r="2250">
      <c r="A2250" t="inlineStr">
        <is>
          <t>Airwayz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O2250" t="inlineStr">
        <is>
          <t>Tal Shpigel Shtauber — VP of Marketing</t>
        </is>
      </c>
      <c r="P2250" t="inlineStr">
        <is>
          <t>VP of Marketing</t>
        </is>
      </c>
      <c r="Y2250" t="inlineStr">
        <is>
          <t>todo</t>
        </is>
      </c>
      <c r="Z2250">
        <f>(M2250*Weights!$B$2) + (MIN(Q2250,Weights!$B$5)*Weights!$B$3*(W2250/100)*Weights!$B$4)</f>
        <v/>
      </c>
      <c r="AA2250">
        <f>IF(Z2250= ,,RANK.EQ({pri_col_letter}{r},{pri_range},0))</f>
        <v/>
      </c>
    </row>
    <row r="2251">
      <c r="A2251" t="inlineStr">
        <is>
          <t>Amazon Web Services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O2251" t="inlineStr">
        <is>
          <t>Michael Sweret — AWS Strategy and Business Development</t>
        </is>
      </c>
      <c r="P2251" t="inlineStr">
        <is>
          <t>AWS Strategy and Business Development</t>
        </is>
      </c>
      <c r="Y2251" t="inlineStr">
        <is>
          <t>todo</t>
        </is>
      </c>
      <c r="Z2251">
        <f>(M2251*Weights!$B$2) + (MIN(Q2251,Weights!$B$5)*Weights!$B$3*(W2251/100)*Weights!$B$4)</f>
        <v/>
      </c>
      <c r="AA2251">
        <f>IF(Z2251= ,,RANK.EQ({pri_col_letter}{r},{pri_range},0))</f>
        <v/>
      </c>
    </row>
    <row r="2252">
      <c r="A2252" t="inlineStr">
        <is>
          <t>American Association of Port Authorities (AAPA)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O2252" t="inlineStr">
        <is>
          <t>Jonathan Toomey — Vice President of Business Development, Events &amp; Marketing</t>
        </is>
      </c>
      <c r="P2252" t="inlineStr">
        <is>
          <t>Vice President of Business Development, Events &amp; Marketing</t>
        </is>
      </c>
      <c r="Y2252" t="inlineStr">
        <is>
          <t>todo</t>
        </is>
      </c>
      <c r="Z2252">
        <f>(M2252*Weights!$B$2) + (MIN(Q2252,Weights!$B$5)*Weights!$B$3*(W2252/100)*Weights!$B$4)</f>
        <v/>
      </c>
      <c r="AA2252">
        <f>IF(Z2252= ,,RANK.EQ({pri_col_letter}{r},{pri_range},0))</f>
        <v/>
      </c>
    </row>
    <row r="2253">
      <c r="A2253" t="inlineStr">
        <is>
          <t>American Lumper Services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O2253" t="inlineStr">
        <is>
          <t>Bo Pamplin — Sales Manager</t>
        </is>
      </c>
      <c r="P2253" t="inlineStr">
        <is>
          <t>Sales Manager</t>
        </is>
      </c>
      <c r="Y2253" t="inlineStr">
        <is>
          <t>todo</t>
        </is>
      </c>
      <c r="Z2253">
        <f>(M2253*Weights!$B$2) + (MIN(Q2253,Weights!$B$5)*Weights!$B$3*(W2253/100)*Weights!$B$4)</f>
        <v/>
      </c>
      <c r="AA2253">
        <f>IF(Z2253= ,,RANK.EQ({pri_col_letter}{r},{pri_range},0))</f>
        <v/>
      </c>
    </row>
    <row r="2254">
      <c r="A2254" t="inlineStr">
        <is>
          <t>Armour Transportation</t>
        </is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O2254" t="inlineStr">
        <is>
          <t>Nancy St Laurent — VP - Business Development</t>
        </is>
      </c>
      <c r="P2254" t="inlineStr">
        <is>
          <t>VP - Business Development</t>
        </is>
      </c>
      <c r="Y2254" t="inlineStr">
        <is>
          <t>todo</t>
        </is>
      </c>
      <c r="Z2254">
        <f>(M2254*Weights!$B$2) + (MIN(Q2254,Weights!$B$5)*Weights!$B$3*(W2254/100)*Weights!$B$4)</f>
        <v/>
      </c>
      <c r="AA2254">
        <f>IF(Z2254= ,,RANK.EQ({pri_col_letter}{r},{pri_range},0))</f>
        <v/>
      </c>
    </row>
    <row r="2255">
      <c r="A2255" t="inlineStr">
        <is>
          <t>Asygn Inc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O2255" t="inlineStr">
        <is>
          <t>Mike Stone — US Sales manager</t>
        </is>
      </c>
      <c r="P2255" t="inlineStr">
        <is>
          <t>US Sales manager</t>
        </is>
      </c>
      <c r="Y2255" t="inlineStr">
        <is>
          <t>todo</t>
        </is>
      </c>
      <c r="Z2255">
        <f>(M2255*Weights!$B$2) + (MIN(Q2255,Weights!$B$5)*Weights!$B$3*(W2255/100)*Weights!$B$4)</f>
        <v/>
      </c>
      <c r="AA2255">
        <f>IF(Z2255= ,,RANK.EQ({pri_col_letter}{r},{pri_range},0))</f>
        <v/>
      </c>
    </row>
    <row r="2256">
      <c r="A2256" t="inlineStr">
        <is>
          <t>Avalon</t>
        </is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O2256" t="inlineStr">
        <is>
          <t>Gary Church — Vice President Strategic Alliances</t>
        </is>
      </c>
      <c r="P2256" t="inlineStr">
        <is>
          <t>Vice President Strategic Alliances</t>
        </is>
      </c>
      <c r="Y2256" t="inlineStr">
        <is>
          <t>todo</t>
        </is>
      </c>
      <c r="Z2256">
        <f>(M2256*Weights!$B$2) + (MIN(Q2256,Weights!$B$5)*Weights!$B$3*(W2256/100)*Weights!$B$4)</f>
        <v/>
      </c>
      <c r="AA2256">
        <f>IF(Z2256= ,,RANK.EQ({pri_col_letter}{r},{pri_range},0))</f>
        <v/>
      </c>
    </row>
    <row r="2257">
      <c r="A2257" t="inlineStr">
        <is>
          <t>Barrett Distribution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O2257" t="inlineStr">
        <is>
          <t>KATHERINE WROTH — Marketing Manager</t>
        </is>
      </c>
      <c r="P2257" t="inlineStr">
        <is>
          <t>Marketing Manager</t>
        </is>
      </c>
      <c r="Y2257" t="inlineStr">
        <is>
          <t>todo</t>
        </is>
      </c>
      <c r="Z2257">
        <f>(M2257*Weights!$B$2) + (MIN(Q2257,Weights!$B$5)*Weights!$B$3*(W2257/100)*Weights!$B$4)</f>
        <v/>
      </c>
      <c r="AA2257">
        <f>IF(Z2257= ,,RANK.EQ({pri_col_letter}{r},{pri_range},0))</f>
        <v/>
      </c>
    </row>
    <row r="2258">
      <c r="A2258" t="inlineStr">
        <is>
          <t>Barrett Distribution Center - Franklin, MA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O2258" t="inlineStr">
        <is>
          <t>BRYAN CORBETT — Vice President, Sales &amp; Marketing</t>
        </is>
      </c>
      <c r="P2258" t="inlineStr">
        <is>
          <t>Vice President, Sales &amp; Marketing</t>
        </is>
      </c>
      <c r="Y2258" t="inlineStr">
        <is>
          <t>todo</t>
        </is>
      </c>
      <c r="Z2258">
        <f>(M2258*Weights!$B$2) + (MIN(Q2258,Weights!$B$5)*Weights!$B$3*(W2258/100)*Weights!$B$4)</f>
        <v/>
      </c>
      <c r="AA2258">
        <f>IF(Z2258= ,,RANK.EQ({pri_col_letter}{r},{pri_range},0))</f>
        <v/>
      </c>
    </row>
    <row r="2259">
      <c r="A2259" t="inlineStr">
        <is>
          <t>Beamup AI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O2259" t="inlineStr">
        <is>
          <t>Adam Kirilichin — VP Sales</t>
        </is>
      </c>
      <c r="P2259" t="inlineStr">
        <is>
          <t>VP Sales</t>
        </is>
      </c>
      <c r="Y2259" t="inlineStr">
        <is>
          <t>todo</t>
        </is>
      </c>
      <c r="Z2259">
        <f>(M2259*Weights!$B$2) + (MIN(Q2259,Weights!$B$5)*Weights!$B$3*(W2259/100)*Weights!$B$4)</f>
        <v/>
      </c>
      <c r="AA2259">
        <f>IF(Z2259= ,,RANK.EQ({pri_col_letter}{r},{pri_range},0))</f>
        <v/>
      </c>
    </row>
    <row r="2260">
      <c r="A2260" t="inlineStr">
        <is>
          <t>Bitfreighter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-1</v>
      </c>
      <c r="O2260" t="inlineStr">
        <is>
          <t>Sharm Chelliah — Enterprise Sales Executive</t>
        </is>
      </c>
      <c r="P2260" t="inlineStr">
        <is>
          <t>Enterprise Sales Executive</t>
        </is>
      </c>
      <c r="Y2260" t="inlineStr">
        <is>
          <t>todo</t>
        </is>
      </c>
      <c r="Z2260">
        <f>(M2260*Weights!$B$2) + (MIN(Q2260,Weights!$B$5)*Weights!$B$3*(W2260/100)*Weights!$B$4)</f>
        <v/>
      </c>
      <c r="AA2260">
        <f>IF(Z2260= ,,RANK.EQ({pri_col_letter}{r},{pri_range},0))</f>
        <v/>
      </c>
    </row>
    <row r="2261">
      <c r="A2261" t="inlineStr">
        <is>
          <t>Bleckmann UK Ltd</t>
        </is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O2261" t="inlineStr">
        <is>
          <t>Robert Kiewik — Director of Sales</t>
        </is>
      </c>
      <c r="P2261" t="inlineStr">
        <is>
          <t>Director of Sales</t>
        </is>
      </c>
      <c r="Y2261" t="inlineStr">
        <is>
          <t>todo</t>
        </is>
      </c>
      <c r="Z2261">
        <f>(M2261*Weights!$B$2) + (MIN(Q2261,Weights!$B$5)*Weights!$B$3*(W2261/100)*Weights!$B$4)</f>
        <v/>
      </c>
      <c r="AA2261">
        <f>IF(Z2261= ,,RANK.EQ({pri_col_letter}{r},{pri_range},0))</f>
        <v/>
      </c>
    </row>
    <row r="2262">
      <c r="A2262" t="inlineStr">
        <is>
          <t>Blue Yonder, Inc.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O2262" t="inlineStr">
        <is>
          <t>Jared Mostoller — Field Marketing Manager</t>
        </is>
      </c>
      <c r="P2262" t="inlineStr">
        <is>
          <t>Field Marketing Manager</t>
        </is>
      </c>
      <c r="Y2262" t="inlineStr">
        <is>
          <t>todo</t>
        </is>
      </c>
      <c r="Z2262">
        <f>(M2262*Weights!$B$2) + (MIN(Q2262,Weights!$B$5)*Weights!$B$3*(W2262/100)*Weights!$B$4)</f>
        <v/>
      </c>
      <c r="AA2262">
        <f>IF(Z2262= ,,RANK.EQ({pri_col_letter}{r},{pri_range},0))</f>
        <v/>
      </c>
    </row>
    <row r="2263">
      <c r="A2263" t="inlineStr">
        <is>
          <t>Brain Corp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O2263" t="inlineStr">
        <is>
          <t>Brandon Beckwith — Account Executive</t>
        </is>
      </c>
      <c r="P2263" t="inlineStr">
        <is>
          <t>Account Executive</t>
        </is>
      </c>
      <c r="Y2263" t="inlineStr">
        <is>
          <t>todo</t>
        </is>
      </c>
      <c r="Z2263">
        <f>(M2263*Weights!$B$2) + (MIN(Q2263,Weights!$B$5)*Weights!$B$3*(W2263/100)*Weights!$B$4)</f>
        <v/>
      </c>
      <c r="AA2263">
        <f>IF(Z2263= ,,RANK.EQ({pri_col_letter}{r},{pri_range},0))</f>
        <v/>
      </c>
    </row>
    <row r="2264">
      <c r="A2264" t="inlineStr">
        <is>
          <t>Brain Corp.</t>
        </is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O2264" t="inlineStr">
        <is>
          <t>Drew Brennan — Senior Account Executive</t>
        </is>
      </c>
      <c r="P2264" t="inlineStr">
        <is>
          <t>Senior Account Executive</t>
        </is>
      </c>
      <c r="Y2264" t="inlineStr">
        <is>
          <t>todo</t>
        </is>
      </c>
      <c r="Z2264">
        <f>(M2264*Weights!$B$2) + (MIN(Q2264,Weights!$B$5)*Weights!$B$3*(W2264/100)*Weights!$B$4)</f>
        <v/>
      </c>
      <c r="AA2264">
        <f>IF(Z2264= ,,RANK.EQ({pri_col_letter}{r},{pri_range},0))</f>
        <v/>
      </c>
    </row>
    <row r="2265">
      <c r="A2265" t="inlineStr">
        <is>
          <t>Brinkmann Constructors</t>
        </is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O2265" t="inlineStr">
        <is>
          <t>Dan Russ — National Director of Business Development</t>
        </is>
      </c>
      <c r="P2265" t="inlineStr">
        <is>
          <t>National Director of Business Development</t>
        </is>
      </c>
      <c r="Y2265" t="inlineStr">
        <is>
          <t>todo</t>
        </is>
      </c>
      <c r="Z2265">
        <f>(M2265*Weights!$B$2) + (MIN(Q2265,Weights!$B$5)*Weights!$B$3*(W2265/100)*Weights!$B$4)</f>
        <v/>
      </c>
      <c r="AA2265">
        <f>IF(Z2265= ,,RANK.EQ({pri_col_letter}{r},{pri_range},0))</f>
        <v/>
      </c>
    </row>
    <row r="2266">
      <c r="A2266" t="inlineStr">
        <is>
          <t>CDS Logistics</t>
        </is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O2266" t="inlineStr">
        <is>
          <t>Bryan Shannon — Business Development</t>
        </is>
      </c>
      <c r="P2266" t="inlineStr">
        <is>
          <t>Business Development</t>
        </is>
      </c>
      <c r="Y2266" t="inlineStr">
        <is>
          <t>todo</t>
        </is>
      </c>
      <c r="Z2266">
        <f>(M2266*Weights!$B$2) + (MIN(Q2266,Weights!$B$5)*Weights!$B$3*(W2266/100)*Weights!$B$4)</f>
        <v/>
      </c>
      <c r="AA2266">
        <f>IF(Z2266= ,,RANK.EQ({pri_col_letter}{r},{pri_range},0))</f>
        <v/>
      </c>
    </row>
    <row r="2267">
      <c r="A2267" t="inlineStr">
        <is>
          <t>CERTUS Automation BV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O2267" t="inlineStr">
        <is>
          <t>Ruben Nadimi — Director of Sales</t>
        </is>
      </c>
      <c r="P2267" t="inlineStr">
        <is>
          <t>Director of Sales</t>
        </is>
      </c>
      <c r="Y2267" t="inlineStr">
        <is>
          <t>todo</t>
        </is>
      </c>
      <c r="Z2267">
        <f>(M2267*Weights!$B$2) + (MIN(Q2267,Weights!$B$5)*Weights!$B$3*(W2267/100)*Weights!$B$4)</f>
        <v/>
      </c>
      <c r="AA2267">
        <f>IF(Z2267= ,,RANK.EQ({pri_col_letter}{r},{pri_range},0))</f>
        <v/>
      </c>
    </row>
    <row r="2268">
      <c r="A2268" t="inlineStr">
        <is>
          <t>CIRROFulfillment</t>
        </is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O2268" t="inlineStr">
        <is>
          <t>Peter Bonte — SVP - Partnership and Growth</t>
        </is>
      </c>
      <c r="P2268" t="inlineStr">
        <is>
          <t>SVP - Partnership and Growth</t>
        </is>
      </c>
      <c r="Y2268" t="inlineStr">
        <is>
          <t>todo</t>
        </is>
      </c>
      <c r="Z2268">
        <f>(M2268*Weights!$B$2) + (MIN(Q2268,Weights!$B$5)*Weights!$B$3*(W2268/100)*Weights!$B$4)</f>
        <v/>
      </c>
      <c r="AA2268">
        <f>IF(Z2268= ,,RANK.EQ({pri_col_letter}{r},{pri_range},0))</f>
        <v/>
      </c>
    </row>
    <row r="2269">
      <c r="A2269" t="inlineStr">
        <is>
          <t>Cargo Spectre</t>
        </is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O2269" t="inlineStr">
        <is>
          <t>Rohan Rajendra Bhagwat — Sales</t>
        </is>
      </c>
      <c r="P2269" t="inlineStr">
        <is>
          <t>Sales</t>
        </is>
      </c>
      <c r="Y2269" t="inlineStr">
        <is>
          <t>todo</t>
        </is>
      </c>
      <c r="Z2269">
        <f>(M2269*Weights!$B$2) + (MIN(Q2269,Weights!$B$5)*Weights!$B$3*(W2269/100)*Weights!$B$4)</f>
        <v/>
      </c>
      <c r="AA2269">
        <f>IF(Z2269= ,,RANK.EQ({pri_col_letter}{r},{pri_range},0))</f>
        <v/>
      </c>
    </row>
    <row r="2270">
      <c r="A2270" t="inlineStr">
        <is>
          <t>Cognida.ai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O2270" t="inlineStr">
        <is>
          <t>Bharath Krishnamurthy — Sales Head</t>
        </is>
      </c>
      <c r="P2270" t="inlineStr">
        <is>
          <t>Sales Head</t>
        </is>
      </c>
      <c r="Y2270" t="inlineStr">
        <is>
          <t>todo</t>
        </is>
      </c>
      <c r="Z2270">
        <f>(M2270*Weights!$B$2) + (MIN(Q2270,Weights!$B$5)*Weights!$B$3*(W2270/100)*Weights!$B$4)</f>
        <v/>
      </c>
      <c r="AA2270">
        <f>IF(Z2270= ,,RANK.EQ({pri_col_letter}{r},{pri_range},0))</f>
        <v/>
      </c>
    </row>
    <row r="2271">
      <c r="A2271" t="inlineStr">
        <is>
          <t>CommerceNext</t>
        </is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O2271" t="inlineStr">
        <is>
          <t>Morgan Dyer — Growth Manager</t>
        </is>
      </c>
      <c r="P2271" t="inlineStr">
        <is>
          <t>Growth Manager</t>
        </is>
      </c>
      <c r="Y2271" t="inlineStr">
        <is>
          <t>todo</t>
        </is>
      </c>
      <c r="Z2271">
        <f>(M2271*Weights!$B$2) + (MIN(Q2271,Weights!$B$5)*Weights!$B$3*(W2271/100)*Weights!$B$4)</f>
        <v/>
      </c>
      <c r="AA2271">
        <f>IF(Z2271= ,,RANK.EQ({pri_col_letter}{r},{pri_range},0))</f>
        <v/>
      </c>
    </row>
    <row r="2272">
      <c r="A2272" t="inlineStr">
        <is>
          <t>Comprehensive Logistics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O2272" t="inlineStr">
        <is>
          <t>JORIS VAN DER SMISSEN — VP of Sales and Marketing</t>
        </is>
      </c>
      <c r="P2272" t="inlineStr">
        <is>
          <t>VP of Sales and Marketing</t>
        </is>
      </c>
      <c r="Y2272" t="inlineStr">
        <is>
          <t>todo</t>
        </is>
      </c>
      <c r="Z2272">
        <f>(M2272*Weights!$B$2) + (MIN(Q2272,Weights!$B$5)*Weights!$B$3*(W2272/100)*Weights!$B$4)</f>
        <v/>
      </c>
      <c r="AA2272">
        <f>IF(Z2272= ,,RANK.EQ({pri_col_letter}{r},{pri_range},0))</f>
        <v/>
      </c>
    </row>
    <row r="2273">
      <c r="A2273" t="inlineStr">
        <is>
          <t>Corpay Cross Border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O2273" t="inlineStr">
        <is>
          <t>Shayan Syed — Enterprise Sales Executive</t>
        </is>
      </c>
      <c r="P2273" t="inlineStr">
        <is>
          <t>Enterprise Sales Executive</t>
        </is>
      </c>
      <c r="Y2273" t="inlineStr">
        <is>
          <t>todo</t>
        </is>
      </c>
      <c r="Z2273">
        <f>(M2273*Weights!$B$2) + (MIN(Q2273,Weights!$B$5)*Weights!$B$3*(W2273/100)*Weights!$B$4)</f>
        <v/>
      </c>
      <c r="AA2273">
        <f>IF(Z2273= ,,RANK.EQ({pri_col_letter}{r},{pri_range},0))</f>
        <v/>
      </c>
    </row>
    <row r="2274">
      <c r="A2274" t="inlineStr">
        <is>
          <t>Cowan Systems, LLC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O2274" t="inlineStr">
        <is>
          <t>Preston Ketchum — VP, Sales</t>
        </is>
      </c>
      <c r="P2274" t="inlineStr">
        <is>
          <t>VP, Sales</t>
        </is>
      </c>
      <c r="Y2274" t="inlineStr">
        <is>
          <t>todo</t>
        </is>
      </c>
      <c r="Z2274">
        <f>(M2274*Weights!$B$2) + (MIN(Q2274,Weights!$B$5)*Weights!$B$3*(W2274/100)*Weights!$B$4)</f>
        <v/>
      </c>
      <c r="AA2274">
        <f>IF(Z2274= ,,RANK.EQ({pri_col_letter}{r},{pri_range},0))</f>
        <v/>
      </c>
    </row>
    <row r="2275">
      <c r="A2275" t="inlineStr">
        <is>
          <t>Craft</t>
        </is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O2275" t="inlineStr">
        <is>
          <t>Seb Butt — Head of Business Development &amp; Partnerships, Founding Team</t>
        </is>
      </c>
      <c r="P2275" t="inlineStr">
        <is>
          <t>Head of Business Development &amp; Partnerships, Founding Team</t>
        </is>
      </c>
      <c r="Y2275" t="inlineStr">
        <is>
          <t>todo</t>
        </is>
      </c>
      <c r="Z2275">
        <f>(M2275*Weights!$B$2) + (MIN(Q2275,Weights!$B$5)*Weights!$B$3*(W2275/100)*Weights!$B$4)</f>
        <v/>
      </c>
      <c r="AA2275">
        <f>IF(Z2275= ,,RANK.EQ({pri_col_letter}{r},{pri_range},0))</f>
        <v/>
      </c>
    </row>
    <row r="2276">
      <c r="A2276" t="inlineStr">
        <is>
          <t>CrimsonLogic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O2276" t="inlineStr">
        <is>
          <t>Sarah Fang Zhi'En — Senior Manager, Group Marketing &amp; Communications</t>
        </is>
      </c>
      <c r="P2276" t="inlineStr">
        <is>
          <t>Senior Manager, Group Marketing &amp; Communications</t>
        </is>
      </c>
      <c r="Y2276" t="inlineStr">
        <is>
          <t>todo</t>
        </is>
      </c>
      <c r="Z2276">
        <f>(M2276*Weights!$B$2) + (MIN(Q2276,Weights!$B$5)*Weights!$B$3*(W2276/100)*Weights!$B$4)</f>
        <v/>
      </c>
      <c r="AA2276">
        <f>IF(Z2276= ,,RANK.EQ({pri_col_letter}{r},{pri_range},0))</f>
        <v/>
      </c>
    </row>
    <row r="2277">
      <c r="A2277" t="inlineStr">
        <is>
          <t>Critical Cargo Logistics</t>
        </is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O2277" t="inlineStr">
        <is>
          <t>Brent Nagy — Chief Growth Officer</t>
        </is>
      </c>
      <c r="P2277" t="inlineStr">
        <is>
          <t>Chief Growth Officer</t>
        </is>
      </c>
      <c r="Y2277" t="inlineStr">
        <is>
          <t>todo</t>
        </is>
      </c>
      <c r="Z2277">
        <f>(M2277*Weights!$B$2) + (MIN(Q2277,Weights!$B$5)*Weights!$B$3*(W2277/100)*Weights!$B$4)</f>
        <v/>
      </c>
      <c r="AA2277">
        <f>IF(Z2277= ,,RANK.EQ({pri_col_letter}{r},{pri_range},0))</f>
        <v/>
      </c>
    </row>
    <row r="2278">
      <c r="A2278" t="inlineStr">
        <is>
          <t>Custom Goods</t>
        </is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O2278" t="inlineStr">
        <is>
          <t>Matt Perrigo — Sr Director of Sales</t>
        </is>
      </c>
      <c r="P2278" t="inlineStr">
        <is>
          <t>Sr Director of Sales</t>
        </is>
      </c>
      <c r="Y2278" t="inlineStr">
        <is>
          <t>todo</t>
        </is>
      </c>
      <c r="Z2278">
        <f>(M2278*Weights!$B$2) + (MIN(Q2278,Weights!$B$5)*Weights!$B$3*(W2278/100)*Weights!$B$4)</f>
        <v/>
      </c>
      <c r="AA2278">
        <f>IF(Z2278= ,,RANK.EQ({pri_col_letter}{r},{pri_range},0))</f>
        <v/>
      </c>
    </row>
    <row r="2279">
      <c r="A2279" t="inlineStr">
        <is>
          <t>DR Storage Solutions</t>
        </is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-1</v>
      </c>
      <c r="O2279" t="inlineStr">
        <is>
          <t>Erik Aldrich — Regional Sales Manager</t>
        </is>
      </c>
      <c r="P2279" t="inlineStr">
        <is>
          <t>Regional Sales Manager</t>
        </is>
      </c>
      <c r="Y2279" t="inlineStr">
        <is>
          <t>todo</t>
        </is>
      </c>
      <c r="Z2279">
        <f>(M2279*Weights!$B$2) + (MIN(Q2279,Weights!$B$5)*Weights!$B$3*(W2279/100)*Weights!$B$4)</f>
        <v/>
      </c>
      <c r="AA2279">
        <f>IF(Z2279= ,,RANK.EQ({pri_col_letter}{r},{pri_range},0))</f>
        <v/>
      </c>
    </row>
    <row r="2280">
      <c r="A2280" t="inlineStr">
        <is>
          <t>Daifuku Intralogistics America Corporation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O2280" t="inlineStr">
        <is>
          <t>David Campbell — SVP Sales</t>
        </is>
      </c>
      <c r="P2280" t="inlineStr">
        <is>
          <t>SVP Sales</t>
        </is>
      </c>
      <c r="Y2280" t="inlineStr">
        <is>
          <t>todo</t>
        </is>
      </c>
      <c r="Z2280">
        <f>(M2280*Weights!$B$2) + (MIN(Q2280,Weights!$B$5)*Weights!$B$3*(W2280/100)*Weights!$B$4)</f>
        <v/>
      </c>
      <c r="AA2280">
        <f>IF(Z2280= ,,RANK.EQ({pri_col_letter}{r},{pri_range},0))</f>
        <v/>
      </c>
    </row>
    <row r="2281">
      <c r="A2281" t="inlineStr">
        <is>
          <t>Dane Technologies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O2281" t="inlineStr">
        <is>
          <t>Todd Litton — SVP Field Services &amp; Customer Success</t>
        </is>
      </c>
      <c r="P2281" t="inlineStr">
        <is>
          <t>SVP Field Services &amp; Customer Success</t>
        </is>
      </c>
      <c r="Y2281" t="inlineStr">
        <is>
          <t>todo</t>
        </is>
      </c>
      <c r="Z2281">
        <f>(M2281*Weights!$B$2) + (MIN(Q2281,Weights!$B$5)*Weights!$B$3*(W2281/100)*Weights!$B$4)</f>
        <v/>
      </c>
      <c r="AA2281">
        <f>IF(Z2281= ,,RANK.EQ({pri_col_letter}{r},{pri_range},0))</f>
        <v/>
      </c>
    </row>
    <row r="2282">
      <c r="A2282" t="inlineStr">
        <is>
          <t>Dane Technologies Inc</t>
        </is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O2282" t="inlineStr">
        <is>
          <t>Scott Pearson — Senior Vice President Sales</t>
        </is>
      </c>
      <c r="P2282" t="inlineStr">
        <is>
          <t>Senior Vice President Sales</t>
        </is>
      </c>
      <c r="Y2282" t="inlineStr">
        <is>
          <t>todo</t>
        </is>
      </c>
      <c r="Z2282">
        <f>(M2282*Weights!$B$2) + (MIN(Q2282,Weights!$B$5)*Weights!$B$3*(W2282/100)*Weights!$B$4)</f>
        <v/>
      </c>
      <c r="AA2282">
        <f>IF(Z2282= ,,RANK.EQ({pri_col_letter}{r},{pri_range},0))</f>
        <v/>
      </c>
    </row>
    <row r="2283">
      <c r="A2283" t="inlineStr">
        <is>
          <t>Dart Entities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-1</v>
      </c>
      <c r="O2283" t="inlineStr">
        <is>
          <t>Patti Permann — VP Business Development</t>
        </is>
      </c>
      <c r="P2283" t="inlineStr">
        <is>
          <t>VP Business Development</t>
        </is>
      </c>
      <c r="Y2283" t="inlineStr">
        <is>
          <t>todo</t>
        </is>
      </c>
      <c r="Z2283">
        <f>(M2283*Weights!$B$2) + (MIN(Q2283,Weights!$B$5)*Weights!$B$3*(W2283/100)*Weights!$B$4)</f>
        <v/>
      </c>
      <c r="AA2283">
        <f>IF(Z2283= ,,RANK.EQ({pri_col_letter}{r},{pri_range},0))</f>
        <v/>
      </c>
    </row>
    <row r="2284">
      <c r="A2284" t="inlineStr">
        <is>
          <t>Dataminr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O2284" t="inlineStr">
        <is>
          <t>Bryce Feuerstein — VP, Strategic Growth</t>
        </is>
      </c>
      <c r="P2284" t="inlineStr">
        <is>
          <t>VP, Strategic Growth</t>
        </is>
      </c>
      <c r="Y2284" t="inlineStr">
        <is>
          <t>todo</t>
        </is>
      </c>
      <c r="Z2284">
        <f>(M2284*Weights!$B$2) + (MIN(Q2284,Weights!$B$5)*Weights!$B$3*(W2284/100)*Weights!$B$4)</f>
        <v/>
      </c>
      <c r="AA2284">
        <f>IF(Z2284= ,,RANK.EQ({pri_col_letter}{r},{pri_range},0))</f>
        <v/>
      </c>
    </row>
    <row r="2285">
      <c r="A2285" t="inlineStr">
        <is>
          <t>Dayton Freight Lines Inc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O2285" t="inlineStr">
        <is>
          <t>Nathan Reed — Director of Sales</t>
        </is>
      </c>
      <c r="P2285" t="inlineStr">
        <is>
          <t>Director of Sales</t>
        </is>
      </c>
      <c r="Y2285" t="inlineStr">
        <is>
          <t>todo</t>
        </is>
      </c>
      <c r="Z2285">
        <f>(M2285*Weights!$B$2) + (MIN(Q2285,Weights!$B$5)*Weights!$B$3*(W2285/100)*Weights!$B$4)</f>
        <v/>
      </c>
      <c r="AA2285">
        <f>IF(Z2285= ,,RANK.EQ({pri_col_letter}{r},{pri_range},0))</f>
        <v/>
      </c>
    </row>
    <row r="2286">
      <c r="A2286" t="inlineStr">
        <is>
          <t>Deliver Expert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O2286" t="inlineStr">
        <is>
          <t>Kiro Ghabrial — Sales</t>
        </is>
      </c>
      <c r="P2286" t="inlineStr">
        <is>
          <t>Sales</t>
        </is>
      </c>
      <c r="Y2286" t="inlineStr">
        <is>
          <t>todo</t>
        </is>
      </c>
      <c r="Z2286">
        <f>(M2286*Weights!$B$2) + (MIN(Q2286,Weights!$B$5)*Weights!$B$3*(W2286/100)*Weights!$B$4)</f>
        <v/>
      </c>
      <c r="AA2286">
        <f>IF(Z2286= ,,RANK.EQ({pri_col_letter}{r},{pri_range},0))</f>
        <v/>
      </c>
    </row>
    <row r="2287">
      <c r="A2287" t="inlineStr">
        <is>
          <t>DeliveryCircle</t>
        </is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O2287" t="inlineStr">
        <is>
          <t>Jessica Proctor — Vice President of Sales</t>
        </is>
      </c>
      <c r="P2287" t="inlineStr">
        <is>
          <t>Vice President of Sales</t>
        </is>
      </c>
      <c r="Y2287" t="inlineStr">
        <is>
          <t>todo</t>
        </is>
      </c>
      <c r="Z2287">
        <f>(M2287*Weights!$B$2) + (MIN(Q2287,Weights!$B$5)*Weights!$B$3*(W2287/100)*Weights!$B$4)</f>
        <v/>
      </c>
      <c r="AA2287">
        <f>IF(Z2287= ,,RANK.EQ({pri_col_letter}{r},{pri_range},0))</f>
        <v/>
      </c>
    </row>
    <row r="2288">
      <c r="A2288" t="inlineStr">
        <is>
          <t>Digital Logistics and Trade LLC. DBA: DIGILOG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O2288" t="inlineStr">
        <is>
          <t>Juan Trinidad — VP of Sales and Marketing</t>
        </is>
      </c>
      <c r="P2288" t="inlineStr">
        <is>
          <t>VP of Sales and Marketing</t>
        </is>
      </c>
      <c r="Y2288" t="inlineStr">
        <is>
          <t>todo</t>
        </is>
      </c>
      <c r="Z2288">
        <f>(M2288*Weights!$B$2) + (MIN(Q2288,Weights!$B$5)*Weights!$B$3*(W2288/100)*Weights!$B$4)</f>
        <v/>
      </c>
      <c r="AA2288">
        <f>IF(Z2288= ,,RANK.EQ({pri_col_letter}{r},{pri_range},0))</f>
        <v/>
      </c>
    </row>
    <row r="2289">
      <c r="A2289" t="inlineStr">
        <is>
          <t>Directus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-1</v>
      </c>
      <c r="O2289" t="inlineStr">
        <is>
          <t>John Daniels — Americas Enterprise Sales Lead</t>
        </is>
      </c>
      <c r="P2289" t="inlineStr">
        <is>
          <t>Americas Enterprise Sales Lead</t>
        </is>
      </c>
      <c r="Y2289" t="inlineStr">
        <is>
          <t>todo</t>
        </is>
      </c>
      <c r="Z2289">
        <f>(M2289*Weights!$B$2) + (MIN(Q2289,Weights!$B$5)*Weights!$B$3*(W2289/100)*Weights!$B$4)</f>
        <v/>
      </c>
      <c r="AA2289">
        <f>IF(Z2289= ,,RANK.EQ({pri_col_letter}{r},{pri_range},0))</f>
        <v/>
      </c>
    </row>
    <row r="2290">
      <c r="A2290" t="inlineStr">
        <is>
          <t>Dot Ai Corporation</t>
        </is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O2290" t="inlineStr">
        <is>
          <t>Delores (Del) Rochester — Chief Revenue Officer</t>
        </is>
      </c>
      <c r="P2290" t="inlineStr">
        <is>
          <t>Chief Revenue Officer</t>
        </is>
      </c>
      <c r="Y2290" t="inlineStr">
        <is>
          <t>todo</t>
        </is>
      </c>
      <c r="Z2290">
        <f>(M2290*Weights!$B$2) + (MIN(Q2290,Weights!$B$5)*Weights!$B$3*(W2290/100)*Weights!$B$4)</f>
        <v/>
      </c>
      <c r="AA2290">
        <f>IF(Z2290= ,,RANK.EQ({pri_col_letter}{r},{pri_range},0))</f>
        <v/>
      </c>
    </row>
    <row r="2291">
      <c r="A2291" t="inlineStr">
        <is>
          <t>Drumkit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O2291" t="inlineStr">
        <is>
          <t>Perry Falk — Head of Sales</t>
        </is>
      </c>
      <c r="P2291" t="inlineStr">
        <is>
          <t>Head of Sales</t>
        </is>
      </c>
      <c r="Y2291" t="inlineStr">
        <is>
          <t>todo</t>
        </is>
      </c>
      <c r="Z2291">
        <f>(M2291*Weights!$B$2) + (MIN(Q2291,Weights!$B$5)*Weights!$B$3*(W2291/100)*Weights!$B$4)</f>
        <v/>
      </c>
      <c r="AA2291">
        <f>IF(Z2291= ,,RANK.EQ({pri_col_letter}{r},{pri_range},0))</f>
        <v/>
      </c>
    </row>
    <row r="2292">
      <c r="A2292" t="inlineStr">
        <is>
          <t>Duravant</t>
        </is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O2292" t="inlineStr">
        <is>
          <t>Benny Landrum — Sr Business Development Manager</t>
        </is>
      </c>
      <c r="P2292" t="inlineStr">
        <is>
          <t>Sr Business Development Manager</t>
        </is>
      </c>
      <c r="Y2292" t="inlineStr">
        <is>
          <t>todo</t>
        </is>
      </c>
      <c r="Z2292">
        <f>(M2292*Weights!$B$2) + (MIN(Q2292,Weights!$B$5)*Weights!$B$3*(W2292/100)*Weights!$B$4)</f>
        <v/>
      </c>
      <c r="AA2292">
        <f>IF(Z2292= ,,RANK.EQ({pri_col_letter}{r},{pri_range},0))</f>
        <v/>
      </c>
    </row>
    <row r="2293">
      <c r="A2293" t="inlineStr">
        <is>
          <t>EBE Technologies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O2293" t="inlineStr">
        <is>
          <t>Bill Holaday — VP of Enterprise Sales</t>
        </is>
      </c>
      <c r="P2293" t="inlineStr">
        <is>
          <t>VP of Enterprise Sales</t>
        </is>
      </c>
      <c r="Y2293" t="inlineStr">
        <is>
          <t>todo</t>
        </is>
      </c>
      <c r="Z2293">
        <f>(M2293*Weights!$B$2) + (MIN(Q2293,Weights!$B$5)*Weights!$B$3*(W2293/100)*Weights!$B$4)</f>
        <v/>
      </c>
      <c r="AA2293">
        <f>IF(Z2293= ,,RANK.EQ({pri_col_letter}{r},{pri_range},0))</f>
        <v/>
      </c>
    </row>
    <row r="2294">
      <c r="A2294" t="inlineStr">
        <is>
          <t>Eclipse Advantage</t>
        </is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O2294" t="inlineStr">
        <is>
          <t>Ryan Howard — VP of Business Development</t>
        </is>
      </c>
      <c r="P2294" t="inlineStr">
        <is>
          <t>VP of Business Development</t>
        </is>
      </c>
      <c r="Y2294" t="inlineStr">
        <is>
          <t>todo</t>
        </is>
      </c>
      <c r="Z2294">
        <f>(M2294*Weights!$B$2) + (MIN(Q2294,Weights!$B$5)*Weights!$B$3*(W2294/100)*Weights!$B$4)</f>
        <v/>
      </c>
      <c r="AA2294">
        <f>IF(Z2294= ,,RANK.EQ({pri_col_letter}{r},{pri_range},0))</f>
        <v/>
      </c>
    </row>
    <row r="2295">
      <c r="A2295" t="inlineStr">
        <is>
          <t>Element Logic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-1</v>
      </c>
      <c r="O2295" t="inlineStr">
        <is>
          <t>Shannan Newsome — Senior Vice President Sales</t>
        </is>
      </c>
      <c r="P2295" t="inlineStr">
        <is>
          <t>Senior Vice President Sales</t>
        </is>
      </c>
      <c r="Y2295" t="inlineStr">
        <is>
          <t>todo</t>
        </is>
      </c>
      <c r="Z2295">
        <f>(M2295*Weights!$B$2) + (MIN(Q2295,Weights!$B$5)*Weights!$B$3*(W2295/100)*Weights!$B$4)</f>
        <v/>
      </c>
      <c r="AA2295">
        <f>IF(Z2295= ,,RANK.EQ({pri_col_letter}{r},{pri_range},0))</f>
        <v/>
      </c>
    </row>
    <row r="2296">
      <c r="A2296" t="inlineStr">
        <is>
          <t>Engineering Innovation, Inc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O2296" t="inlineStr">
        <is>
          <t>Clark Cassell — Business Development</t>
        </is>
      </c>
      <c r="P2296" t="inlineStr">
        <is>
          <t>Business Development</t>
        </is>
      </c>
      <c r="Y2296" t="inlineStr">
        <is>
          <t>todo</t>
        </is>
      </c>
      <c r="Z2296">
        <f>(M2296*Weights!$B$2) + (MIN(Q2296,Weights!$B$5)*Weights!$B$3*(W2296/100)*Weights!$B$4)</f>
        <v/>
      </c>
      <c r="AA2296">
        <f>IF(Z2296= ,,RANK.EQ({pri_col_letter}{r},{pri_range},0))</f>
        <v/>
      </c>
    </row>
    <row r="2297">
      <c r="A2297" t="inlineStr">
        <is>
          <t>Evans Delivery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-1</v>
      </c>
      <c r="O2297" t="inlineStr">
        <is>
          <t>Andy Piatt — VP of Sales</t>
        </is>
      </c>
      <c r="P2297" t="inlineStr">
        <is>
          <t>VP of Sales</t>
        </is>
      </c>
      <c r="Y2297" t="inlineStr">
        <is>
          <t>todo</t>
        </is>
      </c>
      <c r="Z2297">
        <f>(M2297*Weights!$B$2) + (MIN(Q2297,Weights!$B$5)*Weights!$B$3*(W2297/100)*Weights!$B$4)</f>
        <v/>
      </c>
      <c r="AA2297">
        <f>IF(Z2297= ,,RANK.EQ({pri_col_letter}{r},{pri_range},0))</f>
        <v/>
      </c>
    </row>
    <row r="2298">
      <c r="A2298" t="inlineStr">
        <is>
          <t>FAST Global Solutions, Inc.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O2298" t="inlineStr">
        <is>
          <t>Barb Ostrander — Director of Marketing</t>
        </is>
      </c>
      <c r="P2298" t="inlineStr">
        <is>
          <t>Director of Marketing</t>
        </is>
      </c>
      <c r="Y2298" t="inlineStr">
        <is>
          <t>todo</t>
        </is>
      </c>
      <c r="Z2298">
        <f>(M2298*Weights!$B$2) + (MIN(Q2298,Weights!$B$5)*Weights!$B$3*(W2298/100)*Weights!$B$4)</f>
        <v/>
      </c>
      <c r="AA2298">
        <f>IF(Z2298= ,,RANK.EQ({pri_col_letter}{r},{pri_range},0))</f>
        <v/>
      </c>
    </row>
    <row r="2299">
      <c r="A2299" t="inlineStr">
        <is>
          <t>First Financial Equipment Leasing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O2299" t="inlineStr">
        <is>
          <t>Channing Lyon — RVP - Equipment Leasing Sales</t>
        </is>
      </c>
      <c r="P2299" t="inlineStr">
        <is>
          <t>RVP - Equipment Leasing Sales</t>
        </is>
      </c>
      <c r="Y2299" t="inlineStr">
        <is>
          <t>todo</t>
        </is>
      </c>
      <c r="Z2299">
        <f>(M2299*Weights!$B$2) + (MIN(Q2299,Weights!$B$5)*Weights!$B$3*(W2299/100)*Weights!$B$4)</f>
        <v/>
      </c>
      <c r="AA2299">
        <f>IF(Z2299= ,,RANK.EQ({pri_col_letter}{r},{pri_range},0))</f>
        <v/>
      </c>
    </row>
    <row r="2300">
      <c r="A2300" t="inlineStr">
        <is>
          <t>Freightoscope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O2300" t="inlineStr">
        <is>
          <t>Frank Camp — Director of Sales</t>
        </is>
      </c>
      <c r="P2300" t="inlineStr">
        <is>
          <t>Director of Sales</t>
        </is>
      </c>
      <c r="Y2300" t="inlineStr">
        <is>
          <t>todo</t>
        </is>
      </c>
      <c r="Z2300">
        <f>(M2300*Weights!$B$2) + (MIN(Q2300,Weights!$B$5)*Weights!$B$3*(W2300/100)*Weights!$B$4)</f>
        <v/>
      </c>
      <c r="AA2300">
        <f>IF(Z2300= ,,RANK.EQ({pri_col_letter}{r},{pri_range},0))</f>
        <v/>
      </c>
    </row>
    <row r="2301">
      <c r="A2301" t="inlineStr">
        <is>
          <t>G2RL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-1</v>
      </c>
      <c r="O2301" t="inlineStr">
        <is>
          <t>Julie Massey — Vice President, Sales</t>
        </is>
      </c>
      <c r="P2301" t="inlineStr">
        <is>
          <t>Vice President, Sales</t>
        </is>
      </c>
      <c r="Y2301" t="inlineStr">
        <is>
          <t>todo</t>
        </is>
      </c>
      <c r="Z2301">
        <f>(M2301*Weights!$B$2) + (MIN(Q2301,Weights!$B$5)*Weights!$B$3*(W2301/100)*Weights!$B$4)</f>
        <v/>
      </c>
      <c r="AA2301">
        <f>IF(Z2301= ,,RANK.EQ({pri_col_letter}{r},{pri_range},0))</f>
        <v/>
      </c>
    </row>
    <row r="2302">
      <c r="A2302" t="inlineStr">
        <is>
          <t>GLCS, Inc.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-1</v>
      </c>
      <c r="O2302" t="inlineStr">
        <is>
          <t>susan mayo — Director of Sales</t>
        </is>
      </c>
      <c r="P2302" t="inlineStr">
        <is>
          <t>Director of Sales</t>
        </is>
      </c>
      <c r="Y2302" t="inlineStr">
        <is>
          <t>todo</t>
        </is>
      </c>
      <c r="Z2302">
        <f>(M2302*Weights!$B$2) + (MIN(Q2302,Weights!$B$5)*Weights!$B$3*(W2302/100)*Weights!$B$4)</f>
        <v/>
      </c>
      <c r="AA2302">
        <f>IF(Z2302= ,,RANK.EQ({pri_col_letter}{r},{pri_range},0))</f>
        <v/>
      </c>
    </row>
    <row r="2303">
      <c r="A2303" t="inlineStr">
        <is>
          <t>GN TEQ</t>
        </is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O2303" t="inlineStr">
        <is>
          <t>Ahmed El-Alfy — Business Development Director</t>
        </is>
      </c>
      <c r="P2303" t="inlineStr">
        <is>
          <t>Business Development Director</t>
        </is>
      </c>
      <c r="Y2303" t="inlineStr">
        <is>
          <t>todo</t>
        </is>
      </c>
      <c r="Z2303">
        <f>(M2303*Weights!$B$2) + (MIN(Q2303,Weights!$B$5)*Weights!$B$3*(W2303/100)*Weights!$B$4)</f>
        <v/>
      </c>
      <c r="AA2303">
        <f>IF(Z2303= ,,RANK.EQ({pri_col_letter}{r},{pri_range},0))</f>
        <v/>
      </c>
    </row>
    <row r="2304">
      <c r="A2304" t="inlineStr">
        <is>
          <t>GOFO</t>
        </is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-1</v>
      </c>
      <c r="O2304" t="inlineStr">
        <is>
          <t>Vincent D'Amato — Chief Sales Officer - North America</t>
        </is>
      </c>
      <c r="P2304" t="inlineStr">
        <is>
          <t>Chief Sales Officer - North America</t>
        </is>
      </c>
      <c r="Y2304" t="inlineStr">
        <is>
          <t>todo</t>
        </is>
      </c>
      <c r="Z2304">
        <f>(M2304*Weights!$B$2) + (MIN(Q2304,Weights!$B$5)*Weights!$B$3*(W2304/100)*Weights!$B$4)</f>
        <v/>
      </c>
      <c r="AA2304">
        <f>IF(Z2304= ,,RANK.EQ({pri_col_letter}{r},{pri_range},0))</f>
        <v/>
      </c>
    </row>
    <row r="2305">
      <c r="A2305" t="inlineStr">
        <is>
          <t>Gebrüder Weiss • Transport and Logistics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O2305" t="inlineStr">
        <is>
          <t>Amna Hazbic — Business Development Manager</t>
        </is>
      </c>
      <c r="P2305" t="inlineStr">
        <is>
          <t>Business Development Manager</t>
        </is>
      </c>
      <c r="Y2305" t="inlineStr">
        <is>
          <t>todo</t>
        </is>
      </c>
      <c r="Z2305">
        <f>(M2305*Weights!$B$2) + (MIN(Q2305,Weights!$B$5)*Weights!$B$3*(W2305/100)*Weights!$B$4)</f>
        <v/>
      </c>
      <c r="AA2305">
        <f>IF(Z2305= ,,RANK.EQ({pri_col_letter}{r},{pri_range},0))</f>
        <v/>
      </c>
    </row>
    <row r="2306">
      <c r="A2306" t="inlineStr">
        <is>
          <t>Global Logistics Inc.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O2306" t="inlineStr">
        <is>
          <t>Joe McManis — Director of Business Development</t>
        </is>
      </c>
      <c r="P2306" t="inlineStr">
        <is>
          <t>Director of Business Development</t>
        </is>
      </c>
      <c r="Y2306" t="inlineStr">
        <is>
          <t>todo</t>
        </is>
      </c>
      <c r="Z2306">
        <f>(M2306*Weights!$B$2) + (MIN(Q2306,Weights!$B$5)*Weights!$B$3*(W2306/100)*Weights!$B$4)</f>
        <v/>
      </c>
      <c r="AA2306">
        <f>IF(Z2306= ,,RANK.EQ({pri_col_letter}{r},{pri_range},0))</f>
        <v/>
      </c>
    </row>
    <row r="2307">
      <c r="A2307" t="inlineStr">
        <is>
          <t>HERE Technologies</t>
        </is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O2307" t="inlineStr">
        <is>
          <t>Don Kisela — Sr. Sales Manager</t>
        </is>
      </c>
      <c r="P2307" t="inlineStr">
        <is>
          <t>Sr. Sales Manager</t>
        </is>
      </c>
      <c r="Y2307" t="inlineStr">
        <is>
          <t>todo</t>
        </is>
      </c>
      <c r="Z2307">
        <f>(M2307*Weights!$B$2) + (MIN(Q2307,Weights!$B$5)*Weights!$B$3*(W2307/100)*Weights!$B$4)</f>
        <v/>
      </c>
      <c r="AA2307">
        <f>IF(Z2307= ,,RANK.EQ({pri_col_letter}{r},{pri_range},0))</f>
        <v/>
      </c>
    </row>
    <row r="2308">
      <c r="A2308" t="inlineStr">
        <is>
          <t>Highnote</t>
        </is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O2308" t="inlineStr">
        <is>
          <t>Fiona Gellatly — Enterprise Sales</t>
        </is>
      </c>
      <c r="P2308" t="inlineStr">
        <is>
          <t>Enterprise Sales</t>
        </is>
      </c>
      <c r="Y2308" t="inlineStr">
        <is>
          <t>todo</t>
        </is>
      </c>
      <c r="Z2308">
        <f>(M2308*Weights!$B$2) + (MIN(Q2308,Weights!$B$5)*Weights!$B$3*(W2308/100)*Weights!$B$4)</f>
        <v/>
      </c>
      <c r="AA2308">
        <f>IF(Z2308= ,,RANK.EQ({pri_col_letter}{r},{pri_range},0))</f>
        <v/>
      </c>
    </row>
    <row r="2309">
      <c r="A2309" t="inlineStr">
        <is>
          <t>Holland International Distribution Council</t>
        </is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-1</v>
      </c>
      <c r="O2309" t="inlineStr">
        <is>
          <t>Karin Rancuret — Sr. Business Development Manager</t>
        </is>
      </c>
      <c r="P2309" t="inlineStr">
        <is>
          <t>Sr. Business Development Manager</t>
        </is>
      </c>
      <c r="Y2309" t="inlineStr">
        <is>
          <t>todo</t>
        </is>
      </c>
      <c r="Z2309">
        <f>(M2309*Weights!$B$2) + (MIN(Q2309,Weights!$B$5)*Weights!$B$3*(W2309/100)*Weights!$B$4)</f>
        <v/>
      </c>
      <c r="AA2309">
        <f>IF(Z2309= ,,RANK.EQ({pri_col_letter}{r},{pri_range},0))</f>
        <v/>
      </c>
    </row>
    <row r="2310">
      <c r="A2310" t="inlineStr">
        <is>
          <t>Hong Kong Trade Development Council</t>
        </is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O2310" t="inlineStr">
        <is>
          <t>Lawrence Chiu — Marketing Manager</t>
        </is>
      </c>
      <c r="P2310" t="inlineStr">
        <is>
          <t>Marketing Manager</t>
        </is>
      </c>
      <c r="Y2310" t="inlineStr">
        <is>
          <t>todo</t>
        </is>
      </c>
      <c r="Z2310">
        <f>(M2310*Weights!$B$2) + (MIN(Q2310,Weights!$B$5)*Weights!$B$3*(W2310/100)*Weights!$B$4)</f>
        <v/>
      </c>
      <c r="AA2310">
        <f>IF(Z2310= ,,RANK.EQ({pri_col_letter}{r},{pri_range},0))</f>
        <v/>
      </c>
    </row>
    <row r="2311">
      <c r="A2311" t="inlineStr">
        <is>
          <t>Hoopo Systems Ltd.</t>
        </is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O2311" t="inlineStr">
        <is>
          <t>Tal Leemor — SVP Marketing &amp; Partnerships</t>
        </is>
      </c>
      <c r="P2311" t="inlineStr">
        <is>
          <t>SVP Marketing &amp; Partnerships</t>
        </is>
      </c>
      <c r="Y2311" t="inlineStr">
        <is>
          <t>todo</t>
        </is>
      </c>
      <c r="Z2311">
        <f>(M2311*Weights!$B$2) + (MIN(Q2311,Weights!$B$5)*Weights!$B$3*(W2311/100)*Weights!$B$4)</f>
        <v/>
      </c>
      <c r="AA2311">
        <f>IF(Z2311= ,,RANK.EQ({pri_col_letter}{r},{pri_range},0))</f>
        <v/>
      </c>
    </row>
    <row r="2312">
      <c r="A2312" t="inlineStr">
        <is>
          <t>Hyperscale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O2312" t="inlineStr">
        <is>
          <t>Jeff Resch — VP of Business Development</t>
        </is>
      </c>
      <c r="P2312" t="inlineStr">
        <is>
          <t>VP of Business Development</t>
        </is>
      </c>
      <c r="Y2312" t="inlineStr">
        <is>
          <t>todo</t>
        </is>
      </c>
      <c r="Z2312">
        <f>(M2312*Weights!$B$2) + (MIN(Q2312,Weights!$B$5)*Weights!$B$3*(W2312/100)*Weights!$B$4)</f>
        <v/>
      </c>
      <c r="AA2312">
        <f>IF(Z2312= ,,RANK.EQ({pri_col_letter}{r},{pri_range},0))</f>
        <v/>
      </c>
    </row>
    <row r="2313">
      <c r="A2313" t="inlineStr">
        <is>
          <t>Interlake Mecalux</t>
        </is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O2313" t="inlineStr">
        <is>
          <t>Chris Huber — Sales Manager</t>
        </is>
      </c>
      <c r="P2313" t="inlineStr">
        <is>
          <t>Sales Manager</t>
        </is>
      </c>
      <c r="Y2313" t="inlineStr">
        <is>
          <t>todo</t>
        </is>
      </c>
      <c r="Z2313">
        <f>(M2313*Weights!$B$2) + (MIN(Q2313,Weights!$B$5)*Weights!$B$3*(W2313/100)*Weights!$B$4)</f>
        <v/>
      </c>
      <c r="AA2313">
        <f>IF(Z2313= ,,RANK.EQ({pri_col_letter}{r},{pri_range},0))</f>
        <v/>
      </c>
    </row>
    <row r="2314">
      <c r="A2314" t="inlineStr">
        <is>
          <t>Jacksonville Port Authority (JAXPORT)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O2314" t="inlineStr">
        <is>
          <t>David Briceno — Director of Sales</t>
        </is>
      </c>
      <c r="P2314" t="inlineStr">
        <is>
          <t>Director of Sales</t>
        </is>
      </c>
      <c r="Y2314" t="inlineStr">
        <is>
          <t>todo</t>
        </is>
      </c>
      <c r="Z2314">
        <f>(M2314*Weights!$B$2) + (MIN(Q2314,Weights!$B$5)*Weights!$B$3*(W2314/100)*Weights!$B$4)</f>
        <v/>
      </c>
      <c r="AA2314">
        <f>IF(Z2314= ,,RANK.EQ({pri_col_letter}{r},{pri_range},0))</f>
        <v/>
      </c>
    </row>
    <row r="2315">
      <c r="A2315" t="inlineStr">
        <is>
          <t>JayGroup 3PL</t>
        </is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-1</v>
      </c>
      <c r="O2315" t="inlineStr">
        <is>
          <t>Scott Chamberlain — Sr. Director Sales &amp; Marketing</t>
        </is>
      </c>
      <c r="P2315" t="inlineStr">
        <is>
          <t>Sr. Director Sales &amp; Marketing</t>
        </is>
      </c>
      <c r="Y2315" t="inlineStr">
        <is>
          <t>todo</t>
        </is>
      </c>
      <c r="Z2315">
        <f>(M2315*Weights!$B$2) + (MIN(Q2315,Weights!$B$5)*Weights!$B$3*(W2315/100)*Weights!$B$4)</f>
        <v/>
      </c>
      <c r="AA2315">
        <f>IF(Z2315= ,,RANK.EQ({pri_col_letter}{r},{pri_range},0))</f>
        <v/>
      </c>
    </row>
    <row r="2316">
      <c r="A2316" t="inlineStr">
        <is>
          <t>KLLM Transport Services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O2316" t="inlineStr">
        <is>
          <t>Grant Ashe — Director of Sales</t>
        </is>
      </c>
      <c r="P2316" t="inlineStr">
        <is>
          <t>Director of Sales</t>
        </is>
      </c>
      <c r="Y2316" t="inlineStr">
        <is>
          <t>todo</t>
        </is>
      </c>
      <c r="Z2316">
        <f>(M2316*Weights!$B$2) + (MIN(Q2316,Weights!$B$5)*Weights!$B$3*(W2316/100)*Weights!$B$4)</f>
        <v/>
      </c>
      <c r="AA2316">
        <f>IF(Z2316= ,,RANK.EQ({pri_col_letter}{r},{pri_range},0))</f>
        <v/>
      </c>
    </row>
    <row r="2317">
      <c r="A2317" t="inlineStr">
        <is>
          <t>Knight-Swift Warehousing &amp; Fulfillment</t>
        </is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O2317" t="inlineStr">
        <is>
          <t>Whitney Cowell — Revenue Marketing Manager</t>
        </is>
      </c>
      <c r="P2317" t="inlineStr">
        <is>
          <t>Revenue Marketing Manager</t>
        </is>
      </c>
      <c r="Y2317" t="inlineStr">
        <is>
          <t>todo</t>
        </is>
      </c>
      <c r="Z2317">
        <f>(M2317*Weights!$B$2) + (MIN(Q2317,Weights!$B$5)*Weights!$B$3*(W2317/100)*Weights!$B$4)</f>
        <v/>
      </c>
      <c r="AA2317">
        <f>IF(Z2317= ,,RANK.EQ({pri_col_letter}{r},{pri_range},0))</f>
        <v/>
      </c>
    </row>
    <row r="2318">
      <c r="A2318" t="inlineStr">
        <is>
          <t>Loadsmart</t>
        </is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O2318" t="inlineStr">
        <is>
          <t>Nate Allan — VP of Digital Sales</t>
        </is>
      </c>
      <c r="P2318" t="inlineStr">
        <is>
          <t>VP of Digital Sales</t>
        </is>
      </c>
      <c r="Y2318" t="inlineStr">
        <is>
          <t>todo</t>
        </is>
      </c>
      <c r="Z2318">
        <f>(M2318*Weights!$B$2) + (MIN(Q2318,Weights!$B$5)*Weights!$B$3*(W2318/100)*Weights!$B$4)</f>
        <v/>
      </c>
      <c r="AA2318">
        <f>IF(Z2318= ,,RANK.EQ({pri_col_letter}{r},{pri_range},0))</f>
        <v/>
      </c>
    </row>
    <row r="2319">
      <c r="A2319" t="inlineStr">
        <is>
          <t>Logic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O2319" t="inlineStr">
        <is>
          <t>Anthony Milano — Chief Growth Officer</t>
        </is>
      </c>
      <c r="P2319" t="inlineStr">
        <is>
          <t>Chief Growth Officer</t>
        </is>
      </c>
      <c r="Y2319" t="inlineStr">
        <is>
          <t>todo</t>
        </is>
      </c>
      <c r="Z2319">
        <f>(M2319*Weights!$B$2) + (MIN(Q2319,Weights!$B$5)*Weights!$B$3*(W2319/100)*Weights!$B$4)</f>
        <v/>
      </c>
      <c r="AA2319">
        <f>IF(Z2319= ,,RANK.EQ({pri_col_letter}{r},{pri_range},0))</f>
        <v/>
      </c>
    </row>
    <row r="2320">
      <c r="A2320" t="inlineStr">
        <is>
          <t>M&amp;W Distribution Services, Inc.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-1</v>
      </c>
      <c r="O2320" t="inlineStr">
        <is>
          <t>Maurice Bremekamp — VP of Sales</t>
        </is>
      </c>
      <c r="P2320" t="inlineStr">
        <is>
          <t>VP of Sales</t>
        </is>
      </c>
      <c r="Y2320" t="inlineStr">
        <is>
          <t>todo</t>
        </is>
      </c>
      <c r="Z2320">
        <f>(M2320*Weights!$B$2) + (MIN(Q2320,Weights!$B$5)*Weights!$B$3*(W2320/100)*Weights!$B$4)</f>
        <v/>
      </c>
      <c r="AA2320">
        <f>IF(Z2320= ,,RANK.EQ({pri_col_letter}{r},{pri_range},0))</f>
        <v/>
      </c>
    </row>
    <row r="2321">
      <c r="A2321" t="inlineStr">
        <is>
          <t>MIAS Inc.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O2321" t="inlineStr">
        <is>
          <t>Robert Schnuderl — Director of Sales</t>
        </is>
      </c>
      <c r="P2321" t="inlineStr">
        <is>
          <t>Director of Sales</t>
        </is>
      </c>
      <c r="Y2321" t="inlineStr">
        <is>
          <t>todo</t>
        </is>
      </c>
      <c r="Z2321">
        <f>(M2321*Weights!$B$2) + (MIN(Q2321,Weights!$B$5)*Weights!$B$3*(W2321/100)*Weights!$B$4)</f>
        <v/>
      </c>
      <c r="AA2321">
        <f>IF(Z2321= ,,RANK.EQ({pri_col_letter}{r},{pri_range},0))</f>
        <v/>
      </c>
    </row>
    <row r="2322">
      <c r="A2322" t="inlineStr">
        <is>
          <t>MOD Delivery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O2322" t="inlineStr">
        <is>
          <t>Jeff Usher — Business Development</t>
        </is>
      </c>
      <c r="P2322" t="inlineStr">
        <is>
          <t>Business Development</t>
        </is>
      </c>
      <c r="Y2322" t="inlineStr">
        <is>
          <t>todo</t>
        </is>
      </c>
      <c r="Z2322">
        <f>(M2322*Weights!$B$2) + (MIN(Q2322,Weights!$B$5)*Weights!$B$3*(W2322/100)*Weights!$B$4)</f>
        <v/>
      </c>
      <c r="AA2322">
        <f>IF(Z2322= ,,RANK.EQ({pri_col_letter}{r},{pri_range},0))</f>
        <v/>
      </c>
    </row>
    <row r="2323">
      <c r="A2323" t="inlineStr">
        <is>
          <t>MOL PLUS Co., Ltd.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O2323" t="inlineStr">
        <is>
          <t>Ryoko Kozuma — Growth Manager</t>
        </is>
      </c>
      <c r="P2323" t="inlineStr">
        <is>
          <t>Growth Manager</t>
        </is>
      </c>
      <c r="Y2323" t="inlineStr">
        <is>
          <t>todo</t>
        </is>
      </c>
      <c r="Z2323">
        <f>(M2323*Weights!$B$2) + (MIN(Q2323,Weights!$B$5)*Weights!$B$3*(W2323/100)*Weights!$B$4)</f>
        <v/>
      </c>
      <c r="AA2323">
        <f>IF(Z2323= ,,RANK.EQ({pri_col_letter}{r},{pri_range},0))</f>
        <v/>
      </c>
    </row>
    <row r="2324">
      <c r="A2324" t="inlineStr">
        <is>
          <t>Machool Technologies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O2324" t="inlineStr">
        <is>
          <t>Mammen Tharakan — Vice President, Partnerships &amp; Growth</t>
        </is>
      </c>
      <c r="P2324" t="inlineStr">
        <is>
          <t>Vice President, Partnerships &amp; Growth</t>
        </is>
      </c>
      <c r="Y2324" t="inlineStr">
        <is>
          <t>todo</t>
        </is>
      </c>
      <c r="Z2324">
        <f>(M2324*Weights!$B$2) + (MIN(Q2324,Weights!$B$5)*Weights!$B$3*(W2324/100)*Weights!$B$4)</f>
        <v/>
      </c>
      <c r="AA2324">
        <f>IF(Z2324= ,,RANK.EQ({pri_col_letter}{r},{pri_range},0))</f>
        <v/>
      </c>
    </row>
    <row r="2325">
      <c r="A2325" t="inlineStr">
        <is>
          <t>Maersk Logistics</t>
        </is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O2325" t="inlineStr">
        <is>
          <t>Kyle Luekenga — Commercial Business Development</t>
        </is>
      </c>
      <c r="P2325" t="inlineStr">
        <is>
          <t>Commercial Business Development</t>
        </is>
      </c>
      <c r="Y2325" t="inlineStr">
        <is>
          <t>todo</t>
        </is>
      </c>
      <c r="Z2325">
        <f>(M2325*Weights!$B$2) + (MIN(Q2325,Weights!$B$5)*Weights!$B$3*(W2325/100)*Weights!$B$4)</f>
        <v/>
      </c>
      <c r="AA2325">
        <f>IF(Z2325= ,,RANK.EQ({pri_col_letter}{r},{pri_range},0))</f>
        <v/>
      </c>
    </row>
    <row r="2326">
      <c r="A2326" t="inlineStr">
        <is>
          <t>Maersk eCommerce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O2326" t="inlineStr">
        <is>
          <t>Lisa Sulouff — Business Development Mgr.</t>
        </is>
      </c>
      <c r="P2326" t="inlineStr">
        <is>
          <t>Business Development Mgr.</t>
        </is>
      </c>
      <c r="Y2326" t="inlineStr">
        <is>
          <t>todo</t>
        </is>
      </c>
      <c r="Z2326">
        <f>(M2326*Weights!$B$2) + (MIN(Q2326,Weights!$B$5)*Weights!$B$3*(W2326/100)*Weights!$B$4)</f>
        <v/>
      </c>
      <c r="AA2326">
        <f>IF(Z2326= ,,RANK.EQ({pri_col_letter}{r},{pri_range},0))</f>
        <v/>
      </c>
    </row>
    <row r="2327">
      <c r="A2327" t="inlineStr">
        <is>
          <t>Mako Freight Warehousing &amp; Logistics</t>
        </is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O2327" t="inlineStr">
        <is>
          <t>Drew Ridlen — Enterprise Sales Director</t>
        </is>
      </c>
      <c r="P2327" t="inlineStr">
        <is>
          <t>Enterprise Sales Director</t>
        </is>
      </c>
      <c r="Y2327" t="inlineStr">
        <is>
          <t>todo</t>
        </is>
      </c>
      <c r="Z2327">
        <f>(M2327*Weights!$B$2) + (MIN(Q2327,Weights!$B$5)*Weights!$B$3*(W2327/100)*Weights!$B$4)</f>
        <v/>
      </c>
      <c r="AA2327">
        <f>IF(Z2327= ,,RANK.EQ({pri_col_letter}{r},{pri_range},0))</f>
        <v/>
      </c>
    </row>
    <row r="2328">
      <c r="A2328" t="inlineStr">
        <is>
          <t>MarineTraffic</t>
        </is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O2328" t="inlineStr">
        <is>
          <t>Connor Helm — Account Executive</t>
        </is>
      </c>
      <c r="P2328" t="inlineStr">
        <is>
          <t>Account Executive</t>
        </is>
      </c>
      <c r="Y2328" t="inlineStr">
        <is>
          <t>todo</t>
        </is>
      </c>
      <c r="Z2328">
        <f>(M2328*Weights!$B$2) + (MIN(Q2328,Weights!$B$5)*Weights!$B$3*(W2328/100)*Weights!$B$4)</f>
        <v/>
      </c>
      <c r="AA2328">
        <f>IF(Z2328= ,,RANK.EQ({pri_col_letter}{r},{pri_range},0))</f>
        <v/>
      </c>
    </row>
    <row r="2329">
      <c r="A2329" t="inlineStr">
        <is>
          <t>McClay's Logistics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O2329" t="inlineStr">
        <is>
          <t>Michael Brossia — Vice President of Sales</t>
        </is>
      </c>
      <c r="P2329" t="inlineStr">
        <is>
          <t>Vice President of Sales</t>
        </is>
      </c>
      <c r="Y2329" t="inlineStr">
        <is>
          <t>todo</t>
        </is>
      </c>
      <c r="Z2329">
        <f>(M2329*Weights!$B$2) + (MIN(Q2329,Weights!$B$5)*Weights!$B$3*(W2329/100)*Weights!$B$4)</f>
        <v/>
      </c>
      <c r="AA2329">
        <f>IF(Z2329= ,,RANK.EQ({pri_col_letter}{r},{pri_range},0))</f>
        <v/>
      </c>
    </row>
    <row r="2330">
      <c r="A2330" t="inlineStr">
        <is>
          <t>McLeod Software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O2330" t="inlineStr">
        <is>
          <t>Jon Graham — National Sales Manager</t>
        </is>
      </c>
      <c r="P2330" t="inlineStr">
        <is>
          <t>National Sales Manager</t>
        </is>
      </c>
      <c r="Y2330" t="inlineStr">
        <is>
          <t>todo</t>
        </is>
      </c>
      <c r="Z2330">
        <f>(M2330*Weights!$B$2) + (MIN(Q2330,Weights!$B$5)*Weights!$B$3*(W2330/100)*Weights!$B$4)</f>
        <v/>
      </c>
      <c r="AA2330">
        <f>IF(Z2330= ,,RANK.EQ({pri_col_letter}{r},{pri_range},0))</f>
        <v/>
      </c>
    </row>
    <row r="2331">
      <c r="A2331" t="inlineStr">
        <is>
          <t>Metis</t>
        </is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O2331" t="inlineStr">
        <is>
          <t>Luis Rivas — National Sales Director</t>
        </is>
      </c>
      <c r="P2331" t="inlineStr">
        <is>
          <t>National Sales Director</t>
        </is>
      </c>
      <c r="Y2331" t="inlineStr">
        <is>
          <t>todo</t>
        </is>
      </c>
      <c r="Z2331">
        <f>(M2331*Weights!$B$2) + (MIN(Q2331,Weights!$B$5)*Weights!$B$3*(W2331/100)*Weights!$B$4)</f>
        <v/>
      </c>
      <c r="AA2331">
        <f>IF(Z2331= ,,RANK.EQ({pri_col_letter}{r},{pri_range},0))</f>
        <v/>
      </c>
    </row>
    <row r="2332">
      <c r="A2332" t="inlineStr">
        <is>
          <t>Mode Transportation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O2332" t="inlineStr">
        <is>
          <t>Payton Kelly — Business Development</t>
        </is>
      </c>
      <c r="P2332" t="inlineStr">
        <is>
          <t>Business Development</t>
        </is>
      </c>
      <c r="Y2332" t="inlineStr">
        <is>
          <t>todo</t>
        </is>
      </c>
      <c r="Z2332">
        <f>(M2332*Weights!$B$2) + (MIN(Q2332,Weights!$B$5)*Weights!$B$3*(W2332/100)*Weights!$B$4)</f>
        <v/>
      </c>
      <c r="AA2332">
        <f>IF(Z2332= ,,RANK.EQ({pri_col_letter}{r},{pri_range},0))</f>
        <v/>
      </c>
    </row>
    <row r="2333">
      <c r="A2333" t="inlineStr">
        <is>
          <t>NRI 3PL</t>
        </is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O2333" t="inlineStr">
        <is>
          <t>Amritesh Ghai — Business Development</t>
        </is>
      </c>
      <c r="P2333" t="inlineStr">
        <is>
          <t>Business Development</t>
        </is>
      </c>
      <c r="Y2333" t="inlineStr">
        <is>
          <t>todo</t>
        </is>
      </c>
      <c r="Z2333">
        <f>(M2333*Weights!$B$2) + (MIN(Q2333,Weights!$B$5)*Weights!$B$3*(W2333/100)*Weights!$B$4)</f>
        <v/>
      </c>
      <c r="AA2333">
        <f>IF(Z2333= ,,RANK.EQ({pri_col_letter}{r},{pri_range},0))</f>
        <v/>
      </c>
    </row>
    <row r="2334">
      <c r="A2334" t="inlineStr">
        <is>
          <t>National Motor Freight Traffic Association, Inc. (NMFTA)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O2334" t="inlineStr">
        <is>
          <t>Marli Hall — Director of Communications and Marketing</t>
        </is>
      </c>
      <c r="P2334" t="inlineStr">
        <is>
          <t>Director of Communications and Marketing</t>
        </is>
      </c>
      <c r="Y2334" t="inlineStr">
        <is>
          <t>todo</t>
        </is>
      </c>
      <c r="Z2334">
        <f>(M2334*Weights!$B$2) + (MIN(Q2334,Weights!$B$5)*Weights!$B$3*(W2334/100)*Weights!$B$4)</f>
        <v/>
      </c>
      <c r="AA2334">
        <f>IF(Z2334= ,,RANK.EQ({pri_col_letter}{r},{pri_range},0))</f>
        <v/>
      </c>
    </row>
    <row r="2335">
      <c r="A2335" t="inlineStr">
        <is>
          <t>Newage Software &amp; Solutions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O2335" t="inlineStr">
        <is>
          <t>Mike Pemberton — Customer Success Manager</t>
        </is>
      </c>
      <c r="P2335" t="inlineStr">
        <is>
          <t>Customer Success Manager</t>
        </is>
      </c>
      <c r="Y2335" t="inlineStr">
        <is>
          <t>todo</t>
        </is>
      </c>
      <c r="Z2335">
        <f>(M2335*Weights!$B$2) + (MIN(Q2335,Weights!$B$5)*Weights!$B$3*(W2335/100)*Weights!$B$4)</f>
        <v/>
      </c>
      <c r="AA2335">
        <f>IF(Z2335= ,,RANK.EQ({pri_col_letter}{r},{pri_range},0))</f>
        <v/>
      </c>
    </row>
    <row r="2336">
      <c r="A2336" t="inlineStr">
        <is>
          <t>NextBillion.ai</t>
        </is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O2336" t="inlineStr">
        <is>
          <t>Frank Kopas — GTM Strategy</t>
        </is>
      </c>
      <c r="P2336" t="inlineStr">
        <is>
          <t>GTM Strategy</t>
        </is>
      </c>
      <c r="Y2336" t="inlineStr">
        <is>
          <t>todo</t>
        </is>
      </c>
      <c r="Z2336">
        <f>(M2336*Weights!$B$2) + (MIN(Q2336,Weights!$B$5)*Weights!$B$3*(W2336/100)*Weights!$B$4)</f>
        <v/>
      </c>
      <c r="AA2336">
        <f>IF(Z2336= ,,RANK.EQ({pri_col_letter}{r},{pri_range},0))</f>
        <v/>
      </c>
    </row>
    <row r="2337">
      <c r="A2337" t="inlineStr">
        <is>
          <t>North Park Transportation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-1</v>
      </c>
      <c r="O2337" t="inlineStr">
        <is>
          <t>David Haney — VP Corporate Sales</t>
        </is>
      </c>
      <c r="P2337" t="inlineStr">
        <is>
          <t>VP Corporate Sales</t>
        </is>
      </c>
      <c r="Y2337" t="inlineStr">
        <is>
          <t>todo</t>
        </is>
      </c>
      <c r="Z2337">
        <f>(M2337*Weights!$B$2) + (MIN(Q2337,Weights!$B$5)*Weights!$B$3*(W2337/100)*Weights!$B$4)</f>
        <v/>
      </c>
      <c r="AA2337">
        <f>IF(Z2337= ,,RANK.EQ({pri_col_letter}{r},{pri_range},0))</f>
        <v/>
      </c>
    </row>
    <row r="2338">
      <c r="A2338" t="inlineStr">
        <is>
          <t>O'Neill Logistics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O2338" t="inlineStr">
        <is>
          <t>Jon Bonny — Business Development</t>
        </is>
      </c>
      <c r="P2338" t="inlineStr">
        <is>
          <t>Business Development</t>
        </is>
      </c>
      <c r="Y2338" t="inlineStr">
        <is>
          <t>todo</t>
        </is>
      </c>
      <c r="Z2338">
        <f>(M2338*Weights!$B$2) + (MIN(Q2338,Weights!$B$5)*Weights!$B$3*(W2338/100)*Weights!$B$4)</f>
        <v/>
      </c>
      <c r="AA2338">
        <f>IF(Z2338= ,,RANK.EQ({pri_col_letter}{r},{pri_range},0))</f>
        <v/>
      </c>
    </row>
    <row r="2339">
      <c r="A2339" t="inlineStr">
        <is>
          <t>OPEX Corporation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O2339" t="inlineStr">
        <is>
          <t>JT Griebe — National Sales Manager - West</t>
        </is>
      </c>
      <c r="P2339" t="inlineStr">
        <is>
          <t>National Sales Manager - West</t>
        </is>
      </c>
      <c r="Y2339" t="inlineStr">
        <is>
          <t>todo</t>
        </is>
      </c>
      <c r="Z2339">
        <f>(M2339*Weights!$B$2) + (MIN(Q2339,Weights!$B$5)*Weights!$B$3*(W2339/100)*Weights!$B$4)</f>
        <v/>
      </c>
      <c r="AA2339">
        <f>IF(Z2339= ,,RANK.EQ({pri_col_letter}{r},{pri_range},0))</f>
        <v/>
      </c>
    </row>
    <row r="2340">
      <c r="A2340" t="inlineStr">
        <is>
          <t>OSARO, Inc.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O2340" t="inlineStr">
        <is>
          <t>Adi Dalvi — Vice President, Sales</t>
        </is>
      </c>
      <c r="P2340" t="inlineStr">
        <is>
          <t>Vice President, Sales</t>
        </is>
      </c>
      <c r="Y2340" t="inlineStr">
        <is>
          <t>todo</t>
        </is>
      </c>
      <c r="Z2340">
        <f>(M2340*Weights!$B$2) + (MIN(Q2340,Weights!$B$5)*Weights!$B$3*(W2340/100)*Weights!$B$4)</f>
        <v/>
      </c>
      <c r="AA2340">
        <f>IF(Z2340= ,,RANK.EQ({pri_col_letter}{r},{pri_range},0))</f>
        <v/>
      </c>
    </row>
    <row r="2341">
      <c r="A2341" t="inlineStr">
        <is>
          <t>OSM Worldwide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O2341" t="inlineStr">
        <is>
          <t>DON Hermansen — National Director of Enterprise Sales</t>
        </is>
      </c>
      <c r="P2341" t="inlineStr">
        <is>
          <t>National Director of Enterprise Sales</t>
        </is>
      </c>
      <c r="Y2341" t="inlineStr">
        <is>
          <t>todo</t>
        </is>
      </c>
      <c r="Z2341">
        <f>(M2341*Weights!$B$2) + (MIN(Q2341,Weights!$B$5)*Weights!$B$3*(W2341/100)*Weights!$B$4)</f>
        <v/>
      </c>
      <c r="AA2341">
        <f>IF(Z2341= ,,RANK.EQ({pri_col_letter}{r},{pri_range},0))</f>
        <v/>
      </c>
    </row>
    <row r="2342">
      <c r="A2342" t="inlineStr">
        <is>
          <t>Oak Harbor Freight Lines, Inc.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O2342" t="inlineStr">
        <is>
          <t>Gerrit Foster — Sales Process Manager</t>
        </is>
      </c>
      <c r="P2342" t="inlineStr">
        <is>
          <t>Sales Process Manager</t>
        </is>
      </c>
      <c r="Y2342" t="inlineStr">
        <is>
          <t>todo</t>
        </is>
      </c>
      <c r="Z2342">
        <f>(M2342*Weights!$B$2) + (MIN(Q2342,Weights!$B$5)*Weights!$B$3*(W2342/100)*Weights!$B$4)</f>
        <v/>
      </c>
      <c r="AA2342">
        <f>IF(Z2342= ,,RANK.EQ({pri_col_letter}{r},{pri_range},0))</f>
        <v/>
      </c>
    </row>
    <row r="2343">
      <c r="A2343" t="inlineStr">
        <is>
          <t>Olimp Warehousing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O2343" t="inlineStr">
        <is>
          <t>Trevor Fitzgerald — Sales Executive</t>
        </is>
      </c>
      <c r="P2343" t="inlineStr">
        <is>
          <t>Sales Executive</t>
        </is>
      </c>
      <c r="Y2343" t="inlineStr">
        <is>
          <t>todo</t>
        </is>
      </c>
      <c r="Z2343">
        <f>(M2343*Weights!$B$2) + (MIN(Q2343,Weights!$B$5)*Weights!$B$3*(W2343/100)*Weights!$B$4)</f>
        <v/>
      </c>
      <c r="AA2343">
        <f>IF(Z2343= ,,RANK.EQ({pri_col_letter}{r},{pri_range},0))</f>
        <v/>
      </c>
    </row>
    <row r="2344">
      <c r="A2344" t="inlineStr">
        <is>
          <t>OnAsset Intelligence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O2344" t="inlineStr">
        <is>
          <t>Jody Radoff — Global Growth Strategist</t>
        </is>
      </c>
      <c r="P2344" t="inlineStr">
        <is>
          <t>Global Growth Strategist</t>
        </is>
      </c>
      <c r="Y2344" t="inlineStr">
        <is>
          <t>todo</t>
        </is>
      </c>
      <c r="Z2344">
        <f>(M2344*Weights!$B$2) + (MIN(Q2344,Weights!$B$5)*Weights!$B$3*(W2344/100)*Weights!$B$4)</f>
        <v/>
      </c>
      <c r="AA2344">
        <f>IF(Z2344= ,,RANK.EQ({pri_col_letter}{r},{pri_range},0))</f>
        <v/>
      </c>
    </row>
    <row r="2345">
      <c r="A2345" t="inlineStr">
        <is>
          <t>Onsharp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O2345" t="inlineStr">
        <is>
          <t>Clay Kraby — Marketing Director</t>
        </is>
      </c>
      <c r="P2345" t="inlineStr">
        <is>
          <t>Marketing Director</t>
        </is>
      </c>
      <c r="Y2345" t="inlineStr">
        <is>
          <t>todo</t>
        </is>
      </c>
      <c r="Z2345">
        <f>(M2345*Weights!$B$2) + (MIN(Q2345,Weights!$B$5)*Weights!$B$3*(W2345/100)*Weights!$B$4)</f>
        <v/>
      </c>
      <c r="AA2345">
        <f>IF(Z2345= ,,RANK.EQ({pri_col_letter}{r},{pri_range},0))</f>
        <v/>
      </c>
    </row>
    <row r="2346">
      <c r="A2346" t="inlineStr">
        <is>
          <t>Onsharp - Custom Software</t>
        </is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O2346" t="inlineStr">
        <is>
          <t>Jacob Dahl — VP of Sales and Marketing</t>
        </is>
      </c>
      <c r="P2346" t="inlineStr">
        <is>
          <t>VP of Sales and Marketing</t>
        </is>
      </c>
      <c r="Y2346" t="inlineStr">
        <is>
          <t>todo</t>
        </is>
      </c>
      <c r="Z2346">
        <f>(M2346*Weights!$B$2) + (MIN(Q2346,Weights!$B$5)*Weights!$B$3*(W2346/100)*Weights!$B$4)</f>
        <v/>
      </c>
      <c r="AA2346">
        <f>IF(Z2346= ,,RANK.EQ({pri_col_letter}{r},{pri_range},0))</f>
        <v/>
      </c>
    </row>
    <row r="2347">
      <c r="A2347" t="inlineStr">
        <is>
          <t>PAXAFE</t>
        </is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-1</v>
      </c>
      <c r="O2347" t="inlineStr">
        <is>
          <t>Brian Shultz — Chief Revenue Officer</t>
        </is>
      </c>
      <c r="P2347" t="inlineStr">
        <is>
          <t>Chief Revenue Officer</t>
        </is>
      </c>
      <c r="Y2347" t="inlineStr">
        <is>
          <t>todo</t>
        </is>
      </c>
      <c r="Z2347">
        <f>(M2347*Weights!$B$2) + (MIN(Q2347,Weights!$B$5)*Weights!$B$3*(W2347/100)*Weights!$B$4)</f>
        <v/>
      </c>
      <c r="AA2347">
        <f>IF(Z2347= ,,RANK.EQ({pri_col_letter}{r},{pri_range},0))</f>
        <v/>
      </c>
    </row>
    <row r="2348">
      <c r="A2348" t="inlineStr">
        <is>
          <t>Parabola</t>
        </is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O2348" t="inlineStr">
        <is>
          <t>Alex Portin — Head of Sales</t>
        </is>
      </c>
      <c r="P2348" t="inlineStr">
        <is>
          <t>Head of Sales</t>
        </is>
      </c>
      <c r="Y2348" t="inlineStr">
        <is>
          <t>todo</t>
        </is>
      </c>
      <c r="Z2348">
        <f>(M2348*Weights!$B$2) + (MIN(Q2348,Weights!$B$5)*Weights!$B$3*(W2348/100)*Weights!$B$4)</f>
        <v/>
      </c>
      <c r="AA2348">
        <f>IF(Z2348= ,,RANK.EQ({pri_col_letter}{r},{pri_range},0))</f>
        <v/>
      </c>
    </row>
    <row r="2349">
      <c r="A2349" t="inlineStr">
        <is>
          <t>Pedigree Technologies</t>
        </is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O2349" t="inlineStr">
        <is>
          <t>Rocco Marrari — VP of Sales</t>
        </is>
      </c>
      <c r="P2349" t="inlineStr">
        <is>
          <t>VP of Sales</t>
        </is>
      </c>
      <c r="Y2349" t="inlineStr">
        <is>
          <t>todo</t>
        </is>
      </c>
      <c r="Z2349">
        <f>(M2349*Weights!$B$2) + (MIN(Q2349,Weights!$B$5)*Weights!$B$3*(W2349/100)*Weights!$B$4)</f>
        <v/>
      </c>
      <c r="AA2349">
        <f>IF(Z2349= ,,RANK.EQ({pri_col_letter}{r},{pri_range},0))</f>
        <v/>
      </c>
    </row>
    <row r="2350">
      <c r="A2350" t="inlineStr">
        <is>
          <t>Pelican Robotics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O2350" t="inlineStr">
        <is>
          <t>Justin Swiderski — Director of Sales and Business Development</t>
        </is>
      </c>
      <c r="P2350" t="inlineStr">
        <is>
          <t>Director of Sales and Business Development</t>
        </is>
      </c>
      <c r="Y2350" t="inlineStr">
        <is>
          <t>todo</t>
        </is>
      </c>
      <c r="Z2350">
        <f>(M2350*Weights!$B$2) + (MIN(Q2350,Weights!$B$5)*Weights!$B$3*(W2350/100)*Weights!$B$4)</f>
        <v/>
      </c>
      <c r="AA2350">
        <f>IF(Z2350= ,,RANK.EQ({pri_col_letter}{r},{pri_range},0))</f>
        <v/>
      </c>
    </row>
    <row r="2351">
      <c r="A2351" t="inlineStr">
        <is>
          <t>Princeton TMX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O2351" t="inlineStr">
        <is>
          <t>Kevin Meyer — SVP of Sales and Marketing</t>
        </is>
      </c>
      <c r="P2351" t="inlineStr">
        <is>
          <t>SVP of Sales and Marketing</t>
        </is>
      </c>
      <c r="Y2351" t="inlineStr">
        <is>
          <t>todo</t>
        </is>
      </c>
      <c r="Z2351">
        <f>(M2351*Weights!$B$2) + (MIN(Q2351,Weights!$B$5)*Weights!$B$3*(W2351/100)*Weights!$B$4)</f>
        <v/>
      </c>
      <c r="AA2351">
        <f>IF(Z2351= ,,RANK.EQ({pri_col_letter}{r},{pri_range},0))</f>
        <v/>
      </c>
    </row>
    <row r="2352">
      <c r="A2352" t="inlineStr">
        <is>
          <t>Prompt Global Corporation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O2352" t="inlineStr">
        <is>
          <t>Jose Barahona — Director of Sales</t>
        </is>
      </c>
      <c r="P2352" t="inlineStr">
        <is>
          <t>Director of Sales</t>
        </is>
      </c>
      <c r="Y2352" t="inlineStr">
        <is>
          <t>todo</t>
        </is>
      </c>
      <c r="Z2352">
        <f>(M2352*Weights!$B$2) + (MIN(Q2352,Weights!$B$5)*Weights!$B$3*(W2352/100)*Weights!$B$4)</f>
        <v/>
      </c>
      <c r="AA2352">
        <f>IF(Z2352= ,,RANK.EQ({pri_col_letter}{r},{pri_range},0))</f>
        <v/>
      </c>
    </row>
    <row r="2353">
      <c r="A2353" t="inlineStr">
        <is>
          <t>Purolator Int'l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O2353" t="inlineStr">
        <is>
          <t>Ray Venturino — Strategic Acct Executive, Alliances &amp; Partnerships</t>
        </is>
      </c>
      <c r="P2353" t="inlineStr">
        <is>
          <t>Strategic Acct Executive, Alliances &amp; Partnerships</t>
        </is>
      </c>
      <c r="Y2353" t="inlineStr">
        <is>
          <t>todo</t>
        </is>
      </c>
      <c r="Z2353">
        <f>(M2353*Weights!$B$2) + (MIN(Q2353,Weights!$B$5)*Weights!$B$3*(W2353/100)*Weights!$B$4)</f>
        <v/>
      </c>
      <c r="AA2353">
        <f>IF(Z2353= ,,RANK.EQ({pri_col_letter}{r},{pri_range},0))</f>
        <v/>
      </c>
    </row>
    <row r="2354">
      <c r="A2354" t="inlineStr">
        <is>
          <t>Quicktron Automation USA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-1</v>
      </c>
      <c r="O2354" t="inlineStr">
        <is>
          <t>Armando Gonzalez — Chief Revenue Officer</t>
        </is>
      </c>
      <c r="P2354" t="inlineStr">
        <is>
          <t>Chief Revenue Officer</t>
        </is>
      </c>
      <c r="Y2354" t="inlineStr">
        <is>
          <t>todo</t>
        </is>
      </c>
      <c r="Z2354">
        <f>(M2354*Weights!$B$2) + (MIN(Q2354,Weights!$B$5)*Weights!$B$3*(W2354/100)*Weights!$B$4)</f>
        <v/>
      </c>
      <c r="AA2354">
        <f>IF(Z2354= ,,RANK.EQ({pri_col_letter}{r},{pri_range},0))</f>
        <v/>
      </c>
    </row>
    <row r="2355">
      <c r="A2355" t="inlineStr">
        <is>
          <t>Rajant Corporation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O2355" t="inlineStr">
        <is>
          <t>Brad Viernow — Director of Sales</t>
        </is>
      </c>
      <c r="P2355" t="inlineStr">
        <is>
          <t>Director of Sales</t>
        </is>
      </c>
      <c r="Y2355" t="inlineStr">
        <is>
          <t>todo</t>
        </is>
      </c>
      <c r="Z2355">
        <f>(M2355*Weights!$B$2) + (MIN(Q2355,Weights!$B$5)*Weights!$B$3*(W2355/100)*Weights!$B$4)</f>
        <v/>
      </c>
      <c r="AA2355">
        <f>IF(Z2355= ,,RANK.EQ({pri_col_letter}{r},{pri_range},0))</f>
        <v/>
      </c>
    </row>
    <row r="2356">
      <c r="A2356" t="inlineStr">
        <is>
          <t>Rapid Logistics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O2356" t="inlineStr">
        <is>
          <t>Michael Dias — Senior Business Development Manager</t>
        </is>
      </c>
      <c r="P2356" t="inlineStr">
        <is>
          <t>Senior Business Development Manager</t>
        </is>
      </c>
      <c r="Y2356" t="inlineStr">
        <is>
          <t>todo</t>
        </is>
      </c>
      <c r="Z2356">
        <f>(M2356*Weights!$B$2) + (MIN(Q2356,Weights!$B$5)*Weights!$B$3*(W2356/100)*Weights!$B$4)</f>
        <v/>
      </c>
      <c r="AA2356">
        <f>IF(Z2356= ,,RANK.EQ({pri_col_letter}{r},{pri_range},0))</f>
        <v/>
      </c>
    </row>
    <row r="2357">
      <c r="A2357" t="inlineStr">
        <is>
          <t>SCG Advertising and Public Relations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O2357" t="inlineStr">
        <is>
          <t>Lance Christensen — EVP of Growth</t>
        </is>
      </c>
      <c r="P2357" t="inlineStr">
        <is>
          <t>EVP of Growth</t>
        </is>
      </c>
      <c r="Y2357" t="inlineStr">
        <is>
          <t>todo</t>
        </is>
      </c>
      <c r="Z2357">
        <f>(M2357*Weights!$B$2) + (MIN(Q2357,Weights!$B$5)*Weights!$B$3*(W2357/100)*Weights!$B$4)</f>
        <v/>
      </c>
      <c r="AA2357">
        <f>IF(Z2357= ,,RANK.EQ({pri_col_letter}{r},{pri_range},0))</f>
        <v/>
      </c>
    </row>
    <row r="2358">
      <c r="A2358" t="inlineStr">
        <is>
          <t>SICK Inc.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O2358" t="inlineStr">
        <is>
          <t>William Griffith — Lead Account Executive</t>
        </is>
      </c>
      <c r="P2358" t="inlineStr">
        <is>
          <t>Lead Account Executive</t>
        </is>
      </c>
      <c r="Y2358" t="inlineStr">
        <is>
          <t>todo</t>
        </is>
      </c>
      <c r="Z2358">
        <f>(M2358*Weights!$B$2) + (MIN(Q2358,Weights!$B$5)*Weights!$B$3*(W2358/100)*Weights!$B$4)</f>
        <v/>
      </c>
      <c r="AA2358">
        <f>IF(Z2358= ,,RANK.EQ({pri_col_letter}{r},{pri_range},0))</f>
        <v/>
      </c>
    </row>
    <row r="2359">
      <c r="A2359" t="inlineStr">
        <is>
          <t>SYNAOS LLC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-1</v>
      </c>
      <c r="O2359" t="inlineStr">
        <is>
          <t>David Bader — VP Strategy &amp; Sales</t>
        </is>
      </c>
      <c r="P2359" t="inlineStr">
        <is>
          <t>VP Strategy &amp; Sales</t>
        </is>
      </c>
      <c r="Y2359" t="inlineStr">
        <is>
          <t>todo</t>
        </is>
      </c>
      <c r="Z2359">
        <f>(M2359*Weights!$B$2) + (MIN(Q2359,Weights!$B$5)*Weights!$B$3*(W2359/100)*Weights!$B$4)</f>
        <v/>
      </c>
      <c r="AA2359">
        <f>IF(Z2359= ,,RANK.EQ({pri_col_letter}{r},{pri_range},0))</f>
        <v/>
      </c>
    </row>
    <row r="2360">
      <c r="A2360" t="inlineStr">
        <is>
          <t>Sage Freight, LLC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O2360" t="inlineStr">
        <is>
          <t>Brett Beeler — Director, Enterprise Sales</t>
        </is>
      </c>
      <c r="P2360" t="inlineStr">
        <is>
          <t>Director, Enterprise Sales</t>
        </is>
      </c>
      <c r="Y2360" t="inlineStr">
        <is>
          <t>todo</t>
        </is>
      </c>
      <c r="Z2360">
        <f>(M2360*Weights!$B$2) + (MIN(Q2360,Weights!$B$5)*Weights!$B$3*(W2360/100)*Weights!$B$4)</f>
        <v/>
      </c>
      <c r="AA2360">
        <f>IF(Z2360= ,,RANK.EQ({pri_col_letter}{r},{pri_range},0))</f>
        <v/>
      </c>
    </row>
    <row r="2361">
      <c r="A2361" t="inlineStr">
        <is>
          <t>Seaboard Energy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O2361" t="inlineStr">
        <is>
          <t>Brian Wierson — Sales Manager</t>
        </is>
      </c>
      <c r="P2361" t="inlineStr">
        <is>
          <t>Sales Manager</t>
        </is>
      </c>
      <c r="Y2361" t="inlineStr">
        <is>
          <t>todo</t>
        </is>
      </c>
      <c r="Z2361">
        <f>(M2361*Weights!$B$2) + (MIN(Q2361,Weights!$B$5)*Weights!$B$3*(W2361/100)*Weights!$B$4)</f>
        <v/>
      </c>
      <c r="AA2361">
        <f>IF(Z2361= ,,RANK.EQ({pri_col_letter}{r},{pri_range},0))</f>
        <v/>
      </c>
    </row>
    <row r="2362">
      <c r="A2362" t="inlineStr">
        <is>
          <t>Searoutes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O2362" t="inlineStr">
        <is>
          <t>Lauriane Tiard-Caillaud — Director of Marketing</t>
        </is>
      </c>
      <c r="P2362" t="inlineStr">
        <is>
          <t>Director of Marketing</t>
        </is>
      </c>
      <c r="Y2362" t="inlineStr">
        <is>
          <t>todo</t>
        </is>
      </c>
      <c r="Z2362">
        <f>(M2362*Weights!$B$2) + (MIN(Q2362,Weights!$B$5)*Weights!$B$3*(W2362/100)*Weights!$B$4)</f>
        <v/>
      </c>
      <c r="AA2362">
        <f>IF(Z2362= ,,RANK.EQ({pri_col_letter}{r},{pri_range},0))</f>
        <v/>
      </c>
    </row>
    <row r="2363">
      <c r="A2363" t="inlineStr">
        <is>
          <t>SecurSpace - CargoWise Landside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O2363" t="inlineStr">
        <is>
          <t>Jack Scullin — Business Development Executive</t>
        </is>
      </c>
      <c r="P2363" t="inlineStr">
        <is>
          <t>Business Development Executive</t>
        </is>
      </c>
      <c r="Y2363" t="inlineStr">
        <is>
          <t>todo</t>
        </is>
      </c>
      <c r="Z2363">
        <f>(M2363*Weights!$B$2) + (MIN(Q2363,Weights!$B$5)*Weights!$B$3*(W2363/100)*Weights!$B$4)</f>
        <v/>
      </c>
      <c r="AA2363">
        <f>IF(Z2363= ,,RANK.EQ({pri_col_letter}{r},{pri_range},0))</f>
        <v/>
      </c>
    </row>
    <row r="2364">
      <c r="A2364" t="inlineStr">
        <is>
          <t>Seeing Machines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-1</v>
      </c>
      <c r="O2364" t="inlineStr">
        <is>
          <t>Eric Verdiguel — Director of Sales</t>
        </is>
      </c>
      <c r="P2364" t="inlineStr">
        <is>
          <t>Director of Sales</t>
        </is>
      </c>
      <c r="Y2364" t="inlineStr">
        <is>
          <t>todo</t>
        </is>
      </c>
      <c r="Z2364">
        <f>(M2364*Weights!$B$2) + (MIN(Q2364,Weights!$B$5)*Weights!$B$3*(W2364/100)*Weights!$B$4)</f>
        <v/>
      </c>
      <c r="AA2364">
        <f>IF(Z2364= ,,RANK.EQ({pri_col_letter}{r},{pri_range},0))</f>
        <v/>
      </c>
    </row>
    <row r="2365">
      <c r="A2365" t="inlineStr">
        <is>
          <t>SkyMirr Inc.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-1</v>
      </c>
      <c r="O2365" t="inlineStr">
        <is>
          <t>Jose A Llorente — Sr. Sales Director</t>
        </is>
      </c>
      <c r="P2365" t="inlineStr">
        <is>
          <t>Sr. Sales Director</t>
        </is>
      </c>
      <c r="Y2365" t="inlineStr">
        <is>
          <t>todo</t>
        </is>
      </c>
      <c r="Z2365">
        <f>(M2365*Weights!$B$2) + (MIN(Q2365,Weights!$B$5)*Weights!$B$3*(W2365/100)*Weights!$B$4)</f>
        <v/>
      </c>
      <c r="AA2365">
        <f>IF(Z2365= ,,RANK.EQ({pri_col_letter}{r},{pri_range},0))</f>
        <v/>
      </c>
    </row>
    <row r="2366">
      <c r="A2366" t="inlineStr">
        <is>
          <t>Soar Transportation Group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O2366" t="inlineStr">
        <is>
          <t>Brett Trott — VP of Enterprise Sales</t>
        </is>
      </c>
      <c r="P2366" t="inlineStr">
        <is>
          <t>VP of Enterprise Sales</t>
        </is>
      </c>
      <c r="Y2366" t="inlineStr">
        <is>
          <t>todo</t>
        </is>
      </c>
      <c r="Z2366">
        <f>(M2366*Weights!$B$2) + (MIN(Q2366,Weights!$B$5)*Weights!$B$3*(W2366/100)*Weights!$B$4)</f>
        <v/>
      </c>
      <c r="AA2366">
        <f>IF(Z2366= ,,RANK.EQ({pri_col_letter}{r},{pri_range},0))</f>
        <v/>
      </c>
    </row>
    <row r="2367">
      <c r="A2367" t="inlineStr">
        <is>
          <t>Southwest Toyotalift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-1</v>
      </c>
      <c r="O2367" t="inlineStr">
        <is>
          <t>Loubriel Salas — Tico Sales &amp; Service Representative</t>
        </is>
      </c>
      <c r="P2367" t="inlineStr">
        <is>
          <t>Tico Sales &amp; Service Representative</t>
        </is>
      </c>
      <c r="Y2367" t="inlineStr">
        <is>
          <t>todo</t>
        </is>
      </c>
      <c r="Z2367">
        <f>(M2367*Weights!$B$2) + (MIN(Q2367,Weights!$B$5)*Weights!$B$3*(W2367/100)*Weights!$B$4)</f>
        <v/>
      </c>
      <c r="AA2367">
        <f>IF(Z2367= ,,RANK.EQ({pri_col_letter}{r},{pri_range},0))</f>
        <v/>
      </c>
    </row>
    <row r="2368">
      <c r="A2368" t="inlineStr">
        <is>
          <t>Speedy Transport</t>
        </is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O2368" t="inlineStr">
        <is>
          <t>Joe Trainer — VP of International Sales</t>
        </is>
      </c>
      <c r="P2368" t="inlineStr">
        <is>
          <t>VP of International Sales</t>
        </is>
      </c>
      <c r="Y2368" t="inlineStr">
        <is>
          <t>todo</t>
        </is>
      </c>
      <c r="Z2368">
        <f>(M2368*Weights!$B$2) + (MIN(Q2368,Weights!$B$5)*Weights!$B$3*(W2368/100)*Weights!$B$4)</f>
        <v/>
      </c>
      <c r="AA2368">
        <f>IF(Z2368= ,,RANK.EQ({pri_col_letter}{r},{pri_range},0))</f>
        <v/>
      </c>
    </row>
    <row r="2369">
      <c r="A2369" t="inlineStr">
        <is>
          <t>Speedy Transport Group, Inc.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O2369" t="inlineStr">
        <is>
          <t>Michael Sbrocchi — VP, Sales</t>
        </is>
      </c>
      <c r="P2369" t="inlineStr">
        <is>
          <t>VP, Sales</t>
        </is>
      </c>
      <c r="Y2369" t="inlineStr">
        <is>
          <t>todo</t>
        </is>
      </c>
      <c r="Z2369">
        <f>(M2369*Weights!$B$2) + (MIN(Q2369,Weights!$B$5)*Weights!$B$3*(W2369/100)*Weights!$B$4)</f>
        <v/>
      </c>
      <c r="AA2369">
        <f>IF(Z2369= ,,RANK.EQ({pri_col_letter}{r},{pri_range},0))</f>
        <v/>
      </c>
    </row>
    <row r="2370">
      <c r="A2370" t="inlineStr">
        <is>
          <t>SupplyChain Strategy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-1</v>
      </c>
      <c r="O2370" t="inlineStr">
        <is>
          <t>Mike Sadr — Chief Revenue &amp; Strategy Officer</t>
        </is>
      </c>
      <c r="P2370" t="inlineStr">
        <is>
          <t>Chief Revenue &amp; Strategy Officer</t>
        </is>
      </c>
      <c r="Y2370" t="inlineStr">
        <is>
          <t>todo</t>
        </is>
      </c>
      <c r="Z2370">
        <f>(M2370*Weights!$B$2) + (MIN(Q2370,Weights!$B$5)*Weights!$B$3*(W2370/100)*Weights!$B$4)</f>
        <v/>
      </c>
      <c r="AA2370">
        <f>IF(Z2370= ,,RANK.EQ({pri_col_letter}{r},{pri_range},0))</f>
        <v/>
      </c>
    </row>
    <row r="2371">
      <c r="A2371" t="inlineStr">
        <is>
          <t>Sway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O2371" t="inlineStr">
        <is>
          <t>Adam Landers — Vice President of Sales</t>
        </is>
      </c>
      <c r="P2371" t="inlineStr">
        <is>
          <t>Vice President of Sales</t>
        </is>
      </c>
      <c r="Y2371" t="inlineStr">
        <is>
          <t>todo</t>
        </is>
      </c>
      <c r="Z2371">
        <f>(M2371*Weights!$B$2) + (MIN(Q2371,Weights!$B$5)*Weights!$B$3*(W2371/100)*Weights!$B$4)</f>
        <v/>
      </c>
      <c r="AA2371">
        <f>IF(Z2371= ,,RANK.EQ({pri_col_letter}{r},{pri_range},0))</f>
        <v/>
      </c>
    </row>
    <row r="2372">
      <c r="A2372" t="inlineStr">
        <is>
          <t>Terrapinn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O2372" t="inlineStr">
        <is>
          <t>Alexander Cherkovets — Sales Director</t>
        </is>
      </c>
      <c r="P2372" t="inlineStr">
        <is>
          <t>Sales Director</t>
        </is>
      </c>
      <c r="Y2372" t="inlineStr">
        <is>
          <t>todo</t>
        </is>
      </c>
      <c r="Z2372">
        <f>(M2372*Weights!$B$2) + (MIN(Q2372,Weights!$B$5)*Weights!$B$3*(W2372/100)*Weights!$B$4)</f>
        <v/>
      </c>
      <c r="AA2372">
        <f>IF(Z2372= ,,RANK.EQ({pri_col_letter}{r},{pri_range},0))</f>
        <v/>
      </c>
    </row>
    <row r="2373">
      <c r="A2373" t="inlineStr">
        <is>
          <t>The Evans Network of Companies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O2373" t="inlineStr">
        <is>
          <t>Jennifer Edwards — Vice President of Sales and Agent Relations</t>
        </is>
      </c>
      <c r="P2373" t="inlineStr">
        <is>
          <t>Vice President of Sales and Agent Relations</t>
        </is>
      </c>
      <c r="Y2373" t="inlineStr">
        <is>
          <t>todo</t>
        </is>
      </c>
      <c r="Z2373">
        <f>(M2373*Weights!$B$2) + (MIN(Q2373,Weights!$B$5)*Weights!$B$3*(W2373/100)*Weights!$B$4)</f>
        <v/>
      </c>
      <c r="AA2373">
        <f>IF(Z2373= ,,RANK.EQ({pri_col_letter}{r},{pri_range},0))</f>
        <v/>
      </c>
    </row>
    <row r="2374">
      <c r="A2374" t="inlineStr">
        <is>
          <t>The Pallet Alliance Inc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-1</v>
      </c>
      <c r="O2374" t="inlineStr">
        <is>
          <t>Mary Casillo — SVP Business Development</t>
        </is>
      </c>
      <c r="P2374" t="inlineStr">
        <is>
          <t>SVP Business Development</t>
        </is>
      </c>
      <c r="Y2374" t="inlineStr">
        <is>
          <t>todo</t>
        </is>
      </c>
      <c r="Z2374">
        <f>(M2374*Weights!$B$2) + (MIN(Q2374,Weights!$B$5)*Weights!$B$3*(W2374/100)*Weights!$B$4)</f>
        <v/>
      </c>
      <c r="AA2374">
        <f>IF(Z2374= ,,RANK.EQ({pri_col_letter}{r},{pri_range},0))</f>
        <v/>
      </c>
    </row>
    <row r="2375">
      <c r="A2375" t="inlineStr">
        <is>
          <t>Traffic Tech</t>
        </is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O2375" t="inlineStr">
        <is>
          <t>Hilary Ambro — SVP, Business Development</t>
        </is>
      </c>
      <c r="P2375" t="inlineStr">
        <is>
          <t>SVP, Business Development</t>
        </is>
      </c>
      <c r="Y2375" t="inlineStr">
        <is>
          <t>todo</t>
        </is>
      </c>
      <c r="Z2375">
        <f>(M2375*Weights!$B$2) + (MIN(Q2375,Weights!$B$5)*Weights!$B$3*(W2375/100)*Weights!$B$4)</f>
        <v/>
      </c>
      <c r="AA2375">
        <f>IF(Z2375= ,,RANK.EQ({pri_col_letter}{r},{pri_range},0))</f>
        <v/>
      </c>
    </row>
    <row r="2376">
      <c r="A2376" t="inlineStr">
        <is>
          <t>Transport Enterprise Leasing, LLC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O2376" t="inlineStr">
        <is>
          <t>Ashley Brazier — Marketing</t>
        </is>
      </c>
      <c r="P2376" t="inlineStr">
        <is>
          <t>Marketing</t>
        </is>
      </c>
      <c r="Y2376" t="inlineStr">
        <is>
          <t>todo</t>
        </is>
      </c>
      <c r="Z2376">
        <f>(M2376*Weights!$B$2) + (MIN(Q2376,Weights!$B$5)*Weights!$B$3*(W2376/100)*Weights!$B$4)</f>
        <v/>
      </c>
      <c r="AA2376">
        <f>IF(Z2376= ,,RANK.EQ({pri_col_letter}{r},{pri_range},0))</f>
        <v/>
      </c>
    </row>
    <row r="2377">
      <c r="A2377" t="inlineStr">
        <is>
          <t>Trax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O2377" t="inlineStr">
        <is>
          <t>John Underwood — Global Enterprise Account Executive</t>
        </is>
      </c>
      <c r="P2377" t="inlineStr">
        <is>
          <t>Global Enterprise Account Executive</t>
        </is>
      </c>
      <c r="Y2377" t="inlineStr">
        <is>
          <t>todo</t>
        </is>
      </c>
      <c r="Z2377">
        <f>(M2377*Weights!$B$2) + (MIN(Q2377,Weights!$B$5)*Weights!$B$3*(W2377/100)*Weights!$B$4)</f>
        <v/>
      </c>
      <c r="AA2377">
        <f>IF(Z2377= ,,RANK.EQ({pri_col_letter}{r},{pri_range},0))</f>
        <v/>
      </c>
    </row>
    <row r="2378">
      <c r="A2378" t="inlineStr">
        <is>
          <t>Trigent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O2378" t="inlineStr">
        <is>
          <t>Nagendra Rao — Chief Growth Officer</t>
        </is>
      </c>
      <c r="P2378" t="inlineStr">
        <is>
          <t>Chief Growth Officer</t>
        </is>
      </c>
      <c r="Y2378" t="inlineStr">
        <is>
          <t>todo</t>
        </is>
      </c>
      <c r="Z2378">
        <f>(M2378*Weights!$B$2) + (MIN(Q2378,Weights!$B$5)*Weights!$B$3*(W2378/100)*Weights!$B$4)</f>
        <v/>
      </c>
      <c r="AA2378">
        <f>IF(Z2378= ,,RANK.EQ({pri_col_letter}{r},{pri_range},0))</f>
        <v/>
      </c>
    </row>
    <row r="2379">
      <c r="A2379" t="inlineStr">
        <is>
          <t>UC Group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O2379" t="inlineStr">
        <is>
          <t>Sean Conley — Business Development Executive</t>
        </is>
      </c>
      <c r="P2379" t="inlineStr">
        <is>
          <t>Business Development Executive</t>
        </is>
      </c>
      <c r="Y2379" t="inlineStr">
        <is>
          <t>todo</t>
        </is>
      </c>
      <c r="Z2379">
        <f>(M2379*Weights!$B$2) + (MIN(Q2379,Weights!$B$5)*Weights!$B$3*(W2379/100)*Weights!$B$4)</f>
        <v/>
      </c>
      <c r="AA2379">
        <f>IF(Z2379= ,,RANK.EQ({pri_col_letter}{r},{pri_range},0))</f>
        <v/>
      </c>
    </row>
    <row r="2380">
      <c r="A2380" t="inlineStr">
        <is>
          <t>US1 Network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O2380" t="inlineStr">
        <is>
          <t>Glen Harckum — Vice President - Business Development</t>
        </is>
      </c>
      <c r="P2380" t="inlineStr">
        <is>
          <t>Vice President - Business Development</t>
        </is>
      </c>
      <c r="Y2380" t="inlineStr">
        <is>
          <t>todo</t>
        </is>
      </c>
      <c r="Z2380">
        <f>(M2380*Weights!$B$2) + (MIN(Q2380,Weights!$B$5)*Weights!$B$3*(W2380/100)*Weights!$B$4)</f>
        <v/>
      </c>
      <c r="AA2380">
        <f>IF(Z2380= ,,RANK.EQ({pri_col_letter}{r},{pri_range},0))</f>
        <v/>
      </c>
    </row>
    <row r="2381">
      <c r="A2381" t="inlineStr">
        <is>
          <t>USA Brokerage, LLC.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O2381" t="inlineStr">
        <is>
          <t>Reed Smith — Director of Sales</t>
        </is>
      </c>
      <c r="P2381" t="inlineStr">
        <is>
          <t>Director of Sales</t>
        </is>
      </c>
      <c r="Y2381" t="inlineStr">
        <is>
          <t>todo</t>
        </is>
      </c>
      <c r="Z2381">
        <f>(M2381*Weights!$B$2) + (MIN(Q2381,Weights!$B$5)*Weights!$B$3*(W2381/100)*Weights!$B$4)</f>
        <v/>
      </c>
      <c r="AA2381">
        <f>IF(Z2381= ,,RANK.EQ({pri_col_letter}{r},{pri_range},0))</f>
        <v/>
      </c>
    </row>
    <row r="2382">
      <c r="A2382" t="inlineStr">
        <is>
          <t>UWL, Inc.</t>
        </is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-1</v>
      </c>
      <c r="O2382" t="inlineStr">
        <is>
          <t>Dylan Royal — VP of Sales</t>
        </is>
      </c>
      <c r="P2382" t="inlineStr">
        <is>
          <t>VP of Sales</t>
        </is>
      </c>
      <c r="Y2382" t="inlineStr">
        <is>
          <t>todo</t>
        </is>
      </c>
      <c r="Z2382">
        <f>(M2382*Weights!$B$2) + (MIN(Q2382,Weights!$B$5)*Weights!$B$3*(W2382/100)*Weights!$B$4)</f>
        <v/>
      </c>
      <c r="AA2382">
        <f>IF(Z2382= ,,RANK.EQ({pri_col_letter}{r},{pri_range},0))</f>
        <v/>
      </c>
    </row>
    <row r="2383">
      <c r="A2383" t="inlineStr">
        <is>
          <t>UWL-World Group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O2383" t="inlineStr">
        <is>
          <t>Robert Hagar — Vice President Regional Sales</t>
        </is>
      </c>
      <c r="P2383" t="inlineStr">
        <is>
          <t>Vice President Regional Sales</t>
        </is>
      </c>
      <c r="Y2383" t="inlineStr">
        <is>
          <t>todo</t>
        </is>
      </c>
      <c r="Z2383">
        <f>(M2383*Weights!$B$2) + (MIN(Q2383,Weights!$B$5)*Weights!$B$3*(W2383/100)*Weights!$B$4)</f>
        <v/>
      </c>
      <c r="AA2383">
        <f>IF(Z2383= ,,RANK.EQ({pri_col_letter}{r},{pri_range},0))</f>
        <v/>
      </c>
    </row>
    <row r="2384">
      <c r="A2384" t="inlineStr">
        <is>
          <t>Uber Freight</t>
        </is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O2384" t="inlineStr">
        <is>
          <t>Brooks McMahon — SVP, Business Development</t>
        </is>
      </c>
      <c r="P2384" t="inlineStr">
        <is>
          <t>SVP, Business Development</t>
        </is>
      </c>
      <c r="Y2384" t="inlineStr">
        <is>
          <t>todo</t>
        </is>
      </c>
      <c r="Z2384">
        <f>(M2384*Weights!$B$2) + (MIN(Q2384,Weights!$B$5)*Weights!$B$3*(W2384/100)*Weights!$B$4)</f>
        <v/>
      </c>
      <c r="AA2384">
        <f>IF(Z2384= ,,RANK.EQ({pri_col_letter}{r},{pri_range},0))</f>
        <v/>
      </c>
    </row>
    <row r="2385">
      <c r="A2385" t="inlineStr">
        <is>
          <t>Unis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O2385" t="inlineStr">
        <is>
          <t>Joe Geraldi — VP of Sales</t>
        </is>
      </c>
      <c r="P2385" t="inlineStr">
        <is>
          <t>VP of Sales</t>
        </is>
      </c>
      <c r="Y2385" t="inlineStr">
        <is>
          <t>todo</t>
        </is>
      </c>
      <c r="Z2385">
        <f>(M2385*Weights!$B$2) + (MIN(Q2385,Weights!$B$5)*Weights!$B$3*(W2385/100)*Weights!$B$4)</f>
        <v/>
      </c>
      <c r="AA2385">
        <f>IF(Z2385= ,,RANK.EQ({pri_col_letter}{r},{pri_range},0))</f>
        <v/>
      </c>
    </row>
    <row r="2386">
      <c r="A2386" t="inlineStr">
        <is>
          <t>Updike Distribution Logistics LLC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O2386" t="inlineStr">
        <is>
          <t>Heather Besnyi — Business Development Director</t>
        </is>
      </c>
      <c r="P2386" t="inlineStr">
        <is>
          <t>Business Development Director</t>
        </is>
      </c>
      <c r="Y2386" t="inlineStr">
        <is>
          <t>todo</t>
        </is>
      </c>
      <c r="Z2386">
        <f>(M2386*Weights!$B$2) + (MIN(Q2386,Weights!$B$5)*Weights!$B$3*(W2386/100)*Weights!$B$4)</f>
        <v/>
      </c>
      <c r="AA2386">
        <f>IF(Z2386= ,,RANK.EQ({pri_col_letter}{r},{pri_range},0))</f>
        <v/>
      </c>
    </row>
    <row r="2387">
      <c r="A2387" t="inlineStr">
        <is>
          <t>Updike Distribution Logistics, LLC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-1</v>
      </c>
      <c r="O2387" t="inlineStr">
        <is>
          <t>Blaine Callister — VP of Sales and Marketing</t>
        </is>
      </c>
      <c r="P2387" t="inlineStr">
        <is>
          <t>VP of Sales and Marketing</t>
        </is>
      </c>
      <c r="Y2387" t="inlineStr">
        <is>
          <t>todo</t>
        </is>
      </c>
      <c r="Z2387">
        <f>(M2387*Weights!$B$2) + (MIN(Q2387,Weights!$B$5)*Weights!$B$3*(W2387/100)*Weights!$B$4)</f>
        <v/>
      </c>
      <c r="AA2387">
        <f>IF(Z2387= ,,RANK.EQ({pri_col_letter}{r},{pri_range},0))</f>
        <v/>
      </c>
    </row>
    <row r="2388">
      <c r="A2388" t="inlineStr">
        <is>
          <t>Upstream Security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-1</v>
      </c>
      <c r="O2388" t="inlineStr">
        <is>
          <t>Craig Ginsberg — Director Strategic Alliances</t>
        </is>
      </c>
      <c r="P2388" t="inlineStr">
        <is>
          <t>Director Strategic Alliances</t>
        </is>
      </c>
      <c r="Y2388" t="inlineStr">
        <is>
          <t>todo</t>
        </is>
      </c>
      <c r="Z2388">
        <f>(M2388*Weights!$B$2) + (MIN(Q2388,Weights!$B$5)*Weights!$B$3*(W2388/100)*Weights!$B$4)</f>
        <v/>
      </c>
      <c r="AA2388">
        <f>IF(Z2388= ,,RANK.EQ({pri_col_letter}{r},{pri_range},0))</f>
        <v/>
      </c>
    </row>
    <row r="2389">
      <c r="A2389" t="inlineStr">
        <is>
          <t>Utz Group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O2389" t="inlineStr">
        <is>
          <t>Hugo Ramos — Vice President of Sales</t>
        </is>
      </c>
      <c r="P2389" t="inlineStr">
        <is>
          <t>Vice President of Sales</t>
        </is>
      </c>
      <c r="Y2389" t="inlineStr">
        <is>
          <t>todo</t>
        </is>
      </c>
      <c r="Z2389">
        <f>(M2389*Weights!$B$2) + (MIN(Q2389,Weights!$B$5)*Weights!$B$3*(W2389/100)*Weights!$B$4)</f>
        <v/>
      </c>
      <c r="AA2389">
        <f>IF(Z2389= ,,RANK.EQ({pri_col_letter}{r},{pri_range},0))</f>
        <v/>
      </c>
    </row>
    <row r="2390">
      <c r="A2390" t="inlineStr">
        <is>
          <t>Valley Distributing &amp; Storage Co</t>
        </is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O2390" t="inlineStr">
        <is>
          <t>Kyle Dickinson — Director of Sales</t>
        </is>
      </c>
      <c r="P2390" t="inlineStr">
        <is>
          <t>Director of Sales</t>
        </is>
      </c>
      <c r="Y2390" t="inlineStr">
        <is>
          <t>todo</t>
        </is>
      </c>
      <c r="Z2390">
        <f>(M2390*Weights!$B$2) + (MIN(Q2390,Weights!$B$5)*Weights!$B$3*(W2390/100)*Weights!$B$4)</f>
        <v/>
      </c>
      <c r="AA2390">
        <f>IF(Z2390= ,,RANK.EQ({pri_col_letter}{r},{pri_range},0))</f>
        <v/>
      </c>
    </row>
    <row r="2391">
      <c r="A2391" t="inlineStr">
        <is>
          <t>WAABI (US) Innovation, Inc.</t>
        </is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O2391" t="inlineStr">
        <is>
          <t>Pierre-François Le Faou — OEM &amp; Strategic Partnership Director</t>
        </is>
      </c>
      <c r="P2391" t="inlineStr">
        <is>
          <t>OEM &amp; Strategic Partnership Director</t>
        </is>
      </c>
      <c r="Y2391" t="inlineStr">
        <is>
          <t>todo</t>
        </is>
      </c>
      <c r="Z2391">
        <f>(M2391*Weights!$B$2) + (MIN(Q2391,Weights!$B$5)*Weights!$B$3*(W2391/100)*Weights!$B$4)</f>
        <v/>
      </c>
      <c r="AA2391">
        <f>IF(Z2391= ,,RANK.EQ({pri_col_letter}{r},{pri_range},0))</f>
        <v/>
      </c>
    </row>
    <row r="2392">
      <c r="A2392" t="inlineStr">
        <is>
          <t>WTWH Media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-1</v>
      </c>
      <c r="O2392" t="inlineStr">
        <is>
          <t>Susan Powers — Sales Manager</t>
        </is>
      </c>
      <c r="P2392" t="inlineStr">
        <is>
          <t>Sales Manager</t>
        </is>
      </c>
      <c r="Y2392" t="inlineStr">
        <is>
          <t>todo</t>
        </is>
      </c>
      <c r="Z2392">
        <f>(M2392*Weights!$B$2) + (MIN(Q2392,Weights!$B$5)*Weights!$B$3*(W2392/100)*Weights!$B$4)</f>
        <v/>
      </c>
      <c r="AA2392">
        <f>IF(Z2392= ,,RANK.EQ({pri_col_letter}{r},{pri_range},0))</f>
        <v/>
      </c>
    </row>
    <row r="2393">
      <c r="A2393" t="inlineStr">
        <is>
          <t>Woodward Mayer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-1</v>
      </c>
      <c r="O2393" t="inlineStr">
        <is>
          <t>Memo Woodward — Business Development Manager</t>
        </is>
      </c>
      <c r="P2393" t="inlineStr">
        <is>
          <t>Business Development Manager</t>
        </is>
      </c>
      <c r="Y2393" t="inlineStr">
        <is>
          <t>todo</t>
        </is>
      </c>
      <c r="Z2393">
        <f>(M2393*Weights!$B$2) + (MIN(Q2393,Weights!$B$5)*Weights!$B$3*(W2393/100)*Weights!$B$4)</f>
        <v/>
      </c>
      <c r="AA2393">
        <f>IF(Z2393= ,,RANK.EQ({pri_col_letter}{r},{pri_range},0))</f>
        <v/>
      </c>
    </row>
    <row r="2394">
      <c r="A2394" t="inlineStr">
        <is>
          <t>Woolpert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O2394" t="inlineStr">
        <is>
          <t>Sara Muller — Customer Success Manager</t>
        </is>
      </c>
      <c r="P2394" t="inlineStr">
        <is>
          <t>Customer Success Manager</t>
        </is>
      </c>
      <c r="Y2394" t="inlineStr">
        <is>
          <t>todo</t>
        </is>
      </c>
      <c r="Z2394">
        <f>(M2394*Weights!$B$2) + (MIN(Q2394,Weights!$B$5)*Weights!$B$3*(W2394/100)*Weights!$B$4)</f>
        <v/>
      </c>
      <c r="AA2394">
        <f>IF(Z2394= ,,RANK.EQ({pri_col_letter}{r},{pri_range},0))</f>
        <v/>
      </c>
    </row>
    <row r="2395">
      <c r="A2395" t="inlineStr">
        <is>
          <t>WorldWide Logistics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O2395" t="inlineStr">
        <is>
          <t>Brett Grieser — Vice President of Sales</t>
        </is>
      </c>
      <c r="P2395" t="inlineStr">
        <is>
          <t>Vice President of Sales</t>
        </is>
      </c>
      <c r="Y2395" t="inlineStr">
        <is>
          <t>todo</t>
        </is>
      </c>
      <c r="Z2395">
        <f>(M2395*Weights!$B$2) + (MIN(Q2395,Weights!$B$5)*Weights!$B$3*(W2395/100)*Weights!$B$4)</f>
        <v/>
      </c>
      <c r="AA2395">
        <f>IF(Z2395= ,,RANK.EQ({pri_col_letter}{r},{pri_range},0))</f>
        <v/>
      </c>
    </row>
    <row r="2396">
      <c r="A2396" t="inlineStr">
        <is>
          <t>Zurich Transport LLC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O2396" t="inlineStr">
        <is>
          <t>Young Oh — Vice President of Sales</t>
        </is>
      </c>
      <c r="P2396" t="inlineStr">
        <is>
          <t>Vice President of Sales</t>
        </is>
      </c>
      <c r="Y2396" t="inlineStr">
        <is>
          <t>todo</t>
        </is>
      </c>
      <c r="Z2396">
        <f>(M2396*Weights!$B$2) + (MIN(Q2396,Weights!$B$5)*Weights!$B$3*(W2396/100)*Weights!$B$4)</f>
        <v/>
      </c>
      <c r="AA2396">
        <f>IF(Z2396= ,,RANK.EQ({pri_col_letter}{r},{pri_range},0))</f>
        <v/>
      </c>
    </row>
    <row r="2397">
      <c r="A2397" t="inlineStr">
        <is>
          <t>bp pulse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O2397" t="inlineStr">
        <is>
          <t>Luis Castro — Sr. Manager, Business Development &amp; Sales</t>
        </is>
      </c>
      <c r="P2397" t="inlineStr">
        <is>
          <t>Sr. Manager, Business Development &amp; Sales</t>
        </is>
      </c>
      <c r="Y2397" t="inlineStr">
        <is>
          <t>todo</t>
        </is>
      </c>
      <c r="Z2397">
        <f>(M2397*Weights!$B$2) + (MIN(Q2397,Weights!$B$5)*Weights!$B$3*(W2397/100)*Weights!$B$4)</f>
        <v/>
      </c>
      <c r="AA2397">
        <f>IF(Z2397= ,,RANK.EQ({pri_col_letter}{r},{pri_range},0))</f>
        <v/>
      </c>
    </row>
    <row r="2398">
      <c r="A2398" t="inlineStr">
        <is>
          <t>eWorld Fulfillment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O2398" t="inlineStr">
        <is>
          <t>Asher Bernstein — SVP - Business Development</t>
        </is>
      </c>
      <c r="P2398" t="inlineStr">
        <is>
          <t>SVP - Business Development</t>
        </is>
      </c>
      <c r="Y2398" t="inlineStr">
        <is>
          <t>todo</t>
        </is>
      </c>
      <c r="Z2398">
        <f>(M2398*Weights!$B$2) + (MIN(Q2398,Weights!$B$5)*Weights!$B$3*(W2398/100)*Weights!$B$4)</f>
        <v/>
      </c>
      <c r="AA2398">
        <f>IF(Z2398= ,,RANK.EQ({pri_col_letter}{r},{pri_range},0))</f>
        <v/>
      </c>
    </row>
    <row r="2399">
      <c r="A2399" t="inlineStr">
        <is>
          <t>ITS Logistics</t>
        </is>
      </c>
      <c r="B2399" t="n">
        <v>8</v>
      </c>
      <c r="C2399" t="n">
        <v>0</v>
      </c>
      <c r="D2399" t="n">
        <v>0</v>
      </c>
      <c r="E2399" t="n">
        <v>0</v>
      </c>
      <c r="F2399" t="n">
        <v>5</v>
      </c>
      <c r="G2399" t="n">
        <v>0</v>
      </c>
      <c r="H2399" t="n">
        <v>365000000</v>
      </c>
      <c r="I2399" t="n">
        <v>5</v>
      </c>
      <c r="J2399" t="n">
        <v>0</v>
      </c>
      <c r="K2399" t="n">
        <v>12</v>
      </c>
      <c r="L2399" t="n">
        <v>0</v>
      </c>
      <c r="M2399" t="n">
        <v>-2</v>
      </c>
      <c r="O2399" t="inlineStr">
        <is>
          <t>Peter Weis — CIO; Jameson Goforth — Vice President - Final Mile; Ash Thoms — Senior Manager - Trade Shows and Events; Tom Larson — SVP – Enterprise Sales; Jack Brate — Vice President - Enterprise Sales</t>
        </is>
      </c>
      <c r="P2399" t="inlineStr">
        <is>
          <t>CIO | Vice President - Final Mile | SVP – Enterprise Sales</t>
        </is>
      </c>
      <c r="Y2399" t="inlineStr">
        <is>
          <t>todo</t>
        </is>
      </c>
      <c r="Z2399">
        <f>(M2399*Weights!$B$2) + (MIN(Q2399,Weights!$B$5)*Weights!$B$3*(W2399/100)*Weights!$B$4)</f>
        <v/>
      </c>
      <c r="AA2399">
        <f>IF(Z2399= ,,RANK.EQ({pri_col_letter}{r},{pri_range},0))</f>
        <v/>
      </c>
    </row>
    <row r="2400">
      <c r="A2400" t="inlineStr">
        <is>
          <t>Hy-Tek Intralogistics</t>
        </is>
      </c>
      <c r="B2400" t="n">
        <v>6</v>
      </c>
      <c r="C2400" t="n">
        <v>0</v>
      </c>
      <c r="D2400" t="n">
        <v>0</v>
      </c>
      <c r="E2400" t="n">
        <v>0</v>
      </c>
      <c r="F2400" t="n">
        <v>2</v>
      </c>
      <c r="G2400" t="n">
        <v>1</v>
      </c>
      <c r="H2400" t="n">
        <v>100000000</v>
      </c>
      <c r="I2400" t="n">
        <v>3</v>
      </c>
      <c r="J2400" t="n">
        <v>0</v>
      </c>
      <c r="K2400" t="n">
        <v>12</v>
      </c>
      <c r="L2400" t="n">
        <v>0</v>
      </c>
      <c r="M2400" t="n">
        <v>-4</v>
      </c>
      <c r="O2400" t="inlineStr">
        <is>
          <t>Ray DeMelfi — SVP Strategic Services; Bryan Gillard — SVP; Naomi Marti — Director Channel Partnerships - IntraOne; Nicholas Schoultheis — Product Development Engineer; Ryan Pyle — Senior Account Executive</t>
        </is>
      </c>
      <c r="P2400" t="inlineStr">
        <is>
          <t>SVP Strategic Services | SVP | Director Channel Partnerships - IntraOne</t>
        </is>
      </c>
      <c r="Y2400" t="inlineStr">
        <is>
          <t>todo</t>
        </is>
      </c>
      <c r="Z2400">
        <f>(M2400*Weights!$B$2) + (MIN(Q2400,Weights!$B$5)*Weights!$B$3*(W2400/100)*Weights!$B$4)</f>
        <v/>
      </c>
      <c r="AA2400">
        <f>IF(Z2400= ,,RANK.EQ({pri_col_letter}{r},{pri_range},0))</f>
        <v/>
      </c>
    </row>
    <row r="2401">
      <c r="A2401" t="inlineStr">
        <is>
          <t>Willog</t>
        </is>
      </c>
      <c r="B2401" t="n">
        <v>7</v>
      </c>
      <c r="C2401" t="n">
        <v>0</v>
      </c>
      <c r="D2401" t="n">
        <v>0</v>
      </c>
      <c r="E2401" t="n">
        <v>0</v>
      </c>
      <c r="F2401" t="n">
        <v>0</v>
      </c>
      <c r="G2401" t="n">
        <v>2</v>
      </c>
      <c r="I2401" t="n">
        <v>2</v>
      </c>
      <c r="J2401" t="n">
        <v>0</v>
      </c>
      <c r="K2401" t="n">
        <v>12</v>
      </c>
      <c r="L2401" t="n">
        <v>0</v>
      </c>
      <c r="M2401" t="n">
        <v>-5</v>
      </c>
      <c r="O2401" t="inlineStr">
        <is>
          <t>RJ Roh — Managing Director &amp; Chief Strategy Officer; Mook Jung — SW CTO; Sean Song — Head of Design; Jenny Hyeon — Product Manager; Kenneth Noh — Data Lead Dept. Manager</t>
        </is>
      </c>
      <c r="P2401" t="inlineStr">
        <is>
          <t>SW CTO | Head of Design | Managing Director &amp; Chief Strategy Officer</t>
        </is>
      </c>
      <c r="Y2401" t="inlineStr">
        <is>
          <t>todo</t>
        </is>
      </c>
      <c r="Z2401">
        <f>(M2401*Weights!$B$2) + (MIN(Q2401,Weights!$B$5)*Weights!$B$3*(W2401/100)*Weights!$B$4)</f>
        <v/>
      </c>
      <c r="AA2401">
        <f>IF(Z2401= ,,RANK.EQ({pri_col_letter}{r},{pri_range},0))</f>
        <v/>
      </c>
    </row>
    <row r="2402">
      <c r="A2402" t="inlineStr">
        <is>
          <t>Betenbough Homes</t>
        </is>
      </c>
      <c r="B2402" t="n">
        <v>5</v>
      </c>
      <c r="C2402" t="n">
        <v>0</v>
      </c>
      <c r="D2402" t="n">
        <v>0</v>
      </c>
      <c r="E2402" t="n">
        <v>1</v>
      </c>
      <c r="F2402" t="n">
        <v>0</v>
      </c>
      <c r="G2402" t="n">
        <v>4</v>
      </c>
      <c r="I2402" t="n">
        <v>4</v>
      </c>
      <c r="J2402" t="n">
        <v>0</v>
      </c>
      <c r="K2402" t="n">
        <v>12</v>
      </c>
      <c r="L2402" t="n">
        <v>0</v>
      </c>
      <c r="M2402" t="n">
        <v>-5</v>
      </c>
      <c r="O2402" t="inlineStr">
        <is>
          <t>Mitch James — Purchasing Manager; Jason Ballejo — Product Supply Coordinator; Michele Sanders — Product Supply Coordinator; Cami Reynolds — Product Supply Manager; Trey Benton — Product Supply Manager</t>
        </is>
      </c>
      <c r="P2402" t="inlineStr">
        <is>
          <t>Purchasing Manager | Product Supply Coordinator | Product Supply Manager</t>
        </is>
      </c>
      <c r="Y2402" t="inlineStr">
        <is>
          <t>todo</t>
        </is>
      </c>
      <c r="Z2402">
        <f>(M2402*Weights!$B$2) + (MIN(Q2402,Weights!$B$5)*Weights!$B$3*(W2402/100)*Weights!$B$4)</f>
        <v/>
      </c>
      <c r="AA2402">
        <f>IF(Z2402= ,,RANK.EQ({pri_col_letter}{r},{pri_range},0))</f>
        <v/>
      </c>
    </row>
    <row r="2403">
      <c r="A2403" t="inlineStr">
        <is>
          <t>Penske Transportation Solutions</t>
        </is>
      </c>
      <c r="B2403" t="n">
        <v>14</v>
      </c>
      <c r="C2403" t="n">
        <v>0</v>
      </c>
      <c r="D2403" t="n">
        <v>1</v>
      </c>
      <c r="E2403" t="n">
        <v>0</v>
      </c>
      <c r="F2403" t="n">
        <v>6</v>
      </c>
      <c r="G2403" t="n">
        <v>3</v>
      </c>
      <c r="I2403" t="n">
        <v>9</v>
      </c>
      <c r="J2403" t="n">
        <v>0.07142857142857142</v>
      </c>
      <c r="K2403" t="n">
        <v>12</v>
      </c>
      <c r="L2403" t="n">
        <v>0</v>
      </c>
      <c r="M2403" t="n">
        <v>-6</v>
      </c>
      <c r="O2403" t="inlineStr">
        <is>
          <t>Amy Crum — Director-Customer Operations; Cheryl Hinkel — Director-Brand Experience; Dillon O’Keefe — Senior Success Planner; Tony Ebersole — Trade Show Representative; Bill Shipp — Digital Product Manager</t>
        </is>
      </c>
      <c r="P2403" t="inlineStr">
        <is>
          <t>Director-Customer Operations | Director-Brand Experience | Senior Success Planner</t>
        </is>
      </c>
      <c r="Y2403" t="inlineStr">
        <is>
          <t>todo</t>
        </is>
      </c>
      <c r="Z2403">
        <f>(M2403*Weights!$B$2) + (MIN(Q2403,Weights!$B$5)*Weights!$B$3*(W2403/100)*Weights!$B$4)</f>
        <v/>
      </c>
      <c r="AA2403">
        <f>IF(Z2403= ,,RANK.EQ({pri_col_letter}{r},{pri_range},0))</f>
        <v/>
      </c>
    </row>
    <row r="2404">
      <c r="A2404" t="inlineStr">
        <is>
          <t>AutoPallet Robotics</t>
        </is>
      </c>
      <c r="B2404" t="n">
        <v>6</v>
      </c>
      <c r="C2404" t="n">
        <v>0</v>
      </c>
      <c r="D2404" t="n">
        <v>0</v>
      </c>
      <c r="E2404" t="n">
        <v>0</v>
      </c>
      <c r="F2404" t="n">
        <v>0</v>
      </c>
      <c r="G2404" t="n">
        <v>4</v>
      </c>
      <c r="I2404" t="n">
        <v>4</v>
      </c>
      <c r="J2404" t="n">
        <v>0</v>
      </c>
      <c r="K2404" t="n">
        <v>12</v>
      </c>
      <c r="L2404" t="n">
        <v>0</v>
      </c>
      <c r="M2404" t="n">
        <v>-6</v>
      </c>
      <c r="O2404" t="inlineStr">
        <is>
          <t>Eric Miller — CEO; Daniel Wolf — Founding Engineer; Jared Briskman — Founding Engineer; Nathan Yee — Co-founder; Olivia Jo Bradley — Founding Engineer</t>
        </is>
      </c>
      <c r="P2404" t="inlineStr">
        <is>
          <t>CEO | Founding Engineer | Co-founder</t>
        </is>
      </c>
      <c r="Y2404" t="inlineStr">
        <is>
          <t>todo</t>
        </is>
      </c>
      <c r="Z2404">
        <f>(M2404*Weights!$B$2) + (MIN(Q2404,Weights!$B$5)*Weights!$B$3*(W2404/100)*Weights!$B$4)</f>
        <v/>
      </c>
      <c r="AA2404">
        <f>IF(Z2404= ,,RANK.EQ({pri_col_letter}{r},{pri_range},0))</f>
        <v/>
      </c>
    </row>
    <row r="2405">
      <c r="A2405" t="inlineStr">
        <is>
          <t>Pallet</t>
        </is>
      </c>
      <c r="B2405" t="n">
        <v>15</v>
      </c>
      <c r="C2405" t="n">
        <v>0</v>
      </c>
      <c r="D2405" t="n">
        <v>2</v>
      </c>
      <c r="E2405" t="n">
        <v>0</v>
      </c>
      <c r="F2405" t="n">
        <v>9</v>
      </c>
      <c r="G2405" t="n">
        <v>1</v>
      </c>
      <c r="H2405" t="n">
        <v>11251000</v>
      </c>
      <c r="I2405" t="n">
        <v>10</v>
      </c>
      <c r="J2405" t="n">
        <v>0.1333333333333333</v>
      </c>
      <c r="K2405" t="n">
        <v>12</v>
      </c>
      <c r="L2405" t="n">
        <v>0</v>
      </c>
      <c r="M2405" t="n">
        <v>-7</v>
      </c>
      <c r="O2405" t="inlineStr">
        <is>
          <t>Drew Butler — Business Operations; Ishan Lakhani — Business Operations; Nilkanth Patel — CTO; Jeffrey Miller — RVP - Enterprise; Nate Sylvia — RVP, Enterprise</t>
        </is>
      </c>
      <c r="P2405" t="inlineStr">
        <is>
          <t>CTO | Business Operations | Chief Revenue Officer</t>
        </is>
      </c>
      <c r="Y2405" t="inlineStr">
        <is>
          <t>todo</t>
        </is>
      </c>
      <c r="Z2405">
        <f>(M2405*Weights!$B$2) + (MIN(Q2405,Weights!$B$5)*Weights!$B$3*(W2405/100)*Weights!$B$4)</f>
        <v/>
      </c>
      <c r="AA2405">
        <f>IF(Z2405= ,,RANK.EQ({pri_col_letter}{r},{pri_range},0))</f>
        <v/>
      </c>
    </row>
    <row r="2406">
      <c r="A2406" t="inlineStr">
        <is>
          <t>Breakthrough</t>
        </is>
      </c>
      <c r="B2406" t="n">
        <v>5</v>
      </c>
      <c r="C2406" t="n">
        <v>0</v>
      </c>
      <c r="D2406" t="n">
        <v>0</v>
      </c>
      <c r="E2406" t="n">
        <v>0</v>
      </c>
      <c r="F2406" t="n">
        <v>3</v>
      </c>
      <c r="G2406" t="n">
        <v>0</v>
      </c>
      <c r="H2406" t="n">
        <v>63400000</v>
      </c>
      <c r="I2406" t="n">
        <v>3</v>
      </c>
      <c r="J2406" t="n">
        <v>0</v>
      </c>
      <c r="K2406" t="n">
        <v>12</v>
      </c>
      <c r="L2406" t="n">
        <v>0</v>
      </c>
      <c r="M2406" t="n">
        <v>-7</v>
      </c>
      <c r="O2406" t="inlineStr">
        <is>
          <t>Kathleen Berryman — Head of Client Success; Emma Van Rossum — Director of Client Success; Ali Barrett — Director of Marketing; Nick Skeen — Director of Business Development; Troy Jones — Director of Business Development</t>
        </is>
      </c>
      <c r="P2406" t="inlineStr">
        <is>
          <t>Head of Client Success | Director of Client Success | Director of Marketing</t>
        </is>
      </c>
      <c r="Y2406" t="inlineStr">
        <is>
          <t>todo</t>
        </is>
      </c>
      <c r="Z2406">
        <f>(M2406*Weights!$B$2) + (MIN(Q2406,Weights!$B$5)*Weights!$B$3*(W2406/100)*Weights!$B$4)</f>
        <v/>
      </c>
      <c r="AA2406">
        <f>IF(Z2406= ,,RANK.EQ({pri_col_letter}{r},{pri_range},0))</f>
        <v/>
      </c>
    </row>
    <row r="2407">
      <c r="A2407" t="inlineStr">
        <is>
          <t>Gnosis Freight</t>
        </is>
      </c>
      <c r="B2407" t="n">
        <v>8</v>
      </c>
      <c r="C2407" t="n">
        <v>0</v>
      </c>
      <c r="D2407" t="n">
        <v>0</v>
      </c>
      <c r="E2407" t="n">
        <v>0</v>
      </c>
      <c r="F2407" t="n">
        <v>2</v>
      </c>
      <c r="G2407" t="n">
        <v>1</v>
      </c>
      <c r="I2407" t="n">
        <v>3</v>
      </c>
      <c r="J2407" t="n">
        <v>0</v>
      </c>
      <c r="K2407" t="n">
        <v>12</v>
      </c>
      <c r="L2407" t="n">
        <v>0</v>
      </c>
      <c r="M2407" t="n">
        <v>-8</v>
      </c>
      <c r="O2407" t="inlineStr">
        <is>
          <t>Austin McCombs — CEO; Hudson Joyner — CFO; Dorcy Shema — Lead Frontend Engineer; Kurt Corman — Strategic Accounts, LSP; Michael Rentz — CRO</t>
        </is>
      </c>
      <c r="P2407" t="inlineStr">
        <is>
          <t>CEO | CFO | Lead Frontend Engineer</t>
        </is>
      </c>
      <c r="Y2407" t="inlineStr">
        <is>
          <t>todo</t>
        </is>
      </c>
      <c r="Z2407">
        <f>(M2407*Weights!$B$2) + (MIN(Q2407,Weights!$B$5)*Weights!$B$3*(W2407/100)*Weights!$B$4)</f>
        <v/>
      </c>
      <c r="AA2407">
        <f>IF(Z2407= ,,RANK.EQ({pri_col_letter}{r},{pri_range},0))</f>
        <v/>
      </c>
    </row>
    <row r="2408">
      <c r="A2408" t="inlineStr">
        <is>
          <t>Slip Robotics</t>
        </is>
      </c>
      <c r="B2408" t="n">
        <v>8</v>
      </c>
      <c r="C2408" t="n">
        <v>0</v>
      </c>
      <c r="D2408" t="n">
        <v>0</v>
      </c>
      <c r="E2408" t="n">
        <v>0</v>
      </c>
      <c r="F2408" t="n">
        <v>2</v>
      </c>
      <c r="G2408" t="n">
        <v>1</v>
      </c>
      <c r="I2408" t="n">
        <v>3</v>
      </c>
      <c r="J2408" t="n">
        <v>0</v>
      </c>
      <c r="K2408" t="n">
        <v>12</v>
      </c>
      <c r="L2408" t="n">
        <v>0</v>
      </c>
      <c r="M2408" t="n">
        <v>-8</v>
      </c>
      <c r="O2408" t="inlineStr">
        <is>
          <t>Chris Smith — CEO &amp; Founder; Bethany Patterson — Slip Robotics; Christian Sorensen — Field Engineering Manager; Grant Swonke — Solutions Account Manager; Mick Clarke — Solutions Account Manager</t>
        </is>
      </c>
      <c r="P2408" t="inlineStr">
        <is>
          <t>CEO &amp; Founder | Slip Robotics | Head of Marketing</t>
        </is>
      </c>
      <c r="Y2408" t="inlineStr">
        <is>
          <t>todo</t>
        </is>
      </c>
      <c r="Z2408">
        <f>(M2408*Weights!$B$2) + (MIN(Q2408,Weights!$B$5)*Weights!$B$3*(W2408/100)*Weights!$B$4)</f>
        <v/>
      </c>
      <c r="AA2408">
        <f>IF(Z2408= ,,RANK.EQ({pri_col_letter}{r},{pri_range},0))</f>
        <v/>
      </c>
    </row>
    <row r="2409">
      <c r="A2409" t="inlineStr">
        <is>
          <t>BlueCargo</t>
        </is>
      </c>
      <c r="B2409" t="n">
        <v>6</v>
      </c>
      <c r="C2409" t="n">
        <v>0</v>
      </c>
      <c r="D2409" t="n">
        <v>0</v>
      </c>
      <c r="E2409" t="n">
        <v>0</v>
      </c>
      <c r="F2409" t="n">
        <v>1</v>
      </c>
      <c r="G2409" t="n">
        <v>2</v>
      </c>
      <c r="I2409" t="n">
        <v>3</v>
      </c>
      <c r="J2409" t="n">
        <v>0</v>
      </c>
      <c r="K2409" t="n">
        <v>12</v>
      </c>
      <c r="L2409" t="n">
        <v>0</v>
      </c>
      <c r="M2409" t="n">
        <v>-8</v>
      </c>
      <c r="O2409" t="inlineStr">
        <is>
          <t>Colin Colbourn — Head of Product &amp; Delivery; Alexandra Griffon — CEO and Co-Founder; Gideon van Kampen — Solutions Engineer; Pedro Matias — Entreprise; Shane Ball — Enterprise Executive</t>
        </is>
      </c>
      <c r="P2409" t="inlineStr">
        <is>
          <t>Head of Product &amp; Delivery | CEO and Co-Founder | Solutions Engineer</t>
        </is>
      </c>
      <c r="Y2409" t="inlineStr">
        <is>
          <t>todo</t>
        </is>
      </c>
      <c r="Z2409">
        <f>(M2409*Weights!$B$2) + (MIN(Q2409,Weights!$B$5)*Weights!$B$3*(W2409/100)*Weights!$B$4)</f>
        <v/>
      </c>
      <c r="AA2409">
        <f>IF(Z2409= ,,RANK.EQ({pri_col_letter}{r},{pri_range},0))</f>
        <v/>
      </c>
    </row>
    <row r="2410">
      <c r="A2410" t="inlineStr">
        <is>
          <t>Gebrüder Weiss - Transport and Logistics</t>
        </is>
      </c>
      <c r="B2410" t="n">
        <v>6</v>
      </c>
      <c r="C2410" t="n">
        <v>0</v>
      </c>
      <c r="D2410" t="n">
        <v>1</v>
      </c>
      <c r="E2410" t="n">
        <v>0</v>
      </c>
      <c r="F2410" t="n">
        <v>3</v>
      </c>
      <c r="G2410" t="n">
        <v>0</v>
      </c>
      <c r="I2410" t="n">
        <v>3</v>
      </c>
      <c r="J2410" t="n">
        <v>0.1666666666666667</v>
      </c>
      <c r="K2410" t="n">
        <v>12</v>
      </c>
      <c r="L2410" t="n">
        <v>0</v>
      </c>
      <c r="M2410" t="n">
        <v>-8</v>
      </c>
      <c r="O2410" t="inlineStr">
        <is>
          <t>Alan Badillo — Operations &amp; Logistics Director; Sean Yanok — Vice President Regional Development; Michael Crandall — Vice President of Sales; Bill Hohenadel — Trade Lane Manager - Germany; Dominique Jakovljevic — Director of Marketing and Key Accounts</t>
        </is>
      </c>
      <c r="P2410" t="inlineStr">
        <is>
          <t>Operations &amp; Logistics Director | Vice President Regional Development | Vice President of Sales</t>
        </is>
      </c>
      <c r="Y2410" t="inlineStr">
        <is>
          <t>todo</t>
        </is>
      </c>
      <c r="Z2410">
        <f>(M2410*Weights!$B$2) + (MIN(Q2410,Weights!$B$5)*Weights!$B$3*(W2410/100)*Weights!$B$4)</f>
        <v/>
      </c>
      <c r="AA2410">
        <f>IF(Z2410= ,,RANK.EQ({pri_col_letter}{r},{pri_range},0))</f>
        <v/>
      </c>
    </row>
    <row r="2411">
      <c r="A2411" t="inlineStr">
        <is>
          <t>Pesti</t>
        </is>
      </c>
      <c r="B2411" t="n">
        <v>6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I2411" t="n">
        <v>2</v>
      </c>
      <c r="J2411" t="n">
        <v>0</v>
      </c>
      <c r="K2411" t="n">
        <v>12</v>
      </c>
      <c r="L2411" t="n">
        <v>0</v>
      </c>
      <c r="M2411" t="n">
        <v>-8</v>
      </c>
      <c r="O2411" t="inlineStr">
        <is>
          <t>John Monarch — CIO; Casey Larkin — VP of Client Success; Charlie Pesti — Chief Make it Happen Officer; John Monarch — Chief Industry Officer; Priyanka Ann Saini — Executive Director</t>
        </is>
      </c>
      <c r="P2411" t="inlineStr">
        <is>
          <t>CIO | VP of Client Success | Chief Make it Happen Officer</t>
        </is>
      </c>
      <c r="Y2411" t="inlineStr">
        <is>
          <t>todo</t>
        </is>
      </c>
      <c r="Z2411">
        <f>(M2411*Weights!$B$2) + (MIN(Q2411,Weights!$B$5)*Weights!$B$3*(W2411/100)*Weights!$B$4)</f>
        <v/>
      </c>
      <c r="AA2411">
        <f>IF(Z2411= ,,RANK.EQ({pri_col_letter}{r},{pri_range},0))</f>
        <v/>
      </c>
    </row>
    <row r="2412">
      <c r="A2412" t="inlineStr">
        <is>
          <t>e2open - WiseTech Global Group</t>
        </is>
      </c>
      <c r="B2412" t="n">
        <v>6</v>
      </c>
      <c r="C2412" t="n">
        <v>0</v>
      </c>
      <c r="D2412" t="n">
        <v>1</v>
      </c>
      <c r="E2412" t="n">
        <v>0</v>
      </c>
      <c r="F2412" t="n">
        <v>3</v>
      </c>
      <c r="G2412" t="n">
        <v>1</v>
      </c>
      <c r="I2412" t="n">
        <v>4</v>
      </c>
      <c r="J2412" t="n">
        <v>0.1666666666666667</v>
      </c>
      <c r="K2412" t="n">
        <v>12</v>
      </c>
      <c r="L2412" t="n">
        <v>0</v>
      </c>
      <c r="M2412" t="n">
        <v>-8</v>
      </c>
      <c r="O2412" t="inlineStr">
        <is>
          <t>Jim Sanborn — Director, Network Marketplace; Kirk Sternberg — VP, Strategic Accounts; Scott Tesoiere — AVP, Product Management; Diana Fowler — Senior Marketing Events Specialist; Nicholas Roberts — Area Sales Director</t>
        </is>
      </c>
      <c r="P2412" t="inlineStr">
        <is>
          <t>Director, Network Marketplace | VP, Strategic Accounts | AVP, Product Management</t>
        </is>
      </c>
      <c r="Y2412" t="inlineStr">
        <is>
          <t>todo</t>
        </is>
      </c>
      <c r="Z2412">
        <f>(M2412*Weights!$B$2) + (MIN(Q2412,Weights!$B$5)*Weights!$B$3*(W2412/100)*Weights!$B$4)</f>
        <v/>
      </c>
      <c r="AA2412">
        <f>IF(Z2412= ,,RANK.EQ({pri_col_letter}{r},{pri_range},0))</f>
        <v/>
      </c>
    </row>
    <row r="2413">
      <c r="A2413" t="inlineStr">
        <is>
          <t>Raft</t>
        </is>
      </c>
      <c r="B2413" t="n">
        <v>13</v>
      </c>
      <c r="C2413" t="n">
        <v>0</v>
      </c>
      <c r="D2413" t="n">
        <v>1</v>
      </c>
      <c r="E2413" t="n">
        <v>0</v>
      </c>
      <c r="F2413" t="n">
        <v>7</v>
      </c>
      <c r="G2413" t="n">
        <v>0</v>
      </c>
      <c r="I2413" t="n">
        <v>7</v>
      </c>
      <c r="J2413" t="n">
        <v>0.07692307692307693</v>
      </c>
      <c r="K2413" t="n">
        <v>12</v>
      </c>
      <c r="L2413" t="n">
        <v>0</v>
      </c>
      <c r="M2413" t="n">
        <v>-9</v>
      </c>
      <c r="O2413" t="inlineStr">
        <is>
          <t>James Coombes — CEO and Co-founder; Nisarg Mehta — CTO &amp; Co-founder; Sarah McLaren — Chief of Staff; Laura Fava — Chief Customer Officer; Megan Serratore — Sales Operations Manager</t>
        </is>
      </c>
      <c r="P2413" t="inlineStr">
        <is>
          <t>CEO and Co-founder | CTO &amp; Co-founder | Chief of Staff</t>
        </is>
      </c>
      <c r="Y2413" t="inlineStr">
        <is>
          <t>todo</t>
        </is>
      </c>
      <c r="Z2413">
        <f>(M2413*Weights!$B$2) + (MIN(Q2413,Weights!$B$5)*Weights!$B$3*(W2413/100)*Weights!$B$4)</f>
        <v/>
      </c>
      <c r="AA2413">
        <f>IF(Z2413= ,,RANK.EQ({pri_col_letter}{r},{pri_range},0))</f>
        <v/>
      </c>
    </row>
    <row r="2414">
      <c r="A2414" t="inlineStr">
        <is>
          <t>Alvys</t>
        </is>
      </c>
      <c r="B2414" t="n">
        <v>9</v>
      </c>
      <c r="C2414" t="n">
        <v>0</v>
      </c>
      <c r="D2414" t="n">
        <v>0</v>
      </c>
      <c r="E2414" t="n">
        <v>0</v>
      </c>
      <c r="F2414" t="n">
        <v>3</v>
      </c>
      <c r="G2414" t="n">
        <v>0</v>
      </c>
      <c r="I2414" t="n">
        <v>3</v>
      </c>
      <c r="J2414" t="n">
        <v>0</v>
      </c>
      <c r="K2414" t="n">
        <v>12</v>
      </c>
      <c r="L2414" t="n">
        <v>0</v>
      </c>
      <c r="M2414" t="n">
        <v>-9</v>
      </c>
      <c r="O2414" t="inlineStr">
        <is>
          <t>Nick Darman — CEO; Peter Hewitt — SDR; Skyler Saulovich — Enterprise AE; Josh Lambert — SDR Manager; Bryson Becker — SDR</t>
        </is>
      </c>
      <c r="P2414" t="inlineStr">
        <is>
          <t>CEO | SDR | Enterprise SDR</t>
        </is>
      </c>
      <c r="Y2414" t="inlineStr">
        <is>
          <t>todo</t>
        </is>
      </c>
      <c r="Z2414">
        <f>(M2414*Weights!$B$2) + (MIN(Q2414,Weights!$B$5)*Weights!$B$3*(W2414/100)*Weights!$B$4)</f>
        <v/>
      </c>
      <c r="AA2414">
        <f>IF(Z2414= ,,RANK.EQ({pri_col_letter}{r},{pri_range},0))</f>
        <v/>
      </c>
    </row>
    <row r="2415">
      <c r="A2415" t="inlineStr">
        <is>
          <t>Free Hand</t>
        </is>
      </c>
      <c r="B2415" t="n">
        <v>9</v>
      </c>
      <c r="C2415" t="n">
        <v>0</v>
      </c>
      <c r="D2415" t="n">
        <v>1</v>
      </c>
      <c r="E2415" t="n">
        <v>0</v>
      </c>
      <c r="F2415" t="n">
        <v>5</v>
      </c>
      <c r="G2415" t="n">
        <v>0</v>
      </c>
      <c r="I2415" t="n">
        <v>5</v>
      </c>
      <c r="J2415" t="n">
        <v>0.1111111111111111</v>
      </c>
      <c r="K2415" t="n">
        <v>12</v>
      </c>
      <c r="L2415" t="n">
        <v>0</v>
      </c>
      <c r="M2415" t="n">
        <v>-9</v>
      </c>
      <c r="O2415" t="inlineStr">
        <is>
          <t>Manognya Gattereddi — Supply Chain Advisor; Nitin Jayakrishnan — CEO &amp; Co-Founder; Craig Edwards — Senior Solutions Consultant; Deepti Khemka — Presales Senior Director; Jim Hilbert — Chief Revenue Officer</t>
        </is>
      </c>
      <c r="P2415" t="inlineStr">
        <is>
          <t>CEO &amp; Co-Founder | Supply Chain Advisor | Senior Solutions Consultant</t>
        </is>
      </c>
      <c r="Y2415" t="inlineStr">
        <is>
          <t>todo</t>
        </is>
      </c>
      <c r="Z2415">
        <f>(M2415*Weights!$B$2) + (MIN(Q2415,Weights!$B$5)*Weights!$B$3*(W2415/100)*Weights!$B$4)</f>
        <v/>
      </c>
      <c r="AA2415">
        <f>IF(Z2415= ,,RANK.EQ({pri_col_letter}{r},{pri_range},0))</f>
        <v/>
      </c>
    </row>
    <row r="2416">
      <c r="A2416" t="inlineStr">
        <is>
          <t>Logiwa</t>
        </is>
      </c>
      <c r="B2416" t="n">
        <v>9</v>
      </c>
      <c r="C2416" t="n">
        <v>0</v>
      </c>
      <c r="D2416" t="n">
        <v>1</v>
      </c>
      <c r="E2416" t="n">
        <v>0</v>
      </c>
      <c r="F2416" t="n">
        <v>5</v>
      </c>
      <c r="G2416" t="n">
        <v>2</v>
      </c>
      <c r="I2416" t="n">
        <v>7</v>
      </c>
      <c r="J2416" t="n">
        <v>0.1111111111111111</v>
      </c>
      <c r="K2416" t="n">
        <v>12</v>
      </c>
      <c r="L2416" t="n">
        <v>0</v>
      </c>
      <c r="M2416" t="n">
        <v>-9</v>
      </c>
      <c r="O2416" t="inlineStr">
        <is>
          <t>John O'Neill — Executive Director of Global Operations; Erhan Musaoglu — CEO; Erik Fonseca — CRO; Eric Byun — Director of Solution Engineering; Dan Salazar — SVP of Sales and Partnerships</t>
        </is>
      </c>
      <c r="P2416" t="inlineStr">
        <is>
          <t>CEO | Executive Director of Global Operations | CRO</t>
        </is>
      </c>
      <c r="Y2416" t="inlineStr">
        <is>
          <t>todo</t>
        </is>
      </c>
      <c r="Z2416">
        <f>(M2416*Weights!$B$2) + (MIN(Q2416,Weights!$B$5)*Weights!$B$3*(W2416/100)*Weights!$B$4)</f>
        <v/>
      </c>
      <c r="AA2416">
        <f>IF(Z2416= ,,RANK.EQ({pri_col_letter}{r},{pri_range},0))</f>
        <v/>
      </c>
    </row>
    <row r="2417">
      <c r="A2417" t="inlineStr">
        <is>
          <t>UPWELL</t>
        </is>
      </c>
      <c r="B2417" t="n">
        <v>7</v>
      </c>
      <c r="C2417" t="n">
        <v>0</v>
      </c>
      <c r="D2417" t="n">
        <v>0</v>
      </c>
      <c r="E2417" t="n">
        <v>0</v>
      </c>
      <c r="F2417" t="n">
        <v>2</v>
      </c>
      <c r="G2417" t="n">
        <v>1</v>
      </c>
      <c r="I2417" t="n">
        <v>3</v>
      </c>
      <c r="J2417" t="n">
        <v>0</v>
      </c>
      <c r="K2417" t="n">
        <v>12</v>
      </c>
      <c r="L2417" t="n">
        <v>0</v>
      </c>
      <c r="M2417" t="n">
        <v>-9</v>
      </c>
      <c r="O2417" t="inlineStr">
        <is>
          <t>Aaron Freeman — CTO; Kris Gjemre — VP of Solutions; Charley Dehoney — CEO; Julia Adey — UX Designer &amp; Researcher; Michael Pair — Product Manager</t>
        </is>
      </c>
      <c r="P2417" t="inlineStr">
        <is>
          <t>CTO | VP of Solutions | CEO</t>
        </is>
      </c>
      <c r="Y2417" t="inlineStr">
        <is>
          <t>todo</t>
        </is>
      </c>
      <c r="Z2417">
        <f>(M2417*Weights!$B$2) + (MIN(Q2417,Weights!$B$5)*Weights!$B$3*(W2417/100)*Weights!$B$4)</f>
        <v/>
      </c>
      <c r="AA2417">
        <f>IF(Z2417= ,,RANK.EQ({pri_col_letter}{r},{pri_range},0))</f>
        <v/>
      </c>
    </row>
    <row r="2418">
      <c r="A2418" t="inlineStr">
        <is>
          <t>SMC3</t>
        </is>
      </c>
      <c r="B2418" t="n">
        <v>5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I2418" t="n">
        <v>2</v>
      </c>
      <c r="J2418" t="n">
        <v>0</v>
      </c>
      <c r="K2418" t="n">
        <v>12</v>
      </c>
      <c r="L2418" t="n">
        <v>0</v>
      </c>
      <c r="M2418" t="n">
        <v>-9</v>
      </c>
      <c r="O2418" t="inlineStr">
        <is>
          <t>Brian Thompson — Sr. VP of Commercial Strategy; David Knight — Sr. VP, Technology &amp; Product Development, CIO; Kendra Miller — Senior Director of Alliance Partnerships &amp; Client Success; Renee Rubino — Manager of Alliance Partnerships; Kevin Springer — VP of Sales</t>
        </is>
      </c>
      <c r="P2418" t="inlineStr">
        <is>
          <t>Sr. VP of Commercial Strategy | Sr. VP, Technology &amp; Product Development, CIO | Senior Director of Alliance Partnerships &amp; Client Success</t>
        </is>
      </c>
      <c r="Y2418" t="inlineStr">
        <is>
          <t>todo</t>
        </is>
      </c>
      <c r="Z2418">
        <f>(M2418*Weights!$B$2) + (MIN(Q2418,Weights!$B$5)*Weights!$B$3*(W2418/100)*Weights!$B$4)</f>
        <v/>
      </c>
      <c r="AA2418">
        <f>IF(Z2418= ,,RANK.EQ({pri_col_letter}{r},{pri_range},0))</f>
        <v/>
      </c>
    </row>
    <row r="2419">
      <c r="A2419" t="inlineStr">
        <is>
          <t>DHL Express</t>
        </is>
      </c>
      <c r="B2419" t="n">
        <v>3</v>
      </c>
      <c r="C2419" t="n">
        <v>0</v>
      </c>
      <c r="D2419" t="n">
        <v>0</v>
      </c>
      <c r="E2419" t="n">
        <v>0</v>
      </c>
      <c r="F2419" t="n">
        <v>0</v>
      </c>
      <c r="G2419" t="n">
        <v>3</v>
      </c>
      <c r="I2419" t="n">
        <v>3</v>
      </c>
      <c r="J2419" t="n">
        <v>0</v>
      </c>
      <c r="K2419" t="n">
        <v>12</v>
      </c>
      <c r="L2419" t="n">
        <v>0</v>
      </c>
      <c r="M2419" t="n">
        <v>-9</v>
      </c>
      <c r="O2419" t="inlineStr">
        <is>
          <t>Timothy Lang — Director of Project Management / Engineering; Mike DiPilato — Sr. Project Manager, Engineering and Infrastructure; Jeff Bradshaw — Sr. Project Manager - Engineering</t>
        </is>
      </c>
      <c r="P2419" t="inlineStr">
        <is>
          <t>Director of Project Management / Engineering | Sr. Project Manager, Engineering and Infrastructure | Sr. Project Manager - Engineering</t>
        </is>
      </c>
      <c r="Y2419" t="inlineStr">
        <is>
          <t>todo</t>
        </is>
      </c>
      <c r="Z2419">
        <f>(M2419*Weights!$B$2) + (MIN(Q2419,Weights!$B$5)*Weights!$B$3*(W2419/100)*Weights!$B$4)</f>
        <v/>
      </c>
      <c r="AA2419">
        <f>IF(Z2419= ,,RANK.EQ({pri_col_letter}{r},{pri_range},0))</f>
        <v/>
      </c>
    </row>
    <row r="2420">
      <c r="A2420" t="inlineStr">
        <is>
          <t>U.S. Bank</t>
        </is>
      </c>
      <c r="B2420" t="n">
        <v>3</v>
      </c>
      <c r="C2420" t="n">
        <v>0</v>
      </c>
      <c r="D2420" t="n">
        <v>0</v>
      </c>
      <c r="E2420" t="n">
        <v>0</v>
      </c>
      <c r="F2420" t="n">
        <v>0</v>
      </c>
      <c r="G2420" t="n">
        <v>2</v>
      </c>
      <c r="I2420" t="n">
        <v>2</v>
      </c>
      <c r="J2420" t="n">
        <v>0</v>
      </c>
      <c r="K2420" t="n">
        <v>12</v>
      </c>
      <c r="L2420" t="n">
        <v>0</v>
      </c>
      <c r="M2420" t="n">
        <v>-9</v>
      </c>
      <c r="O2420" t="inlineStr">
        <is>
          <t>Vikki Van Vliet — VP Freight Audit and Payment; Mary Vechiola — Vice President | Senior Product Manager; Karin Sulack — Product Manager</t>
        </is>
      </c>
      <c r="P2420" t="inlineStr">
        <is>
          <t>Vice President | Senior Product Manager | VP Freight Audit and Payment | Product Manager</t>
        </is>
      </c>
      <c r="Y2420" t="inlineStr">
        <is>
          <t>todo</t>
        </is>
      </c>
      <c r="Z2420">
        <f>(M2420*Weights!$B$2) + (MIN(Q2420,Weights!$B$5)*Weights!$B$3*(W2420/100)*Weights!$B$4)</f>
        <v/>
      </c>
      <c r="AA2420">
        <f>IF(Z2420= ,,RANK.EQ({pri_col_letter}{r},{pri_range},0))</f>
        <v/>
      </c>
    </row>
    <row r="2421">
      <c r="A2421" t="inlineStr">
        <is>
          <t>Zipments</t>
        </is>
      </c>
      <c r="B2421" t="n">
        <v>3</v>
      </c>
      <c r="C2421" t="n">
        <v>0</v>
      </c>
      <c r="D2421" t="n">
        <v>0</v>
      </c>
      <c r="E2421" t="n">
        <v>0</v>
      </c>
      <c r="F2421" t="n">
        <v>0</v>
      </c>
      <c r="G2421" t="n">
        <v>2</v>
      </c>
      <c r="I2421" t="n">
        <v>2</v>
      </c>
      <c r="J2421" t="n">
        <v>0</v>
      </c>
      <c r="K2421" t="n">
        <v>12</v>
      </c>
      <c r="L2421" t="n">
        <v>0</v>
      </c>
      <c r="M2421" t="n">
        <v>-9</v>
      </c>
      <c r="O2421" t="inlineStr">
        <is>
          <t>Elvis Cavalic — Head of Product; Steve Bozicevic — CEO; James Burke — Principal Product Manager</t>
        </is>
      </c>
      <c r="P2421" t="inlineStr">
        <is>
          <t>Head of Product | CEO | Principal Product Manager</t>
        </is>
      </c>
      <c r="Y2421" t="inlineStr">
        <is>
          <t>todo</t>
        </is>
      </c>
      <c r="Z2421">
        <f>(M2421*Weights!$B$2) + (MIN(Q2421,Weights!$B$5)*Weights!$B$3*(W2421/100)*Weights!$B$4)</f>
        <v/>
      </c>
      <c r="AA2421">
        <f>IF(Z2421= ,,RANK.EQ({pri_col_letter}{r},{pri_range},0))</f>
        <v/>
      </c>
    </row>
    <row r="2422">
      <c r="A2422" t="inlineStr">
        <is>
          <t>Surgere</t>
        </is>
      </c>
      <c r="B2422" t="n">
        <v>12</v>
      </c>
      <c r="C2422" t="n">
        <v>0</v>
      </c>
      <c r="D2422" t="n">
        <v>0</v>
      </c>
      <c r="E2422" t="n">
        <v>0</v>
      </c>
      <c r="F2422" t="n">
        <v>5</v>
      </c>
      <c r="G2422" t="n">
        <v>2</v>
      </c>
      <c r="I2422" t="n">
        <v>7</v>
      </c>
      <c r="J2422" t="n">
        <v>0</v>
      </c>
      <c r="K2422" t="n">
        <v>12</v>
      </c>
      <c r="L2422" t="n">
        <v>0</v>
      </c>
      <c r="M2422" t="n">
        <v>-10</v>
      </c>
      <c r="O2422" t="inlineStr">
        <is>
          <t>Dorothy Moser — VP, Finance; Tom Strain — VP, Technology; William Wappler — CEO; Brent Bumbaugh — Director of Global Accounts; Michael Dressler — Sr. Director, Engineering</t>
        </is>
      </c>
      <c r="P2422" t="inlineStr">
        <is>
          <t>VP, Finance | VP, Technology | CEO</t>
        </is>
      </c>
      <c r="Y2422" t="inlineStr">
        <is>
          <t>todo</t>
        </is>
      </c>
      <c r="Z2422">
        <f>(M2422*Weights!$B$2) + (MIN(Q2422,Weights!$B$5)*Weights!$B$3*(W2422/100)*Weights!$B$4)</f>
        <v/>
      </c>
      <c r="AA2422">
        <f>IF(Z2422= ,,RANK.EQ({pri_col_letter}{r},{pri_range},0))</f>
        <v/>
      </c>
    </row>
    <row r="2423">
      <c r="A2423" t="inlineStr">
        <is>
          <t>Maersk E-Commerce</t>
        </is>
      </c>
      <c r="B2423" t="n">
        <v>10</v>
      </c>
      <c r="C2423" t="n">
        <v>0</v>
      </c>
      <c r="D2423" t="n">
        <v>0</v>
      </c>
      <c r="E2423" t="n">
        <v>0</v>
      </c>
      <c r="F2423" t="n">
        <v>4</v>
      </c>
      <c r="G2423" t="n">
        <v>1</v>
      </c>
      <c r="I2423" t="n">
        <v>5</v>
      </c>
      <c r="J2423" t="n">
        <v>0</v>
      </c>
      <c r="K2423" t="n">
        <v>12</v>
      </c>
      <c r="L2423" t="n">
        <v>0</v>
      </c>
      <c r="M2423" t="n">
        <v>-10</v>
      </c>
      <c r="O2423" t="inlineStr">
        <is>
          <t>Ernesto Solis — Head of Parcel Solution Design; Scott Fairley — Head of Digital and Automation Innovation; Vanessa Whittaker — Head of Technology - Strategic Clients; Joseph Johnson — Head of Performance Management &amp; Pricing; Alexis Fitzenreiter — Media and Communications Advisor</t>
        </is>
      </c>
      <c r="P2423" t="inlineStr">
        <is>
          <t>Head of Parcel Solution Design | Head of Digital and Automation Innovation | Head of Technology - Strategic Clients</t>
        </is>
      </c>
      <c r="Y2423" t="inlineStr">
        <is>
          <t>todo</t>
        </is>
      </c>
      <c r="Z2423">
        <f>(M2423*Weights!$B$2) + (MIN(Q2423,Weights!$B$5)*Weights!$B$3*(W2423/100)*Weights!$B$4)</f>
        <v/>
      </c>
      <c r="AA2423">
        <f>IF(Z2423= ,,RANK.EQ({pri_col_letter}{r},{pri_range},0))</f>
        <v/>
      </c>
    </row>
    <row r="2424">
      <c r="A2424" t="inlineStr">
        <is>
          <t>Turvo</t>
        </is>
      </c>
      <c r="B2424" t="n">
        <v>10</v>
      </c>
      <c r="C2424" t="n">
        <v>0</v>
      </c>
      <c r="D2424" t="n">
        <v>0</v>
      </c>
      <c r="E2424" t="n">
        <v>0</v>
      </c>
      <c r="F2424" t="n">
        <v>4</v>
      </c>
      <c r="G2424" t="n">
        <v>2</v>
      </c>
      <c r="I2424" t="n">
        <v>6</v>
      </c>
      <c r="J2424" t="n">
        <v>0</v>
      </c>
      <c r="K2424" t="n">
        <v>12</v>
      </c>
      <c r="L2424" t="n">
        <v>0</v>
      </c>
      <c r="M2424" t="n">
        <v>-10</v>
      </c>
      <c r="O2424" t="inlineStr">
        <is>
          <t>Billy Sarracino — CEO; Phillip Ratkovic — Vice President, Finance; Pushkar Deshpande — Senior Vice President, Product; Vilas Madapurmath — CTO; Daniel Wilson — Director, Finance</t>
        </is>
      </c>
      <c r="P2424" t="inlineStr">
        <is>
          <t>CEO | Vice President, Finance | Senior Vice President, Product</t>
        </is>
      </c>
      <c r="Y2424" t="inlineStr">
        <is>
          <t>todo</t>
        </is>
      </c>
      <c r="Z2424">
        <f>(M2424*Weights!$B$2) + (MIN(Q2424,Weights!$B$5)*Weights!$B$3*(W2424/100)*Weights!$B$4)</f>
        <v/>
      </c>
      <c r="AA2424">
        <f>IF(Z2424= ,,RANK.EQ({pri_col_letter}{r},{pri_range},0))</f>
        <v/>
      </c>
    </row>
    <row r="2425">
      <c r="A2425" t="inlineStr">
        <is>
          <t>Loop</t>
        </is>
      </c>
      <c r="B2425" t="n">
        <v>8</v>
      </c>
      <c r="C2425" t="n">
        <v>0</v>
      </c>
      <c r="D2425" t="n">
        <v>0</v>
      </c>
      <c r="E2425" t="n">
        <v>0</v>
      </c>
      <c r="F2425" t="n">
        <v>3</v>
      </c>
      <c r="G2425" t="n">
        <v>1</v>
      </c>
      <c r="I2425" t="n">
        <v>4</v>
      </c>
      <c r="J2425" t="n">
        <v>0</v>
      </c>
      <c r="K2425" t="n">
        <v>12</v>
      </c>
      <c r="L2425" t="n">
        <v>0</v>
      </c>
      <c r="M2425" t="n">
        <v>-10</v>
      </c>
      <c r="O2425" t="inlineStr">
        <is>
          <t>Matt McKinney — CEO; Adam Wurman — Solutions &amp; Enterprise Partnerships; Marco De Paulis — Partnerships; Nathan Lesperance — Partnerships; Susanna Tuan — Partnerships</t>
        </is>
      </c>
      <c r="P2425" t="inlineStr">
        <is>
          <t>CEO | Partnerships | Solutions &amp; Enterprise Partnerships</t>
        </is>
      </c>
      <c r="Y2425" t="inlineStr">
        <is>
          <t>todo</t>
        </is>
      </c>
      <c r="Z2425">
        <f>(M2425*Weights!$B$2) + (MIN(Q2425,Weights!$B$5)*Weights!$B$3*(W2425/100)*Weights!$B$4)</f>
        <v/>
      </c>
      <c r="AA2425">
        <f>IF(Z2425= ,,RANK.EQ({pri_col_letter}{r},{pri_range},0))</f>
        <v/>
      </c>
    </row>
    <row r="2426">
      <c r="A2426" t="inlineStr">
        <is>
          <t>Osa Commerce</t>
        </is>
      </c>
      <c r="B2426" t="n">
        <v>6</v>
      </c>
      <c r="C2426" t="n">
        <v>0</v>
      </c>
      <c r="D2426" t="n">
        <v>0</v>
      </c>
      <c r="E2426" t="n">
        <v>0</v>
      </c>
      <c r="F2426" t="n">
        <v>2</v>
      </c>
      <c r="G2426" t="n">
        <v>0</v>
      </c>
      <c r="I2426" t="n">
        <v>2</v>
      </c>
      <c r="J2426" t="n">
        <v>0</v>
      </c>
      <c r="K2426" t="n">
        <v>12</v>
      </c>
      <c r="L2426" t="n">
        <v>0</v>
      </c>
      <c r="M2426" t="n">
        <v>-10</v>
      </c>
      <c r="O2426" t="inlineStr">
        <is>
          <t>Padhu Raman — CEO and Co-Founder; Brandi Garced — Senior Director - Strategy &amp; Partnerships; Jackie Morsberger — Senior Director of Customer Experience; Yifat Baror — CGO and Co-Founder; Chelsea Mori — VP of Marketing</t>
        </is>
      </c>
      <c r="P2426" t="inlineStr">
        <is>
          <t>CEO and Co-Founder | Senior Director - Strategy &amp; Partnerships | VP of Marketing</t>
        </is>
      </c>
      <c r="Y2426" t="inlineStr">
        <is>
          <t>todo</t>
        </is>
      </c>
      <c r="Z2426">
        <f>(M2426*Weights!$B$2) + (MIN(Q2426,Weights!$B$5)*Weights!$B$3*(W2426/100)*Weights!$B$4)</f>
        <v/>
      </c>
      <c r="AA2426">
        <f>IF(Z2426= ,,RANK.EQ({pri_col_letter}{r},{pri_range},0))</f>
        <v/>
      </c>
    </row>
    <row r="2427">
      <c r="A2427" t="inlineStr">
        <is>
          <t>Rygen Technologies</t>
        </is>
      </c>
      <c r="B2427" t="n">
        <v>6</v>
      </c>
      <c r="C2427" t="n">
        <v>0</v>
      </c>
      <c r="D2427" t="n">
        <v>0</v>
      </c>
      <c r="E2427" t="n">
        <v>0</v>
      </c>
      <c r="F2427" t="n">
        <v>2</v>
      </c>
      <c r="G2427" t="n">
        <v>1</v>
      </c>
      <c r="I2427" t="n">
        <v>3</v>
      </c>
      <c r="J2427" t="n">
        <v>0</v>
      </c>
      <c r="K2427" t="n">
        <v>12</v>
      </c>
      <c r="L2427" t="n">
        <v>0</v>
      </c>
      <c r="M2427" t="n">
        <v>-10</v>
      </c>
      <c r="O2427" t="inlineStr">
        <is>
          <t>Rebecca Molstad — VP of Solutions &amp; Services; Tony Winters — CTO; Warren Patterson — CEO; Jon Curtis — Lead Product Manager, Corsair; Hailey Langford — Director of Marketing &amp; Project Management</t>
        </is>
      </c>
      <c r="P2427" t="inlineStr">
        <is>
          <t>VP of Solutions &amp; Services | CTO | CEO</t>
        </is>
      </c>
      <c r="Y2427" t="inlineStr">
        <is>
          <t>todo</t>
        </is>
      </c>
      <c r="Z2427">
        <f>(M2427*Weights!$B$2) + (MIN(Q2427,Weights!$B$5)*Weights!$B$3*(W2427/100)*Weights!$B$4)</f>
        <v/>
      </c>
      <c r="AA2427">
        <f>IF(Z2427= ,,RANK.EQ({pri_col_letter}{r},{pri_range},0))</f>
        <v/>
      </c>
    </row>
    <row r="2428">
      <c r="A2428" t="inlineStr">
        <is>
          <t>Shippeo</t>
        </is>
      </c>
      <c r="B2428" t="n">
        <v>6</v>
      </c>
      <c r="C2428" t="n">
        <v>0</v>
      </c>
      <c r="D2428" t="n">
        <v>0</v>
      </c>
      <c r="E2428" t="n">
        <v>0</v>
      </c>
      <c r="F2428" t="n">
        <v>2</v>
      </c>
      <c r="G2428" t="n">
        <v>0</v>
      </c>
      <c r="H2428" t="n">
        <v>15000000</v>
      </c>
      <c r="I2428" t="n">
        <v>2</v>
      </c>
      <c r="J2428" t="n">
        <v>0</v>
      </c>
      <c r="K2428" t="n">
        <v>12</v>
      </c>
      <c r="L2428" t="n">
        <v>0</v>
      </c>
      <c r="M2428" t="n">
        <v>-10</v>
      </c>
      <c r="O2428" t="inlineStr">
        <is>
          <t>Lucien Besse — COO &amp; Co-Founder; Christopher Mazza — SVP &amp; GM - Americas &amp; APAC; Ross Hickey — Lead Solution Consultant; Jasper Scheffler — Lead SDR; Lucy Archer-Shuter — Head of Campaigns Marketing</t>
        </is>
      </c>
      <c r="P2428" t="inlineStr">
        <is>
          <t>COO &amp; Co-Founder | SVP &amp; GM - Americas &amp; APAC | Head of Campaigns Marketing</t>
        </is>
      </c>
      <c r="Y2428" t="inlineStr">
        <is>
          <t>todo</t>
        </is>
      </c>
      <c r="Z2428">
        <f>(M2428*Weights!$B$2) + (MIN(Q2428,Weights!$B$5)*Weights!$B$3*(W2428/100)*Weights!$B$4)</f>
        <v/>
      </c>
      <c r="AA2428">
        <f>IF(Z2428= ,,RANK.EQ({pri_col_letter}{r},{pri_range},0))</f>
        <v/>
      </c>
    </row>
    <row r="2429">
      <c r="A2429" t="inlineStr">
        <is>
          <t>AIMMS</t>
        </is>
      </c>
      <c r="B2429" t="n">
        <v>4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I2429" t="n">
        <v>2</v>
      </c>
      <c r="J2429" t="n">
        <v>0</v>
      </c>
      <c r="K2429" t="n">
        <v>12</v>
      </c>
      <c r="L2429" t="n">
        <v>0</v>
      </c>
      <c r="M2429" t="n">
        <v>-10</v>
      </c>
      <c r="O2429" t="inlineStr">
        <is>
          <t>Jeroen Röhner — Head of Customer Value; Fergus Hathorn — Product Owner, Optimization Tooling; Keegan Wetzel — Account Manager; Will (Guillermo) Chang — Enterprise Account Executive</t>
        </is>
      </c>
      <c r="P2429" t="inlineStr">
        <is>
          <t>Head of Customer Value | Product Owner, Optimization Tooling | Account Manager</t>
        </is>
      </c>
      <c r="Y2429" t="inlineStr">
        <is>
          <t>todo</t>
        </is>
      </c>
      <c r="Z2429">
        <f>(M2429*Weights!$B$2) + (MIN(Q2429,Weights!$B$5)*Weights!$B$3*(W2429/100)*Weights!$B$4)</f>
        <v/>
      </c>
      <c r="AA2429">
        <f>IF(Z2429= ,,RANK.EQ({pri_col_letter}{r},{pri_range},0))</f>
        <v/>
      </c>
    </row>
    <row r="2430">
      <c r="A2430" t="inlineStr">
        <is>
          <t>AtoB</t>
        </is>
      </c>
      <c r="B2430" t="n">
        <v>4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I2430" t="n">
        <v>2</v>
      </c>
      <c r="J2430" t="n">
        <v>0</v>
      </c>
      <c r="K2430" t="n">
        <v>12</v>
      </c>
      <c r="L2430" t="n">
        <v>0</v>
      </c>
      <c r="M2430" t="n">
        <v>-10</v>
      </c>
      <c r="O2430" t="inlineStr">
        <is>
          <t>Amol Walvekar — General Manager - Product; Vignan Velivela — CEO, Co-Founder; Alex Grant — Strategic Partnerships; Chris Nicolson — Business Development Lead</t>
        </is>
      </c>
      <c r="P2430" t="inlineStr">
        <is>
          <t>General Manager - Product | CEO, Co-Founder | Strategic Partnerships</t>
        </is>
      </c>
      <c r="Y2430" t="inlineStr">
        <is>
          <t>todo</t>
        </is>
      </c>
      <c r="Z2430">
        <f>(M2430*Weights!$B$2) + (MIN(Q2430,Weights!$B$5)*Weights!$B$3*(W2430/100)*Weights!$B$4)</f>
        <v/>
      </c>
      <c r="AA2430">
        <f>IF(Z2430= ,,RANK.EQ({pri_col_letter}{r},{pri_range},0))</f>
        <v/>
      </c>
    </row>
    <row r="2431">
      <c r="A2431" t="inlineStr">
        <is>
          <t>OpenTrack Inc.</t>
        </is>
      </c>
      <c r="B2431" t="n">
        <v>4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I2431" t="n">
        <v>2</v>
      </c>
      <c r="J2431" t="n">
        <v>0</v>
      </c>
      <c r="K2431" t="n">
        <v>12</v>
      </c>
      <c r="L2431" t="n">
        <v>0</v>
      </c>
      <c r="M2431" t="n">
        <v>-10</v>
      </c>
      <c r="O2431" t="inlineStr">
        <is>
          <t>Brian Nacci — Commercial Vice President; Kevin Valsi — Co-Founder, CEO; Josh Linden — Product Manager; Tommy Johnston — Account Executive</t>
        </is>
      </c>
      <c r="P2431" t="inlineStr">
        <is>
          <t>Commercial Vice President | Co-Founder, CEO | Product Manager</t>
        </is>
      </c>
      <c r="Y2431" t="inlineStr">
        <is>
          <t>todo</t>
        </is>
      </c>
      <c r="Z2431">
        <f>(M2431*Weights!$B$2) + (MIN(Q2431,Weights!$B$5)*Weights!$B$3*(W2431/100)*Weights!$B$4)</f>
        <v/>
      </c>
      <c r="AA2431">
        <f>IF(Z2431= ,,RANK.EQ({pri_col_letter}{r},{pri_range},0))</f>
        <v/>
      </c>
    </row>
    <row r="2432">
      <c r="A2432" t="inlineStr">
        <is>
          <t>Trimble</t>
        </is>
      </c>
      <c r="B2432" t="n">
        <v>4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I2432" t="n">
        <v>2</v>
      </c>
      <c r="J2432" t="n">
        <v>0</v>
      </c>
      <c r="K2432" t="n">
        <v>12</v>
      </c>
      <c r="L2432" t="n">
        <v>0</v>
      </c>
      <c r="M2432" t="n">
        <v>-10</v>
      </c>
      <c r="O2432" t="inlineStr">
        <is>
          <t>Rich Fernandes — Senior Product Manager; Sam Lusty — Program Manager; Aubray Coorough — Senior Manager; Bill Maddox — VP Sales, Trimble Maps</t>
        </is>
      </c>
      <c r="P2432" t="inlineStr">
        <is>
          <t>VP Sales, Trimble Maps | Senior Manager | Senior Product Manager</t>
        </is>
      </c>
      <c r="Y2432" t="inlineStr">
        <is>
          <t>todo</t>
        </is>
      </c>
      <c r="Z2432">
        <f>(M2432*Weights!$B$2) + (MIN(Q2432,Weights!$B$5)*Weights!$B$3*(W2432/100)*Weights!$B$4)</f>
        <v/>
      </c>
      <c r="AA2432">
        <f>IF(Z2432= ,,RANK.EQ({pri_col_letter}{r},{pri_range},0))</f>
        <v/>
      </c>
    </row>
    <row r="2433">
      <c r="A2433" t="inlineStr">
        <is>
          <t>super.AI</t>
        </is>
      </c>
      <c r="B2433" t="n">
        <v>4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I2433" t="n">
        <v>2</v>
      </c>
      <c r="J2433" t="n">
        <v>0</v>
      </c>
      <c r="K2433" t="n">
        <v>12</v>
      </c>
      <c r="L2433" t="n">
        <v>0</v>
      </c>
      <c r="M2433" t="n">
        <v>-10</v>
      </c>
      <c r="O2433" t="inlineStr">
        <is>
          <t>Erik Ruby — Chief Commercial Officer; Maxwell Warner — Head of Solutions Engineering; Benjamin Kwon — CEO; Sarah Wiggins — Customer Success Manager</t>
        </is>
      </c>
      <c r="P2433" t="inlineStr">
        <is>
          <t>Chief Commercial Officer | Head of Solutions Engineering | CEO</t>
        </is>
      </c>
      <c r="Y2433" t="inlineStr">
        <is>
          <t>todo</t>
        </is>
      </c>
      <c r="Z2433">
        <f>(M2433*Weights!$B$2) + (MIN(Q2433,Weights!$B$5)*Weights!$B$3*(W2433/100)*Weights!$B$4)</f>
        <v/>
      </c>
      <c r="AA2433">
        <f>IF(Z2433= ,,RANK.EQ({pri_col_letter}{r},{pri_range},0))</f>
        <v/>
      </c>
    </row>
    <row r="2434">
      <c r="A2434" t="inlineStr">
        <is>
          <t>Barrett Distribution Centers</t>
        </is>
      </c>
      <c r="B2434" t="n">
        <v>2</v>
      </c>
      <c r="C2434" t="n">
        <v>0</v>
      </c>
      <c r="D2434" t="n">
        <v>0</v>
      </c>
      <c r="E2434" t="n">
        <v>0</v>
      </c>
      <c r="F2434" t="n">
        <v>0</v>
      </c>
      <c r="G2434" t="n">
        <v>2</v>
      </c>
      <c r="I2434" t="n">
        <v>2</v>
      </c>
      <c r="J2434" t="n">
        <v>0</v>
      </c>
      <c r="K2434" t="n">
        <v>12</v>
      </c>
      <c r="L2434" t="n">
        <v>0</v>
      </c>
      <c r="M2434" t="n">
        <v>-10</v>
      </c>
      <c r="O2434" t="inlineStr">
        <is>
          <t>Doug Varga — VP, IT; Jordan Johnsen — Director of Finance &amp; Analytics</t>
        </is>
      </c>
      <c r="P2434" t="inlineStr">
        <is>
          <t>VP, IT | Director of Finance &amp; Analytics</t>
        </is>
      </c>
      <c r="Y2434" t="inlineStr">
        <is>
          <t>todo</t>
        </is>
      </c>
      <c r="Z2434">
        <f>(M2434*Weights!$B$2) + (MIN(Q2434,Weights!$B$5)*Weights!$B$3*(W2434/100)*Weights!$B$4)</f>
        <v/>
      </c>
      <c r="AA2434">
        <f>IF(Z2434= ,,RANK.EQ({pri_col_letter}{r},{pri_range},0))</f>
        <v/>
      </c>
    </row>
    <row r="2435">
      <c r="A2435" t="inlineStr">
        <is>
          <t>Echo</t>
        </is>
      </c>
      <c r="B2435" t="n">
        <v>2</v>
      </c>
      <c r="C2435" t="n">
        <v>0</v>
      </c>
      <c r="D2435" t="n">
        <v>0</v>
      </c>
      <c r="E2435" t="n">
        <v>0</v>
      </c>
      <c r="F2435" t="n">
        <v>0</v>
      </c>
      <c r="G2435" t="n">
        <v>2</v>
      </c>
      <c r="I2435" t="n">
        <v>2</v>
      </c>
      <c r="J2435" t="n">
        <v>0</v>
      </c>
      <c r="K2435" t="n">
        <v>12</v>
      </c>
      <c r="L2435" t="n">
        <v>0</v>
      </c>
      <c r="M2435" t="n">
        <v>-10</v>
      </c>
      <c r="O2435" t="inlineStr">
        <is>
          <t>Trisha Leckow — SVP of Product; Jake Hanson — Sr Product Director</t>
        </is>
      </c>
      <c r="P2435" t="inlineStr">
        <is>
          <t>SVP of Product | Sr Product Director</t>
        </is>
      </c>
      <c r="Y2435" t="inlineStr">
        <is>
          <t>todo</t>
        </is>
      </c>
      <c r="Z2435">
        <f>(M2435*Weights!$B$2) + (MIN(Q2435,Weights!$B$5)*Weights!$B$3*(W2435/100)*Weights!$B$4)</f>
        <v/>
      </c>
      <c r="AA2435">
        <f>IF(Z2435= ,,RANK.EQ({pri_col_letter}{r},{pri_range},0))</f>
        <v/>
      </c>
    </row>
    <row r="2436">
      <c r="A2436" t="inlineStr">
        <is>
          <t>Maximum</t>
        </is>
      </c>
      <c r="B2436" t="n">
        <v>2</v>
      </c>
      <c r="C2436" t="n">
        <v>0</v>
      </c>
      <c r="D2436" t="n">
        <v>0</v>
      </c>
      <c r="E2436" t="n">
        <v>0</v>
      </c>
      <c r="F2436" t="n">
        <v>0</v>
      </c>
      <c r="G2436" t="n">
        <v>2</v>
      </c>
      <c r="I2436" t="n">
        <v>2</v>
      </c>
      <c r="J2436" t="n">
        <v>0</v>
      </c>
      <c r="K2436" t="n">
        <v>12</v>
      </c>
      <c r="L2436" t="n">
        <v>0</v>
      </c>
      <c r="M2436" t="n">
        <v>-10</v>
      </c>
      <c r="O2436" t="inlineStr">
        <is>
          <t>Zain Kaiser — Founding Product; Pablo Lopez Domowicz — Founding Engineer</t>
        </is>
      </c>
      <c r="P2436" t="inlineStr">
        <is>
          <t>Founding Product | Founding Engineer</t>
        </is>
      </c>
      <c r="Y2436" t="inlineStr">
        <is>
          <t>todo</t>
        </is>
      </c>
      <c r="Z2436">
        <f>(M2436*Weights!$B$2) + (MIN(Q2436,Weights!$B$5)*Weights!$B$3*(W2436/100)*Weights!$B$4)</f>
        <v/>
      </c>
      <c r="AA2436">
        <f>IF(Z2436= ,,RANK.EQ({pri_col_letter}{r},{pri_range},0))</f>
        <v/>
      </c>
    </row>
    <row r="2437">
      <c r="A2437" t="inlineStr">
        <is>
          <t>Sitehound</t>
        </is>
      </c>
      <c r="B2437" t="n">
        <v>2</v>
      </c>
      <c r="C2437" t="n">
        <v>0</v>
      </c>
      <c r="D2437" t="n">
        <v>0</v>
      </c>
      <c r="E2437" t="n">
        <v>0</v>
      </c>
      <c r="F2437" t="n">
        <v>0</v>
      </c>
      <c r="G2437" t="n">
        <v>2</v>
      </c>
      <c r="I2437" t="n">
        <v>2</v>
      </c>
      <c r="J2437" t="n">
        <v>0</v>
      </c>
      <c r="K2437" t="n">
        <v>12</v>
      </c>
      <c r="L2437" t="n">
        <v>0</v>
      </c>
      <c r="M2437" t="n">
        <v>-10</v>
      </c>
      <c r="O2437" t="inlineStr">
        <is>
          <t>Heather Geer — VP, Product Management; Carlos Maldonado — Senior Support Engineer</t>
        </is>
      </c>
      <c r="P2437" t="inlineStr">
        <is>
          <t>VP, Product Management | Senior Support Engineer</t>
        </is>
      </c>
      <c r="Y2437" t="inlineStr">
        <is>
          <t>todo</t>
        </is>
      </c>
      <c r="Z2437">
        <f>(M2437*Weights!$B$2) + (MIN(Q2437,Weights!$B$5)*Weights!$B$3*(W2437/100)*Weights!$B$4)</f>
        <v/>
      </c>
      <c r="AA2437">
        <f>IF(Z2437= ,,RANK.EQ({pri_col_letter}{r},{pri_range},0))</f>
        <v/>
      </c>
    </row>
    <row r="2438">
      <c r="A2438" t="inlineStr">
        <is>
          <t>Total Quality Logistics</t>
        </is>
      </c>
      <c r="B2438" t="n">
        <v>2</v>
      </c>
      <c r="C2438" t="n">
        <v>0</v>
      </c>
      <c r="D2438" t="n">
        <v>0</v>
      </c>
      <c r="E2438" t="n">
        <v>0</v>
      </c>
      <c r="F2438" t="n">
        <v>0</v>
      </c>
      <c r="G2438" t="n">
        <v>2</v>
      </c>
      <c r="I2438" t="n">
        <v>2</v>
      </c>
      <c r="J2438" t="n">
        <v>0</v>
      </c>
      <c r="K2438" t="n">
        <v>12</v>
      </c>
      <c r="L2438" t="n">
        <v>0</v>
      </c>
      <c r="M2438" t="n">
        <v>-10</v>
      </c>
      <c r="O2438" t="inlineStr">
        <is>
          <t>Joseph Pellegrino — Principal Product Strategist; Nicholas Zurlage — Director of Product</t>
        </is>
      </c>
      <c r="P2438" t="inlineStr">
        <is>
          <t>Principal Product Strategist | Director of Product</t>
        </is>
      </c>
      <c r="Y2438" t="inlineStr">
        <is>
          <t>todo</t>
        </is>
      </c>
      <c r="Z2438">
        <f>(M2438*Weights!$B$2) + (MIN(Q2438,Weights!$B$5)*Weights!$B$3*(W2438/100)*Weights!$B$4)</f>
        <v/>
      </c>
      <c r="AA2438">
        <f>IF(Z2438= ,,RANK.EQ({pri_col_letter}{r},{pri_range},0))</f>
        <v/>
      </c>
    </row>
    <row r="2439">
      <c r="A2439" t="inlineStr">
        <is>
          <t>FourKites</t>
        </is>
      </c>
      <c r="B2439" t="n">
        <v>15</v>
      </c>
      <c r="C2439" t="n">
        <v>0</v>
      </c>
      <c r="D2439" t="n">
        <v>0</v>
      </c>
      <c r="E2439" t="n">
        <v>0</v>
      </c>
      <c r="F2439" t="n">
        <v>7</v>
      </c>
      <c r="G2439" t="n">
        <v>0</v>
      </c>
      <c r="I2439" t="n">
        <v>7</v>
      </c>
      <c r="J2439" t="n">
        <v>0</v>
      </c>
      <c r="K2439" t="n">
        <v>12</v>
      </c>
      <c r="L2439" t="n">
        <v>0</v>
      </c>
      <c r="M2439" t="n">
        <v>-11</v>
      </c>
      <c r="O2439" t="inlineStr">
        <is>
          <t>Mathew Elenjickal — CEO &amp; Founder; Jimmy Sebastian — VP, AI Products; Sree Mangalampalli — VP of Digital Transformation Solutions; Juliana Ravetto — VP, Global Solution Consulting; Keith Olscamp — Director, Strategic Engagement</t>
        </is>
      </c>
      <c r="P2439" t="inlineStr">
        <is>
          <t>CEO &amp; Founder | VP, AI Products | VP of Digital Transformation Solutions</t>
        </is>
      </c>
      <c r="Y2439" t="inlineStr">
        <is>
          <t>todo</t>
        </is>
      </c>
      <c r="Z2439">
        <f>(M2439*Weights!$B$2) + (MIN(Q2439,Weights!$B$5)*Weights!$B$3*(W2439/100)*Weights!$B$4)</f>
        <v/>
      </c>
      <c r="AA2439">
        <f>IF(Z2439= ,,RANK.EQ({pri_col_letter}{r},{pri_range},0))</f>
        <v/>
      </c>
    </row>
    <row r="2440">
      <c r="A2440" t="inlineStr">
        <is>
          <t>MaintainX</t>
        </is>
      </c>
      <c r="B2440" t="n">
        <v>11</v>
      </c>
      <c r="C2440" t="n">
        <v>0</v>
      </c>
      <c r="D2440" t="n">
        <v>0</v>
      </c>
      <c r="E2440" t="n">
        <v>0</v>
      </c>
      <c r="F2440" t="n">
        <v>5</v>
      </c>
      <c r="G2440" t="n">
        <v>1</v>
      </c>
      <c r="I2440" t="n">
        <v>6</v>
      </c>
      <c r="J2440" t="n">
        <v>0</v>
      </c>
      <c r="K2440" t="n">
        <v>12</v>
      </c>
      <c r="L2440" t="n">
        <v>0</v>
      </c>
      <c r="M2440" t="n">
        <v>-11</v>
      </c>
      <c r="O2440" t="inlineStr">
        <is>
          <t>Brian Phillips — Enterprise Account Director; Nick Haase — Co-Founder; Ozella Bowman — Senior Solutions Consultant; Vincent Landry — Solutions Consultant; Kyle Jeffrey — Sr Solutions Consultant</t>
        </is>
      </c>
      <c r="P2440" t="inlineStr">
        <is>
          <t>Sr Solutions Consultant | Enterprise Account Director | Co-Founder</t>
        </is>
      </c>
      <c r="Y2440" t="inlineStr">
        <is>
          <t>todo</t>
        </is>
      </c>
      <c r="Z2440">
        <f>(M2440*Weights!$B$2) + (MIN(Q2440,Weights!$B$5)*Weights!$B$3*(W2440/100)*Weights!$B$4)</f>
        <v/>
      </c>
      <c r="AA2440">
        <f>IF(Z2440= ,,RANK.EQ({pri_col_letter}{r},{pri_range},0))</f>
        <v/>
      </c>
    </row>
    <row r="2441">
      <c r="A2441" t="inlineStr">
        <is>
          <t>Sensos</t>
        </is>
      </c>
      <c r="B2441" t="n">
        <v>11</v>
      </c>
      <c r="C2441" t="n">
        <v>0</v>
      </c>
      <c r="D2441" t="n">
        <v>0</v>
      </c>
      <c r="E2441" t="n">
        <v>0</v>
      </c>
      <c r="F2441" t="n">
        <v>5</v>
      </c>
      <c r="G2441" t="n">
        <v>2</v>
      </c>
      <c r="I2441" t="n">
        <v>7</v>
      </c>
      <c r="J2441" t="n">
        <v>0</v>
      </c>
      <c r="K2441" t="n">
        <v>12</v>
      </c>
      <c r="L2441" t="n">
        <v>0</v>
      </c>
      <c r="M2441" t="n">
        <v>-11</v>
      </c>
      <c r="O2441" t="inlineStr">
        <is>
          <t>Aviv Castro — CEO; David Griffiths — VP of Product; Raffy Wreschner — CFO; William Blake — Head of Software Product; Yair Ripshtos — CTO</t>
        </is>
      </c>
      <c r="P2441" t="inlineStr">
        <is>
          <t>CEO | VP of Product | CFO</t>
        </is>
      </c>
      <c r="Y2441" t="inlineStr">
        <is>
          <t>todo</t>
        </is>
      </c>
      <c r="Z2441">
        <f>(M2441*Weights!$B$2) + (MIN(Q2441,Weights!$B$5)*Weights!$B$3*(W2441/100)*Weights!$B$4)</f>
        <v/>
      </c>
      <c r="AA2441">
        <f>IF(Z2441= ,,RANK.EQ({pri_col_letter}{r},{pri_range},0))</f>
        <v/>
      </c>
    </row>
    <row r="2442">
      <c r="A2442" t="inlineStr">
        <is>
          <t>YMX Logistics</t>
        </is>
      </c>
      <c r="B2442" t="n">
        <v>9</v>
      </c>
      <c r="C2442" t="n">
        <v>0</v>
      </c>
      <c r="D2442" t="n">
        <v>0</v>
      </c>
      <c r="E2442" t="n">
        <v>0</v>
      </c>
      <c r="F2442" t="n">
        <v>4</v>
      </c>
      <c r="G2442" t="n">
        <v>1</v>
      </c>
      <c r="I2442" t="n">
        <v>5</v>
      </c>
      <c r="J2442" t="n">
        <v>0</v>
      </c>
      <c r="K2442" t="n">
        <v>12</v>
      </c>
      <c r="L2442" t="n">
        <v>0</v>
      </c>
      <c r="M2442" t="n">
        <v>-11</v>
      </c>
      <c r="O2442" t="inlineStr">
        <is>
          <t>Erin Mitchell — Chief Operating Officer; Jeff Hiller — Vice President of Product Management; Joel Norris — Chief Commercial Officer; Mike Green — Vice President; Matt Yearling — CEO</t>
        </is>
      </c>
      <c r="P2442" t="inlineStr">
        <is>
          <t>CEO | Chief Operating Officer | Vice President of Product Management</t>
        </is>
      </c>
      <c r="Y2442" t="inlineStr">
        <is>
          <t>todo</t>
        </is>
      </c>
      <c r="Z2442">
        <f>(M2442*Weights!$B$2) + (MIN(Q2442,Weights!$B$5)*Weights!$B$3*(W2442/100)*Weights!$B$4)</f>
        <v/>
      </c>
      <c r="AA2442">
        <f>IF(Z2442= ,,RANK.EQ({pri_col_letter}{r},{pri_range},0))</f>
        <v/>
      </c>
    </row>
    <row r="2443">
      <c r="A2443" t="inlineStr">
        <is>
          <t>APC Postal Logistics</t>
        </is>
      </c>
      <c r="B2443" t="n">
        <v>7</v>
      </c>
      <c r="C2443" t="n">
        <v>0</v>
      </c>
      <c r="D2443" t="n">
        <v>0</v>
      </c>
      <c r="E2443" t="n">
        <v>0</v>
      </c>
      <c r="F2443" t="n">
        <v>3</v>
      </c>
      <c r="G2443" t="n">
        <v>0</v>
      </c>
      <c r="I2443" t="n">
        <v>3</v>
      </c>
      <c r="J2443" t="n">
        <v>0</v>
      </c>
      <c r="K2443" t="n">
        <v>12</v>
      </c>
      <c r="L2443" t="n">
        <v>0</v>
      </c>
      <c r="M2443" t="n">
        <v>-11</v>
      </c>
      <c r="O2443" t="inlineStr">
        <is>
          <t>Guy Gemmill — President &amp; Co-Founder; Michael Galianos — COO &amp; Co-Founder; Derik Sanders — Major Accounts Executive; Brandon Lachapel — Integrations Program Manager; Andria Browne — Director of Marketing and Sales Enablement</t>
        </is>
      </c>
      <c r="P2443" t="inlineStr">
        <is>
          <t>President &amp; Co-Founder | COO &amp; Co-Founder | Major Accounts Executive</t>
        </is>
      </c>
      <c r="Y2443" t="inlineStr">
        <is>
          <t>todo</t>
        </is>
      </c>
      <c r="Z2443">
        <f>(M2443*Weights!$B$2) + (MIN(Q2443,Weights!$B$5)*Weights!$B$3*(W2443/100)*Weights!$B$4)</f>
        <v/>
      </c>
      <c r="AA2443">
        <f>IF(Z2443= ,,RANK.EQ({pri_col_letter}{r},{pri_range},0))</f>
        <v/>
      </c>
    </row>
    <row r="2444">
      <c r="A2444" t="inlineStr">
        <is>
          <t>Aptean Supply Chain</t>
        </is>
      </c>
      <c r="B2444" t="n">
        <v>7</v>
      </c>
      <c r="C2444" t="n">
        <v>0</v>
      </c>
      <c r="D2444" t="n">
        <v>0</v>
      </c>
      <c r="E2444" t="n">
        <v>0</v>
      </c>
      <c r="F2444" t="n">
        <v>3</v>
      </c>
      <c r="G2444" t="n">
        <v>0</v>
      </c>
      <c r="I2444" t="n">
        <v>3</v>
      </c>
      <c r="J2444" t="n">
        <v>0</v>
      </c>
      <c r="K2444" t="n">
        <v>12</v>
      </c>
      <c r="L2444" t="n">
        <v>0</v>
      </c>
      <c r="M2444" t="n">
        <v>-11</v>
      </c>
      <c r="O2444" t="inlineStr">
        <is>
          <t>Allan Dow — EVP, GM; Kay Fetter — Sr. Solutions Consultant; Richard Troxell — Senior Solutions Consultant; Greg Nicholson — Regional Account Manager; Scott Baldwin — Regional Vice President, Sales</t>
        </is>
      </c>
      <c r="P2444" t="inlineStr">
        <is>
          <t>EVP, GM | Sr. Solutions Consultant | Senior Solutions Consultant</t>
        </is>
      </c>
      <c r="Y2444" t="inlineStr">
        <is>
          <t>todo</t>
        </is>
      </c>
      <c r="Z2444">
        <f>(M2444*Weights!$B$2) + (MIN(Q2444,Weights!$B$5)*Weights!$B$3*(W2444/100)*Weights!$B$4)</f>
        <v/>
      </c>
      <c r="AA2444">
        <f>IF(Z2444= ,,RANK.EQ({pri_col_letter}{r},{pri_range},0))</f>
        <v/>
      </c>
    </row>
    <row r="2445">
      <c r="A2445" t="inlineStr">
        <is>
          <t>Coupa</t>
        </is>
      </c>
      <c r="B2445" t="n">
        <v>7</v>
      </c>
      <c r="C2445" t="n">
        <v>0</v>
      </c>
      <c r="D2445" t="n">
        <v>0</v>
      </c>
      <c r="E2445" t="n">
        <v>0</v>
      </c>
      <c r="F2445" t="n">
        <v>3</v>
      </c>
      <c r="G2445" t="n">
        <v>0</v>
      </c>
      <c r="I2445" t="n">
        <v>3</v>
      </c>
      <c r="J2445" t="n">
        <v>0</v>
      </c>
      <c r="K2445" t="n">
        <v>12</v>
      </c>
      <c r="L2445" t="n">
        <v>0</v>
      </c>
      <c r="M2445" t="n">
        <v>-11</v>
      </c>
      <c r="O2445" t="inlineStr">
        <is>
          <t>Mark Schenecker — VP, Direct Materials; Andrea Carando — Account Development; Jack Ploucha — Account Representative; Jacob Richards — Account Development Rep; Jenna Goeke — Field Marketing</t>
        </is>
      </c>
      <c r="P2445" t="inlineStr">
        <is>
          <t>VP, Direct Materials | Account Development | Account Representative</t>
        </is>
      </c>
      <c r="Y2445" t="inlineStr">
        <is>
          <t>todo</t>
        </is>
      </c>
      <c r="Z2445">
        <f>(M2445*Weights!$B$2) + (MIN(Q2445,Weights!$B$5)*Weights!$B$3*(W2445/100)*Weights!$B$4)</f>
        <v/>
      </c>
      <c r="AA2445">
        <f>IF(Z2445= ,,RANK.EQ({pri_col_letter}{r},{pri_range},0))</f>
        <v/>
      </c>
    </row>
    <row r="2446">
      <c r="A2446" t="inlineStr">
        <is>
          <t>Orange EV</t>
        </is>
      </c>
      <c r="B2446" t="n">
        <v>7</v>
      </c>
      <c r="C2446" t="n">
        <v>0</v>
      </c>
      <c r="D2446" t="n">
        <v>0</v>
      </c>
      <c r="E2446" t="n">
        <v>0</v>
      </c>
      <c r="F2446" t="n">
        <v>3</v>
      </c>
      <c r="G2446" t="n">
        <v>0</v>
      </c>
      <c r="I2446" t="n">
        <v>3</v>
      </c>
      <c r="J2446" t="n">
        <v>0</v>
      </c>
      <c r="K2446" t="n">
        <v>12</v>
      </c>
      <c r="L2446" t="n">
        <v>0</v>
      </c>
      <c r="M2446" t="n">
        <v>-11</v>
      </c>
      <c r="O2446" t="inlineStr">
        <is>
          <t>Kurt Neutgens — President and CTO; Olivier Roubi — Vice President Rental &amp; Leasing; Tim Sweetnam — National Accounts Director; Keith Prosch — National Accounts Manager; Zack Ruderman — VP of Sales and Marketing</t>
        </is>
      </c>
      <c r="P2446" t="inlineStr">
        <is>
          <t>Vice President Rental &amp; Leasing | President and CTO | VP of Sales and Marketing</t>
        </is>
      </c>
      <c r="Y2446" t="inlineStr">
        <is>
          <t>todo</t>
        </is>
      </c>
      <c r="Z2446">
        <f>(M2446*Weights!$B$2) + (MIN(Q2446,Weights!$B$5)*Weights!$B$3*(W2446/100)*Weights!$B$4)</f>
        <v/>
      </c>
      <c r="AA2446">
        <f>IF(Z2446= ,,RANK.EQ({pri_col_letter}{r},{pri_range},0))</f>
        <v/>
      </c>
    </row>
    <row r="2447">
      <c r="A2447" t="inlineStr">
        <is>
          <t>Budget Truck Rental</t>
        </is>
      </c>
      <c r="B2447" t="n">
        <v>5</v>
      </c>
      <c r="C2447" t="n">
        <v>0</v>
      </c>
      <c r="D2447" t="n">
        <v>0</v>
      </c>
      <c r="E2447" t="n">
        <v>0</v>
      </c>
      <c r="F2447" t="n">
        <v>2</v>
      </c>
      <c r="G2447" t="n">
        <v>0</v>
      </c>
      <c r="I2447" t="n">
        <v>2</v>
      </c>
      <c r="J2447" t="n">
        <v>0</v>
      </c>
      <c r="K2447" t="n">
        <v>12</v>
      </c>
      <c r="L2447" t="n">
        <v>0</v>
      </c>
      <c r="M2447" t="n">
        <v>-11</v>
      </c>
      <c r="O2447" t="inlineStr">
        <is>
          <t>Joe Cortina — National Account Manager; Rich Albaugh — National Account Manager; Scott Mackstutis — National Account Manager; Bryan Goodyear — Vice President, Sales; Mike Albers — Senior Director, Sales, Mid-Market Intermediate &amp; Commercial Truck</t>
        </is>
      </c>
      <c r="P2447" t="inlineStr">
        <is>
          <t>Vice President, Sales | National Account Manager | Senior Director, Sales, Mid-Market Intermediate &amp; Commercial Truck</t>
        </is>
      </c>
      <c r="Y2447" t="inlineStr">
        <is>
          <t>todo</t>
        </is>
      </c>
      <c r="Z2447">
        <f>(M2447*Weights!$B$2) + (MIN(Q2447,Weights!$B$5)*Weights!$B$3*(W2447/100)*Weights!$B$4)</f>
        <v/>
      </c>
      <c r="AA2447">
        <f>IF(Z2447= ,,RANK.EQ({pri_col_letter}{r},{pri_range},0))</f>
        <v/>
      </c>
    </row>
    <row r="2448">
      <c r="A2448" t="inlineStr">
        <is>
          <t>EFL Global</t>
        </is>
      </c>
      <c r="B2448" t="n">
        <v>5</v>
      </c>
      <c r="C2448" t="n">
        <v>0</v>
      </c>
      <c r="D2448" t="n">
        <v>0</v>
      </c>
      <c r="E2448" t="n">
        <v>0</v>
      </c>
      <c r="F2448" t="n">
        <v>2</v>
      </c>
      <c r="G2448" t="n">
        <v>0</v>
      </c>
      <c r="I2448" t="n">
        <v>2</v>
      </c>
      <c r="J2448" t="n">
        <v>0</v>
      </c>
      <c r="K2448" t="n">
        <v>12</v>
      </c>
      <c r="L2448" t="n">
        <v>0</v>
      </c>
      <c r="M2448" t="n">
        <v>-11</v>
      </c>
      <c r="O2448" t="inlineStr">
        <is>
          <t>Evan Rosen — President, Americas Region; Tony Glass — Chief Commercial Officer, Americas Region; Andrew Hanks — Senior Dir. Business Applications; Vince Zaleski — Senior Vice President, Business Development; Christine Rogers — Senior Director, Business Development</t>
        </is>
      </c>
      <c r="P2448" t="inlineStr">
        <is>
          <t>President, Americas Region | Chief Commercial Officer, Americas Region | Senior Dir. Business Applications</t>
        </is>
      </c>
      <c r="Y2448" t="inlineStr">
        <is>
          <t>todo</t>
        </is>
      </c>
      <c r="Z2448">
        <f>(M2448*Weights!$B$2) + (MIN(Q2448,Weights!$B$5)*Weights!$B$3*(W2448/100)*Weights!$B$4)</f>
        <v/>
      </c>
      <c r="AA2448">
        <f>IF(Z2448= ,,RANK.EQ({pri_col_letter}{r},{pri_range},0))</f>
        <v/>
      </c>
    </row>
    <row r="2449">
      <c r="A2449" t="inlineStr">
        <is>
          <t>FreightWise &amp; Kuebix</t>
        </is>
      </c>
      <c r="B2449" t="n">
        <v>5</v>
      </c>
      <c r="C2449" t="n">
        <v>0</v>
      </c>
      <c r="D2449" t="n">
        <v>0</v>
      </c>
      <c r="E2449" t="n">
        <v>0</v>
      </c>
      <c r="F2449" t="n">
        <v>2</v>
      </c>
      <c r="G2449" t="n">
        <v>0</v>
      </c>
      <c r="I2449" t="n">
        <v>2</v>
      </c>
      <c r="J2449" t="n">
        <v>0</v>
      </c>
      <c r="K2449" t="n">
        <v>12</v>
      </c>
      <c r="L2449" t="n">
        <v>0</v>
      </c>
      <c r="M2449" t="n">
        <v>-11</v>
      </c>
      <c r="O2449" t="inlineStr">
        <is>
          <t>Chris Cochran — CEO; Justin Nelson — Vice President; Katie Wild — CMO; Brad Hoffman — VP of Sales; Jack Jenson — Director of Sales</t>
        </is>
      </c>
      <c r="P2449" t="inlineStr">
        <is>
          <t>CEO | Vice President | CMO</t>
        </is>
      </c>
      <c r="Y2449" t="inlineStr">
        <is>
          <t>todo</t>
        </is>
      </c>
      <c r="Z2449">
        <f>(M2449*Weights!$B$2) + (MIN(Q2449,Weights!$B$5)*Weights!$B$3*(W2449/100)*Weights!$B$4)</f>
        <v/>
      </c>
      <c r="AA2449">
        <f>IF(Z2449= ,,RANK.EQ({pri_col_letter}{r},{pri_range},0))</f>
        <v/>
      </c>
    </row>
    <row r="2450">
      <c r="A2450" t="inlineStr">
        <is>
          <t>Gardian Holdings, LLC</t>
        </is>
      </c>
      <c r="B2450" t="n">
        <v>5</v>
      </c>
      <c r="C2450" t="n">
        <v>0</v>
      </c>
      <c r="D2450" t="n">
        <v>0</v>
      </c>
      <c r="E2450" t="n">
        <v>0</v>
      </c>
      <c r="F2450" t="n">
        <v>2</v>
      </c>
      <c r="G2450" t="n">
        <v>0</v>
      </c>
      <c r="I2450" t="n">
        <v>2</v>
      </c>
      <c r="J2450" t="n">
        <v>0</v>
      </c>
      <c r="K2450" t="n">
        <v>12</v>
      </c>
      <c r="L2450" t="n">
        <v>0</v>
      </c>
      <c r="M2450" t="n">
        <v>-11</v>
      </c>
      <c r="O2450" t="inlineStr">
        <is>
          <t>Matthew Bullock — CEO; Wendy Williams — Enterprise Project Manager; David Fox — CCO; Alec Sheaff — Vice President of Sales; Spencer Ruhlin — Regional Sales Manager, Midwest - Chemical Sector Head</t>
        </is>
      </c>
      <c r="P2450" t="inlineStr">
        <is>
          <t>CEO | Vice President of Sales | Regional Sales Manager, Midwest - Chemical Sector Head</t>
        </is>
      </c>
      <c r="Y2450" t="inlineStr">
        <is>
          <t>todo</t>
        </is>
      </c>
      <c r="Z2450">
        <f>(M2450*Weights!$B$2) + (MIN(Q2450,Weights!$B$5)*Weights!$B$3*(W2450/100)*Weights!$B$4)</f>
        <v/>
      </c>
      <c r="AA2450">
        <f>IF(Z2450= ,,RANK.EQ({pri_col_letter}{r},{pri_range},0))</f>
        <v/>
      </c>
    </row>
    <row r="2451">
      <c r="A2451" t="inlineStr">
        <is>
          <t>GoComet</t>
        </is>
      </c>
      <c r="B2451" t="n">
        <v>5</v>
      </c>
      <c r="C2451" t="n">
        <v>0</v>
      </c>
      <c r="D2451" t="n">
        <v>0</v>
      </c>
      <c r="E2451" t="n">
        <v>0</v>
      </c>
      <c r="F2451" t="n">
        <v>2</v>
      </c>
      <c r="G2451" t="n">
        <v>1</v>
      </c>
      <c r="H2451" t="n">
        <v>7400000</v>
      </c>
      <c r="I2451" t="n">
        <v>3</v>
      </c>
      <c r="J2451" t="n">
        <v>0</v>
      </c>
      <c r="K2451" t="n">
        <v>12</v>
      </c>
      <c r="L2451" t="n">
        <v>0</v>
      </c>
      <c r="M2451" t="n">
        <v>-11</v>
      </c>
      <c r="O2451" t="inlineStr">
        <is>
          <t>Chitransh Sahai — CEO &amp; Founder; Prasad Alurkar — Head of Global Accounts; Lakshya Sharma — Senior Strategic Product Manager; Johny Stephen — Head of Global Sales; Ashwini Yadav — Regional Sales Director</t>
        </is>
      </c>
      <c r="P2451" t="inlineStr">
        <is>
          <t>CEO &amp; Founder | Head of Global Accounts | Head of Global Sales</t>
        </is>
      </c>
      <c r="Y2451" t="inlineStr">
        <is>
          <t>todo</t>
        </is>
      </c>
      <c r="Z2451">
        <f>(M2451*Weights!$B$2) + (MIN(Q2451,Weights!$B$5)*Weights!$B$3*(W2451/100)*Weights!$B$4)</f>
        <v/>
      </c>
      <c r="AA2451">
        <f>IF(Z2451= ,,RANK.EQ({pri_col_letter}{r},{pri_range},0))</f>
        <v/>
      </c>
    </row>
    <row r="2452">
      <c r="A2452" t="inlineStr">
        <is>
          <t>Reform</t>
        </is>
      </c>
      <c r="B2452" t="n">
        <v>5</v>
      </c>
      <c r="C2452" t="n">
        <v>0</v>
      </c>
      <c r="D2452" t="n">
        <v>0</v>
      </c>
      <c r="E2452" t="n">
        <v>0</v>
      </c>
      <c r="F2452" t="n">
        <v>2</v>
      </c>
      <c r="G2452" t="n">
        <v>0</v>
      </c>
      <c r="I2452" t="n">
        <v>2</v>
      </c>
      <c r="J2452" t="n">
        <v>0</v>
      </c>
      <c r="K2452" t="n">
        <v>12</v>
      </c>
      <c r="L2452" t="n">
        <v>0</v>
      </c>
      <c r="M2452" t="n">
        <v>-11</v>
      </c>
      <c r="O2452" t="inlineStr">
        <is>
          <t>Omar Abuhashish — CEO &amp; Co-Founder; Diego Montemayor — Chief of Staff; Benn Bekic — Advisor; Brock Parsons — Vice President of Sales; Jordan Lim — Founding GTM</t>
        </is>
      </c>
      <c r="P2452" t="inlineStr">
        <is>
          <t>CEO &amp; Co-Founder | Chief of Staff | Advisor</t>
        </is>
      </c>
      <c r="Y2452" t="inlineStr">
        <is>
          <t>todo</t>
        </is>
      </c>
      <c r="Z2452">
        <f>(M2452*Weights!$B$2) + (MIN(Q2452,Weights!$B$5)*Weights!$B$3*(W2452/100)*Weights!$B$4)</f>
        <v/>
      </c>
      <c r="AA2452">
        <f>IF(Z2452= ,,RANK.EQ({pri_col_letter}{r},{pri_range},0))</f>
        <v/>
      </c>
    </row>
    <row r="2453">
      <c r="A2453" t="inlineStr">
        <is>
          <t>Reindeer AI</t>
        </is>
      </c>
      <c r="B2453" t="n">
        <v>5</v>
      </c>
      <c r="C2453" t="n">
        <v>0</v>
      </c>
      <c r="D2453" t="n">
        <v>0</v>
      </c>
      <c r="E2453" t="n">
        <v>0</v>
      </c>
      <c r="F2453" t="n">
        <v>2</v>
      </c>
      <c r="G2453" t="n">
        <v>1</v>
      </c>
      <c r="I2453" t="n">
        <v>3</v>
      </c>
      <c r="J2453" t="n">
        <v>0</v>
      </c>
      <c r="K2453" t="n">
        <v>12</v>
      </c>
      <c r="L2453" t="n">
        <v>0</v>
      </c>
      <c r="M2453" t="n">
        <v>-11</v>
      </c>
      <c r="O2453" t="inlineStr">
        <is>
          <t>Yoav Naveh — Co-Founder &amp; Co-CEO; Yair Weinberger — Co-CEO; Shachar Guz — Product; Galia Nedvedovich — VP of Marketing; Megan Morreale — Marketing</t>
        </is>
      </c>
      <c r="P2453" t="inlineStr">
        <is>
          <t>Co-Founder &amp; Co-CEO | Co-CEO | VP of Marketing</t>
        </is>
      </c>
      <c r="Y2453" t="inlineStr">
        <is>
          <t>todo</t>
        </is>
      </c>
      <c r="Z2453">
        <f>(M2453*Weights!$B$2) + (MIN(Q2453,Weights!$B$5)*Weights!$B$3*(W2453/100)*Weights!$B$4)</f>
        <v/>
      </c>
      <c r="AA2453">
        <f>IF(Z2453= ,,RANK.EQ({pri_col_letter}{r},{pri_range},0))</f>
        <v/>
      </c>
    </row>
    <row r="2454">
      <c r="A2454" t="inlineStr">
        <is>
          <t>ReturnPro</t>
        </is>
      </c>
      <c r="B2454" t="n">
        <v>5</v>
      </c>
      <c r="C2454" t="n">
        <v>0</v>
      </c>
      <c r="D2454" t="n">
        <v>0</v>
      </c>
      <c r="E2454" t="n">
        <v>0</v>
      </c>
      <c r="F2454" t="n">
        <v>2</v>
      </c>
      <c r="G2454" t="n">
        <v>0</v>
      </c>
      <c r="I2454" t="n">
        <v>2</v>
      </c>
      <c r="J2454" t="n">
        <v>0</v>
      </c>
      <c r="K2454" t="n">
        <v>12</v>
      </c>
      <c r="L2454" t="n">
        <v>0</v>
      </c>
      <c r="M2454" t="n">
        <v>-11</v>
      </c>
      <c r="O2454" t="inlineStr">
        <is>
          <t>Wes Berry — EVP, Client Partnerships &amp; Success; Robert Johnson — Executive Vice President; Vanessa Llovet — Sr Vendor Relations Manager; Stacy Payne — Marketing Manager; Juan De La Torre — Director, Business Development</t>
        </is>
      </c>
      <c r="P2454" t="inlineStr">
        <is>
          <t>EVP, Client Partnerships &amp; Success | Executive Vice President | Sr Vendor Relations Manager</t>
        </is>
      </c>
      <c r="Y2454" t="inlineStr">
        <is>
          <t>todo</t>
        </is>
      </c>
      <c r="Z2454">
        <f>(M2454*Weights!$B$2) + (MIN(Q2454,Weights!$B$5)*Weights!$B$3*(W2454/100)*Weights!$B$4)</f>
        <v/>
      </c>
      <c r="AA2454">
        <f>IF(Z2454= ,,RANK.EQ({pri_col_letter}{r},{pri_range},0))</f>
        <v/>
      </c>
    </row>
    <row r="2455">
      <c r="A2455" t="inlineStr">
        <is>
          <t>Shiptheory</t>
        </is>
      </c>
      <c r="B2455" t="n">
        <v>5</v>
      </c>
      <c r="C2455" t="n">
        <v>0</v>
      </c>
      <c r="D2455" t="n">
        <v>0</v>
      </c>
      <c r="E2455" t="n">
        <v>0</v>
      </c>
      <c r="F2455" t="n">
        <v>2</v>
      </c>
      <c r="G2455" t="n">
        <v>0</v>
      </c>
      <c r="I2455" t="n">
        <v>2</v>
      </c>
      <c r="J2455" t="n">
        <v>0</v>
      </c>
      <c r="K2455" t="n">
        <v>12</v>
      </c>
      <c r="L2455" t="n">
        <v>0</v>
      </c>
      <c r="M2455" t="n">
        <v>-11</v>
      </c>
      <c r="O2455" t="inlineStr">
        <is>
          <t>James Mikkelson — Founder; Mark Mikkelson — Founder; Harry Horsfall — Onboarding Manager; Rita Jenkins — Director of Growth; Maisie Emery — Sales Development Representative</t>
        </is>
      </c>
      <c r="P2455" t="inlineStr">
        <is>
          <t>Founder | Onboarding Manager | Director of Growth</t>
        </is>
      </c>
      <c r="Y2455" t="inlineStr">
        <is>
          <t>todo</t>
        </is>
      </c>
      <c r="Z2455">
        <f>(M2455*Weights!$B$2) + (MIN(Q2455,Weights!$B$5)*Weights!$B$3*(W2455/100)*Weights!$B$4)</f>
        <v/>
      </c>
      <c r="AA2455">
        <f>IF(Z2455= ,,RANK.EQ({pri_col_letter}{r},{pri_range},0))</f>
        <v/>
      </c>
    </row>
    <row r="2456">
      <c r="A2456" t="inlineStr">
        <is>
          <t>Weber Logistics</t>
        </is>
      </c>
      <c r="B2456" t="n">
        <v>5</v>
      </c>
      <c r="C2456" t="n">
        <v>0</v>
      </c>
      <c r="D2456" t="n">
        <v>0</v>
      </c>
      <c r="E2456" t="n">
        <v>0</v>
      </c>
      <c r="F2456" t="n">
        <v>2</v>
      </c>
      <c r="G2456" t="n">
        <v>0</v>
      </c>
      <c r="I2456" t="n">
        <v>2</v>
      </c>
      <c r="J2456" t="n">
        <v>0</v>
      </c>
      <c r="K2456" t="n">
        <v>12</v>
      </c>
      <c r="L2456" t="n">
        <v>0</v>
      </c>
      <c r="M2456" t="n">
        <v>-11</v>
      </c>
      <c r="O2456" t="inlineStr">
        <is>
          <t>Clifford Katab — CEO; Maurice Joseph — President &amp; COO; Dave Sosnowski — CCO; Jim Stone — Vice President of Business Development; Margo Waldie — Vice President of Business Development</t>
        </is>
      </c>
      <c r="P2456" t="inlineStr">
        <is>
          <t>CEO | President &amp; COO | CCO</t>
        </is>
      </c>
      <c r="Y2456" t="inlineStr">
        <is>
          <t>todo</t>
        </is>
      </c>
      <c r="Z2456">
        <f>(M2456*Weights!$B$2) + (MIN(Q2456,Weights!$B$5)*Weights!$B$3*(W2456/100)*Weights!$B$4)</f>
        <v/>
      </c>
      <c r="AA2456">
        <f>IF(Z2456= ,,RANK.EQ({pri_col_letter}{r},{pri_range},0))</f>
        <v/>
      </c>
    </row>
    <row r="2457">
      <c r="A2457" t="inlineStr">
        <is>
          <t>Adopt AI</t>
        </is>
      </c>
      <c r="B2457" t="n">
        <v>3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I2457" t="n">
        <v>2</v>
      </c>
      <c r="J2457" t="n">
        <v>0</v>
      </c>
      <c r="K2457" t="n">
        <v>12</v>
      </c>
      <c r="L2457" t="n">
        <v>0</v>
      </c>
      <c r="M2457" t="n">
        <v>-11</v>
      </c>
      <c r="O2457" t="inlineStr">
        <is>
          <t>Deepak Anchala — CEO &amp; Co-Founder; Anirudh Badam — Co-founder &amp; CAIO; Garrett Moedl — Product Marketing</t>
        </is>
      </c>
      <c r="P2457" t="inlineStr">
        <is>
          <t>CEO &amp; Co-Founder | Co-founder &amp; CAIO | Product Marketing</t>
        </is>
      </c>
      <c r="Y2457" t="inlineStr">
        <is>
          <t>todo</t>
        </is>
      </c>
      <c r="Z2457">
        <f>(M2457*Weights!$B$2) + (MIN(Q2457,Weights!$B$5)*Weights!$B$3*(W2457/100)*Weights!$B$4)</f>
        <v/>
      </c>
      <c r="AA2457">
        <f>IF(Z2457= ,,RANK.EQ({pri_col_letter}{r},{pri_range},0))</f>
        <v/>
      </c>
    </row>
    <row r="2458">
      <c r="A2458" t="inlineStr">
        <is>
          <t>Bricz</t>
        </is>
      </c>
      <c r="B2458" t="n">
        <v>3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I2458" t="n">
        <v>2</v>
      </c>
      <c r="J2458" t="n">
        <v>0</v>
      </c>
      <c r="K2458" t="n">
        <v>12</v>
      </c>
      <c r="L2458" t="n">
        <v>0</v>
      </c>
      <c r="M2458" t="n">
        <v>-11</v>
      </c>
      <c r="O2458" t="inlineStr">
        <is>
          <t>Ram Gopalakrishnan — CEO; Vikas Aron — Chief Product Officer; Tyler Linderman — VP, Strategy &amp; Growth</t>
        </is>
      </c>
      <c r="P2458" t="inlineStr">
        <is>
          <t>CEO | Chief Product Officer | VP, Strategy &amp; Growth</t>
        </is>
      </c>
      <c r="Y2458" t="inlineStr">
        <is>
          <t>todo</t>
        </is>
      </c>
      <c r="Z2458">
        <f>(M2458*Weights!$B$2) + (MIN(Q2458,Weights!$B$5)*Weights!$B$3*(W2458/100)*Weights!$B$4)</f>
        <v/>
      </c>
      <c r="AA2458">
        <f>IF(Z2458= ,,RANK.EQ({pri_col_letter}{r},{pri_range},0))</f>
        <v/>
      </c>
    </row>
    <row r="2459">
      <c r="A2459" t="inlineStr">
        <is>
          <t>Cargomatic, Inc.</t>
        </is>
      </c>
      <c r="B2459" t="n">
        <v>3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I2459" t="n">
        <v>2</v>
      </c>
      <c r="J2459" t="n">
        <v>0</v>
      </c>
      <c r="K2459" t="n">
        <v>12</v>
      </c>
      <c r="L2459" t="n">
        <v>0</v>
      </c>
      <c r="M2459" t="n">
        <v>-11</v>
      </c>
      <c r="O2459" t="inlineStr">
        <is>
          <t>Sunil Sharma — Chief Product &amp; Technology Officer; John Cunningham — VP, Commercial; Tom Aldridge — VP, Sales</t>
        </is>
      </c>
      <c r="P2459" t="inlineStr">
        <is>
          <t>Chief Product &amp; Technology Officer | VP, Commercial | VP, Sales</t>
        </is>
      </c>
      <c r="Y2459" t="inlineStr">
        <is>
          <t>todo</t>
        </is>
      </c>
      <c r="Z2459">
        <f>(M2459*Weights!$B$2) + (MIN(Q2459,Weights!$B$5)*Weights!$B$3*(W2459/100)*Weights!$B$4)</f>
        <v/>
      </c>
      <c r="AA2459">
        <f>IF(Z2459= ,,RANK.EQ({pri_col_letter}{r},{pri_range},0))</f>
        <v/>
      </c>
    </row>
    <row r="2460">
      <c r="A2460" t="inlineStr">
        <is>
          <t>IDScan.net</t>
        </is>
      </c>
      <c r="B2460" t="n">
        <v>3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I2460" t="n">
        <v>2</v>
      </c>
      <c r="J2460" t="n">
        <v>0</v>
      </c>
      <c r="K2460" t="n">
        <v>12</v>
      </c>
      <c r="L2460" t="n">
        <v>0</v>
      </c>
      <c r="M2460" t="n">
        <v>-11</v>
      </c>
      <c r="O2460" t="inlineStr">
        <is>
          <t>Miles Zervigon — Director of Enterprise Solutions; Patrick Rafferty — Director of Enterprise Solutions; Jared Holden — Sales Engineer</t>
        </is>
      </c>
      <c r="P2460" t="inlineStr">
        <is>
          <t>Director of Enterprise Solutions | Sales Engineer</t>
        </is>
      </c>
      <c r="Y2460" t="inlineStr">
        <is>
          <t>todo</t>
        </is>
      </c>
      <c r="Z2460">
        <f>(M2460*Weights!$B$2) + (MIN(Q2460,Weights!$B$5)*Weights!$B$3*(W2460/100)*Weights!$B$4)</f>
        <v/>
      </c>
      <c r="AA2460">
        <f>IF(Z2460= ,,RANK.EQ({pri_col_letter}{r},{pri_range},0))</f>
        <v/>
      </c>
    </row>
    <row r="2461">
      <c r="A2461" t="inlineStr">
        <is>
          <t>Samsara</t>
        </is>
      </c>
      <c r="B2461" t="n">
        <v>3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I2461" t="n">
        <v>2</v>
      </c>
      <c r="J2461" t="n">
        <v>0</v>
      </c>
      <c r="K2461" t="n">
        <v>12</v>
      </c>
      <c r="L2461" t="n">
        <v>0</v>
      </c>
      <c r="M2461" t="n">
        <v>-11</v>
      </c>
      <c r="O2461" t="inlineStr">
        <is>
          <t>Kelly O'Leary — Manager, Field Events; Mark O'Sullivan — Event Manager; Tim Nagy — SVP of Sales Engineering</t>
        </is>
      </c>
      <c r="P2461" t="inlineStr">
        <is>
          <t>SVP of Sales Engineering | Manager, Field Events | Event Manager</t>
        </is>
      </c>
      <c r="Y2461" t="inlineStr">
        <is>
          <t>todo</t>
        </is>
      </c>
      <c r="Z2461">
        <f>(M2461*Weights!$B$2) + (MIN(Q2461,Weights!$B$5)*Weights!$B$3*(W2461/100)*Weights!$B$4)</f>
        <v/>
      </c>
      <c r="AA2461">
        <f>IF(Z2461= ,,RANK.EQ({pri_col_letter}{r},{pri_range},0))</f>
        <v/>
      </c>
    </row>
    <row r="2462">
      <c r="A2462" t="inlineStr">
        <is>
          <t>Vectura Risk Management</t>
        </is>
      </c>
      <c r="B2462" t="n">
        <v>3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I2462" t="n">
        <v>2</v>
      </c>
      <c r="J2462" t="n">
        <v>0</v>
      </c>
      <c r="K2462" t="n">
        <v>12</v>
      </c>
      <c r="L2462" t="n">
        <v>0</v>
      </c>
      <c r="M2462" t="n">
        <v>-11</v>
      </c>
      <c r="O2462" t="inlineStr">
        <is>
          <t>Bart Schulman — Chief Commercial Officer; Wes Kerbuski — Sr. Director - Product Development; Nick Erdmann — Director of Business Development</t>
        </is>
      </c>
      <c r="P2462" t="inlineStr">
        <is>
          <t>Chief Commercial Officer | Sr. Director - Product Development | Director of Business Development</t>
        </is>
      </c>
      <c r="Y2462" t="inlineStr">
        <is>
          <t>todo</t>
        </is>
      </c>
      <c r="Z2462">
        <f>(M2462*Weights!$B$2) + (MIN(Q2462,Weights!$B$5)*Weights!$B$3*(W2462/100)*Weights!$B$4)</f>
        <v/>
      </c>
      <c r="AA2462">
        <f>IF(Z2462= ,,RANK.EQ({pri_col_letter}{r},{pri_range},0))</f>
        <v/>
      </c>
    </row>
    <row r="2463">
      <c r="A2463" t="inlineStr">
        <is>
          <t>Deposco</t>
        </is>
      </c>
      <c r="B2463" t="n">
        <v>10</v>
      </c>
      <c r="C2463" t="n">
        <v>0</v>
      </c>
      <c r="D2463" t="n">
        <v>0</v>
      </c>
      <c r="E2463" t="n">
        <v>0</v>
      </c>
      <c r="F2463" t="n">
        <v>5</v>
      </c>
      <c r="G2463" t="n">
        <v>1</v>
      </c>
      <c r="I2463" t="n">
        <v>6</v>
      </c>
      <c r="J2463" t="n">
        <v>0</v>
      </c>
      <c r="K2463" t="n">
        <v>12</v>
      </c>
      <c r="L2463" t="n">
        <v>0</v>
      </c>
      <c r="M2463" t="n">
        <v>-12</v>
      </c>
      <c r="O2463" t="inlineStr">
        <is>
          <t>Josh Lett — SVP Customer Experience; Adnan Nathani — VP, Technology &amp; Innovation; Michael Johnson — Vice President, Business Consulting; Reid Bishop — Vice President, Data Science; Todd Craig — CMO</t>
        </is>
      </c>
      <c r="P2463" t="inlineStr">
        <is>
          <t>SVP Customer Experience | VP, Technology &amp; Innovation | Vice President, Business Consulting</t>
        </is>
      </c>
      <c r="Y2463" t="inlineStr">
        <is>
          <t>todo</t>
        </is>
      </c>
      <c r="Z2463">
        <f>(M2463*Weights!$B$2) + (MIN(Q2463,Weights!$B$5)*Weights!$B$3*(W2463/100)*Weights!$B$4)</f>
        <v/>
      </c>
      <c r="AA2463">
        <f>IF(Z2463= ,,RANK.EQ({pri_col_letter}{r},{pri_range},0))</f>
        <v/>
      </c>
    </row>
    <row r="2464">
      <c r="A2464" t="inlineStr">
        <is>
          <t>Kinaxis</t>
        </is>
      </c>
      <c r="B2464" t="n">
        <v>10</v>
      </c>
      <c r="C2464" t="n">
        <v>0</v>
      </c>
      <c r="D2464" t="n">
        <v>0</v>
      </c>
      <c r="E2464" t="n">
        <v>0</v>
      </c>
      <c r="F2464" t="n">
        <v>5</v>
      </c>
      <c r="G2464" t="n">
        <v>0</v>
      </c>
      <c r="I2464" t="n">
        <v>5</v>
      </c>
      <c r="J2464" t="n">
        <v>0</v>
      </c>
      <c r="K2464" t="n">
        <v>12</v>
      </c>
      <c r="L2464" t="n">
        <v>0</v>
      </c>
      <c r="M2464" t="n">
        <v>-12</v>
      </c>
      <c r="O2464" t="inlineStr">
        <is>
          <t>Fab Brasca — SVP Market Strategy; Hamed Yazdani — Senior Business Consultant; Matt Tatham — Senior PR Lead; Karen McDougall — Kinaxis; Logan Ferguson — Sr. Business Consultant</t>
        </is>
      </c>
      <c r="P2464" t="inlineStr">
        <is>
          <t>SVP Market Strategy | Senior Business Consultant | Head of Global Field and Partner Marketing</t>
        </is>
      </c>
      <c r="Y2464" t="inlineStr">
        <is>
          <t>todo</t>
        </is>
      </c>
      <c r="Z2464">
        <f>(M2464*Weights!$B$2) + (MIN(Q2464,Weights!$B$5)*Weights!$B$3*(W2464/100)*Weights!$B$4)</f>
        <v/>
      </c>
      <c r="AA2464">
        <f>IF(Z2464= ,,RANK.EQ({pri_col_letter}{r},{pri_range},0))</f>
        <v/>
      </c>
    </row>
    <row r="2465">
      <c r="A2465" t="inlineStr">
        <is>
          <t>Robust.AI</t>
        </is>
      </c>
      <c r="B2465" t="n">
        <v>8</v>
      </c>
      <c r="C2465" t="n">
        <v>0</v>
      </c>
      <c r="D2465" t="n">
        <v>0</v>
      </c>
      <c r="E2465" t="n">
        <v>0</v>
      </c>
      <c r="F2465" t="n">
        <v>4</v>
      </c>
      <c r="G2465" t="n">
        <v>0</v>
      </c>
      <c r="I2465" t="n">
        <v>4</v>
      </c>
      <c r="J2465" t="n">
        <v>0</v>
      </c>
      <c r="K2465" t="n">
        <v>12</v>
      </c>
      <c r="L2465" t="n">
        <v>0</v>
      </c>
      <c r="M2465" t="n">
        <v>-12</v>
      </c>
      <c r="O2465" t="inlineStr">
        <is>
          <t>Anthony Jules — Co-Founder &amp; CEO; Zach Collins — Head of Vibes; Kyle Detwiler — Head of Solutions; Julia Longacre — Strategic Account Manager; Ben Gruettner — Chief Revenue Officer</t>
        </is>
      </c>
      <c r="P2465" t="inlineStr">
        <is>
          <t>Co-Founder &amp; CEO | Head of Vibes | Head of Solutions</t>
        </is>
      </c>
      <c r="Y2465" t="inlineStr">
        <is>
          <t>todo</t>
        </is>
      </c>
      <c r="Z2465">
        <f>(M2465*Weights!$B$2) + (MIN(Q2465,Weights!$B$5)*Weights!$B$3*(W2465/100)*Weights!$B$4)</f>
        <v/>
      </c>
      <c r="AA2465">
        <f>IF(Z2465= ,,RANK.EQ({pri_col_letter}{r},{pri_range},0))</f>
        <v/>
      </c>
    </row>
    <row r="2466">
      <c r="A2466" t="inlineStr">
        <is>
          <t>Bringg</t>
        </is>
      </c>
      <c r="B2466" t="n">
        <v>6</v>
      </c>
      <c r="C2466" t="n">
        <v>0</v>
      </c>
      <c r="D2466" t="n">
        <v>0</v>
      </c>
      <c r="E2466" t="n">
        <v>0</v>
      </c>
      <c r="F2466" t="n">
        <v>3</v>
      </c>
      <c r="G2466" t="n">
        <v>1</v>
      </c>
      <c r="I2466" t="n">
        <v>4</v>
      </c>
      <c r="J2466" t="n">
        <v>0</v>
      </c>
      <c r="K2466" t="n">
        <v>12</v>
      </c>
      <c r="L2466" t="n">
        <v>0</v>
      </c>
      <c r="M2466" t="n">
        <v>-12</v>
      </c>
      <c r="O2466" t="inlineStr">
        <is>
          <t>Ryan Leigh — CTO; Sean Quinn — VP of Product; Emma Hartsfield — Demand Generation Manager; Philip Spelman — Sr. Sales Director; Ariana Kaiser — Senior Account Executive</t>
        </is>
      </c>
      <c r="P2466" t="inlineStr">
        <is>
          <t>CTO | VP of Product | Demand Generation Manager</t>
        </is>
      </c>
      <c r="Y2466" t="inlineStr">
        <is>
          <t>todo</t>
        </is>
      </c>
      <c r="Z2466">
        <f>(M2466*Weights!$B$2) + (MIN(Q2466,Weights!$B$5)*Weights!$B$3*(W2466/100)*Weights!$B$4)</f>
        <v/>
      </c>
      <c r="AA2466">
        <f>IF(Z2466= ,,RANK.EQ({pri_col_letter}{r},{pri_range},0))</f>
        <v/>
      </c>
    </row>
    <row r="2467">
      <c r="A2467" t="inlineStr">
        <is>
          <t>Holman Logistics</t>
        </is>
      </c>
      <c r="B2467" t="n">
        <v>6</v>
      </c>
      <c r="C2467" t="n">
        <v>0</v>
      </c>
      <c r="D2467" t="n">
        <v>0</v>
      </c>
      <c r="E2467" t="n">
        <v>0</v>
      </c>
      <c r="F2467" t="n">
        <v>3</v>
      </c>
      <c r="G2467" t="n">
        <v>1</v>
      </c>
      <c r="I2467" t="n">
        <v>4</v>
      </c>
      <c r="J2467" t="n">
        <v>0</v>
      </c>
      <c r="K2467" t="n">
        <v>12</v>
      </c>
      <c r="L2467" t="n">
        <v>0</v>
      </c>
      <c r="M2467" t="n">
        <v>-12</v>
      </c>
      <c r="O2467" t="inlineStr">
        <is>
          <t>Brien Downie — CEO; Mike Gardner — President; Haim Dimer — Director of IT; Fred Olson — Vice President, Business Development; Alex Stark — Director of Marketing</t>
        </is>
      </c>
      <c r="P2467" t="inlineStr">
        <is>
          <t>President | CEO | Director of IT</t>
        </is>
      </c>
      <c r="Y2467" t="inlineStr">
        <is>
          <t>todo</t>
        </is>
      </c>
      <c r="Z2467">
        <f>(M2467*Weights!$B$2) + (MIN(Q2467,Weights!$B$5)*Weights!$B$3*(W2467/100)*Weights!$B$4)</f>
        <v/>
      </c>
      <c r="AA2467">
        <f>IF(Z2467= ,,RANK.EQ({pri_col_letter}{r},{pri_range},0))</f>
        <v/>
      </c>
    </row>
    <row r="2468">
      <c r="A2468" t="inlineStr">
        <is>
          <t>Optimal Dynamics</t>
        </is>
      </c>
      <c r="B2468" t="n">
        <v>6</v>
      </c>
      <c r="C2468" t="n">
        <v>0</v>
      </c>
      <c r="D2468" t="n">
        <v>0</v>
      </c>
      <c r="E2468" t="n">
        <v>0</v>
      </c>
      <c r="F2468" t="n">
        <v>3</v>
      </c>
      <c r="G2468" t="n">
        <v>1</v>
      </c>
      <c r="I2468" t="n">
        <v>4</v>
      </c>
      <c r="J2468" t="n">
        <v>0</v>
      </c>
      <c r="K2468" t="n">
        <v>12</v>
      </c>
      <c r="L2468" t="n">
        <v>0</v>
      </c>
      <c r="M2468" t="n">
        <v>-12</v>
      </c>
      <c r="O2468" t="inlineStr">
        <is>
          <t>Kenzi Klein — Chief of Staff; Scott Kenerly — CFO/COO; Jonathan Pollack — CRO; Erica Frank — VP of Marketing; Zach Schuchart — Head of Sales</t>
        </is>
      </c>
      <c r="P2468" t="inlineStr">
        <is>
          <t>Chief of Staff | CFO/COO | CRO</t>
        </is>
      </c>
      <c r="Y2468" t="inlineStr">
        <is>
          <t>todo</t>
        </is>
      </c>
      <c r="Z2468">
        <f>(M2468*Weights!$B$2) + (MIN(Q2468,Weights!$B$5)*Weights!$B$3*(W2468/100)*Weights!$B$4)</f>
        <v/>
      </c>
      <c r="AA2468">
        <f>IF(Z2468= ,,RANK.EQ({pri_col_letter}{r},{pri_range},0))</f>
        <v/>
      </c>
    </row>
    <row r="2469">
      <c r="A2469" t="inlineStr">
        <is>
          <t>Associated Logistics Group</t>
        </is>
      </c>
      <c r="B2469" t="n">
        <v>4</v>
      </c>
      <c r="C2469" t="n">
        <v>0</v>
      </c>
      <c r="D2469" t="n">
        <v>0</v>
      </c>
      <c r="E2469" t="n">
        <v>0</v>
      </c>
      <c r="F2469" t="n">
        <v>2</v>
      </c>
      <c r="G2469" t="n">
        <v>0</v>
      </c>
      <c r="I2469" t="n">
        <v>2</v>
      </c>
      <c r="J2469" t="n">
        <v>0</v>
      </c>
      <c r="K2469" t="n">
        <v>12</v>
      </c>
      <c r="L2469" t="n">
        <v>0</v>
      </c>
      <c r="M2469" t="n">
        <v>-12</v>
      </c>
      <c r="O2469" t="inlineStr">
        <is>
          <t>Mark Paulson — President; Teo Rotstein — Vice President; Brock Lavins — Sr Account Executive; Travis Maciej — Sr Account Executive</t>
        </is>
      </c>
      <c r="P2469" t="inlineStr">
        <is>
          <t>President | Vice President | Sr Account Executive</t>
        </is>
      </c>
      <c r="Y2469" t="inlineStr">
        <is>
          <t>todo</t>
        </is>
      </c>
      <c r="Z2469">
        <f>(M2469*Weights!$B$2) + (MIN(Q2469,Weights!$B$5)*Weights!$B$3*(W2469/100)*Weights!$B$4)</f>
        <v/>
      </c>
      <c r="AA2469">
        <f>IF(Z2469= ,,RANK.EQ({pri_col_letter}{r},{pri_range},0))</f>
        <v/>
      </c>
    </row>
    <row r="2470">
      <c r="A2470" t="inlineStr">
        <is>
          <t>Brambles</t>
        </is>
      </c>
      <c r="B2470" t="n">
        <v>4</v>
      </c>
      <c r="C2470" t="n">
        <v>0</v>
      </c>
      <c r="D2470" t="n">
        <v>0</v>
      </c>
      <c r="E2470" t="n">
        <v>0</v>
      </c>
      <c r="F2470" t="n">
        <v>2</v>
      </c>
      <c r="G2470" t="n">
        <v>0</v>
      </c>
      <c r="I2470" t="n">
        <v>2</v>
      </c>
      <c r="J2470" t="n">
        <v>0</v>
      </c>
      <c r="K2470" t="n">
        <v>12</v>
      </c>
      <c r="L2470" t="n">
        <v>0</v>
      </c>
      <c r="M2470" t="n">
        <v>-12</v>
      </c>
      <c r="O2470" t="inlineStr">
        <is>
          <t>Matthew Quinn — Digital Business Building Transformation Lead; Michael Plachta — Digital Account Manager; Gerald Brannon — Business Development Manager; Lisa Henderson — Business Development Manager</t>
        </is>
      </c>
      <c r="P2470" t="inlineStr">
        <is>
          <t>Digital Business Building Transformation Lead | Digital Account Manager | Business Development Manager</t>
        </is>
      </c>
      <c r="Y2470" t="inlineStr">
        <is>
          <t>todo</t>
        </is>
      </c>
      <c r="Z2470">
        <f>(M2470*Weights!$B$2) + (MIN(Q2470,Weights!$B$5)*Weights!$B$3*(W2470/100)*Weights!$B$4)</f>
        <v/>
      </c>
      <c r="AA2470">
        <f>IF(Z2470= ,,RANK.EQ({pri_col_letter}{r},{pri_range},0))</f>
        <v/>
      </c>
    </row>
    <row r="2471">
      <c r="A2471" t="inlineStr">
        <is>
          <t>Catena</t>
        </is>
      </c>
      <c r="B2471" t="n">
        <v>4</v>
      </c>
      <c r="C2471" t="n">
        <v>0</v>
      </c>
      <c r="D2471" t="n">
        <v>0</v>
      </c>
      <c r="E2471" t="n">
        <v>0</v>
      </c>
      <c r="F2471" t="n">
        <v>2</v>
      </c>
      <c r="G2471" t="n">
        <v>1</v>
      </c>
      <c r="I2471" t="n">
        <v>3</v>
      </c>
      <c r="J2471" t="n">
        <v>0</v>
      </c>
      <c r="K2471" t="n">
        <v>12</v>
      </c>
      <c r="L2471" t="n">
        <v>0</v>
      </c>
      <c r="M2471" t="n">
        <v>-12</v>
      </c>
      <c r="O2471" t="inlineStr">
        <is>
          <t>Jeremy Baksht — Co-Founder and CEO; Mike Goynes — Co-Founder and CTO; Aly Hancock — Head of Growth; Nick Lemanski — Sales Engineer</t>
        </is>
      </c>
      <c r="P2471" t="inlineStr">
        <is>
          <t>Co-Founder and CEO | Co-Founder and CTO | Head of Growth</t>
        </is>
      </c>
      <c r="Y2471" t="inlineStr">
        <is>
          <t>todo</t>
        </is>
      </c>
      <c r="Z2471">
        <f>(M2471*Weights!$B$2) + (MIN(Q2471,Weights!$B$5)*Weights!$B$3*(W2471/100)*Weights!$B$4)</f>
        <v/>
      </c>
      <c r="AA2471">
        <f>IF(Z2471= ,,RANK.EQ({pri_col_letter}{r},{pri_range},0))</f>
        <v/>
      </c>
    </row>
    <row r="2472">
      <c r="A2472" t="inlineStr">
        <is>
          <t>Conduit</t>
        </is>
      </c>
      <c r="B2472" t="n">
        <v>4</v>
      </c>
      <c r="C2472" t="n">
        <v>0</v>
      </c>
      <c r="D2472" t="n">
        <v>0</v>
      </c>
      <c r="E2472" t="n">
        <v>0</v>
      </c>
      <c r="F2472" t="n">
        <v>2</v>
      </c>
      <c r="G2472" t="n">
        <v>0</v>
      </c>
      <c r="I2472" t="n">
        <v>2</v>
      </c>
      <c r="J2472" t="n">
        <v>0</v>
      </c>
      <c r="K2472" t="n">
        <v>12</v>
      </c>
      <c r="L2472" t="n">
        <v>0</v>
      </c>
      <c r="M2472" t="n">
        <v>-12</v>
      </c>
      <c r="O2472" t="inlineStr">
        <is>
          <t>Conrad Lilleness — CEO; Megan Allen — Account Exect; Ray Roberts — Head of Sales; David Yarbrough — Senior Enterprise Account Executive</t>
        </is>
      </c>
      <c r="P2472" t="inlineStr">
        <is>
          <t>CEO | Account Exect | Head of Sales</t>
        </is>
      </c>
      <c r="Y2472" t="inlineStr">
        <is>
          <t>todo</t>
        </is>
      </c>
      <c r="Z2472">
        <f>(M2472*Weights!$B$2) + (MIN(Q2472,Weights!$B$5)*Weights!$B$3*(W2472/100)*Weights!$B$4)</f>
        <v/>
      </c>
      <c r="AA2472">
        <f>IF(Z2472= ,,RANK.EQ({pri_col_letter}{r},{pri_range},0))</f>
        <v/>
      </c>
    </row>
    <row r="2473">
      <c r="A2473" t="inlineStr">
        <is>
          <t>Dot Ai Corp</t>
        </is>
      </c>
      <c r="B2473" t="n">
        <v>4</v>
      </c>
      <c r="C2473" t="n">
        <v>0</v>
      </c>
      <c r="D2473" t="n">
        <v>0</v>
      </c>
      <c r="E2473" t="n">
        <v>0</v>
      </c>
      <c r="F2473" t="n">
        <v>2</v>
      </c>
      <c r="G2473" t="n">
        <v>2</v>
      </c>
      <c r="I2473" t="n">
        <v>4</v>
      </c>
      <c r="J2473" t="n">
        <v>0</v>
      </c>
      <c r="K2473" t="n">
        <v>12</v>
      </c>
      <c r="L2473" t="n">
        <v>0</v>
      </c>
      <c r="M2473" t="n">
        <v>-12</v>
      </c>
      <c r="O2473" t="inlineStr">
        <is>
          <t>Dan Fleishman — Technical Product Manager; Walter Pickel — Sr Product Manager; Jeremy Howell — Sales Development Rep; Vik Horachaikul — Sales Development Rep</t>
        </is>
      </c>
      <c r="P2473" t="inlineStr">
        <is>
          <t>Technical Product Manager | Sr Product Manager | Sales Development Rep</t>
        </is>
      </c>
      <c r="Y2473" t="inlineStr">
        <is>
          <t>todo</t>
        </is>
      </c>
      <c r="Z2473">
        <f>(M2473*Weights!$B$2) + (MIN(Q2473,Weights!$B$5)*Weights!$B$3*(W2473/100)*Weights!$B$4)</f>
        <v/>
      </c>
      <c r="AA2473">
        <f>IF(Z2473= ,,RANK.EQ({pri_col_letter}{r},{pri_range},0))</f>
        <v/>
      </c>
    </row>
    <row r="2474">
      <c r="A2474" t="inlineStr">
        <is>
          <t>Easy Metrics</t>
        </is>
      </c>
      <c r="B2474" t="n">
        <v>4</v>
      </c>
      <c r="C2474" t="n">
        <v>0</v>
      </c>
      <c r="D2474" t="n">
        <v>0</v>
      </c>
      <c r="E2474" t="n">
        <v>0</v>
      </c>
      <c r="F2474" t="n">
        <v>2</v>
      </c>
      <c r="G2474" t="n">
        <v>1</v>
      </c>
      <c r="I2474" t="n">
        <v>3</v>
      </c>
      <c r="J2474" t="n">
        <v>0</v>
      </c>
      <c r="K2474" t="n">
        <v>12</v>
      </c>
      <c r="L2474" t="n">
        <v>0</v>
      </c>
      <c r="M2474" t="n">
        <v>-12</v>
      </c>
      <c r="O2474" t="inlineStr">
        <is>
          <t>Dan Keto — President and CTO; Nathen Dorcas — Solutions Engineer; Will Huskey — Director, Enterprise Sales; Robert Mozier — Account Executive</t>
        </is>
      </c>
      <c r="P2474" t="inlineStr">
        <is>
          <t>President and CTO | Solutions Engineer | Director, Enterprise Sales</t>
        </is>
      </c>
      <c r="Y2474" t="inlineStr">
        <is>
          <t>todo</t>
        </is>
      </c>
      <c r="Z2474">
        <f>(M2474*Weights!$B$2) + (MIN(Q2474,Weights!$B$5)*Weights!$B$3*(W2474/100)*Weights!$B$4)</f>
        <v/>
      </c>
      <c r="AA2474">
        <f>IF(Z2474= ,,RANK.EQ({pri_col_letter}{r},{pri_range},0))</f>
        <v/>
      </c>
    </row>
    <row r="2475">
      <c r="A2475" t="inlineStr">
        <is>
          <t>G2Mint</t>
        </is>
      </c>
      <c r="B2475" t="n">
        <v>4</v>
      </c>
      <c r="C2475" t="n">
        <v>0</v>
      </c>
      <c r="D2475" t="n">
        <v>0</v>
      </c>
      <c r="E2475" t="n">
        <v>0</v>
      </c>
      <c r="F2475" t="n">
        <v>2</v>
      </c>
      <c r="G2475" t="n">
        <v>1</v>
      </c>
      <c r="I2475" t="n">
        <v>3</v>
      </c>
      <c r="J2475" t="n">
        <v>0</v>
      </c>
      <c r="K2475" t="n">
        <v>12</v>
      </c>
      <c r="L2475" t="n">
        <v>0</v>
      </c>
      <c r="M2475" t="n">
        <v>-12</v>
      </c>
      <c r="O2475" t="inlineStr">
        <is>
          <t>Dan Clark — CEO; Mike Doyle — COO; Pat Bishop — Director of Sales; Samuel Rosenfield — Sales Engineer</t>
        </is>
      </c>
      <c r="P2475" t="inlineStr">
        <is>
          <t>CEO | COO | Director of Sales</t>
        </is>
      </c>
      <c r="Y2475" t="inlineStr">
        <is>
          <t>todo</t>
        </is>
      </c>
      <c r="Z2475">
        <f>(M2475*Weights!$B$2) + (MIN(Q2475,Weights!$B$5)*Weights!$B$3*(W2475/100)*Weights!$B$4)</f>
        <v/>
      </c>
      <c r="AA2475">
        <f>IF(Z2475= ,,RANK.EQ({pri_col_letter}{r},{pri_range},0))</f>
        <v/>
      </c>
    </row>
    <row r="2476">
      <c r="A2476" t="inlineStr">
        <is>
          <t>Green Mountain</t>
        </is>
      </c>
      <c r="B2476" t="n">
        <v>4</v>
      </c>
      <c r="C2476" t="n">
        <v>0</v>
      </c>
      <c r="D2476" t="n">
        <v>0</v>
      </c>
      <c r="E2476" t="n">
        <v>0</v>
      </c>
      <c r="F2476" t="n">
        <v>2</v>
      </c>
      <c r="G2476" t="n">
        <v>0</v>
      </c>
      <c r="I2476" t="n">
        <v>2</v>
      </c>
      <c r="J2476" t="n">
        <v>0</v>
      </c>
      <c r="K2476" t="n">
        <v>12</v>
      </c>
      <c r="L2476" t="n">
        <v>0</v>
      </c>
      <c r="M2476" t="n">
        <v>-12</v>
      </c>
      <c r="O2476" t="inlineStr">
        <is>
          <t>Mike McComb — EVP Commercial Development; Thomas Duke — Director, Advisory Services &amp; Strategic Partnerships; Brad Harrison — Vice President, Sales; Jennifer Saunier — Vice President of Business Development</t>
        </is>
      </c>
      <c r="P2476" t="inlineStr">
        <is>
          <t>EVP Commercial Development | Director, Advisory Services &amp; Strategic Partnerships | Vice President, Sales</t>
        </is>
      </c>
      <c r="Y2476" t="inlineStr">
        <is>
          <t>todo</t>
        </is>
      </c>
      <c r="Z2476">
        <f>(M2476*Weights!$B$2) + (MIN(Q2476,Weights!$B$5)*Weights!$B$3*(W2476/100)*Weights!$B$4)</f>
        <v/>
      </c>
      <c r="AA2476">
        <f>IF(Z2476= ,,RANK.EQ({pri_col_letter}{r},{pri_range},0))</f>
        <v/>
      </c>
    </row>
    <row r="2477">
      <c r="A2477" t="inlineStr">
        <is>
          <t>Kovix</t>
        </is>
      </c>
      <c r="B2477" t="n">
        <v>4</v>
      </c>
      <c r="C2477" t="n">
        <v>0</v>
      </c>
      <c r="D2477" t="n">
        <v>0</v>
      </c>
      <c r="E2477" t="n">
        <v>0</v>
      </c>
      <c r="F2477" t="n">
        <v>2</v>
      </c>
      <c r="G2477" t="n">
        <v>0</v>
      </c>
      <c r="I2477" t="n">
        <v>2</v>
      </c>
      <c r="J2477" t="n">
        <v>0</v>
      </c>
      <c r="K2477" t="n">
        <v>12</v>
      </c>
      <c r="L2477" t="n">
        <v>0</v>
      </c>
      <c r="M2477" t="n">
        <v>-12</v>
      </c>
      <c r="O2477" t="inlineStr">
        <is>
          <t>Francisco Atucha — Chief Delivery Officer; Nicolas Kovalsky — CEO; Julian Queirolo — Director of Sales; Lorena Horowicz — Marketing Manager</t>
        </is>
      </c>
      <c r="P2477" t="inlineStr">
        <is>
          <t>Chief Delivery Officer | CEO | Director of Sales</t>
        </is>
      </c>
      <c r="Y2477" t="inlineStr">
        <is>
          <t>todo</t>
        </is>
      </c>
      <c r="Z2477">
        <f>(M2477*Weights!$B$2) + (MIN(Q2477,Weights!$B$5)*Weights!$B$3*(W2477/100)*Weights!$B$4)</f>
        <v/>
      </c>
      <c r="AA2477">
        <f>IF(Z2477= ,,RANK.EQ({pri_col_letter}{r},{pri_range},0))</f>
        <v/>
      </c>
    </row>
    <row r="2478">
      <c r="A2478" t="inlineStr">
        <is>
          <t>Lojistic</t>
        </is>
      </c>
      <c r="B2478" t="n">
        <v>4</v>
      </c>
      <c r="C2478" t="n">
        <v>0</v>
      </c>
      <c r="D2478" t="n">
        <v>0</v>
      </c>
      <c r="E2478" t="n">
        <v>0</v>
      </c>
      <c r="F2478" t="n">
        <v>2</v>
      </c>
      <c r="G2478" t="n">
        <v>0</v>
      </c>
      <c r="I2478" t="n">
        <v>2</v>
      </c>
      <c r="J2478" t="n">
        <v>0</v>
      </c>
      <c r="K2478" t="n">
        <v>12</v>
      </c>
      <c r="L2478" t="n">
        <v>0</v>
      </c>
      <c r="M2478" t="n">
        <v>-12</v>
      </c>
      <c r="O2478" t="inlineStr">
        <is>
          <t>Gabriel Calderon — Client Success; Michael Britton — Strategy Manager; Seth Kupersmith — Director, Marketing &amp; Creative; Patrick Petit — Director of Sales</t>
        </is>
      </c>
      <c r="P2478" t="inlineStr">
        <is>
          <t>Client Success | Strategy Manager | Director, Marketing &amp; Creative</t>
        </is>
      </c>
      <c r="Y2478" t="inlineStr">
        <is>
          <t>todo</t>
        </is>
      </c>
      <c r="Z2478">
        <f>(M2478*Weights!$B$2) + (MIN(Q2478,Weights!$B$5)*Weights!$B$3*(W2478/100)*Weights!$B$4)</f>
        <v/>
      </c>
      <c r="AA2478">
        <f>IF(Z2478= ,,RANK.EQ({pri_col_letter}{r},{pri_range},0))</f>
        <v/>
      </c>
    </row>
    <row r="2479">
      <c r="A2479" t="inlineStr">
        <is>
          <t>Pickle Robot</t>
        </is>
      </c>
      <c r="B2479" t="n">
        <v>4</v>
      </c>
      <c r="C2479" t="n">
        <v>0</v>
      </c>
      <c r="D2479" t="n">
        <v>0</v>
      </c>
      <c r="E2479" t="n">
        <v>0</v>
      </c>
      <c r="F2479" t="n">
        <v>2</v>
      </c>
      <c r="G2479" t="n">
        <v>1</v>
      </c>
      <c r="I2479" t="n">
        <v>3</v>
      </c>
      <c r="J2479" t="n">
        <v>0</v>
      </c>
      <c r="K2479" t="n">
        <v>12</v>
      </c>
      <c r="L2479" t="n">
        <v>0</v>
      </c>
      <c r="M2479" t="n">
        <v>-12</v>
      </c>
      <c r="O2479" t="inlineStr">
        <is>
          <t>Justin Moxley — Strategic Accounts Director; Michael Fair — Senior Director, Product; Nathan Kufel — Strategic Account Executive; Shannon Frassrand — Senior Manager, Marketing</t>
        </is>
      </c>
      <c r="P2479" t="inlineStr">
        <is>
          <t>Strategic Accounts Director | Senior Director, Product | Strategic Account Executive</t>
        </is>
      </c>
      <c r="Y2479" t="inlineStr">
        <is>
          <t>todo</t>
        </is>
      </c>
      <c r="Z2479">
        <f>(M2479*Weights!$B$2) + (MIN(Q2479,Weights!$B$5)*Weights!$B$3*(W2479/100)*Weights!$B$4)</f>
        <v/>
      </c>
      <c r="AA2479">
        <f>IF(Z2479= ,,RANK.EQ({pri_col_letter}{r},{pri_range},0))</f>
        <v/>
      </c>
    </row>
    <row r="2480">
      <c r="A2480" t="inlineStr">
        <is>
          <t>QuickBox</t>
        </is>
      </c>
      <c r="B2480" t="n">
        <v>4</v>
      </c>
      <c r="C2480" t="n">
        <v>0</v>
      </c>
      <c r="D2480" t="n">
        <v>0</v>
      </c>
      <c r="E2480" t="n">
        <v>0</v>
      </c>
      <c r="F2480" t="n">
        <v>2</v>
      </c>
      <c r="G2480" t="n">
        <v>0</v>
      </c>
      <c r="I2480" t="n">
        <v>2</v>
      </c>
      <c r="J2480" t="n">
        <v>0</v>
      </c>
      <c r="K2480" t="n">
        <v>12</v>
      </c>
      <c r="L2480" t="n">
        <v>0</v>
      </c>
      <c r="M2480" t="n">
        <v>-12</v>
      </c>
      <c r="O2480" t="inlineStr">
        <is>
          <t>Malek Macaron — EVP Client Solutions; Patrick Lowe — CCO; Teresa Ronquillo — Sales; Steve Whitehead — Account Executive</t>
        </is>
      </c>
      <c r="P2480" t="inlineStr">
        <is>
          <t>EVP Client Solutions | CCO | Sales</t>
        </is>
      </c>
      <c r="Y2480" t="inlineStr">
        <is>
          <t>todo</t>
        </is>
      </c>
      <c r="Z2480">
        <f>(M2480*Weights!$B$2) + (MIN(Q2480,Weights!$B$5)*Weights!$B$3*(W2480/100)*Weights!$B$4)</f>
        <v/>
      </c>
      <c r="AA2480">
        <f>IF(Z2480= ,,RANK.EQ({pri_col_letter}{r},{pri_range},0))</f>
        <v/>
      </c>
    </row>
    <row r="2481">
      <c r="A2481" t="inlineStr">
        <is>
          <t>Revenova</t>
        </is>
      </c>
      <c r="B2481" t="n">
        <v>4</v>
      </c>
      <c r="C2481" t="n">
        <v>0</v>
      </c>
      <c r="D2481" t="n">
        <v>0</v>
      </c>
      <c r="E2481" t="n">
        <v>0</v>
      </c>
      <c r="F2481" t="n">
        <v>2</v>
      </c>
      <c r="G2481" t="n">
        <v>1</v>
      </c>
      <c r="I2481" t="n">
        <v>3</v>
      </c>
      <c r="J2481" t="n">
        <v>0</v>
      </c>
      <c r="K2481" t="n">
        <v>12</v>
      </c>
      <c r="L2481" t="n">
        <v>0</v>
      </c>
      <c r="M2481" t="n">
        <v>-12</v>
      </c>
      <c r="O2481" t="inlineStr">
        <is>
          <t>Mike Horvath — COO; Danielle Chaffin — Senior Solutions Engineer; Lorieanne Rinehart — Digital Marketing Specialist; Trent Sorensen — Enterprise Sales Manager</t>
        </is>
      </c>
      <c r="P2481" t="inlineStr">
        <is>
          <t>COO | Senior Solutions Engineer | Digital Marketing Specialist</t>
        </is>
      </c>
      <c r="Y2481" t="inlineStr">
        <is>
          <t>todo</t>
        </is>
      </c>
      <c r="Z2481">
        <f>(M2481*Weights!$B$2) + (MIN(Q2481,Weights!$B$5)*Weights!$B$3*(W2481/100)*Weights!$B$4)</f>
        <v/>
      </c>
      <c r="AA2481">
        <f>IF(Z2481= ,,RANK.EQ({pri_col_letter}{r},{pri_range},0))</f>
        <v/>
      </c>
    </row>
    <row r="2482">
      <c r="A2482" t="inlineStr">
        <is>
          <t>SLMCON</t>
        </is>
      </c>
      <c r="B2482" t="n">
        <v>4</v>
      </c>
      <c r="C2482" t="n">
        <v>0</v>
      </c>
      <c r="D2482" t="n">
        <v>0</v>
      </c>
      <c r="E2482" t="n">
        <v>0</v>
      </c>
      <c r="F2482" t="n">
        <v>2</v>
      </c>
      <c r="G2482" t="n">
        <v>1</v>
      </c>
      <c r="I2482" t="n">
        <v>3</v>
      </c>
      <c r="J2482" t="n">
        <v>0</v>
      </c>
      <c r="K2482" t="n">
        <v>12</v>
      </c>
      <c r="L2482" t="n">
        <v>0</v>
      </c>
      <c r="M2482" t="n">
        <v>-12</v>
      </c>
      <c r="O2482" t="inlineStr">
        <is>
          <t>Salim Tab — CEO; Ben Bilhorn — Sr. QA Automation Engineer; Jennah Macallister — Sales and Partnerships Manager; Woody Robinson — Business Development Manager</t>
        </is>
      </c>
      <c r="P2482" t="inlineStr">
        <is>
          <t>CEO | Sr. QA Automation Engineer | Sales and Partnerships Manager</t>
        </is>
      </c>
      <c r="Y2482" t="inlineStr">
        <is>
          <t>todo</t>
        </is>
      </c>
      <c r="Z2482">
        <f>(M2482*Weights!$B$2) + (MIN(Q2482,Weights!$B$5)*Weights!$B$3*(W2482/100)*Weights!$B$4)</f>
        <v/>
      </c>
      <c r="AA2482">
        <f>IF(Z2482= ,,RANK.EQ({pri_col_letter}{r},{pri_range},0))</f>
        <v/>
      </c>
    </row>
    <row r="2483">
      <c r="A2483" t="inlineStr">
        <is>
          <t>Unbox Robotics Inc</t>
        </is>
      </c>
      <c r="B2483" t="n">
        <v>4</v>
      </c>
      <c r="C2483" t="n">
        <v>0</v>
      </c>
      <c r="D2483" t="n">
        <v>0</v>
      </c>
      <c r="E2483" t="n">
        <v>0</v>
      </c>
      <c r="F2483" t="n">
        <v>2</v>
      </c>
      <c r="G2483" t="n">
        <v>2</v>
      </c>
      <c r="I2483" t="n">
        <v>4</v>
      </c>
      <c r="J2483" t="n">
        <v>0</v>
      </c>
      <c r="K2483" t="n">
        <v>12</v>
      </c>
      <c r="L2483" t="n">
        <v>0</v>
      </c>
      <c r="M2483" t="n">
        <v>-12</v>
      </c>
      <c r="O2483" t="inlineStr">
        <is>
          <t>Pramod Ghadge — CEO; Raviteja Geesala — Associate Director- Product and Technology; Chaitanya Mujumdar — Senior Sales Engineer; Lukasz Banachowicz — Sales Director - EMEA</t>
        </is>
      </c>
      <c r="P2483" t="inlineStr">
        <is>
          <t>CEO | Associate Director- Product and Technology | Senior Sales Engineer</t>
        </is>
      </c>
      <c r="Y2483" t="inlineStr">
        <is>
          <t>todo</t>
        </is>
      </c>
      <c r="Z2483">
        <f>(M2483*Weights!$B$2) + (MIN(Q2483,Weights!$B$5)*Weights!$B$3*(W2483/100)*Weights!$B$4)</f>
        <v/>
      </c>
      <c r="AA2483">
        <f>IF(Z2483= ,,RANK.EQ({pri_col_letter}{r},{pri_range},0))</f>
        <v/>
      </c>
    </row>
    <row r="2484">
      <c r="A2484" t="inlineStr">
        <is>
          <t>Waites Sensor Technologies</t>
        </is>
      </c>
      <c r="B2484" t="n">
        <v>4</v>
      </c>
      <c r="C2484" t="n">
        <v>0</v>
      </c>
      <c r="D2484" t="n">
        <v>0</v>
      </c>
      <c r="E2484" t="n">
        <v>0</v>
      </c>
      <c r="F2484" t="n">
        <v>2</v>
      </c>
      <c r="G2484" t="n">
        <v>0</v>
      </c>
      <c r="I2484" t="n">
        <v>2</v>
      </c>
      <c r="J2484" t="n">
        <v>0</v>
      </c>
      <c r="K2484" t="n">
        <v>12</v>
      </c>
      <c r="L2484" t="n">
        <v>0</v>
      </c>
      <c r="M2484" t="n">
        <v>-12</v>
      </c>
      <c r="O2484" t="inlineStr">
        <is>
          <t>Matt Whitehouse — Predictive Maintenance; Dylan Gilbert — Predictive Maintenance Expert; Brian Gardner — SVP, Business Development; Caroline Mullins — Sales Development Represenative</t>
        </is>
      </c>
      <c r="P2484" t="inlineStr">
        <is>
          <t>Predictive Maintenance | Predictive Maintenance Expert | SVP, Business Development</t>
        </is>
      </c>
      <c r="Y2484" t="inlineStr">
        <is>
          <t>todo</t>
        </is>
      </c>
      <c r="Z2484">
        <f>(M2484*Weights!$B$2) + (MIN(Q2484,Weights!$B$5)*Weights!$B$3*(W2484/100)*Weights!$B$4)</f>
        <v/>
      </c>
      <c r="AA2484">
        <f>IF(Z2484= ,,RANK.EQ({pri_col_letter}{r},{pri_range},0))</f>
        <v/>
      </c>
    </row>
    <row r="2485">
      <c r="A2485" t="inlineStr">
        <is>
          <t>WorkWhile</t>
        </is>
      </c>
      <c r="B2485" t="n">
        <v>4</v>
      </c>
      <c r="C2485" t="n">
        <v>0</v>
      </c>
      <c r="D2485" t="n">
        <v>0</v>
      </c>
      <c r="E2485" t="n">
        <v>0</v>
      </c>
      <c r="F2485" t="n">
        <v>2</v>
      </c>
      <c r="G2485" t="n">
        <v>0</v>
      </c>
      <c r="I2485" t="n">
        <v>2</v>
      </c>
      <c r="J2485" t="n">
        <v>0</v>
      </c>
      <c r="K2485" t="n">
        <v>12</v>
      </c>
      <c r="L2485" t="n">
        <v>0</v>
      </c>
      <c r="M2485" t="n">
        <v>-12</v>
      </c>
      <c r="O2485" t="inlineStr">
        <is>
          <t>Gil Manhao — Account Director; Miranda Palter — Partnerships; Pete Massar — Account Executive; Richard Robert II — B2B Marketing Manager</t>
        </is>
      </c>
      <c r="P2485" t="inlineStr">
        <is>
          <t>Account Director | Partnerships | Account Executive</t>
        </is>
      </c>
      <c r="Y2485" t="inlineStr">
        <is>
          <t>todo</t>
        </is>
      </c>
      <c r="Z2485">
        <f>(M2485*Weights!$B$2) + (MIN(Q2485,Weights!$B$5)*Weights!$B$3*(W2485/100)*Weights!$B$4)</f>
        <v/>
      </c>
      <c r="AA2485">
        <f>IF(Z2485= ,,RANK.EQ({pri_col_letter}{r},{pri_range},0))</f>
        <v/>
      </c>
    </row>
    <row r="2486">
      <c r="A2486" t="inlineStr">
        <is>
          <t>ePost Global</t>
        </is>
      </c>
      <c r="B2486" t="n">
        <v>4</v>
      </c>
      <c r="C2486" t="n">
        <v>0</v>
      </c>
      <c r="D2486" t="n">
        <v>0</v>
      </c>
      <c r="E2486" t="n">
        <v>0</v>
      </c>
      <c r="F2486" t="n">
        <v>2</v>
      </c>
      <c r="G2486" t="n">
        <v>0</v>
      </c>
      <c r="I2486" t="n">
        <v>2</v>
      </c>
      <c r="J2486" t="n">
        <v>0</v>
      </c>
      <c r="K2486" t="n">
        <v>12</v>
      </c>
      <c r="L2486" t="n">
        <v>0</v>
      </c>
      <c r="M2486" t="n">
        <v>-12</v>
      </c>
      <c r="O2486" t="inlineStr">
        <is>
          <t>Kelly Martinez — Co-President &amp; Founder; Barbara Rausch — Global Account Manager; Helaine Rich — Vice President of Strategic Sales &amp; Administration; Kathleen Krum — Director of Sales</t>
        </is>
      </c>
      <c r="P2486" t="inlineStr">
        <is>
          <t>Co-President &amp; Founder | Vice President of Strategic Sales &amp; Administration | Global Account Manager</t>
        </is>
      </c>
      <c r="Y2486" t="inlineStr">
        <is>
          <t>todo</t>
        </is>
      </c>
      <c r="Z2486">
        <f>(M2486*Weights!$B$2) + (MIN(Q2486,Weights!$B$5)*Weights!$B$3*(W2486/100)*Weights!$B$4)</f>
        <v/>
      </c>
      <c r="AA2486">
        <f>IF(Z2486= ,,RANK.EQ({pri_col_letter}{r},{pri_range},0))</f>
        <v/>
      </c>
    </row>
    <row r="2487">
      <c r="A2487" t="inlineStr">
        <is>
          <t>enVista</t>
        </is>
      </c>
      <c r="B2487" t="n">
        <v>4</v>
      </c>
      <c r="C2487" t="n">
        <v>0</v>
      </c>
      <c r="D2487" t="n">
        <v>0</v>
      </c>
      <c r="E2487" t="n">
        <v>0</v>
      </c>
      <c r="F2487" t="n">
        <v>2</v>
      </c>
      <c r="G2487" t="n">
        <v>0</v>
      </c>
      <c r="I2487" t="n">
        <v>2</v>
      </c>
      <c r="J2487" t="n">
        <v>0</v>
      </c>
      <c r="K2487" t="n">
        <v>12</v>
      </c>
      <c r="L2487" t="n">
        <v>0</v>
      </c>
      <c r="M2487" t="n">
        <v>-12</v>
      </c>
      <c r="O2487" t="inlineStr">
        <is>
          <t>Nate Rosier — Senior Vice President; Nick Brown — Director; Carrie Koschnick — Senior Account Executive; Benji Fountain — Business Development Manager</t>
        </is>
      </c>
      <c r="P2487" t="inlineStr">
        <is>
          <t>Senior Vice President | Director | Business Development Manager</t>
        </is>
      </c>
      <c r="Y2487" t="inlineStr">
        <is>
          <t>todo</t>
        </is>
      </c>
      <c r="Z2487">
        <f>(M2487*Weights!$B$2) + (MIN(Q2487,Weights!$B$5)*Weights!$B$3*(W2487/100)*Weights!$B$4)</f>
        <v/>
      </c>
      <c r="AA2487">
        <f>IF(Z2487= ,,RANK.EQ({pri_col_letter}{r},{pri_range},0))</f>
        <v/>
      </c>
    </row>
    <row r="2488">
      <c r="A2488" t="inlineStr">
        <is>
          <t>Emerge</t>
        </is>
      </c>
      <c r="B2488" t="n">
        <v>2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I2488" t="n">
        <v>2</v>
      </c>
      <c r="J2488" t="n">
        <v>0</v>
      </c>
      <c r="K2488" t="n">
        <v>12</v>
      </c>
      <c r="L2488" t="n">
        <v>0</v>
      </c>
      <c r="M2488" t="n">
        <v>-12</v>
      </c>
      <c r="O2488" t="inlineStr">
        <is>
          <t>Joseph Piazza — Dir. Of Solutions Engineering; Brad Wheeler — EVP of Sales</t>
        </is>
      </c>
      <c r="P2488" t="inlineStr">
        <is>
          <t>Dir. Of Solutions Engineering | EVP of Sales</t>
        </is>
      </c>
      <c r="Y2488" t="inlineStr">
        <is>
          <t>todo</t>
        </is>
      </c>
      <c r="Z2488">
        <f>(M2488*Weights!$B$2) + (MIN(Q2488,Weights!$B$5)*Weights!$B$3*(W2488/100)*Weights!$B$4)</f>
        <v/>
      </c>
      <c r="AA2488">
        <f>IF(Z2488= ,,RANK.EQ({pri_col_letter}{r},{pri_range},0))</f>
        <v/>
      </c>
    </row>
    <row r="2489">
      <c r="A2489" t="inlineStr">
        <is>
          <t>Engineering Innovation, Inc.</t>
        </is>
      </c>
      <c r="B2489" t="n">
        <v>2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I2489" t="n">
        <v>2</v>
      </c>
      <c r="J2489" t="n">
        <v>0</v>
      </c>
      <c r="K2489" t="n">
        <v>12</v>
      </c>
      <c r="L2489" t="n">
        <v>0</v>
      </c>
      <c r="M2489" t="n">
        <v>-12</v>
      </c>
      <c r="O2489" t="inlineStr">
        <is>
          <t>Evan Walker — Application Engineer; Allie Collier — Growth Specialist</t>
        </is>
      </c>
      <c r="P2489" t="inlineStr">
        <is>
          <t>Application Engineer | Growth Specialist</t>
        </is>
      </c>
      <c r="Y2489" t="inlineStr">
        <is>
          <t>todo</t>
        </is>
      </c>
      <c r="Z2489">
        <f>(M2489*Weights!$B$2) + (MIN(Q2489,Weights!$B$5)*Weights!$B$3*(W2489/100)*Weights!$B$4)</f>
        <v/>
      </c>
      <c r="AA2489">
        <f>IF(Z2489= ,,RANK.EQ({pri_col_letter}{r},{pri_range},0))</f>
        <v/>
      </c>
    </row>
    <row r="2490">
      <c r="A2490" t="inlineStr">
        <is>
          <t>Lion Power</t>
        </is>
      </c>
      <c r="B2490" t="n">
        <v>2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I2490" t="n">
        <v>2</v>
      </c>
      <c r="J2490" t="n">
        <v>0</v>
      </c>
      <c r="K2490" t="n">
        <v>12</v>
      </c>
      <c r="L2490" t="n">
        <v>0</v>
      </c>
      <c r="M2490" t="n">
        <v>-12</v>
      </c>
      <c r="O2490" t="inlineStr">
        <is>
          <t>John Ward — Director of Engineering &amp; Strategic Partnerships; Rembert Moore — VP of Sales</t>
        </is>
      </c>
      <c r="P2490" t="inlineStr">
        <is>
          <t>Director of Engineering &amp; Strategic Partnerships | VP of Sales</t>
        </is>
      </c>
      <c r="Y2490" t="inlineStr">
        <is>
          <t>todo</t>
        </is>
      </c>
      <c r="Z2490">
        <f>(M2490*Weights!$B$2) + (MIN(Q2490,Weights!$B$5)*Weights!$B$3*(W2490/100)*Weights!$B$4)</f>
        <v/>
      </c>
      <c r="AA2490">
        <f>IF(Z2490= ,,RANK.EQ({pri_col_letter}{r},{pri_range},0))</f>
        <v/>
      </c>
    </row>
    <row r="2491">
      <c r="A2491" t="inlineStr">
        <is>
          <t>Mitsubishi Electric Automotive America</t>
        </is>
      </c>
      <c r="B2491" t="n">
        <v>2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I2491" t="n">
        <v>2</v>
      </c>
      <c r="J2491" t="n">
        <v>0</v>
      </c>
      <c r="K2491" t="n">
        <v>12</v>
      </c>
      <c r="L2491" t="n">
        <v>0</v>
      </c>
      <c r="M2491" t="n">
        <v>-12</v>
      </c>
      <c r="O2491" t="inlineStr">
        <is>
          <t>Mark Rakoski — VP Advanced Engineering; Craig Suydam — Business Development</t>
        </is>
      </c>
      <c r="P2491" t="inlineStr">
        <is>
          <t>VP Advanced Engineering | Business Development</t>
        </is>
      </c>
      <c r="Y2491" t="inlineStr">
        <is>
          <t>todo</t>
        </is>
      </c>
      <c r="Z2491">
        <f>(M2491*Weights!$B$2) + (MIN(Q2491,Weights!$B$5)*Weights!$B$3*(W2491/100)*Weights!$B$4)</f>
        <v/>
      </c>
      <c r="AA2491">
        <f>IF(Z2491= ,,RANK.EQ({pri_col_letter}{r},{pri_range},0))</f>
        <v/>
      </c>
    </row>
    <row r="2492">
      <c r="A2492" t="inlineStr">
        <is>
          <t>T-Mobile for Business</t>
        </is>
      </c>
      <c r="B2492" t="n">
        <v>2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I2492" t="n">
        <v>2</v>
      </c>
      <c r="J2492" t="n">
        <v>0</v>
      </c>
      <c r="K2492" t="n">
        <v>12</v>
      </c>
      <c r="L2492" t="n">
        <v>0</v>
      </c>
      <c r="M2492" t="n">
        <v>-12</v>
      </c>
      <c r="O2492" t="inlineStr">
        <is>
          <t>Rob Correa — Sr. Solutions Engineer; Spencer Leeder — Sr. Business Marketing Mgr.</t>
        </is>
      </c>
      <c r="P2492" t="inlineStr">
        <is>
          <t>Sr. Solutions Engineer | Sr. Business Marketing Mgr.</t>
        </is>
      </c>
      <c r="Y2492" t="inlineStr">
        <is>
          <t>todo</t>
        </is>
      </c>
      <c r="Z2492">
        <f>(M2492*Weights!$B$2) + (MIN(Q2492,Weights!$B$5)*Weights!$B$3*(W2492/100)*Weights!$B$4)</f>
        <v/>
      </c>
      <c r="AA2492">
        <f>IF(Z2492= ,,RANK.EQ({pri_col_letter}{r},{pri_range},0))</f>
        <v/>
      </c>
    </row>
    <row r="2493">
      <c r="A2493" t="inlineStr">
        <is>
          <t>Zebra Technologies</t>
        </is>
      </c>
      <c r="B2493" t="n">
        <v>2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I2493" t="n">
        <v>2</v>
      </c>
      <c r="J2493" t="n">
        <v>0</v>
      </c>
      <c r="K2493" t="n">
        <v>12</v>
      </c>
      <c r="L2493" t="n">
        <v>0</v>
      </c>
      <c r="M2493" t="n">
        <v>-12</v>
      </c>
      <c r="O2493" t="inlineStr">
        <is>
          <t>Mark Eppedio — Principal Product Manager; Katie Kraverath — Sr. Business Development Manager</t>
        </is>
      </c>
      <c r="P2493" t="inlineStr">
        <is>
          <t>Principal Product Manager | Sr. Business Development Manager</t>
        </is>
      </c>
      <c r="Y2493" t="inlineStr">
        <is>
          <t>todo</t>
        </is>
      </c>
      <c r="Z2493">
        <f>(M2493*Weights!$B$2) + (MIN(Q2493,Weights!$B$5)*Weights!$B$3*(W2493/100)*Weights!$B$4)</f>
        <v/>
      </c>
      <c r="AA2493">
        <f>IF(Z2493= ,,RANK.EQ({pri_col_letter}{r},{pri_range},0))</f>
        <v/>
      </c>
    </row>
    <row r="2494">
      <c r="A2494" t="inlineStr">
        <is>
          <t>Dexory</t>
        </is>
      </c>
      <c r="B2494" t="n">
        <v>11</v>
      </c>
      <c r="C2494" t="n">
        <v>0</v>
      </c>
      <c r="D2494" t="n">
        <v>0</v>
      </c>
      <c r="E2494" t="n">
        <v>0</v>
      </c>
      <c r="F2494" t="n">
        <v>6</v>
      </c>
      <c r="G2494" t="n">
        <v>0</v>
      </c>
      <c r="I2494" t="n">
        <v>6</v>
      </c>
      <c r="J2494" t="n">
        <v>0</v>
      </c>
      <c r="K2494" t="n">
        <v>12</v>
      </c>
      <c r="L2494" t="n">
        <v>0</v>
      </c>
      <c r="M2494" t="n">
        <v>-13</v>
      </c>
      <c r="O2494" t="inlineStr">
        <is>
          <t>Adrian Negoita — Co-founder &amp; CTO; Richard Williams — Head of Electronics and Robotics; Todd Boone — VP North America; Andrei Danescu — Co-founder &amp; CEO; Oana Jinga — Co-founder, CC&amp;PO</t>
        </is>
      </c>
      <c r="P2494" t="inlineStr">
        <is>
          <t>Co-founder &amp; CTO | Head of Electronics and Robotics | VP North America</t>
        </is>
      </c>
      <c r="Y2494" t="inlineStr">
        <is>
          <t>todo</t>
        </is>
      </c>
      <c r="Z2494">
        <f>(M2494*Weights!$B$2) + (MIN(Q2494,Weights!$B$5)*Weights!$B$3*(W2494/100)*Weights!$B$4)</f>
        <v/>
      </c>
      <c r="AA2494">
        <f>IF(Z2494= ,,RANK.EQ({pri_col_letter}{r},{pri_range},0))</f>
        <v/>
      </c>
    </row>
    <row r="2495">
      <c r="A2495" t="inlineStr">
        <is>
          <t>Revenue Vessel</t>
        </is>
      </c>
      <c r="B2495" t="n">
        <v>9</v>
      </c>
      <c r="C2495" t="n">
        <v>0</v>
      </c>
      <c r="D2495" t="n">
        <v>0</v>
      </c>
      <c r="E2495" t="n">
        <v>0</v>
      </c>
      <c r="F2495" t="n">
        <v>5</v>
      </c>
      <c r="G2495" t="n">
        <v>0</v>
      </c>
      <c r="I2495" t="n">
        <v>5</v>
      </c>
      <c r="J2495" t="n">
        <v>0</v>
      </c>
      <c r="K2495" t="n">
        <v>12</v>
      </c>
      <c r="L2495" t="n">
        <v>0</v>
      </c>
      <c r="M2495" t="n">
        <v>-13</v>
      </c>
      <c r="O2495" t="inlineStr">
        <is>
          <t>Brian Li — Co-Founder &amp; CEO; Matt Rocha — Head of Strategic Accounts; Noah Stewart — COO; Selena Sisneroz — Founding Account Manager; Alex Brown — Sales Development Representative</t>
        </is>
      </c>
      <c r="P2495" t="inlineStr">
        <is>
          <t>Co-Founder &amp; CEO | Head of Strategic Accounts | COO</t>
        </is>
      </c>
      <c r="Y2495" t="inlineStr">
        <is>
          <t>todo</t>
        </is>
      </c>
      <c r="Z2495">
        <f>(M2495*Weights!$B$2) + (MIN(Q2495,Weights!$B$5)*Weights!$B$3*(W2495/100)*Weights!$B$4)</f>
        <v/>
      </c>
      <c r="AA2495">
        <f>IF(Z2495= ,,RANK.EQ({pri_col_letter}{r},{pri_range},0))</f>
        <v/>
      </c>
    </row>
    <row r="2496">
      <c r="A2496" t="inlineStr">
        <is>
          <t>Infios</t>
        </is>
      </c>
      <c r="B2496" t="n">
        <v>7</v>
      </c>
      <c r="C2496" t="n">
        <v>0</v>
      </c>
      <c r="D2496" t="n">
        <v>0</v>
      </c>
      <c r="E2496" t="n">
        <v>0</v>
      </c>
      <c r="F2496" t="n">
        <v>4</v>
      </c>
      <c r="G2496" t="n">
        <v>0</v>
      </c>
      <c r="I2496" t="n">
        <v>4</v>
      </c>
      <c r="J2496" t="n">
        <v>0</v>
      </c>
      <c r="K2496" t="n">
        <v>12</v>
      </c>
      <c r="L2496" t="n">
        <v>0</v>
      </c>
      <c r="M2496" t="n">
        <v>-13</v>
      </c>
      <c r="O2496" t="inlineStr">
        <is>
          <t>Aadil Kazmi — VP GenAI; Jeff Englund — VP, Professional Services; Nikki Monger — Senior Director, Global Industry Events; Ashley Swanson — Account Executive; Gabe Vidal — Account Executive</t>
        </is>
      </c>
      <c r="P2496" t="inlineStr">
        <is>
          <t>VP GenAI | VP, Professional Services | Senior Director, Global Industry Events</t>
        </is>
      </c>
      <c r="Y2496" t="inlineStr">
        <is>
          <t>todo</t>
        </is>
      </c>
      <c r="Z2496">
        <f>(M2496*Weights!$B$2) + (MIN(Q2496,Weights!$B$5)*Weights!$B$3*(W2496/100)*Weights!$B$4)</f>
        <v/>
      </c>
      <c r="AA2496">
        <f>IF(Z2496= ,,RANK.EQ({pri_col_letter}{r},{pri_range},0))</f>
        <v/>
      </c>
    </row>
    <row r="2497">
      <c r="A2497" t="inlineStr">
        <is>
          <t>Packsize</t>
        </is>
      </c>
      <c r="B2497" t="n">
        <v>7</v>
      </c>
      <c r="C2497" t="n">
        <v>0</v>
      </c>
      <c r="D2497" t="n">
        <v>0</v>
      </c>
      <c r="E2497" t="n">
        <v>0</v>
      </c>
      <c r="F2497" t="n">
        <v>4</v>
      </c>
      <c r="G2497" t="n">
        <v>0</v>
      </c>
      <c r="I2497" t="n">
        <v>4</v>
      </c>
      <c r="J2497" t="n">
        <v>0</v>
      </c>
      <c r="K2497" t="n">
        <v>12</v>
      </c>
      <c r="L2497" t="n">
        <v>0</v>
      </c>
      <c r="M2497" t="n">
        <v>-13</v>
      </c>
      <c r="O2497" t="inlineStr">
        <is>
          <t>Eric Proctor — Partnerships Director; Michael Marszalek — Sr. Director, Partnerships; Michele kolin — Packsize; Brian Reinhart — Chief Revenue Officer; Chris Gross — Senior Regional Sales Manager</t>
        </is>
      </c>
      <c r="P2497" t="inlineStr">
        <is>
          <t>Chief Revenue Officer | Partnerships Director | Sr. Director, Partnerships</t>
        </is>
      </c>
      <c r="Y2497" t="inlineStr">
        <is>
          <t>todo</t>
        </is>
      </c>
      <c r="Z2497">
        <f>(M2497*Weights!$B$2) + (MIN(Q2497,Weights!$B$5)*Weights!$B$3*(W2497/100)*Weights!$B$4)</f>
        <v/>
      </c>
      <c r="AA2497">
        <f>IF(Z2497= ,,RANK.EQ({pri_col_letter}{r},{pri_range},0))</f>
        <v/>
      </c>
    </row>
    <row r="2498">
      <c r="A2498" t="inlineStr">
        <is>
          <t>ShipStation</t>
        </is>
      </c>
      <c r="B2498" t="n">
        <v>7</v>
      </c>
      <c r="C2498" t="n">
        <v>0</v>
      </c>
      <c r="D2498" t="n">
        <v>0</v>
      </c>
      <c r="E2498" t="n">
        <v>0</v>
      </c>
      <c r="F2498" t="n">
        <v>4</v>
      </c>
      <c r="G2498" t="n">
        <v>1</v>
      </c>
      <c r="I2498" t="n">
        <v>5</v>
      </c>
      <c r="J2498" t="n">
        <v>0</v>
      </c>
      <c r="K2498" t="n">
        <v>12</v>
      </c>
      <c r="L2498" t="n">
        <v>0</v>
      </c>
      <c r="M2498" t="n">
        <v>-13</v>
      </c>
      <c r="O2498" t="inlineStr">
        <is>
          <t>Marcin Bosacki — Senior Strategy Director; Jake Stuart — Director of Demand Generation; Ryan Morgan — Senior Solutions Engineer; Jose Congo — Sales Development Representative; JP Peterson — Sales Manager</t>
        </is>
      </c>
      <c r="P2498" t="inlineStr">
        <is>
          <t>Senior Strategy Director | Director of Demand Generation | Senior Solutions Engineer</t>
        </is>
      </c>
      <c r="Y2498" t="inlineStr">
        <is>
          <t>todo</t>
        </is>
      </c>
      <c r="Z2498">
        <f>(M2498*Weights!$B$2) + (MIN(Q2498,Weights!$B$5)*Weights!$B$3*(W2498/100)*Weights!$B$4)</f>
        <v/>
      </c>
      <c r="AA2498">
        <f>IF(Z2498= ,,RANK.EQ({pri_col_letter}{r},{pri_range},0))</f>
        <v/>
      </c>
    </row>
    <row r="2499">
      <c r="A2499" t="inlineStr">
        <is>
          <t>DispatchTrack</t>
        </is>
      </c>
      <c r="B2499" t="n">
        <v>5</v>
      </c>
      <c r="C2499" t="n">
        <v>0</v>
      </c>
      <c r="D2499" t="n">
        <v>0</v>
      </c>
      <c r="E2499" t="n">
        <v>0</v>
      </c>
      <c r="F2499" t="n">
        <v>3</v>
      </c>
      <c r="G2499" t="n">
        <v>0</v>
      </c>
      <c r="I2499" t="n">
        <v>3</v>
      </c>
      <c r="J2499" t="n">
        <v>0</v>
      </c>
      <c r="K2499" t="n">
        <v>12</v>
      </c>
      <c r="L2499" t="n">
        <v>0</v>
      </c>
      <c r="M2499" t="n">
        <v>-13</v>
      </c>
      <c r="O2499" t="inlineStr">
        <is>
          <t>Paulette DesCoteaux — Strategic Account Director; Rick Villarreal — Sr. Director of Consumer Delivery; Craig Fisher — VP of Sales; Gautham Rathnam — Sales Rep; Gregg Delpino — Account Executive</t>
        </is>
      </c>
      <c r="P2499" t="inlineStr">
        <is>
          <t>Sr. Director of Consumer Delivery | Strategic Account Director | VP of Sales</t>
        </is>
      </c>
      <c r="Y2499" t="inlineStr">
        <is>
          <t>todo</t>
        </is>
      </c>
      <c r="Z2499">
        <f>(M2499*Weights!$B$2) + (MIN(Q2499,Weights!$B$5)*Weights!$B$3*(W2499/100)*Weights!$B$4)</f>
        <v/>
      </c>
      <c r="AA2499">
        <f>IF(Z2499= ,,RANK.EQ({pri_col_letter}{r},{pri_range},0))</f>
        <v/>
      </c>
    </row>
    <row r="2500">
      <c r="A2500" t="inlineStr">
        <is>
          <t>Hoplite Logistics</t>
        </is>
      </c>
      <c r="B2500" t="n">
        <v>5</v>
      </c>
      <c r="C2500" t="n">
        <v>0</v>
      </c>
      <c r="D2500" t="n">
        <v>0</v>
      </c>
      <c r="E2500" t="n">
        <v>0</v>
      </c>
      <c r="F2500" t="n">
        <v>3</v>
      </c>
      <c r="G2500" t="n">
        <v>0</v>
      </c>
      <c r="I2500" t="n">
        <v>3</v>
      </c>
      <c r="J2500" t="n">
        <v>0</v>
      </c>
      <c r="K2500" t="n">
        <v>12</v>
      </c>
      <c r="L2500" t="n">
        <v>0</v>
      </c>
      <c r="M2500" t="n">
        <v>-13</v>
      </c>
      <c r="O2500" t="inlineStr">
        <is>
          <t>Bryan Rekowski — COO; Rich Krul — CEO; Alex Brown — Senior Sales Executive; Rob Conard — Director of Sales; Ryan Fregeau — Director of Sales</t>
        </is>
      </c>
      <c r="P2500" t="inlineStr">
        <is>
          <t>COO | CEO | Senior Sales Executive</t>
        </is>
      </c>
      <c r="Y2500" t="inlineStr">
        <is>
          <t>todo</t>
        </is>
      </c>
      <c r="Z2500">
        <f>(M2500*Weights!$B$2) + (MIN(Q2500,Weights!$B$5)*Weights!$B$3*(W2500/100)*Weights!$B$4)</f>
        <v/>
      </c>
      <c r="AA2500">
        <f>IF(Z2500= ,,RANK.EQ({pri_col_letter}{r},{pri_range},0))</f>
        <v/>
      </c>
    </row>
    <row r="2501">
      <c r="A2501" t="inlineStr">
        <is>
          <t>Kaleris</t>
        </is>
      </c>
      <c r="B2501" t="n">
        <v>5</v>
      </c>
      <c r="C2501" t="n">
        <v>0</v>
      </c>
      <c r="D2501" t="n">
        <v>0</v>
      </c>
      <c r="E2501" t="n">
        <v>0</v>
      </c>
      <c r="F2501" t="n">
        <v>3</v>
      </c>
      <c r="G2501" t="n">
        <v>1</v>
      </c>
      <c r="I2501" t="n">
        <v>4</v>
      </c>
      <c r="J2501" t="n">
        <v>0</v>
      </c>
      <c r="K2501" t="n">
        <v>12</v>
      </c>
      <c r="L2501" t="n">
        <v>0</v>
      </c>
      <c r="M2501" t="n">
        <v>-13</v>
      </c>
      <c r="O2501" t="inlineStr">
        <is>
          <t>Nick Cornell — Sr. Director, Corporate Development; Prashant Bhatia — CMO; Mike Treat — Enterprise Sales Executive; Jake Thomason — Account Executive; Darius Landrum — Senior Product Marketing Manager</t>
        </is>
      </c>
      <c r="P2501" t="inlineStr">
        <is>
          <t>Sr. Director, Corporate Development | CMO | Enterprise Sales Executive</t>
        </is>
      </c>
      <c r="Y2501" t="inlineStr">
        <is>
          <t>todo</t>
        </is>
      </c>
      <c r="Z2501">
        <f>(M2501*Weights!$B$2) + (MIN(Q2501,Weights!$B$5)*Weights!$B$3*(W2501/100)*Weights!$B$4)</f>
        <v/>
      </c>
      <c r="AA2501">
        <f>IF(Z2501= ,,RANK.EQ({pri_col_letter}{r},{pri_range},0))</f>
        <v/>
      </c>
    </row>
    <row r="2502">
      <c r="A2502" t="inlineStr">
        <is>
          <t>Penske Logistics</t>
        </is>
      </c>
      <c r="B2502" t="n">
        <v>5</v>
      </c>
      <c r="C2502" t="n">
        <v>0</v>
      </c>
      <c r="D2502" t="n">
        <v>0</v>
      </c>
      <c r="E2502" t="n">
        <v>0</v>
      </c>
      <c r="F2502" t="n">
        <v>3</v>
      </c>
      <c r="G2502" t="n">
        <v>0</v>
      </c>
      <c r="I2502" t="n">
        <v>3</v>
      </c>
      <c r="J2502" t="n">
        <v>0</v>
      </c>
      <c r="K2502" t="n">
        <v>12</v>
      </c>
      <c r="L2502" t="n">
        <v>0</v>
      </c>
      <c r="M2502" t="n">
        <v>-13</v>
      </c>
      <c r="O2502" t="inlineStr">
        <is>
          <t>LeAnne Coulter — Former VP Freight Management; Vish LK — Vice President, Financial Administration; Stacy Schlachter — Senior Vice President, Sales; Aidan Murphy — Senior Business Development Executive; Richard Schager — Senior Business Development Executive</t>
        </is>
      </c>
      <c r="P2502" t="inlineStr">
        <is>
          <t>Former VP Freight Management | Vice President, Financial Administration | Senior Vice President, Sales</t>
        </is>
      </c>
      <c r="Y2502" t="inlineStr">
        <is>
          <t>todo</t>
        </is>
      </c>
      <c r="Z2502">
        <f>(M2502*Weights!$B$2) + (MIN(Q2502,Weights!$B$5)*Weights!$B$3*(W2502/100)*Weights!$B$4)</f>
        <v/>
      </c>
      <c r="AA2502">
        <f>IF(Z2502= ,,RANK.EQ({pri_col_letter}{r},{pri_range},0))</f>
        <v/>
      </c>
    </row>
    <row r="2503">
      <c r="A2503" t="inlineStr">
        <is>
          <t>ProShip, Inc.</t>
        </is>
      </c>
      <c r="B2503" t="n">
        <v>5</v>
      </c>
      <c r="C2503" t="n">
        <v>0</v>
      </c>
      <c r="D2503" t="n">
        <v>0</v>
      </c>
      <c r="E2503" t="n">
        <v>0</v>
      </c>
      <c r="F2503" t="n">
        <v>3</v>
      </c>
      <c r="G2503" t="n">
        <v>0</v>
      </c>
      <c r="I2503" t="n">
        <v>3</v>
      </c>
      <c r="J2503" t="n">
        <v>0</v>
      </c>
      <c r="K2503" t="n">
        <v>12</v>
      </c>
      <c r="L2503" t="n">
        <v>0</v>
      </c>
      <c r="M2503" t="n">
        <v>-13</v>
      </c>
      <c r="O2503" t="inlineStr">
        <is>
          <t>Bill Schroeder — President; Heath Galbraith — Director of Strategic Accounts; Taylor Pawelka — VP of Marketing and Alliances; Tony Verrill — VP of Sales; Miranda Dowler — Enterprise Sales Executive</t>
        </is>
      </c>
      <c r="P2503" t="inlineStr">
        <is>
          <t>President | Director of Strategic Accounts | VP of Marketing and Alliances</t>
        </is>
      </c>
      <c r="Y2503" t="inlineStr">
        <is>
          <t>todo</t>
        </is>
      </c>
      <c r="Z2503">
        <f>(M2503*Weights!$B$2) + (MIN(Q2503,Weights!$B$5)*Weights!$B$3*(W2503/100)*Weights!$B$4)</f>
        <v/>
      </c>
      <c r="AA2503">
        <f>IF(Z2503= ,,RANK.EQ({pri_col_letter}{r},{pri_range},0))</f>
        <v/>
      </c>
    </row>
    <row r="2504">
      <c r="A2504" t="inlineStr">
        <is>
          <t>R+L Global Logistics</t>
        </is>
      </c>
      <c r="B2504" t="n">
        <v>5</v>
      </c>
      <c r="C2504" t="n">
        <v>0</v>
      </c>
      <c r="D2504" t="n">
        <v>0</v>
      </c>
      <c r="E2504" t="n">
        <v>0</v>
      </c>
      <c r="F2504" t="n">
        <v>3</v>
      </c>
      <c r="G2504" t="n">
        <v>0</v>
      </c>
      <c r="I2504" t="n">
        <v>3</v>
      </c>
      <c r="J2504" t="n">
        <v>0</v>
      </c>
      <c r="K2504" t="n">
        <v>12</v>
      </c>
      <c r="L2504" t="n">
        <v>0</v>
      </c>
      <c r="M2504" t="n">
        <v>-13</v>
      </c>
      <c r="O2504" t="inlineStr">
        <is>
          <t>Ed Ackfeld — Vice President of Strategy; Justin Crafts — Special Services Manager; Leah Despain — Vice President of Sales; Lindsey Cunningham — Corporate Account Executive; Erica Rosignolo — Business Development Manager</t>
        </is>
      </c>
      <c r="P2504" t="inlineStr">
        <is>
          <t>Vice President of Strategy | Vice President of Sales | Special Services Manager</t>
        </is>
      </c>
      <c r="Y2504" t="inlineStr">
        <is>
          <t>todo</t>
        </is>
      </c>
      <c r="Z2504">
        <f>(M2504*Weights!$B$2) + (MIN(Q2504,Weights!$B$5)*Weights!$B$3*(W2504/100)*Weights!$B$4)</f>
        <v/>
      </c>
      <c r="AA2504">
        <f>IF(Z2504= ,,RANK.EQ({pri_col_letter}{r},{pri_range},0))</f>
        <v/>
      </c>
    </row>
    <row r="2505">
      <c r="A2505" t="inlineStr">
        <is>
          <t>Softeon</t>
        </is>
      </c>
      <c r="B2505" t="n">
        <v>5</v>
      </c>
      <c r="C2505" t="n">
        <v>0</v>
      </c>
      <c r="D2505" t="n">
        <v>0</v>
      </c>
      <c r="E2505" t="n">
        <v>0</v>
      </c>
      <c r="F2505" t="n">
        <v>3</v>
      </c>
      <c r="G2505" t="n">
        <v>0</v>
      </c>
      <c r="I2505" t="n">
        <v>3</v>
      </c>
      <c r="J2505" t="n">
        <v>0</v>
      </c>
      <c r="K2505" t="n">
        <v>12</v>
      </c>
      <c r="L2505" t="n">
        <v>0</v>
      </c>
      <c r="M2505" t="n">
        <v>-13</v>
      </c>
      <c r="O2505" t="inlineStr">
        <is>
          <t>Eric Maldonado — Sr. Solutions Consultant; Patrick Maley — CRO; Bill Bowman — VP of Marketing; Chris O'Stean — SVP of Sales; Kathryn Cawley — Marketing Manager</t>
        </is>
      </c>
      <c r="P2505" t="inlineStr">
        <is>
          <t>VP of Marketing | Sr. Solutions Consultant | CRO</t>
        </is>
      </c>
      <c r="Y2505" t="inlineStr">
        <is>
          <t>todo</t>
        </is>
      </c>
      <c r="Z2505">
        <f>(M2505*Weights!$B$2) + (MIN(Q2505,Weights!$B$5)*Weights!$B$3*(W2505/100)*Weights!$B$4)</f>
        <v/>
      </c>
      <c r="AA2505">
        <f>IF(Z2505= ,,RANK.EQ({pri_col_letter}{r},{pri_range},0))</f>
        <v/>
      </c>
    </row>
    <row r="2506">
      <c r="A2506" t="inlineStr">
        <is>
          <t>Blecon</t>
        </is>
      </c>
      <c r="B2506" t="n">
        <v>3</v>
      </c>
      <c r="C2506" t="n">
        <v>0</v>
      </c>
      <c r="D2506" t="n">
        <v>0</v>
      </c>
      <c r="E2506" t="n">
        <v>0</v>
      </c>
      <c r="F2506" t="n">
        <v>2</v>
      </c>
      <c r="G2506" t="n">
        <v>0</v>
      </c>
      <c r="I2506" t="n">
        <v>2</v>
      </c>
      <c r="J2506" t="n">
        <v>0</v>
      </c>
      <c r="K2506" t="n">
        <v>12</v>
      </c>
      <c r="L2506" t="n">
        <v>0</v>
      </c>
      <c r="M2506" t="n">
        <v>-13</v>
      </c>
      <c r="O2506" t="inlineStr">
        <is>
          <t>Donatien Garnier — Co-Founder; Maya Ahluwalia — Head of Marketing; Garret Overholser — Head of Business Development</t>
        </is>
      </c>
      <c r="P2506" t="inlineStr">
        <is>
          <t>Co-Founder | Head of Marketing | Head of Business Development</t>
        </is>
      </c>
      <c r="Y2506" t="inlineStr">
        <is>
          <t>todo</t>
        </is>
      </c>
      <c r="Z2506">
        <f>(M2506*Weights!$B$2) + (MIN(Q2506,Weights!$B$5)*Weights!$B$3*(W2506/100)*Weights!$B$4)</f>
        <v/>
      </c>
      <c r="AA2506">
        <f>IF(Z2506= ,,RANK.EQ({pri_col_letter}{r},{pri_range},0))</f>
        <v/>
      </c>
    </row>
    <row r="2507">
      <c r="A2507" t="inlineStr">
        <is>
          <t>Capstone Logistics</t>
        </is>
      </c>
      <c r="B2507" t="n">
        <v>3</v>
      </c>
      <c r="C2507" t="n">
        <v>0</v>
      </c>
      <c r="D2507" t="n">
        <v>0</v>
      </c>
      <c r="E2507" t="n">
        <v>0</v>
      </c>
      <c r="F2507" t="n">
        <v>2</v>
      </c>
      <c r="G2507" t="n">
        <v>0</v>
      </c>
      <c r="I2507" t="n">
        <v>2</v>
      </c>
      <c r="J2507" t="n">
        <v>0</v>
      </c>
      <c r="K2507" t="n">
        <v>12</v>
      </c>
      <c r="L2507" t="n">
        <v>0</v>
      </c>
      <c r="M2507" t="n">
        <v>-13</v>
      </c>
      <c r="O2507" t="inlineStr">
        <is>
          <t>Sean Coakley — Chief Commercial Officer; Wade Castle — SVP of Business Development; Grace Booth — Marketing Demand Generation Manager</t>
        </is>
      </c>
      <c r="P2507" t="inlineStr">
        <is>
          <t>Chief Commercial Officer | SVP of Business Development | Marketing Demand Generation Manager</t>
        </is>
      </c>
      <c r="Y2507" t="inlineStr">
        <is>
          <t>todo</t>
        </is>
      </c>
      <c r="Z2507">
        <f>(M2507*Weights!$B$2) + (MIN(Q2507,Weights!$B$5)*Weights!$B$3*(W2507/100)*Weights!$B$4)</f>
        <v/>
      </c>
      <c r="AA2507">
        <f>IF(Z2507= ,,RANK.EQ({pri_col_letter}{r},{pri_range},0))</f>
        <v/>
      </c>
    </row>
    <row r="2508">
      <c r="A2508" t="inlineStr">
        <is>
          <t>CarrierSource</t>
        </is>
      </c>
      <c r="B2508" t="n">
        <v>3</v>
      </c>
      <c r="C2508" t="n">
        <v>0</v>
      </c>
      <c r="D2508" t="n">
        <v>0</v>
      </c>
      <c r="E2508" t="n">
        <v>0</v>
      </c>
      <c r="F2508" t="n">
        <v>2</v>
      </c>
      <c r="G2508" t="n">
        <v>0</v>
      </c>
      <c r="I2508" t="n">
        <v>2</v>
      </c>
      <c r="J2508" t="n">
        <v>0</v>
      </c>
      <c r="K2508" t="n">
        <v>12</v>
      </c>
      <c r="L2508" t="n">
        <v>0</v>
      </c>
      <c r="M2508" t="n">
        <v>-13</v>
      </c>
      <c r="O2508" t="inlineStr">
        <is>
          <t>Rob Light — CEO &amp; Co-Founder; Clara Flaherty — Head of Growth &amp; Co-Founder; Kevin Hill — Head of Sales</t>
        </is>
      </c>
      <c r="P2508" t="inlineStr">
        <is>
          <t>CEO &amp; Co-Founder | Head of Growth &amp; Co-Founder | Head of Sales</t>
        </is>
      </c>
      <c r="Y2508" t="inlineStr">
        <is>
          <t>todo</t>
        </is>
      </c>
      <c r="Z2508">
        <f>(M2508*Weights!$B$2) + (MIN(Q2508,Weights!$B$5)*Weights!$B$3*(W2508/100)*Weights!$B$4)</f>
        <v/>
      </c>
      <c r="AA2508">
        <f>IF(Z2508= ,,RANK.EQ({pri_col_letter}{r},{pri_range},0))</f>
        <v/>
      </c>
    </row>
    <row r="2509">
      <c r="A2509" t="inlineStr">
        <is>
          <t>Circle K</t>
        </is>
      </c>
      <c r="B2509" t="n">
        <v>3</v>
      </c>
      <c r="C2509" t="n">
        <v>0</v>
      </c>
      <c r="D2509" t="n">
        <v>0</v>
      </c>
      <c r="E2509" t="n">
        <v>0</v>
      </c>
      <c r="F2509" t="n">
        <v>2</v>
      </c>
      <c r="G2509" t="n">
        <v>0</v>
      </c>
      <c r="I2509" t="n">
        <v>2</v>
      </c>
      <c r="J2509" t="n">
        <v>0</v>
      </c>
      <c r="K2509" t="n">
        <v>12</v>
      </c>
      <c r="L2509" t="n">
        <v>0</v>
      </c>
      <c r="M2509" t="n">
        <v>-13</v>
      </c>
      <c r="O2509" t="inlineStr">
        <is>
          <t>Nick Shaver — Director B2B Truck Strategy; JD Doran — Director of Business Development; Jordan Henderson — B2B Business Development Manager</t>
        </is>
      </c>
      <c r="P2509" t="inlineStr">
        <is>
          <t>Director B2B Truck Strategy | Director of Business Development | B2B Business Development Manager</t>
        </is>
      </c>
      <c r="Y2509" t="inlineStr">
        <is>
          <t>todo</t>
        </is>
      </c>
      <c r="Z2509">
        <f>(M2509*Weights!$B$2) + (MIN(Q2509,Weights!$B$5)*Weights!$B$3*(W2509/100)*Weights!$B$4)</f>
        <v/>
      </c>
      <c r="AA2509">
        <f>IF(Z2509= ,,RANK.EQ({pri_col_letter}{r},{pri_range},0))</f>
        <v/>
      </c>
    </row>
    <row r="2510">
      <c r="A2510" t="inlineStr">
        <is>
          <t>Fountain City Logistics</t>
        </is>
      </c>
      <c r="B2510" t="n">
        <v>3</v>
      </c>
      <c r="C2510" t="n">
        <v>0</v>
      </c>
      <c r="D2510" t="n">
        <v>0</v>
      </c>
      <c r="E2510" t="n">
        <v>0</v>
      </c>
      <c r="F2510" t="n">
        <v>2</v>
      </c>
      <c r="G2510" t="n">
        <v>0</v>
      </c>
      <c r="I2510" t="n">
        <v>2</v>
      </c>
      <c r="J2510" t="n">
        <v>0</v>
      </c>
      <c r="K2510" t="n">
        <v>12</v>
      </c>
      <c r="L2510" t="n">
        <v>0</v>
      </c>
      <c r="M2510" t="n">
        <v>-13</v>
      </c>
      <c r="O2510" t="inlineStr">
        <is>
          <t>Andy Tuley — President; Jennifer Whitson — VP of Sales and Marketing; Jennifer Whitson — Sales</t>
        </is>
      </c>
      <c r="P2510" t="inlineStr">
        <is>
          <t>President | VP of Sales and Marketing | Sales</t>
        </is>
      </c>
      <c r="Y2510" t="inlineStr">
        <is>
          <t>todo</t>
        </is>
      </c>
      <c r="Z2510">
        <f>(M2510*Weights!$B$2) + (MIN(Q2510,Weights!$B$5)*Weights!$B$3*(W2510/100)*Weights!$B$4)</f>
        <v/>
      </c>
      <c r="AA2510">
        <f>IF(Z2510= ,,RANK.EQ({pri_col_letter}{r},{pri_range},0))</f>
        <v/>
      </c>
    </row>
    <row r="2511">
      <c r="A2511" t="inlineStr">
        <is>
          <t>Hermann Services</t>
        </is>
      </c>
      <c r="B2511" t="n">
        <v>3</v>
      </c>
      <c r="C2511" t="n">
        <v>0</v>
      </c>
      <c r="D2511" t="n">
        <v>0</v>
      </c>
      <c r="E2511" t="n">
        <v>0</v>
      </c>
      <c r="F2511" t="n">
        <v>2</v>
      </c>
      <c r="G2511" t="n">
        <v>0</v>
      </c>
      <c r="I2511" t="n">
        <v>2</v>
      </c>
      <c r="J2511" t="n">
        <v>0</v>
      </c>
      <c r="K2511" t="n">
        <v>12</v>
      </c>
      <c r="L2511" t="n">
        <v>0</v>
      </c>
      <c r="M2511" t="n">
        <v>-13</v>
      </c>
      <c r="O2511" t="inlineStr">
        <is>
          <t>Jeffrey Hermann — CEO &amp; President; Curt Kristjanson — Vice President of Sales; Matthew Schroyer — National Accounts Sales Director</t>
        </is>
      </c>
      <c r="P2511" t="inlineStr">
        <is>
          <t>CEO &amp; President | Vice President of Sales | National Accounts Sales Director</t>
        </is>
      </c>
      <c r="Y2511" t="inlineStr">
        <is>
          <t>todo</t>
        </is>
      </c>
      <c r="Z2511">
        <f>(M2511*Weights!$B$2) + (MIN(Q2511,Weights!$B$5)*Weights!$B$3*(W2511/100)*Weights!$B$4)</f>
        <v/>
      </c>
      <c r="AA2511">
        <f>IF(Z2511= ,,RANK.EQ({pri_col_letter}{r},{pri_range},0))</f>
        <v/>
      </c>
    </row>
    <row r="2512">
      <c r="A2512" t="inlineStr">
        <is>
          <t>Inbound Logistics</t>
        </is>
      </c>
      <c r="B2512" t="n">
        <v>3</v>
      </c>
      <c r="C2512" t="n">
        <v>0</v>
      </c>
      <c r="D2512" t="n">
        <v>0</v>
      </c>
      <c r="E2512" t="n">
        <v>0</v>
      </c>
      <c r="F2512" t="n">
        <v>2</v>
      </c>
      <c r="G2512" t="n">
        <v>0</v>
      </c>
      <c r="I2512" t="n">
        <v>2</v>
      </c>
      <c r="J2512" t="n">
        <v>0</v>
      </c>
      <c r="K2512" t="n">
        <v>12</v>
      </c>
      <c r="L2512" t="n">
        <v>0</v>
      </c>
      <c r="M2512" t="n">
        <v>-13</v>
      </c>
      <c r="O2512" t="inlineStr">
        <is>
          <t>Katrina Arabe — Senior Editor; Joe Biondo — Regional Director of Sales; Rachael Sprinz — Director, Sales and Business Development</t>
        </is>
      </c>
      <c r="P2512" t="inlineStr">
        <is>
          <t>Senior Editor | Regional Director of Sales | Director, Sales and Business Development</t>
        </is>
      </c>
      <c r="Y2512" t="inlineStr">
        <is>
          <t>todo</t>
        </is>
      </c>
      <c r="Z2512">
        <f>(M2512*Weights!$B$2) + (MIN(Q2512,Weights!$B$5)*Weights!$B$3*(W2512/100)*Weights!$B$4)</f>
        <v/>
      </c>
      <c r="AA2512">
        <f>IF(Z2512= ,,RANK.EQ({pri_col_letter}{r},{pri_range},0))</f>
        <v/>
      </c>
    </row>
    <row r="2513">
      <c r="A2513" t="inlineStr">
        <is>
          <t>Jack Henry</t>
        </is>
      </c>
      <c r="B2513" t="n">
        <v>3</v>
      </c>
      <c r="C2513" t="n">
        <v>0</v>
      </c>
      <c r="D2513" t="n">
        <v>0</v>
      </c>
      <c r="E2513" t="n">
        <v>0</v>
      </c>
      <c r="F2513" t="n">
        <v>2</v>
      </c>
      <c r="G2513" t="n">
        <v>0</v>
      </c>
      <c r="I2513" t="n">
        <v>2</v>
      </c>
      <c r="J2513" t="n">
        <v>0</v>
      </c>
      <c r="K2513" t="n">
        <v>12</v>
      </c>
      <c r="L2513" t="n">
        <v>0</v>
      </c>
      <c r="M2513" t="n">
        <v>-13</v>
      </c>
      <c r="O2513" t="inlineStr">
        <is>
          <t>Shawn Ward — SR Management Director; Danny Casey — Sales Executive; Maf Sonko — Sales Executive</t>
        </is>
      </c>
      <c r="P2513" t="inlineStr">
        <is>
          <t>SR Management Director | Sales Executive</t>
        </is>
      </c>
      <c r="Y2513" t="inlineStr">
        <is>
          <t>todo</t>
        </is>
      </c>
      <c r="Z2513">
        <f>(M2513*Weights!$B$2) + (MIN(Q2513,Weights!$B$5)*Weights!$B$3*(W2513/100)*Weights!$B$4)</f>
        <v/>
      </c>
      <c r="AA2513">
        <f>IF(Z2513= ,,RANK.EQ({pri_col_letter}{r},{pri_range},0))</f>
        <v/>
      </c>
    </row>
    <row r="2514">
      <c r="A2514" t="inlineStr">
        <is>
          <t>KNAPP</t>
        </is>
      </c>
      <c r="B2514" t="n">
        <v>3</v>
      </c>
      <c r="C2514" t="n">
        <v>0</v>
      </c>
      <c r="D2514" t="n">
        <v>0</v>
      </c>
      <c r="E2514" t="n">
        <v>0</v>
      </c>
      <c r="F2514" t="n">
        <v>2</v>
      </c>
      <c r="G2514" t="n">
        <v>0</v>
      </c>
      <c r="I2514" t="n">
        <v>2</v>
      </c>
      <c r="J2514" t="n">
        <v>0</v>
      </c>
      <c r="K2514" t="n">
        <v>12</v>
      </c>
      <c r="L2514" t="n">
        <v>0</v>
      </c>
      <c r="M2514" t="n">
        <v>-13</v>
      </c>
      <c r="O2514" t="inlineStr">
        <is>
          <t>Stefan Schober — Principal Software &amp; Automation Consultant; Austin Power — VP Sales; Michael George — Sales Consultant</t>
        </is>
      </c>
      <c r="P2514" t="inlineStr">
        <is>
          <t>Principal Software &amp; Automation Consultant | VP Sales | Sales Consultant</t>
        </is>
      </c>
      <c r="Y2514" t="inlineStr">
        <is>
          <t>todo</t>
        </is>
      </c>
      <c r="Z2514">
        <f>(M2514*Weights!$B$2) + (MIN(Q2514,Weights!$B$5)*Weights!$B$3*(W2514/100)*Weights!$B$4)</f>
        <v/>
      </c>
      <c r="AA2514">
        <f>IF(Z2514= ,,RANK.EQ({pri_col_letter}{r},{pri_range},0))</f>
        <v/>
      </c>
    </row>
    <row r="2515">
      <c r="A2515" t="inlineStr">
        <is>
          <t>Kardex</t>
        </is>
      </c>
      <c r="B2515" t="n">
        <v>3</v>
      </c>
      <c r="C2515" t="n">
        <v>0</v>
      </c>
      <c r="D2515" t="n">
        <v>0</v>
      </c>
      <c r="E2515" t="n">
        <v>0</v>
      </c>
      <c r="F2515" t="n">
        <v>2</v>
      </c>
      <c r="G2515" t="n">
        <v>1</v>
      </c>
      <c r="I2515" t="n">
        <v>3</v>
      </c>
      <c r="J2515" t="n">
        <v>0</v>
      </c>
      <c r="K2515" t="n">
        <v>12</v>
      </c>
      <c r="L2515" t="n">
        <v>0</v>
      </c>
      <c r="M2515" t="n">
        <v>-13</v>
      </c>
      <c r="O2515" t="inlineStr">
        <is>
          <t>Audrey Boyd — Software Implementation Engineer; Deb Neidhard — Business Development Specialist; Stephanie Cielenski — Marketing Manager</t>
        </is>
      </c>
      <c r="P2515" t="inlineStr">
        <is>
          <t>Software Implementation Engineer | Business Development Specialist | Marketing Manager</t>
        </is>
      </c>
      <c r="Y2515" t="inlineStr">
        <is>
          <t>todo</t>
        </is>
      </c>
      <c r="Z2515">
        <f>(M2515*Weights!$B$2) + (MIN(Q2515,Weights!$B$5)*Weights!$B$3*(W2515/100)*Weights!$B$4)</f>
        <v/>
      </c>
      <c r="AA2515">
        <f>IF(Z2515= ,,RANK.EQ({pri_col_letter}{r},{pri_range},0))</f>
        <v/>
      </c>
    </row>
    <row r="2516">
      <c r="A2516" t="inlineStr">
        <is>
          <t>Kleinschmidt Inc.</t>
        </is>
      </c>
      <c r="B2516" t="n">
        <v>3</v>
      </c>
      <c r="C2516" t="n">
        <v>0</v>
      </c>
      <c r="D2516" t="n">
        <v>0</v>
      </c>
      <c r="E2516" t="n">
        <v>0</v>
      </c>
      <c r="F2516" t="n">
        <v>2</v>
      </c>
      <c r="G2516" t="n">
        <v>0</v>
      </c>
      <c r="I2516" t="n">
        <v>2</v>
      </c>
      <c r="J2516" t="n">
        <v>0</v>
      </c>
      <c r="K2516" t="n">
        <v>12</v>
      </c>
      <c r="L2516" t="n">
        <v>0</v>
      </c>
      <c r="M2516" t="n">
        <v>-13</v>
      </c>
      <c r="O2516" t="inlineStr">
        <is>
          <t>Vanessa Eldridge — Director of Account Management; Andrew MacDonald — Assistant VP of Sales; Jeffrey Korengold — Sales Enablement Manager</t>
        </is>
      </c>
      <c r="P2516" t="inlineStr">
        <is>
          <t>Director of Account Management | Assistant VP of Sales | Sales Enablement Manager</t>
        </is>
      </c>
      <c r="Y2516" t="inlineStr">
        <is>
          <t>todo</t>
        </is>
      </c>
      <c r="Z2516">
        <f>(M2516*Weights!$B$2) + (MIN(Q2516,Weights!$B$5)*Weights!$B$3*(W2516/100)*Weights!$B$4)</f>
        <v/>
      </c>
      <c r="AA2516">
        <f>IF(Z2516= ,,RANK.EQ({pri_col_letter}{r},{pri_range},0))</f>
        <v/>
      </c>
    </row>
    <row r="2517">
      <c r="A2517" t="inlineStr">
        <is>
          <t>LJM</t>
        </is>
      </c>
      <c r="B2517" t="n">
        <v>3</v>
      </c>
      <c r="C2517" t="n">
        <v>0</v>
      </c>
      <c r="D2517" t="n">
        <v>0</v>
      </c>
      <c r="E2517" t="n">
        <v>0</v>
      </c>
      <c r="F2517" t="n">
        <v>2</v>
      </c>
      <c r="G2517" t="n">
        <v>0</v>
      </c>
      <c r="I2517" t="n">
        <v>2</v>
      </c>
      <c r="J2517" t="n">
        <v>0</v>
      </c>
      <c r="K2517" t="n">
        <v>12</v>
      </c>
      <c r="L2517" t="n">
        <v>0</v>
      </c>
      <c r="M2517" t="n">
        <v>-13</v>
      </c>
      <c r="O2517" t="inlineStr">
        <is>
          <t>Ken Wood — CEO; Jay Fox — SR National Sales Executive; Jonathan Wiener — SR National Sales Executive</t>
        </is>
      </c>
      <c r="P2517" t="inlineStr">
        <is>
          <t>CEO | SR National Sales Executive</t>
        </is>
      </c>
      <c r="Y2517" t="inlineStr">
        <is>
          <t>todo</t>
        </is>
      </c>
      <c r="Z2517">
        <f>(M2517*Weights!$B$2) + (MIN(Q2517,Weights!$B$5)*Weights!$B$3*(W2517/100)*Weights!$B$4)</f>
        <v/>
      </c>
      <c r="AA2517">
        <f>IF(Z2517= ,,RANK.EQ({pri_col_letter}{r},{pri_range},0))</f>
        <v/>
      </c>
    </row>
    <row r="2518">
      <c r="A2518" t="inlineStr">
        <is>
          <t>PIPE17 - Order Operations Solutions for 3PLs</t>
        </is>
      </c>
      <c r="B2518" t="n">
        <v>3</v>
      </c>
      <c r="C2518" t="n">
        <v>0</v>
      </c>
      <c r="D2518" t="n">
        <v>0</v>
      </c>
      <c r="E2518" t="n">
        <v>0</v>
      </c>
      <c r="F2518" t="n">
        <v>2</v>
      </c>
      <c r="G2518" t="n">
        <v>1</v>
      </c>
      <c r="I2518" t="n">
        <v>3</v>
      </c>
      <c r="J2518" t="n">
        <v>0</v>
      </c>
      <c r="K2518" t="n">
        <v>12</v>
      </c>
      <c r="L2518" t="n">
        <v>0</v>
      </c>
      <c r="M2518" t="n">
        <v>-13</v>
      </c>
      <c r="O2518" t="inlineStr">
        <is>
          <t>Tim Morse — VP of Partnerships; Brad Habansky — Chief Sales Officer; Arman Amlani — Sales Solutions Engineer</t>
        </is>
      </c>
      <c r="P2518" t="inlineStr">
        <is>
          <t>VP of Partnerships | Chief Sales Officer | Sales Solutions Engineer</t>
        </is>
      </c>
      <c r="Y2518" t="inlineStr">
        <is>
          <t>todo</t>
        </is>
      </c>
      <c r="Z2518">
        <f>(M2518*Weights!$B$2) + (MIN(Q2518,Weights!$B$5)*Weights!$B$3*(W2518/100)*Weights!$B$4)</f>
        <v/>
      </c>
      <c r="AA2518">
        <f>IF(Z2518= ,,RANK.EQ({pri_col_letter}{r},{pri_range},0))</f>
        <v/>
      </c>
    </row>
    <row r="2519">
      <c r="A2519" t="inlineStr">
        <is>
          <t>Paccurate</t>
        </is>
      </c>
      <c r="B2519" t="n">
        <v>3</v>
      </c>
      <c r="C2519" t="n">
        <v>0</v>
      </c>
      <c r="D2519" t="n">
        <v>0</v>
      </c>
      <c r="E2519" t="n">
        <v>0</v>
      </c>
      <c r="F2519" t="n">
        <v>2</v>
      </c>
      <c r="G2519" t="n">
        <v>0</v>
      </c>
      <c r="I2519" t="n">
        <v>2</v>
      </c>
      <c r="J2519" t="n">
        <v>0</v>
      </c>
      <c r="K2519" t="n">
        <v>12</v>
      </c>
      <c r="L2519" t="n">
        <v>0</v>
      </c>
      <c r="M2519" t="n">
        <v>-13</v>
      </c>
      <c r="O2519" t="inlineStr">
        <is>
          <t>Tony Villanova — Vice President of Technology Partnerships; Greg Walls — Vice President of Revenue; Spencer Coop — Account Executive</t>
        </is>
      </c>
      <c r="P2519" t="inlineStr">
        <is>
          <t>Vice President of Technology Partnerships | Vice President of Revenue | Account Executive</t>
        </is>
      </c>
      <c r="Y2519" t="inlineStr">
        <is>
          <t>todo</t>
        </is>
      </c>
      <c r="Z2519">
        <f>(M2519*Weights!$B$2) + (MIN(Q2519,Weights!$B$5)*Weights!$B$3*(W2519/100)*Weights!$B$4)</f>
        <v/>
      </c>
      <c r="AA2519">
        <f>IF(Z2519= ,,RANK.EQ({pri_col_letter}{r},{pri_range},0))</f>
        <v/>
      </c>
    </row>
    <row r="2520">
      <c r="A2520" t="inlineStr">
        <is>
          <t>PalletTrader</t>
        </is>
      </c>
      <c r="B2520" t="n">
        <v>3</v>
      </c>
      <c r="C2520" t="n">
        <v>0</v>
      </c>
      <c r="D2520" t="n">
        <v>0</v>
      </c>
      <c r="E2520" t="n">
        <v>0</v>
      </c>
      <c r="F2520" t="n">
        <v>2</v>
      </c>
      <c r="G2520" t="n">
        <v>0</v>
      </c>
      <c r="I2520" t="n">
        <v>2</v>
      </c>
      <c r="J2520" t="n">
        <v>0</v>
      </c>
      <c r="K2520" t="n">
        <v>12</v>
      </c>
      <c r="L2520" t="n">
        <v>0</v>
      </c>
      <c r="M2520" t="n">
        <v>-13</v>
      </c>
      <c r="O2520" t="inlineStr">
        <is>
          <t>Jessica Dzugan — VP of Technology; Stephen Bartalini — Director of Sales; Trey Kulak — Sr. Account Executive</t>
        </is>
      </c>
      <c r="P2520" t="inlineStr">
        <is>
          <t>VP of Technology | Director of Sales | Sr. Account Executive</t>
        </is>
      </c>
      <c r="Y2520" t="inlineStr">
        <is>
          <t>todo</t>
        </is>
      </c>
      <c r="Z2520">
        <f>(M2520*Weights!$B$2) + (MIN(Q2520,Weights!$B$5)*Weights!$B$3*(W2520/100)*Weights!$B$4)</f>
        <v/>
      </c>
      <c r="AA2520">
        <f>IF(Z2520= ,,RANK.EQ({pri_col_letter}{r},{pri_range},0))</f>
        <v/>
      </c>
    </row>
    <row r="2521">
      <c r="A2521" t="inlineStr">
        <is>
          <t>Qargo TMS</t>
        </is>
      </c>
      <c r="B2521" t="n">
        <v>3</v>
      </c>
      <c r="C2521" t="n">
        <v>0</v>
      </c>
      <c r="D2521" t="n">
        <v>0</v>
      </c>
      <c r="E2521" t="n">
        <v>0</v>
      </c>
      <c r="F2521" t="n">
        <v>2</v>
      </c>
      <c r="G2521" t="n">
        <v>1</v>
      </c>
      <c r="I2521" t="n">
        <v>3</v>
      </c>
      <c r="J2521" t="n">
        <v>0</v>
      </c>
      <c r="K2521" t="n">
        <v>12</v>
      </c>
      <c r="L2521" t="n">
        <v>0</v>
      </c>
      <c r="M2521" t="n">
        <v>-13</v>
      </c>
      <c r="O2521" t="inlineStr">
        <is>
          <t>Jamie Francis — Director of Solutions Engineering; Tom Gardin — VP of Customer Success; David Shawcross — Senior Business Development Manager UK</t>
        </is>
      </c>
      <c r="P2521" t="inlineStr">
        <is>
          <t>VP of Customer Success | Director of Solutions Engineering | Senior Business Development Manager UK</t>
        </is>
      </c>
      <c r="Y2521" t="inlineStr">
        <is>
          <t>todo</t>
        </is>
      </c>
      <c r="Z2521">
        <f>(M2521*Weights!$B$2) + (MIN(Q2521,Weights!$B$5)*Weights!$B$3*(W2521/100)*Weights!$B$4)</f>
        <v/>
      </c>
      <c r="AA2521">
        <f>IF(Z2521= ,,RANK.EQ({pri_col_letter}{r},{pri_range},0))</f>
        <v/>
      </c>
    </row>
    <row r="2522">
      <c r="A2522" t="inlineStr">
        <is>
          <t>ReturnBear</t>
        </is>
      </c>
      <c r="B2522" t="n">
        <v>3</v>
      </c>
      <c r="C2522" t="n">
        <v>0</v>
      </c>
      <c r="D2522" t="n">
        <v>0</v>
      </c>
      <c r="E2522" t="n">
        <v>0</v>
      </c>
      <c r="F2522" t="n">
        <v>2</v>
      </c>
      <c r="G2522" t="n">
        <v>0</v>
      </c>
      <c r="I2522" t="n">
        <v>2</v>
      </c>
      <c r="J2522" t="n">
        <v>0</v>
      </c>
      <c r="K2522" t="n">
        <v>12</v>
      </c>
      <c r="L2522" t="n">
        <v>0</v>
      </c>
      <c r="M2522" t="n">
        <v>-13</v>
      </c>
      <c r="O2522" t="inlineStr">
        <is>
          <t>Sylvia Ng — CEO; Bernadette Hunter — Chief Revenue Officer; Katherine Lehman — Chief Marketing Officer</t>
        </is>
      </c>
      <c r="P2522" t="inlineStr">
        <is>
          <t>CEO | Chief Revenue Officer | Chief Marketing Officer</t>
        </is>
      </c>
      <c r="Y2522" t="inlineStr">
        <is>
          <t>todo</t>
        </is>
      </c>
      <c r="Z2522">
        <f>(M2522*Weights!$B$2) + (MIN(Q2522,Weights!$B$5)*Weights!$B$3*(W2522/100)*Weights!$B$4)</f>
        <v/>
      </c>
      <c r="AA2522">
        <f>IF(Z2522= ,,RANK.EQ({pri_col_letter}{r},{pri_range},0))</f>
        <v/>
      </c>
    </row>
    <row r="2523">
      <c r="A2523" t="inlineStr">
        <is>
          <t>Rugged Robotics</t>
        </is>
      </c>
      <c r="B2523" t="n">
        <v>3</v>
      </c>
      <c r="C2523" t="n">
        <v>0</v>
      </c>
      <c r="D2523" t="n">
        <v>0</v>
      </c>
      <c r="E2523" t="n">
        <v>0</v>
      </c>
      <c r="F2523" t="n">
        <v>2</v>
      </c>
      <c r="G2523" t="n">
        <v>0</v>
      </c>
      <c r="I2523" t="n">
        <v>2</v>
      </c>
      <c r="J2523" t="n">
        <v>0</v>
      </c>
      <c r="K2523" t="n">
        <v>12</v>
      </c>
      <c r="L2523" t="n">
        <v>0</v>
      </c>
      <c r="M2523" t="n">
        <v>-13</v>
      </c>
      <c r="O2523" t="inlineStr">
        <is>
          <t>Derrick Morse — CEO &amp; Founder; George Banos — Head of Sales; Conor Murphy — Enterprise Account Executive</t>
        </is>
      </c>
      <c r="P2523" t="inlineStr">
        <is>
          <t>CEO &amp; Founder | Head of Sales | Enterprise Account Executive</t>
        </is>
      </c>
      <c r="Y2523" t="inlineStr">
        <is>
          <t>todo</t>
        </is>
      </c>
      <c r="Z2523">
        <f>(M2523*Weights!$B$2) + (MIN(Q2523,Weights!$B$5)*Weights!$B$3*(W2523/100)*Weights!$B$4)</f>
        <v/>
      </c>
      <c r="AA2523">
        <f>IF(Z2523= ,,RANK.EQ({pri_col_letter}{r},{pri_range},0))</f>
        <v/>
      </c>
    </row>
    <row r="2524">
      <c r="A2524" t="inlineStr">
        <is>
          <t>SEEBURGER</t>
        </is>
      </c>
      <c r="B2524" t="n">
        <v>3</v>
      </c>
      <c r="C2524" t="n">
        <v>0</v>
      </c>
      <c r="D2524" t="n">
        <v>0</v>
      </c>
      <c r="E2524" t="n">
        <v>0</v>
      </c>
      <c r="F2524" t="n">
        <v>2</v>
      </c>
      <c r="G2524" t="n">
        <v>0</v>
      </c>
      <c r="I2524" t="n">
        <v>2</v>
      </c>
      <c r="J2524" t="n">
        <v>0</v>
      </c>
      <c r="K2524" t="n">
        <v>12</v>
      </c>
      <c r="L2524" t="n">
        <v>0</v>
      </c>
      <c r="M2524" t="n">
        <v>-13</v>
      </c>
      <c r="O2524" t="inlineStr">
        <is>
          <t>John Bozza — Senior AE; Brent Tisdale — VP New Business and SME Sales; Jacqueline Olson — Marketing and Event Coordinator</t>
        </is>
      </c>
      <c r="P2524" t="inlineStr">
        <is>
          <t>Senior AE | VP New Business and SME Sales | Marketing and Event Coordinator</t>
        </is>
      </c>
      <c r="Y2524" t="inlineStr">
        <is>
          <t>todo</t>
        </is>
      </c>
      <c r="Z2524">
        <f>(M2524*Weights!$B$2) + (MIN(Q2524,Weights!$B$5)*Weights!$B$3*(W2524/100)*Weights!$B$4)</f>
        <v/>
      </c>
      <c r="AA2524">
        <f>IF(Z2524= ,,RANK.EQ({pri_col_letter}{r},{pri_range},0))</f>
        <v/>
      </c>
    </row>
    <row r="2525">
      <c r="A2525" t="inlineStr">
        <is>
          <t>SeaVantage Co. Ltd</t>
        </is>
      </c>
      <c r="B2525" t="n">
        <v>3</v>
      </c>
      <c r="C2525" t="n">
        <v>0</v>
      </c>
      <c r="D2525" t="n">
        <v>0</v>
      </c>
      <c r="E2525" t="n">
        <v>0</v>
      </c>
      <c r="F2525" t="n">
        <v>2</v>
      </c>
      <c r="G2525" t="n">
        <v>0</v>
      </c>
      <c r="I2525" t="n">
        <v>2</v>
      </c>
      <c r="J2525" t="n">
        <v>0</v>
      </c>
      <c r="K2525" t="n">
        <v>12</v>
      </c>
      <c r="L2525" t="n">
        <v>0</v>
      </c>
      <c r="M2525" t="n">
        <v>-13</v>
      </c>
      <c r="O2525" t="inlineStr">
        <is>
          <t>Gene Song — CEO; Ann Ang — Global Business Development Manager; Eugene Smart — Business Development Representative</t>
        </is>
      </c>
      <c r="P2525" t="inlineStr">
        <is>
          <t>CEO | Global Business Development Manager | Business Development Representative</t>
        </is>
      </c>
      <c r="Y2525" t="inlineStr">
        <is>
          <t>todo</t>
        </is>
      </c>
      <c r="Z2525">
        <f>(M2525*Weights!$B$2) + (MIN(Q2525,Weights!$B$5)*Weights!$B$3*(W2525/100)*Weights!$B$4)</f>
        <v/>
      </c>
      <c r="AA2525">
        <f>IF(Z2525= ,,RANK.EQ({pri_col_letter}{r},{pri_range},0))</f>
        <v/>
      </c>
    </row>
    <row r="2526">
      <c r="A2526" t="inlineStr">
        <is>
          <t>ShipHub</t>
        </is>
      </c>
      <c r="B2526" t="n">
        <v>3</v>
      </c>
      <c r="C2526" t="n">
        <v>0</v>
      </c>
      <c r="D2526" t="n">
        <v>0</v>
      </c>
      <c r="E2526" t="n">
        <v>0</v>
      </c>
      <c r="F2526" t="n">
        <v>2</v>
      </c>
      <c r="G2526" t="n">
        <v>0</v>
      </c>
      <c r="I2526" t="n">
        <v>2</v>
      </c>
      <c r="J2526" t="n">
        <v>0</v>
      </c>
      <c r="K2526" t="n">
        <v>12</v>
      </c>
      <c r="L2526" t="n">
        <v>0</v>
      </c>
      <c r="M2526" t="n">
        <v>-13</v>
      </c>
      <c r="O2526" t="inlineStr">
        <is>
          <t>Terry Murray — VP of Carrier Relations; Jacob Waldner — Chief Revenue Officer; Steven Douek — VP of Sales</t>
        </is>
      </c>
      <c r="P2526" t="inlineStr">
        <is>
          <t>VP of Carrier Relations | Chief Revenue Officer | VP of Sales</t>
        </is>
      </c>
      <c r="Y2526" t="inlineStr">
        <is>
          <t>todo</t>
        </is>
      </c>
      <c r="Z2526">
        <f>(M2526*Weights!$B$2) + (MIN(Q2526,Weights!$B$5)*Weights!$B$3*(W2526/100)*Weights!$B$4)</f>
        <v/>
      </c>
      <c r="AA2526">
        <f>IF(Z2526= ,,RANK.EQ({pri_col_letter}{r},{pri_range},0))</f>
        <v/>
      </c>
    </row>
    <row r="2527">
      <c r="A2527" t="inlineStr">
        <is>
          <t>ShipSaving</t>
        </is>
      </c>
      <c r="B2527" t="n">
        <v>3</v>
      </c>
      <c r="C2527" t="n">
        <v>0</v>
      </c>
      <c r="D2527" t="n">
        <v>0</v>
      </c>
      <c r="E2527" t="n">
        <v>0</v>
      </c>
      <c r="F2527" t="n">
        <v>2</v>
      </c>
      <c r="G2527" t="n">
        <v>0</v>
      </c>
      <c r="I2527" t="n">
        <v>2</v>
      </c>
      <c r="J2527" t="n">
        <v>0</v>
      </c>
      <c r="K2527" t="n">
        <v>12</v>
      </c>
      <c r="L2527" t="n">
        <v>0</v>
      </c>
      <c r="M2527" t="n">
        <v>-13</v>
      </c>
      <c r="O2527" t="inlineStr">
        <is>
          <t>Ivy Li — COO; Kenny Tucker — Head of Growth and partnership; Grace Yu — BD Manager</t>
        </is>
      </c>
      <c r="P2527" t="inlineStr">
        <is>
          <t>COO | Head of Growth and partnership | BD Manager</t>
        </is>
      </c>
      <c r="Y2527" t="inlineStr">
        <is>
          <t>todo</t>
        </is>
      </c>
      <c r="Z2527">
        <f>(M2527*Weights!$B$2) + (MIN(Q2527,Weights!$B$5)*Weights!$B$3*(W2527/100)*Weights!$B$4)</f>
        <v/>
      </c>
      <c r="AA2527">
        <f>IF(Z2527= ,,RANK.EQ({pri_col_letter}{r},{pri_range},0))</f>
        <v/>
      </c>
    </row>
    <row r="2528">
      <c r="A2528" t="inlineStr">
        <is>
          <t>Slamcore</t>
        </is>
      </c>
      <c r="B2528" t="n">
        <v>3</v>
      </c>
      <c r="C2528" t="n">
        <v>0</v>
      </c>
      <c r="D2528" t="n">
        <v>0</v>
      </c>
      <c r="E2528" t="n">
        <v>0</v>
      </c>
      <c r="F2528" t="n">
        <v>2</v>
      </c>
      <c r="G2528" t="n">
        <v>1</v>
      </c>
      <c r="I2528" t="n">
        <v>3</v>
      </c>
      <c r="J2528" t="n">
        <v>0</v>
      </c>
      <c r="K2528" t="n">
        <v>12</v>
      </c>
      <c r="L2528" t="n">
        <v>0</v>
      </c>
      <c r="M2528" t="n">
        <v>-13</v>
      </c>
      <c r="O2528" t="inlineStr">
        <is>
          <t>Paul Brasnett — Chief Product &amp; Technology Officer; Jeff Wells — VP Sales; Adam Conner — Strategic Sales Director</t>
        </is>
      </c>
      <c r="P2528" t="inlineStr">
        <is>
          <t>Chief Product &amp; Technology Officer | VP Sales | Strategic Sales Director</t>
        </is>
      </c>
      <c r="Y2528" t="inlineStr">
        <is>
          <t>todo</t>
        </is>
      </c>
      <c r="Z2528">
        <f>(M2528*Weights!$B$2) + (MIN(Q2528,Weights!$B$5)*Weights!$B$3*(W2528/100)*Weights!$B$4)</f>
        <v/>
      </c>
      <c r="AA2528">
        <f>IF(Z2528= ,,RANK.EQ({pri_col_letter}{r},{pri_range},0))</f>
        <v/>
      </c>
    </row>
    <row r="2529">
      <c r="A2529" t="inlineStr">
        <is>
          <t>Smarty</t>
        </is>
      </c>
      <c r="B2529" t="n">
        <v>3</v>
      </c>
      <c r="C2529" t="n">
        <v>0</v>
      </c>
      <c r="D2529" t="n">
        <v>0</v>
      </c>
      <c r="E2529" t="n">
        <v>0</v>
      </c>
      <c r="F2529" t="n">
        <v>2</v>
      </c>
      <c r="G2529" t="n">
        <v>1</v>
      </c>
      <c r="I2529" t="n">
        <v>3</v>
      </c>
      <c r="J2529" t="n">
        <v>0</v>
      </c>
      <c r="K2529" t="n">
        <v>12</v>
      </c>
      <c r="L2529" t="n">
        <v>0</v>
      </c>
      <c r="M2529" t="n">
        <v>-13</v>
      </c>
      <c r="O2529" t="inlineStr">
        <is>
          <t>Brent Francom — Director of Product Management; Trent Howell — VP of Marketing; Sean Blair — VP of Sales</t>
        </is>
      </c>
      <c r="P2529" t="inlineStr">
        <is>
          <t>VP of Marketing | Director of Product Management | VP of Sales</t>
        </is>
      </c>
      <c r="Y2529" t="inlineStr">
        <is>
          <t>todo</t>
        </is>
      </c>
      <c r="Z2529">
        <f>(M2529*Weights!$B$2) + (MIN(Q2529,Weights!$B$5)*Weights!$B$3*(W2529/100)*Weights!$B$4)</f>
        <v/>
      </c>
      <c r="AA2529">
        <f>IF(Z2529= ,,RANK.EQ({pri_col_letter}{r},{pri_range},0))</f>
        <v/>
      </c>
    </row>
    <row r="2530">
      <c r="A2530" t="inlineStr">
        <is>
          <t>Syfan Logistics</t>
        </is>
      </c>
      <c r="B2530" t="n">
        <v>3</v>
      </c>
      <c r="C2530" t="n">
        <v>0</v>
      </c>
      <c r="D2530" t="n">
        <v>0</v>
      </c>
      <c r="E2530" t="n">
        <v>0</v>
      </c>
      <c r="F2530" t="n">
        <v>2</v>
      </c>
      <c r="G2530" t="n">
        <v>1</v>
      </c>
      <c r="I2530" t="n">
        <v>3</v>
      </c>
      <c r="J2530" t="n">
        <v>0</v>
      </c>
      <c r="K2530" t="n">
        <v>12</v>
      </c>
      <c r="L2530" t="n">
        <v>0</v>
      </c>
      <c r="M2530" t="n">
        <v>-13</v>
      </c>
      <c r="O2530" t="inlineStr">
        <is>
          <t>Tony DeMarco — IT Business Partner &amp; Vendor Relations; Brad Thompson — VP, Sales; James Syfan — Senior VP of Sales</t>
        </is>
      </c>
      <c r="P2530" t="inlineStr">
        <is>
          <t>IT Business Partner &amp; Vendor Relations | VP, Sales | Senior VP of Sales</t>
        </is>
      </c>
      <c r="Y2530" t="inlineStr">
        <is>
          <t>todo</t>
        </is>
      </c>
      <c r="Z2530">
        <f>(M2530*Weights!$B$2) + (MIN(Q2530,Weights!$B$5)*Weights!$B$3*(W2530/100)*Weights!$B$4)</f>
        <v/>
      </c>
      <c r="AA2530">
        <f>IF(Z2530= ,,RANK.EQ({pri_col_letter}{r},{pri_range},0))</f>
        <v/>
      </c>
    </row>
    <row r="2531">
      <c r="A2531" t="inlineStr">
        <is>
          <t>Terminal Industries</t>
        </is>
      </c>
      <c r="B2531" t="n">
        <v>3</v>
      </c>
      <c r="C2531" t="n">
        <v>0</v>
      </c>
      <c r="D2531" t="n">
        <v>0</v>
      </c>
      <c r="E2531" t="n">
        <v>0</v>
      </c>
      <c r="F2531" t="n">
        <v>2</v>
      </c>
      <c r="G2531" t="n">
        <v>0</v>
      </c>
      <c r="I2531" t="n">
        <v>2</v>
      </c>
      <c r="J2531" t="n">
        <v>0</v>
      </c>
      <c r="K2531" t="n">
        <v>12</v>
      </c>
      <c r="L2531" t="n">
        <v>0</v>
      </c>
      <c r="M2531" t="n">
        <v>-13</v>
      </c>
      <c r="O2531" t="inlineStr">
        <is>
          <t>Darin Brannan — CEO; Josh Kivenko — Chief Marketing Officer; Keegan Adams — Account Executive</t>
        </is>
      </c>
      <c r="P2531" t="inlineStr">
        <is>
          <t>CEO | Chief Marketing Officer | Account Executive</t>
        </is>
      </c>
      <c r="Y2531" t="inlineStr">
        <is>
          <t>todo</t>
        </is>
      </c>
      <c r="Z2531">
        <f>(M2531*Weights!$B$2) + (MIN(Q2531,Weights!$B$5)*Weights!$B$3*(W2531/100)*Weights!$B$4)</f>
        <v/>
      </c>
      <c r="AA2531">
        <f>IF(Z2531= ,,RANK.EQ({pri_col_letter}{r},{pri_range},0))</f>
        <v/>
      </c>
    </row>
    <row r="2532">
      <c r="A2532" t="inlineStr">
        <is>
          <t>Thrivemodal</t>
        </is>
      </c>
      <c r="B2532" t="n">
        <v>3</v>
      </c>
      <c r="C2532" t="n">
        <v>0</v>
      </c>
      <c r="D2532" t="n">
        <v>0</v>
      </c>
      <c r="E2532" t="n">
        <v>0</v>
      </c>
      <c r="F2532" t="n">
        <v>2</v>
      </c>
      <c r="G2532" t="n">
        <v>0</v>
      </c>
      <c r="I2532" t="n">
        <v>2</v>
      </c>
      <c r="J2532" t="n">
        <v>0</v>
      </c>
      <c r="K2532" t="n">
        <v>12</v>
      </c>
      <c r="L2532" t="n">
        <v>0</v>
      </c>
      <c r="M2532" t="n">
        <v>-13</v>
      </c>
      <c r="O2532" t="inlineStr">
        <is>
          <t>Kyle Wilson — Founder/President; Hunter Tolbert — VP of Sales; Riley Johnson — Director of Sales</t>
        </is>
      </c>
      <c r="P2532" t="inlineStr">
        <is>
          <t>Founder/President | VP of Sales | Director of Sales</t>
        </is>
      </c>
      <c r="Y2532" t="inlineStr">
        <is>
          <t>todo</t>
        </is>
      </c>
      <c r="Z2532">
        <f>(M2532*Weights!$B$2) + (MIN(Q2532,Weights!$B$5)*Weights!$B$3*(W2532/100)*Weights!$B$4)</f>
        <v/>
      </c>
      <c r="AA2532">
        <f>IF(Z2532= ,,RANK.EQ({pri_col_letter}{r},{pri_range},0))</f>
        <v/>
      </c>
    </row>
    <row r="2533">
      <c r="A2533" t="inlineStr">
        <is>
          <t>WWEX Group</t>
        </is>
      </c>
      <c r="B2533" t="n">
        <v>3</v>
      </c>
      <c r="C2533" t="n">
        <v>0</v>
      </c>
      <c r="D2533" t="n">
        <v>0</v>
      </c>
      <c r="E2533" t="n">
        <v>0</v>
      </c>
      <c r="F2533" t="n">
        <v>2</v>
      </c>
      <c r="G2533" t="n">
        <v>1</v>
      </c>
      <c r="I2533" t="n">
        <v>3</v>
      </c>
      <c r="J2533" t="n">
        <v>0</v>
      </c>
      <c r="K2533" t="n">
        <v>12</v>
      </c>
      <c r="L2533" t="n">
        <v>0</v>
      </c>
      <c r="M2533" t="n">
        <v>-13</v>
      </c>
      <c r="O2533" t="inlineStr">
        <is>
          <t>Jonathan Drouin — VP of Product Strategy &amp; Design; Ann Pett — Global Account Executive; Rachel Kleekamp — National Account Executive</t>
        </is>
      </c>
      <c r="P2533" t="inlineStr">
        <is>
          <t>VP of Product Strategy &amp; Design | Global Account Executive | National Account Executive</t>
        </is>
      </c>
      <c r="Y2533" t="inlineStr">
        <is>
          <t>todo</t>
        </is>
      </c>
      <c r="Z2533">
        <f>(M2533*Weights!$B$2) + (MIN(Q2533,Weights!$B$5)*Weights!$B$3*(W2533/100)*Weights!$B$4)</f>
        <v/>
      </c>
      <c r="AA2533">
        <f>IF(Z2533= ,,RANK.EQ({pri_col_letter}{r},{pri_range},0))</f>
        <v/>
      </c>
    </row>
    <row r="2534">
      <c r="A2534" t="inlineStr">
        <is>
          <t>nuVizz Inc.</t>
        </is>
      </c>
      <c r="B2534" t="n">
        <v>3</v>
      </c>
      <c r="C2534" t="n">
        <v>0</v>
      </c>
      <c r="D2534" t="n">
        <v>0</v>
      </c>
      <c r="E2534" t="n">
        <v>0</v>
      </c>
      <c r="F2534" t="n">
        <v>2</v>
      </c>
      <c r="G2534" t="n">
        <v>0</v>
      </c>
      <c r="I2534" t="n">
        <v>2</v>
      </c>
      <c r="J2534" t="n">
        <v>0</v>
      </c>
      <c r="K2534" t="n">
        <v>12</v>
      </c>
      <c r="L2534" t="n">
        <v>0</v>
      </c>
      <c r="M2534" t="n">
        <v>-13</v>
      </c>
      <c r="O2534" t="inlineStr">
        <is>
          <t>Gururaj Rao — CEO; Bill Hunt — VP of Sales; Randy Gorden — Enterprise Sales Executive</t>
        </is>
      </c>
      <c r="P2534" t="inlineStr">
        <is>
          <t>CEO | VP of Sales | Enterprise Sales Executive</t>
        </is>
      </c>
      <c r="Y2534" t="inlineStr">
        <is>
          <t>todo</t>
        </is>
      </c>
      <c r="Z2534">
        <f>(M2534*Weights!$B$2) + (MIN(Q2534,Weights!$B$5)*Weights!$B$3*(W2534/100)*Weights!$B$4)</f>
        <v/>
      </c>
      <c r="AA2534">
        <f>IF(Z2534= ,,RANK.EQ({pri_col_letter}{r},{pri_range},0))</f>
        <v/>
      </c>
    </row>
    <row r="2535">
      <c r="A2535" t="inlineStr">
        <is>
          <t>Anyware Robotics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I2535" t="n">
        <v>2</v>
      </c>
      <c r="J2535" t="n">
        <v>0</v>
      </c>
      <c r="K2535" t="n">
        <v>12</v>
      </c>
      <c r="L2535" t="n">
        <v>0</v>
      </c>
      <c r="M2535" t="n">
        <v>-13</v>
      </c>
      <c r="O2535" t="inlineStr">
        <is>
          <t>Torsten Schreiber — VP of Product and Marketing</t>
        </is>
      </c>
      <c r="P2535" t="inlineStr">
        <is>
          <t>VP of Product and Marketing</t>
        </is>
      </c>
      <c r="Y2535" t="inlineStr">
        <is>
          <t>todo</t>
        </is>
      </c>
      <c r="Z2535">
        <f>(M2535*Weights!$B$2) + (MIN(Q2535,Weights!$B$5)*Weights!$B$3*(W2535/100)*Weights!$B$4)</f>
        <v/>
      </c>
      <c r="AA2535">
        <f>IF(Z2535= ,,RANK.EQ({pri_col_letter}{r},{pri_range},0))</f>
        <v/>
      </c>
    </row>
    <row r="2536">
      <c r="A2536" t="inlineStr">
        <is>
          <t>Locus Robotics</t>
        </is>
      </c>
      <c r="B2536" t="n">
        <v>18</v>
      </c>
      <c r="C2536" t="n">
        <v>0</v>
      </c>
      <c r="D2536" t="n">
        <v>1</v>
      </c>
      <c r="E2536" t="n">
        <v>0</v>
      </c>
      <c r="F2536" t="n">
        <v>15</v>
      </c>
      <c r="G2536" t="n">
        <v>2</v>
      </c>
      <c r="H2536" t="n">
        <v>100000000</v>
      </c>
      <c r="I2536" t="n">
        <v>17</v>
      </c>
      <c r="J2536" t="n">
        <v>0.05555555555555555</v>
      </c>
      <c r="K2536" t="n">
        <v>12</v>
      </c>
      <c r="L2536" t="n">
        <v>0</v>
      </c>
      <c r="M2536" t="n">
        <v>-14</v>
      </c>
      <c r="O2536" t="inlineStr">
        <is>
          <t>Gina Chung — VP of Corporate Development; Dustin Gray — VP, Distributions Solutions Engineering; Aimee Belleville — Locus Park Experience and Marketing Logistics Manager; April Lardie — Senior Product Experience Manager; Kait Peterson — VP and Head of Marketing</t>
        </is>
      </c>
      <c r="P2536" t="inlineStr">
        <is>
          <t>VP, Distributions Solutions Engineering | VP of Corporate Development | VP and Head of Marketing</t>
        </is>
      </c>
      <c r="Y2536" t="inlineStr">
        <is>
          <t>todo</t>
        </is>
      </c>
      <c r="Z2536">
        <f>(M2536*Weights!$B$2) + (MIN(Q2536,Weights!$B$5)*Weights!$B$3*(W2536/100)*Weights!$B$4)</f>
        <v/>
      </c>
      <c r="AA2536">
        <f>IF(Z2536= ,,RANK.EQ({pri_col_letter}{r},{pri_range},0))</f>
        <v/>
      </c>
    </row>
    <row r="2537">
      <c r="A2537" t="inlineStr">
        <is>
          <t>Lean Solutions Group</t>
        </is>
      </c>
      <c r="B2537" t="n">
        <v>8</v>
      </c>
      <c r="C2537" t="n">
        <v>0</v>
      </c>
      <c r="D2537" t="n">
        <v>0</v>
      </c>
      <c r="E2537" t="n">
        <v>0</v>
      </c>
      <c r="F2537" t="n">
        <v>5</v>
      </c>
      <c r="G2537" t="n">
        <v>1</v>
      </c>
      <c r="I2537" t="n">
        <v>6</v>
      </c>
      <c r="J2537" t="n">
        <v>0</v>
      </c>
      <c r="K2537" t="n">
        <v>12</v>
      </c>
      <c r="L2537" t="n">
        <v>0</v>
      </c>
      <c r="M2537" t="n">
        <v>-14</v>
      </c>
      <c r="O2537" t="inlineStr">
        <is>
          <t>Alfonso Quijano — CTO; Nick Strober — VP of Account Development; Tom Carr — Account Development Manager; Andrew Johnson — Head of Revenue Marketing; David Lee — Vice President Sales Engineer</t>
        </is>
      </c>
      <c r="P2537" t="inlineStr">
        <is>
          <t>CTO | VP of Account Development | Head of Revenue Marketing</t>
        </is>
      </c>
      <c r="Y2537" t="inlineStr">
        <is>
          <t>todo</t>
        </is>
      </c>
      <c r="Z2537">
        <f>(M2537*Weights!$B$2) + (MIN(Q2537,Weights!$B$5)*Weights!$B$3*(W2537/100)*Weights!$B$4)</f>
        <v/>
      </c>
      <c r="AA2537">
        <f>IF(Z2537= ,,RANK.EQ({pri_col_letter}{r},{pri_range},0))</f>
        <v/>
      </c>
    </row>
    <row r="2538">
      <c r="A2538" t="inlineStr">
        <is>
          <t>Veho</t>
        </is>
      </c>
      <c r="B2538" t="n">
        <v>8</v>
      </c>
      <c r="C2538" t="n">
        <v>0</v>
      </c>
      <c r="D2538" t="n">
        <v>0</v>
      </c>
      <c r="E2538" t="n">
        <v>0</v>
      </c>
      <c r="F2538" t="n">
        <v>5</v>
      </c>
      <c r="G2538" t="n">
        <v>0</v>
      </c>
      <c r="I2538" t="n">
        <v>5</v>
      </c>
      <c r="J2538" t="n">
        <v>0</v>
      </c>
      <c r="K2538" t="n">
        <v>12</v>
      </c>
      <c r="L2538" t="n">
        <v>0</v>
      </c>
      <c r="M2538" t="n">
        <v>-14</v>
      </c>
      <c r="O2538" t="inlineStr">
        <is>
          <t>Itamar Zur — CEO &amp; Co-Founder; Hank Emerson — Head of Strategic Partnerships; Elizabeth Collett — Director of Strategic &amp; Channel Partnerships; Catherine Dummitt — VP of Marketing; Nikki Cruse — Director, Growth Marketing</t>
        </is>
      </c>
      <c r="P2538" t="inlineStr">
        <is>
          <t>CEO &amp; Co-Founder | Head of Strategic Partnerships | VP of Marketing</t>
        </is>
      </c>
      <c r="Y2538" t="inlineStr">
        <is>
          <t>todo</t>
        </is>
      </c>
      <c r="Z2538">
        <f>(M2538*Weights!$B$2) + (MIN(Q2538,Weights!$B$5)*Weights!$B$3*(W2538/100)*Weights!$B$4)</f>
        <v/>
      </c>
      <c r="AA2538">
        <f>IF(Z2538= ,,RANK.EQ({pri_col_letter}{r},{pri_range},0))</f>
        <v/>
      </c>
    </row>
    <row r="2539">
      <c r="A2539" t="inlineStr">
        <is>
          <t>BlackBerry Radar</t>
        </is>
      </c>
      <c r="B2539" t="n">
        <v>6</v>
      </c>
      <c r="C2539" t="n">
        <v>0</v>
      </c>
      <c r="D2539" t="n">
        <v>0</v>
      </c>
      <c r="E2539" t="n">
        <v>0</v>
      </c>
      <c r="F2539" t="n">
        <v>4</v>
      </c>
      <c r="G2539" t="n">
        <v>0</v>
      </c>
      <c r="I2539" t="n">
        <v>4</v>
      </c>
      <c r="J2539" t="n">
        <v>0</v>
      </c>
      <c r="K2539" t="n">
        <v>12</v>
      </c>
      <c r="L2539" t="n">
        <v>0</v>
      </c>
      <c r="M2539" t="n">
        <v>-14</v>
      </c>
      <c r="O2539" t="inlineStr">
        <is>
          <t>Christopher Plaat — General Manager and Senior Vice President; Jason Anderson — Strategic Initiatives Director; Shannon Hamilton — VP of Sales and Marketing; Jon Housknecht — Senior Sales Manager; Kelley Dean Overton — Senior Sales Manager</t>
        </is>
      </c>
      <c r="P2539" t="inlineStr">
        <is>
          <t>General Manager and Senior Vice President | VP of Sales and Marketing | Strategic Initiatives Director</t>
        </is>
      </c>
      <c r="Y2539" t="inlineStr">
        <is>
          <t>todo</t>
        </is>
      </c>
      <c r="Z2539">
        <f>(M2539*Weights!$B$2) + (MIN(Q2539,Weights!$B$5)*Weights!$B$3*(W2539/100)*Weights!$B$4)</f>
        <v/>
      </c>
      <c r="AA2539">
        <f>IF(Z2539= ,,RANK.EQ({pri_col_letter}{r},{pri_range},0))</f>
        <v/>
      </c>
    </row>
    <row r="2540">
      <c r="A2540" t="inlineStr">
        <is>
          <t>Corvus Robotics</t>
        </is>
      </c>
      <c r="B2540" t="n">
        <v>6</v>
      </c>
      <c r="C2540" t="n">
        <v>0</v>
      </c>
      <c r="D2540" t="n">
        <v>0</v>
      </c>
      <c r="E2540" t="n">
        <v>0</v>
      </c>
      <c r="F2540" t="n">
        <v>4</v>
      </c>
      <c r="G2540" t="n">
        <v>1</v>
      </c>
      <c r="I2540" t="n">
        <v>5</v>
      </c>
      <c r="J2540" t="n">
        <v>0</v>
      </c>
      <c r="K2540" t="n">
        <v>12</v>
      </c>
      <c r="L2540" t="n">
        <v>0</v>
      </c>
      <c r="M2540" t="n">
        <v>-14</v>
      </c>
      <c r="O2540" t="inlineStr">
        <is>
          <t>Jackie Wu — CEO &amp; Co-Founder; Anagha Ramaswamy — Robotics Engineer; Michael McSpedon — Chief Revenue Officer; Andrew Burer — Head of Marketing; Hayden Sykes — Director of Sales</t>
        </is>
      </c>
      <c r="P2540" t="inlineStr">
        <is>
          <t>CEO &amp; Co-Founder | Robotics Engineer | Chief Revenue Officer</t>
        </is>
      </c>
      <c r="Y2540" t="inlineStr">
        <is>
          <t>todo</t>
        </is>
      </c>
      <c r="Z2540">
        <f>(M2540*Weights!$B$2) + (MIN(Q2540,Weights!$B$5)*Weights!$B$3*(W2540/100)*Weights!$B$4)</f>
        <v/>
      </c>
      <c r="AA2540">
        <f>IF(Z2540= ,,RANK.EQ({pri_col_letter}{r},{pri_range},0))</f>
        <v/>
      </c>
    </row>
    <row r="2541">
      <c r="A2541" t="inlineStr">
        <is>
          <t>EndeavorB2B</t>
        </is>
      </c>
      <c r="B2541" t="n">
        <v>6</v>
      </c>
      <c r="C2541" t="n">
        <v>0</v>
      </c>
      <c r="D2541" t="n">
        <v>0</v>
      </c>
      <c r="E2541" t="n">
        <v>0</v>
      </c>
      <c r="F2541" t="n">
        <v>4</v>
      </c>
      <c r="G2541" t="n">
        <v>1</v>
      </c>
      <c r="I2541" t="n">
        <v>5</v>
      </c>
      <c r="J2541" t="n">
        <v>0</v>
      </c>
      <c r="K2541" t="n">
        <v>12</v>
      </c>
      <c r="L2541" t="n">
        <v>0</v>
      </c>
      <c r="M2541" t="n">
        <v>-14</v>
      </c>
      <c r="O2541" t="inlineStr">
        <is>
          <t>Robert Schoenberger — VP, Content Strategy, Manufacturing &amp; Engineering Group; Tyler Fussner — Content Strategist; Christina Cavano — VP of Sales; Jason DeSarle — VP Of Sales; Brad McBride — Account Executive</t>
        </is>
      </c>
      <c r="P2541" t="inlineStr">
        <is>
          <t>VP, Content Strategy, Manufacturing &amp; Engineering Group | VP of Sales | VP Of Sales</t>
        </is>
      </c>
      <c r="Y2541" t="inlineStr">
        <is>
          <t>todo</t>
        </is>
      </c>
      <c r="Z2541">
        <f>(M2541*Weights!$B$2) + (MIN(Q2541,Weights!$B$5)*Weights!$B$3*(W2541/100)*Weights!$B$4)</f>
        <v/>
      </c>
      <c r="AA2541">
        <f>IF(Z2541= ,,RANK.EQ({pri_col_letter}{r},{pri_range},0))</f>
        <v/>
      </c>
    </row>
    <row r="2542">
      <c r="A2542" t="inlineStr">
        <is>
          <t>Jitsu</t>
        </is>
      </c>
      <c r="B2542" t="n">
        <v>6</v>
      </c>
      <c r="C2542" t="n">
        <v>0</v>
      </c>
      <c r="D2542" t="n">
        <v>0</v>
      </c>
      <c r="E2542" t="n">
        <v>0</v>
      </c>
      <c r="F2542" t="n">
        <v>4</v>
      </c>
      <c r="G2542" t="n">
        <v>0</v>
      </c>
      <c r="I2542" t="n">
        <v>4</v>
      </c>
      <c r="J2542" t="n">
        <v>0</v>
      </c>
      <c r="K2542" t="n">
        <v>12</v>
      </c>
      <c r="L2542" t="n">
        <v>0</v>
      </c>
      <c r="M2542" t="n">
        <v>-14</v>
      </c>
      <c r="O2542" t="inlineStr">
        <is>
          <t>Adam Bryant — CEO; Jay Knafel — CFO; Joe Palombo — VP, Sales &amp; Client Success; Jean-Marc Sorhondo — Enterprise Account Executive; Kamila Teplicki — Enterprise Account Executive</t>
        </is>
      </c>
      <c r="P2542" t="inlineStr">
        <is>
          <t>CEO | CFO | VP, Sales &amp; Client Success</t>
        </is>
      </c>
      <c r="Y2542" t="inlineStr">
        <is>
          <t>todo</t>
        </is>
      </c>
      <c r="Z2542">
        <f>(M2542*Weights!$B$2) + (MIN(Q2542,Weights!$B$5)*Weights!$B$3*(W2542/100)*Weights!$B$4)</f>
        <v/>
      </c>
      <c r="AA2542">
        <f>IF(Z2542= ,,RANK.EQ({pri_col_letter}{r},{pri_range},0))</f>
        <v/>
      </c>
    </row>
    <row r="2543">
      <c r="A2543" t="inlineStr">
        <is>
          <t>OpenText</t>
        </is>
      </c>
      <c r="B2543" t="n">
        <v>6</v>
      </c>
      <c r="C2543" t="n">
        <v>0</v>
      </c>
      <c r="D2543" t="n">
        <v>0</v>
      </c>
      <c r="E2543" t="n">
        <v>0</v>
      </c>
      <c r="F2543" t="n">
        <v>4</v>
      </c>
      <c r="G2543" t="n">
        <v>1</v>
      </c>
      <c r="I2543" t="n">
        <v>5</v>
      </c>
      <c r="J2543" t="n">
        <v>0</v>
      </c>
      <c r="K2543" t="n">
        <v>12</v>
      </c>
      <c r="L2543" t="n">
        <v>0</v>
      </c>
      <c r="M2543" t="n">
        <v>-14</v>
      </c>
      <c r="O2543" t="inlineStr">
        <is>
          <t>Vinesh Kavassery — RVP, Solutions Consulting; Abhi Vinocha — Account Development Executive; Dee Whitney — Account Executive; John Blevins — Senior Account Executive; Naomi Skinner — Product Marketing Manager</t>
        </is>
      </c>
      <c r="P2543" t="inlineStr">
        <is>
          <t>RVP, Solutions Consulting | Account Development Executive | Account Executive</t>
        </is>
      </c>
      <c r="Y2543" t="inlineStr">
        <is>
          <t>todo</t>
        </is>
      </c>
      <c r="Z2543">
        <f>(M2543*Weights!$B$2) + (MIN(Q2543,Weights!$B$5)*Weights!$B$3*(W2543/100)*Weights!$B$4)</f>
        <v/>
      </c>
      <c r="AA2543">
        <f>IF(Z2543= ,,RANK.EQ({pri_col_letter}{r},{pri_range},0))</f>
        <v/>
      </c>
    </row>
    <row r="2544">
      <c r="A2544" t="inlineStr">
        <is>
          <t>PackageX</t>
        </is>
      </c>
      <c r="B2544" t="n">
        <v>6</v>
      </c>
      <c r="C2544" t="n">
        <v>0</v>
      </c>
      <c r="D2544" t="n">
        <v>0</v>
      </c>
      <c r="E2544" t="n">
        <v>0</v>
      </c>
      <c r="F2544" t="n">
        <v>4</v>
      </c>
      <c r="G2544" t="n">
        <v>1</v>
      </c>
      <c r="I2544" t="n">
        <v>5</v>
      </c>
      <c r="J2544" t="n">
        <v>0</v>
      </c>
      <c r="K2544" t="n">
        <v>12</v>
      </c>
      <c r="L2544" t="n">
        <v>0</v>
      </c>
      <c r="M2544" t="n">
        <v>-14</v>
      </c>
      <c r="O2544" t="inlineStr">
        <is>
          <t>Farrukh Mahboob — CEO &amp; Founder; Val Panyushenko — Head of Product; Elizabeth Illiano — Head of Revenue; Chad Selix — Enterprise Account Executive; David Hutchison — Account Executive</t>
        </is>
      </c>
      <c r="P2544" t="inlineStr">
        <is>
          <t>CEO &amp; Founder | Head of Product | Head of Revenue</t>
        </is>
      </c>
      <c r="Y2544" t="inlineStr">
        <is>
          <t>todo</t>
        </is>
      </c>
      <c r="Z2544">
        <f>(M2544*Weights!$B$2) + (MIN(Q2544,Weights!$B$5)*Weights!$B$3*(W2544/100)*Weights!$B$4)</f>
        <v/>
      </c>
      <c r="AA2544">
        <f>IF(Z2544= ,,RANK.EQ({pri_col_letter}{r},{pri_range},0))</f>
        <v/>
      </c>
    </row>
    <row r="2545">
      <c r="A2545" t="inlineStr">
        <is>
          <t>myQ Enterprise</t>
        </is>
      </c>
      <c r="B2545" t="n">
        <v>6</v>
      </c>
      <c r="C2545" t="n">
        <v>0</v>
      </c>
      <c r="D2545" t="n">
        <v>0</v>
      </c>
      <c r="E2545" t="n">
        <v>0</v>
      </c>
      <c r="F2545" t="n">
        <v>4</v>
      </c>
      <c r="G2545" t="n">
        <v>1</v>
      </c>
      <c r="I2545" t="n">
        <v>5</v>
      </c>
      <c r="J2545" t="n">
        <v>0</v>
      </c>
      <c r="K2545" t="n">
        <v>12</v>
      </c>
      <c r="L2545" t="n">
        <v>0</v>
      </c>
      <c r="M2545" t="n">
        <v>-14</v>
      </c>
      <c r="O2545" t="inlineStr">
        <is>
          <t>Luke Krombach — Product Manager; Aronah Mukhtar — Software Solutions Manager; Eli Sobecki — Inside Sales; Nichole Falter — Sr. Business Development Rep; Tabetha Wolfe — Marketing + Communications Manager</t>
        </is>
      </c>
      <c r="P2545" t="inlineStr">
        <is>
          <t>Product Manager | Software Solutions Manager | Inside Sales</t>
        </is>
      </c>
      <c r="Y2545" t="inlineStr">
        <is>
          <t>todo</t>
        </is>
      </c>
      <c r="Z2545">
        <f>(M2545*Weights!$B$2) + (MIN(Q2545,Weights!$B$5)*Weights!$B$3*(W2545/100)*Weights!$B$4)</f>
        <v/>
      </c>
      <c r="AA2545">
        <f>IF(Z2545= ,,RANK.EQ({pri_col_letter}{r},{pri_range},0))</f>
        <v/>
      </c>
    </row>
    <row r="2546">
      <c r="A2546" t="inlineStr">
        <is>
          <t>Affiliated Warehouse Companies</t>
        </is>
      </c>
      <c r="B2546" t="n">
        <v>4</v>
      </c>
      <c r="C2546" t="n">
        <v>0</v>
      </c>
      <c r="D2546" t="n">
        <v>0</v>
      </c>
      <c r="E2546" t="n">
        <v>0</v>
      </c>
      <c r="F2546" t="n">
        <v>3</v>
      </c>
      <c r="G2546" t="n">
        <v>0</v>
      </c>
      <c r="I2546" t="n">
        <v>3</v>
      </c>
      <c r="J2546" t="n">
        <v>0</v>
      </c>
      <c r="K2546" t="n">
        <v>12</v>
      </c>
      <c r="L2546" t="n">
        <v>0</v>
      </c>
      <c r="M2546" t="n">
        <v>-14</v>
      </c>
      <c r="O2546" t="inlineStr">
        <is>
          <t>Patrick McBride — President; Rich Grezner — Vice President of Sales; Sal LaBruno — Vice President of Sales; Shane McBride — Business Development Manager</t>
        </is>
      </c>
      <c r="P2546" t="inlineStr">
        <is>
          <t>President | Vice President of Sales | Business Development Manager</t>
        </is>
      </c>
      <c r="Y2546" t="inlineStr">
        <is>
          <t>todo</t>
        </is>
      </c>
      <c r="Z2546">
        <f>(M2546*Weights!$B$2) + (MIN(Q2546,Weights!$B$5)*Weights!$B$3*(W2546/100)*Weights!$B$4)</f>
        <v/>
      </c>
      <c r="AA2546">
        <f>IF(Z2546= ,,RANK.EQ({pri_col_letter}{r},{pri_range},0))</f>
        <v/>
      </c>
    </row>
    <row r="2547">
      <c r="A2547" t="inlineStr">
        <is>
          <t>Cleo</t>
        </is>
      </c>
      <c r="B2547" t="n">
        <v>4</v>
      </c>
      <c r="C2547" t="n">
        <v>0</v>
      </c>
      <c r="D2547" t="n">
        <v>0</v>
      </c>
      <c r="E2547" t="n">
        <v>0</v>
      </c>
      <c r="F2547" t="n">
        <v>3</v>
      </c>
      <c r="G2547" t="n">
        <v>1</v>
      </c>
      <c r="I2547" t="n">
        <v>4</v>
      </c>
      <c r="J2547" t="n">
        <v>0</v>
      </c>
      <c r="K2547" t="n">
        <v>12</v>
      </c>
      <c r="L2547" t="n">
        <v>0</v>
      </c>
      <c r="M2547" t="n">
        <v>-14</v>
      </c>
      <c r="O2547" t="inlineStr">
        <is>
          <t>Bryan Cooper — Director Industry Solutions; Tushar Patel — Chief Marketing Officer; Dylan Lee — Sr. Director, Product Marketing; Ryan Mullin — Sr. Director, Marketing</t>
        </is>
      </c>
      <c r="P2547" t="inlineStr">
        <is>
          <t>Director Industry Solutions | Chief Marketing Officer | Sr. Director, Product Marketing</t>
        </is>
      </c>
      <c r="Y2547" t="inlineStr">
        <is>
          <t>todo</t>
        </is>
      </c>
      <c r="Z2547">
        <f>(M2547*Weights!$B$2) + (MIN(Q2547,Weights!$B$5)*Weights!$B$3*(W2547/100)*Weights!$B$4)</f>
        <v/>
      </c>
      <c r="AA2547">
        <f>IF(Z2547= ,,RANK.EQ({pri_col_letter}{r},{pri_range},0))</f>
        <v/>
      </c>
    </row>
    <row r="2548">
      <c r="A2548" t="inlineStr">
        <is>
          <t>DoorDash</t>
        </is>
      </c>
      <c r="B2548" t="n">
        <v>4</v>
      </c>
      <c r="C2548" t="n">
        <v>0</v>
      </c>
      <c r="D2548" t="n">
        <v>0</v>
      </c>
      <c r="E2548" t="n">
        <v>0</v>
      </c>
      <c r="F2548" t="n">
        <v>3</v>
      </c>
      <c r="G2548" t="n">
        <v>0</v>
      </c>
      <c r="I2548" t="n">
        <v>3</v>
      </c>
      <c r="J2548" t="n">
        <v>0</v>
      </c>
      <c r="K2548" t="n">
        <v>12</v>
      </c>
      <c r="L2548" t="n">
        <v>0</v>
      </c>
      <c r="M2548" t="n">
        <v>-14</v>
      </c>
      <c r="O2548" t="inlineStr">
        <is>
          <t>Luke LaBlond — Parcel Partnerships; Kristi Dressler — Manager, Business Development; Lydell Curry Jr. — Senior Manager, Enterprise Business Development; Mimi Schwade — Senior Director, New Business Development</t>
        </is>
      </c>
      <c r="P2548" t="inlineStr">
        <is>
          <t>Parcel Partnerships | Manager, Business Development | Senior Manager, Enterprise Business Development</t>
        </is>
      </c>
      <c r="Y2548" t="inlineStr">
        <is>
          <t>todo</t>
        </is>
      </c>
      <c r="Z2548">
        <f>(M2548*Weights!$B$2) + (MIN(Q2548,Weights!$B$5)*Weights!$B$3*(W2548/100)*Weights!$B$4)</f>
        <v/>
      </c>
      <c r="AA2548">
        <f>IF(Z2548= ,,RANK.EQ({pri_col_letter}{r},{pri_range},0))</f>
        <v/>
      </c>
    </row>
    <row r="2549">
      <c r="A2549" t="inlineStr">
        <is>
          <t>Extensiv</t>
        </is>
      </c>
      <c r="B2549" t="n">
        <v>4</v>
      </c>
      <c r="C2549" t="n">
        <v>0</v>
      </c>
      <c r="D2549" t="n">
        <v>0</v>
      </c>
      <c r="E2549" t="n">
        <v>0</v>
      </c>
      <c r="F2549" t="n">
        <v>3</v>
      </c>
      <c r="G2549" t="n">
        <v>0</v>
      </c>
      <c r="I2549" t="n">
        <v>3</v>
      </c>
      <c r="J2549" t="n">
        <v>0</v>
      </c>
      <c r="K2549" t="n">
        <v>12</v>
      </c>
      <c r="L2549" t="n">
        <v>0</v>
      </c>
      <c r="M2549" t="n">
        <v>-14</v>
      </c>
      <c r="O2549" t="inlineStr">
        <is>
          <t>Aaron Stead — Chief Executive Officer; Carey Ballard — Chief Marketing Officer; David Miller — Vice President, Customer Success; Adrian Medina — Account Executive</t>
        </is>
      </c>
      <c r="P2549" t="inlineStr">
        <is>
          <t>Chief Executive Officer | Chief Marketing Officer | Vice President, Customer Success</t>
        </is>
      </c>
      <c r="Y2549" t="inlineStr">
        <is>
          <t>todo</t>
        </is>
      </c>
      <c r="Z2549">
        <f>(M2549*Weights!$B$2) + (MIN(Q2549,Weights!$B$5)*Weights!$B$3*(W2549/100)*Weights!$B$4)</f>
        <v/>
      </c>
      <c r="AA2549">
        <f>IF(Z2549= ,,RANK.EQ({pri_col_letter}{r},{pri_range},0))</f>
        <v/>
      </c>
    </row>
    <row r="2550">
      <c r="A2550" t="inlineStr">
        <is>
          <t>FragilePAK</t>
        </is>
      </c>
      <c r="B2550" t="n">
        <v>4</v>
      </c>
      <c r="C2550" t="n">
        <v>0</v>
      </c>
      <c r="D2550" t="n">
        <v>0</v>
      </c>
      <c r="E2550" t="n">
        <v>0</v>
      </c>
      <c r="F2550" t="n">
        <v>3</v>
      </c>
      <c r="G2550" t="n">
        <v>0</v>
      </c>
      <c r="I2550" t="n">
        <v>3</v>
      </c>
      <c r="J2550" t="n">
        <v>0</v>
      </c>
      <c r="K2550" t="n">
        <v>12</v>
      </c>
      <c r="L2550" t="n">
        <v>0</v>
      </c>
      <c r="M2550" t="n">
        <v>-14</v>
      </c>
      <c r="O2550" t="inlineStr">
        <is>
          <t>Mark Fierek — Vice President; Frank Craven — Vice President, Sales; Joshua Carter — Vice President of Sales; Michael Machnicki — Vice President, Sales</t>
        </is>
      </c>
      <c r="P2550" t="inlineStr">
        <is>
          <t>Vice President | Vice President, Sales | Vice President of Sales</t>
        </is>
      </c>
      <c r="Y2550" t="inlineStr">
        <is>
          <t>todo</t>
        </is>
      </c>
      <c r="Z2550">
        <f>(M2550*Weights!$B$2) + (MIN(Q2550,Weights!$B$5)*Weights!$B$3*(W2550/100)*Weights!$B$4)</f>
        <v/>
      </c>
      <c r="AA2550">
        <f>IF(Z2550= ,,RANK.EQ({pri_col_letter}{r},{pri_range},0))</f>
        <v/>
      </c>
    </row>
    <row r="2551">
      <c r="A2551" t="inlineStr">
        <is>
          <t>KIBO</t>
        </is>
      </c>
      <c r="B2551" t="n">
        <v>4</v>
      </c>
      <c r="C2551" t="n">
        <v>0</v>
      </c>
      <c r="D2551" t="n">
        <v>0</v>
      </c>
      <c r="E2551" t="n">
        <v>0</v>
      </c>
      <c r="F2551" t="n">
        <v>3</v>
      </c>
      <c r="G2551" t="n">
        <v>1</v>
      </c>
      <c r="I2551" t="n">
        <v>4</v>
      </c>
      <c r="J2551" t="n">
        <v>0</v>
      </c>
      <c r="K2551" t="n">
        <v>12</v>
      </c>
      <c r="L2551" t="n">
        <v>0</v>
      </c>
      <c r="M2551" t="n">
        <v>-14</v>
      </c>
      <c r="O2551" t="inlineStr">
        <is>
          <t>Ram Venkataraman — CEO; Nupur Marwaha — VP, Sales Engineering; Sam Stringham — Account Executive; Anthony Crow — Business Development Executive</t>
        </is>
      </c>
      <c r="P2551" t="inlineStr">
        <is>
          <t>CEO | VP, Sales Engineering | Account Executive</t>
        </is>
      </c>
      <c r="Y2551" t="inlineStr">
        <is>
          <t>todo</t>
        </is>
      </c>
      <c r="Z2551">
        <f>(M2551*Weights!$B$2) + (MIN(Q2551,Weights!$B$5)*Weights!$B$3*(W2551/100)*Weights!$B$4)</f>
        <v/>
      </c>
      <c r="AA2551">
        <f>IF(Z2551= ,,RANK.EQ({pri_col_letter}{r},{pri_range},0))</f>
        <v/>
      </c>
    </row>
    <row r="2552">
      <c r="A2552" t="inlineStr">
        <is>
          <t>OLIMP Warehousing</t>
        </is>
      </c>
      <c r="B2552" t="n">
        <v>4</v>
      </c>
      <c r="C2552" t="n">
        <v>0</v>
      </c>
      <c r="D2552" t="n">
        <v>0</v>
      </c>
      <c r="E2552" t="n">
        <v>0</v>
      </c>
      <c r="F2552" t="n">
        <v>3</v>
      </c>
      <c r="G2552" t="n">
        <v>0</v>
      </c>
      <c r="I2552" t="n">
        <v>3</v>
      </c>
      <c r="J2552" t="n">
        <v>0</v>
      </c>
      <c r="K2552" t="n">
        <v>12</v>
      </c>
      <c r="L2552" t="n">
        <v>0</v>
      </c>
      <c r="M2552" t="n">
        <v>-14</v>
      </c>
      <c r="O2552" t="inlineStr">
        <is>
          <t>Michelina Dale — Customer Support Manager; Dave Gutierrez — VP Sales &amp; Business Development; Adam Schaut — Sales Executive; Miriam Tovar — Director of Marketing</t>
        </is>
      </c>
      <c r="P2552" t="inlineStr">
        <is>
          <t>Customer Support Manager | VP Sales &amp; Business Development | Director of Marketing</t>
        </is>
      </c>
      <c r="Y2552" t="inlineStr">
        <is>
          <t>todo</t>
        </is>
      </c>
      <c r="Z2552">
        <f>(M2552*Weights!$B$2) + (MIN(Q2552,Weights!$B$5)*Weights!$B$3*(W2552/100)*Weights!$B$4)</f>
        <v/>
      </c>
      <c r="AA2552">
        <f>IF(Z2552= ,,RANK.EQ({pri_col_letter}{r},{pri_range},0))</f>
        <v/>
      </c>
    </row>
    <row r="2553">
      <c r="A2553" t="inlineStr">
        <is>
          <t>Openforce</t>
        </is>
      </c>
      <c r="B2553" t="n">
        <v>4</v>
      </c>
      <c r="C2553" t="n">
        <v>0</v>
      </c>
      <c r="D2553" t="n">
        <v>0</v>
      </c>
      <c r="E2553" t="n">
        <v>0</v>
      </c>
      <c r="F2553" t="n">
        <v>3</v>
      </c>
      <c r="G2553" t="n">
        <v>1</v>
      </c>
      <c r="I2553" t="n">
        <v>4</v>
      </c>
      <c r="J2553" t="n">
        <v>0</v>
      </c>
      <c r="K2553" t="n">
        <v>12</v>
      </c>
      <c r="L2553" t="n">
        <v>0</v>
      </c>
      <c r="M2553" t="n">
        <v>-14</v>
      </c>
      <c r="O2553" t="inlineStr">
        <is>
          <t>Mike Hayes — Product Director, Partnerships &amp; Integrations; Bill Chval — Chief Revenue Officer; Carly Fliesher — SVP Enterprise Sales; Ben Francavage — Enterprise Sales Director</t>
        </is>
      </c>
      <c r="P2553" t="inlineStr">
        <is>
          <t>Chief Revenue Officer | SVP Enterprise Sales | Product Director, Partnerships &amp; Integrations</t>
        </is>
      </c>
      <c r="Y2553" t="inlineStr">
        <is>
          <t>todo</t>
        </is>
      </c>
      <c r="Z2553">
        <f>(M2553*Weights!$B$2) + (MIN(Q2553,Weights!$B$5)*Weights!$B$3*(W2553/100)*Weights!$B$4)</f>
        <v/>
      </c>
      <c r="AA2553">
        <f>IF(Z2553= ,,RANK.EQ({pri_col_letter}{r},{pri_range},0))</f>
        <v/>
      </c>
    </row>
    <row r="2554">
      <c r="A2554" t="inlineStr">
        <is>
          <t>Parcel Perform</t>
        </is>
      </c>
      <c r="B2554" t="n">
        <v>4</v>
      </c>
      <c r="C2554" t="n">
        <v>0</v>
      </c>
      <c r="D2554" t="n">
        <v>0</v>
      </c>
      <c r="E2554" t="n">
        <v>0</v>
      </c>
      <c r="F2554" t="n">
        <v>3</v>
      </c>
      <c r="G2554" t="n">
        <v>0</v>
      </c>
      <c r="I2554" t="n">
        <v>3</v>
      </c>
      <c r="J2554" t="n">
        <v>0</v>
      </c>
      <c r="K2554" t="n">
        <v>12</v>
      </c>
      <c r="L2554" t="n">
        <v>0</v>
      </c>
      <c r="M2554" t="n">
        <v>-14</v>
      </c>
      <c r="O2554" t="inlineStr">
        <is>
          <t>Walter Heil — SVP, Americas; Chelsea Lee — Director of Sales Enablement; Randall Smith — Account Executive; Preston Thompson — Senior Account Executive</t>
        </is>
      </c>
      <c r="P2554" t="inlineStr">
        <is>
          <t>SVP, Americas | Director of Sales Enablement | Account Executive</t>
        </is>
      </c>
      <c r="Y2554" t="inlineStr">
        <is>
          <t>todo</t>
        </is>
      </c>
      <c r="Z2554">
        <f>(M2554*Weights!$B$2) + (MIN(Q2554,Weights!$B$5)*Weights!$B$3*(W2554/100)*Weights!$B$4)</f>
        <v/>
      </c>
      <c r="AA2554">
        <f>IF(Z2554= ,,RANK.EQ({pri_col_letter}{r},{pri_range},0))</f>
        <v/>
      </c>
    </row>
    <row r="2555">
      <c r="A2555" t="inlineStr">
        <is>
          <t>Rebus</t>
        </is>
      </c>
      <c r="B2555" t="n">
        <v>4</v>
      </c>
      <c r="C2555" t="n">
        <v>0</v>
      </c>
      <c r="D2555" t="n">
        <v>0</v>
      </c>
      <c r="E2555" t="n">
        <v>0</v>
      </c>
      <c r="F2555" t="n">
        <v>3</v>
      </c>
      <c r="G2555" t="n">
        <v>1</v>
      </c>
      <c r="I2555" t="n">
        <v>4</v>
      </c>
      <c r="J2555" t="n">
        <v>0</v>
      </c>
      <c r="K2555" t="n">
        <v>12</v>
      </c>
      <c r="L2555" t="n">
        <v>0</v>
      </c>
      <c r="M2555" t="n">
        <v>-14</v>
      </c>
      <c r="O2555" t="inlineStr">
        <is>
          <t>Kristen Spence — Demand Generation Manager; Brian Weiner — SVP of Sales and Marketing; Edip Tac — Director of Sales Engineering; Steven Wittenberg — Account Executive</t>
        </is>
      </c>
      <c r="P2555" t="inlineStr">
        <is>
          <t>SVP of Sales and Marketing | Demand Generation Manager | Director of Sales Engineering</t>
        </is>
      </c>
      <c r="Y2555" t="inlineStr">
        <is>
          <t>todo</t>
        </is>
      </c>
      <c r="Z2555">
        <f>(M2555*Weights!$B$2) + (MIN(Q2555,Weights!$B$5)*Weights!$B$3*(W2555/100)*Weights!$B$4)</f>
        <v/>
      </c>
      <c r="AA2555">
        <f>IF(Z2555= ,,RANK.EQ({pri_col_letter}{r},{pri_range},0))</f>
        <v/>
      </c>
    </row>
    <row r="2556">
      <c r="A2556" t="inlineStr">
        <is>
          <t>Red Stag Fulfillment</t>
        </is>
      </c>
      <c r="B2556" t="n">
        <v>4</v>
      </c>
      <c r="C2556" t="n">
        <v>0</v>
      </c>
      <c r="D2556" t="n">
        <v>0</v>
      </c>
      <c r="E2556" t="n">
        <v>0</v>
      </c>
      <c r="F2556" t="n">
        <v>3</v>
      </c>
      <c r="G2556" t="n">
        <v>0</v>
      </c>
      <c r="I2556" t="n">
        <v>3</v>
      </c>
      <c r="J2556" t="n">
        <v>0</v>
      </c>
      <c r="K2556" t="n">
        <v>12</v>
      </c>
      <c r="L2556" t="n">
        <v>0</v>
      </c>
      <c r="M2556" t="n">
        <v>-14</v>
      </c>
      <c r="O2556" t="inlineStr">
        <is>
          <t>Wally Shaw — CEO; Paul Zalewski — Chief Marketing Officer; Gable Prach — Vice President of Business Development; Ryan Marine — Director of Sales</t>
        </is>
      </c>
      <c r="P2556" t="inlineStr">
        <is>
          <t>CEO | Chief Marketing Officer | Vice President of Business Development</t>
        </is>
      </c>
      <c r="Y2556" t="inlineStr">
        <is>
          <t>todo</t>
        </is>
      </c>
      <c r="Z2556">
        <f>(M2556*Weights!$B$2) + (MIN(Q2556,Weights!$B$5)*Weights!$B$3*(W2556/100)*Weights!$B$4)</f>
        <v/>
      </c>
      <c r="AA2556">
        <f>IF(Z2556= ,,RANK.EQ({pri_col_letter}{r},{pri_range},0))</f>
        <v/>
      </c>
    </row>
    <row r="2557">
      <c r="A2557" t="inlineStr">
        <is>
          <t>Reliable Logistics</t>
        </is>
      </c>
      <c r="B2557" t="n">
        <v>4</v>
      </c>
      <c r="C2557" t="n">
        <v>0</v>
      </c>
      <c r="D2557" t="n">
        <v>0</v>
      </c>
      <c r="E2557" t="n">
        <v>0</v>
      </c>
      <c r="F2557" t="n">
        <v>3</v>
      </c>
      <c r="G2557" t="n">
        <v>0</v>
      </c>
      <c r="I2557" t="n">
        <v>3</v>
      </c>
      <c r="J2557" t="n">
        <v>0</v>
      </c>
      <c r="K2557" t="n">
        <v>12</v>
      </c>
      <c r="L2557" t="n">
        <v>0</v>
      </c>
      <c r="M2557" t="n">
        <v>-14</v>
      </c>
      <c r="O2557" t="inlineStr">
        <is>
          <t>Lucas Murua — Executive Vice President; Yuliya Dunets — Sales and Marketing Specialist; Michael Conway — Account Executive; Vanessa Marques — Business Development Executive</t>
        </is>
      </c>
      <c r="P2557" t="inlineStr">
        <is>
          <t>Executive Vice President | Sales and Marketing Specialist | Account Executive</t>
        </is>
      </c>
      <c r="Y2557" t="inlineStr">
        <is>
          <t>todo</t>
        </is>
      </c>
      <c r="Z2557">
        <f>(M2557*Weights!$B$2) + (MIN(Q2557,Weights!$B$5)*Weights!$B$3*(W2557/100)*Weights!$B$4)</f>
        <v/>
      </c>
      <c r="AA2557">
        <f>IF(Z2557= ,,RANK.EQ({pri_col_letter}{r},{pri_range},0))</f>
        <v/>
      </c>
    </row>
    <row r="2558">
      <c r="A2558" t="inlineStr">
        <is>
          <t>Roadie</t>
        </is>
      </c>
      <c r="B2558" t="n">
        <v>4</v>
      </c>
      <c r="C2558" t="n">
        <v>0</v>
      </c>
      <c r="D2558" t="n">
        <v>0</v>
      </c>
      <c r="E2558" t="n">
        <v>0</v>
      </c>
      <c r="F2558" t="n">
        <v>3</v>
      </c>
      <c r="G2558" t="n">
        <v>0</v>
      </c>
      <c r="I2558" t="n">
        <v>3</v>
      </c>
      <c r="J2558" t="n">
        <v>0</v>
      </c>
      <c r="K2558" t="n">
        <v>12</v>
      </c>
      <c r="L2558" t="n">
        <v>0</v>
      </c>
      <c r="M2558" t="n">
        <v>-14</v>
      </c>
      <c r="O2558" t="inlineStr">
        <is>
          <t>Marc Gorlin — CEO &amp; Founder; Valerie Metzker — VP of Partnerships &amp; Sales; Rachel Zarach — Business Development; Scott Heller — Business Development</t>
        </is>
      </c>
      <c r="P2558" t="inlineStr">
        <is>
          <t>CEO &amp; Founder | VP of Partnerships &amp; Sales | Business Development</t>
        </is>
      </c>
      <c r="Y2558" t="inlineStr">
        <is>
          <t>todo</t>
        </is>
      </c>
      <c r="Z2558">
        <f>(M2558*Weights!$B$2) + (MIN(Q2558,Weights!$B$5)*Weights!$B$3*(W2558/100)*Weights!$B$4)</f>
        <v/>
      </c>
      <c r="AA2558">
        <f>IF(Z2558= ,,RANK.EQ({pri_col_letter}{r},{pri_range},0))</f>
        <v/>
      </c>
    </row>
    <row r="2559">
      <c r="A2559" t="inlineStr">
        <is>
          <t>Saddle Creek Logistics Services</t>
        </is>
      </c>
      <c r="B2559" t="n">
        <v>4</v>
      </c>
      <c r="C2559" t="n">
        <v>0</v>
      </c>
      <c r="D2559" t="n">
        <v>0</v>
      </c>
      <c r="E2559" t="n">
        <v>0</v>
      </c>
      <c r="F2559" t="n">
        <v>3</v>
      </c>
      <c r="G2559" t="n">
        <v>0</v>
      </c>
      <c r="I2559" t="n">
        <v>3</v>
      </c>
      <c r="J2559" t="n">
        <v>0</v>
      </c>
      <c r="K2559" t="n">
        <v>12</v>
      </c>
      <c r="L2559" t="n">
        <v>0</v>
      </c>
      <c r="M2559" t="n">
        <v>-14</v>
      </c>
      <c r="O2559" t="inlineStr">
        <is>
          <t>Harshil Aghera — Senior Director, Technology and Innovation; Charlie Piper — SVP, Marketing and Business Development; Jeff Jones — Vice President, Business Development; Jake Vogel — Senior Director, Business Development</t>
        </is>
      </c>
      <c r="P2559" t="inlineStr">
        <is>
          <t>Senior Director, Technology and Innovation | SVP, Marketing and Business Development | Vice President, Business Development</t>
        </is>
      </c>
      <c r="Y2559" t="inlineStr">
        <is>
          <t>todo</t>
        </is>
      </c>
      <c r="Z2559">
        <f>(M2559*Weights!$B$2) + (MIN(Q2559,Weights!$B$5)*Weights!$B$3*(W2559/100)*Weights!$B$4)</f>
        <v/>
      </c>
      <c r="AA2559">
        <f>IF(Z2559= ,,RANK.EQ({pri_col_letter}{r},{pri_range},0))</f>
        <v/>
      </c>
    </row>
    <row r="2560">
      <c r="A2560" t="inlineStr">
        <is>
          <t>ShipHawk</t>
        </is>
      </c>
      <c r="B2560" t="n">
        <v>4</v>
      </c>
      <c r="C2560" t="n">
        <v>0</v>
      </c>
      <c r="D2560" t="n">
        <v>0</v>
      </c>
      <c r="E2560" t="n">
        <v>0</v>
      </c>
      <c r="F2560" t="n">
        <v>3</v>
      </c>
      <c r="G2560" t="n">
        <v>0</v>
      </c>
      <c r="I2560" t="n">
        <v>3</v>
      </c>
      <c r="J2560" t="n">
        <v>0</v>
      </c>
      <c r="K2560" t="n">
        <v>12</v>
      </c>
      <c r="L2560" t="n">
        <v>0</v>
      </c>
      <c r="M2560" t="n">
        <v>-14</v>
      </c>
      <c r="O2560" t="inlineStr">
        <is>
          <t>Balaji Raman — Sr. Solutions Consultant; John Dunkerton — Account Executive; Sam Brown — Account Executive; Kelly Horton — Marketing Manager</t>
        </is>
      </c>
      <c r="P2560" t="inlineStr">
        <is>
          <t>Sr. Solutions Consultant | Account Executive | Marketing Manager</t>
        </is>
      </c>
      <c r="Y2560" t="inlineStr">
        <is>
          <t>todo</t>
        </is>
      </c>
      <c r="Z2560">
        <f>(M2560*Weights!$B$2) + (MIN(Q2560,Weights!$B$5)*Weights!$B$3*(W2560/100)*Weights!$B$4)</f>
        <v/>
      </c>
      <c r="AA2560">
        <f>IF(Z2560= ,,RANK.EQ({pri_col_letter}{r},{pri_range},0))</f>
        <v/>
      </c>
    </row>
    <row r="2561">
      <c r="A2561" t="inlineStr">
        <is>
          <t>Supply &amp; Demand Chain Executive &amp; Food Logistics</t>
        </is>
      </c>
      <c r="B2561" t="n">
        <v>4</v>
      </c>
      <c r="C2561" t="n">
        <v>0</v>
      </c>
      <c r="D2561" t="n">
        <v>0</v>
      </c>
      <c r="E2561" t="n">
        <v>0</v>
      </c>
      <c r="F2561" t="n">
        <v>3</v>
      </c>
      <c r="G2561" t="n">
        <v>0</v>
      </c>
      <c r="I2561" t="n">
        <v>3</v>
      </c>
      <c r="J2561" t="n">
        <v>0</v>
      </c>
      <c r="K2561" t="n">
        <v>12</v>
      </c>
      <c r="L2561" t="n">
        <v>0</v>
      </c>
      <c r="M2561" t="n">
        <v>-14</v>
      </c>
      <c r="O2561" t="inlineStr">
        <is>
          <t>Marina Mayer — Content Director; Brian Hines — Sales Representative; Jay Gagen — Sales Representative; Mark Pantalone — Sales Representative</t>
        </is>
      </c>
      <c r="P2561" t="inlineStr">
        <is>
          <t>Content Director | Sales Representative</t>
        </is>
      </c>
      <c r="Y2561" t="inlineStr">
        <is>
          <t>todo</t>
        </is>
      </c>
      <c r="Z2561">
        <f>(M2561*Weights!$B$2) + (MIN(Q2561,Weights!$B$5)*Weights!$B$3*(W2561/100)*Weights!$B$4)</f>
        <v/>
      </c>
      <c r="AA2561">
        <f>IF(Z2561= ,,RANK.EQ({pri_col_letter}{r},{pri_range},0))</f>
        <v/>
      </c>
    </row>
    <row r="2562">
      <c r="A2562" t="inlineStr">
        <is>
          <t>Tecsys</t>
        </is>
      </c>
      <c r="B2562" t="n">
        <v>4</v>
      </c>
      <c r="C2562" t="n">
        <v>0</v>
      </c>
      <c r="D2562" t="n">
        <v>0</v>
      </c>
      <c r="E2562" t="n">
        <v>0</v>
      </c>
      <c r="F2562" t="n">
        <v>3</v>
      </c>
      <c r="G2562" t="n">
        <v>1</v>
      </c>
      <c r="I2562" t="n">
        <v>4</v>
      </c>
      <c r="J2562" t="n">
        <v>0</v>
      </c>
      <c r="K2562" t="n">
        <v>12</v>
      </c>
      <c r="L2562" t="n">
        <v>0</v>
      </c>
      <c r="M2562" t="n">
        <v>-14</v>
      </c>
      <c r="O2562" t="inlineStr">
        <is>
          <t>Harry Dimirjian — Director, Solution Consulting; David Mascitto — DIRECTOR OF PRODUCT MARKETING; Philip Garrison — Sr. Account Executive; jennylie cardin — Campaign Marketing Manager</t>
        </is>
      </c>
      <c r="P2562" t="inlineStr">
        <is>
          <t>Director, Solution Consulting | DIRECTOR OF PRODUCT MARKETING | Sr. Account Executive</t>
        </is>
      </c>
      <c r="Y2562" t="inlineStr">
        <is>
          <t>todo</t>
        </is>
      </c>
      <c r="Z2562">
        <f>(M2562*Weights!$B$2) + (MIN(Q2562,Weights!$B$5)*Weights!$B$3*(W2562/100)*Weights!$B$4)</f>
        <v/>
      </c>
      <c r="AA2562">
        <f>IF(Z2562= ,,RANK.EQ({pri_col_letter}{r},{pri_range},0))</f>
        <v/>
      </c>
    </row>
    <row r="2563">
      <c r="A2563" t="inlineStr">
        <is>
          <t>Toyota Automated Logistics</t>
        </is>
      </c>
      <c r="B2563" t="n">
        <v>4</v>
      </c>
      <c r="C2563" t="n">
        <v>0</v>
      </c>
      <c r="D2563" t="n">
        <v>0</v>
      </c>
      <c r="E2563" t="n">
        <v>0</v>
      </c>
      <c r="F2563" t="n">
        <v>3</v>
      </c>
      <c r="G2563" t="n">
        <v>0</v>
      </c>
      <c r="I2563" t="n">
        <v>3</v>
      </c>
      <c r="J2563" t="n">
        <v>0</v>
      </c>
      <c r="K2563" t="n">
        <v>12</v>
      </c>
      <c r="L2563" t="n">
        <v>0</v>
      </c>
      <c r="M2563" t="n">
        <v>-14</v>
      </c>
      <c r="O2563" t="inlineStr">
        <is>
          <t>Andrew Lockhart — Director, Strategic Engagement; Alex Haines — Director, Business Development &amp; Key Accounts; Joe Kennedy — Business Development Manager; Max Rekowski — Business Development Team Lead</t>
        </is>
      </c>
      <c r="P2563" t="inlineStr">
        <is>
          <t>Director, Strategic Engagement | Director, Business Development &amp; Key Accounts | Business Development Manager</t>
        </is>
      </c>
      <c r="Y2563" t="inlineStr">
        <is>
          <t>todo</t>
        </is>
      </c>
      <c r="Z2563">
        <f>(M2563*Weights!$B$2) + (MIN(Q2563,Weights!$B$5)*Weights!$B$3*(W2563/100)*Weights!$B$4)</f>
        <v/>
      </c>
      <c r="AA2563">
        <f>IF(Z2563= ,,RANK.EQ({pri_col_letter}{r},{pri_range},0))</f>
        <v/>
      </c>
    </row>
    <row r="2564">
      <c r="A2564" t="inlineStr">
        <is>
          <t>TrueCommerce</t>
        </is>
      </c>
      <c r="B2564" t="n">
        <v>4</v>
      </c>
      <c r="C2564" t="n">
        <v>0</v>
      </c>
      <c r="D2564" t="n">
        <v>0</v>
      </c>
      <c r="E2564" t="n">
        <v>0</v>
      </c>
      <c r="F2564" t="n">
        <v>3</v>
      </c>
      <c r="G2564" t="n">
        <v>1</v>
      </c>
      <c r="I2564" t="n">
        <v>4</v>
      </c>
      <c r="J2564" t="n">
        <v>0</v>
      </c>
      <c r="K2564" t="n">
        <v>12</v>
      </c>
      <c r="L2564" t="n">
        <v>0</v>
      </c>
      <c r="M2564" t="n">
        <v>-14</v>
      </c>
      <c r="O2564" t="inlineStr">
        <is>
          <t>Mike Gross — Chief Strategy Officer; Rain Carpenter — Marketing Manager; Justin Woodburn — Director, Sales Engineering; Larry Frederick — Senior Account Executive</t>
        </is>
      </c>
      <c r="P2564" t="inlineStr">
        <is>
          <t>Chief Strategy Officer | Director, Sales Engineering | Senior Account Executive</t>
        </is>
      </c>
      <c r="Y2564" t="inlineStr">
        <is>
          <t>todo</t>
        </is>
      </c>
      <c r="Z2564">
        <f>(M2564*Weights!$B$2) + (MIN(Q2564,Weights!$B$5)*Weights!$B$3*(W2564/100)*Weights!$B$4)</f>
        <v/>
      </c>
      <c r="AA2564">
        <f>IF(Z2564= ,,RANK.EQ({pri_col_letter}{r},{pri_range},0))</f>
        <v/>
      </c>
    </row>
    <row r="2565">
      <c r="A2565" t="inlineStr">
        <is>
          <t>U.S. Bank Freight Payment</t>
        </is>
      </c>
      <c r="B2565" t="n">
        <v>4</v>
      </c>
      <c r="C2565" t="n">
        <v>0</v>
      </c>
      <c r="D2565" t="n">
        <v>0</v>
      </c>
      <c r="E2565" t="n">
        <v>0</v>
      </c>
      <c r="F2565" t="n">
        <v>3</v>
      </c>
      <c r="G2565" t="n">
        <v>0</v>
      </c>
      <c r="I2565" t="n">
        <v>3</v>
      </c>
      <c r="J2565" t="n">
        <v>0</v>
      </c>
      <c r="K2565" t="n">
        <v>12</v>
      </c>
      <c r="L2565" t="n">
        <v>0</v>
      </c>
      <c r="M2565" t="n">
        <v>-14</v>
      </c>
      <c r="O2565" t="inlineStr">
        <is>
          <t>Ruth Epping — Project Manager; David Joiner — VP Business Development; Christian Schoenenberger — AVP Marketing Manager; Nate Jackson — AVP Small Parcel Business Development</t>
        </is>
      </c>
      <c r="P2565" t="inlineStr">
        <is>
          <t>Project Manager | VP Business Development | AVP Marketing Manager</t>
        </is>
      </c>
      <c r="Y2565" t="inlineStr">
        <is>
          <t>todo</t>
        </is>
      </c>
      <c r="Z2565">
        <f>(M2565*Weights!$B$2) + (MIN(Q2565,Weights!$B$5)*Weights!$B$3*(W2565/100)*Weights!$B$4)</f>
        <v/>
      </c>
      <c r="AA2565">
        <f>IF(Z2565= ,,RANK.EQ({pri_col_letter}{r},{pri_range},0))</f>
        <v/>
      </c>
    </row>
    <row r="2566">
      <c r="A2566" t="inlineStr">
        <is>
          <t>3C Software</t>
        </is>
      </c>
      <c r="B2566" t="n">
        <v>2</v>
      </c>
      <c r="C2566" t="n">
        <v>0</v>
      </c>
      <c r="D2566" t="n">
        <v>0</v>
      </c>
      <c r="E2566" t="n">
        <v>0</v>
      </c>
      <c r="F2566" t="n">
        <v>2</v>
      </c>
      <c r="G2566" t="n">
        <v>0</v>
      </c>
      <c r="I2566" t="n">
        <v>2</v>
      </c>
      <c r="J2566" t="n">
        <v>0</v>
      </c>
      <c r="K2566" t="n">
        <v>12</v>
      </c>
      <c r="L2566" t="n">
        <v>0</v>
      </c>
      <c r="M2566" t="n">
        <v>-14</v>
      </c>
      <c r="O2566" t="inlineStr">
        <is>
          <t>Stacey Adams — Director of Marketing; Reema Chakravorty — Account Executive - Profitability Solutions</t>
        </is>
      </c>
      <c r="P2566" t="inlineStr">
        <is>
          <t>Director of Marketing | Account Executive - Profitability Solutions</t>
        </is>
      </c>
      <c r="Y2566" t="inlineStr">
        <is>
          <t>todo</t>
        </is>
      </c>
      <c r="Z2566">
        <f>(M2566*Weights!$B$2) + (MIN(Q2566,Weights!$B$5)*Weights!$B$3*(W2566/100)*Weights!$B$4)</f>
        <v/>
      </c>
      <c r="AA2566">
        <f>IF(Z2566= ,,RANK.EQ({pri_col_letter}{r},{pri_range},0))</f>
        <v/>
      </c>
    </row>
    <row r="2567">
      <c r="A2567" t="inlineStr">
        <is>
          <t>AiLO Logistics</t>
        </is>
      </c>
      <c r="B2567" t="n">
        <v>2</v>
      </c>
      <c r="C2567" t="n">
        <v>0</v>
      </c>
      <c r="D2567" t="n">
        <v>0</v>
      </c>
      <c r="E2567" t="n">
        <v>0</v>
      </c>
      <c r="F2567" t="n">
        <v>2</v>
      </c>
      <c r="G2567" t="n">
        <v>0</v>
      </c>
      <c r="I2567" t="n">
        <v>2</v>
      </c>
      <c r="J2567" t="n">
        <v>0</v>
      </c>
      <c r="K2567" t="n">
        <v>12</v>
      </c>
      <c r="L2567" t="n">
        <v>0</v>
      </c>
      <c r="M2567" t="n">
        <v>-14</v>
      </c>
      <c r="O2567" t="inlineStr">
        <is>
          <t>Mike Bush — VP of Marketing; Nick Cook — Chief Revenue Officer</t>
        </is>
      </c>
      <c r="P2567" t="inlineStr">
        <is>
          <t>VP of Marketing | Chief Revenue Officer</t>
        </is>
      </c>
      <c r="Y2567" t="inlineStr">
        <is>
          <t>todo</t>
        </is>
      </c>
      <c r="Z2567">
        <f>(M2567*Weights!$B$2) + (MIN(Q2567,Weights!$B$5)*Weights!$B$3*(W2567/100)*Weights!$B$4)</f>
        <v/>
      </c>
      <c r="AA2567">
        <f>IF(Z2567= ,,RANK.EQ({pri_col_letter}{r},{pri_range},0))</f>
        <v/>
      </c>
    </row>
    <row r="2568">
      <c r="A2568" t="inlineStr">
        <is>
          <t>AutoStore</t>
        </is>
      </c>
      <c r="B2568" t="n">
        <v>2</v>
      </c>
      <c r="C2568" t="n">
        <v>0</v>
      </c>
      <c r="D2568" t="n">
        <v>0</v>
      </c>
      <c r="E2568" t="n">
        <v>0</v>
      </c>
      <c r="F2568" t="n">
        <v>2</v>
      </c>
      <c r="G2568" t="n">
        <v>0</v>
      </c>
      <c r="I2568" t="n">
        <v>2</v>
      </c>
      <c r="J2568" t="n">
        <v>0</v>
      </c>
      <c r="K2568" t="n">
        <v>12</v>
      </c>
      <c r="L2568" t="n">
        <v>0</v>
      </c>
      <c r="M2568" t="n">
        <v>-14</v>
      </c>
      <c r="O2568" t="inlineStr">
        <is>
          <t>Andy Jackson — Enterprise Account Executive; David Jeziorski — Enterprise Account Executive</t>
        </is>
      </c>
      <c r="P2568" t="inlineStr">
        <is>
          <t>Enterprise Account Executive</t>
        </is>
      </c>
      <c r="Y2568" t="inlineStr">
        <is>
          <t>todo</t>
        </is>
      </c>
      <c r="Z2568">
        <f>(M2568*Weights!$B$2) + (MIN(Q2568,Weights!$B$5)*Weights!$B$3*(W2568/100)*Weights!$B$4)</f>
        <v/>
      </c>
      <c r="AA2568">
        <f>IF(Z2568= ,,RANK.EQ({pri_col_letter}{r},{pri_range},0))</f>
        <v/>
      </c>
    </row>
    <row r="2569">
      <c r="A2569" t="inlineStr">
        <is>
          <t>Avalara</t>
        </is>
      </c>
      <c r="B2569" t="n">
        <v>2</v>
      </c>
      <c r="C2569" t="n">
        <v>0</v>
      </c>
      <c r="D2569" t="n">
        <v>0</v>
      </c>
      <c r="E2569" t="n">
        <v>0</v>
      </c>
      <c r="F2569" t="n">
        <v>2</v>
      </c>
      <c r="G2569" t="n">
        <v>0</v>
      </c>
      <c r="I2569" t="n">
        <v>2</v>
      </c>
      <c r="J2569" t="n">
        <v>0</v>
      </c>
      <c r="K2569" t="n">
        <v>12</v>
      </c>
      <c r="L2569" t="n">
        <v>0</v>
      </c>
      <c r="M2569" t="n">
        <v>-14</v>
      </c>
      <c r="O2569" t="inlineStr">
        <is>
          <t>Jon Kuhlmann — Cross Border Sales Executive; Marty Taffet — Sr Business Development Manager</t>
        </is>
      </c>
      <c r="P2569" t="inlineStr">
        <is>
          <t>Cross Border Sales Executive | Sr Business Development Manager</t>
        </is>
      </c>
      <c r="Y2569" t="inlineStr">
        <is>
          <t>todo</t>
        </is>
      </c>
      <c r="Z2569">
        <f>(M2569*Weights!$B$2) + (MIN(Q2569,Weights!$B$5)*Weights!$B$3*(W2569/100)*Weights!$B$4)</f>
        <v/>
      </c>
      <c r="AA2569">
        <f>IF(Z2569= ,,RANK.EQ({pri_col_letter}{r},{pri_range},0))</f>
        <v/>
      </c>
    </row>
    <row r="2570">
      <c r="A2570" t="inlineStr">
        <is>
          <t>BEUMER Group</t>
        </is>
      </c>
      <c r="B2570" t="n">
        <v>2</v>
      </c>
      <c r="C2570" t="n">
        <v>0</v>
      </c>
      <c r="D2570" t="n">
        <v>0</v>
      </c>
      <c r="E2570" t="n">
        <v>0</v>
      </c>
      <c r="F2570" t="n">
        <v>2</v>
      </c>
      <c r="G2570" t="n">
        <v>0</v>
      </c>
      <c r="I2570" t="n">
        <v>2</v>
      </c>
      <c r="J2570" t="n">
        <v>0</v>
      </c>
      <c r="K2570" t="n">
        <v>12</v>
      </c>
      <c r="L2570" t="n">
        <v>0</v>
      </c>
      <c r="M2570" t="n">
        <v>-14</v>
      </c>
      <c r="O2570" t="inlineStr">
        <is>
          <t>Miguel Ferreira — Sales Manager; Megan Wolf — Business Development Manager</t>
        </is>
      </c>
      <c r="P2570" t="inlineStr">
        <is>
          <t>Sales Manager | Business Development Manager</t>
        </is>
      </c>
      <c r="Y2570" t="inlineStr">
        <is>
          <t>todo</t>
        </is>
      </c>
      <c r="Z2570">
        <f>(M2570*Weights!$B$2) + (MIN(Q2570,Weights!$B$5)*Weights!$B$3*(W2570/100)*Weights!$B$4)</f>
        <v/>
      </c>
      <c r="AA2570">
        <f>IF(Z2570= ,,RANK.EQ({pri_col_letter}{r},{pri_range},0))</f>
        <v/>
      </c>
    </row>
    <row r="2571">
      <c r="A2571" t="inlineStr">
        <is>
          <t>Camelot 3PL Software</t>
        </is>
      </c>
      <c r="B2571" t="n">
        <v>2</v>
      </c>
      <c r="C2571" t="n">
        <v>0</v>
      </c>
      <c r="D2571" t="n">
        <v>0</v>
      </c>
      <c r="E2571" t="n">
        <v>0</v>
      </c>
      <c r="F2571" t="n">
        <v>2</v>
      </c>
      <c r="G2571" t="n">
        <v>0</v>
      </c>
      <c r="I2571" t="n">
        <v>2</v>
      </c>
      <c r="J2571" t="n">
        <v>0</v>
      </c>
      <c r="K2571" t="n">
        <v>12</v>
      </c>
      <c r="L2571" t="n">
        <v>0</v>
      </c>
      <c r="M2571" t="n">
        <v>-14</v>
      </c>
      <c r="O2571" t="inlineStr">
        <is>
          <t>Geoff Greenhill — Director of Sales; Todd Akins — Marketing Manager</t>
        </is>
      </c>
      <c r="P2571" t="inlineStr">
        <is>
          <t>Director of Sales | Marketing Manager</t>
        </is>
      </c>
      <c r="Y2571" t="inlineStr">
        <is>
          <t>todo</t>
        </is>
      </c>
      <c r="Z2571">
        <f>(M2571*Weights!$B$2) + (MIN(Q2571,Weights!$B$5)*Weights!$B$3*(W2571/100)*Weights!$B$4)</f>
        <v/>
      </c>
      <c r="AA2571">
        <f>IF(Z2571= ,,RANK.EQ({pri_col_letter}{r},{pri_range},0))</f>
        <v/>
      </c>
    </row>
    <row r="2572">
      <c r="A2572" t="inlineStr">
        <is>
          <t>ClearJet</t>
        </is>
      </c>
      <c r="B2572" t="n">
        <v>2</v>
      </c>
      <c r="C2572" t="n">
        <v>0</v>
      </c>
      <c r="D2572" t="n">
        <v>0</v>
      </c>
      <c r="E2572" t="n">
        <v>0</v>
      </c>
      <c r="F2572" t="n">
        <v>2</v>
      </c>
      <c r="G2572" t="n">
        <v>0</v>
      </c>
      <c r="I2572" t="n">
        <v>2</v>
      </c>
      <c r="J2572" t="n">
        <v>0</v>
      </c>
      <c r="K2572" t="n">
        <v>12</v>
      </c>
      <c r="L2572" t="n">
        <v>0</v>
      </c>
      <c r="M2572" t="n">
        <v>-14</v>
      </c>
      <c r="O2572" t="inlineStr">
        <is>
          <t>Daniel Sayne — SVP Sales; Dave Meyers — Sr. Director of Sales</t>
        </is>
      </c>
      <c r="P2572" t="inlineStr">
        <is>
          <t>SVP Sales | Sr. Director of Sales</t>
        </is>
      </c>
      <c r="Y2572" t="inlineStr">
        <is>
          <t>todo</t>
        </is>
      </c>
      <c r="Z2572">
        <f>(M2572*Weights!$B$2) + (MIN(Q2572,Weights!$B$5)*Weights!$B$3*(W2572/100)*Weights!$B$4)</f>
        <v/>
      </c>
      <c r="AA2572">
        <f>IF(Z2572= ,,RANK.EQ({pri_col_letter}{r},{pri_range},0))</f>
        <v/>
      </c>
    </row>
    <row r="2573">
      <c r="A2573" t="inlineStr">
        <is>
          <t>Commonwealth Packaging Company</t>
        </is>
      </c>
      <c r="B2573" t="n">
        <v>2</v>
      </c>
      <c r="C2573" t="n">
        <v>0</v>
      </c>
      <c r="D2573" t="n">
        <v>0</v>
      </c>
      <c r="E2573" t="n">
        <v>0</v>
      </c>
      <c r="F2573" t="n">
        <v>2</v>
      </c>
      <c r="G2573" t="n">
        <v>0</v>
      </c>
      <c r="I2573" t="n">
        <v>2</v>
      </c>
      <c r="J2573" t="n">
        <v>0</v>
      </c>
      <c r="K2573" t="n">
        <v>12</v>
      </c>
      <c r="L2573" t="n">
        <v>0</v>
      </c>
      <c r="M2573" t="n">
        <v>-14</v>
      </c>
      <c r="O2573" t="inlineStr">
        <is>
          <t>Linda Weidenbaum — Vice President Brand Marketing; Jake Martin — Senior Account Executive</t>
        </is>
      </c>
      <c r="P2573" t="inlineStr">
        <is>
          <t>Vice President Brand Marketing | Senior Account Executive</t>
        </is>
      </c>
      <c r="Y2573" t="inlineStr">
        <is>
          <t>todo</t>
        </is>
      </c>
      <c r="Z2573">
        <f>(M2573*Weights!$B$2) + (MIN(Q2573,Weights!$B$5)*Weights!$B$3*(W2573/100)*Weights!$B$4)</f>
        <v/>
      </c>
      <c r="AA2573">
        <f>IF(Z2573= ,,RANK.EQ({pri_col_letter}{r},{pri_range},0))</f>
        <v/>
      </c>
    </row>
    <row r="2574">
      <c r="A2574" t="inlineStr">
        <is>
          <t>Expertly AI</t>
        </is>
      </c>
      <c r="B2574" t="n">
        <v>2</v>
      </c>
      <c r="C2574" t="n">
        <v>0</v>
      </c>
      <c r="D2574" t="n">
        <v>0</v>
      </c>
      <c r="E2574" t="n">
        <v>0</v>
      </c>
      <c r="F2574" t="n">
        <v>2</v>
      </c>
      <c r="G2574" t="n">
        <v>0</v>
      </c>
      <c r="I2574" t="n">
        <v>2</v>
      </c>
      <c r="J2574" t="n">
        <v>0</v>
      </c>
      <c r="K2574" t="n">
        <v>12</v>
      </c>
      <c r="L2574" t="n">
        <v>0</v>
      </c>
      <c r="M2574" t="n">
        <v>-14</v>
      </c>
      <c r="O2574" t="inlineStr">
        <is>
          <t>Christian Bartholomew — Sales; Joey Hurth — Sales</t>
        </is>
      </c>
      <c r="P2574" t="inlineStr">
        <is>
          <t>Sales</t>
        </is>
      </c>
      <c r="Y2574" t="inlineStr">
        <is>
          <t>todo</t>
        </is>
      </c>
      <c r="Z2574">
        <f>(M2574*Weights!$B$2) + (MIN(Q2574,Weights!$B$5)*Weights!$B$3*(W2574/100)*Weights!$B$4)</f>
        <v/>
      </c>
      <c r="AA2574">
        <f>IF(Z2574= ,,RANK.EQ({pri_col_letter}{r},{pri_range},0))</f>
        <v/>
      </c>
    </row>
    <row r="2575">
      <c r="A2575" t="inlineStr">
        <is>
          <t>FleetOptics Inc</t>
        </is>
      </c>
      <c r="B2575" t="n">
        <v>2</v>
      </c>
      <c r="C2575" t="n">
        <v>0</v>
      </c>
      <c r="D2575" t="n">
        <v>0</v>
      </c>
      <c r="E2575" t="n">
        <v>0</v>
      </c>
      <c r="F2575" t="n">
        <v>2</v>
      </c>
      <c r="G2575" t="n">
        <v>0</v>
      </c>
      <c r="I2575" t="n">
        <v>2</v>
      </c>
      <c r="J2575" t="n">
        <v>0</v>
      </c>
      <c r="K2575" t="n">
        <v>12</v>
      </c>
      <c r="L2575" t="n">
        <v>0</v>
      </c>
      <c r="M2575" t="n">
        <v>-14</v>
      </c>
      <c r="O2575" t="inlineStr">
        <is>
          <t>John Rusich — National Director, Sales; Chris Glover — Sr. Account Executive</t>
        </is>
      </c>
      <c r="P2575" t="inlineStr">
        <is>
          <t>National Director, Sales | Sr. Account Executive</t>
        </is>
      </c>
      <c r="Y2575" t="inlineStr">
        <is>
          <t>todo</t>
        </is>
      </c>
      <c r="Z2575">
        <f>(M2575*Weights!$B$2) + (MIN(Q2575,Weights!$B$5)*Weights!$B$3*(W2575/100)*Weights!$B$4)</f>
        <v/>
      </c>
      <c r="AA2575">
        <f>IF(Z2575= ,,RANK.EQ({pri_col_letter}{r},{pri_range},0))</f>
        <v/>
      </c>
    </row>
    <row r="2576">
      <c r="A2576" t="inlineStr">
        <is>
          <t>FleetWorks</t>
        </is>
      </c>
      <c r="B2576" t="n">
        <v>2</v>
      </c>
      <c r="C2576" t="n">
        <v>0</v>
      </c>
      <c r="D2576" t="n">
        <v>0</v>
      </c>
      <c r="E2576" t="n">
        <v>0</v>
      </c>
      <c r="F2576" t="n">
        <v>2</v>
      </c>
      <c r="G2576" t="n">
        <v>0</v>
      </c>
      <c r="I2576" t="n">
        <v>2</v>
      </c>
      <c r="J2576" t="n">
        <v>0</v>
      </c>
      <c r="K2576" t="n">
        <v>12</v>
      </c>
      <c r="L2576" t="n">
        <v>0</v>
      </c>
      <c r="M2576" t="n">
        <v>-14</v>
      </c>
      <c r="O2576" t="inlineStr">
        <is>
          <t>Kyle Taylor — Senior Director of Sales; Elan Zamri — Account Executive</t>
        </is>
      </c>
      <c r="P2576" t="inlineStr">
        <is>
          <t>Senior Director of Sales | Account Executive</t>
        </is>
      </c>
      <c r="Y2576" t="inlineStr">
        <is>
          <t>todo</t>
        </is>
      </c>
      <c r="Z2576">
        <f>(M2576*Weights!$B$2) + (MIN(Q2576,Weights!$B$5)*Weights!$B$3*(W2576/100)*Weights!$B$4)</f>
        <v/>
      </c>
      <c r="AA2576">
        <f>IF(Z2576= ,,RANK.EQ({pri_col_letter}{r},{pri_range},0))</f>
        <v/>
      </c>
    </row>
    <row r="2577">
      <c r="A2577" t="inlineStr">
        <is>
          <t>Forward Air</t>
        </is>
      </c>
      <c r="B2577" t="n">
        <v>2</v>
      </c>
      <c r="C2577" t="n">
        <v>0</v>
      </c>
      <c r="D2577" t="n">
        <v>0</v>
      </c>
      <c r="E2577" t="n">
        <v>0</v>
      </c>
      <c r="F2577" t="n">
        <v>2</v>
      </c>
      <c r="G2577" t="n">
        <v>0</v>
      </c>
      <c r="I2577" t="n">
        <v>2</v>
      </c>
      <c r="J2577" t="n">
        <v>0</v>
      </c>
      <c r="K2577" t="n">
        <v>12</v>
      </c>
      <c r="L2577" t="n">
        <v>0</v>
      </c>
      <c r="M2577" t="n">
        <v>-14</v>
      </c>
      <c r="O2577" t="inlineStr">
        <is>
          <t>Christopher Pagonis — Director of Sales; Doug Day — Sr Sales Executive</t>
        </is>
      </c>
      <c r="P2577" t="inlineStr">
        <is>
          <t>Director of Sales | Sr Sales Executive</t>
        </is>
      </c>
      <c r="Y2577" t="inlineStr">
        <is>
          <t>todo</t>
        </is>
      </c>
      <c r="Z2577">
        <f>(M2577*Weights!$B$2) + (MIN(Q2577,Weights!$B$5)*Weights!$B$3*(W2577/100)*Weights!$B$4)</f>
        <v/>
      </c>
      <c r="AA2577">
        <f>IF(Z2577= ,,RANK.EQ({pri_col_letter}{r},{pri_range},0))</f>
        <v/>
      </c>
    </row>
    <row r="2578">
      <c r="A2578" t="inlineStr">
        <is>
          <t>Freight Handlers, Inc. (FHI)</t>
        </is>
      </c>
      <c r="B2578" t="n">
        <v>2</v>
      </c>
      <c r="C2578" t="n">
        <v>0</v>
      </c>
      <c r="D2578" t="n">
        <v>0</v>
      </c>
      <c r="E2578" t="n">
        <v>0</v>
      </c>
      <c r="F2578" t="n">
        <v>2</v>
      </c>
      <c r="G2578" t="n">
        <v>0</v>
      </c>
      <c r="I2578" t="n">
        <v>2</v>
      </c>
      <c r="J2578" t="n">
        <v>0</v>
      </c>
      <c r="K2578" t="n">
        <v>12</v>
      </c>
      <c r="L2578" t="n">
        <v>0</v>
      </c>
      <c r="M2578" t="n">
        <v>-14</v>
      </c>
      <c r="O2578" t="inlineStr">
        <is>
          <t>Will Seel — Vice President, Business Development &amp; Industry Affairs; Gregory Galanis — Marketing Lead</t>
        </is>
      </c>
      <c r="P2578" t="inlineStr">
        <is>
          <t>Vice President, Business Development &amp; Industry Affairs | Marketing Lead</t>
        </is>
      </c>
      <c r="Y2578" t="inlineStr">
        <is>
          <t>todo</t>
        </is>
      </c>
      <c r="Z2578">
        <f>(M2578*Weights!$B$2) + (MIN(Q2578,Weights!$B$5)*Weights!$B$3*(W2578/100)*Weights!$B$4)</f>
        <v/>
      </c>
      <c r="AA2578">
        <f>IF(Z2578= ,,RANK.EQ({pri_col_letter}{r},{pri_range},0))</f>
        <v/>
      </c>
    </row>
    <row r="2579">
      <c r="A2579" t="inlineStr">
        <is>
          <t>GEOTAB</t>
        </is>
      </c>
      <c r="B2579" t="n">
        <v>2</v>
      </c>
      <c r="C2579" t="n">
        <v>0</v>
      </c>
      <c r="D2579" t="n">
        <v>0</v>
      </c>
      <c r="E2579" t="n">
        <v>0</v>
      </c>
      <c r="F2579" t="n">
        <v>2</v>
      </c>
      <c r="G2579" t="n">
        <v>0</v>
      </c>
      <c r="I2579" t="n">
        <v>2</v>
      </c>
      <c r="J2579" t="n">
        <v>0</v>
      </c>
      <c r="K2579" t="n">
        <v>12</v>
      </c>
      <c r="L2579" t="n">
        <v>0</v>
      </c>
      <c r="M2579" t="n">
        <v>-14</v>
      </c>
      <c r="O2579" t="inlineStr">
        <is>
          <t>CARLOS ENRIQUE BARRERA SANCHEZ — BUSINESS DEVELOPMENT MANAGER; SHANNA COVA — GLOBAL BUSINESS DEVELOPMENT MANAGER</t>
        </is>
      </c>
      <c r="P2579" t="inlineStr">
        <is>
          <t>BUSINESS DEVELOPMENT MANAGER | GLOBAL BUSINESS DEVELOPMENT MANAGER</t>
        </is>
      </c>
      <c r="Y2579" t="inlineStr">
        <is>
          <t>todo</t>
        </is>
      </c>
      <c r="Z2579">
        <f>(M2579*Weights!$B$2) + (MIN(Q2579,Weights!$B$5)*Weights!$B$3*(W2579/100)*Weights!$B$4)</f>
        <v/>
      </c>
      <c r="AA2579">
        <f>IF(Z2579= ,,RANK.EQ({pri_col_letter}{r},{pri_range},0))</f>
        <v/>
      </c>
    </row>
    <row r="2580">
      <c r="A2580" t="inlineStr">
        <is>
          <t>Gorbel Inc.</t>
        </is>
      </c>
      <c r="B2580" t="n">
        <v>2</v>
      </c>
      <c r="C2580" t="n">
        <v>0</v>
      </c>
      <c r="D2580" t="n">
        <v>0</v>
      </c>
      <c r="E2580" t="n">
        <v>0</v>
      </c>
      <c r="F2580" t="n">
        <v>2</v>
      </c>
      <c r="G2580" t="n">
        <v>2</v>
      </c>
      <c r="I2580" t="n">
        <v>4</v>
      </c>
      <c r="J2580" t="n">
        <v>0</v>
      </c>
      <c r="K2580" t="n">
        <v>12</v>
      </c>
      <c r="L2580" t="n">
        <v>0</v>
      </c>
      <c r="M2580" t="n">
        <v>-14</v>
      </c>
      <c r="O2580" t="inlineStr">
        <is>
          <t>Anton Sawatzky — Product Sales Manager; Stefan Friedrich — Product Marketing Manager</t>
        </is>
      </c>
      <c r="P2580" t="inlineStr">
        <is>
          <t>Product Sales Manager | Product Marketing Manager</t>
        </is>
      </c>
      <c r="Y2580" t="inlineStr">
        <is>
          <t>todo</t>
        </is>
      </c>
      <c r="Z2580">
        <f>(M2580*Weights!$B$2) + (MIN(Q2580,Weights!$B$5)*Weights!$B$3*(W2580/100)*Weights!$B$4)</f>
        <v/>
      </c>
      <c r="AA2580">
        <f>IF(Z2580= ,,RANK.EQ({pri_col_letter}{r},{pri_range},0))</f>
        <v/>
      </c>
    </row>
    <row r="2581">
      <c r="A2581" t="inlineStr">
        <is>
          <t>Guardian Fleet Services</t>
        </is>
      </c>
      <c r="B2581" t="n">
        <v>2</v>
      </c>
      <c r="C2581" t="n">
        <v>0</v>
      </c>
      <c r="D2581" t="n">
        <v>0</v>
      </c>
      <c r="E2581" t="n">
        <v>0</v>
      </c>
      <c r="F2581" t="n">
        <v>2</v>
      </c>
      <c r="G2581" t="n">
        <v>0</v>
      </c>
      <c r="I2581" t="n">
        <v>2</v>
      </c>
      <c r="J2581" t="n">
        <v>0</v>
      </c>
      <c r="K2581" t="n">
        <v>12</v>
      </c>
      <c r="L2581" t="n">
        <v>0</v>
      </c>
      <c r="M2581" t="n">
        <v>-14</v>
      </c>
      <c r="O2581" t="inlineStr">
        <is>
          <t>Phillip Moniz — Vice President - Sales &amp; Marketing; Hannah O'Shea — Marketing Director</t>
        </is>
      </c>
      <c r="P2581" t="inlineStr">
        <is>
          <t>Vice President - Sales &amp; Marketing | Marketing Director</t>
        </is>
      </c>
      <c r="Y2581" t="inlineStr">
        <is>
          <t>todo</t>
        </is>
      </c>
      <c r="Z2581">
        <f>(M2581*Weights!$B$2) + (MIN(Q2581,Weights!$B$5)*Weights!$B$3*(W2581/100)*Weights!$B$4)</f>
        <v/>
      </c>
      <c r="AA2581">
        <f>IF(Z2581= ,,RANK.EQ({pri_col_letter}{r},{pri_range},0))</f>
        <v/>
      </c>
    </row>
    <row r="2582">
      <c r="A2582" t="inlineStr">
        <is>
          <t>Infinity Loop</t>
        </is>
      </c>
      <c r="B2582" t="n">
        <v>2</v>
      </c>
      <c r="C2582" t="n">
        <v>0</v>
      </c>
      <c r="D2582" t="n">
        <v>0</v>
      </c>
      <c r="E2582" t="n">
        <v>0</v>
      </c>
      <c r="F2582" t="n">
        <v>2</v>
      </c>
      <c r="G2582" t="n">
        <v>0</v>
      </c>
      <c r="I2582" t="n">
        <v>2</v>
      </c>
      <c r="J2582" t="n">
        <v>0</v>
      </c>
      <c r="K2582" t="n">
        <v>12</v>
      </c>
      <c r="L2582" t="n">
        <v>0</v>
      </c>
      <c r="M2582" t="n">
        <v>-14</v>
      </c>
      <c r="O2582" t="inlineStr">
        <is>
          <t>Eoin Rogers — Director, Business Development; Ryan Schaffer — Director, Business Development</t>
        </is>
      </c>
      <c r="P2582" t="inlineStr">
        <is>
          <t>Director, Business Development</t>
        </is>
      </c>
      <c r="Y2582" t="inlineStr">
        <is>
          <t>todo</t>
        </is>
      </c>
      <c r="Z2582">
        <f>(M2582*Weights!$B$2) + (MIN(Q2582,Weights!$B$5)*Weights!$B$3*(W2582/100)*Weights!$B$4)</f>
        <v/>
      </c>
      <c r="AA2582">
        <f>IF(Z2582= ,,RANK.EQ({pri_col_letter}{r},{pri_range},0))</f>
        <v/>
      </c>
    </row>
    <row r="2583">
      <c r="A2583" t="inlineStr">
        <is>
          <t>InfoPlus Commerce</t>
        </is>
      </c>
      <c r="B2583" t="n">
        <v>2</v>
      </c>
      <c r="C2583" t="n">
        <v>0</v>
      </c>
      <c r="D2583" t="n">
        <v>0</v>
      </c>
      <c r="E2583" t="n">
        <v>0</v>
      </c>
      <c r="F2583" t="n">
        <v>2</v>
      </c>
      <c r="G2583" t="n">
        <v>0</v>
      </c>
      <c r="I2583" t="n">
        <v>2</v>
      </c>
      <c r="J2583" t="n">
        <v>0</v>
      </c>
      <c r="K2583" t="n">
        <v>12</v>
      </c>
      <c r="L2583" t="n">
        <v>0</v>
      </c>
      <c r="M2583" t="n">
        <v>-14</v>
      </c>
      <c r="O2583" t="inlineStr">
        <is>
          <t>Sam Schafer — Customer Success Director; Joel Wilson — Director of Sales</t>
        </is>
      </c>
      <c r="P2583" t="inlineStr">
        <is>
          <t>Customer Success Director | Director of Sales</t>
        </is>
      </c>
      <c r="Y2583" t="inlineStr">
        <is>
          <t>todo</t>
        </is>
      </c>
      <c r="Z2583">
        <f>(M2583*Weights!$B$2) + (MIN(Q2583,Weights!$B$5)*Weights!$B$3*(W2583/100)*Weights!$B$4)</f>
        <v/>
      </c>
      <c r="AA2583">
        <f>IF(Z2583= ,,RANK.EQ({pri_col_letter}{r},{pri_range},0))</f>
        <v/>
      </c>
    </row>
    <row r="2584">
      <c r="A2584" t="inlineStr">
        <is>
          <t>Kempower</t>
        </is>
      </c>
      <c r="B2584" t="n">
        <v>2</v>
      </c>
      <c r="C2584" t="n">
        <v>0</v>
      </c>
      <c r="D2584" t="n">
        <v>0</v>
      </c>
      <c r="E2584" t="n">
        <v>0</v>
      </c>
      <c r="F2584" t="n">
        <v>2</v>
      </c>
      <c r="G2584" t="n">
        <v>0</v>
      </c>
      <c r="I2584" t="n">
        <v>2</v>
      </c>
      <c r="J2584" t="n">
        <v>0</v>
      </c>
      <c r="K2584" t="n">
        <v>12</v>
      </c>
      <c r="L2584" t="n">
        <v>0</v>
      </c>
      <c r="M2584" t="n">
        <v>-14</v>
      </c>
      <c r="O2584" t="inlineStr">
        <is>
          <t>Joshua Mueller — Head of Sales; Stephen Tok — Director, Business Development</t>
        </is>
      </c>
      <c r="P2584" t="inlineStr">
        <is>
          <t>Head of Sales | Director, Business Development</t>
        </is>
      </c>
      <c r="Y2584" t="inlineStr">
        <is>
          <t>todo</t>
        </is>
      </c>
      <c r="Z2584">
        <f>(M2584*Weights!$B$2) + (MIN(Q2584,Weights!$B$5)*Weights!$B$3*(W2584/100)*Weights!$B$4)</f>
        <v/>
      </c>
      <c r="AA2584">
        <f>IF(Z2584= ,,RANK.EQ({pri_col_letter}{r},{pri_range},0))</f>
        <v/>
      </c>
    </row>
    <row r="2585">
      <c r="A2585" t="inlineStr">
        <is>
          <t>Key Software Systems</t>
        </is>
      </c>
      <c r="B2585" t="n">
        <v>2</v>
      </c>
      <c r="C2585" t="n">
        <v>0</v>
      </c>
      <c r="D2585" t="n">
        <v>0</v>
      </c>
      <c r="E2585" t="n">
        <v>0</v>
      </c>
      <c r="F2585" t="n">
        <v>2</v>
      </c>
      <c r="G2585" t="n">
        <v>0</v>
      </c>
      <c r="I2585" t="n">
        <v>2</v>
      </c>
      <c r="J2585" t="n">
        <v>0</v>
      </c>
      <c r="K2585" t="n">
        <v>12</v>
      </c>
      <c r="L2585" t="n">
        <v>0</v>
      </c>
      <c r="M2585" t="n">
        <v>-14</v>
      </c>
      <c r="O2585" t="inlineStr">
        <is>
          <t>Patrick Scardilli — VP of Sales and Marketing; Charlie V. Pisciotta — Business Development</t>
        </is>
      </c>
      <c r="P2585" t="inlineStr">
        <is>
          <t>VP of Sales and Marketing | Business Development</t>
        </is>
      </c>
      <c r="Y2585" t="inlineStr">
        <is>
          <t>todo</t>
        </is>
      </c>
      <c r="Z2585">
        <f>(M2585*Weights!$B$2) + (MIN(Q2585,Weights!$B$5)*Weights!$B$3*(W2585/100)*Weights!$B$4)</f>
        <v/>
      </c>
      <c r="AA2585">
        <f>IF(Z2585= ,,RANK.EQ({pri_col_letter}{r},{pri_range},0))</f>
        <v/>
      </c>
    </row>
    <row r="2586">
      <c r="A2586" t="inlineStr">
        <is>
          <t>Kinimatic</t>
        </is>
      </c>
      <c r="B2586" t="n">
        <v>2</v>
      </c>
      <c r="C2586" t="n">
        <v>0</v>
      </c>
      <c r="D2586" t="n">
        <v>0</v>
      </c>
      <c r="E2586" t="n">
        <v>0</v>
      </c>
      <c r="F2586" t="n">
        <v>2</v>
      </c>
      <c r="G2586" t="n">
        <v>0</v>
      </c>
      <c r="I2586" t="n">
        <v>2</v>
      </c>
      <c r="J2586" t="n">
        <v>0</v>
      </c>
      <c r="K2586" t="n">
        <v>12</v>
      </c>
      <c r="L2586" t="n">
        <v>0</v>
      </c>
      <c r="M2586" t="n">
        <v>-14</v>
      </c>
      <c r="O2586" t="inlineStr">
        <is>
          <t>Mike Coers — SVP Sales; Mike Winer — VP Sales</t>
        </is>
      </c>
      <c r="P2586" t="inlineStr">
        <is>
          <t>SVP Sales | VP Sales</t>
        </is>
      </c>
      <c r="Y2586" t="inlineStr">
        <is>
          <t>todo</t>
        </is>
      </c>
      <c r="Z2586">
        <f>(M2586*Weights!$B$2) + (MIN(Q2586,Weights!$B$5)*Weights!$B$3*(W2586/100)*Weights!$B$4)</f>
        <v/>
      </c>
      <c r="AA2586">
        <f>IF(Z2586= ,,RANK.EQ({pri_col_letter}{r},{pri_range},0))</f>
        <v/>
      </c>
    </row>
    <row r="2587">
      <c r="A2587" t="inlineStr">
        <is>
          <t>Landmark Global Inc.</t>
        </is>
      </c>
      <c r="B2587" t="n">
        <v>2</v>
      </c>
      <c r="C2587" t="n">
        <v>0</v>
      </c>
      <c r="D2587" t="n">
        <v>0</v>
      </c>
      <c r="E2587" t="n">
        <v>0</v>
      </c>
      <c r="F2587" t="n">
        <v>2</v>
      </c>
      <c r="G2587" t="n">
        <v>0</v>
      </c>
      <c r="I2587" t="n">
        <v>2</v>
      </c>
      <c r="J2587" t="n">
        <v>0</v>
      </c>
      <c r="K2587" t="n">
        <v>12</v>
      </c>
      <c r="L2587" t="n">
        <v>0</v>
      </c>
      <c r="M2587" t="n">
        <v>-14</v>
      </c>
      <c r="O2587" t="inlineStr">
        <is>
          <t>Chelsi Reschke — Sales Assistant Americas; Kristi Patterson — Regional Sales Director</t>
        </is>
      </c>
      <c r="P2587" t="inlineStr">
        <is>
          <t>Sales Assistant Americas | Regional Sales Director</t>
        </is>
      </c>
      <c r="Y2587" t="inlineStr">
        <is>
          <t>todo</t>
        </is>
      </c>
      <c r="Z2587">
        <f>(M2587*Weights!$B$2) + (MIN(Q2587,Weights!$B$5)*Weights!$B$3*(W2587/100)*Weights!$B$4)</f>
        <v/>
      </c>
      <c r="AA2587">
        <f>IF(Z2587= ,,RANK.EQ({pri_col_letter}{r},{pri_range},0))</f>
        <v/>
      </c>
    </row>
    <row r="2588">
      <c r="A2588" t="inlineStr">
        <is>
          <t>Lateral Fulfillment LLC</t>
        </is>
      </c>
      <c r="B2588" t="n">
        <v>2</v>
      </c>
      <c r="C2588" t="n">
        <v>0</v>
      </c>
      <c r="D2588" t="n">
        <v>0</v>
      </c>
      <c r="E2588" t="n">
        <v>0</v>
      </c>
      <c r="F2588" t="n">
        <v>2</v>
      </c>
      <c r="G2588" t="n">
        <v>0</v>
      </c>
      <c r="I2588" t="n">
        <v>2</v>
      </c>
      <c r="J2588" t="n">
        <v>0</v>
      </c>
      <c r="K2588" t="n">
        <v>12</v>
      </c>
      <c r="L2588" t="n">
        <v>0</v>
      </c>
      <c r="M2588" t="n">
        <v>-14</v>
      </c>
      <c r="O2588" t="inlineStr">
        <is>
          <t>Jorge Perez — Head of Marketing; Kassandra Najar — Sales Manager</t>
        </is>
      </c>
      <c r="P2588" t="inlineStr">
        <is>
          <t>Head of Marketing | Sales Manager</t>
        </is>
      </c>
      <c r="Y2588" t="inlineStr">
        <is>
          <t>todo</t>
        </is>
      </c>
      <c r="Z2588">
        <f>(M2588*Weights!$B$2) + (MIN(Q2588,Weights!$B$5)*Weights!$B$3*(W2588/100)*Weights!$B$4)</f>
        <v/>
      </c>
      <c r="AA2588">
        <f>IF(Z2588= ,,RANK.EQ({pri_col_letter}{r},{pri_range},0))</f>
        <v/>
      </c>
    </row>
    <row r="2589">
      <c r="A2589" t="inlineStr">
        <is>
          <t>Levity AI Inc.</t>
        </is>
      </c>
      <c r="B2589" t="n">
        <v>2</v>
      </c>
      <c r="C2589" t="n">
        <v>0</v>
      </c>
      <c r="D2589" t="n">
        <v>0</v>
      </c>
      <c r="E2589" t="n">
        <v>0</v>
      </c>
      <c r="F2589" t="n">
        <v>2</v>
      </c>
      <c r="G2589" t="n">
        <v>0</v>
      </c>
      <c r="I2589" t="n">
        <v>2</v>
      </c>
      <c r="J2589" t="n">
        <v>0</v>
      </c>
      <c r="K2589" t="n">
        <v>12</v>
      </c>
      <c r="L2589" t="n">
        <v>0</v>
      </c>
      <c r="M2589" t="n">
        <v>-14</v>
      </c>
      <c r="O2589" t="inlineStr">
        <is>
          <t>Arne Wolfewicz — Head of Sales; Lucas Francato — Senior Growth Manager</t>
        </is>
      </c>
      <c r="P2589" t="inlineStr">
        <is>
          <t>Head of Sales | Senior Growth Manager</t>
        </is>
      </c>
      <c r="Y2589" t="inlineStr">
        <is>
          <t>todo</t>
        </is>
      </c>
      <c r="Z2589">
        <f>(M2589*Weights!$B$2) + (MIN(Q2589,Weights!$B$5)*Weights!$B$3*(W2589/100)*Weights!$B$4)</f>
        <v/>
      </c>
      <c r="AA2589">
        <f>IF(Z2589= ,,RANK.EQ({pri_col_letter}{r},{pri_range},0))</f>
        <v/>
      </c>
    </row>
    <row r="2590">
      <c r="A2590" t="inlineStr">
        <is>
          <t>Liquidity Services</t>
        </is>
      </c>
      <c r="B2590" t="n">
        <v>2</v>
      </c>
      <c r="C2590" t="n">
        <v>0</v>
      </c>
      <c r="D2590" t="n">
        <v>0</v>
      </c>
      <c r="E2590" t="n">
        <v>0</v>
      </c>
      <c r="F2590" t="n">
        <v>2</v>
      </c>
      <c r="G2590" t="n">
        <v>0</v>
      </c>
      <c r="I2590" t="n">
        <v>2</v>
      </c>
      <c r="J2590" t="n">
        <v>0</v>
      </c>
      <c r="K2590" t="n">
        <v>12</v>
      </c>
      <c r="L2590" t="n">
        <v>0</v>
      </c>
      <c r="M2590" t="n">
        <v>-14</v>
      </c>
      <c r="O2590" t="inlineStr">
        <is>
          <t>Mark Dunlap — VP of Business Development; Garrett Fry — Director of Sales</t>
        </is>
      </c>
      <c r="P2590" t="inlineStr">
        <is>
          <t>VP of Business Development | Director of Sales</t>
        </is>
      </c>
      <c r="Y2590" t="inlineStr">
        <is>
          <t>todo</t>
        </is>
      </c>
      <c r="Z2590">
        <f>(M2590*Weights!$B$2) + (MIN(Q2590,Weights!$B$5)*Weights!$B$3*(W2590/100)*Weights!$B$4)</f>
        <v/>
      </c>
      <c r="AA2590">
        <f>IF(Z2590= ,,RANK.EQ({pri_col_letter}{r},{pri_range},0))</f>
        <v/>
      </c>
    </row>
    <row r="2591">
      <c r="A2591" t="inlineStr">
        <is>
          <t>Marten Transport</t>
        </is>
      </c>
      <c r="B2591" t="n">
        <v>2</v>
      </c>
      <c r="C2591" t="n">
        <v>0</v>
      </c>
      <c r="D2591" t="n">
        <v>0</v>
      </c>
      <c r="E2591" t="n">
        <v>0</v>
      </c>
      <c r="F2591" t="n">
        <v>2</v>
      </c>
      <c r="G2591" t="n">
        <v>0</v>
      </c>
      <c r="I2591" t="n">
        <v>2</v>
      </c>
      <c r="J2591" t="n">
        <v>0</v>
      </c>
      <c r="K2591" t="n">
        <v>12</v>
      </c>
      <c r="L2591" t="n">
        <v>0</v>
      </c>
      <c r="M2591" t="n">
        <v>-14</v>
      </c>
      <c r="O2591" t="inlineStr">
        <is>
          <t>Maribeth Knueve — SVP of Sales and Marketing; David Thompson — SVP Business Development</t>
        </is>
      </c>
      <c r="P2591" t="inlineStr">
        <is>
          <t>SVP of Sales and Marketing | SVP Business Development</t>
        </is>
      </c>
      <c r="Y2591" t="inlineStr">
        <is>
          <t>todo</t>
        </is>
      </c>
      <c r="Z2591">
        <f>(M2591*Weights!$B$2) + (MIN(Q2591,Weights!$B$5)*Weights!$B$3*(W2591/100)*Weights!$B$4)</f>
        <v/>
      </c>
      <c r="AA2591">
        <f>IF(Z2591= ,,RANK.EQ({pri_col_letter}{r},{pri_range},0))</f>
        <v/>
      </c>
    </row>
    <row r="2592">
      <c r="A2592" t="inlineStr">
        <is>
          <t>MindCloud</t>
        </is>
      </c>
      <c r="B2592" t="n">
        <v>2</v>
      </c>
      <c r="C2592" t="n">
        <v>0</v>
      </c>
      <c r="D2592" t="n">
        <v>0</v>
      </c>
      <c r="E2592" t="n">
        <v>0</v>
      </c>
      <c r="F2592" t="n">
        <v>2</v>
      </c>
      <c r="G2592" t="n">
        <v>0</v>
      </c>
      <c r="I2592" t="n">
        <v>2</v>
      </c>
      <c r="J2592" t="n">
        <v>0</v>
      </c>
      <c r="K2592" t="n">
        <v>12</v>
      </c>
      <c r="L2592" t="n">
        <v>0</v>
      </c>
      <c r="M2592" t="n">
        <v>-14</v>
      </c>
      <c r="O2592" t="inlineStr">
        <is>
          <t>Danielle Bailey — Account Executive; Tyler Stryker — Account Executive</t>
        </is>
      </c>
      <c r="P2592" t="inlineStr">
        <is>
          <t>Account Executive</t>
        </is>
      </c>
      <c r="Y2592" t="inlineStr">
        <is>
          <t>todo</t>
        </is>
      </c>
      <c r="Z2592">
        <f>(M2592*Weights!$B$2) + (MIN(Q2592,Weights!$B$5)*Weights!$B$3*(W2592/100)*Weights!$B$4)</f>
        <v/>
      </c>
      <c r="AA2592">
        <f>IF(Z2592= ,,RANK.EQ({pri_col_letter}{r},{pri_range},0))</f>
        <v/>
      </c>
    </row>
    <row r="2593">
      <c r="A2593" t="inlineStr">
        <is>
          <t>ODW Logistics</t>
        </is>
      </c>
      <c r="B2593" t="n">
        <v>2</v>
      </c>
      <c r="C2593" t="n">
        <v>0</v>
      </c>
      <c r="D2593" t="n">
        <v>0</v>
      </c>
      <c r="E2593" t="n">
        <v>0</v>
      </c>
      <c r="F2593" t="n">
        <v>2</v>
      </c>
      <c r="G2593" t="n">
        <v>0</v>
      </c>
      <c r="I2593" t="n">
        <v>2</v>
      </c>
      <c r="J2593" t="n">
        <v>0</v>
      </c>
      <c r="K2593" t="n">
        <v>12</v>
      </c>
      <c r="L2593" t="n">
        <v>0</v>
      </c>
      <c r="M2593" t="n">
        <v>-14</v>
      </c>
      <c r="O2593" t="inlineStr">
        <is>
          <t>Jeff Clark — Executive Vice President of Sales &amp; Marketing; Anthony Bradish — Vice President of Sales</t>
        </is>
      </c>
      <c r="P2593" t="inlineStr">
        <is>
          <t>Executive Vice President of Sales &amp; Marketing | Vice President of Sales</t>
        </is>
      </c>
      <c r="Y2593" t="inlineStr">
        <is>
          <t>todo</t>
        </is>
      </c>
      <c r="Z2593">
        <f>(M2593*Weights!$B$2) + (MIN(Q2593,Weights!$B$5)*Weights!$B$3*(W2593/100)*Weights!$B$4)</f>
        <v/>
      </c>
      <c r="AA2593">
        <f>IF(Z2593= ,,RANK.EQ({pri_col_letter}{r},{pri_range},0))</f>
        <v/>
      </c>
    </row>
    <row r="2594">
      <c r="A2594" t="inlineStr">
        <is>
          <t>Omegro</t>
        </is>
      </c>
      <c r="B2594" t="n">
        <v>2</v>
      </c>
      <c r="C2594" t="n">
        <v>0</v>
      </c>
      <c r="D2594" t="n">
        <v>0</v>
      </c>
      <c r="E2594" t="n">
        <v>0</v>
      </c>
      <c r="F2594" t="n">
        <v>2</v>
      </c>
      <c r="G2594" t="n">
        <v>0</v>
      </c>
      <c r="I2594" t="n">
        <v>2</v>
      </c>
      <c r="J2594" t="n">
        <v>0</v>
      </c>
      <c r="K2594" t="n">
        <v>12</v>
      </c>
      <c r="L2594" t="n">
        <v>0</v>
      </c>
      <c r="M2594" t="n">
        <v>-14</v>
      </c>
      <c r="O2594" t="inlineStr">
        <is>
          <t>Adam Brock — Business Development Manager; Kabir Kokanutphongchai — Business Development Manager</t>
        </is>
      </c>
      <c r="P2594" t="inlineStr">
        <is>
          <t>Business Development Manager</t>
        </is>
      </c>
      <c r="Y2594" t="inlineStr">
        <is>
          <t>todo</t>
        </is>
      </c>
      <c r="Z2594">
        <f>(M2594*Weights!$B$2) + (MIN(Q2594,Weights!$B$5)*Weights!$B$3*(W2594/100)*Weights!$B$4)</f>
        <v/>
      </c>
      <c r="AA2594">
        <f>IF(Z2594= ,,RANK.EQ({pri_col_letter}{r},{pri_range},0))</f>
        <v/>
      </c>
    </row>
    <row r="2595">
      <c r="A2595" t="inlineStr">
        <is>
          <t>Prince Rupert Port Authority</t>
        </is>
      </c>
      <c r="B2595" t="n">
        <v>2</v>
      </c>
      <c r="C2595" t="n">
        <v>0</v>
      </c>
      <c r="D2595" t="n">
        <v>0</v>
      </c>
      <c r="E2595" t="n">
        <v>0</v>
      </c>
      <c r="F2595" t="n">
        <v>2</v>
      </c>
      <c r="G2595" t="n">
        <v>0</v>
      </c>
      <c r="I2595" t="n">
        <v>2</v>
      </c>
      <c r="J2595" t="n">
        <v>0</v>
      </c>
      <c r="K2595" t="n">
        <v>12</v>
      </c>
      <c r="L2595" t="n">
        <v>0</v>
      </c>
      <c r="M2595" t="n">
        <v>-14</v>
      </c>
      <c r="O2595" t="inlineStr">
        <is>
          <t>Jaeden McLeod — Corporate Marketing Associate; Jeff Stromdahl — Manager, Marketing</t>
        </is>
      </c>
      <c r="P2595" t="inlineStr">
        <is>
          <t>Corporate Marketing Associate | Manager, Marketing</t>
        </is>
      </c>
      <c r="Y2595" t="inlineStr">
        <is>
          <t>todo</t>
        </is>
      </c>
      <c r="Z2595">
        <f>(M2595*Weights!$B$2) + (MIN(Q2595,Weights!$B$5)*Weights!$B$3*(W2595/100)*Weights!$B$4)</f>
        <v/>
      </c>
      <c r="AA2595">
        <f>IF(Z2595= ,,RANK.EQ({pri_col_letter}{r},{pri_range},0))</f>
        <v/>
      </c>
    </row>
    <row r="2596">
      <c r="A2596" t="inlineStr">
        <is>
          <t>Purolator</t>
        </is>
      </c>
      <c r="B2596" t="n">
        <v>2</v>
      </c>
      <c r="C2596" t="n">
        <v>0</v>
      </c>
      <c r="D2596" t="n">
        <v>0</v>
      </c>
      <c r="E2596" t="n">
        <v>0</v>
      </c>
      <c r="F2596" t="n">
        <v>2</v>
      </c>
      <c r="G2596" t="n">
        <v>0</v>
      </c>
      <c r="I2596" t="n">
        <v>2</v>
      </c>
      <c r="J2596" t="n">
        <v>0</v>
      </c>
      <c r="K2596" t="n">
        <v>12</v>
      </c>
      <c r="L2596" t="n">
        <v>0</v>
      </c>
      <c r="M2596" t="n">
        <v>-14</v>
      </c>
      <c r="O2596" t="inlineStr">
        <is>
          <t>Geof Dolejsi — Senior A/E Alliances; Mike Chahenian — Director of Sales – Retail Vertical</t>
        </is>
      </c>
      <c r="P2596" t="inlineStr">
        <is>
          <t>Senior A/E Alliances | Director of Sales – Retail Vertical</t>
        </is>
      </c>
      <c r="Y2596" t="inlineStr">
        <is>
          <t>todo</t>
        </is>
      </c>
      <c r="Z2596">
        <f>(M2596*Weights!$B$2) + (MIN(Q2596,Weights!$B$5)*Weights!$B$3*(W2596/100)*Weights!$B$4)</f>
        <v/>
      </c>
      <c r="AA2596">
        <f>IF(Z2596= ,,RANK.EQ({pri_col_letter}{r},{pri_range},0))</f>
        <v/>
      </c>
    </row>
    <row r="2597">
      <c r="A2597" t="inlineStr">
        <is>
          <t>Purolator Inc.</t>
        </is>
      </c>
      <c r="B2597" t="n">
        <v>2</v>
      </c>
      <c r="C2597" t="n">
        <v>0</v>
      </c>
      <c r="D2597" t="n">
        <v>0</v>
      </c>
      <c r="E2597" t="n">
        <v>0</v>
      </c>
      <c r="F2597" t="n">
        <v>2</v>
      </c>
      <c r="G2597" t="n">
        <v>0</v>
      </c>
      <c r="I2597" t="n">
        <v>2</v>
      </c>
      <c r="J2597" t="n">
        <v>0</v>
      </c>
      <c r="K2597" t="n">
        <v>12</v>
      </c>
      <c r="L2597" t="n">
        <v>0</v>
      </c>
      <c r="M2597" t="n">
        <v>-14</v>
      </c>
      <c r="O2597" t="inlineStr">
        <is>
          <t>Daniel Robertson — Retail Vertical Sales Executive; Liz Pinkstaff — Industrial Vertical Sales Specialist</t>
        </is>
      </c>
      <c r="P2597" t="inlineStr">
        <is>
          <t>Retail Vertical Sales Executive | Industrial Vertical Sales Specialist</t>
        </is>
      </c>
      <c r="Y2597" t="inlineStr">
        <is>
          <t>todo</t>
        </is>
      </c>
      <c r="Z2597">
        <f>(M2597*Weights!$B$2) + (MIN(Q2597,Weights!$B$5)*Weights!$B$3*(W2597/100)*Weights!$B$4)</f>
        <v/>
      </c>
      <c r="AA2597">
        <f>IF(Z2597= ,,RANK.EQ({pri_col_letter}{r},{pri_range},0))</f>
        <v/>
      </c>
    </row>
    <row r="2598">
      <c r="A2598" t="inlineStr">
        <is>
          <t>RCS Logistics</t>
        </is>
      </c>
      <c r="B2598" t="n">
        <v>2</v>
      </c>
      <c r="C2598" t="n">
        <v>0</v>
      </c>
      <c r="D2598" t="n">
        <v>0</v>
      </c>
      <c r="E2598" t="n">
        <v>0</v>
      </c>
      <c r="F2598" t="n">
        <v>2</v>
      </c>
      <c r="G2598" t="n">
        <v>0</v>
      </c>
      <c r="I2598" t="n">
        <v>2</v>
      </c>
      <c r="J2598" t="n">
        <v>0</v>
      </c>
      <c r="K2598" t="n">
        <v>12</v>
      </c>
      <c r="L2598" t="n">
        <v>0</v>
      </c>
      <c r="M2598" t="n">
        <v>-14</v>
      </c>
      <c r="O2598" t="inlineStr">
        <is>
          <t>brian Aldridge — SVP Sales; Mike Meintel — VP Sales</t>
        </is>
      </c>
      <c r="P2598" t="inlineStr">
        <is>
          <t>SVP Sales | VP Sales</t>
        </is>
      </c>
      <c r="Y2598" t="inlineStr">
        <is>
          <t>todo</t>
        </is>
      </c>
      <c r="Z2598">
        <f>(M2598*Weights!$B$2) + (MIN(Q2598,Weights!$B$5)*Weights!$B$3*(W2598/100)*Weights!$B$4)</f>
        <v/>
      </c>
      <c r="AA2598">
        <f>IF(Z2598= ,,RANK.EQ({pri_col_letter}{r},{pri_range},0))</f>
        <v/>
      </c>
    </row>
    <row r="2599">
      <c r="A2599" t="inlineStr">
        <is>
          <t>Radial</t>
        </is>
      </c>
      <c r="B2599" t="n">
        <v>2</v>
      </c>
      <c r="C2599" t="n">
        <v>0</v>
      </c>
      <c r="D2599" t="n">
        <v>0</v>
      </c>
      <c r="E2599" t="n">
        <v>0</v>
      </c>
      <c r="F2599" t="n">
        <v>2</v>
      </c>
      <c r="G2599" t="n">
        <v>0</v>
      </c>
      <c r="I2599" t="n">
        <v>2</v>
      </c>
      <c r="J2599" t="n">
        <v>0</v>
      </c>
      <c r="K2599" t="n">
        <v>12</v>
      </c>
      <c r="L2599" t="n">
        <v>0</v>
      </c>
      <c r="M2599" t="n">
        <v>-14</v>
      </c>
      <c r="O2599" t="inlineStr">
        <is>
          <t>Greg Kauffman — Senior Director Sales; Rose Matt — Director of Sales</t>
        </is>
      </c>
      <c r="P2599" t="inlineStr">
        <is>
          <t>Senior Director Sales | Director of Sales</t>
        </is>
      </c>
      <c r="Y2599" t="inlineStr">
        <is>
          <t>todo</t>
        </is>
      </c>
      <c r="Z2599">
        <f>(M2599*Weights!$B$2) + (MIN(Q2599,Weights!$B$5)*Weights!$B$3*(W2599/100)*Weights!$B$4)</f>
        <v/>
      </c>
      <c r="AA2599">
        <f>IF(Z2599= ,,RANK.EQ({pri_col_letter}{r},{pri_range},0))</f>
        <v/>
      </c>
    </row>
    <row r="2600">
      <c r="A2600" t="inlineStr">
        <is>
          <t>SICK, Inc.</t>
        </is>
      </c>
      <c r="B2600" t="n">
        <v>2</v>
      </c>
      <c r="C2600" t="n">
        <v>0</v>
      </c>
      <c r="D2600" t="n">
        <v>0</v>
      </c>
      <c r="E2600" t="n">
        <v>0</v>
      </c>
      <c r="F2600" t="n">
        <v>2</v>
      </c>
      <c r="G2600" t="n">
        <v>0</v>
      </c>
      <c r="I2600" t="n">
        <v>2</v>
      </c>
      <c r="J2600" t="n">
        <v>0</v>
      </c>
      <c r="K2600" t="n">
        <v>12</v>
      </c>
      <c r="L2600" t="n">
        <v>0</v>
      </c>
      <c r="M2600" t="n">
        <v>-14</v>
      </c>
      <c r="O2600" t="inlineStr">
        <is>
          <t>Ethan Bollom — Industry Marketing Manager; Michael Craig — Sales Manager</t>
        </is>
      </c>
      <c r="P2600" t="inlineStr">
        <is>
          <t>Industry Marketing Manager | Sales Manager</t>
        </is>
      </c>
      <c r="Y2600" t="inlineStr">
        <is>
          <t>todo</t>
        </is>
      </c>
      <c r="Z2600">
        <f>(M2600*Weights!$B$2) + (MIN(Q2600,Weights!$B$5)*Weights!$B$3*(W2600/100)*Weights!$B$4)</f>
        <v/>
      </c>
      <c r="AA2600">
        <f>IF(Z2600= ,,RANK.EQ({pri_col_letter}{r},{pri_range},0))</f>
        <v/>
      </c>
    </row>
    <row r="2601">
      <c r="A2601" t="inlineStr">
        <is>
          <t>SW ToyotaLift</t>
        </is>
      </c>
      <c r="B2601" t="n">
        <v>2</v>
      </c>
      <c r="C2601" t="n">
        <v>0</v>
      </c>
      <c r="D2601" t="n">
        <v>0</v>
      </c>
      <c r="E2601" t="n">
        <v>0</v>
      </c>
      <c r="F2601" t="n">
        <v>2</v>
      </c>
      <c r="G2601" t="n">
        <v>0</v>
      </c>
      <c r="I2601" t="n">
        <v>2</v>
      </c>
      <c r="J2601" t="n">
        <v>0</v>
      </c>
      <c r="K2601" t="n">
        <v>12</v>
      </c>
      <c r="L2601" t="n">
        <v>0</v>
      </c>
      <c r="M2601" t="n">
        <v>-14</v>
      </c>
      <c r="O2601" t="inlineStr">
        <is>
          <t>Tanya Dieumegarde — VP of Sales &amp; Marketing; Jesse Castaneda — Tico Sales &amp; Service Representative</t>
        </is>
      </c>
      <c r="P2601" t="inlineStr">
        <is>
          <t>VP of Sales &amp; Marketing | Tico Sales &amp; Service Representative</t>
        </is>
      </c>
      <c r="Y2601" t="inlineStr">
        <is>
          <t>todo</t>
        </is>
      </c>
      <c r="Z2601">
        <f>(M2601*Weights!$B$2) + (MIN(Q2601,Weights!$B$5)*Weights!$B$3*(W2601/100)*Weights!$B$4)</f>
        <v/>
      </c>
      <c r="AA2601">
        <f>IF(Z2601= ,,RANK.EQ({pri_col_letter}{r},{pri_range},0))</f>
        <v/>
      </c>
    </row>
    <row r="2602">
      <c r="A2602" t="inlineStr">
        <is>
          <t>Saia LTL Freight</t>
        </is>
      </c>
      <c r="B2602" t="n">
        <v>2</v>
      </c>
      <c r="C2602" t="n">
        <v>0</v>
      </c>
      <c r="D2602" t="n">
        <v>0</v>
      </c>
      <c r="E2602" t="n">
        <v>0</v>
      </c>
      <c r="F2602" t="n">
        <v>2</v>
      </c>
      <c r="G2602" t="n">
        <v>0</v>
      </c>
      <c r="I2602" t="n">
        <v>2</v>
      </c>
      <c r="J2602" t="n">
        <v>0</v>
      </c>
      <c r="K2602" t="n">
        <v>12</v>
      </c>
      <c r="L2602" t="n">
        <v>0</v>
      </c>
      <c r="M2602" t="n">
        <v>-14</v>
      </c>
      <c r="O2602" t="inlineStr">
        <is>
          <t>Thomas Elmore — Vice President, Business Development; Dustin Nicholls — Corporate Business Development Manager</t>
        </is>
      </c>
      <c r="P2602" t="inlineStr">
        <is>
          <t>Vice President, Business Development | Corporate Business Development Manager</t>
        </is>
      </c>
      <c r="Y2602" t="inlineStr">
        <is>
          <t>todo</t>
        </is>
      </c>
      <c r="Z2602">
        <f>(M2602*Weights!$B$2) + (MIN(Q2602,Weights!$B$5)*Weights!$B$3*(W2602/100)*Weights!$B$4)</f>
        <v/>
      </c>
      <c r="AA2602">
        <f>IF(Z2602= ,,RANK.EQ({pri_col_letter}{r},{pri_range},0))</f>
        <v/>
      </c>
    </row>
    <row r="2603">
      <c r="A2603" t="inlineStr">
        <is>
          <t>SalesIntel</t>
        </is>
      </c>
      <c r="B2603" t="n">
        <v>2</v>
      </c>
      <c r="C2603" t="n">
        <v>0</v>
      </c>
      <c r="D2603" t="n">
        <v>0</v>
      </c>
      <c r="E2603" t="n">
        <v>0</v>
      </c>
      <c r="F2603" t="n">
        <v>2</v>
      </c>
      <c r="G2603" t="n">
        <v>0</v>
      </c>
      <c r="I2603" t="n">
        <v>2</v>
      </c>
      <c r="J2603" t="n">
        <v>0</v>
      </c>
      <c r="K2603" t="n">
        <v>12</v>
      </c>
      <c r="L2603" t="n">
        <v>0</v>
      </c>
      <c r="M2603" t="n">
        <v>-14</v>
      </c>
      <c r="O2603" t="inlineStr">
        <is>
          <t>Eric James — Director of Sales; Matthew Nash — Senior Account Executive</t>
        </is>
      </c>
      <c r="P2603" t="inlineStr">
        <is>
          <t>Director of Sales | Senior Account Executive</t>
        </is>
      </c>
      <c r="Y2603" t="inlineStr">
        <is>
          <t>todo</t>
        </is>
      </c>
      <c r="Z2603">
        <f>(M2603*Weights!$B$2) + (MIN(Q2603,Weights!$B$5)*Weights!$B$3*(W2603/100)*Weights!$B$4)</f>
        <v/>
      </c>
      <c r="AA2603">
        <f>IF(Z2603= ,,RANK.EQ({pri_col_letter}{r},{pri_range},0))</f>
        <v/>
      </c>
    </row>
    <row r="2604">
      <c r="A2604" t="inlineStr">
        <is>
          <t>SpeedX</t>
        </is>
      </c>
      <c r="B2604" t="n">
        <v>2</v>
      </c>
      <c r="C2604" t="n">
        <v>0</v>
      </c>
      <c r="D2604" t="n">
        <v>0</v>
      </c>
      <c r="E2604" t="n">
        <v>0</v>
      </c>
      <c r="F2604" t="n">
        <v>2</v>
      </c>
      <c r="G2604" t="n">
        <v>0</v>
      </c>
      <c r="I2604" t="n">
        <v>2</v>
      </c>
      <c r="J2604" t="n">
        <v>0</v>
      </c>
      <c r="K2604" t="n">
        <v>12</v>
      </c>
      <c r="L2604" t="n">
        <v>0</v>
      </c>
      <c r="M2604" t="n">
        <v>-14</v>
      </c>
      <c r="O2604" t="inlineStr">
        <is>
          <t>Ben McDonald — Director of Sales; Bob Sellers — Director of Sales</t>
        </is>
      </c>
      <c r="P2604" t="inlineStr">
        <is>
          <t>Director of Sales</t>
        </is>
      </c>
      <c r="Y2604" t="inlineStr">
        <is>
          <t>todo</t>
        </is>
      </c>
      <c r="Z2604">
        <f>(M2604*Weights!$B$2) + (MIN(Q2604,Weights!$B$5)*Weights!$B$3*(W2604/100)*Weights!$B$4)</f>
        <v/>
      </c>
      <c r="AA2604">
        <f>IF(Z2604= ,,RANK.EQ({pri_col_letter}{r},{pri_range},0))</f>
        <v/>
      </c>
    </row>
    <row r="2605">
      <c r="A2605" t="inlineStr">
        <is>
          <t>St. Onge Company</t>
        </is>
      </c>
      <c r="B2605" t="n">
        <v>2</v>
      </c>
      <c r="C2605" t="n">
        <v>0</v>
      </c>
      <c r="D2605" t="n">
        <v>0</v>
      </c>
      <c r="E2605" t="n">
        <v>0</v>
      </c>
      <c r="F2605" t="n">
        <v>2</v>
      </c>
      <c r="G2605" t="n">
        <v>0</v>
      </c>
      <c r="I2605" t="n">
        <v>2</v>
      </c>
      <c r="J2605" t="n">
        <v>0</v>
      </c>
      <c r="K2605" t="n">
        <v>12</v>
      </c>
      <c r="L2605" t="n">
        <v>0</v>
      </c>
      <c r="M2605" t="n">
        <v>-14</v>
      </c>
      <c r="O2605" t="inlineStr">
        <is>
          <t>Kim King — Sr Business Development Executive; Brianna Dudanowicz — Business Development Associate</t>
        </is>
      </c>
      <c r="P2605" t="inlineStr">
        <is>
          <t>Sr Business Development Executive | Business Development Associate</t>
        </is>
      </c>
      <c r="Y2605" t="inlineStr">
        <is>
          <t>todo</t>
        </is>
      </c>
      <c r="Z2605">
        <f>(M2605*Weights!$B$2) + (MIN(Q2605,Weights!$B$5)*Weights!$B$3*(W2605/100)*Weights!$B$4)</f>
        <v/>
      </c>
      <c r="AA2605">
        <f>IF(Z2605= ,,RANK.EQ({pri_col_letter}{r},{pri_range},0))</f>
        <v/>
      </c>
    </row>
    <row r="2606">
      <c r="A2606" t="inlineStr">
        <is>
          <t>TEL - Transport Enterprise Leasing</t>
        </is>
      </c>
      <c r="B2606" t="n">
        <v>2</v>
      </c>
      <c r="C2606" t="n">
        <v>0</v>
      </c>
      <c r="D2606" t="n">
        <v>0</v>
      </c>
      <c r="E2606" t="n">
        <v>0</v>
      </c>
      <c r="F2606" t="n">
        <v>2</v>
      </c>
      <c r="G2606" t="n">
        <v>0</v>
      </c>
      <c r="I2606" t="n">
        <v>2</v>
      </c>
      <c r="J2606" t="n">
        <v>0</v>
      </c>
      <c r="K2606" t="n">
        <v>12</v>
      </c>
      <c r="L2606" t="n">
        <v>0</v>
      </c>
      <c r="M2606" t="n">
        <v>-14</v>
      </c>
      <c r="O2606" t="inlineStr">
        <is>
          <t>Jason Smith — Director, Business Development; Tanner Alexander — Director, Business Development</t>
        </is>
      </c>
      <c r="P2606" t="inlineStr">
        <is>
          <t>Director, Business Development</t>
        </is>
      </c>
      <c r="Y2606" t="inlineStr">
        <is>
          <t>todo</t>
        </is>
      </c>
      <c r="Z2606">
        <f>(M2606*Weights!$B$2) + (MIN(Q2606,Weights!$B$5)*Weights!$B$3*(W2606/100)*Weights!$B$4)</f>
        <v/>
      </c>
      <c r="AA2606">
        <f>IF(Z2606= ,,RANK.EQ({pri_col_letter}{r},{pri_range},0))</f>
        <v/>
      </c>
    </row>
    <row r="2607">
      <c r="A2607" t="inlineStr">
        <is>
          <t>Tideform A/S</t>
        </is>
      </c>
      <c r="B2607" t="n">
        <v>2</v>
      </c>
      <c r="C2607" t="n">
        <v>0</v>
      </c>
      <c r="D2607" t="n">
        <v>0</v>
      </c>
      <c r="E2607" t="n">
        <v>0</v>
      </c>
      <c r="F2607" t="n">
        <v>2</v>
      </c>
      <c r="G2607" t="n">
        <v>0</v>
      </c>
      <c r="I2607" t="n">
        <v>2</v>
      </c>
      <c r="J2607" t="n">
        <v>0</v>
      </c>
      <c r="K2607" t="n">
        <v>12</v>
      </c>
      <c r="L2607" t="n">
        <v>0</v>
      </c>
      <c r="M2607" t="n">
        <v>-14</v>
      </c>
      <c r="O2607" t="inlineStr">
        <is>
          <t>Martin Leoe — Global Head of Sales; Rune Andreasen — Senior Business Development Manager</t>
        </is>
      </c>
      <c r="P2607" t="inlineStr">
        <is>
          <t>Global Head of Sales | Senior Business Development Manager</t>
        </is>
      </c>
      <c r="Y2607" t="inlineStr">
        <is>
          <t>todo</t>
        </is>
      </c>
      <c r="Z2607">
        <f>(M2607*Weights!$B$2) + (MIN(Q2607,Weights!$B$5)*Weights!$B$3*(W2607/100)*Weights!$B$4)</f>
        <v/>
      </c>
      <c r="AA2607">
        <f>IF(Z2607= ,,RANK.EQ({pri_col_letter}{r},{pri_range},0))</f>
        <v/>
      </c>
    </row>
    <row r="2608">
      <c r="A2608" t="inlineStr">
        <is>
          <t>Triple T Transport, Inc.</t>
        </is>
      </c>
      <c r="B2608" t="n">
        <v>2</v>
      </c>
      <c r="C2608" t="n">
        <v>0</v>
      </c>
      <c r="D2608" t="n">
        <v>0</v>
      </c>
      <c r="E2608" t="n">
        <v>0</v>
      </c>
      <c r="F2608" t="n">
        <v>2</v>
      </c>
      <c r="G2608" t="n">
        <v>0</v>
      </c>
      <c r="I2608" t="n">
        <v>2</v>
      </c>
      <c r="J2608" t="n">
        <v>0</v>
      </c>
      <c r="K2608" t="n">
        <v>12</v>
      </c>
      <c r="L2608" t="n">
        <v>0</v>
      </c>
      <c r="M2608" t="n">
        <v>-14</v>
      </c>
      <c r="O2608" t="inlineStr">
        <is>
          <t>Donald Santisi — Director of Sales; Brian Jeffries — Business Development Executive</t>
        </is>
      </c>
      <c r="P2608" t="inlineStr">
        <is>
          <t>Director of Sales | Business Development Executive</t>
        </is>
      </c>
      <c r="Y2608" t="inlineStr">
        <is>
          <t>todo</t>
        </is>
      </c>
      <c r="Z2608">
        <f>(M2608*Weights!$B$2) + (MIN(Q2608,Weights!$B$5)*Weights!$B$3*(W2608/100)*Weights!$B$4)</f>
        <v/>
      </c>
      <c r="AA2608">
        <f>IF(Z2608= ,,RANK.EQ({pri_col_letter}{r},{pri_range},0))</f>
        <v/>
      </c>
    </row>
    <row r="2609">
      <c r="A2609" t="inlineStr">
        <is>
          <t>VARGO®</t>
        </is>
      </c>
      <c r="B2609" t="n">
        <v>2</v>
      </c>
      <c r="C2609" t="n">
        <v>0</v>
      </c>
      <c r="D2609" t="n">
        <v>0</v>
      </c>
      <c r="E2609" t="n">
        <v>0</v>
      </c>
      <c r="F2609" t="n">
        <v>2</v>
      </c>
      <c r="G2609" t="n">
        <v>0</v>
      </c>
      <c r="I2609" t="n">
        <v>2</v>
      </c>
      <c r="J2609" t="n">
        <v>0</v>
      </c>
      <c r="K2609" t="n">
        <v>12</v>
      </c>
      <c r="L2609" t="n">
        <v>0</v>
      </c>
      <c r="M2609" t="n">
        <v>-14</v>
      </c>
      <c r="O2609" t="inlineStr">
        <is>
          <t>Kelly Cahill — Senior Account Executive; Neal Shah — Senior Marketing Manager</t>
        </is>
      </c>
      <c r="P2609" t="inlineStr">
        <is>
          <t>Senior Account Executive | Senior Marketing Manager</t>
        </is>
      </c>
      <c r="Y2609" t="inlineStr">
        <is>
          <t>todo</t>
        </is>
      </c>
      <c r="Z2609">
        <f>(M2609*Weights!$B$2) + (MIN(Q2609,Weights!$B$5)*Weights!$B$3*(W2609/100)*Weights!$B$4)</f>
        <v/>
      </c>
      <c r="AA2609">
        <f>IF(Z2609= ,,RANK.EQ({pri_col_letter}{r},{pri_range},0))</f>
        <v/>
      </c>
    </row>
    <row r="2610">
      <c r="A2610" t="inlineStr">
        <is>
          <t>Velocitor Solutions</t>
        </is>
      </c>
      <c r="B2610" t="n">
        <v>2</v>
      </c>
      <c r="C2610" t="n">
        <v>0</v>
      </c>
      <c r="D2610" t="n">
        <v>0</v>
      </c>
      <c r="E2610" t="n">
        <v>0</v>
      </c>
      <c r="F2610" t="n">
        <v>2</v>
      </c>
      <c r="G2610" t="n">
        <v>0</v>
      </c>
      <c r="I2610" t="n">
        <v>2</v>
      </c>
      <c r="J2610" t="n">
        <v>0</v>
      </c>
      <c r="K2610" t="n">
        <v>12</v>
      </c>
      <c r="L2610" t="n">
        <v>0</v>
      </c>
      <c r="M2610" t="n">
        <v>-14</v>
      </c>
      <c r="O2610" t="inlineStr">
        <is>
          <t>Rudy Nemeth — VP of Sales; Michelle Craig — Sales Executive</t>
        </is>
      </c>
      <c r="P2610" t="inlineStr">
        <is>
          <t>VP of Sales | Sales Executive</t>
        </is>
      </c>
      <c r="Y2610" t="inlineStr">
        <is>
          <t>todo</t>
        </is>
      </c>
      <c r="Z2610">
        <f>(M2610*Weights!$B$2) + (MIN(Q2610,Weights!$B$5)*Weights!$B$3*(W2610/100)*Weights!$B$4)</f>
        <v/>
      </c>
      <c r="AA2610">
        <f>IF(Z2610= ,,RANK.EQ({pri_col_letter}{r},{pri_range},0))</f>
        <v/>
      </c>
    </row>
    <row r="2611">
      <c r="A2611" t="inlineStr">
        <is>
          <t>ZIMARK</t>
        </is>
      </c>
      <c r="B2611" t="n">
        <v>2</v>
      </c>
      <c r="C2611" t="n">
        <v>0</v>
      </c>
      <c r="D2611" t="n">
        <v>0</v>
      </c>
      <c r="E2611" t="n">
        <v>0</v>
      </c>
      <c r="F2611" t="n">
        <v>2</v>
      </c>
      <c r="G2611" t="n">
        <v>0</v>
      </c>
      <c r="I2611" t="n">
        <v>2</v>
      </c>
      <c r="J2611" t="n">
        <v>0</v>
      </c>
      <c r="K2611" t="n">
        <v>12</v>
      </c>
      <c r="L2611" t="n">
        <v>0</v>
      </c>
      <c r="M2611" t="n">
        <v>-14</v>
      </c>
      <c r="O2611" t="inlineStr">
        <is>
          <t>Dror Wayne — Head of Marketing; Michael Boccardi — Head of Strategic Growth</t>
        </is>
      </c>
      <c r="P2611" t="inlineStr">
        <is>
          <t>Head of Marketing | Head of Strategic Growth</t>
        </is>
      </c>
      <c r="Y2611" t="inlineStr">
        <is>
          <t>todo</t>
        </is>
      </c>
      <c r="Z2611">
        <f>(M2611*Weights!$B$2) + (MIN(Q2611,Weights!$B$5)*Weights!$B$3*(W2611/100)*Weights!$B$4)</f>
        <v/>
      </c>
      <c r="AA2611">
        <f>IF(Z2611= ,,RANK.EQ({pri_col_letter}{r},{pri_range},0))</f>
        <v/>
      </c>
    </row>
    <row r="2612">
      <c r="A2612" t="inlineStr">
        <is>
          <t>DAT Freight &amp; Analytics</t>
        </is>
      </c>
      <c r="B2612" t="n">
        <v>15</v>
      </c>
      <c r="C2612" t="n">
        <v>0</v>
      </c>
      <c r="D2612" t="n">
        <v>0</v>
      </c>
      <c r="E2612" t="n">
        <v>0</v>
      </c>
      <c r="F2612" t="n">
        <v>9</v>
      </c>
      <c r="G2612" t="n">
        <v>4</v>
      </c>
      <c r="I2612" t="n">
        <v>13</v>
      </c>
      <c r="J2612" t="n">
        <v>0</v>
      </c>
      <c r="K2612" t="n">
        <v>12</v>
      </c>
      <c r="L2612" t="n">
        <v>0</v>
      </c>
      <c r="M2612" t="n">
        <v>-15</v>
      </c>
      <c r="O2612" t="inlineStr">
        <is>
          <t>Bill Driegert — EVP, Convoy Platform; Marcus Womack — CEO, Outgo; Ray Fortna — Chief Product Officer - Outgo; Eric Libby — Director, Marketplace Integrity; Jackson Lever — Convoy Platform</t>
        </is>
      </c>
      <c r="P2612" t="inlineStr">
        <is>
          <t>EVP, Convoy Platform | CEO, Outgo | Chief Product Officer - Outgo</t>
        </is>
      </c>
      <c r="Y2612" t="inlineStr">
        <is>
          <t>todo</t>
        </is>
      </c>
      <c r="Z2612">
        <f>(M2612*Weights!$B$2) + (MIN(Q2612,Weights!$B$5)*Weights!$B$3*(W2612/100)*Weights!$B$4)</f>
        <v/>
      </c>
      <c r="AA2612">
        <f>IF(Z2612= ,,RANK.EQ({pri_col_letter}{r},{pri_range},0))</f>
        <v/>
      </c>
    </row>
    <row r="2613">
      <c r="A2613" t="inlineStr">
        <is>
          <t>Aviro360</t>
        </is>
      </c>
      <c r="B2613" t="n">
        <v>7</v>
      </c>
      <c r="C2613" t="n">
        <v>0</v>
      </c>
      <c r="D2613" t="n">
        <v>0</v>
      </c>
      <c r="E2613" t="n">
        <v>0</v>
      </c>
      <c r="F2613" t="n">
        <v>5</v>
      </c>
      <c r="G2613" t="n">
        <v>0</v>
      </c>
      <c r="I2613" t="n">
        <v>5</v>
      </c>
      <c r="J2613" t="n">
        <v>0</v>
      </c>
      <c r="K2613" t="n">
        <v>12</v>
      </c>
      <c r="L2613" t="n">
        <v>0</v>
      </c>
      <c r="M2613" t="n">
        <v>-15</v>
      </c>
      <c r="O2613" t="inlineStr">
        <is>
          <t>Ilhan Kolko — President &amp; Managing Director; Wendy Hannon — Director, Communications; Matt Kozar — VP, Business Development; Justin One — VP, Business Development; Eric Rothe — Enterprise Account Executive</t>
        </is>
      </c>
      <c r="P2613" t="inlineStr">
        <is>
          <t>President &amp; Managing Director | Director, Communications | VP, Business Development</t>
        </is>
      </c>
      <c r="Y2613" t="inlineStr">
        <is>
          <t>todo</t>
        </is>
      </c>
      <c r="Z2613">
        <f>(M2613*Weights!$B$2) + (MIN(Q2613,Weights!$B$5)*Weights!$B$3*(W2613/100)*Weights!$B$4)</f>
        <v/>
      </c>
      <c r="AA2613">
        <f>IF(Z2613= ,,RANK.EQ({pri_col_letter}{r},{pri_range},0))</f>
        <v/>
      </c>
    </row>
    <row r="2614">
      <c r="A2614" t="inlineStr">
        <is>
          <t>Flexe</t>
        </is>
      </c>
      <c r="B2614" t="n">
        <v>7</v>
      </c>
      <c r="C2614" t="n">
        <v>0</v>
      </c>
      <c r="D2614" t="n">
        <v>0</v>
      </c>
      <c r="E2614" t="n">
        <v>0</v>
      </c>
      <c r="F2614" t="n">
        <v>5</v>
      </c>
      <c r="G2614" t="n">
        <v>1</v>
      </c>
      <c r="I2614" t="n">
        <v>6</v>
      </c>
      <c r="J2614" t="n">
        <v>0</v>
      </c>
      <c r="K2614" t="n">
        <v>12</v>
      </c>
      <c r="L2614" t="n">
        <v>0</v>
      </c>
      <c r="M2614" t="n">
        <v>-15</v>
      </c>
      <c r="O2614" t="inlineStr">
        <is>
          <t>Curt Anderson — CFO, COO; Dan Sepulvado — Senior Product Manager; Doug Stern — Head of Sales; Ismael Rivera — Sr. Field Marketing Manager; Anabel Cormier — Principal Director of Business Development</t>
        </is>
      </c>
      <c r="P2614" t="inlineStr">
        <is>
          <t>CFO, COO | Head of Sales | Senior Product Manager</t>
        </is>
      </c>
      <c r="Y2614" t="inlineStr">
        <is>
          <t>todo</t>
        </is>
      </c>
      <c r="Z2614">
        <f>(M2614*Weights!$B$2) + (MIN(Q2614,Weights!$B$5)*Weights!$B$3*(W2614/100)*Weights!$B$4)</f>
        <v/>
      </c>
      <c r="AA2614">
        <f>IF(Z2614= ,,RANK.EQ({pri_col_letter}{r},{pri_range},0))</f>
        <v/>
      </c>
    </row>
    <row r="2615">
      <c r="A2615" t="inlineStr">
        <is>
          <t>Highway</t>
        </is>
      </c>
      <c r="B2615" t="n">
        <v>7</v>
      </c>
      <c r="C2615" t="n">
        <v>0</v>
      </c>
      <c r="D2615" t="n">
        <v>0</v>
      </c>
      <c r="E2615" t="n">
        <v>0</v>
      </c>
      <c r="F2615" t="n">
        <v>5</v>
      </c>
      <c r="G2615" t="n">
        <v>1</v>
      </c>
      <c r="H2615" t="n">
        <v>24940000</v>
      </c>
      <c r="I2615" t="n">
        <v>6</v>
      </c>
      <c r="J2615" t="n">
        <v>0</v>
      </c>
      <c r="K2615" t="n">
        <v>12</v>
      </c>
      <c r="L2615" t="n">
        <v>0</v>
      </c>
      <c r="M2615" t="n">
        <v>-15</v>
      </c>
      <c r="O2615" t="inlineStr">
        <is>
          <t>Michael Caney — Chief Commercial Officer; Paige Ip — Sr. Solutions Engineer Manager; Jessica Hale — VP of Customer Success; Jayson Peterson — VP of Partnerships &amp; Alliances; Zach Blanchard — Enterprise Account Executive</t>
        </is>
      </c>
      <c r="P2615" t="inlineStr">
        <is>
          <t>Chief Commercial Officer | VP of Customer Success | VP of Partnerships &amp; Alliances</t>
        </is>
      </c>
      <c r="Y2615" t="inlineStr">
        <is>
          <t>todo</t>
        </is>
      </c>
      <c r="Z2615">
        <f>(M2615*Weights!$B$2) + (MIN(Q2615,Weights!$B$5)*Weights!$B$3*(W2615/100)*Weights!$B$4)</f>
        <v/>
      </c>
      <c r="AA2615">
        <f>IF(Z2615= ,,RANK.EQ({pri_col_letter}{r},{pri_range},0))</f>
        <v/>
      </c>
    </row>
    <row r="2616">
      <c r="A2616" t="inlineStr">
        <is>
          <t>Pipe17</t>
        </is>
      </c>
      <c r="B2616" t="n">
        <v>7</v>
      </c>
      <c r="C2616" t="n">
        <v>0</v>
      </c>
      <c r="D2616" t="n">
        <v>0</v>
      </c>
      <c r="E2616" t="n">
        <v>0</v>
      </c>
      <c r="F2616" t="n">
        <v>5</v>
      </c>
      <c r="G2616" t="n">
        <v>0</v>
      </c>
      <c r="I2616" t="n">
        <v>5</v>
      </c>
      <c r="J2616" t="n">
        <v>0</v>
      </c>
      <c r="K2616" t="n">
        <v>12</v>
      </c>
      <c r="L2616" t="n">
        <v>0</v>
      </c>
      <c r="M2616" t="n">
        <v>-15</v>
      </c>
      <c r="O2616" t="inlineStr">
        <is>
          <t>Adam Silverman — Senior Director, Demand Generation; Jake Oppenheim — Strategic Account Manager; Kristina Dudley — VP of Marketing; Tiffany Johnson — Head of Sales; Ian Leslie — Account Executive</t>
        </is>
      </c>
      <c r="P2616" t="inlineStr">
        <is>
          <t>Senior Director, Demand Generation | VP of Marketing | Head of Sales</t>
        </is>
      </c>
      <c r="Y2616" t="inlineStr">
        <is>
          <t>todo</t>
        </is>
      </c>
      <c r="Z2616">
        <f>(M2616*Weights!$B$2) + (MIN(Q2616,Weights!$B$5)*Weights!$B$3*(W2616/100)*Weights!$B$4)</f>
        <v/>
      </c>
      <c r="AA2616">
        <f>IF(Z2616= ,,RANK.EQ({pri_col_letter}{r},{pri_range},0))</f>
        <v/>
      </c>
    </row>
    <row r="2617">
      <c r="A2617" t="inlineStr">
        <is>
          <t>GenLogs</t>
        </is>
      </c>
      <c r="B2617" t="n">
        <v>5</v>
      </c>
      <c r="C2617" t="n">
        <v>0</v>
      </c>
      <c r="D2617" t="n">
        <v>0</v>
      </c>
      <c r="E2617" t="n">
        <v>0</v>
      </c>
      <c r="F2617" t="n">
        <v>4</v>
      </c>
      <c r="G2617" t="n">
        <v>0</v>
      </c>
      <c r="I2617" t="n">
        <v>4</v>
      </c>
      <c r="J2617" t="n">
        <v>0</v>
      </c>
      <c r="K2617" t="n">
        <v>12</v>
      </c>
      <c r="L2617" t="n">
        <v>0</v>
      </c>
      <c r="M2617" t="n">
        <v>-15</v>
      </c>
      <c r="O2617" t="inlineStr">
        <is>
          <t>Chris Kobus — CRO; Autumn Siudzinski — Customer Success Director; Isaac Winnes — Director of Go-to-Market; Kris Forrest — Account Executive; Zachary Diekman — Business Development Manager</t>
        </is>
      </c>
      <c r="P2617" t="inlineStr">
        <is>
          <t>CRO | Customer Success Director | Director of Go-to-Market</t>
        </is>
      </c>
      <c r="Y2617" t="inlineStr">
        <is>
          <t>todo</t>
        </is>
      </c>
      <c r="Z2617">
        <f>(M2617*Weights!$B$2) + (MIN(Q2617,Weights!$B$5)*Weights!$B$3*(W2617/100)*Weights!$B$4)</f>
        <v/>
      </c>
      <c r="AA2617">
        <f>IF(Z2617= ,,RANK.EQ({pri_col_letter}{r},{pri_range},0))</f>
        <v/>
      </c>
    </row>
    <row r="2618">
      <c r="A2618" t="inlineStr">
        <is>
          <t>IntelliTrans</t>
        </is>
      </c>
      <c r="B2618" t="n">
        <v>5</v>
      </c>
      <c r="C2618" t="n">
        <v>0</v>
      </c>
      <c r="D2618" t="n">
        <v>0</v>
      </c>
      <c r="E2618" t="n">
        <v>0</v>
      </c>
      <c r="F2618" t="n">
        <v>4</v>
      </c>
      <c r="G2618" t="n">
        <v>0</v>
      </c>
      <c r="I2618" t="n">
        <v>4</v>
      </c>
      <c r="J2618" t="n">
        <v>0</v>
      </c>
      <c r="K2618" t="n">
        <v>12</v>
      </c>
      <c r="L2618" t="n">
        <v>0</v>
      </c>
      <c r="M2618" t="n">
        <v>-15</v>
      </c>
      <c r="O2618" t="inlineStr">
        <is>
          <t>Chad Raube — CEO; Matt Everson — SVP of Sales and Marketing; Brian Steele — Enterprise Sales Director; Jake Brown — Enterprise Sales Director; Collins Rigdon — Marketing Manager</t>
        </is>
      </c>
      <c r="P2618" t="inlineStr">
        <is>
          <t>CEO | SVP of Sales and Marketing | Enterprise Sales Director</t>
        </is>
      </c>
      <c r="Y2618" t="inlineStr">
        <is>
          <t>todo</t>
        </is>
      </c>
      <c r="Z2618">
        <f>(M2618*Weights!$B$2) + (MIN(Q2618,Weights!$B$5)*Weights!$B$3*(W2618/100)*Weights!$B$4)</f>
        <v/>
      </c>
      <c r="AA2618">
        <f>IF(Z2618= ,,RANK.EQ({pri_col_letter}{r},{pri_range},0))</f>
        <v/>
      </c>
    </row>
    <row r="2619">
      <c r="A2619" t="inlineStr">
        <is>
          <t>CIRRO Fulfillment</t>
        </is>
      </c>
      <c r="B2619" t="n">
        <v>3</v>
      </c>
      <c r="C2619" t="n">
        <v>0</v>
      </c>
      <c r="D2619" t="n">
        <v>0</v>
      </c>
      <c r="E2619" t="n">
        <v>0</v>
      </c>
      <c r="F2619" t="n">
        <v>3</v>
      </c>
      <c r="G2619" t="n">
        <v>0</v>
      </c>
      <c r="I2619" t="n">
        <v>3</v>
      </c>
      <c r="J2619" t="n">
        <v>0</v>
      </c>
      <c r="K2619" t="n">
        <v>12</v>
      </c>
      <c r="L2619" t="n">
        <v>0</v>
      </c>
      <c r="M2619" t="n">
        <v>-15</v>
      </c>
      <c r="O2619" t="inlineStr">
        <is>
          <t>Hong Li — Head of Global Sales; Christopher Moore — Vice President | Business Development; Jonathan Herrington — Sr. Director - Business Development</t>
        </is>
      </c>
      <c r="P2619" t="inlineStr">
        <is>
          <t>Head of Global Sales | Vice President | Business Development | Sr. Director - Business Development</t>
        </is>
      </c>
      <c r="Y2619" t="inlineStr">
        <is>
          <t>todo</t>
        </is>
      </c>
      <c r="Z2619">
        <f>(M2619*Weights!$B$2) + (MIN(Q2619,Weights!$B$5)*Weights!$B$3*(W2619/100)*Weights!$B$4)</f>
        <v/>
      </c>
      <c r="AA2619">
        <f>IF(Z2619= ,,RANK.EQ({pri_col_letter}{r},{pri_range},0))</f>
        <v/>
      </c>
    </row>
    <row r="2620">
      <c r="A2620" t="inlineStr">
        <is>
          <t>CMC Packaging Automation</t>
        </is>
      </c>
      <c r="B2620" t="n">
        <v>3</v>
      </c>
      <c r="C2620" t="n">
        <v>0</v>
      </c>
      <c r="D2620" t="n">
        <v>0</v>
      </c>
      <c r="E2620" t="n">
        <v>0</v>
      </c>
      <c r="F2620" t="n">
        <v>3</v>
      </c>
      <c r="G2620" t="n">
        <v>0</v>
      </c>
      <c r="I2620" t="n">
        <v>3</v>
      </c>
      <c r="J2620" t="n">
        <v>0</v>
      </c>
      <c r="K2620" t="n">
        <v>12</v>
      </c>
      <c r="L2620" t="n">
        <v>0</v>
      </c>
      <c r="M2620" t="n">
        <v>-15</v>
      </c>
      <c r="O2620" t="inlineStr">
        <is>
          <t>Andrea Crowe — Key Account Sales Manager; Marco Mozzaorecchi — Director of Sales - Americas; Craig Hall — Sales Manager</t>
        </is>
      </c>
      <c r="P2620" t="inlineStr">
        <is>
          <t>Key Account Sales Manager | Director of Sales - Americas | Sales Manager</t>
        </is>
      </c>
      <c r="Y2620" t="inlineStr">
        <is>
          <t>todo</t>
        </is>
      </c>
      <c r="Z2620">
        <f>(M2620*Weights!$B$2) + (MIN(Q2620,Weights!$B$5)*Weights!$B$3*(W2620/100)*Weights!$B$4)</f>
        <v/>
      </c>
      <c r="AA2620">
        <f>IF(Z2620= ,,RANK.EQ({pri_col_letter}{r},{pri_range},0))</f>
        <v/>
      </c>
    </row>
    <row r="2621">
      <c r="A2621" t="inlineStr">
        <is>
          <t>CrimsonLogic (U.S.), Inc.</t>
        </is>
      </c>
      <c r="B2621" t="n">
        <v>3</v>
      </c>
      <c r="C2621" t="n">
        <v>0</v>
      </c>
      <c r="D2621" t="n">
        <v>0</v>
      </c>
      <c r="E2621" t="n">
        <v>0</v>
      </c>
      <c r="F2621" t="n">
        <v>3</v>
      </c>
      <c r="G2621" t="n">
        <v>0</v>
      </c>
      <c r="I2621" t="n">
        <v>3</v>
      </c>
      <c r="J2621" t="n">
        <v>0</v>
      </c>
      <c r="K2621" t="n">
        <v>12</v>
      </c>
      <c r="L2621" t="n">
        <v>0</v>
      </c>
      <c r="M2621" t="n">
        <v>-15</v>
      </c>
      <c r="O2621" t="inlineStr">
        <is>
          <t>Vikram Patil — Senior Director (Commercial Growth &amp; Accounts); Li Hao Tan — Senior Director for Marketing, Communications &amp; Channel Alliances; Matthew Fung — Assistant Director, Commercial Growth &amp; Accounts</t>
        </is>
      </c>
      <c r="P2621" t="inlineStr">
        <is>
          <t>Senior Director (Commercial Growth &amp; Accounts) | Senior Director for Marketing, Communications &amp; Channel Alliances | Assistant Director, Commercial Growth &amp; Accounts</t>
        </is>
      </c>
      <c r="Y2621" t="inlineStr">
        <is>
          <t>todo</t>
        </is>
      </c>
      <c r="Z2621">
        <f>(M2621*Weights!$B$2) + (MIN(Q2621,Weights!$B$5)*Weights!$B$3*(W2621/100)*Weights!$B$4)</f>
        <v/>
      </c>
      <c r="AA2621">
        <f>IF(Z2621= ,,RANK.EQ({pri_col_letter}{r},{pri_range},0))</f>
        <v/>
      </c>
    </row>
    <row r="2622">
      <c r="A2622" t="inlineStr">
        <is>
          <t>DeliverDirect</t>
        </is>
      </c>
      <c r="B2622" t="n">
        <v>3</v>
      </c>
      <c r="C2622" t="n">
        <v>0</v>
      </c>
      <c r="D2622" t="n">
        <v>0</v>
      </c>
      <c r="E2622" t="n">
        <v>0</v>
      </c>
      <c r="F2622" t="n">
        <v>3</v>
      </c>
      <c r="G2622" t="n">
        <v>0</v>
      </c>
      <c r="I2622" t="n">
        <v>3</v>
      </c>
      <c r="J2622" t="n">
        <v>0</v>
      </c>
      <c r="K2622" t="n">
        <v>12</v>
      </c>
      <c r="L2622" t="n">
        <v>0</v>
      </c>
      <c r="M2622" t="n">
        <v>-15</v>
      </c>
      <c r="O2622" t="inlineStr">
        <is>
          <t>Derreck Travers — SVP of E-commerce and Business Development; Don Vitti — Director e-Commerce Sales &amp; Business Development; Mike Gerace — AVP of eCommerce &amp; Business Development</t>
        </is>
      </c>
      <c r="P2622" t="inlineStr">
        <is>
          <t>SVP of E-commerce and Business Development | Director e-Commerce Sales &amp; Business Development | AVP of eCommerce &amp; Business Development</t>
        </is>
      </c>
      <c r="Y2622" t="inlineStr">
        <is>
          <t>todo</t>
        </is>
      </c>
      <c r="Z2622">
        <f>(M2622*Weights!$B$2) + (MIN(Q2622,Weights!$B$5)*Weights!$B$3*(W2622/100)*Weights!$B$4)</f>
        <v/>
      </c>
      <c r="AA2622">
        <f>IF(Z2622= ,,RANK.EQ({pri_col_letter}{r},{pri_range},0))</f>
        <v/>
      </c>
    </row>
    <row r="2623">
      <c r="A2623" t="inlineStr">
        <is>
          <t>GeoPostcodes</t>
        </is>
      </c>
      <c r="B2623" t="n">
        <v>3</v>
      </c>
      <c r="C2623" t="n">
        <v>0</v>
      </c>
      <c r="D2623" t="n">
        <v>0</v>
      </c>
      <c r="E2623" t="n">
        <v>0</v>
      </c>
      <c r="F2623" t="n">
        <v>3</v>
      </c>
      <c r="G2623" t="n">
        <v>0</v>
      </c>
      <c r="I2623" t="n">
        <v>3</v>
      </c>
      <c r="J2623" t="n">
        <v>0</v>
      </c>
      <c r="K2623" t="n">
        <v>12</v>
      </c>
      <c r="L2623" t="n">
        <v>0</v>
      </c>
      <c r="M2623" t="n">
        <v>-15</v>
      </c>
      <c r="O2623" t="inlineStr">
        <is>
          <t>Rob Verschelden — Head of Sales; Arnaud Wijbinga — Enterprise Account Executive; Fruzsi Karolyi — Enterprise Account Executive</t>
        </is>
      </c>
      <c r="P2623" t="inlineStr">
        <is>
          <t>Head of Sales | Enterprise Account Executive</t>
        </is>
      </c>
      <c r="Y2623" t="inlineStr">
        <is>
          <t>todo</t>
        </is>
      </c>
      <c r="Z2623">
        <f>(M2623*Weights!$B$2) + (MIN(Q2623,Weights!$B$5)*Weights!$B$3*(W2623/100)*Weights!$B$4)</f>
        <v/>
      </c>
      <c r="AA2623">
        <f>IF(Z2623= ,,RANK.EQ({pri_col_letter}{r},{pri_range},0))</f>
        <v/>
      </c>
    </row>
    <row r="2624">
      <c r="A2624" t="inlineStr">
        <is>
          <t>Greenplaces</t>
        </is>
      </c>
      <c r="B2624" t="n">
        <v>3</v>
      </c>
      <c r="C2624" t="n">
        <v>0</v>
      </c>
      <c r="D2624" t="n">
        <v>0</v>
      </c>
      <c r="E2624" t="n">
        <v>0</v>
      </c>
      <c r="F2624" t="n">
        <v>3</v>
      </c>
      <c r="G2624" t="n">
        <v>0</v>
      </c>
      <c r="I2624" t="n">
        <v>3</v>
      </c>
      <c r="J2624" t="n">
        <v>0</v>
      </c>
      <c r="K2624" t="n">
        <v>12</v>
      </c>
      <c r="L2624" t="n">
        <v>0</v>
      </c>
      <c r="M2624" t="n">
        <v>-15</v>
      </c>
      <c r="O2624" t="inlineStr">
        <is>
          <t>Elliott Howes — Business Development Representative; Emily Neville — Sr. Mgr, Business Development; Maggie Chilton — Business Development Representative</t>
        </is>
      </c>
      <c r="P2624" t="inlineStr">
        <is>
          <t>Business Development Representative | Sr. Mgr, Business Development</t>
        </is>
      </c>
      <c r="Y2624" t="inlineStr">
        <is>
          <t>todo</t>
        </is>
      </c>
      <c r="Z2624">
        <f>(M2624*Weights!$B$2) + (MIN(Q2624,Weights!$B$5)*Weights!$B$3*(W2624/100)*Weights!$B$4)</f>
        <v/>
      </c>
      <c r="AA2624">
        <f>IF(Z2624= ,,RANK.EQ({pri_col_letter}{r},{pri_range},0))</f>
        <v/>
      </c>
    </row>
    <row r="2625">
      <c r="A2625" t="inlineStr">
        <is>
          <t>K.Hartwall</t>
        </is>
      </c>
      <c r="B2625" t="n">
        <v>3</v>
      </c>
      <c r="C2625" t="n">
        <v>0</v>
      </c>
      <c r="D2625" t="n">
        <v>0</v>
      </c>
      <c r="E2625" t="n">
        <v>0</v>
      </c>
      <c r="F2625" t="n">
        <v>3</v>
      </c>
      <c r="G2625" t="n">
        <v>0</v>
      </c>
      <c r="I2625" t="n">
        <v>3</v>
      </c>
      <c r="J2625" t="n">
        <v>0</v>
      </c>
      <c r="K2625" t="n">
        <v>12</v>
      </c>
      <c r="L2625" t="n">
        <v>0</v>
      </c>
      <c r="M2625" t="n">
        <v>-15</v>
      </c>
      <c r="O2625" t="inlineStr">
        <is>
          <t>John Webb — VP Sales, Retail; Alex Stone — Regional Sales Manager, North America; Courtney Jackson — Regional Sales Manager, North America</t>
        </is>
      </c>
      <c r="P2625" t="inlineStr">
        <is>
          <t>VP Sales, Retail | Regional Sales Manager, North America</t>
        </is>
      </c>
      <c r="Y2625" t="inlineStr">
        <is>
          <t>todo</t>
        </is>
      </c>
      <c r="Z2625">
        <f>(M2625*Weights!$B$2) + (MIN(Q2625,Weights!$B$5)*Weights!$B$3*(W2625/100)*Weights!$B$4)</f>
        <v/>
      </c>
      <c r="AA2625">
        <f>IF(Z2625= ,,RANK.EQ({pri_col_letter}{r},{pri_range},0))</f>
        <v/>
      </c>
    </row>
    <row r="2626">
      <c r="A2626" t="inlineStr">
        <is>
          <t>Nutrifresh Holdings LLC dba ColdTrack</t>
        </is>
      </c>
      <c r="B2626" t="n">
        <v>3</v>
      </c>
      <c r="C2626" t="n">
        <v>0</v>
      </c>
      <c r="D2626" t="n">
        <v>0</v>
      </c>
      <c r="E2626" t="n">
        <v>0</v>
      </c>
      <c r="F2626" t="n">
        <v>3</v>
      </c>
      <c r="G2626" t="n">
        <v>0</v>
      </c>
      <c r="I2626" t="n">
        <v>3</v>
      </c>
      <c r="J2626" t="n">
        <v>0</v>
      </c>
      <c r="K2626" t="n">
        <v>12</v>
      </c>
      <c r="L2626" t="n">
        <v>0</v>
      </c>
      <c r="M2626" t="n">
        <v>-15</v>
      </c>
      <c r="O2626" t="inlineStr">
        <is>
          <t>Kyle Ackley — VP of Sales; Warner Siebert — Chief Revenue Officer; Connor Faqua — Account Executive</t>
        </is>
      </c>
      <c r="P2626" t="inlineStr">
        <is>
          <t>VP of Sales | Chief Revenue Officer | Account Executive</t>
        </is>
      </c>
      <c r="Y2626" t="inlineStr">
        <is>
          <t>todo</t>
        </is>
      </c>
      <c r="Z2626">
        <f>(M2626*Weights!$B$2) + (MIN(Q2626,Weights!$B$5)*Weights!$B$3*(W2626/100)*Weights!$B$4)</f>
        <v/>
      </c>
      <c r="AA2626">
        <f>IF(Z2626= ,,RANK.EQ({pri_col_letter}{r},{pri_range},0))</f>
        <v/>
      </c>
    </row>
    <row r="2627">
      <c r="A2627" t="inlineStr">
        <is>
          <t>Piaggio Fast Forward</t>
        </is>
      </c>
      <c r="B2627" t="n">
        <v>3</v>
      </c>
      <c r="C2627" t="n">
        <v>0</v>
      </c>
      <c r="D2627" t="n">
        <v>0</v>
      </c>
      <c r="E2627" t="n">
        <v>0</v>
      </c>
      <c r="F2627" t="n">
        <v>3</v>
      </c>
      <c r="G2627" t="n">
        <v>0</v>
      </c>
      <c r="I2627" t="n">
        <v>3</v>
      </c>
      <c r="J2627" t="n">
        <v>0</v>
      </c>
      <c r="K2627" t="n">
        <v>12</v>
      </c>
      <c r="L2627" t="n">
        <v>0</v>
      </c>
      <c r="M2627" t="n">
        <v>-15</v>
      </c>
      <c r="O2627" t="inlineStr">
        <is>
          <t>Kim Karvonen — VP of Sales; Cyril Chatonda — Account Executive; Jack Diamond — Account Executive</t>
        </is>
      </c>
      <c r="P2627" t="inlineStr">
        <is>
          <t>VP of Sales | Account Executive</t>
        </is>
      </c>
      <c r="Y2627" t="inlineStr">
        <is>
          <t>todo</t>
        </is>
      </c>
      <c r="Z2627">
        <f>(M2627*Weights!$B$2) + (MIN(Q2627,Weights!$B$5)*Weights!$B$3*(W2627/100)*Weights!$B$4)</f>
        <v/>
      </c>
      <c r="AA2627">
        <f>IF(Z2627= ,,RANK.EQ({pri_col_letter}{r},{pri_range},0))</f>
        <v/>
      </c>
    </row>
    <row r="2628">
      <c r="A2628" t="inlineStr">
        <is>
          <t>Radar</t>
        </is>
      </c>
      <c r="B2628" t="n">
        <v>3</v>
      </c>
      <c r="C2628" t="n">
        <v>0</v>
      </c>
      <c r="D2628" t="n">
        <v>0</v>
      </c>
      <c r="E2628" t="n">
        <v>0</v>
      </c>
      <c r="F2628" t="n">
        <v>3</v>
      </c>
      <c r="G2628" t="n">
        <v>0</v>
      </c>
      <c r="I2628" t="n">
        <v>3</v>
      </c>
      <c r="J2628" t="n">
        <v>0</v>
      </c>
      <c r="K2628" t="n">
        <v>12</v>
      </c>
      <c r="L2628" t="n">
        <v>0</v>
      </c>
      <c r="M2628" t="n">
        <v>-15</v>
      </c>
      <c r="O2628" t="inlineStr">
        <is>
          <t>Sonali Reddy — Sales Development Rep; Ben Mason — Account Executive; Kai Simon — Account Executive</t>
        </is>
      </c>
      <c r="P2628" t="inlineStr">
        <is>
          <t>Sales Development Rep | Account Executive</t>
        </is>
      </c>
      <c r="Y2628" t="inlineStr">
        <is>
          <t>todo</t>
        </is>
      </c>
      <c r="Z2628">
        <f>(M2628*Weights!$B$2) + (MIN(Q2628,Weights!$B$5)*Weights!$B$3*(W2628/100)*Weights!$B$4)</f>
        <v/>
      </c>
      <c r="AA2628">
        <f>IF(Z2628= ,,RANK.EQ({pri_col_letter}{r},{pri_range},0))</f>
        <v/>
      </c>
    </row>
    <row r="2629">
      <c r="A2629" t="inlineStr">
        <is>
          <t>Remote Employee</t>
        </is>
      </c>
      <c r="B2629" t="n">
        <v>3</v>
      </c>
      <c r="C2629" t="n">
        <v>0</v>
      </c>
      <c r="D2629" t="n">
        <v>0</v>
      </c>
      <c r="E2629" t="n">
        <v>0</v>
      </c>
      <c r="F2629" t="n">
        <v>3</v>
      </c>
      <c r="G2629" t="n">
        <v>0</v>
      </c>
      <c r="I2629" t="n">
        <v>3</v>
      </c>
      <c r="J2629" t="n">
        <v>0</v>
      </c>
      <c r="K2629" t="n">
        <v>12</v>
      </c>
      <c r="L2629" t="n">
        <v>0</v>
      </c>
      <c r="M2629" t="n">
        <v>-15</v>
      </c>
      <c r="O2629" t="inlineStr">
        <is>
          <t>Lisa Santos — VP of New Business Development; George Hillier — New Business Development; Joey Zuardo — Director of New Business Development</t>
        </is>
      </c>
      <c r="P2629" t="inlineStr">
        <is>
          <t>VP of New Business Development | New Business Development | Director of New Business Development</t>
        </is>
      </c>
      <c r="Y2629" t="inlineStr">
        <is>
          <t>todo</t>
        </is>
      </c>
      <c r="Z2629">
        <f>(M2629*Weights!$B$2) + (MIN(Q2629,Weights!$B$5)*Weights!$B$3*(W2629/100)*Weights!$B$4)</f>
        <v/>
      </c>
      <c r="AA2629">
        <f>IF(Z2629= ,,RANK.EQ({pri_col_letter}{r},{pri_range},0))</f>
        <v/>
      </c>
    </row>
    <row r="2630">
      <c r="A2630" t="inlineStr">
        <is>
          <t>Shippo</t>
        </is>
      </c>
      <c r="B2630" t="n">
        <v>3</v>
      </c>
      <c r="C2630" t="n">
        <v>0</v>
      </c>
      <c r="D2630" t="n">
        <v>0</v>
      </c>
      <c r="E2630" t="n">
        <v>0</v>
      </c>
      <c r="F2630" t="n">
        <v>3</v>
      </c>
      <c r="G2630" t="n">
        <v>0</v>
      </c>
      <c r="I2630" t="n">
        <v>3</v>
      </c>
      <c r="J2630" t="n">
        <v>0</v>
      </c>
      <c r="K2630" t="n">
        <v>12</v>
      </c>
      <c r="L2630" t="n">
        <v>0</v>
      </c>
      <c r="M2630" t="n">
        <v>-15</v>
      </c>
      <c r="O2630" t="inlineStr">
        <is>
          <t>Tim Thorn — Head of Sales and Business Development; Diego Jimenez — Senior Enterprise Account Executive; Michael Delmedico — Senior Manager, Business Development</t>
        </is>
      </c>
      <c r="P2630" t="inlineStr">
        <is>
          <t>Head of Sales and Business Development | Senior Enterprise Account Executive | Senior Manager, Business Development</t>
        </is>
      </c>
      <c r="Y2630" t="inlineStr">
        <is>
          <t>todo</t>
        </is>
      </c>
      <c r="Z2630">
        <f>(M2630*Weights!$B$2) + (MIN(Q2630,Weights!$B$5)*Weights!$B$3*(W2630/100)*Weights!$B$4)</f>
        <v/>
      </c>
      <c r="AA2630">
        <f>IF(Z2630= ,,RANK.EQ({pri_col_letter}{r},{pri_range},0))</f>
        <v/>
      </c>
    </row>
    <row r="2631">
      <c r="A2631" t="inlineStr">
        <is>
          <t>TGW Logistics</t>
        </is>
      </c>
      <c r="B2631" t="n">
        <v>3</v>
      </c>
      <c r="C2631" t="n">
        <v>0</v>
      </c>
      <c r="D2631" t="n">
        <v>0</v>
      </c>
      <c r="E2631" t="n">
        <v>0</v>
      </c>
      <c r="F2631" t="n">
        <v>3</v>
      </c>
      <c r="G2631" t="n">
        <v>0</v>
      </c>
      <c r="I2631" t="n">
        <v>3</v>
      </c>
      <c r="J2631" t="n">
        <v>0</v>
      </c>
      <c r="K2631" t="n">
        <v>12</v>
      </c>
      <c r="L2631" t="n">
        <v>0</v>
      </c>
      <c r="M2631" t="n">
        <v>-15</v>
      </c>
      <c r="O2631" t="inlineStr">
        <is>
          <t>Blake Neal — Director of Business Development; Collin Russell — Director of Business Development; Meagan Gauthier — Business Development Manager</t>
        </is>
      </c>
      <c r="P2631" t="inlineStr">
        <is>
          <t>Director of Business Development | Business Development Manager</t>
        </is>
      </c>
      <c r="Y2631" t="inlineStr">
        <is>
          <t>todo</t>
        </is>
      </c>
      <c r="Z2631">
        <f>(M2631*Weights!$B$2) + (MIN(Q2631,Weights!$B$5)*Weights!$B$3*(W2631/100)*Weights!$B$4)</f>
        <v/>
      </c>
      <c r="AA2631">
        <f>IF(Z2631= ,,RANK.EQ({pri_col_letter}{r},{pri_range},0))</f>
        <v/>
      </c>
    </row>
    <row r="2632">
      <c r="A2632" t="inlineStr">
        <is>
          <t>The Mail Group</t>
        </is>
      </c>
      <c r="B2632" t="n">
        <v>3</v>
      </c>
      <c r="C2632" t="n">
        <v>0</v>
      </c>
      <c r="D2632" t="n">
        <v>0</v>
      </c>
      <c r="E2632" t="n">
        <v>0</v>
      </c>
      <c r="F2632" t="n">
        <v>3</v>
      </c>
      <c r="G2632" t="n">
        <v>0</v>
      </c>
      <c r="I2632" t="n">
        <v>3</v>
      </c>
      <c r="J2632" t="n">
        <v>0</v>
      </c>
      <c r="K2632" t="n">
        <v>12</v>
      </c>
      <c r="L2632" t="n">
        <v>0</v>
      </c>
      <c r="M2632" t="n">
        <v>-15</v>
      </c>
      <c r="O2632" t="inlineStr">
        <is>
          <t>Angie Davis — Vice President - Corporate Sales &amp; Client Services; Christy Hulsart — Vice President, Sales; Sue Ghanma — Regional VP Sales</t>
        </is>
      </c>
      <c r="P2632" t="inlineStr">
        <is>
          <t>Vice President - Corporate Sales &amp; Client Services | Vice President, Sales | Regional VP Sales</t>
        </is>
      </c>
      <c r="Y2632" t="inlineStr">
        <is>
          <t>todo</t>
        </is>
      </c>
      <c r="Z2632">
        <f>(M2632*Weights!$B$2) + (MIN(Q2632,Weights!$B$5)*Weights!$B$3*(W2632/100)*Weights!$B$4)</f>
        <v/>
      </c>
      <c r="AA2632">
        <f>IF(Z2632= ,,RANK.EQ({pri_col_letter}{r},{pri_range},0))</f>
        <v/>
      </c>
    </row>
    <row r="2633">
      <c r="A2633" t="inlineStr">
        <is>
          <t>USA Truck</t>
        </is>
      </c>
      <c r="B2633" t="n">
        <v>3</v>
      </c>
      <c r="C2633" t="n">
        <v>0</v>
      </c>
      <c r="D2633" t="n">
        <v>0</v>
      </c>
      <c r="E2633" t="n">
        <v>0</v>
      </c>
      <c r="F2633" t="n">
        <v>3</v>
      </c>
      <c r="G2633" t="n">
        <v>0</v>
      </c>
      <c r="I2633" t="n">
        <v>3</v>
      </c>
      <c r="J2633" t="n">
        <v>0</v>
      </c>
      <c r="K2633" t="n">
        <v>12</v>
      </c>
      <c r="L2633" t="n">
        <v>0</v>
      </c>
      <c r="M2633" t="n">
        <v>-15</v>
      </c>
      <c r="O2633" t="inlineStr">
        <is>
          <t>Brian Petrie — SVP, Sales; Greg Goodner — VP, Sales; Ryan Bush — VP, Business Development</t>
        </is>
      </c>
      <c r="P2633" t="inlineStr">
        <is>
          <t>SVP, Sales | VP, Sales | VP, Business Development</t>
        </is>
      </c>
      <c r="Y2633" t="inlineStr">
        <is>
          <t>todo</t>
        </is>
      </c>
      <c r="Z2633">
        <f>(M2633*Weights!$B$2) + (MIN(Q2633,Weights!$B$5)*Weights!$B$3*(W2633/100)*Weights!$B$4)</f>
        <v/>
      </c>
      <c r="AA2633">
        <f>IF(Z2633= ,,RANK.EQ({pri_col_letter}{r},{pri_range},0))</f>
        <v/>
      </c>
    </row>
    <row r="2634">
      <c r="A2634" t="inlineStr">
        <is>
          <t>Zencargo</t>
        </is>
      </c>
      <c r="B2634" t="n">
        <v>3</v>
      </c>
      <c r="C2634" t="n">
        <v>0</v>
      </c>
      <c r="D2634" t="n">
        <v>0</v>
      </c>
      <c r="E2634" t="n">
        <v>0</v>
      </c>
      <c r="F2634" t="n">
        <v>3</v>
      </c>
      <c r="G2634" t="n">
        <v>0</v>
      </c>
      <c r="I2634" t="n">
        <v>3</v>
      </c>
      <c r="J2634" t="n">
        <v>0</v>
      </c>
      <c r="K2634" t="n">
        <v>12</v>
      </c>
      <c r="L2634" t="n">
        <v>0</v>
      </c>
      <c r="M2634" t="n">
        <v>-15</v>
      </c>
      <c r="O2634" t="inlineStr">
        <is>
          <t>Michael Starr — VP of Growth; Charlie Kuhn — Business Development Manager; Ryan Kalita — Senior Business Development Manager</t>
        </is>
      </c>
      <c r="P2634" t="inlineStr">
        <is>
          <t>VP of Growth | Business Development Manager | Senior Business Development Manager</t>
        </is>
      </c>
      <c r="Y2634" t="inlineStr">
        <is>
          <t>todo</t>
        </is>
      </c>
      <c r="Z2634">
        <f>(M2634*Weights!$B$2) + (MIN(Q2634,Weights!$B$5)*Weights!$B$3*(W2634/100)*Weights!$B$4)</f>
        <v/>
      </c>
      <c r="AA2634">
        <f>IF(Z2634= ,,RANK.EQ({pri_col_letter}{r},{pri_range},0))</f>
        <v/>
      </c>
    </row>
    <row r="2635">
      <c r="A2635" t="inlineStr">
        <is>
          <t>Exotec</t>
        </is>
      </c>
      <c r="B2635" t="n">
        <v>10</v>
      </c>
      <c r="C2635" t="n">
        <v>0</v>
      </c>
      <c r="D2635" t="n">
        <v>0</v>
      </c>
      <c r="E2635" t="n">
        <v>0</v>
      </c>
      <c r="F2635" t="n">
        <v>7</v>
      </c>
      <c r="G2635" t="n">
        <v>0</v>
      </c>
      <c r="I2635" t="n">
        <v>7</v>
      </c>
      <c r="J2635" t="n">
        <v>0</v>
      </c>
      <c r="K2635" t="n">
        <v>12</v>
      </c>
      <c r="L2635" t="n">
        <v>0</v>
      </c>
      <c r="M2635" t="n">
        <v>-16</v>
      </c>
      <c r="O2635" t="inlineStr">
        <is>
          <t>Stanislas Normand — Managing Director North America; Victor LESUEUR — Global Event Manager; Anna Von Schmeling — Communication Manager; Sid Henderson — VP Business Development; Shamil Balapashev — Director of Marketing, North America</t>
        </is>
      </c>
      <c r="P2635" t="inlineStr">
        <is>
          <t>Managing Director North America | Global Event Manager | Communication Manager</t>
        </is>
      </c>
      <c r="Y2635" t="inlineStr">
        <is>
          <t>todo</t>
        </is>
      </c>
      <c r="Z2635">
        <f>(M2635*Weights!$B$2) + (MIN(Q2635,Weights!$B$5)*Weights!$B$3*(W2635/100)*Weights!$B$4)</f>
        <v/>
      </c>
      <c r="AA2635">
        <f>IF(Z2635= ,,RANK.EQ({pri_col_letter}{r},{pri_range},0))</f>
        <v/>
      </c>
    </row>
    <row r="2636">
      <c r="A2636" t="inlineStr">
        <is>
          <t>EasyPost</t>
        </is>
      </c>
      <c r="B2636" t="n">
        <v>8</v>
      </c>
      <c r="C2636" t="n">
        <v>0</v>
      </c>
      <c r="D2636" t="n">
        <v>0</v>
      </c>
      <c r="E2636" t="n">
        <v>0</v>
      </c>
      <c r="F2636" t="n">
        <v>6</v>
      </c>
      <c r="G2636" t="n">
        <v>1</v>
      </c>
      <c r="I2636" t="n">
        <v>7</v>
      </c>
      <c r="J2636" t="n">
        <v>0</v>
      </c>
      <c r="K2636" t="n">
        <v>12</v>
      </c>
      <c r="L2636" t="n">
        <v>0</v>
      </c>
      <c r="M2636" t="n">
        <v>-16</v>
      </c>
      <c r="O2636" t="inlineStr">
        <is>
          <t>Lori Boyer — Head of Content; Tom Butt — Director, Platform Analytics; Brayden Christensen — Sales Development Rep; Joe Peckskamp — Sales Development Rep; Greg Marone — Sr. Enterprise Account Executive</t>
        </is>
      </c>
      <c r="P2636" t="inlineStr">
        <is>
          <t>Head of Content | Director, Platform Analytics | Sales Development Rep</t>
        </is>
      </c>
      <c r="Y2636" t="inlineStr">
        <is>
          <t>todo</t>
        </is>
      </c>
      <c r="Z2636">
        <f>(M2636*Weights!$B$2) + (MIN(Q2636,Weights!$B$5)*Weights!$B$3*(W2636/100)*Weights!$B$4)</f>
        <v/>
      </c>
      <c r="AA2636">
        <f>IF(Z2636= ,,RANK.EQ({pri_col_letter}{r},{pri_range},0))</f>
        <v/>
      </c>
    </row>
    <row r="2637">
      <c r="A2637" t="inlineStr">
        <is>
          <t>Aurora</t>
        </is>
      </c>
      <c r="B2637" t="n">
        <v>6</v>
      </c>
      <c r="C2637" t="n">
        <v>0</v>
      </c>
      <c r="D2637" t="n">
        <v>0</v>
      </c>
      <c r="E2637" t="n">
        <v>0</v>
      </c>
      <c r="F2637" t="n">
        <v>5</v>
      </c>
      <c r="G2637" t="n">
        <v>0</v>
      </c>
      <c r="I2637" t="n">
        <v>5</v>
      </c>
      <c r="J2637" t="n">
        <v>0</v>
      </c>
      <c r="K2637" t="n">
        <v>12</v>
      </c>
      <c r="L2637" t="n">
        <v>0</v>
      </c>
      <c r="M2637" t="n">
        <v>-16</v>
      </c>
      <c r="O2637" t="inlineStr">
        <is>
          <t>Nikki Guglielmo — Sr. Manager, Enterprise Accounts; Zac Andreoni — VP of Business Development; Jimmy Moon — Head of Sales; Amelia Charamand-Quelas — Business Development Associate II, Enterprise Accounts; Saransh Bhutada — Customer Lifecycle Marketing</t>
        </is>
      </c>
      <c r="P2637" t="inlineStr">
        <is>
          <t>Sr. Manager, Enterprise Accounts | VP of Business Development | Head of Sales</t>
        </is>
      </c>
      <c r="Y2637" t="inlineStr">
        <is>
          <t>todo</t>
        </is>
      </c>
      <c r="Z2637">
        <f>(M2637*Weights!$B$2) + (MIN(Q2637,Weights!$B$5)*Weights!$B$3*(W2637/100)*Weights!$B$4)</f>
        <v/>
      </c>
      <c r="AA2637">
        <f>IF(Z2637= ,,RANK.EQ({pri_col_letter}{r},{pri_range},0))</f>
        <v/>
      </c>
    </row>
    <row r="2638">
      <c r="A2638" t="inlineStr">
        <is>
          <t>Enveyo</t>
        </is>
      </c>
      <c r="B2638" t="n">
        <v>6</v>
      </c>
      <c r="C2638" t="n">
        <v>0</v>
      </c>
      <c r="D2638" t="n">
        <v>0</v>
      </c>
      <c r="E2638" t="n">
        <v>0</v>
      </c>
      <c r="F2638" t="n">
        <v>5</v>
      </c>
      <c r="G2638" t="n">
        <v>0</v>
      </c>
      <c r="I2638" t="n">
        <v>5</v>
      </c>
      <c r="J2638" t="n">
        <v>0</v>
      </c>
      <c r="K2638" t="n">
        <v>12</v>
      </c>
      <c r="L2638" t="n">
        <v>0</v>
      </c>
      <c r="M2638" t="n">
        <v>-16</v>
      </c>
      <c r="O2638" t="inlineStr">
        <is>
          <t>Coby Nilsson — CEO &amp; Co-Founder; Nate Endicott — SVP of Growth; Alise Houserman — Senior Director of Marketing; Libby Ehrke — Digital Marketing Specialist; Keith Roper — Account Executive</t>
        </is>
      </c>
      <c r="P2638" t="inlineStr">
        <is>
          <t>CEO &amp; Co-Founder | SVP of Growth | Senior Director of Marketing</t>
        </is>
      </c>
      <c r="Y2638" t="inlineStr">
        <is>
          <t>todo</t>
        </is>
      </c>
      <c r="Z2638">
        <f>(M2638*Weights!$B$2) + (MIN(Q2638,Weights!$B$5)*Weights!$B$3*(W2638/100)*Weights!$B$4)</f>
        <v/>
      </c>
      <c r="AA2638">
        <f>IF(Z2638= ,,RANK.EQ({pri_col_letter}{r},{pri_range},0))</f>
        <v/>
      </c>
    </row>
    <row r="2639">
      <c r="A2639" t="inlineStr">
        <is>
          <t>Made4net</t>
        </is>
      </c>
      <c r="B2639" t="n">
        <v>6</v>
      </c>
      <c r="C2639" t="n">
        <v>0</v>
      </c>
      <c r="D2639" t="n">
        <v>0</v>
      </c>
      <c r="E2639" t="n">
        <v>0</v>
      </c>
      <c r="F2639" t="n">
        <v>5</v>
      </c>
      <c r="G2639" t="n">
        <v>0</v>
      </c>
      <c r="I2639" t="n">
        <v>5</v>
      </c>
      <c r="J2639" t="n">
        <v>0</v>
      </c>
      <c r="K2639" t="n">
        <v>12</v>
      </c>
      <c r="L2639" t="n">
        <v>0</v>
      </c>
      <c r="M2639" t="n">
        <v>-16</v>
      </c>
      <c r="O2639" t="inlineStr">
        <is>
          <t>Duff Davidson — Chief Executive Officer; Renee Truttmann — Chief Marketing Officer; Amit Levy — EVP of Sales and Strategy; Errol Gonzales — Director of Sales; Jeff Jones — Senior Account Executive</t>
        </is>
      </c>
      <c r="P2639" t="inlineStr">
        <is>
          <t>Chief Executive Officer | Chief Marketing Officer | EVP of Sales and Strategy</t>
        </is>
      </c>
      <c r="Y2639" t="inlineStr">
        <is>
          <t>todo</t>
        </is>
      </c>
      <c r="Z2639">
        <f>(M2639*Weights!$B$2) + (MIN(Q2639,Weights!$B$5)*Weights!$B$3*(W2639/100)*Weights!$B$4)</f>
        <v/>
      </c>
      <c r="AA2639">
        <f>IF(Z2639= ,,RANK.EQ({pri_col_letter}{r},{pri_range},0))</f>
        <v/>
      </c>
    </row>
    <row r="2640">
      <c r="A2640" t="inlineStr">
        <is>
          <t>Triumph</t>
        </is>
      </c>
      <c r="B2640" t="n">
        <v>6</v>
      </c>
      <c r="C2640" t="n">
        <v>0</v>
      </c>
      <c r="D2640" t="n">
        <v>0</v>
      </c>
      <c r="E2640" t="n">
        <v>0</v>
      </c>
      <c r="F2640" t="n">
        <v>5</v>
      </c>
      <c r="G2640" t="n">
        <v>1</v>
      </c>
      <c r="I2640" t="n">
        <v>6</v>
      </c>
      <c r="J2640" t="n">
        <v>0</v>
      </c>
      <c r="K2640" t="n">
        <v>12</v>
      </c>
      <c r="L2640" t="n">
        <v>0</v>
      </c>
      <c r="M2640" t="n">
        <v>-16</v>
      </c>
      <c r="O2640" t="inlineStr">
        <is>
          <t>Dawn Salvucci-Favier — President, Intelligence; Danny Giffen — VP, Business Development; Jarad Hunsicker — VP, Business Development; Brian Cristol — SVP, Intelligence Sales Leader; John Bender — Broker Sales Leader</t>
        </is>
      </c>
      <c r="P2640" t="inlineStr">
        <is>
          <t>President, Intelligence | SVP, Intelligence Sales Leader | VP, Business Development</t>
        </is>
      </c>
      <c r="Y2640" t="inlineStr">
        <is>
          <t>todo</t>
        </is>
      </c>
      <c r="Z2640">
        <f>(M2640*Weights!$B$2) + (MIN(Q2640,Weights!$B$5)*Weights!$B$3*(W2640/100)*Weights!$B$4)</f>
        <v/>
      </c>
      <c r="AA2640">
        <f>IF(Z2640= ,,RANK.EQ({pri_col_letter}{r},{pri_range},0))</f>
        <v/>
      </c>
    </row>
    <row r="2641">
      <c r="A2641" t="inlineStr">
        <is>
          <t>Banyan Technology</t>
        </is>
      </c>
      <c r="B2641" t="n">
        <v>4</v>
      </c>
      <c r="C2641" t="n">
        <v>0</v>
      </c>
      <c r="D2641" t="n">
        <v>0</v>
      </c>
      <c r="E2641" t="n">
        <v>0</v>
      </c>
      <c r="F2641" t="n">
        <v>4</v>
      </c>
      <c r="G2641" t="n">
        <v>0</v>
      </c>
      <c r="I2641" t="n">
        <v>4</v>
      </c>
      <c r="J2641" t="n">
        <v>0</v>
      </c>
      <c r="K2641" t="n">
        <v>12</v>
      </c>
      <c r="L2641" t="n">
        <v>0</v>
      </c>
      <c r="M2641" t="n">
        <v>-16</v>
      </c>
      <c r="O2641" t="inlineStr">
        <is>
          <t>Emil Soehnlen — Sales Representative; Alex Rigot — Director of Sales; Jovanni Cruz — Sales Director; Megan Greenwalt — Manager, Integrated Marketing Communications</t>
        </is>
      </c>
      <c r="P2641" t="inlineStr">
        <is>
          <t>Sales Representative | Director of Sales | Sales Director</t>
        </is>
      </c>
      <c r="Y2641" t="inlineStr">
        <is>
          <t>todo</t>
        </is>
      </c>
      <c r="Z2641">
        <f>(M2641*Weights!$B$2) + (MIN(Q2641,Weights!$B$5)*Weights!$B$3*(W2641/100)*Weights!$B$4)</f>
        <v/>
      </c>
      <c r="AA2641">
        <f>IF(Z2641= ,,RANK.EQ({pri_col_letter}{r},{pri_range},0))</f>
        <v/>
      </c>
    </row>
    <row r="2642">
      <c r="A2642" t="inlineStr">
        <is>
          <t>Cainiao</t>
        </is>
      </c>
      <c r="B2642" t="n">
        <v>4</v>
      </c>
      <c r="C2642" t="n">
        <v>0</v>
      </c>
      <c r="D2642" t="n">
        <v>0</v>
      </c>
      <c r="E2642" t="n">
        <v>0</v>
      </c>
      <c r="F2642" t="n">
        <v>4</v>
      </c>
      <c r="G2642" t="n">
        <v>2</v>
      </c>
      <c r="I2642" t="n">
        <v>6</v>
      </c>
      <c r="J2642" t="n">
        <v>0</v>
      </c>
      <c r="K2642" t="n">
        <v>12</v>
      </c>
      <c r="L2642" t="n">
        <v>0</v>
      </c>
      <c r="M2642" t="n">
        <v>-16</v>
      </c>
      <c r="O2642" t="inlineStr">
        <is>
          <t>Ivan Pan — Head of North America Partnership Management and G2G Product; Suken Xiao — Head of China Sales Team and North America Product Team; Yilin Su — Business Sales Representative; Jinyi Wei — Business Development Manager</t>
        </is>
      </c>
      <c r="P2642" t="inlineStr">
        <is>
          <t>Head of North America Partnership Management and G2G Product | Head of China Sales Team and North America Product Team | Business Sales Representative</t>
        </is>
      </c>
      <c r="Y2642" t="inlineStr">
        <is>
          <t>todo</t>
        </is>
      </c>
      <c r="Z2642">
        <f>(M2642*Weights!$B$2) + (MIN(Q2642,Weights!$B$5)*Weights!$B$3*(W2642/100)*Weights!$B$4)</f>
        <v/>
      </c>
      <c r="AA2642">
        <f>IF(Z2642= ,,RANK.EQ({pri_col_letter}{r},{pri_range},0))</f>
        <v/>
      </c>
    </row>
    <row r="2643">
      <c r="A2643" t="inlineStr">
        <is>
          <t>Hai Robotics</t>
        </is>
      </c>
      <c r="B2643" t="n">
        <v>4</v>
      </c>
      <c r="C2643" t="n">
        <v>0</v>
      </c>
      <c r="D2643" t="n">
        <v>0</v>
      </c>
      <c r="E2643" t="n">
        <v>0</v>
      </c>
      <c r="F2643" t="n">
        <v>4</v>
      </c>
      <c r="G2643" t="n">
        <v>0</v>
      </c>
      <c r="I2643" t="n">
        <v>4</v>
      </c>
      <c r="J2643" t="n">
        <v>0</v>
      </c>
      <c r="K2643" t="n">
        <v>12</v>
      </c>
      <c r="L2643" t="n">
        <v>0</v>
      </c>
      <c r="M2643" t="n">
        <v>-16</v>
      </c>
      <c r="O2643" t="inlineStr">
        <is>
          <t>George Peach — Sales Executive; Vince Donato — Sales Executive; Jordan Zatz — Marketing Manager; Matthew Berman — Business Development Representative</t>
        </is>
      </c>
      <c r="P2643" t="inlineStr">
        <is>
          <t>Sales Executive | Marketing Manager | Business Development Representative</t>
        </is>
      </c>
      <c r="Y2643" t="inlineStr">
        <is>
          <t>todo</t>
        </is>
      </c>
      <c r="Z2643">
        <f>(M2643*Weights!$B$2) + (MIN(Q2643,Weights!$B$5)*Weights!$B$3*(W2643/100)*Weights!$B$4)</f>
        <v/>
      </c>
      <c r="AA2643">
        <f>IF(Z2643= ,,RANK.EQ({pri_col_letter}{r},{pri_range},0))</f>
        <v/>
      </c>
    </row>
    <row r="2644">
      <c r="A2644" t="inlineStr">
        <is>
          <t>Swisslog</t>
        </is>
      </c>
      <c r="B2644" t="n">
        <v>4</v>
      </c>
      <c r="C2644" t="n">
        <v>0</v>
      </c>
      <c r="D2644" t="n">
        <v>0</v>
      </c>
      <c r="E2644" t="n">
        <v>0</v>
      </c>
      <c r="F2644" t="n">
        <v>4</v>
      </c>
      <c r="G2644" t="n">
        <v>0</v>
      </c>
      <c r="I2644" t="n">
        <v>4</v>
      </c>
      <c r="J2644" t="n">
        <v>0</v>
      </c>
      <c r="K2644" t="n">
        <v>12</v>
      </c>
      <c r="L2644" t="n">
        <v>0</v>
      </c>
      <c r="M2644" t="n">
        <v>-16</v>
      </c>
      <c r="O2644" t="inlineStr">
        <is>
          <t>Gasper Gulotta — Director of Sales; Jake Carothers — Director of Sales; Robyn Poe — Senior Business Development Manager; Hunter Wagner — Business Development Manager</t>
        </is>
      </c>
      <c r="P2644" t="inlineStr">
        <is>
          <t>Director of Sales | Senior Business Development Manager | Business Development Manager</t>
        </is>
      </c>
      <c r="Y2644" t="inlineStr">
        <is>
          <t>todo</t>
        </is>
      </c>
      <c r="Z2644">
        <f>(M2644*Weights!$B$2) + (MIN(Q2644,Weights!$B$5)*Weights!$B$3*(W2644/100)*Weights!$B$4)</f>
        <v/>
      </c>
      <c r="AA2644">
        <f>IF(Z2644= ,,RANK.EQ({pri_col_letter}{r},{pri_range},0))</f>
        <v/>
      </c>
    </row>
    <row r="2645">
      <c r="A2645" t="inlineStr">
        <is>
          <t>Transfix</t>
        </is>
      </c>
      <c r="B2645" t="n">
        <v>4</v>
      </c>
      <c r="C2645" t="n">
        <v>0</v>
      </c>
      <c r="D2645" t="n">
        <v>0</v>
      </c>
      <c r="E2645" t="n">
        <v>0</v>
      </c>
      <c r="F2645" t="n">
        <v>4</v>
      </c>
      <c r="G2645" t="n">
        <v>0</v>
      </c>
      <c r="I2645" t="n">
        <v>4</v>
      </c>
      <c r="J2645" t="n">
        <v>0</v>
      </c>
      <c r="K2645" t="n">
        <v>12</v>
      </c>
      <c r="L2645" t="n">
        <v>0</v>
      </c>
      <c r="M2645" t="n">
        <v>-16</v>
      </c>
      <c r="O2645" t="inlineStr">
        <is>
          <t>Carly Gunby — VP, Revenue; Jenni Ruiz — Head of Marketing &amp; PR; Brent Theiler — Enterprise Sales Director; Thomas Keville — Enterprise Sales Director</t>
        </is>
      </c>
      <c r="P2645" t="inlineStr">
        <is>
          <t>VP, Revenue | Head of Marketing &amp; PR | Enterprise Sales Director</t>
        </is>
      </c>
      <c r="Y2645" t="inlineStr">
        <is>
          <t>todo</t>
        </is>
      </c>
      <c r="Z2645">
        <f>(M2645*Weights!$B$2) + (MIN(Q2645,Weights!$B$5)*Weights!$B$3*(W2645/100)*Weights!$B$4)</f>
        <v/>
      </c>
      <c r="AA2645">
        <f>IF(Z2645= ,,RANK.EQ({pri_col_letter}{r},{pri_range},0))</f>
        <v/>
      </c>
    </row>
    <row r="2646">
      <c r="A2646" t="inlineStr">
        <is>
          <t>Instawork</t>
        </is>
      </c>
      <c r="B2646" t="n">
        <v>11</v>
      </c>
      <c r="C2646" t="n">
        <v>0</v>
      </c>
      <c r="D2646" t="n">
        <v>0</v>
      </c>
      <c r="E2646" t="n">
        <v>0</v>
      </c>
      <c r="F2646" t="n">
        <v>8</v>
      </c>
      <c r="G2646" t="n">
        <v>0</v>
      </c>
      <c r="I2646" t="n">
        <v>8</v>
      </c>
      <c r="J2646" t="n">
        <v>0</v>
      </c>
      <c r="K2646" t="n">
        <v>12</v>
      </c>
      <c r="L2646" t="n">
        <v>0</v>
      </c>
      <c r="M2646" t="n">
        <v>-17</v>
      </c>
      <c r="O2646" t="inlineStr">
        <is>
          <t>Sumir Meghani — CEO &amp; Co-Founder; Serghio Munoz — Head of Strategic Account Management; Austin Bumpus — Sr. Director, Strategic Partnerships; Kyle Hussey — VP, Sales &amp; Account Management; Andrew Kurman — Event Marketing Manager</t>
        </is>
      </c>
      <c r="P2646" t="inlineStr">
        <is>
          <t>CEO &amp; Co-Founder | Head of Strategic Account Management | Sr. Director, Strategic Partnerships</t>
        </is>
      </c>
      <c r="Y2646" t="inlineStr">
        <is>
          <t>todo</t>
        </is>
      </c>
      <c r="Z2646">
        <f>(M2646*Weights!$B$2) + (MIN(Q2646,Weights!$B$5)*Weights!$B$3*(W2646/100)*Weights!$B$4)</f>
        <v/>
      </c>
      <c r="AA2646">
        <f>IF(Z2646= ,,RANK.EQ({pri_col_letter}{r},{pri_range},0))</f>
        <v/>
      </c>
    </row>
    <row r="2647">
      <c r="A2647" t="inlineStr">
        <is>
          <t>Dragonfly</t>
        </is>
      </c>
      <c r="B2647" t="n">
        <v>7</v>
      </c>
      <c r="C2647" t="n">
        <v>0</v>
      </c>
      <c r="D2647" t="n">
        <v>0</v>
      </c>
      <c r="E2647" t="n">
        <v>0</v>
      </c>
      <c r="F2647" t="n">
        <v>6</v>
      </c>
      <c r="G2647" t="n">
        <v>1</v>
      </c>
      <c r="I2647" t="n">
        <v>7</v>
      </c>
      <c r="J2647" t="n">
        <v>0</v>
      </c>
      <c r="K2647" t="n">
        <v>12</v>
      </c>
      <c r="L2647" t="n">
        <v>0</v>
      </c>
      <c r="M2647" t="n">
        <v>-17</v>
      </c>
      <c r="O2647" t="inlineStr">
        <is>
          <t>Dominic Simard — Communications Manager; Olivier Thellend — Vice President, Marketing; Pooja Nagpal — Chief Revenue and Product Officer; Jean-Daniel Gervais — Vice President, Global Business Development and Client Management; David Williams — Senior Director, Global Business Development</t>
        </is>
      </c>
      <c r="P2647" t="inlineStr">
        <is>
          <t>Vice President, Marketing | Chief Revenue and Product Officer | Communications Manager</t>
        </is>
      </c>
      <c r="Y2647" t="inlineStr">
        <is>
          <t>todo</t>
        </is>
      </c>
      <c r="Z2647">
        <f>(M2647*Weights!$B$2) + (MIN(Q2647,Weights!$B$5)*Weights!$B$3*(W2647/100)*Weights!$B$4)</f>
        <v/>
      </c>
      <c r="AA2647">
        <f>IF(Z2647= ,,RANK.EQ({pri_col_letter}{r},{pri_range},0))</f>
        <v/>
      </c>
    </row>
    <row r="2648">
      <c r="A2648" t="inlineStr">
        <is>
          <t>ShipWise</t>
        </is>
      </c>
      <c r="B2648" t="n">
        <v>5</v>
      </c>
      <c r="C2648" t="n">
        <v>0</v>
      </c>
      <c r="D2648" t="n">
        <v>0</v>
      </c>
      <c r="E2648" t="n">
        <v>0</v>
      </c>
      <c r="F2648" t="n">
        <v>5</v>
      </c>
      <c r="G2648" t="n">
        <v>0</v>
      </c>
      <c r="I2648" t="n">
        <v>5</v>
      </c>
      <c r="J2648" t="n">
        <v>0</v>
      </c>
      <c r="K2648" t="n">
        <v>12</v>
      </c>
      <c r="L2648" t="n">
        <v>0</v>
      </c>
      <c r="M2648" t="n">
        <v>-17</v>
      </c>
      <c r="O2648" t="inlineStr">
        <is>
          <t>Brett Jurgenson — Sales Account Manager; Tim Bildstein — Sales Executive; Wesley Ransom — Director of Sales; Todd Dunlop — Business Development; Wade Ransom — Business Development</t>
        </is>
      </c>
      <c r="P2648" t="inlineStr">
        <is>
          <t>Sales Account Manager | Sales Executive | Director of Sales</t>
        </is>
      </c>
      <c r="Y2648" t="inlineStr">
        <is>
          <t>todo</t>
        </is>
      </c>
      <c r="Z2648">
        <f>(M2648*Weights!$B$2) + (MIN(Q2648,Weights!$B$5)*Weights!$B$3*(W2648/100)*Weights!$B$4)</f>
        <v/>
      </c>
      <c r="AA2648">
        <f>IF(Z2648= ,,RANK.EQ({pri_col_letter}{r},{pri_range},0))</f>
        <v/>
      </c>
    </row>
    <row r="2649">
      <c r="A2649" t="inlineStr">
        <is>
          <t>Trew</t>
        </is>
      </c>
      <c r="B2649" t="n">
        <v>5</v>
      </c>
      <c r="C2649" t="n">
        <v>0</v>
      </c>
      <c r="D2649" t="n">
        <v>0</v>
      </c>
      <c r="E2649" t="n">
        <v>0</v>
      </c>
      <c r="F2649" t="n">
        <v>5</v>
      </c>
      <c r="G2649" t="n">
        <v>0</v>
      </c>
      <c r="I2649" t="n">
        <v>5</v>
      </c>
      <c r="J2649" t="n">
        <v>0</v>
      </c>
      <c r="K2649" t="n">
        <v>12</v>
      </c>
      <c r="L2649" t="n">
        <v>0</v>
      </c>
      <c r="M2649" t="n">
        <v>-17</v>
      </c>
      <c r="O2649" t="inlineStr">
        <is>
          <t>Patrick McLaughlin — VP Sales; Cara Gibson — Marketing Coordinator; Jatin Lewis — Sr Automation Sales Manager; Mabel Rivera Figueroa — Sr. Sales Account Rep; Taylor Turner — Supervisor, Business Development</t>
        </is>
      </c>
      <c r="P2649" t="inlineStr">
        <is>
          <t>VP Sales | Marketing Coordinator | Sr Automation Sales Manager</t>
        </is>
      </c>
      <c r="Y2649" t="inlineStr">
        <is>
          <t>todo</t>
        </is>
      </c>
      <c r="Z2649">
        <f>(M2649*Weights!$B$2) + (MIN(Q2649,Weights!$B$5)*Weights!$B$3*(W2649/100)*Weights!$B$4)</f>
        <v/>
      </c>
      <c r="AA2649">
        <f>IF(Z2649= ,,RANK.EQ({pri_col_letter}{r},{pri_range},0))</f>
        <v/>
      </c>
    </row>
    <row r="2650">
      <c r="A2650" t="inlineStr">
        <is>
          <t>Ocado Intelligent Automation</t>
        </is>
      </c>
      <c r="B2650" t="n">
        <v>10</v>
      </c>
      <c r="C2650" t="n">
        <v>0</v>
      </c>
      <c r="D2650" t="n">
        <v>0</v>
      </c>
      <c r="E2650" t="n">
        <v>0</v>
      </c>
      <c r="F2650" t="n">
        <v>8</v>
      </c>
      <c r="G2650" t="n">
        <v>0</v>
      </c>
      <c r="I2650" t="n">
        <v>8</v>
      </c>
      <c r="J2650" t="n">
        <v>0</v>
      </c>
      <c r="K2650" t="n">
        <v>12</v>
      </c>
      <c r="L2650" t="n">
        <v>0</v>
      </c>
      <c r="M2650" t="n">
        <v>-18</v>
      </c>
      <c r="O2650" t="inlineStr">
        <is>
          <t>Dave Wood — VP Special Projects; Mark Bentley — President Americas - Ocado Solutions; Monique Apter — Chief Revenue Officer; Tracy Niehaus — Global Vice President of Marketing; Royanna Chappell — VP of Business Development</t>
        </is>
      </c>
      <c r="P2650" t="inlineStr">
        <is>
          <t>VP Special Projects | President Americas - Ocado Solutions | Chief Revenue Officer</t>
        </is>
      </c>
      <c r="Y2650" t="inlineStr">
        <is>
          <t>todo</t>
        </is>
      </c>
      <c r="Z2650">
        <f>(M2650*Weights!$B$2) + (MIN(Q2650,Weights!$B$5)*Weights!$B$3*(W2650/100)*Weights!$B$4)</f>
        <v/>
      </c>
      <c r="AA2650">
        <f>IF(Z2650= ,,RANK.EQ({pri_col_letter}{r},{pri_range},0))</f>
        <v/>
      </c>
    </row>
    <row r="2651">
      <c r="A2651" t="inlineStr">
        <is>
          <t>Designed Conveyor Systems (DCS)</t>
        </is>
      </c>
      <c r="B2651" t="n">
        <v>8</v>
      </c>
      <c r="C2651" t="n">
        <v>0</v>
      </c>
      <c r="D2651" t="n">
        <v>0</v>
      </c>
      <c r="E2651" t="n">
        <v>0</v>
      </c>
      <c r="F2651" t="n">
        <v>7</v>
      </c>
      <c r="G2651" t="n">
        <v>0</v>
      </c>
      <c r="I2651" t="n">
        <v>7</v>
      </c>
      <c r="J2651" t="n">
        <v>0</v>
      </c>
      <c r="K2651" t="n">
        <v>12</v>
      </c>
      <c r="L2651" t="n">
        <v>0</v>
      </c>
      <c r="M2651" t="n">
        <v>-18</v>
      </c>
      <c r="O2651" t="inlineStr">
        <is>
          <t>Alexa Brock — Client Development Representative; Emily Grayson — Sr. Marketing Coordinator; Chris Mehl — Sr. Director of Sales; Shawn Cavasos — Senior Director, Sales Support; Fred Rudolph — Sr. Account Executive</t>
        </is>
      </c>
      <c r="P2651" t="inlineStr">
        <is>
          <t>Client Development Representative | Sr. Marketing Coordinator | Sr. Director of Sales</t>
        </is>
      </c>
      <c r="Y2651" t="inlineStr">
        <is>
          <t>todo</t>
        </is>
      </c>
      <c r="Z2651">
        <f>(M2651*Weights!$B$2) + (MIN(Q2651,Weights!$B$5)*Weights!$B$3*(W2651/100)*Weights!$B$4)</f>
        <v/>
      </c>
      <c r="AA2651">
        <f>IF(Z2651= ,,RANK.EQ({pri_col_letter}{r},{pri_range},0))</f>
        <v/>
      </c>
    </row>
    <row r="2652">
      <c r="A2652" t="inlineStr">
        <is>
          <t>Tive</t>
        </is>
      </c>
      <c r="B2652" t="n">
        <v>8</v>
      </c>
      <c r="C2652" t="n">
        <v>0</v>
      </c>
      <c r="D2652" t="n">
        <v>0</v>
      </c>
      <c r="E2652" t="n">
        <v>0</v>
      </c>
      <c r="F2652" t="n">
        <v>7</v>
      </c>
      <c r="G2652" t="n">
        <v>0</v>
      </c>
      <c r="I2652" t="n">
        <v>7</v>
      </c>
      <c r="J2652" t="n">
        <v>0</v>
      </c>
      <c r="K2652" t="n">
        <v>12</v>
      </c>
      <c r="L2652" t="n">
        <v>0</v>
      </c>
      <c r="M2652" t="n">
        <v>-18</v>
      </c>
      <c r="O2652" t="inlineStr">
        <is>
          <t>Krenar Komoni — CEO &amp; Founder; Ricky Fritsch — VP, Global Sales; Katie Walker — Director, Global Marketing; Colby Aaron — Director of Sales; Nolan Dragon — Sales Team Lead</t>
        </is>
      </c>
      <c r="P2652" t="inlineStr">
        <is>
          <t>CEO &amp; Founder | VP, Global Sales | Director, Global Marketing</t>
        </is>
      </c>
      <c r="Y2652" t="inlineStr">
        <is>
          <t>todo</t>
        </is>
      </c>
      <c r="Z2652">
        <f>(M2652*Weights!$B$2) + (MIN(Q2652,Weights!$B$5)*Weights!$B$3*(W2652/100)*Weights!$B$4)</f>
        <v/>
      </c>
      <c r="AA2652">
        <f>IF(Z2652= ,,RANK.EQ({pri_col_letter}{r},{pri_range},0))</f>
        <v/>
      </c>
    </row>
    <row r="2653">
      <c r="A2653" t="inlineStr">
        <is>
          <t>Asendia USA</t>
        </is>
      </c>
      <c r="B2653" t="n">
        <v>6</v>
      </c>
      <c r="C2653" t="n">
        <v>0</v>
      </c>
      <c r="D2653" t="n">
        <v>0</v>
      </c>
      <c r="E2653" t="n">
        <v>0</v>
      </c>
      <c r="F2653" t="n">
        <v>6</v>
      </c>
      <c r="G2653" t="n">
        <v>0</v>
      </c>
      <c r="I2653" t="n">
        <v>6</v>
      </c>
      <c r="J2653" t="n">
        <v>0</v>
      </c>
      <c r="K2653" t="n">
        <v>12</v>
      </c>
      <c r="L2653" t="n">
        <v>0</v>
      </c>
      <c r="M2653" t="n">
        <v>-18</v>
      </c>
      <c r="O2653" t="inlineStr">
        <is>
          <t>Edward Pincott — Vice President, Sales; Sharvon Hales — Creative Marketing &amp; Sales Support Specialist; Joe Amalfitano — Director, Enterprise Sales; Nick Agnetti — Director, Enterprise Sales; Scott Johnson — National Account Executive</t>
        </is>
      </c>
      <c r="P2653" t="inlineStr">
        <is>
          <t>Vice President, Sales | Creative Marketing &amp; Sales Support Specialist | Director, Enterprise Sales</t>
        </is>
      </c>
      <c r="Y2653" t="inlineStr">
        <is>
          <t>todo</t>
        </is>
      </c>
      <c r="Z2653">
        <f>(M2653*Weights!$B$2) + (MIN(Q2653,Weights!$B$5)*Weights!$B$3*(W2653/100)*Weights!$B$4)</f>
        <v/>
      </c>
      <c r="AA2653">
        <f>IF(Z2653= ,,RANK.EQ({pri_col_letter}{r},{pri_range},0))</f>
        <v/>
      </c>
    </row>
    <row r="2654">
      <c r="A2654" t="inlineStr">
        <is>
          <t>GXO Logistics</t>
        </is>
      </c>
      <c r="B2654" t="n">
        <v>12</v>
      </c>
      <c r="C2654" t="n">
        <v>0</v>
      </c>
      <c r="D2654" t="n">
        <v>0</v>
      </c>
      <c r="E2654" t="n">
        <v>0</v>
      </c>
      <c r="F2654" t="n">
        <v>10</v>
      </c>
      <c r="G2654" t="n">
        <v>0</v>
      </c>
      <c r="I2654" t="n">
        <v>10</v>
      </c>
      <c r="J2654" t="n">
        <v>0</v>
      </c>
      <c r="K2654" t="n">
        <v>12</v>
      </c>
      <c r="L2654" t="n">
        <v>0</v>
      </c>
      <c r="M2654" t="n">
        <v>-20</v>
      </c>
      <c r="O2654" t="inlineStr">
        <is>
          <t>Brianne Graham — Vice President, Account Management; Heather Coggins — Senior Analyst/Event Manager; Jonathan Crowther — Vice President, Head of Sales; Stephen Murrow — Vice President, Head of Sales; Steve Faivre — Vice President, Head of Sales</t>
        </is>
      </c>
      <c r="P2654" t="inlineStr">
        <is>
          <t>Vice President, Account Management | Vice President, Head of Sales | Senior Analyst/Event Manager</t>
        </is>
      </c>
      <c r="Y2654" t="inlineStr">
        <is>
          <t>todo</t>
        </is>
      </c>
      <c r="Z2654">
        <f>(M2654*Weights!$B$2) + (MIN(Q2654,Weights!$B$5)*Weights!$B$3*(W2654/100)*Weights!$B$4)</f>
        <v/>
      </c>
      <c r="AA2654">
        <f>IF(Z2654= ,,RANK.EQ({pri_col_letter}{r},{pri_range},0))</f>
        <v/>
      </c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4" max="14"/>
    <col width="20" customWidth="1" min="15" max="15"/>
    <col width="14" customWidth="1" min="16" max="16"/>
    <col width="16" customWidth="1" min="17" max="17"/>
    <col width="45" customWidth="1" min="18" max="18"/>
    <col width="28" customWidth="1" min="19" max="19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Job Title</t>
        </is>
      </c>
      <c r="D1" t="inlineStr">
        <is>
          <t>Company</t>
        </is>
      </c>
      <c r="E1" t="inlineStr">
        <is>
          <t>Country</t>
        </is>
      </c>
      <c r="F1" t="inlineStr">
        <is>
          <t>Qualified</t>
        </is>
      </c>
      <c r="G1" t="inlineStr">
        <is>
          <t>Revenue</t>
        </is>
      </c>
      <c r="H1" t="inlineStr">
        <is>
          <t>PersonScore</t>
        </is>
      </c>
      <c r="I1" t="inlineStr">
        <is>
          <t>is_ops</t>
        </is>
      </c>
      <c r="J1" t="inlineStr">
        <is>
          <t>is_exec</t>
        </is>
      </c>
      <c r="K1" t="inlineStr">
        <is>
          <t>is_exec_ops</t>
        </is>
      </c>
      <c r="L1" t="inlineStr">
        <is>
          <t>is_proc</t>
        </is>
      </c>
      <c r="M1" t="inlineStr">
        <is>
          <t>is_sales</t>
        </is>
      </c>
      <c r="N1" s="4" t="inlineStr">
        <is>
          <t>Company_Priority_Rank</t>
        </is>
      </c>
      <c r="O1" s="4" t="inlineStr">
        <is>
          <t>Company_Priority_Tier</t>
        </is>
      </c>
      <c r="P1" s="4" t="inlineStr">
        <is>
          <t>Owner</t>
        </is>
      </c>
      <c r="Q1" s="4" t="inlineStr">
        <is>
          <t>Outreach_Status</t>
        </is>
      </c>
      <c r="R1" s="4" t="inlineStr">
        <is>
          <t>Message_V1</t>
        </is>
      </c>
      <c r="S1" s="4" t="inlineStr">
        <is>
          <t>Connect_Report_Link</t>
        </is>
      </c>
    </row>
    <row r="2">
      <c r="A2" t="inlineStr">
        <is>
          <t>Sheetal Shah</t>
        </is>
      </c>
      <c r="B2" t="inlineStr">
        <is>
          <t>Speaker</t>
        </is>
      </c>
      <c r="C2" t="inlineStr">
        <is>
          <t>VP of Supply Chain and Chief Procurement Officer</t>
        </is>
      </c>
      <c r="D2" t="inlineStr">
        <is>
          <t>PPL Electric</t>
        </is>
      </c>
      <c r="H2" t="n">
        <v>37</v>
      </c>
      <c r="I2" t="b">
        <v>1</v>
      </c>
      <c r="J2" t="b">
        <v>1</v>
      </c>
      <c r="K2" t="b">
        <v>1</v>
      </c>
      <c r="L2" t="b">
        <v>1</v>
      </c>
      <c r="M2" t="b">
        <v>0</v>
      </c>
      <c r="N2">
        <f>IFERROR(INDEX('Company Hitlist'!$AA:$AA,MATCH(D2,'Company Hitlist'!$A:$A,0)),)</f>
        <v/>
      </c>
      <c r="O2">
        <f>IFERROR(INDEX('Company Hitlist'!$N:$N,MATCH(D2,'Company Hitlist'!$A:$A,0)),)</f>
        <v/>
      </c>
      <c r="Q2" t="inlineStr">
        <is>
          <t>todo</t>
        </is>
      </c>
    </row>
    <row r="3">
      <c r="A3" t="inlineStr">
        <is>
          <t>Jeff Adams</t>
        </is>
      </c>
      <c r="B3" t="inlineStr">
        <is>
          <t>Attendee</t>
        </is>
      </c>
      <c r="C3" t="inlineStr">
        <is>
          <t>VP of Strategic Sourcing &amp; Inbound Logistics</t>
        </is>
      </c>
      <c r="D3" t="inlineStr">
        <is>
          <t>Apothecary Products</t>
        </is>
      </c>
      <c r="H3" t="n">
        <v>34</v>
      </c>
      <c r="I3" t="b">
        <v>1</v>
      </c>
      <c r="J3" t="b">
        <v>1</v>
      </c>
      <c r="K3" t="b">
        <v>1</v>
      </c>
      <c r="L3" t="b">
        <v>1</v>
      </c>
      <c r="M3" t="b">
        <v>0</v>
      </c>
      <c r="N3">
        <f>IFERROR(INDEX('Company Hitlist'!$AA:$AA,MATCH(D3,'Company Hitlist'!$A:$A,0)),)</f>
        <v/>
      </c>
      <c r="O3">
        <f>IFERROR(INDEX('Company Hitlist'!$N:$N,MATCH(D3,'Company Hitlist'!$A:$A,0)),)</f>
        <v/>
      </c>
      <c r="Q3" t="inlineStr">
        <is>
          <t>todo</t>
        </is>
      </c>
    </row>
    <row r="4">
      <c r="A4" t="inlineStr">
        <is>
          <t>Clark Howard</t>
        </is>
      </c>
      <c r="B4" t="inlineStr">
        <is>
          <t>Attendee</t>
        </is>
      </c>
      <c r="C4" t="inlineStr">
        <is>
          <t>Chief Supply Chain and Procurement Officer</t>
        </is>
      </c>
      <c r="D4" t="inlineStr">
        <is>
          <t>Butcher Box</t>
        </is>
      </c>
      <c r="H4" t="n">
        <v>34</v>
      </c>
      <c r="I4" t="b">
        <v>1</v>
      </c>
      <c r="J4" t="b">
        <v>1</v>
      </c>
      <c r="K4" t="b">
        <v>1</v>
      </c>
      <c r="L4" t="b">
        <v>1</v>
      </c>
      <c r="M4" t="b">
        <v>0</v>
      </c>
      <c r="N4">
        <f>IFERROR(INDEX('Company Hitlist'!$AA:$AA,MATCH(D4,'Company Hitlist'!$A:$A,0)),)</f>
        <v/>
      </c>
      <c r="O4">
        <f>IFERROR(INDEX('Company Hitlist'!$N:$N,MATCH(D4,'Company Hitlist'!$A:$A,0)),)</f>
        <v/>
      </c>
      <c r="Q4" t="inlineStr">
        <is>
          <t>todo</t>
        </is>
      </c>
    </row>
    <row r="5">
      <c r="A5" t="inlineStr">
        <is>
          <t>Terry Frizelle</t>
        </is>
      </c>
      <c r="B5" t="inlineStr">
        <is>
          <t>Attendee</t>
        </is>
      </c>
      <c r="C5" t="inlineStr">
        <is>
          <t>Head of Logistics Procurement</t>
        </is>
      </c>
      <c r="D5" t="inlineStr">
        <is>
          <t>Dell Technologies</t>
        </is>
      </c>
      <c r="F5" t="inlineStr">
        <is>
          <t>Yes</t>
        </is>
      </c>
      <c r="H5" t="n">
        <v>34</v>
      </c>
      <c r="I5" t="b">
        <v>1</v>
      </c>
      <c r="J5" t="b">
        <v>1</v>
      </c>
      <c r="K5" t="b">
        <v>1</v>
      </c>
      <c r="L5" t="b">
        <v>1</v>
      </c>
      <c r="M5" t="b">
        <v>0</v>
      </c>
      <c r="N5">
        <f>IFERROR(INDEX('Company Hitlist'!$AA:$AA,MATCH(D5,'Company Hitlist'!$A:$A,0)),)</f>
        <v/>
      </c>
      <c r="O5">
        <f>IFERROR(INDEX('Company Hitlist'!$N:$N,MATCH(D5,'Company Hitlist'!$A:$A,0)),)</f>
        <v/>
      </c>
      <c r="Q5" t="inlineStr">
        <is>
          <t>todo</t>
        </is>
      </c>
    </row>
    <row r="6">
      <c r="A6" t="inlineStr">
        <is>
          <t>Randy Pappal</t>
        </is>
      </c>
      <c r="B6" t="inlineStr">
        <is>
          <t>Attendee</t>
        </is>
      </c>
      <c r="C6" t="inlineStr">
        <is>
          <t>VP Purchasing and Supply Chain</t>
        </is>
      </c>
      <c r="D6" t="inlineStr">
        <is>
          <t>Gentex Corporation</t>
        </is>
      </c>
      <c r="H6" t="n">
        <v>34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>
        <f>IFERROR(INDEX('Company Hitlist'!$AA:$AA,MATCH(D6,'Company Hitlist'!$A:$A,0)),)</f>
        <v/>
      </c>
      <c r="O6">
        <f>IFERROR(INDEX('Company Hitlist'!$N:$N,MATCH(D6,'Company Hitlist'!$A:$A,0)),)</f>
        <v/>
      </c>
      <c r="Q6" t="inlineStr">
        <is>
          <t>todo</t>
        </is>
      </c>
    </row>
    <row r="7">
      <c r="A7" t="inlineStr">
        <is>
          <t>Jamie Hess</t>
        </is>
      </c>
      <c r="B7" t="inlineStr">
        <is>
          <t>Attendee</t>
        </is>
      </c>
      <c r="C7" t="inlineStr">
        <is>
          <t>VP, Global Transportation Procurement</t>
        </is>
      </c>
      <c r="D7" t="inlineStr">
        <is>
          <t>KBX</t>
        </is>
      </c>
      <c r="H7" t="n">
        <v>34</v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>
        <f>IFERROR(INDEX('Company Hitlist'!$AA:$AA,MATCH(D7,'Company Hitlist'!$A:$A,0)),)</f>
        <v/>
      </c>
      <c r="O7">
        <f>IFERROR(INDEX('Company Hitlist'!$N:$N,MATCH(D7,'Company Hitlist'!$A:$A,0)),)</f>
        <v/>
      </c>
      <c r="Q7" t="inlineStr">
        <is>
          <t>todo</t>
        </is>
      </c>
    </row>
    <row r="8">
      <c r="A8" t="inlineStr">
        <is>
          <t>Samia Kaci</t>
        </is>
      </c>
      <c r="B8" t="inlineStr">
        <is>
          <t>Attendee</t>
        </is>
      </c>
      <c r="C8" t="inlineStr">
        <is>
          <t>Vice President of Sourcing and Supply Chain AVD</t>
        </is>
      </c>
      <c r="D8" t="inlineStr">
        <is>
          <t>Legrand</t>
        </is>
      </c>
      <c r="H8" t="n">
        <v>34</v>
      </c>
      <c r="I8" t="b">
        <v>1</v>
      </c>
      <c r="J8" t="b">
        <v>1</v>
      </c>
      <c r="K8" t="b">
        <v>1</v>
      </c>
      <c r="L8" t="b">
        <v>1</v>
      </c>
      <c r="M8" t="b">
        <v>0</v>
      </c>
      <c r="N8">
        <f>IFERROR(INDEX('Company Hitlist'!$AA:$AA,MATCH(D8,'Company Hitlist'!$A:$A,0)),)</f>
        <v/>
      </c>
      <c r="O8">
        <f>IFERROR(INDEX('Company Hitlist'!$N:$N,MATCH(D8,'Company Hitlist'!$A:$A,0)),)</f>
        <v/>
      </c>
      <c r="Q8" t="inlineStr">
        <is>
          <t>todo</t>
        </is>
      </c>
    </row>
    <row r="9">
      <c r="A9" t="inlineStr">
        <is>
          <t>Megan Hunter</t>
        </is>
      </c>
      <c r="B9" t="inlineStr">
        <is>
          <t>Attendee</t>
        </is>
      </c>
      <c r="C9" t="inlineStr">
        <is>
          <t>Executive Vice President Procurement and Supply Chain Operations</t>
        </is>
      </c>
      <c r="D9" t="inlineStr">
        <is>
          <t>Martinrea International</t>
        </is>
      </c>
      <c r="H9" t="n">
        <v>34</v>
      </c>
      <c r="I9" t="b">
        <v>1</v>
      </c>
      <c r="J9" t="b">
        <v>1</v>
      </c>
      <c r="K9" t="b">
        <v>1</v>
      </c>
      <c r="L9" t="b">
        <v>1</v>
      </c>
      <c r="M9" t="b">
        <v>0</v>
      </c>
      <c r="N9">
        <f>IFERROR(INDEX('Company Hitlist'!$AA:$AA,MATCH(D9,'Company Hitlist'!$A:$A,0)),)</f>
        <v/>
      </c>
      <c r="O9">
        <f>IFERROR(INDEX('Company Hitlist'!$N:$N,MATCH(D9,'Company Hitlist'!$A:$A,0)),)</f>
        <v/>
      </c>
      <c r="Q9" t="inlineStr">
        <is>
          <t>todo</t>
        </is>
      </c>
    </row>
    <row r="10">
      <c r="A10" t="inlineStr">
        <is>
          <t>Chris Huggins</t>
        </is>
      </c>
      <c r="B10" t="inlineStr">
        <is>
          <t>Attendee</t>
        </is>
      </c>
      <c r="C10" t="inlineStr">
        <is>
          <t>Head of Logistics and Procurement</t>
        </is>
      </c>
      <c r="D10" t="inlineStr">
        <is>
          <t>Operation BBQ Relief</t>
        </is>
      </c>
      <c r="E10" t="inlineStr">
        <is>
          <t>United States</t>
        </is>
      </c>
      <c r="H10" t="n">
        <v>34</v>
      </c>
      <c r="I10" t="b">
        <v>1</v>
      </c>
      <c r="J10" t="b">
        <v>1</v>
      </c>
      <c r="K10" t="b">
        <v>1</v>
      </c>
      <c r="L10" t="b">
        <v>1</v>
      </c>
      <c r="M10" t="b">
        <v>0</v>
      </c>
      <c r="N10">
        <f>IFERROR(INDEX('Company Hitlist'!$AA:$AA,MATCH(D10,'Company Hitlist'!$A:$A,0)),)</f>
        <v/>
      </c>
      <c r="O10">
        <f>IFERROR(INDEX('Company Hitlist'!$N:$N,MATCH(D10,'Company Hitlist'!$A:$A,0)),)</f>
        <v/>
      </c>
      <c r="Q10" t="inlineStr">
        <is>
          <t>todo</t>
        </is>
      </c>
    </row>
    <row r="11">
      <c r="A11" t="inlineStr">
        <is>
          <t>Mohamed Saleh</t>
        </is>
      </c>
      <c r="B11" t="inlineStr">
        <is>
          <t>Attendee</t>
        </is>
      </c>
      <c r="C11" t="inlineStr">
        <is>
          <t>Head of Logistics &amp; Real Estate Sourcing &amp; Supply Chain</t>
        </is>
      </c>
      <c r="D11" t="inlineStr">
        <is>
          <t>Owens Corning</t>
        </is>
      </c>
      <c r="H11" t="n">
        <v>34</v>
      </c>
      <c r="I11" t="b">
        <v>1</v>
      </c>
      <c r="J11" t="b">
        <v>1</v>
      </c>
      <c r="K11" t="b">
        <v>1</v>
      </c>
      <c r="L11" t="b">
        <v>1</v>
      </c>
      <c r="M11" t="b">
        <v>0</v>
      </c>
      <c r="N11">
        <f>IFERROR(INDEX('Company Hitlist'!$AA:$AA,MATCH(D11,'Company Hitlist'!$A:$A,0)),)</f>
        <v/>
      </c>
      <c r="O11">
        <f>IFERROR(INDEX('Company Hitlist'!$N:$N,MATCH(D11,'Company Hitlist'!$A:$A,0)),)</f>
        <v/>
      </c>
      <c r="Q11" t="inlineStr">
        <is>
          <t>todo</t>
        </is>
      </c>
    </row>
    <row r="12">
      <c r="A12" t="inlineStr">
        <is>
          <t>Miguel Miciano</t>
        </is>
      </c>
      <c r="B12" t="inlineStr">
        <is>
          <t>Attendee</t>
        </is>
      </c>
      <c r="C12" t="inlineStr">
        <is>
          <t>SVP Procurement &amp; Logistics</t>
        </is>
      </c>
      <c r="D12" t="inlineStr">
        <is>
          <t>Pomona Farming</t>
        </is>
      </c>
      <c r="H12" t="n">
        <v>34</v>
      </c>
      <c r="I12" t="b">
        <v>1</v>
      </c>
      <c r="J12" t="b">
        <v>1</v>
      </c>
      <c r="K12" t="b">
        <v>1</v>
      </c>
      <c r="L12" t="b">
        <v>1</v>
      </c>
      <c r="M12" t="b">
        <v>0</v>
      </c>
      <c r="N12">
        <f>IFERROR(INDEX('Company Hitlist'!$AA:$AA,MATCH(D12,'Company Hitlist'!$A:$A,0)),)</f>
        <v/>
      </c>
      <c r="O12">
        <f>IFERROR(INDEX('Company Hitlist'!$N:$N,MATCH(D12,'Company Hitlist'!$A:$A,0)),)</f>
        <v/>
      </c>
      <c r="Q12" t="inlineStr">
        <is>
          <t>todo</t>
        </is>
      </c>
    </row>
    <row r="13">
      <c r="A13" t="inlineStr">
        <is>
          <t>Lance Starks</t>
        </is>
      </c>
      <c r="B13" t="inlineStr">
        <is>
          <t>Attendee</t>
        </is>
      </c>
      <c r="C13" t="inlineStr">
        <is>
          <t>Vice President - Global Supply Chain &amp; Sourcing</t>
        </is>
      </c>
      <c r="D13" t="inlineStr">
        <is>
          <t>Shaw Industries</t>
        </is>
      </c>
      <c r="H13" t="n">
        <v>34</v>
      </c>
      <c r="I13" t="b">
        <v>1</v>
      </c>
      <c r="J13" t="b">
        <v>1</v>
      </c>
      <c r="K13" t="b">
        <v>1</v>
      </c>
      <c r="L13" t="b">
        <v>1</v>
      </c>
      <c r="M13" t="b">
        <v>0</v>
      </c>
      <c r="N13">
        <f>IFERROR(INDEX('Company Hitlist'!$AA:$AA,MATCH(D13,'Company Hitlist'!$A:$A,0)),)</f>
        <v/>
      </c>
      <c r="O13">
        <f>IFERROR(INDEX('Company Hitlist'!$N:$N,MATCH(D13,'Company Hitlist'!$A:$A,0)),)</f>
        <v/>
      </c>
      <c r="Q13" t="inlineStr">
        <is>
          <t>todo</t>
        </is>
      </c>
    </row>
    <row r="14">
      <c r="A14" t="inlineStr">
        <is>
          <t>Andrew Sylling</t>
        </is>
      </c>
      <c r="B14" t="inlineStr">
        <is>
          <t>Attendee</t>
        </is>
      </c>
      <c r="C14" t="inlineStr">
        <is>
          <t>Head of Procurement, Logistics North America</t>
        </is>
      </c>
      <c r="D14" t="inlineStr">
        <is>
          <t>Unilever</t>
        </is>
      </c>
      <c r="H14" t="n">
        <v>34</v>
      </c>
      <c r="I14" t="b">
        <v>1</v>
      </c>
      <c r="J14" t="b">
        <v>1</v>
      </c>
      <c r="K14" t="b">
        <v>1</v>
      </c>
      <c r="L14" t="b">
        <v>1</v>
      </c>
      <c r="M14" t="b">
        <v>0</v>
      </c>
      <c r="N14">
        <f>IFERROR(INDEX('Company Hitlist'!$AA:$AA,MATCH(D14,'Company Hitlist'!$A:$A,0)),)</f>
        <v/>
      </c>
      <c r="O14">
        <f>IFERROR(INDEX('Company Hitlist'!$N:$N,MATCH(D14,'Company Hitlist'!$A:$A,0)),)</f>
        <v/>
      </c>
      <c r="Q14" t="inlineStr">
        <is>
          <t>todo</t>
        </is>
      </c>
    </row>
    <row r="15">
      <c r="A15" t="inlineStr">
        <is>
          <t>Sarah Clarke</t>
        </is>
      </c>
      <c r="B15" t="inlineStr">
        <is>
          <t>Speaker</t>
        </is>
      </c>
      <c r="C15" t="inlineStr">
        <is>
          <t>Chief Supply Chain &amp; Technology Officer</t>
        </is>
      </c>
      <c r="D15" t="inlineStr">
        <is>
          <t>AEO Inc</t>
        </is>
      </c>
      <c r="H15" t="n">
        <v>29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>
        <f>IFERROR(INDEX('Company Hitlist'!$AA:$AA,MATCH(D15,'Company Hitlist'!$A:$A,0)),)</f>
        <v/>
      </c>
      <c r="O15">
        <f>IFERROR(INDEX('Company Hitlist'!$N:$N,MATCH(D15,'Company Hitlist'!$A:$A,0)),)</f>
        <v/>
      </c>
      <c r="Q15" t="inlineStr">
        <is>
          <t>todo</t>
        </is>
      </c>
    </row>
    <row r="16">
      <c r="A16" t="inlineStr">
        <is>
          <t>Joyce Cruts</t>
        </is>
      </c>
      <c r="B16" t="inlineStr">
        <is>
          <t>Speaker</t>
        </is>
      </c>
      <c r="C16" t="inlineStr">
        <is>
          <t>VP Supply Chain &amp; Operations</t>
        </is>
      </c>
      <c r="D16" t="inlineStr">
        <is>
          <t>Acer</t>
        </is>
      </c>
      <c r="H16" t="n">
        <v>29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>
        <f>IFERROR(INDEX('Company Hitlist'!$AA:$AA,MATCH(D16,'Company Hitlist'!$A:$A,0)),)</f>
        <v/>
      </c>
      <c r="O16">
        <f>IFERROR(INDEX('Company Hitlist'!$N:$N,MATCH(D16,'Company Hitlist'!$A:$A,0)),)</f>
        <v/>
      </c>
      <c r="Q16" t="inlineStr">
        <is>
          <t>todo</t>
        </is>
      </c>
    </row>
    <row r="17">
      <c r="A17" t="inlineStr">
        <is>
          <t>Rasheed Mohamad</t>
        </is>
      </c>
      <c r="B17" t="inlineStr">
        <is>
          <t>Speaker</t>
        </is>
      </c>
      <c r="C17" t="inlineStr">
        <is>
          <t>EVP, Global Operations &amp; Business Technology</t>
        </is>
      </c>
      <c r="D17" t="inlineStr">
        <is>
          <t>Alcatel-Lucent Enterprise</t>
        </is>
      </c>
      <c r="F17" t="inlineStr">
        <is>
          <t>Yes</t>
        </is>
      </c>
      <c r="G17" t="inlineStr">
        <is>
          <t>$1.2B (2024 est.; projected $1.3B in 2025)</t>
        </is>
      </c>
      <c r="H17" t="n">
        <v>29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>
        <f>IFERROR(INDEX('Company Hitlist'!$AA:$AA,MATCH(D17,'Company Hitlist'!$A:$A,0)),)</f>
        <v/>
      </c>
      <c r="O17">
        <f>IFERROR(INDEX('Company Hitlist'!$N:$N,MATCH(D17,'Company Hitlist'!$A:$A,0)),)</f>
        <v/>
      </c>
      <c r="Q17" t="inlineStr">
        <is>
          <t>todo</t>
        </is>
      </c>
    </row>
    <row r="18">
      <c r="A18" t="inlineStr">
        <is>
          <t>Linda Babilo</t>
        </is>
      </c>
      <c r="B18" t="inlineStr">
        <is>
          <t>Speaker</t>
        </is>
      </c>
      <c r="C18" t="inlineStr">
        <is>
          <t>Vice President, Global Supply Chain</t>
        </is>
      </c>
      <c r="D18" t="inlineStr">
        <is>
          <t>Arlon Graphics</t>
        </is>
      </c>
      <c r="H18" t="n">
        <v>29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>
        <f>IFERROR(INDEX('Company Hitlist'!$AA:$AA,MATCH(D18,'Company Hitlist'!$A:$A,0)),)</f>
        <v/>
      </c>
      <c r="O18">
        <f>IFERROR(INDEX('Company Hitlist'!$N:$N,MATCH(D18,'Company Hitlist'!$A:$A,0)),)</f>
        <v/>
      </c>
      <c r="Q18" t="inlineStr">
        <is>
          <t>todo</t>
        </is>
      </c>
    </row>
    <row r="19">
      <c r="A19" t="inlineStr">
        <is>
          <t>Gary Horsfield</t>
        </is>
      </c>
      <c r="B19" t="inlineStr">
        <is>
          <t>Speaker</t>
        </is>
      </c>
      <c r="C19" t="inlineStr">
        <is>
          <t>Chief Supply Chain Officer</t>
        </is>
      </c>
      <c r="D19" t="inlineStr">
        <is>
          <t>BIC</t>
        </is>
      </c>
      <c r="H19" t="n">
        <v>29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>
        <f>IFERROR(INDEX('Company Hitlist'!$AA:$AA,MATCH(D19,'Company Hitlist'!$A:$A,0)),)</f>
        <v/>
      </c>
      <c r="O19">
        <f>IFERROR(INDEX('Company Hitlist'!$N:$N,MATCH(D19,'Company Hitlist'!$A:$A,0)),)</f>
        <v/>
      </c>
      <c r="Q19" t="inlineStr">
        <is>
          <t>todo</t>
        </is>
      </c>
    </row>
    <row r="20">
      <c r="A20" t="inlineStr">
        <is>
          <t>Rick Duley</t>
        </is>
      </c>
      <c r="B20" t="inlineStr">
        <is>
          <t>Speaker</t>
        </is>
      </c>
      <c r="C20" t="inlineStr">
        <is>
          <t>SVP Supply Chain</t>
        </is>
      </c>
      <c r="D20" t="inlineStr">
        <is>
          <t>Babylist</t>
        </is>
      </c>
      <c r="H20" t="n">
        <v>29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>
        <f>IFERROR(INDEX('Company Hitlist'!$AA:$AA,MATCH(D20,'Company Hitlist'!$A:$A,0)),)</f>
        <v/>
      </c>
      <c r="O20">
        <f>IFERROR(INDEX('Company Hitlist'!$N:$N,MATCH(D20,'Company Hitlist'!$A:$A,0)),)</f>
        <v/>
      </c>
      <c r="Q20" t="inlineStr">
        <is>
          <t>todo</t>
        </is>
      </c>
    </row>
    <row r="21">
      <c r="A21" t="inlineStr">
        <is>
          <t>Michael Frey</t>
        </is>
      </c>
      <c r="B21" t="inlineStr">
        <is>
          <t>Speaker</t>
        </is>
      </c>
      <c r="C21" t="inlineStr">
        <is>
          <t>Chief Supply Chain Officer</t>
        </is>
      </c>
      <c r="D21" t="inlineStr">
        <is>
          <t>Beiersdorf</t>
        </is>
      </c>
      <c r="H21" t="n">
        <v>29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>
        <f>IFERROR(INDEX('Company Hitlist'!$AA:$AA,MATCH(D21,'Company Hitlist'!$A:$A,0)),)</f>
        <v/>
      </c>
      <c r="O21">
        <f>IFERROR(INDEX('Company Hitlist'!$N:$N,MATCH(D21,'Company Hitlist'!$A:$A,0)),)</f>
        <v/>
      </c>
      <c r="Q21" t="inlineStr">
        <is>
          <t>todo</t>
        </is>
      </c>
    </row>
    <row r="22">
      <c r="A22" t="inlineStr">
        <is>
          <t>Gina Seit</t>
        </is>
      </c>
      <c r="B22" t="inlineStr">
        <is>
          <t>Speaker</t>
        </is>
      </c>
      <c r="C22" t="inlineStr">
        <is>
          <t>SVP, Operations</t>
        </is>
      </c>
      <c r="D22" t="inlineStr">
        <is>
          <t>Branch Furniture</t>
        </is>
      </c>
      <c r="F22" t="inlineStr">
        <is>
          <t>Yes</t>
        </is>
      </c>
      <c r="G22" t="inlineStr">
        <is>
          <t>$10M (2024 est.; projected $12M in 2025)</t>
        </is>
      </c>
      <c r="H22" t="n">
        <v>29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>
        <f>IFERROR(INDEX('Company Hitlist'!$AA:$AA,MATCH(D22,'Company Hitlist'!$A:$A,0)),)</f>
        <v/>
      </c>
      <c r="O22">
        <f>IFERROR(INDEX('Company Hitlist'!$N:$N,MATCH(D22,'Company Hitlist'!$A:$A,0)),)</f>
        <v/>
      </c>
      <c r="Q22" t="inlineStr">
        <is>
          <t>todo</t>
        </is>
      </c>
    </row>
    <row r="23">
      <c r="A23" t="inlineStr">
        <is>
          <t>Brad Blizzard</t>
        </is>
      </c>
      <c r="B23" t="inlineStr">
        <is>
          <t>Speaker</t>
        </is>
      </c>
      <c r="C23" t="inlineStr">
        <is>
          <t>Former VP, Logistics Operations &amp; Product Delivery</t>
        </is>
      </c>
      <c r="D23" t="inlineStr">
        <is>
          <t>Bridgestone Americas</t>
        </is>
      </c>
      <c r="H23" t="n">
        <v>29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>
        <f>IFERROR(INDEX('Company Hitlist'!$AA:$AA,MATCH(D23,'Company Hitlist'!$A:$A,0)),)</f>
        <v/>
      </c>
      <c r="O23">
        <f>IFERROR(INDEX('Company Hitlist'!$N:$N,MATCH(D23,'Company Hitlist'!$A:$A,0)),)</f>
        <v/>
      </c>
      <c r="Q23" t="inlineStr">
        <is>
          <t>todo</t>
        </is>
      </c>
    </row>
    <row r="24">
      <c r="A24" t="inlineStr">
        <is>
          <t>Jeff Vertun</t>
        </is>
      </c>
      <c r="B24" t="inlineStr">
        <is>
          <t>Speaker</t>
        </is>
      </c>
      <c r="C24" t="inlineStr">
        <is>
          <t>SVP Global Supply Chain Collective</t>
        </is>
      </c>
      <c r="D24" t="inlineStr">
        <is>
          <t>CBRE</t>
        </is>
      </c>
      <c r="E24" t="inlineStr">
        <is>
          <t>United States</t>
        </is>
      </c>
      <c r="H24" t="n">
        <v>29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>
        <f>IFERROR(INDEX('Company Hitlist'!$AA:$AA,MATCH(D24,'Company Hitlist'!$A:$A,0)),)</f>
        <v/>
      </c>
      <c r="O24">
        <f>IFERROR(INDEX('Company Hitlist'!$N:$N,MATCH(D24,'Company Hitlist'!$A:$A,0)),)</f>
        <v/>
      </c>
      <c r="Q24" t="inlineStr">
        <is>
          <t>todo</t>
        </is>
      </c>
    </row>
    <row r="25">
      <c r="A25" t="inlineStr">
        <is>
          <t>Jesse Lydiatt</t>
        </is>
      </c>
      <c r="B25" t="inlineStr">
        <is>
          <t>Speaker</t>
        </is>
      </c>
      <c r="C25" t="inlineStr">
        <is>
          <t>VP Supply Chain</t>
        </is>
      </c>
      <c r="D25" t="inlineStr">
        <is>
          <t>California Innovations</t>
        </is>
      </c>
      <c r="E25" t="inlineStr">
        <is>
          <t>Canada</t>
        </is>
      </c>
      <c r="H25" t="n">
        <v>29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>
        <f>IFERROR(INDEX('Company Hitlist'!$AA:$AA,MATCH(D25,'Company Hitlist'!$A:$A,0)),)</f>
        <v/>
      </c>
      <c r="O25">
        <f>IFERROR(INDEX('Company Hitlist'!$N:$N,MATCH(D25,'Company Hitlist'!$A:$A,0)),)</f>
        <v/>
      </c>
      <c r="Q25" t="inlineStr">
        <is>
          <t>todo</t>
        </is>
      </c>
    </row>
    <row r="26">
      <c r="A26" t="inlineStr">
        <is>
          <t>Marc Kalmes</t>
        </is>
      </c>
      <c r="B26" t="inlineStr">
        <is>
          <t>Speaker</t>
        </is>
      </c>
      <c r="C26" t="inlineStr">
        <is>
          <t>SVP Global Supply Chain</t>
        </is>
      </c>
      <c r="D26" t="inlineStr">
        <is>
          <t>ChampionX</t>
        </is>
      </c>
      <c r="H26" t="n">
        <v>29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>
        <f>IFERROR(INDEX('Company Hitlist'!$AA:$AA,MATCH(D26,'Company Hitlist'!$A:$A,0)),)</f>
        <v/>
      </c>
      <c r="O26">
        <f>IFERROR(INDEX('Company Hitlist'!$N:$N,MATCH(D26,'Company Hitlist'!$A:$A,0)),)</f>
        <v/>
      </c>
      <c r="Q26" t="inlineStr">
        <is>
          <t>todo</t>
        </is>
      </c>
    </row>
    <row r="27">
      <c r="A27" t="inlineStr">
        <is>
          <t>Carlos Ruiz</t>
        </is>
      </c>
      <c r="B27" t="inlineStr">
        <is>
          <t>Speaker</t>
        </is>
      </c>
      <c r="C27" t="inlineStr">
        <is>
          <t>EVP, Chief Supply Chain Officer</t>
        </is>
      </c>
      <c r="D27" t="inlineStr">
        <is>
          <t>Church &amp; Dwight</t>
        </is>
      </c>
      <c r="H27" t="n">
        <v>29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>
        <f>IFERROR(INDEX('Company Hitlist'!$AA:$AA,MATCH(D27,'Company Hitlist'!$A:$A,0)),)</f>
        <v/>
      </c>
      <c r="O27">
        <f>IFERROR(INDEX('Company Hitlist'!$N:$N,MATCH(D27,'Company Hitlist'!$A:$A,0)),)</f>
        <v/>
      </c>
      <c r="Q27" t="inlineStr">
        <is>
          <t>todo</t>
        </is>
      </c>
    </row>
    <row r="28">
      <c r="A28" t="inlineStr">
        <is>
          <t>Amalia Londono</t>
        </is>
      </c>
      <c r="B28" t="inlineStr">
        <is>
          <t>Speaker</t>
        </is>
      </c>
      <c r="C28" t="inlineStr">
        <is>
          <t>EVP End to End Supply Chain North America</t>
        </is>
      </c>
      <c r="D28" t="inlineStr">
        <is>
          <t>Colgate-Palmolive</t>
        </is>
      </c>
      <c r="E28" t="inlineStr">
        <is>
          <t>United States</t>
        </is>
      </c>
      <c r="H28" t="n">
        <v>29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>
        <f>IFERROR(INDEX('Company Hitlist'!$AA:$AA,MATCH(D28,'Company Hitlist'!$A:$A,0)),)</f>
        <v/>
      </c>
      <c r="O28">
        <f>IFERROR(INDEX('Company Hitlist'!$N:$N,MATCH(D28,'Company Hitlist'!$A:$A,0)),)</f>
        <v/>
      </c>
      <c r="Q28" t="inlineStr">
        <is>
          <t>todo</t>
        </is>
      </c>
    </row>
    <row r="29">
      <c r="A29" t="inlineStr">
        <is>
          <t>Rick Goe</t>
        </is>
      </c>
      <c r="B29" t="inlineStr">
        <is>
          <t>Speaker</t>
        </is>
      </c>
      <c r="C29" t="inlineStr">
        <is>
          <t>SVP, Supply Chain</t>
        </is>
      </c>
      <c r="D29" t="inlineStr">
        <is>
          <t>Distribution Management</t>
        </is>
      </c>
      <c r="H29" t="n">
        <v>29</v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>
        <f>IFERROR(INDEX('Company Hitlist'!$AA:$AA,MATCH(D29,'Company Hitlist'!$A:$A,0)),)</f>
        <v/>
      </c>
      <c r="O29">
        <f>IFERROR(INDEX('Company Hitlist'!$N:$N,MATCH(D29,'Company Hitlist'!$A:$A,0)),)</f>
        <v/>
      </c>
      <c r="Q29" t="inlineStr">
        <is>
          <t>todo</t>
        </is>
      </c>
    </row>
    <row r="30">
      <c r="A30" t="inlineStr">
        <is>
          <t>Rod West</t>
        </is>
      </c>
      <c r="B30" t="inlineStr">
        <is>
          <t>Speaker</t>
        </is>
      </c>
      <c r="C30" t="inlineStr">
        <is>
          <t>EVP, Global Supply Chain</t>
        </is>
      </c>
      <c r="D30" t="inlineStr">
        <is>
          <t>Dollar General</t>
        </is>
      </c>
      <c r="H30" t="n">
        <v>29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>
        <f>IFERROR(INDEX('Company Hitlist'!$AA:$AA,MATCH(D30,'Company Hitlist'!$A:$A,0)),)</f>
        <v/>
      </c>
      <c r="O30">
        <f>IFERROR(INDEX('Company Hitlist'!$N:$N,MATCH(D30,'Company Hitlist'!$A:$A,0)),)</f>
        <v/>
      </c>
      <c r="Q30" t="inlineStr">
        <is>
          <t>todo</t>
        </is>
      </c>
    </row>
    <row r="31">
      <c r="A31" t="inlineStr">
        <is>
          <t>Toni Buhrke</t>
        </is>
      </c>
      <c r="B31" t="inlineStr">
        <is>
          <t>Speaker</t>
        </is>
      </c>
      <c r="C31" t="inlineStr">
        <is>
          <t>VP of Engineering and Operations</t>
        </is>
      </c>
      <c r="D31" t="inlineStr">
        <is>
          <t>Dot Ai</t>
        </is>
      </c>
      <c r="F31" t="inlineStr">
        <is>
          <t>Yes</t>
        </is>
      </c>
      <c r="H31" t="n">
        <v>29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>
        <f>IFERROR(INDEX('Company Hitlist'!$AA:$AA,MATCH(D31,'Company Hitlist'!$A:$A,0)),)</f>
        <v/>
      </c>
      <c r="O31">
        <f>IFERROR(INDEX('Company Hitlist'!$N:$N,MATCH(D31,'Company Hitlist'!$A:$A,0)),)</f>
        <v/>
      </c>
      <c r="Q31" t="inlineStr">
        <is>
          <t>todo</t>
        </is>
      </c>
    </row>
    <row r="32">
      <c r="A32" t="inlineStr">
        <is>
          <t>Miguel Martins da Silva</t>
        </is>
      </c>
      <c r="B32" t="inlineStr">
        <is>
          <t>Speaker</t>
        </is>
      </c>
      <c r="C32" t="inlineStr">
        <is>
          <t>Group Chief Supply Chain Officer</t>
        </is>
      </c>
      <c r="D32" t="inlineStr">
        <is>
          <t>Dr. Max BDC</t>
        </is>
      </c>
      <c r="H32" t="n">
        <v>29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>
        <f>IFERROR(INDEX('Company Hitlist'!$AA:$AA,MATCH(D32,'Company Hitlist'!$A:$A,0)),)</f>
        <v/>
      </c>
      <c r="O32">
        <f>IFERROR(INDEX('Company Hitlist'!$N:$N,MATCH(D32,'Company Hitlist'!$A:$A,0)),)</f>
        <v/>
      </c>
      <c r="Q32" t="inlineStr">
        <is>
          <t>todo</t>
        </is>
      </c>
    </row>
    <row r="33">
      <c r="A33" t="inlineStr">
        <is>
          <t>Sachin Mariguddi</t>
        </is>
      </c>
      <c r="B33" t="inlineStr">
        <is>
          <t>Speaker</t>
        </is>
      </c>
      <c r="C33" t="inlineStr">
        <is>
          <t>Chief Supply Chain Officer, Americas</t>
        </is>
      </c>
      <c r="D33" t="inlineStr">
        <is>
          <t>Elida Beauty</t>
        </is>
      </c>
      <c r="H33" t="n">
        <v>29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>
        <f>IFERROR(INDEX('Company Hitlist'!$AA:$AA,MATCH(D33,'Company Hitlist'!$A:$A,0)),)</f>
        <v/>
      </c>
      <c r="O33">
        <f>IFERROR(INDEX('Company Hitlist'!$N:$N,MATCH(D33,'Company Hitlist'!$A:$A,0)),)</f>
        <v/>
      </c>
      <c r="Q33" t="inlineStr">
        <is>
          <t>todo</t>
        </is>
      </c>
    </row>
    <row r="34">
      <c r="A34" t="inlineStr">
        <is>
          <t>Julian VanErlach</t>
        </is>
      </c>
      <c r="B34" t="inlineStr">
        <is>
          <t>Speaker</t>
        </is>
      </c>
      <c r="C34" t="inlineStr">
        <is>
          <t>SVP, Global Supply Chain &amp; Customer Service</t>
        </is>
      </c>
      <c r="D34" t="inlineStr">
        <is>
          <t>FabFitFun</t>
        </is>
      </c>
      <c r="H34" t="n">
        <v>29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>
        <f>IFERROR(INDEX('Company Hitlist'!$AA:$AA,MATCH(D34,'Company Hitlist'!$A:$A,0)),)</f>
        <v/>
      </c>
      <c r="O34">
        <f>IFERROR(INDEX('Company Hitlist'!$N:$N,MATCH(D34,'Company Hitlist'!$A:$A,0)),)</f>
        <v/>
      </c>
      <c r="Q34" t="inlineStr">
        <is>
          <t>todo</t>
        </is>
      </c>
    </row>
    <row r="35">
      <c r="A35" t="inlineStr">
        <is>
          <t>Michael Gambino</t>
        </is>
      </c>
      <c r="B35" t="inlineStr">
        <is>
          <t>Speaker</t>
        </is>
      </c>
      <c r="C35" t="inlineStr">
        <is>
          <t>VP Operations</t>
        </is>
      </c>
      <c r="D35" t="inlineStr">
        <is>
          <t>Fasteners Inc</t>
        </is>
      </c>
      <c r="F35" t="inlineStr">
        <is>
          <t>Yes</t>
        </is>
      </c>
      <c r="G35" t="inlineStr">
        <is>
          <t>$50M (2024 est.; projected $55M in 2025)</t>
        </is>
      </c>
      <c r="H35" t="n">
        <v>29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>
        <f>IFERROR(INDEX('Company Hitlist'!$AA:$AA,MATCH(D35,'Company Hitlist'!$A:$A,0)),)</f>
        <v/>
      </c>
      <c r="O35">
        <f>IFERROR(INDEX('Company Hitlist'!$N:$N,MATCH(D35,'Company Hitlist'!$A:$A,0)),)</f>
        <v/>
      </c>
      <c r="Q35" t="inlineStr">
        <is>
          <t>todo</t>
        </is>
      </c>
    </row>
    <row r="36">
      <c r="A36" t="inlineStr">
        <is>
          <t>Rebecca Linz</t>
        </is>
      </c>
      <c r="B36" t="inlineStr">
        <is>
          <t>Speaker</t>
        </is>
      </c>
      <c r="C36" t="inlineStr">
        <is>
          <t>VP of Supply Chain</t>
        </is>
      </c>
      <c r="D36" t="inlineStr">
        <is>
          <t>Force of Nature Meats</t>
        </is>
      </c>
      <c r="H36" t="n">
        <v>29</v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>
        <f>IFERROR(INDEX('Company Hitlist'!$AA:$AA,MATCH(D36,'Company Hitlist'!$A:$A,0)),)</f>
        <v/>
      </c>
      <c r="O36">
        <f>IFERROR(INDEX('Company Hitlist'!$N:$N,MATCH(D36,'Company Hitlist'!$A:$A,0)),)</f>
        <v/>
      </c>
      <c r="Q36" t="inlineStr">
        <is>
          <t>todo</t>
        </is>
      </c>
    </row>
    <row r="37">
      <c r="A37" t="inlineStr">
        <is>
          <t>Douglas Cantriel</t>
        </is>
      </c>
      <c r="B37" t="inlineStr">
        <is>
          <t>Speaker</t>
        </is>
      </c>
      <c r="C37" t="inlineStr">
        <is>
          <t>Head of North American Transportation &amp; Modernization</t>
        </is>
      </c>
      <c r="D37" t="inlineStr">
        <is>
          <t>Ford Motor Company</t>
        </is>
      </c>
      <c r="H37" t="n">
        <v>29</v>
      </c>
      <c r="I37" t="b">
        <v>1</v>
      </c>
      <c r="J37" t="b">
        <v>1</v>
      </c>
      <c r="K37" t="b">
        <v>1</v>
      </c>
      <c r="L37" t="b">
        <v>0</v>
      </c>
      <c r="M37" t="b">
        <v>0</v>
      </c>
      <c r="N37">
        <f>IFERROR(INDEX('Company Hitlist'!$AA:$AA,MATCH(D37,'Company Hitlist'!$A:$A,0)),)</f>
        <v/>
      </c>
      <c r="O37">
        <f>IFERROR(INDEX('Company Hitlist'!$N:$N,MATCH(D37,'Company Hitlist'!$A:$A,0)),)</f>
        <v/>
      </c>
      <c r="Q37" t="inlineStr">
        <is>
          <t>todo</t>
        </is>
      </c>
    </row>
    <row r="38">
      <c r="A38" t="inlineStr">
        <is>
          <t>Jamie Saucedo</t>
        </is>
      </c>
      <c r="B38" t="inlineStr">
        <is>
          <t>Speaker</t>
        </is>
      </c>
      <c r="C38" t="inlineStr">
        <is>
          <t>Vice President, Business Operations</t>
        </is>
      </c>
      <c r="D38" t="inlineStr">
        <is>
          <t>GXO</t>
        </is>
      </c>
      <c r="F38" t="inlineStr">
        <is>
          <t>Yes</t>
        </is>
      </c>
      <c r="G38" t="inlineStr">
        <is>
          <t>$10.4B (2024; projected $11B in 2025)</t>
        </is>
      </c>
      <c r="H38" t="n">
        <v>29</v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>
        <f>IFERROR(INDEX('Company Hitlist'!$AA:$AA,MATCH(D38,'Company Hitlist'!$A:$A,0)),)</f>
        <v/>
      </c>
      <c r="O38">
        <f>IFERROR(INDEX('Company Hitlist'!$N:$N,MATCH(D38,'Company Hitlist'!$A:$A,0)),)</f>
        <v/>
      </c>
      <c r="Q38" t="inlineStr">
        <is>
          <t>todo</t>
        </is>
      </c>
    </row>
    <row r="39">
      <c r="A39" t="inlineStr">
        <is>
          <t>Mohamed El Shami</t>
        </is>
      </c>
      <c r="B39" t="inlineStr">
        <is>
          <t>Speaker</t>
        </is>
      </c>
      <c r="C39" t="inlineStr">
        <is>
          <t>Chief Supply Chain Officer</t>
        </is>
      </c>
      <c r="D39" t="inlineStr">
        <is>
          <t>Garlock Printing &amp; Converting</t>
        </is>
      </c>
      <c r="H39" t="n">
        <v>29</v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>
        <f>IFERROR(INDEX('Company Hitlist'!$AA:$AA,MATCH(D39,'Company Hitlist'!$A:$A,0)),)</f>
        <v/>
      </c>
      <c r="O39">
        <f>IFERROR(INDEX('Company Hitlist'!$N:$N,MATCH(D39,'Company Hitlist'!$A:$A,0)),)</f>
        <v/>
      </c>
      <c r="Q39" t="inlineStr">
        <is>
          <t>todo</t>
        </is>
      </c>
    </row>
    <row r="40">
      <c r="A40" t="inlineStr">
        <is>
          <t>Christopher Longhito</t>
        </is>
      </c>
      <c r="B40" t="inlineStr">
        <is>
          <t>Speaker</t>
        </is>
      </c>
      <c r="C40" t="inlineStr">
        <is>
          <t>SVP &amp; Chief Supply Chain Officer</t>
        </is>
      </c>
      <c r="D40" t="inlineStr">
        <is>
          <t>Global Industrial Company</t>
        </is>
      </c>
      <c r="H40" t="n">
        <v>29</v>
      </c>
      <c r="I40" t="b">
        <v>1</v>
      </c>
      <c r="J40" t="b">
        <v>1</v>
      </c>
      <c r="K40" t="b">
        <v>1</v>
      </c>
      <c r="L40" t="b">
        <v>0</v>
      </c>
      <c r="M40" t="b">
        <v>0</v>
      </c>
      <c r="N40">
        <f>IFERROR(INDEX('Company Hitlist'!$AA:$AA,MATCH(D40,'Company Hitlist'!$A:$A,0)),)</f>
        <v/>
      </c>
      <c r="O40">
        <f>IFERROR(INDEX('Company Hitlist'!$N:$N,MATCH(D40,'Company Hitlist'!$A:$A,0)),)</f>
        <v/>
      </c>
      <c r="Q40" t="inlineStr">
        <is>
          <t>todo</t>
        </is>
      </c>
    </row>
    <row r="41">
      <c r="A41" t="inlineStr">
        <is>
          <t>Kinta Gates</t>
        </is>
      </c>
      <c r="B41" t="inlineStr">
        <is>
          <t>Speaker</t>
        </is>
      </c>
      <c r="C41" t="inlineStr">
        <is>
          <t>VP, Supply Chain and Operations</t>
        </is>
      </c>
      <c r="D41" t="inlineStr">
        <is>
          <t>Glossier</t>
        </is>
      </c>
      <c r="E41" t="inlineStr">
        <is>
          <t>United States</t>
        </is>
      </c>
      <c r="H41" t="n">
        <v>29</v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>
        <f>IFERROR(INDEX('Company Hitlist'!$AA:$AA,MATCH(D41,'Company Hitlist'!$A:$A,0)),)</f>
        <v/>
      </c>
      <c r="O41">
        <f>IFERROR(INDEX('Company Hitlist'!$N:$N,MATCH(D41,'Company Hitlist'!$A:$A,0)),)</f>
        <v/>
      </c>
      <c r="Q41" t="inlineStr">
        <is>
          <t>todo</t>
        </is>
      </c>
    </row>
    <row r="42">
      <c r="A42" t="inlineStr">
        <is>
          <t>Ian Kinne</t>
        </is>
      </c>
      <c r="B42" t="inlineStr">
        <is>
          <t>Speaker</t>
        </is>
      </c>
      <c r="C42" t="inlineStr">
        <is>
          <t>Vice President, Logistics Innovation &amp; Investments</t>
        </is>
      </c>
      <c r="D42" t="inlineStr">
        <is>
          <t>Hillwood, a Perot Company</t>
        </is>
      </c>
      <c r="H42" t="n">
        <v>29</v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>
        <f>IFERROR(INDEX('Company Hitlist'!$AA:$AA,MATCH(D42,'Company Hitlist'!$A:$A,0)),)</f>
        <v/>
      </c>
      <c r="O42">
        <f>IFERROR(INDEX('Company Hitlist'!$N:$N,MATCH(D42,'Company Hitlist'!$A:$A,0)),)</f>
        <v/>
      </c>
      <c r="Q42" t="inlineStr">
        <is>
          <t>todo</t>
        </is>
      </c>
    </row>
    <row r="43">
      <c r="A43" t="inlineStr">
        <is>
          <t>Ajay Singh</t>
        </is>
      </c>
      <c r="B43" t="inlineStr">
        <is>
          <t>Speaker</t>
        </is>
      </c>
      <c r="C43" t="inlineStr">
        <is>
          <t>Chief Supply Chain Officer</t>
        </is>
      </c>
      <c r="D43" t="inlineStr">
        <is>
          <t>Hindustan Platinum</t>
        </is>
      </c>
      <c r="H43" t="n">
        <v>29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>
        <f>IFERROR(INDEX('Company Hitlist'!$AA:$AA,MATCH(D43,'Company Hitlist'!$A:$A,0)),)</f>
        <v/>
      </c>
      <c r="O43">
        <f>IFERROR(INDEX('Company Hitlist'!$N:$N,MATCH(D43,'Company Hitlist'!$A:$A,0)),)</f>
        <v/>
      </c>
      <c r="Q43" t="inlineStr">
        <is>
          <t>todo</t>
        </is>
      </c>
    </row>
    <row r="44">
      <c r="A44" t="inlineStr">
        <is>
          <t>Amanda Lorenz</t>
        </is>
      </c>
      <c r="B44" t="inlineStr">
        <is>
          <t>Speaker</t>
        </is>
      </c>
      <c r="C44" t="inlineStr">
        <is>
          <t>EVP, Operations</t>
        </is>
      </c>
      <c r="D44" t="inlineStr">
        <is>
          <t>Hugh &amp; Grace</t>
        </is>
      </c>
      <c r="F44" t="inlineStr">
        <is>
          <t>Yes</t>
        </is>
      </c>
      <c r="H44" t="n">
        <v>29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>
        <f>IFERROR(INDEX('Company Hitlist'!$AA:$AA,MATCH(D44,'Company Hitlist'!$A:$A,0)),)</f>
        <v/>
      </c>
      <c r="O44">
        <f>IFERROR(INDEX('Company Hitlist'!$N:$N,MATCH(D44,'Company Hitlist'!$A:$A,0)),)</f>
        <v/>
      </c>
      <c r="Q44" t="inlineStr">
        <is>
          <t>todo</t>
        </is>
      </c>
    </row>
    <row r="45">
      <c r="A45" t="inlineStr">
        <is>
          <t>Mike Herber</t>
        </is>
      </c>
      <c r="B45" t="inlineStr">
        <is>
          <t>Speaker</t>
        </is>
      </c>
      <c r="C45" t="inlineStr">
        <is>
          <t>VP, Supply Chain Solutions</t>
        </is>
      </c>
      <c r="D45" t="inlineStr">
        <is>
          <t>Infor</t>
        </is>
      </c>
      <c r="H45" t="n">
        <v>29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>
        <f>IFERROR(INDEX('Company Hitlist'!$AA:$AA,MATCH(D45,'Company Hitlist'!$A:$A,0)),)</f>
        <v/>
      </c>
      <c r="O45">
        <f>IFERROR(INDEX('Company Hitlist'!$N:$N,MATCH(D45,'Company Hitlist'!$A:$A,0)),)</f>
        <v/>
      </c>
      <c r="Q45" t="inlineStr">
        <is>
          <t>todo</t>
        </is>
      </c>
    </row>
    <row r="46">
      <c r="A46" t="inlineStr">
        <is>
          <t>Wendy Spratt</t>
        </is>
      </c>
      <c r="B46" t="inlineStr">
        <is>
          <t>Speaker</t>
        </is>
      </c>
      <c r="C46" t="inlineStr">
        <is>
          <t>Head of Global Supply Chain</t>
        </is>
      </c>
      <c r="D46" t="inlineStr">
        <is>
          <t>Intel</t>
        </is>
      </c>
      <c r="H46" t="n">
        <v>29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>
        <f>IFERROR(INDEX('Company Hitlist'!$AA:$AA,MATCH(D46,'Company Hitlist'!$A:$A,0)),)</f>
        <v/>
      </c>
      <c r="O46">
        <f>IFERROR(INDEX('Company Hitlist'!$N:$N,MATCH(D46,'Company Hitlist'!$A:$A,0)),)</f>
        <v/>
      </c>
      <c r="Q46" t="inlineStr">
        <is>
          <t>todo</t>
        </is>
      </c>
    </row>
    <row r="47">
      <c r="A47" t="inlineStr">
        <is>
          <t>Bineetha Balakrishnan</t>
        </is>
      </c>
      <c r="B47" t="inlineStr">
        <is>
          <t>Speaker</t>
        </is>
      </c>
      <c r="C47" t="inlineStr">
        <is>
          <t>VP, Global Transportation &amp; Trade Operations</t>
        </is>
      </c>
      <c r="D47" t="inlineStr">
        <is>
          <t>Johnson &amp; Johnson</t>
        </is>
      </c>
      <c r="F47" t="inlineStr">
        <is>
          <t>Yes</t>
        </is>
      </c>
      <c r="G47" t="inlineStr">
        <is>
          <t>$85B (2024; projected $88B in 2025)</t>
        </is>
      </c>
      <c r="H47" t="n">
        <v>29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>
        <f>IFERROR(INDEX('Company Hitlist'!$AA:$AA,MATCH(D47,'Company Hitlist'!$A:$A,0)),)</f>
        <v/>
      </c>
      <c r="O47">
        <f>IFERROR(INDEX('Company Hitlist'!$N:$N,MATCH(D47,'Company Hitlist'!$A:$A,0)),)</f>
        <v/>
      </c>
      <c r="Q47" t="inlineStr">
        <is>
          <t>todo</t>
        </is>
      </c>
    </row>
    <row r="48">
      <c r="A48" t="inlineStr">
        <is>
          <t>Martijn Cillessen</t>
        </is>
      </c>
      <c r="B48" t="inlineStr">
        <is>
          <t>Speaker</t>
        </is>
      </c>
      <c r="C48" t="inlineStr">
        <is>
          <t>General Manager Supply Chain Management</t>
        </is>
      </c>
      <c r="D48" t="inlineStr">
        <is>
          <t>KYOCERA Document Solutions Europe Management BV</t>
        </is>
      </c>
      <c r="E48" t="inlineStr">
        <is>
          <t>Netherlands</t>
        </is>
      </c>
      <c r="H48" t="n">
        <v>29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>
        <f>IFERROR(INDEX('Company Hitlist'!$AA:$AA,MATCH(D48,'Company Hitlist'!$A:$A,0)),)</f>
        <v/>
      </c>
      <c r="O48">
        <f>IFERROR(INDEX('Company Hitlist'!$N:$N,MATCH(D48,'Company Hitlist'!$A:$A,0)),)</f>
        <v/>
      </c>
      <c r="Q48" t="inlineStr">
        <is>
          <t>todo</t>
        </is>
      </c>
    </row>
    <row r="49">
      <c r="A49" t="inlineStr">
        <is>
          <t>Meri Stevens</t>
        </is>
      </c>
      <c r="B49" t="inlineStr">
        <is>
          <t>Speaker</t>
        </is>
      </c>
      <c r="C49" t="inlineStr">
        <is>
          <t>Chief Operations Officer</t>
        </is>
      </c>
      <c r="D49" t="inlineStr">
        <is>
          <t>Kenvue</t>
        </is>
      </c>
      <c r="F49" t="inlineStr">
        <is>
          <t>Yes</t>
        </is>
      </c>
      <c r="G49" t="inlineStr">
        <is>
          <t>$15.5B (2024; projected $16B in 2025)</t>
        </is>
      </c>
      <c r="H49" t="n">
        <v>29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>
        <f>IFERROR(INDEX('Company Hitlist'!$AA:$AA,MATCH(D49,'Company Hitlist'!$A:$A,0)),)</f>
        <v/>
      </c>
      <c r="O49">
        <f>IFERROR(INDEX('Company Hitlist'!$N:$N,MATCH(D49,'Company Hitlist'!$A:$A,0)),)</f>
        <v/>
      </c>
      <c r="Q49" t="inlineStr">
        <is>
          <t>todo</t>
        </is>
      </c>
    </row>
    <row r="50">
      <c r="A50" t="inlineStr">
        <is>
          <t>Jimmy Cummings</t>
        </is>
      </c>
      <c r="B50" t="inlineStr">
        <is>
          <t>Speaker</t>
        </is>
      </c>
      <c r="C50" t="inlineStr">
        <is>
          <t>Vice President, Operations</t>
        </is>
      </c>
      <c r="D50" t="inlineStr">
        <is>
          <t>Kosas</t>
        </is>
      </c>
      <c r="F50" t="inlineStr">
        <is>
          <t>Yes</t>
        </is>
      </c>
      <c r="G50" t="inlineStr">
        <is>
          <t>$50M (2024 est.; projected $55M in 2025)</t>
        </is>
      </c>
      <c r="H50" t="n">
        <v>29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>
        <f>IFERROR(INDEX('Company Hitlist'!$AA:$AA,MATCH(D50,'Company Hitlist'!$A:$A,0)),)</f>
        <v/>
      </c>
      <c r="O50">
        <f>IFERROR(INDEX('Company Hitlist'!$N:$N,MATCH(D50,'Company Hitlist'!$A:$A,0)),)</f>
        <v/>
      </c>
      <c r="Q50" t="inlineStr">
        <is>
          <t>todo</t>
        </is>
      </c>
    </row>
    <row r="51">
      <c r="A51" t="inlineStr">
        <is>
          <t>Sacni Leon</t>
        </is>
      </c>
      <c r="B51" t="inlineStr">
        <is>
          <t>Speaker</t>
        </is>
      </c>
      <c r="C51" t="inlineStr">
        <is>
          <t>Head of DTX Ops, Reverse Logistics &amp; Circularity Operations</t>
        </is>
      </c>
      <c r="D51" t="inlineStr">
        <is>
          <t>Logitech</t>
        </is>
      </c>
      <c r="E51" t="inlineStr">
        <is>
          <t>United States</t>
        </is>
      </c>
      <c r="H51" t="n">
        <v>29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>
        <f>IFERROR(INDEX('Company Hitlist'!$AA:$AA,MATCH(D51,'Company Hitlist'!$A:$A,0)),)</f>
        <v/>
      </c>
      <c r="O51">
        <f>IFERROR(INDEX('Company Hitlist'!$N:$N,MATCH(D51,'Company Hitlist'!$A:$A,0)),)</f>
        <v/>
      </c>
      <c r="Q51" t="inlineStr">
        <is>
          <t>todo</t>
        </is>
      </c>
    </row>
    <row r="52">
      <c r="A52" t="inlineStr">
        <is>
          <t>David Chen</t>
        </is>
      </c>
      <c r="B52" t="inlineStr">
        <is>
          <t>Speaker</t>
        </is>
      </c>
      <c r="C52" t="inlineStr">
        <is>
          <t>Chief Supply Chain Officer</t>
        </is>
      </c>
      <c r="D52" t="inlineStr">
        <is>
          <t>Mark Cuban Cost Plus Drug Company, PBC</t>
        </is>
      </c>
      <c r="H52" t="n">
        <v>29</v>
      </c>
      <c r="I52" t="b">
        <v>1</v>
      </c>
      <c r="J52" t="b">
        <v>1</v>
      </c>
      <c r="K52" t="b">
        <v>1</v>
      </c>
      <c r="L52" t="b">
        <v>0</v>
      </c>
      <c r="M52" t="b">
        <v>0</v>
      </c>
      <c r="N52">
        <f>IFERROR(INDEX('Company Hitlist'!$AA:$AA,MATCH(D52,'Company Hitlist'!$A:$A,0)),)</f>
        <v/>
      </c>
      <c r="O52">
        <f>IFERROR(INDEX('Company Hitlist'!$N:$N,MATCH(D52,'Company Hitlist'!$A:$A,0)),)</f>
        <v/>
      </c>
      <c r="Q52" t="inlineStr">
        <is>
          <t>todo</t>
        </is>
      </c>
    </row>
    <row r="53">
      <c r="A53" t="inlineStr">
        <is>
          <t>Mark Aquilina</t>
        </is>
      </c>
      <c r="B53" t="inlineStr">
        <is>
          <t>Speaker</t>
        </is>
      </c>
      <c r="C53" t="inlineStr">
        <is>
          <t>Global Head B2B Transportation</t>
        </is>
      </c>
      <c r="D53" t="inlineStr">
        <is>
          <t>Mastercard</t>
        </is>
      </c>
      <c r="H53" t="n">
        <v>29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>
        <f>IFERROR(INDEX('Company Hitlist'!$AA:$AA,MATCH(D53,'Company Hitlist'!$A:$A,0)),)</f>
        <v/>
      </c>
      <c r="O53">
        <f>IFERROR(INDEX('Company Hitlist'!$N:$N,MATCH(D53,'Company Hitlist'!$A:$A,0)),)</f>
        <v/>
      </c>
      <c r="Q53" t="inlineStr">
        <is>
          <t>todo</t>
        </is>
      </c>
    </row>
    <row r="54">
      <c r="A54" t="inlineStr">
        <is>
          <t>Bob Stewart</t>
        </is>
      </c>
      <c r="B54" t="inlineStr">
        <is>
          <t>Speaker</t>
        </is>
      </c>
      <c r="C54" t="inlineStr">
        <is>
          <t>Former SVP &amp; Chief Supply Chain Officer NA</t>
        </is>
      </c>
      <c r="D54" t="inlineStr">
        <is>
          <t>McDonald's</t>
        </is>
      </c>
      <c r="H54" t="n">
        <v>29</v>
      </c>
      <c r="I54" t="b">
        <v>1</v>
      </c>
      <c r="J54" t="b">
        <v>1</v>
      </c>
      <c r="K54" t="b">
        <v>1</v>
      </c>
      <c r="L54" t="b">
        <v>0</v>
      </c>
      <c r="M54" t="b">
        <v>0</v>
      </c>
      <c r="N54">
        <f>IFERROR(INDEX('Company Hitlist'!$AA:$AA,MATCH(D54,'Company Hitlist'!$A:$A,0)),)</f>
        <v/>
      </c>
      <c r="O54">
        <f>IFERROR(INDEX('Company Hitlist'!$N:$N,MATCH(D54,'Company Hitlist'!$A:$A,0)),)</f>
        <v/>
      </c>
      <c r="Q54" t="inlineStr">
        <is>
          <t>todo</t>
        </is>
      </c>
    </row>
    <row r="55">
      <c r="A55" t="inlineStr">
        <is>
          <t>Dov Shenkman</t>
        </is>
      </c>
      <c r="B55" t="inlineStr">
        <is>
          <t>Speaker</t>
        </is>
      </c>
      <c r="C55" t="inlineStr">
        <is>
          <t>Former VP of Global Supply Chain</t>
        </is>
      </c>
      <c r="D55" t="inlineStr">
        <is>
          <t>Medtronic</t>
        </is>
      </c>
      <c r="H55" t="n">
        <v>29</v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>
        <f>IFERROR(INDEX('Company Hitlist'!$AA:$AA,MATCH(D55,'Company Hitlist'!$A:$A,0)),)</f>
        <v/>
      </c>
      <c r="O55">
        <f>IFERROR(INDEX('Company Hitlist'!$N:$N,MATCH(D55,'Company Hitlist'!$A:$A,0)),)</f>
        <v/>
      </c>
      <c r="Q55" t="inlineStr">
        <is>
          <t>todo</t>
        </is>
      </c>
    </row>
    <row r="56">
      <c r="A56" t="inlineStr">
        <is>
          <t>Jeff Davidson</t>
        </is>
      </c>
      <c r="B56" t="inlineStr">
        <is>
          <t>Speaker</t>
        </is>
      </c>
      <c r="C56" t="inlineStr">
        <is>
          <t>General Manager, Global Devices Customer Supply Chain</t>
        </is>
      </c>
      <c r="D56" t="inlineStr">
        <is>
          <t>Microsoft</t>
        </is>
      </c>
      <c r="H56" t="n">
        <v>29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>
        <f>IFERROR(INDEX('Company Hitlist'!$AA:$AA,MATCH(D56,'Company Hitlist'!$A:$A,0)),)</f>
        <v/>
      </c>
      <c r="O56">
        <f>IFERROR(INDEX('Company Hitlist'!$N:$N,MATCH(D56,'Company Hitlist'!$A:$A,0)),)</f>
        <v/>
      </c>
      <c r="Q56" t="inlineStr">
        <is>
          <t>todo</t>
        </is>
      </c>
    </row>
    <row r="57">
      <c r="A57" t="inlineStr">
        <is>
          <t>Neil Neufeld</t>
        </is>
      </c>
      <c r="B57" t="inlineStr">
        <is>
          <t>Speaker</t>
        </is>
      </c>
      <c r="C57" t="inlineStr">
        <is>
          <t>Chief Supply Chain Officer</t>
        </is>
      </c>
      <c r="D57" t="inlineStr">
        <is>
          <t>Misfits Market</t>
        </is>
      </c>
      <c r="H57" t="n">
        <v>29</v>
      </c>
      <c r="I57" t="b">
        <v>1</v>
      </c>
      <c r="J57" t="b">
        <v>1</v>
      </c>
      <c r="K57" t="b">
        <v>1</v>
      </c>
      <c r="L57" t="b">
        <v>0</v>
      </c>
      <c r="M57" t="b">
        <v>0</v>
      </c>
      <c r="N57">
        <f>IFERROR(INDEX('Company Hitlist'!$AA:$AA,MATCH(D57,'Company Hitlist'!$A:$A,0)),)</f>
        <v/>
      </c>
      <c r="O57">
        <f>IFERROR(INDEX('Company Hitlist'!$N:$N,MATCH(D57,'Company Hitlist'!$A:$A,0)),)</f>
        <v/>
      </c>
      <c r="Q57" t="inlineStr">
        <is>
          <t>todo</t>
        </is>
      </c>
    </row>
    <row r="58">
      <c r="A58" t="inlineStr">
        <is>
          <t>Agustin Harriague</t>
        </is>
      </c>
      <c r="B58" t="inlineStr">
        <is>
          <t>Speaker</t>
        </is>
      </c>
      <c r="C58" t="inlineStr">
        <is>
          <t>VP, Logistics &amp; Supply Chain Operational Excellence</t>
        </is>
      </c>
      <c r="D58" t="inlineStr">
        <is>
          <t>Mitsubishi Power Americas</t>
        </is>
      </c>
      <c r="H58" t="n">
        <v>29</v>
      </c>
      <c r="I58" t="b">
        <v>1</v>
      </c>
      <c r="J58" t="b">
        <v>1</v>
      </c>
      <c r="K58" t="b">
        <v>1</v>
      </c>
      <c r="L58" t="b">
        <v>0</v>
      </c>
      <c r="M58" t="b">
        <v>0</v>
      </c>
      <c r="N58">
        <f>IFERROR(INDEX('Company Hitlist'!$AA:$AA,MATCH(D58,'Company Hitlist'!$A:$A,0)),)</f>
        <v/>
      </c>
      <c r="O58">
        <f>IFERROR(INDEX('Company Hitlist'!$N:$N,MATCH(D58,'Company Hitlist'!$A:$A,0)),)</f>
        <v/>
      </c>
      <c r="Q58" t="inlineStr">
        <is>
          <t>todo</t>
        </is>
      </c>
    </row>
    <row r="59">
      <c r="A59" t="inlineStr">
        <is>
          <t>Manju Parkhe</t>
        </is>
      </c>
      <c r="B59" t="inlineStr">
        <is>
          <t>Speaker</t>
        </is>
      </c>
      <c r="C59" t="inlineStr">
        <is>
          <t>EVP, Supply Chain</t>
        </is>
      </c>
      <c r="D59" t="inlineStr">
        <is>
          <t>Molex</t>
        </is>
      </c>
      <c r="H59" t="n">
        <v>29</v>
      </c>
      <c r="I59" t="b">
        <v>1</v>
      </c>
      <c r="J59" t="b">
        <v>1</v>
      </c>
      <c r="K59" t="b">
        <v>1</v>
      </c>
      <c r="L59" t="b">
        <v>0</v>
      </c>
      <c r="M59" t="b">
        <v>0</v>
      </c>
      <c r="N59">
        <f>IFERROR(INDEX('Company Hitlist'!$AA:$AA,MATCH(D59,'Company Hitlist'!$A:$A,0)),)</f>
        <v/>
      </c>
      <c r="O59">
        <f>IFERROR(INDEX('Company Hitlist'!$N:$N,MATCH(D59,'Company Hitlist'!$A:$A,0)),)</f>
        <v/>
      </c>
      <c r="Q59" t="inlineStr">
        <is>
          <t>todo</t>
        </is>
      </c>
    </row>
    <row r="60">
      <c r="A60" t="inlineStr">
        <is>
          <t>Keith Peterson</t>
        </is>
      </c>
      <c r="B60" t="inlineStr">
        <is>
          <t>Speaker</t>
        </is>
      </c>
      <c r="C60" t="inlineStr">
        <is>
          <t>VP Operations</t>
        </is>
      </c>
      <c r="D60" t="inlineStr">
        <is>
          <t>NMFTA</t>
        </is>
      </c>
      <c r="H60" t="n">
        <v>29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>
        <f>IFERROR(INDEX('Company Hitlist'!$AA:$AA,MATCH(D60,'Company Hitlist'!$A:$A,0)),)</f>
        <v/>
      </c>
      <c r="O60">
        <f>IFERROR(INDEX('Company Hitlist'!$N:$N,MATCH(D60,'Company Hitlist'!$A:$A,0)),)</f>
        <v/>
      </c>
      <c r="Q60" t="inlineStr">
        <is>
          <t>todo</t>
        </is>
      </c>
    </row>
    <row r="61">
      <c r="A61" t="inlineStr">
        <is>
          <t>Linda Reddy</t>
        </is>
      </c>
      <c r="B61" t="inlineStr">
        <is>
          <t>Speaker</t>
        </is>
      </c>
      <c r="C61" t="inlineStr">
        <is>
          <t>Global Head of Supply Chain</t>
        </is>
      </c>
      <c r="D61" t="inlineStr">
        <is>
          <t>Nando's Group Limited</t>
        </is>
      </c>
      <c r="H61" t="n">
        <v>29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>
        <f>IFERROR(INDEX('Company Hitlist'!$AA:$AA,MATCH(D61,'Company Hitlist'!$A:$A,0)),)</f>
        <v/>
      </c>
      <c r="O61">
        <f>IFERROR(INDEX('Company Hitlist'!$N:$N,MATCH(D61,'Company Hitlist'!$A:$A,0)),)</f>
        <v/>
      </c>
      <c r="Q61" t="inlineStr">
        <is>
          <t>todo</t>
        </is>
      </c>
    </row>
    <row r="62">
      <c r="A62" t="inlineStr">
        <is>
          <t>Michael Hopkins</t>
        </is>
      </c>
      <c r="B62" t="inlineStr">
        <is>
          <t>Speaker</t>
        </is>
      </c>
      <c r="C62" t="inlineStr">
        <is>
          <t>VP, Supply Chain Distribution &amp; Logistics</t>
        </is>
      </c>
      <c r="D62" t="inlineStr">
        <is>
          <t>Northwestern Medicine</t>
        </is>
      </c>
      <c r="H62" t="n">
        <v>29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>
        <f>IFERROR(INDEX('Company Hitlist'!$AA:$AA,MATCH(D62,'Company Hitlist'!$A:$A,0)),)</f>
        <v/>
      </c>
      <c r="O62">
        <f>IFERROR(INDEX('Company Hitlist'!$N:$N,MATCH(D62,'Company Hitlist'!$A:$A,0)),)</f>
        <v/>
      </c>
      <c r="Q62" t="inlineStr">
        <is>
          <t>todo</t>
        </is>
      </c>
    </row>
    <row r="63">
      <c r="A63" t="inlineStr">
        <is>
          <t>Derek Geiss</t>
        </is>
      </c>
      <c r="B63" t="inlineStr">
        <is>
          <t>Speaker</t>
        </is>
      </c>
      <c r="C63" t="inlineStr">
        <is>
          <t>Chief Supply Chain Officer</t>
        </is>
      </c>
      <c r="D63" t="inlineStr">
        <is>
          <t>Nutrabolt</t>
        </is>
      </c>
      <c r="H63" t="n">
        <v>29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>
        <f>IFERROR(INDEX('Company Hitlist'!$AA:$AA,MATCH(D63,'Company Hitlist'!$A:$A,0)),)</f>
        <v/>
      </c>
      <c r="O63">
        <f>IFERROR(INDEX('Company Hitlist'!$N:$N,MATCH(D63,'Company Hitlist'!$A:$A,0)),)</f>
        <v/>
      </c>
      <c r="Q63" t="inlineStr">
        <is>
          <t>todo</t>
        </is>
      </c>
    </row>
    <row r="64">
      <c r="A64" t="inlineStr">
        <is>
          <t>Dawn Swackhamer</t>
        </is>
      </c>
      <c r="B64" t="inlineStr">
        <is>
          <t>Speaker</t>
        </is>
      </c>
      <c r="C64" t="inlineStr">
        <is>
          <t>VP Global Operations &amp; Planning Technology</t>
        </is>
      </c>
      <c r="D64" t="inlineStr">
        <is>
          <t>Pandora</t>
        </is>
      </c>
      <c r="F64" t="inlineStr">
        <is>
          <t>Yes</t>
        </is>
      </c>
      <c r="G64" t="inlineStr">
        <is>
          <t>$4.76B (2025 est.)</t>
        </is>
      </c>
      <c r="H64" t="n">
        <v>29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>
        <f>IFERROR(INDEX('Company Hitlist'!$AA:$AA,MATCH(D64,'Company Hitlist'!$A:$A,0)),)</f>
        <v/>
      </c>
      <c r="O64">
        <f>IFERROR(INDEX('Company Hitlist'!$N:$N,MATCH(D64,'Company Hitlist'!$A:$A,0)),)</f>
        <v/>
      </c>
      <c r="Q64" t="inlineStr">
        <is>
          <t>todo</t>
        </is>
      </c>
    </row>
    <row r="65">
      <c r="A65" t="inlineStr">
        <is>
          <t>Audreyanne Snow</t>
        </is>
      </c>
      <c r="B65" t="inlineStr">
        <is>
          <t>Speaker</t>
        </is>
      </c>
      <c r="C65" t="inlineStr">
        <is>
          <t>VP, Operations &amp; Logistics</t>
        </is>
      </c>
      <c r="D65" t="inlineStr">
        <is>
          <t>Parts Town</t>
        </is>
      </c>
      <c r="F65" t="inlineStr">
        <is>
          <t>Yes</t>
        </is>
      </c>
      <c r="G65" t="inlineStr">
        <is>
          <t>$2.5B (2024; projected similar in 2025)</t>
        </is>
      </c>
      <c r="H65" t="n">
        <v>29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>
        <f>IFERROR(INDEX('Company Hitlist'!$AA:$AA,MATCH(D65,'Company Hitlist'!$A:$A,0)),)</f>
        <v/>
      </c>
      <c r="O65">
        <f>IFERROR(INDEX('Company Hitlist'!$N:$N,MATCH(D65,'Company Hitlist'!$A:$A,0)),)</f>
        <v/>
      </c>
      <c r="Q65" t="inlineStr">
        <is>
          <t>todo</t>
        </is>
      </c>
    </row>
    <row r="66">
      <c r="A66" t="inlineStr">
        <is>
          <t>Lisa Backlin</t>
        </is>
      </c>
      <c r="B66" t="inlineStr">
        <is>
          <t>Speaker</t>
        </is>
      </c>
      <c r="C66" t="inlineStr">
        <is>
          <t>Group Senior Vice President, Supply Chain</t>
        </is>
      </c>
      <c r="D66" t="inlineStr">
        <is>
          <t>Parts Town</t>
        </is>
      </c>
      <c r="H66" t="n">
        <v>29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>
        <f>IFERROR(INDEX('Company Hitlist'!$AA:$AA,MATCH(D66,'Company Hitlist'!$A:$A,0)),)</f>
        <v/>
      </c>
      <c r="O66">
        <f>IFERROR(INDEX('Company Hitlist'!$N:$N,MATCH(D66,'Company Hitlist'!$A:$A,0)),)</f>
        <v/>
      </c>
      <c r="Q66" t="inlineStr">
        <is>
          <t>todo</t>
        </is>
      </c>
    </row>
    <row r="67">
      <c r="A67" t="inlineStr">
        <is>
          <t>Birger Buesching</t>
        </is>
      </c>
      <c r="B67" t="inlineStr">
        <is>
          <t>Speaker</t>
        </is>
      </c>
      <c r="C67" t="inlineStr">
        <is>
          <t>Head of Supply Chain North America, Personal Health</t>
        </is>
      </c>
      <c r="D67" t="inlineStr">
        <is>
          <t>Philips</t>
        </is>
      </c>
      <c r="H67" t="n">
        <v>29</v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>
        <f>IFERROR(INDEX('Company Hitlist'!$AA:$AA,MATCH(D67,'Company Hitlist'!$A:$A,0)),)</f>
        <v/>
      </c>
      <c r="O67">
        <f>IFERROR(INDEX('Company Hitlist'!$N:$N,MATCH(D67,'Company Hitlist'!$A:$A,0)),)</f>
        <v/>
      </c>
      <c r="Q67" t="inlineStr">
        <is>
          <t>todo</t>
        </is>
      </c>
    </row>
    <row r="68">
      <c r="A68" t="inlineStr">
        <is>
          <t>Matt Reddington</t>
        </is>
      </c>
      <c r="B68" t="inlineStr">
        <is>
          <t>Speaker</t>
        </is>
      </c>
      <c r="C68" t="inlineStr">
        <is>
          <t>Vice President Packaging + Logistics</t>
        </is>
      </c>
      <c r="D68" t="inlineStr">
        <is>
          <t>Procure Analytics</t>
        </is>
      </c>
      <c r="H68" t="n">
        <v>29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>
        <f>IFERROR(INDEX('Company Hitlist'!$AA:$AA,MATCH(D68,'Company Hitlist'!$A:$A,0)),)</f>
        <v/>
      </c>
      <c r="O68">
        <f>IFERROR(INDEX('Company Hitlist'!$N:$N,MATCH(D68,'Company Hitlist'!$A:$A,0)),)</f>
        <v/>
      </c>
      <c r="Q68" t="inlineStr">
        <is>
          <t>todo</t>
        </is>
      </c>
    </row>
    <row r="69">
      <c r="A69" t="inlineStr">
        <is>
          <t>Karon Evanoff</t>
        </is>
      </c>
      <c r="B69" t="inlineStr">
        <is>
          <t>Speaker</t>
        </is>
      </c>
      <c r="C69" t="inlineStr">
        <is>
          <t>SVP Global Operations</t>
        </is>
      </c>
      <c r="D69" t="inlineStr">
        <is>
          <t>QSC</t>
        </is>
      </c>
      <c r="F69" t="inlineStr">
        <is>
          <t>Yes</t>
        </is>
      </c>
      <c r="G69" t="inlineStr">
        <is>
          <t>$535M (2025 est.) (ICP match)</t>
        </is>
      </c>
      <c r="H69" t="n">
        <v>29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>
        <f>IFERROR(INDEX('Company Hitlist'!$AA:$AA,MATCH(D69,'Company Hitlist'!$A:$A,0)),)</f>
        <v/>
      </c>
      <c r="O69">
        <f>IFERROR(INDEX('Company Hitlist'!$N:$N,MATCH(D69,'Company Hitlist'!$A:$A,0)),)</f>
        <v/>
      </c>
      <c r="Q69" t="inlineStr">
        <is>
          <t>todo</t>
        </is>
      </c>
    </row>
    <row r="70">
      <c r="A70" t="inlineStr">
        <is>
          <t>Heather Burke</t>
        </is>
      </c>
      <c r="B70" t="inlineStr">
        <is>
          <t>Speaker</t>
        </is>
      </c>
      <c r="C70" t="inlineStr">
        <is>
          <t>SVP Logistics &amp; Customer Experience</t>
        </is>
      </c>
      <c r="D70" t="inlineStr">
        <is>
          <t>Revolve</t>
        </is>
      </c>
      <c r="F70" t="inlineStr">
        <is>
          <t>Yes</t>
        </is>
      </c>
      <c r="G70" t="inlineStr">
        <is>
          <t>$1.19B (2025 est.)</t>
        </is>
      </c>
      <c r="H70" t="n">
        <v>29</v>
      </c>
      <c r="I70" t="b">
        <v>1</v>
      </c>
      <c r="J70" t="b">
        <v>1</v>
      </c>
      <c r="K70" t="b">
        <v>1</v>
      </c>
      <c r="L70" t="b">
        <v>0</v>
      </c>
      <c r="M70" t="b">
        <v>0</v>
      </c>
      <c r="N70">
        <f>IFERROR(INDEX('Company Hitlist'!$AA:$AA,MATCH(D70,'Company Hitlist'!$A:$A,0)),)</f>
        <v/>
      </c>
      <c r="O70">
        <f>IFERROR(INDEX('Company Hitlist'!$N:$N,MATCH(D70,'Company Hitlist'!$A:$A,0)),)</f>
        <v/>
      </c>
      <c r="Q70" t="inlineStr">
        <is>
          <t>todo</t>
        </is>
      </c>
    </row>
    <row r="71">
      <c r="A71" t="inlineStr">
        <is>
          <t>Scott Schienvar</t>
        </is>
      </c>
      <c r="B71" t="inlineStr">
        <is>
          <t>Speaker</t>
        </is>
      </c>
      <c r="C71" t="inlineStr">
        <is>
          <t>Chief Supply Chain Officer</t>
        </is>
      </c>
      <c r="D71" t="inlineStr">
        <is>
          <t>Sol de Janeiro</t>
        </is>
      </c>
      <c r="H71" t="n">
        <v>29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>
        <f>IFERROR(INDEX('Company Hitlist'!$AA:$AA,MATCH(D71,'Company Hitlist'!$A:$A,0)),)</f>
        <v/>
      </c>
      <c r="O71">
        <f>IFERROR(INDEX('Company Hitlist'!$N:$N,MATCH(D71,'Company Hitlist'!$A:$A,0)),)</f>
        <v/>
      </c>
      <c r="Q71" t="inlineStr">
        <is>
          <t>todo</t>
        </is>
      </c>
    </row>
    <row r="72">
      <c r="A72" t="inlineStr">
        <is>
          <t>Amanda Chawla</t>
        </is>
      </c>
      <c r="B72" t="inlineStr">
        <is>
          <t>Speaker</t>
        </is>
      </c>
      <c r="C72" t="inlineStr">
        <is>
          <t>SVP, Chief Supply Chain &amp; Post Acute Care Officer</t>
        </is>
      </c>
      <c r="D72" t="inlineStr">
        <is>
          <t>Stanford Medicine</t>
        </is>
      </c>
      <c r="H72" t="n">
        <v>29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>
        <f>IFERROR(INDEX('Company Hitlist'!$AA:$AA,MATCH(D72,'Company Hitlist'!$A:$A,0)),)</f>
        <v/>
      </c>
      <c r="O72">
        <f>IFERROR(INDEX('Company Hitlist'!$N:$N,MATCH(D72,'Company Hitlist'!$A:$A,0)),)</f>
        <v/>
      </c>
      <c r="Q72" t="inlineStr">
        <is>
          <t>todo</t>
        </is>
      </c>
    </row>
    <row r="73">
      <c r="A73" t="inlineStr">
        <is>
          <t>Nilesh Mohan</t>
        </is>
      </c>
      <c r="B73" t="inlineStr">
        <is>
          <t>Speaker</t>
        </is>
      </c>
      <c r="C73" t="inlineStr">
        <is>
          <t>Vice President, Supply Chain Technology</t>
        </is>
      </c>
      <c r="D73" t="inlineStr">
        <is>
          <t>Staples</t>
        </is>
      </c>
      <c r="H73" t="n">
        <v>29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>
        <f>IFERROR(INDEX('Company Hitlist'!$AA:$AA,MATCH(D73,'Company Hitlist'!$A:$A,0)),)</f>
        <v/>
      </c>
      <c r="O73">
        <f>IFERROR(INDEX('Company Hitlist'!$N:$N,MATCH(D73,'Company Hitlist'!$A:$A,0)),)</f>
        <v/>
      </c>
      <c r="Q73" t="inlineStr">
        <is>
          <t>todo</t>
        </is>
      </c>
    </row>
    <row r="74">
      <c r="A74" t="inlineStr">
        <is>
          <t>Vickram Srivastava</t>
        </is>
      </c>
      <c r="B74" t="inlineStr">
        <is>
          <t>Speaker</t>
        </is>
      </c>
      <c r="C74" t="inlineStr">
        <is>
          <t>Head of Supply Chain - North America</t>
        </is>
      </c>
      <c r="D74" t="inlineStr">
        <is>
          <t>Sun Pharma</t>
        </is>
      </c>
      <c r="H74" t="n">
        <v>29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>
        <f>IFERROR(INDEX('Company Hitlist'!$AA:$AA,MATCH(D74,'Company Hitlist'!$A:$A,0)),)</f>
        <v/>
      </c>
      <c r="O74">
        <f>IFERROR(INDEX('Company Hitlist'!$N:$N,MATCH(D74,'Company Hitlist'!$A:$A,0)),)</f>
        <v/>
      </c>
      <c r="Q74" t="inlineStr">
        <is>
          <t>todo</t>
        </is>
      </c>
    </row>
    <row r="75">
      <c r="A75" t="inlineStr">
        <is>
          <t>Jamie Bragg</t>
        </is>
      </c>
      <c r="B75" t="inlineStr">
        <is>
          <t>Speaker</t>
        </is>
      </c>
      <c r="C75" t="inlineStr">
        <is>
          <t>EVP, Chief Supply Chain Officer</t>
        </is>
      </c>
      <c r="D75" t="inlineStr">
        <is>
          <t>Tailored Brands</t>
        </is>
      </c>
      <c r="H75" t="n">
        <v>29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>
        <f>IFERROR(INDEX('Company Hitlist'!$AA:$AA,MATCH(D75,'Company Hitlist'!$A:$A,0)),)</f>
        <v/>
      </c>
      <c r="O75">
        <f>IFERROR(INDEX('Company Hitlist'!$N:$N,MATCH(D75,'Company Hitlist'!$A:$A,0)),)</f>
        <v/>
      </c>
      <c r="Q75" t="inlineStr">
        <is>
          <t>todo</t>
        </is>
      </c>
    </row>
    <row r="76">
      <c r="A76" t="inlineStr">
        <is>
          <t>Daryl Glass</t>
        </is>
      </c>
      <c r="B76" t="inlineStr">
        <is>
          <t>Speaker</t>
        </is>
      </c>
      <c r="C76" t="inlineStr">
        <is>
          <t>SVP, Fulfillment &amp; Last Mile</t>
        </is>
      </c>
      <c r="D76" t="inlineStr">
        <is>
          <t>Target</t>
        </is>
      </c>
      <c r="F76" t="inlineStr">
        <is>
          <t>Yes</t>
        </is>
      </c>
      <c r="G76" t="inlineStr">
        <is>
          <t>$106.57B (2025 est.)</t>
        </is>
      </c>
      <c r="H76" t="n">
        <v>29</v>
      </c>
      <c r="I76" t="b">
        <v>1</v>
      </c>
      <c r="J76" t="b">
        <v>1</v>
      </c>
      <c r="K76" t="b">
        <v>1</v>
      </c>
      <c r="L76" t="b">
        <v>0</v>
      </c>
      <c r="M76" t="b">
        <v>0</v>
      </c>
      <c r="N76">
        <f>IFERROR(INDEX('Company Hitlist'!$AA:$AA,MATCH(D76,'Company Hitlist'!$A:$A,0)),)</f>
        <v/>
      </c>
      <c r="O76">
        <f>IFERROR(INDEX('Company Hitlist'!$N:$N,MATCH(D76,'Company Hitlist'!$A:$A,0)),)</f>
        <v/>
      </c>
      <c r="Q76" t="inlineStr">
        <is>
          <t>todo</t>
        </is>
      </c>
    </row>
    <row r="77">
      <c r="A77" t="inlineStr">
        <is>
          <t>Pascal Montilus</t>
        </is>
      </c>
      <c r="B77" t="inlineStr">
        <is>
          <t>Speaker</t>
        </is>
      </c>
      <c r="C77" t="inlineStr">
        <is>
          <t>Chief Supply Chain Officer</t>
        </is>
      </c>
      <c r="D77" t="inlineStr">
        <is>
          <t>The Clorox Company</t>
        </is>
      </c>
      <c r="H77" t="n">
        <v>29</v>
      </c>
      <c r="I77" t="b">
        <v>1</v>
      </c>
      <c r="J77" t="b">
        <v>1</v>
      </c>
      <c r="K77" t="b">
        <v>1</v>
      </c>
      <c r="L77" t="b">
        <v>0</v>
      </c>
      <c r="M77" t="b">
        <v>0</v>
      </c>
      <c r="N77">
        <f>IFERROR(INDEX('Company Hitlist'!$AA:$AA,MATCH(D77,'Company Hitlist'!$A:$A,0)),)</f>
        <v/>
      </c>
      <c r="O77">
        <f>IFERROR(INDEX('Company Hitlist'!$N:$N,MATCH(D77,'Company Hitlist'!$A:$A,0)),)</f>
        <v/>
      </c>
      <c r="Q77" t="inlineStr">
        <is>
          <t>todo</t>
        </is>
      </c>
    </row>
    <row r="78">
      <c r="A78" t="inlineStr">
        <is>
          <t>Nish Embry</t>
        </is>
      </c>
      <c r="B78" t="inlineStr">
        <is>
          <t>Speaker</t>
        </is>
      </c>
      <c r="C78" t="inlineStr">
        <is>
          <t>Head of SCPMCOE Innovation &amp; Supply Chain</t>
        </is>
      </c>
      <c r="D78" t="inlineStr">
        <is>
          <t>The Coca-Cola Company</t>
        </is>
      </c>
      <c r="H78" t="n">
        <v>29</v>
      </c>
      <c r="I78" t="b">
        <v>1</v>
      </c>
      <c r="J78" t="b">
        <v>1</v>
      </c>
      <c r="K78" t="b">
        <v>1</v>
      </c>
      <c r="L78" t="b">
        <v>0</v>
      </c>
      <c r="M78" t="b">
        <v>0</v>
      </c>
      <c r="N78">
        <f>IFERROR(INDEX('Company Hitlist'!$AA:$AA,MATCH(D78,'Company Hitlist'!$A:$A,0)),)</f>
        <v/>
      </c>
      <c r="O78">
        <f>IFERROR(INDEX('Company Hitlist'!$N:$N,MATCH(D78,'Company Hitlist'!$A:$A,0)),)</f>
        <v/>
      </c>
      <c r="Q78" t="inlineStr">
        <is>
          <t>todo</t>
        </is>
      </c>
    </row>
    <row r="79">
      <c r="A79" t="inlineStr">
        <is>
          <t>Florent Guillet</t>
        </is>
      </c>
      <c r="B79" t="inlineStr">
        <is>
          <t>Speaker</t>
        </is>
      </c>
      <c r="C79" t="inlineStr">
        <is>
          <t>VP Global Supply Chain Strategy &amp; Value Acceleration</t>
        </is>
      </c>
      <c r="D79" t="inlineStr">
        <is>
          <t>The Estée Lauder Companies</t>
        </is>
      </c>
      <c r="H79" t="n">
        <v>29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>
        <f>IFERROR(INDEX('Company Hitlist'!$AA:$AA,MATCH(D79,'Company Hitlist'!$A:$A,0)),)</f>
        <v/>
      </c>
      <c r="O79">
        <f>IFERROR(INDEX('Company Hitlist'!$N:$N,MATCH(D79,'Company Hitlist'!$A:$A,0)),)</f>
        <v/>
      </c>
      <c r="Q79" t="inlineStr">
        <is>
          <t>todo</t>
        </is>
      </c>
    </row>
    <row r="80">
      <c r="A80" t="inlineStr">
        <is>
          <t>Dirk Martin</t>
        </is>
      </c>
      <c r="B80" t="inlineStr">
        <is>
          <t>Speaker</t>
        </is>
      </c>
      <c r="C80" t="inlineStr">
        <is>
          <t>Vice President of Global Logistics</t>
        </is>
      </c>
      <c r="D80" t="inlineStr">
        <is>
          <t>Trident Seafoods</t>
        </is>
      </c>
      <c r="H80" t="n">
        <v>29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>
        <f>IFERROR(INDEX('Company Hitlist'!$AA:$AA,MATCH(D80,'Company Hitlist'!$A:$A,0)),)</f>
        <v/>
      </c>
      <c r="O80">
        <f>IFERROR(INDEX('Company Hitlist'!$N:$N,MATCH(D80,'Company Hitlist'!$A:$A,0)),)</f>
        <v/>
      </c>
      <c r="Q80" t="inlineStr">
        <is>
          <t>todo</t>
        </is>
      </c>
    </row>
    <row r="81">
      <c r="A81" t="inlineStr">
        <is>
          <t>Angelo Ventrone</t>
        </is>
      </c>
      <c r="B81" t="inlineStr">
        <is>
          <t>Speaker</t>
        </is>
      </c>
      <c r="C81" t="inlineStr">
        <is>
          <t>VP of Logistics</t>
        </is>
      </c>
      <c r="D81" t="inlineStr">
        <is>
          <t>ULINE</t>
        </is>
      </c>
      <c r="F81" t="inlineStr">
        <is>
          <t>Yes</t>
        </is>
      </c>
      <c r="G81" t="inlineStr">
        <is>
          <t>11000000000</t>
        </is>
      </c>
      <c r="H81" t="n">
        <v>29</v>
      </c>
      <c r="I81" t="b">
        <v>1</v>
      </c>
      <c r="J81" t="b">
        <v>1</v>
      </c>
      <c r="K81" t="b">
        <v>1</v>
      </c>
      <c r="L81" t="b">
        <v>0</v>
      </c>
      <c r="M81" t="b">
        <v>0</v>
      </c>
      <c r="N81">
        <f>IFERROR(INDEX('Company Hitlist'!$AA:$AA,MATCH(D81,'Company Hitlist'!$A:$A,0)),)</f>
        <v/>
      </c>
      <c r="O81">
        <f>IFERROR(INDEX('Company Hitlist'!$N:$N,MATCH(D81,'Company Hitlist'!$A:$A,0)),)</f>
        <v/>
      </c>
      <c r="Q81" t="inlineStr">
        <is>
          <t>todo</t>
        </is>
      </c>
    </row>
    <row r="82">
      <c r="A82" t="inlineStr">
        <is>
          <t>Todd Jensen</t>
        </is>
      </c>
      <c r="B82" t="inlineStr">
        <is>
          <t>Speaker</t>
        </is>
      </c>
      <c r="C82" t="inlineStr">
        <is>
          <t>Chief of Operations</t>
        </is>
      </c>
      <c r="D82" t="inlineStr">
        <is>
          <t>USTRANSCOM</t>
        </is>
      </c>
      <c r="H82" t="n">
        <v>29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>
        <f>IFERROR(INDEX('Company Hitlist'!$AA:$AA,MATCH(D82,'Company Hitlist'!$A:$A,0)),)</f>
        <v/>
      </c>
      <c r="O82">
        <f>IFERROR(INDEX('Company Hitlist'!$N:$N,MATCH(D82,'Company Hitlist'!$A:$A,0)),)</f>
        <v/>
      </c>
      <c r="Q82" t="inlineStr">
        <is>
          <t>todo</t>
        </is>
      </c>
    </row>
    <row r="83">
      <c r="A83" t="inlineStr">
        <is>
          <t>Oronzo Suma</t>
        </is>
      </c>
      <c r="B83" t="inlineStr">
        <is>
          <t>Speaker</t>
        </is>
      </c>
      <c r="C83" t="inlineStr">
        <is>
          <t>Chief Supply Chain Performance Management Officer</t>
        </is>
      </c>
      <c r="D83" t="inlineStr">
        <is>
          <t>United Nations</t>
        </is>
      </c>
      <c r="H83" t="n">
        <v>29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>
        <f>IFERROR(INDEX('Company Hitlist'!$AA:$AA,MATCH(D83,'Company Hitlist'!$A:$A,0)),)</f>
        <v/>
      </c>
      <c r="O83">
        <f>IFERROR(INDEX('Company Hitlist'!$N:$N,MATCH(D83,'Company Hitlist'!$A:$A,0)),)</f>
        <v/>
      </c>
      <c r="Q83" t="inlineStr">
        <is>
          <t>todo</t>
        </is>
      </c>
    </row>
    <row r="84">
      <c r="A84" t="inlineStr">
        <is>
          <t>Anders Karlborg</t>
        </is>
      </c>
      <c r="B84" t="inlineStr">
        <is>
          <t>Speaker</t>
        </is>
      </c>
      <c r="C84" t="inlineStr">
        <is>
          <t>EVP, Manufacturing, Logistics &amp; Operational Excellence</t>
        </is>
      </c>
      <c r="D84" t="inlineStr">
        <is>
          <t>Vertiv</t>
        </is>
      </c>
      <c r="F84" t="inlineStr">
        <is>
          <t>Yes</t>
        </is>
      </c>
      <c r="G84" t="inlineStr">
        <is>
          <t>$9.7B (2025 est.)</t>
        </is>
      </c>
      <c r="H84" t="n">
        <v>29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>
        <f>IFERROR(INDEX('Company Hitlist'!$AA:$AA,MATCH(D84,'Company Hitlist'!$A:$A,0)),)</f>
        <v/>
      </c>
      <c r="O84">
        <f>IFERROR(INDEX('Company Hitlist'!$N:$N,MATCH(D84,'Company Hitlist'!$A:$A,0)),)</f>
        <v/>
      </c>
      <c r="Q84" t="inlineStr">
        <is>
          <t>todo</t>
        </is>
      </c>
    </row>
    <row r="85">
      <c r="A85" t="inlineStr">
        <is>
          <t>Brendan Duttry</t>
        </is>
      </c>
      <c r="B85" t="inlineStr">
        <is>
          <t>Speaker</t>
        </is>
      </c>
      <c r="C85" t="inlineStr">
        <is>
          <t>VP Operations</t>
        </is>
      </c>
      <c r="D85" t="inlineStr">
        <is>
          <t>Wildgrain</t>
        </is>
      </c>
      <c r="F85" t="inlineStr">
        <is>
          <t>Yes</t>
        </is>
      </c>
      <c r="H85" t="n">
        <v>29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>
        <f>IFERROR(INDEX('Company Hitlist'!$AA:$AA,MATCH(D85,'Company Hitlist'!$A:$A,0)),)</f>
        <v/>
      </c>
      <c r="O85">
        <f>IFERROR(INDEX('Company Hitlist'!$N:$N,MATCH(D85,'Company Hitlist'!$A:$A,0)),)</f>
        <v/>
      </c>
      <c r="Q85" t="inlineStr">
        <is>
          <t>todo</t>
        </is>
      </c>
    </row>
    <row r="86">
      <c r="A86" t="inlineStr">
        <is>
          <t>Saxon McBride</t>
        </is>
      </c>
      <c r="B86" t="inlineStr">
        <is>
          <t>Speaker</t>
        </is>
      </c>
      <c r="C86" t="inlineStr">
        <is>
          <t>Vice President of Operations</t>
        </is>
      </c>
      <c r="D86" t="inlineStr">
        <is>
          <t>Zero Down Supply Chain Solutions</t>
        </is>
      </c>
      <c r="F86" t="inlineStr">
        <is>
          <t>Yes</t>
        </is>
      </c>
      <c r="G86" t="inlineStr">
        <is>
          <t>54436000</t>
        </is>
      </c>
      <c r="H86" t="n">
        <v>29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>
        <f>IFERROR(INDEX('Company Hitlist'!$AA:$AA,MATCH(D86,'Company Hitlist'!$A:$A,0)),)</f>
        <v/>
      </c>
      <c r="O86">
        <f>IFERROR(INDEX('Company Hitlist'!$N:$N,MATCH(D86,'Company Hitlist'!$A:$A,0)),)</f>
        <v/>
      </c>
      <c r="Q86" t="inlineStr">
        <is>
          <t>todo</t>
        </is>
      </c>
    </row>
    <row r="87">
      <c r="A87" t="inlineStr">
        <is>
          <t>Roger Sechler</t>
        </is>
      </c>
      <c r="B87" t="inlineStr">
        <is>
          <t>Sponsor</t>
        </is>
      </c>
      <c r="C87" t="inlineStr">
        <is>
          <t>Vice President of Transportation</t>
        </is>
      </c>
      <c r="D87" t="inlineStr">
        <is>
          <t>4flow</t>
        </is>
      </c>
      <c r="F87" t="inlineStr">
        <is>
          <t>Yes</t>
        </is>
      </c>
      <c r="G87" t="inlineStr">
        <is>
          <t>423000000</t>
        </is>
      </c>
      <c r="H87" t="n">
        <v>28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>
        <f>IFERROR(INDEX('Company Hitlist'!$AA:$AA,MATCH(D87,'Company Hitlist'!$A:$A,0)),)</f>
        <v/>
      </c>
      <c r="O87">
        <f>IFERROR(INDEX('Company Hitlist'!$N:$N,MATCH(D87,'Company Hitlist'!$A:$A,0)),)</f>
        <v/>
      </c>
      <c r="Q87" t="inlineStr">
        <is>
          <t>todo</t>
        </is>
      </c>
    </row>
    <row r="88">
      <c r="A88" t="inlineStr">
        <is>
          <t>Doug King</t>
        </is>
      </c>
      <c r="B88" t="inlineStr">
        <is>
          <t>Sponsor</t>
        </is>
      </c>
      <c r="C88" t="inlineStr">
        <is>
          <t>VP of Transportation</t>
        </is>
      </c>
      <c r="D88" t="inlineStr">
        <is>
          <t>Cart.com</t>
        </is>
      </c>
      <c r="E88" t="inlineStr">
        <is>
          <t>United States</t>
        </is>
      </c>
      <c r="F88" t="inlineStr">
        <is>
          <t>Yes</t>
        </is>
      </c>
      <c r="H88" t="n">
        <v>28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>
        <f>IFERROR(INDEX('Company Hitlist'!$AA:$AA,MATCH(D88,'Company Hitlist'!$A:$A,0)),)</f>
        <v/>
      </c>
      <c r="O88">
        <f>IFERROR(INDEX('Company Hitlist'!$N:$N,MATCH(D88,'Company Hitlist'!$A:$A,0)),)</f>
        <v/>
      </c>
      <c r="Q88" t="inlineStr">
        <is>
          <t>todo</t>
        </is>
      </c>
    </row>
    <row r="89">
      <c r="A89" t="inlineStr">
        <is>
          <t>Mario Rivera</t>
        </is>
      </c>
      <c r="B89" t="inlineStr">
        <is>
          <t>Sponsor</t>
        </is>
      </c>
      <c r="C89" t="inlineStr">
        <is>
          <t>SVP, Fulfillment Solutions</t>
        </is>
      </c>
      <c r="D89" t="inlineStr">
        <is>
          <t>Cart.com</t>
        </is>
      </c>
      <c r="E89" t="inlineStr">
        <is>
          <t>United States</t>
        </is>
      </c>
      <c r="F89" t="inlineStr">
        <is>
          <t>Yes</t>
        </is>
      </c>
      <c r="H89" t="n">
        <v>28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>
        <f>IFERROR(INDEX('Company Hitlist'!$AA:$AA,MATCH(D89,'Company Hitlist'!$A:$A,0)),)</f>
        <v/>
      </c>
      <c r="O89">
        <f>IFERROR(INDEX('Company Hitlist'!$N:$N,MATCH(D89,'Company Hitlist'!$A:$A,0)),)</f>
        <v/>
      </c>
      <c r="Q89" t="inlineStr">
        <is>
          <t>todo</t>
        </is>
      </c>
    </row>
    <row r="90">
      <c r="A90" t="inlineStr">
        <is>
          <t>Alan Alberto</t>
        </is>
      </c>
      <c r="B90" t="inlineStr">
        <is>
          <t>Sponsor</t>
        </is>
      </c>
      <c r="C90" t="inlineStr">
        <is>
          <t>VP of Operations</t>
        </is>
      </c>
      <c r="D90" t="inlineStr">
        <is>
          <t>Cloneops.ai</t>
        </is>
      </c>
      <c r="E90" t="inlineStr">
        <is>
          <t>United States</t>
        </is>
      </c>
      <c r="F90" t="inlineStr">
        <is>
          <t>Yes</t>
        </is>
      </c>
      <c r="H90" t="n">
        <v>28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>
        <f>IFERROR(INDEX('Company Hitlist'!$AA:$AA,MATCH(D90,'Company Hitlist'!$A:$A,0)),)</f>
        <v/>
      </c>
      <c r="O90">
        <f>IFERROR(INDEX('Company Hitlist'!$N:$N,MATCH(D90,'Company Hitlist'!$A:$A,0)),)</f>
        <v/>
      </c>
      <c r="Q90" t="inlineStr">
        <is>
          <t>todo</t>
        </is>
      </c>
    </row>
    <row r="91">
      <c r="A91" t="inlineStr">
        <is>
          <t>James Hoskins</t>
        </is>
      </c>
      <c r="B91" t="inlineStr">
        <is>
          <t>Sponsor</t>
        </is>
      </c>
      <c r="C91" t="inlineStr">
        <is>
          <t>Vice President Operations</t>
        </is>
      </c>
      <c r="D91" t="inlineStr">
        <is>
          <t>DHL Supply Chain</t>
        </is>
      </c>
      <c r="E91" t="inlineStr">
        <is>
          <t>United States</t>
        </is>
      </c>
      <c r="F91" t="inlineStr">
        <is>
          <t>Yes</t>
        </is>
      </c>
      <c r="G91" t="inlineStr">
        <is>
          <t>$80B (2024; projected $82B in 2025)</t>
        </is>
      </c>
      <c r="H91" t="n">
        <v>28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>
        <f>IFERROR(INDEX('Company Hitlist'!$AA:$AA,MATCH(D91,'Company Hitlist'!$A:$A,0)),)</f>
        <v/>
      </c>
      <c r="O91">
        <f>IFERROR(INDEX('Company Hitlist'!$N:$N,MATCH(D91,'Company Hitlist'!$A:$A,0)),)</f>
        <v/>
      </c>
      <c r="Q91" t="inlineStr">
        <is>
          <t>todo</t>
        </is>
      </c>
    </row>
    <row r="92">
      <c r="A92" t="inlineStr">
        <is>
          <t>Todd Benton</t>
        </is>
      </c>
      <c r="B92" t="inlineStr">
        <is>
          <t>Sponsor</t>
        </is>
      </c>
      <c r="C92" t="inlineStr">
        <is>
          <t>Vice President Operations</t>
        </is>
      </c>
      <c r="D92" t="inlineStr">
        <is>
          <t>DHL Supply Chain</t>
        </is>
      </c>
      <c r="E92" t="inlineStr">
        <is>
          <t>United States</t>
        </is>
      </c>
      <c r="F92" t="inlineStr">
        <is>
          <t>Yes</t>
        </is>
      </c>
      <c r="G92" t="inlineStr">
        <is>
          <t>$80B (2024; projected $82B in 2025)</t>
        </is>
      </c>
      <c r="H92" t="n">
        <v>28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>
        <f>IFERROR(INDEX('Company Hitlist'!$AA:$AA,MATCH(D92,'Company Hitlist'!$A:$A,0)),)</f>
        <v/>
      </c>
      <c r="O92">
        <f>IFERROR(INDEX('Company Hitlist'!$N:$N,MATCH(D92,'Company Hitlist'!$A:$A,0)),)</f>
        <v/>
      </c>
      <c r="Q92" t="inlineStr">
        <is>
          <t>todo</t>
        </is>
      </c>
    </row>
    <row r="93">
      <c r="A93" t="inlineStr">
        <is>
          <t>Jake Armstrong</t>
        </is>
      </c>
      <c r="B93" t="inlineStr">
        <is>
          <t>Sponsor</t>
        </is>
      </c>
      <c r="C93" t="inlineStr">
        <is>
          <t>Vice President Operations</t>
        </is>
      </c>
      <c r="D93" t="inlineStr">
        <is>
          <t>DHL Supply Chain</t>
        </is>
      </c>
      <c r="F93" t="inlineStr">
        <is>
          <t>Yes</t>
        </is>
      </c>
      <c r="G93" t="inlineStr">
        <is>
          <t>$80B (2024; projected $82B in 2025)</t>
        </is>
      </c>
      <c r="H93" t="n">
        <v>28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>
        <f>IFERROR(INDEX('Company Hitlist'!$AA:$AA,MATCH(D93,'Company Hitlist'!$A:$A,0)),)</f>
        <v/>
      </c>
      <c r="O93">
        <f>IFERROR(INDEX('Company Hitlist'!$N:$N,MATCH(D93,'Company Hitlist'!$A:$A,0)),)</f>
        <v/>
      </c>
      <c r="Q93" t="inlineStr">
        <is>
          <t>todo</t>
        </is>
      </c>
    </row>
    <row r="94">
      <c r="A94" t="inlineStr">
        <is>
          <t>Paige Vanfossen</t>
        </is>
      </c>
      <c r="B94" t="inlineStr">
        <is>
          <t>Sponsor</t>
        </is>
      </c>
      <c r="C94" t="inlineStr">
        <is>
          <t>Vice President, Operations</t>
        </is>
      </c>
      <c r="D94" t="inlineStr">
        <is>
          <t>DHL Supply Chain</t>
        </is>
      </c>
      <c r="F94" t="inlineStr">
        <is>
          <t>Yes</t>
        </is>
      </c>
      <c r="G94" t="inlineStr">
        <is>
          <t>$80B (2024; projected $82B in 2025)</t>
        </is>
      </c>
      <c r="H94" t="n">
        <v>28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>
        <f>IFERROR(INDEX('Company Hitlist'!$AA:$AA,MATCH(D94,'Company Hitlist'!$A:$A,0)),)</f>
        <v/>
      </c>
      <c r="O94">
        <f>IFERROR(INDEX('Company Hitlist'!$N:$N,MATCH(D94,'Company Hitlist'!$A:$A,0)),)</f>
        <v/>
      </c>
      <c r="Q94" t="inlineStr">
        <is>
          <t>todo</t>
        </is>
      </c>
    </row>
    <row r="95">
      <c r="A95" t="inlineStr">
        <is>
          <t>Shaun Nakhost</t>
        </is>
      </c>
      <c r="B95" t="inlineStr">
        <is>
          <t>Sponsor</t>
        </is>
      </c>
      <c r="C95" t="inlineStr">
        <is>
          <t>VP Warehouse Operations</t>
        </is>
      </c>
      <c r="D95" t="inlineStr">
        <is>
          <t>Dependable Supply Chain Services</t>
        </is>
      </c>
      <c r="E95" t="inlineStr">
        <is>
          <t>United States</t>
        </is>
      </c>
      <c r="F95" t="inlineStr">
        <is>
          <t>Yes</t>
        </is>
      </c>
      <c r="G95" t="inlineStr">
        <is>
          <t>$522.5 million (2025)</t>
        </is>
      </c>
      <c r="H95" t="n">
        <v>28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>
        <f>IFERROR(INDEX('Company Hitlist'!$AA:$AA,MATCH(D95,'Company Hitlist'!$A:$A,0)),)</f>
        <v/>
      </c>
      <c r="O95">
        <f>IFERROR(INDEX('Company Hitlist'!$N:$N,MATCH(D95,'Company Hitlist'!$A:$A,0)),)</f>
        <v/>
      </c>
      <c r="Q95" t="inlineStr">
        <is>
          <t>todo</t>
        </is>
      </c>
    </row>
    <row r="96">
      <c r="A96" t="inlineStr">
        <is>
          <t>Phillip Agans</t>
        </is>
      </c>
      <c r="B96" t="inlineStr">
        <is>
          <t>Sponsor</t>
        </is>
      </c>
      <c r="C96" t="inlineStr">
        <is>
          <t>VP of Warehouse &amp; Distribution Solutions</t>
        </is>
      </c>
      <c r="D96" t="inlineStr">
        <is>
          <t>Fives Intralogistics Corp.</t>
        </is>
      </c>
      <c r="E96" t="inlineStr">
        <is>
          <t>United States</t>
        </is>
      </c>
      <c r="F96" t="inlineStr">
        <is>
          <t>Yes</t>
        </is>
      </c>
      <c r="G96" t="inlineStr">
        <is>
          <t>$2.6B (est.)</t>
        </is>
      </c>
      <c r="H96" t="n">
        <v>28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>
        <f>IFERROR(INDEX('Company Hitlist'!$AA:$AA,MATCH(D96,'Company Hitlist'!$A:$A,0)),)</f>
        <v/>
      </c>
      <c r="O96">
        <f>IFERROR(INDEX('Company Hitlist'!$N:$N,MATCH(D96,'Company Hitlist'!$A:$A,0)),)</f>
        <v/>
      </c>
      <c r="Q96" t="inlineStr">
        <is>
          <t>todo</t>
        </is>
      </c>
    </row>
    <row r="97">
      <c r="A97" t="inlineStr">
        <is>
          <t>Sebastian Wouters</t>
        </is>
      </c>
      <c r="B97" t="inlineStr">
        <is>
          <t>Sponsor</t>
        </is>
      </c>
      <c r="C97" t="inlineStr">
        <is>
          <t>VP Network Operations</t>
        </is>
      </c>
      <c r="D97" t="inlineStr">
        <is>
          <t>FlavorCloud</t>
        </is>
      </c>
      <c r="E97" t="inlineStr">
        <is>
          <t>United States</t>
        </is>
      </c>
      <c r="F97" t="inlineStr">
        <is>
          <t>Yes</t>
        </is>
      </c>
      <c r="G97" t="inlineStr">
        <is>
          <t>12000000</t>
        </is>
      </c>
      <c r="H97" t="n">
        <v>28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>
        <f>IFERROR(INDEX('Company Hitlist'!$AA:$AA,MATCH(D97,'Company Hitlist'!$A:$A,0)),)</f>
        <v/>
      </c>
      <c r="O97">
        <f>IFERROR(INDEX('Company Hitlist'!$N:$N,MATCH(D97,'Company Hitlist'!$A:$A,0)),)</f>
        <v/>
      </c>
      <c r="Q97" t="inlineStr">
        <is>
          <t>todo</t>
        </is>
      </c>
    </row>
    <row r="98">
      <c r="A98" t="inlineStr">
        <is>
          <t>Mike Castle</t>
        </is>
      </c>
      <c r="B98" t="inlineStr">
        <is>
          <t>Sponsor</t>
        </is>
      </c>
      <c r="C98" t="inlineStr">
        <is>
          <t>Head of Transportation and Parcel Strategy</t>
        </is>
      </c>
      <c r="D98" t="inlineStr">
        <is>
          <t>Flexport</t>
        </is>
      </c>
      <c r="E98" t="inlineStr">
        <is>
          <t>United States</t>
        </is>
      </c>
      <c r="F98" t="inlineStr">
        <is>
          <t>Yes</t>
        </is>
      </c>
      <c r="G98" t="inlineStr">
        <is>
          <t>$3 billion (2025)</t>
        </is>
      </c>
      <c r="H98" t="n">
        <v>28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>
        <f>IFERROR(INDEX('Company Hitlist'!$AA:$AA,MATCH(D98,'Company Hitlist'!$A:$A,0)),)</f>
        <v/>
      </c>
      <c r="O98">
        <f>IFERROR(INDEX('Company Hitlist'!$N:$N,MATCH(D98,'Company Hitlist'!$A:$A,0)),)</f>
        <v/>
      </c>
      <c r="Q98" t="inlineStr">
        <is>
          <t>todo</t>
        </is>
      </c>
    </row>
    <row r="99">
      <c r="A99" t="inlineStr">
        <is>
          <t>John Lower</t>
        </is>
      </c>
      <c r="B99" t="inlineStr">
        <is>
          <t>Sponsor</t>
        </is>
      </c>
      <c r="C99" t="inlineStr">
        <is>
          <t>VP, Transportation Brokerage</t>
        </is>
      </c>
      <c r="D99" t="inlineStr">
        <is>
          <t>GEODIS</t>
        </is>
      </c>
      <c r="E99" t="inlineStr">
        <is>
          <t>United States</t>
        </is>
      </c>
      <c r="F99" t="inlineStr">
        <is>
          <t>Yes</t>
        </is>
      </c>
      <c r="G99" t="inlineStr">
        <is>
          <t>12114000000</t>
        </is>
      </c>
      <c r="H99" t="n">
        <v>28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>
        <f>IFERROR(INDEX('Company Hitlist'!$AA:$AA,MATCH(D99,'Company Hitlist'!$A:$A,0)),)</f>
        <v/>
      </c>
      <c r="O99">
        <f>IFERROR(INDEX('Company Hitlist'!$N:$N,MATCH(D99,'Company Hitlist'!$A:$A,0)),)</f>
        <v/>
      </c>
      <c r="Q99" t="inlineStr">
        <is>
          <t>todo</t>
        </is>
      </c>
    </row>
    <row r="100">
      <c r="A100" t="inlineStr">
        <is>
          <t>Sean Mitchell</t>
        </is>
      </c>
      <c r="B100" t="inlineStr">
        <is>
          <t>Sponsor</t>
        </is>
      </c>
      <c r="C100" t="inlineStr">
        <is>
          <t>VP of Customer Operations</t>
        </is>
      </c>
      <c r="D100" t="inlineStr">
        <is>
          <t>Gather AI</t>
        </is>
      </c>
      <c r="E100" t="inlineStr">
        <is>
          <t>United States</t>
        </is>
      </c>
      <c r="F100" t="inlineStr">
        <is>
          <t>Yes</t>
        </is>
      </c>
      <c r="H100" t="n">
        <v>28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>
        <f>IFERROR(INDEX('Company Hitlist'!$AA:$AA,MATCH(D100,'Company Hitlist'!$A:$A,0)),)</f>
        <v/>
      </c>
      <c r="O100">
        <f>IFERROR(INDEX('Company Hitlist'!$N:$N,MATCH(D100,'Company Hitlist'!$A:$A,0)),)</f>
        <v/>
      </c>
      <c r="Q100" t="inlineStr">
        <is>
          <t>todo</t>
        </is>
      </c>
    </row>
    <row r="101">
      <c r="A101" t="inlineStr">
        <is>
          <t>Ankit Malhotra</t>
        </is>
      </c>
      <c r="B101" t="inlineStr">
        <is>
          <t>Sponsor</t>
        </is>
      </c>
      <c r="C101" t="inlineStr">
        <is>
          <t>Head of Operations</t>
        </is>
      </c>
      <c r="D101" t="inlineStr">
        <is>
          <t>Glīd</t>
        </is>
      </c>
      <c r="E101" t="inlineStr">
        <is>
          <t>United States</t>
        </is>
      </c>
      <c r="F101" t="inlineStr">
        <is>
          <t>Yes</t>
        </is>
      </c>
      <c r="H101" t="n">
        <v>28</v>
      </c>
      <c r="I101" t="b">
        <v>1</v>
      </c>
      <c r="J101" t="b">
        <v>1</v>
      </c>
      <c r="K101" t="b">
        <v>1</v>
      </c>
      <c r="L101" t="b">
        <v>0</v>
      </c>
      <c r="M101" t="b">
        <v>0</v>
      </c>
      <c r="N101">
        <f>IFERROR(INDEX('Company Hitlist'!$AA:$AA,MATCH(D101,'Company Hitlist'!$A:$A,0)),)</f>
        <v/>
      </c>
      <c r="O101">
        <f>IFERROR(INDEX('Company Hitlist'!$N:$N,MATCH(D101,'Company Hitlist'!$A:$A,0)),)</f>
        <v/>
      </c>
      <c r="Q101" t="inlineStr">
        <is>
          <t>todo</t>
        </is>
      </c>
    </row>
    <row r="102">
      <c r="A102" t="inlineStr">
        <is>
          <t>John Pisano</t>
        </is>
      </c>
      <c r="B102" t="inlineStr">
        <is>
          <t>Sponsor</t>
        </is>
      </c>
      <c r="C102" t="inlineStr">
        <is>
          <t>Head of Operations</t>
        </is>
      </c>
      <c r="D102" t="inlineStr">
        <is>
          <t>GoodShip</t>
        </is>
      </c>
      <c r="E102" t="inlineStr">
        <is>
          <t>United States</t>
        </is>
      </c>
      <c r="F102" t="inlineStr">
        <is>
          <t>Yes</t>
        </is>
      </c>
      <c r="G102" t="inlineStr">
        <is>
          <t>$9.2 million (2025)</t>
        </is>
      </c>
      <c r="H102" t="n">
        <v>28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>
        <f>IFERROR(INDEX('Company Hitlist'!$AA:$AA,MATCH(D102,'Company Hitlist'!$A:$A,0)),)</f>
        <v/>
      </c>
      <c r="O102">
        <f>IFERROR(INDEX('Company Hitlist'!$N:$N,MATCH(D102,'Company Hitlist'!$A:$A,0)),)</f>
        <v/>
      </c>
      <c r="Q102" t="inlineStr">
        <is>
          <t>todo</t>
        </is>
      </c>
    </row>
    <row r="103">
      <c r="A103" t="inlineStr">
        <is>
          <t>Mike Mandeville</t>
        </is>
      </c>
      <c r="B103" t="inlineStr">
        <is>
          <t>Sponsor</t>
        </is>
      </c>
      <c r="C103" t="inlineStr">
        <is>
          <t>Head of Customer Engineering, Logistics</t>
        </is>
      </c>
      <c r="D103" t="inlineStr">
        <is>
          <t>Google Cloud</t>
        </is>
      </c>
      <c r="E103" t="inlineStr">
        <is>
          <t>United States</t>
        </is>
      </c>
      <c r="F103" t="inlineStr">
        <is>
          <t>Yes</t>
        </is>
      </c>
      <c r="H103" t="n">
        <v>28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>
        <f>IFERROR(INDEX('Company Hitlist'!$AA:$AA,MATCH(D103,'Company Hitlist'!$A:$A,0)),)</f>
        <v/>
      </c>
      <c r="O103">
        <f>IFERROR(INDEX('Company Hitlist'!$N:$N,MATCH(D103,'Company Hitlist'!$A:$A,0)),)</f>
        <v/>
      </c>
      <c r="Q103" t="inlineStr">
        <is>
          <t>todo</t>
        </is>
      </c>
    </row>
    <row r="104">
      <c r="A104" t="inlineStr">
        <is>
          <t>Quili Pena</t>
        </is>
      </c>
      <c r="B104" t="inlineStr">
        <is>
          <t>Sponsor</t>
        </is>
      </c>
      <c r="C104" t="inlineStr">
        <is>
          <t>Head of Strategy &amp; Operations</t>
        </is>
      </c>
      <c r="D104" t="inlineStr">
        <is>
          <t>HappyRobot</t>
        </is>
      </c>
      <c r="E104" t="inlineStr">
        <is>
          <t>United States</t>
        </is>
      </c>
      <c r="F104" t="inlineStr">
        <is>
          <t>Yes</t>
        </is>
      </c>
      <c r="H104" t="n">
        <v>28</v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>
        <f>IFERROR(INDEX('Company Hitlist'!$AA:$AA,MATCH(D104,'Company Hitlist'!$A:$A,0)),)</f>
        <v/>
      </c>
      <c r="O104">
        <f>IFERROR(INDEX('Company Hitlist'!$N:$N,MATCH(D104,'Company Hitlist'!$A:$A,0)),)</f>
        <v/>
      </c>
      <c r="Q104" t="inlineStr">
        <is>
          <t>todo</t>
        </is>
      </c>
    </row>
    <row r="105">
      <c r="A105" t="inlineStr">
        <is>
          <t>Florent Boizard</t>
        </is>
      </c>
      <c r="B105" t="inlineStr">
        <is>
          <t>Sponsor</t>
        </is>
      </c>
      <c r="C105" t="inlineStr">
        <is>
          <t>VP - General Manager Hardis Supply Chain</t>
        </is>
      </c>
      <c r="D105" t="inlineStr">
        <is>
          <t>Hardis Supply Chain</t>
        </is>
      </c>
      <c r="E105" t="inlineStr">
        <is>
          <t>France</t>
        </is>
      </c>
      <c r="H105" t="n">
        <v>28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>
        <f>IFERROR(INDEX('Company Hitlist'!$AA:$AA,MATCH(D105,'Company Hitlist'!$A:$A,0)),)</f>
        <v/>
      </c>
      <c r="O105">
        <f>IFERROR(INDEX('Company Hitlist'!$N:$N,MATCH(D105,'Company Hitlist'!$A:$A,0)),)</f>
        <v/>
      </c>
      <c r="Q105" t="inlineStr">
        <is>
          <t>todo</t>
        </is>
      </c>
    </row>
    <row r="106">
      <c r="A106" t="inlineStr">
        <is>
          <t>James Rothwell</t>
        </is>
      </c>
      <c r="B106" t="inlineStr">
        <is>
          <t>Sponsor</t>
        </is>
      </c>
      <c r="C106" t="inlineStr">
        <is>
          <t>Head of Supply Chain Insights</t>
        </is>
      </c>
      <c r="D106" t="inlineStr">
        <is>
          <t>IGD</t>
        </is>
      </c>
      <c r="H106" t="n">
        <v>28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>
        <f>IFERROR(INDEX('Company Hitlist'!$AA:$AA,MATCH(D106,'Company Hitlist'!$A:$A,0)),)</f>
        <v/>
      </c>
      <c r="O106">
        <f>IFERROR(INDEX('Company Hitlist'!$N:$N,MATCH(D106,'Company Hitlist'!$A:$A,0)),)</f>
        <v/>
      </c>
      <c r="Q106" t="inlineStr">
        <is>
          <t>todo</t>
        </is>
      </c>
    </row>
    <row r="107">
      <c r="A107" t="inlineStr">
        <is>
          <t>Steve Harkins</t>
        </is>
      </c>
      <c r="B107" t="inlineStr">
        <is>
          <t>Sponsor</t>
        </is>
      </c>
      <c r="C107" t="inlineStr">
        <is>
          <t>Senior Vice President, Global Warehouse and Logistics</t>
        </is>
      </c>
      <c r="D107" t="inlineStr">
        <is>
          <t>Iron Mountain</t>
        </is>
      </c>
      <c r="E107" t="inlineStr">
        <is>
          <t>United States</t>
        </is>
      </c>
      <c r="H107" t="n">
        <v>28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>
        <f>IFERROR(INDEX('Company Hitlist'!$AA:$AA,MATCH(D107,'Company Hitlist'!$A:$A,0)),)</f>
        <v/>
      </c>
      <c r="O107">
        <f>IFERROR(INDEX('Company Hitlist'!$N:$N,MATCH(D107,'Company Hitlist'!$A:$A,0)),)</f>
        <v/>
      </c>
      <c r="Q107" t="inlineStr">
        <is>
          <t>todo</t>
        </is>
      </c>
    </row>
    <row r="108">
      <c r="A108" t="inlineStr">
        <is>
          <t>Steven James</t>
        </is>
      </c>
      <c r="B108" t="inlineStr">
        <is>
          <t>Sponsor</t>
        </is>
      </c>
      <c r="C108" t="inlineStr">
        <is>
          <t>Vice President, Operations</t>
        </is>
      </c>
      <c r="D108" t="inlineStr">
        <is>
          <t>Iron Mountain</t>
        </is>
      </c>
      <c r="E108" t="inlineStr">
        <is>
          <t>United States</t>
        </is>
      </c>
      <c r="H108" t="n">
        <v>28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>
        <f>IFERROR(INDEX('Company Hitlist'!$AA:$AA,MATCH(D108,'Company Hitlist'!$A:$A,0)),)</f>
        <v/>
      </c>
      <c r="O108">
        <f>IFERROR(INDEX('Company Hitlist'!$N:$N,MATCH(D108,'Company Hitlist'!$A:$A,0)),)</f>
        <v/>
      </c>
      <c r="Q108" t="inlineStr">
        <is>
          <t>todo</t>
        </is>
      </c>
    </row>
    <row r="109">
      <c r="A109" t="inlineStr">
        <is>
          <t>Tim Janowiak</t>
        </is>
      </c>
      <c r="B109" t="inlineStr">
        <is>
          <t>Sponsor</t>
        </is>
      </c>
      <c r="C109" t="inlineStr">
        <is>
          <t>VP, Operations</t>
        </is>
      </c>
      <c r="D109" t="inlineStr">
        <is>
          <t>MODE Global</t>
        </is>
      </c>
      <c r="E109" t="inlineStr">
        <is>
          <t>United States</t>
        </is>
      </c>
      <c r="H109" t="n">
        <v>28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>
        <f>IFERROR(INDEX('Company Hitlist'!$AA:$AA,MATCH(D109,'Company Hitlist'!$A:$A,0)),)</f>
        <v/>
      </c>
      <c r="O109">
        <f>IFERROR(INDEX('Company Hitlist'!$N:$N,MATCH(D109,'Company Hitlist'!$A:$A,0)),)</f>
        <v/>
      </c>
      <c r="Q109" t="inlineStr">
        <is>
          <t>todo</t>
        </is>
      </c>
    </row>
    <row r="110">
      <c r="A110" t="inlineStr">
        <is>
          <t>Jose Lama</t>
        </is>
      </c>
      <c r="B110" t="inlineStr">
        <is>
          <t>Sponsor</t>
        </is>
      </c>
      <c r="C110" t="inlineStr">
        <is>
          <t>Head of Operations</t>
        </is>
      </c>
      <c r="D110" t="inlineStr">
        <is>
          <t>MetaLearner</t>
        </is>
      </c>
      <c r="F110" t="inlineStr">
        <is>
          <t>Yes</t>
        </is>
      </c>
      <c r="H110" t="n">
        <v>28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>
        <f>IFERROR(INDEX('Company Hitlist'!$AA:$AA,MATCH(D110,'Company Hitlist'!$A:$A,0)),)</f>
        <v/>
      </c>
      <c r="O110">
        <f>IFERROR(INDEX('Company Hitlist'!$N:$N,MATCH(D110,'Company Hitlist'!$A:$A,0)),)</f>
        <v/>
      </c>
      <c r="Q110" t="inlineStr">
        <is>
          <t>todo</t>
        </is>
      </c>
    </row>
    <row r="111">
      <c r="A111" t="inlineStr">
        <is>
          <t>Jeremy Linder</t>
        </is>
      </c>
      <c r="B111" t="inlineStr">
        <is>
          <t>Sponsor</t>
        </is>
      </c>
      <c r="C111" t="inlineStr">
        <is>
          <t>Head of Strategic Operations</t>
        </is>
      </c>
      <c r="D111" t="inlineStr">
        <is>
          <t>Midmo Inc</t>
        </is>
      </c>
      <c r="F111" t="inlineStr">
        <is>
          <t>Yes</t>
        </is>
      </c>
      <c r="H111" t="n">
        <v>28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>
        <f>IFERROR(INDEX('Company Hitlist'!$AA:$AA,MATCH(D111,'Company Hitlist'!$A:$A,0)),)</f>
        <v/>
      </c>
      <c r="O111">
        <f>IFERROR(INDEX('Company Hitlist'!$N:$N,MATCH(D111,'Company Hitlist'!$A:$A,0)),)</f>
        <v/>
      </c>
      <c r="Q111" t="inlineStr">
        <is>
          <t>todo</t>
        </is>
      </c>
    </row>
    <row r="112">
      <c r="A112" t="inlineStr">
        <is>
          <t>Kelly Preczewski</t>
        </is>
      </c>
      <c r="B112" t="inlineStr">
        <is>
          <t>Sponsor</t>
        </is>
      </c>
      <c r="C112" t="inlineStr">
        <is>
          <t>VP Customer Operations</t>
        </is>
      </c>
      <c r="D112" t="inlineStr">
        <is>
          <t>Overhaul</t>
        </is>
      </c>
      <c r="E112" t="inlineStr">
        <is>
          <t>United States</t>
        </is>
      </c>
      <c r="F112" t="inlineStr">
        <is>
          <t>Yes</t>
        </is>
      </c>
      <c r="G112" t="inlineStr">
        <is>
          <t>131700000</t>
        </is>
      </c>
      <c r="H112" t="n">
        <v>28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>
        <f>IFERROR(INDEX('Company Hitlist'!$AA:$AA,MATCH(D112,'Company Hitlist'!$A:$A,0)),)</f>
        <v/>
      </c>
      <c r="O112">
        <f>IFERROR(INDEX('Company Hitlist'!$N:$N,MATCH(D112,'Company Hitlist'!$A:$A,0)),)</f>
        <v/>
      </c>
      <c r="Q112" t="inlineStr">
        <is>
          <t>todo</t>
        </is>
      </c>
    </row>
    <row r="113">
      <c r="A113" t="inlineStr">
        <is>
          <t>Kendra Phillips</t>
        </is>
      </c>
      <c r="B113" t="inlineStr">
        <is>
          <t>Sponsor</t>
        </is>
      </c>
      <c r="C113" t="inlineStr">
        <is>
          <t>VP Transportation Management &amp; Brokerage</t>
        </is>
      </c>
      <c r="D113" t="inlineStr">
        <is>
          <t>Ryder System, Inc.</t>
        </is>
      </c>
      <c r="F113" t="inlineStr">
        <is>
          <t>Yes</t>
        </is>
      </c>
      <c r="H113" t="n">
        <v>28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>
        <f>IFERROR(INDEX('Company Hitlist'!$AA:$AA,MATCH(D113,'Company Hitlist'!$A:$A,0)),)</f>
        <v/>
      </c>
      <c r="O113">
        <f>IFERROR(INDEX('Company Hitlist'!$N:$N,MATCH(D113,'Company Hitlist'!$A:$A,0)),)</f>
        <v/>
      </c>
      <c r="Q113" t="inlineStr">
        <is>
          <t>todo</t>
        </is>
      </c>
    </row>
    <row r="114">
      <c r="A114" t="inlineStr">
        <is>
          <t>Kristy Killingbeck</t>
        </is>
      </c>
      <c r="B114" t="inlineStr">
        <is>
          <t>Sponsor</t>
        </is>
      </c>
      <c r="C114" t="inlineStr">
        <is>
          <t>Vice President, Supply Chain Operations</t>
        </is>
      </c>
      <c r="D114" t="inlineStr">
        <is>
          <t>Ryder System, Inc.</t>
        </is>
      </c>
      <c r="E114" t="inlineStr">
        <is>
          <t>United States</t>
        </is>
      </c>
      <c r="H114" t="n">
        <v>28</v>
      </c>
      <c r="I114" t="b">
        <v>1</v>
      </c>
      <c r="J114" t="b">
        <v>1</v>
      </c>
      <c r="K114" t="b">
        <v>1</v>
      </c>
      <c r="L114" t="b">
        <v>0</v>
      </c>
      <c r="M114" t="b">
        <v>0</v>
      </c>
      <c r="N114">
        <f>IFERROR(INDEX('Company Hitlist'!$AA:$AA,MATCH(D114,'Company Hitlist'!$A:$A,0)),)</f>
        <v/>
      </c>
      <c r="O114">
        <f>IFERROR(INDEX('Company Hitlist'!$N:$N,MATCH(D114,'Company Hitlist'!$A:$A,0)),)</f>
        <v/>
      </c>
      <c r="Q114" t="inlineStr">
        <is>
          <t>todo</t>
        </is>
      </c>
    </row>
    <row r="115">
      <c r="A115" t="inlineStr">
        <is>
          <t>Gary Allen</t>
        </is>
      </c>
      <c r="B115" t="inlineStr">
        <is>
          <t>Sponsor</t>
        </is>
      </c>
      <c r="C115" t="inlineStr">
        <is>
          <t>VP Supply Chain Excellence</t>
        </is>
      </c>
      <c r="D115" t="inlineStr">
        <is>
          <t>Ryder System, Inc.</t>
        </is>
      </c>
      <c r="H115" t="n">
        <v>28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>
        <f>IFERROR(INDEX('Company Hitlist'!$AA:$AA,MATCH(D115,'Company Hitlist'!$A:$A,0)),)</f>
        <v/>
      </c>
      <c r="O115">
        <f>IFERROR(INDEX('Company Hitlist'!$N:$N,MATCH(D115,'Company Hitlist'!$A:$A,0)),)</f>
        <v/>
      </c>
      <c r="Q115" t="inlineStr">
        <is>
          <t>todo</t>
        </is>
      </c>
    </row>
    <row r="116">
      <c r="A116" t="inlineStr">
        <is>
          <t>Wilco Koers</t>
        </is>
      </c>
      <c r="B116" t="inlineStr">
        <is>
          <t>Sponsor</t>
        </is>
      </c>
      <c r="C116" t="inlineStr">
        <is>
          <t>Vice President Contract Logistics</t>
        </is>
      </c>
      <c r="D116" t="inlineStr">
        <is>
          <t>SAMSUNG SDS</t>
        </is>
      </c>
      <c r="E116" t="inlineStr">
        <is>
          <t>Netherlands</t>
        </is>
      </c>
      <c r="F116" t="inlineStr">
        <is>
          <t>Yes</t>
        </is>
      </c>
      <c r="G116" t="inlineStr">
        <is>
          <t>$14B (2025 est.)</t>
        </is>
      </c>
      <c r="H116" t="n">
        <v>28</v>
      </c>
      <c r="I116" t="b">
        <v>1</v>
      </c>
      <c r="J116" t="b">
        <v>1</v>
      </c>
      <c r="K116" t="b">
        <v>1</v>
      </c>
      <c r="L116" t="b">
        <v>0</v>
      </c>
      <c r="M116" t="b">
        <v>0</v>
      </c>
      <c r="N116">
        <f>IFERROR(INDEX('Company Hitlist'!$AA:$AA,MATCH(D116,'Company Hitlist'!$A:$A,0)),)</f>
        <v/>
      </c>
      <c r="O116">
        <f>IFERROR(INDEX('Company Hitlist'!$N:$N,MATCH(D116,'Company Hitlist'!$A:$A,0)),)</f>
        <v/>
      </c>
      <c r="Q116" t="inlineStr">
        <is>
          <t>todo</t>
        </is>
      </c>
    </row>
    <row r="117">
      <c r="A117" t="inlineStr">
        <is>
          <t>Rich Nemesi</t>
        </is>
      </c>
      <c r="B117" t="inlineStr">
        <is>
          <t>Sponsor</t>
        </is>
      </c>
      <c r="C117" t="inlineStr">
        <is>
          <t>General Manager, Supply Chain Visibility RFID</t>
        </is>
      </c>
      <c r="D117" t="inlineStr">
        <is>
          <t>SLS RFID</t>
        </is>
      </c>
      <c r="H117" t="n">
        <v>28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>
        <f>IFERROR(INDEX('Company Hitlist'!$AA:$AA,MATCH(D117,'Company Hitlist'!$A:$A,0)),)</f>
        <v/>
      </c>
      <c r="O117">
        <f>IFERROR(INDEX('Company Hitlist'!$N:$N,MATCH(D117,'Company Hitlist'!$A:$A,0)),)</f>
        <v/>
      </c>
      <c r="Q117" t="inlineStr">
        <is>
          <t>todo</t>
        </is>
      </c>
    </row>
    <row r="118">
      <c r="A118" t="inlineStr">
        <is>
          <t>Aaron Murphy</t>
        </is>
      </c>
      <c r="B118" t="inlineStr">
        <is>
          <t>Sponsor</t>
        </is>
      </c>
      <c r="C118" t="inlineStr">
        <is>
          <t>VP of Operations (Final Mile)</t>
        </is>
      </c>
      <c r="D118" t="inlineStr">
        <is>
          <t>SPEEDY DELIVERY LLC</t>
        </is>
      </c>
      <c r="E118" t="inlineStr">
        <is>
          <t>United States</t>
        </is>
      </c>
      <c r="F118" t="inlineStr">
        <is>
          <t>Yes</t>
        </is>
      </c>
      <c r="H118" t="n">
        <v>28</v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>
        <f>IFERROR(INDEX('Company Hitlist'!$AA:$AA,MATCH(D118,'Company Hitlist'!$A:$A,0)),)</f>
        <v/>
      </c>
      <c r="O118">
        <f>IFERROR(INDEX('Company Hitlist'!$N:$N,MATCH(D118,'Company Hitlist'!$A:$A,0)),)</f>
        <v/>
      </c>
      <c r="Q118" t="inlineStr">
        <is>
          <t>todo</t>
        </is>
      </c>
    </row>
    <row r="119">
      <c r="A119" t="inlineStr">
        <is>
          <t>Tim Meester</t>
        </is>
      </c>
      <c r="B119" t="inlineStr">
        <is>
          <t>Sponsor</t>
        </is>
      </c>
      <c r="C119" t="inlineStr">
        <is>
          <t>VP, Network Performance &amp; Intelligence</t>
        </is>
      </c>
      <c r="D119" t="inlineStr">
        <is>
          <t>Shipium</t>
        </is>
      </c>
      <c r="E119" t="inlineStr">
        <is>
          <t>United States</t>
        </is>
      </c>
      <c r="F119" t="inlineStr">
        <is>
          <t>Yes</t>
        </is>
      </c>
      <c r="H119" t="n">
        <v>28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>
        <f>IFERROR(INDEX('Company Hitlist'!$AA:$AA,MATCH(D119,'Company Hitlist'!$A:$A,0)),)</f>
        <v/>
      </c>
      <c r="O119">
        <f>IFERROR(INDEX('Company Hitlist'!$N:$N,MATCH(D119,'Company Hitlist'!$A:$A,0)),)</f>
        <v/>
      </c>
      <c r="Q119" t="inlineStr">
        <is>
          <t>todo</t>
        </is>
      </c>
    </row>
    <row r="120">
      <c r="A120" t="inlineStr">
        <is>
          <t>Heather Guerry</t>
        </is>
      </c>
      <c r="B120" t="inlineStr">
        <is>
          <t>Sponsor</t>
        </is>
      </c>
      <c r="C120" t="inlineStr">
        <is>
          <t>SVP Client Experience &amp; Operations</t>
        </is>
      </c>
      <c r="D120" t="inlineStr">
        <is>
          <t>Sifted</t>
        </is>
      </c>
      <c r="E120" t="inlineStr">
        <is>
          <t>United States</t>
        </is>
      </c>
      <c r="H120" t="n">
        <v>28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>
        <f>IFERROR(INDEX('Company Hitlist'!$AA:$AA,MATCH(D120,'Company Hitlist'!$A:$A,0)),)</f>
        <v/>
      </c>
      <c r="O120">
        <f>IFERROR(INDEX('Company Hitlist'!$N:$N,MATCH(D120,'Company Hitlist'!$A:$A,0)),)</f>
        <v/>
      </c>
      <c r="Q120" t="inlineStr">
        <is>
          <t>todo</t>
        </is>
      </c>
    </row>
    <row r="121">
      <c r="A121" t="inlineStr">
        <is>
          <t>Gustavo Carrillo</t>
        </is>
      </c>
      <c r="B121" t="inlineStr">
        <is>
          <t>Sponsor</t>
        </is>
      </c>
      <c r="C121" t="inlineStr">
        <is>
          <t>VP Transportation and Logistics</t>
        </is>
      </c>
      <c r="D121" t="inlineStr">
        <is>
          <t>Softtek</t>
        </is>
      </c>
      <c r="E121" t="inlineStr">
        <is>
          <t>United States</t>
        </is>
      </c>
      <c r="F121" t="inlineStr">
        <is>
          <t>Yes</t>
        </is>
      </c>
      <c r="H121" t="n">
        <v>28</v>
      </c>
      <c r="I121" t="b">
        <v>1</v>
      </c>
      <c r="J121" t="b">
        <v>1</v>
      </c>
      <c r="K121" t="b">
        <v>1</v>
      </c>
      <c r="L121" t="b">
        <v>0</v>
      </c>
      <c r="M121" t="b">
        <v>0</v>
      </c>
      <c r="N121">
        <f>IFERROR(INDEX('Company Hitlist'!$AA:$AA,MATCH(D121,'Company Hitlist'!$A:$A,0)),)</f>
        <v/>
      </c>
      <c r="O121">
        <f>IFERROR(INDEX('Company Hitlist'!$N:$N,MATCH(D121,'Company Hitlist'!$A:$A,0)),)</f>
        <v/>
      </c>
      <c r="Q121" t="inlineStr">
        <is>
          <t>todo</t>
        </is>
      </c>
    </row>
    <row r="122">
      <c r="A122" t="inlineStr">
        <is>
          <t>Chris Hayes</t>
        </is>
      </c>
      <c r="B122" t="inlineStr">
        <is>
          <t>Sponsor</t>
        </is>
      </c>
      <c r="C122" t="inlineStr">
        <is>
          <t>Head of Operations</t>
        </is>
      </c>
      <c r="D122" t="inlineStr">
        <is>
          <t>SphereWMS</t>
        </is>
      </c>
      <c r="E122" t="inlineStr">
        <is>
          <t>United States</t>
        </is>
      </c>
      <c r="F122" t="inlineStr">
        <is>
          <t>Yes</t>
        </is>
      </c>
      <c r="H122" t="n">
        <v>28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>
        <f>IFERROR(INDEX('Company Hitlist'!$AA:$AA,MATCH(D122,'Company Hitlist'!$A:$A,0)),)</f>
        <v/>
      </c>
      <c r="O122">
        <f>IFERROR(INDEX('Company Hitlist'!$N:$N,MATCH(D122,'Company Hitlist'!$A:$A,0)),)</f>
        <v/>
      </c>
      <c r="Q122" t="inlineStr">
        <is>
          <t>todo</t>
        </is>
      </c>
    </row>
    <row r="123">
      <c r="A123" t="inlineStr">
        <is>
          <t>Brandon Lairsen</t>
        </is>
      </c>
      <c r="B123" t="inlineStr">
        <is>
          <t>Sponsor</t>
        </is>
      </c>
      <c r="C123" t="inlineStr">
        <is>
          <t>Vice President, Fleet Leasing</t>
        </is>
      </c>
      <c r="D123" t="inlineStr">
        <is>
          <t>TEL</t>
        </is>
      </c>
      <c r="H123" t="n">
        <v>28</v>
      </c>
      <c r="I123" t="b">
        <v>1</v>
      </c>
      <c r="J123" t="b">
        <v>1</v>
      </c>
      <c r="K123" t="b">
        <v>1</v>
      </c>
      <c r="L123" t="b">
        <v>0</v>
      </c>
      <c r="M123" t="b">
        <v>0</v>
      </c>
      <c r="N123">
        <f>IFERROR(INDEX('Company Hitlist'!$AA:$AA,MATCH(D123,'Company Hitlist'!$A:$A,0)),)</f>
        <v/>
      </c>
      <c r="O123">
        <f>IFERROR(INDEX('Company Hitlist'!$N:$N,MATCH(D123,'Company Hitlist'!$A:$A,0)),)</f>
        <v/>
      </c>
      <c r="Q123" t="inlineStr">
        <is>
          <t>todo</t>
        </is>
      </c>
    </row>
    <row r="124">
      <c r="A124" t="inlineStr">
        <is>
          <t>Amy Whiteman</t>
        </is>
      </c>
      <c r="B124" t="inlineStr">
        <is>
          <t>Sponsor</t>
        </is>
      </c>
      <c r="C124" t="inlineStr">
        <is>
          <t>Sr. VP Strategic Ops</t>
        </is>
      </c>
      <c r="D124" t="inlineStr">
        <is>
          <t>TRUCKSTOP.COM</t>
        </is>
      </c>
      <c r="E124" t="inlineStr">
        <is>
          <t>United States</t>
        </is>
      </c>
      <c r="F124" t="inlineStr">
        <is>
          <t>Yes</t>
        </is>
      </c>
      <c r="H124" t="n">
        <v>28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>
        <f>IFERROR(INDEX('Company Hitlist'!$AA:$AA,MATCH(D124,'Company Hitlist'!$A:$A,0)),)</f>
        <v/>
      </c>
      <c r="O124">
        <f>IFERROR(INDEX('Company Hitlist'!$N:$N,MATCH(D124,'Company Hitlist'!$A:$A,0)),)</f>
        <v/>
      </c>
      <c r="Q124" t="inlineStr">
        <is>
          <t>todo</t>
        </is>
      </c>
    </row>
    <row r="125">
      <c r="A125" t="inlineStr">
        <is>
          <t>Jared Palmer</t>
        </is>
      </c>
      <c r="B125" t="inlineStr">
        <is>
          <t>Sponsor</t>
        </is>
      </c>
      <c r="C125" t="inlineStr">
        <is>
          <t>Head of Transportation &amp; Logistics</t>
        </is>
      </c>
      <c r="D125" t="inlineStr">
        <is>
          <t>Tint</t>
        </is>
      </c>
      <c r="E125" t="inlineStr">
        <is>
          <t>United States</t>
        </is>
      </c>
      <c r="H125" t="n">
        <v>28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>
        <f>IFERROR(INDEX('Company Hitlist'!$AA:$AA,MATCH(D125,'Company Hitlist'!$A:$A,0)),)</f>
        <v/>
      </c>
      <c r="O125">
        <f>IFERROR(INDEX('Company Hitlist'!$N:$N,MATCH(D125,'Company Hitlist'!$A:$A,0)),)</f>
        <v/>
      </c>
      <c r="Q125" t="inlineStr">
        <is>
          <t>todo</t>
        </is>
      </c>
    </row>
    <row r="126">
      <c r="A126" t="inlineStr">
        <is>
          <t>Peter Davis</t>
        </is>
      </c>
      <c r="B126" t="inlineStr">
        <is>
          <t>Sponsor</t>
        </is>
      </c>
      <c r="C126" t="inlineStr">
        <is>
          <t>Senior VP of Commercial Operations</t>
        </is>
      </c>
      <c r="D126" t="inlineStr">
        <is>
          <t>WSI | KASE</t>
        </is>
      </c>
      <c r="E126" t="inlineStr">
        <is>
          <t>United States</t>
        </is>
      </c>
      <c r="F126" t="inlineStr">
        <is>
          <t>Yes</t>
        </is>
      </c>
      <c r="H126" t="n">
        <v>28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>
        <f>IFERROR(INDEX('Company Hitlist'!$AA:$AA,MATCH(D126,'Company Hitlist'!$A:$A,0)),)</f>
        <v/>
      </c>
      <c r="O126">
        <f>IFERROR(INDEX('Company Hitlist'!$N:$N,MATCH(D126,'Company Hitlist'!$A:$A,0)),)</f>
        <v/>
      </c>
      <c r="Q126" t="inlineStr">
        <is>
          <t>todo</t>
        </is>
      </c>
    </row>
    <row r="127">
      <c r="A127" t="inlineStr">
        <is>
          <t>Elim Kuk</t>
        </is>
      </c>
      <c r="B127" t="inlineStr">
        <is>
          <t>Sponsor</t>
        </is>
      </c>
      <c r="C127" t="inlineStr">
        <is>
          <t>Head of Operations</t>
        </is>
      </c>
      <c r="D127" t="inlineStr">
        <is>
          <t>arnata</t>
        </is>
      </c>
      <c r="F127" t="inlineStr">
        <is>
          <t>Yes</t>
        </is>
      </c>
      <c r="H127" t="n">
        <v>28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>
        <f>IFERROR(INDEX('Company Hitlist'!$AA:$AA,MATCH(D127,'Company Hitlist'!$A:$A,0)),)</f>
        <v/>
      </c>
      <c r="O127">
        <f>IFERROR(INDEX('Company Hitlist'!$N:$N,MATCH(D127,'Company Hitlist'!$A:$A,0)),)</f>
        <v/>
      </c>
      <c r="Q127" t="inlineStr">
        <is>
          <t>todo</t>
        </is>
      </c>
    </row>
    <row r="128">
      <c r="A128" t="inlineStr">
        <is>
          <t>Joshua Dolan</t>
        </is>
      </c>
      <c r="B128" t="inlineStr">
        <is>
          <t>Attendee</t>
        </is>
      </c>
      <c r="C128" t="inlineStr">
        <is>
          <t>SVP Demand Chain &amp; Logistics</t>
        </is>
      </c>
      <c r="D128" t="inlineStr">
        <is>
          <t>7-Eleven</t>
        </is>
      </c>
      <c r="F128" t="inlineStr">
        <is>
          <t>Yes</t>
        </is>
      </c>
      <c r="H128" t="n">
        <v>26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>
        <f>IFERROR(INDEX('Company Hitlist'!$AA:$AA,MATCH(D128,'Company Hitlist'!$A:$A,0)),)</f>
        <v/>
      </c>
      <c r="O128">
        <f>IFERROR(INDEX('Company Hitlist'!$N:$N,MATCH(D128,'Company Hitlist'!$A:$A,0)),)</f>
        <v/>
      </c>
      <c r="Q128" t="inlineStr">
        <is>
          <t>todo</t>
        </is>
      </c>
    </row>
    <row r="129">
      <c r="A129" t="inlineStr">
        <is>
          <t>Jen Baiker</t>
        </is>
      </c>
      <c r="B129" t="inlineStr">
        <is>
          <t>Attendee</t>
        </is>
      </c>
      <c r="C129" t="inlineStr">
        <is>
          <t>Vice President - Transportation And Customer Promise</t>
        </is>
      </c>
      <c r="D129" t="inlineStr">
        <is>
          <t>AEO</t>
        </is>
      </c>
      <c r="F129" t="inlineStr">
        <is>
          <t>Yes</t>
        </is>
      </c>
      <c r="H129" t="n">
        <v>26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>
        <f>IFERROR(INDEX('Company Hitlist'!$AA:$AA,MATCH(D129,'Company Hitlist'!$A:$A,0)),)</f>
        <v/>
      </c>
      <c r="O129">
        <f>IFERROR(INDEX('Company Hitlist'!$N:$N,MATCH(D129,'Company Hitlist'!$A:$A,0)),)</f>
        <v/>
      </c>
      <c r="Q129" t="inlineStr">
        <is>
          <t>todo</t>
        </is>
      </c>
    </row>
    <row r="130">
      <c r="A130" t="inlineStr">
        <is>
          <t>Brandon Friez</t>
        </is>
      </c>
      <c r="B130" t="inlineStr">
        <is>
          <t>Attendee</t>
        </is>
      </c>
      <c r="C130" t="inlineStr">
        <is>
          <t>Senior Vice President - Global Logistics And Supply Chain Intelligence</t>
        </is>
      </c>
      <c r="D130" t="inlineStr">
        <is>
          <t>AEO</t>
        </is>
      </c>
      <c r="H130" t="n">
        <v>26</v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>
        <f>IFERROR(INDEX('Company Hitlist'!$AA:$AA,MATCH(D130,'Company Hitlist'!$A:$A,0)),)</f>
        <v/>
      </c>
      <c r="O130">
        <f>IFERROR(INDEX('Company Hitlist'!$N:$N,MATCH(D130,'Company Hitlist'!$A:$A,0)),)</f>
        <v/>
      </c>
      <c r="Q130" t="inlineStr">
        <is>
          <t>todo</t>
        </is>
      </c>
    </row>
    <row r="131">
      <c r="A131" t="inlineStr">
        <is>
          <t>Evan Rock</t>
        </is>
      </c>
      <c r="B131" t="inlineStr">
        <is>
          <t>Attendee</t>
        </is>
      </c>
      <c r="C131" t="inlineStr">
        <is>
          <t>Vice President Supply Chain Operations</t>
        </is>
      </c>
      <c r="D131" t="inlineStr">
        <is>
          <t>AEO Inc</t>
        </is>
      </c>
      <c r="H131" t="n">
        <v>26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>
        <f>IFERROR(INDEX('Company Hitlist'!$AA:$AA,MATCH(D131,'Company Hitlist'!$A:$A,0)),)</f>
        <v/>
      </c>
      <c r="O131">
        <f>IFERROR(INDEX('Company Hitlist'!$N:$N,MATCH(D131,'Company Hitlist'!$A:$A,0)),)</f>
        <v/>
      </c>
      <c r="Q131" t="inlineStr">
        <is>
          <t>todo</t>
        </is>
      </c>
    </row>
    <row r="132">
      <c r="A132" t="inlineStr">
        <is>
          <t>Joe DeFrancesco</t>
        </is>
      </c>
      <c r="B132" t="inlineStr">
        <is>
          <t>Attendee</t>
        </is>
      </c>
      <c r="C132" t="inlineStr">
        <is>
          <t>Head of Operations</t>
        </is>
      </c>
      <c r="D132" t="inlineStr">
        <is>
          <t>Acuity Brands</t>
        </is>
      </c>
      <c r="H132" t="n">
        <v>26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>
        <f>IFERROR(INDEX('Company Hitlist'!$AA:$AA,MATCH(D132,'Company Hitlist'!$A:$A,0)),)</f>
        <v/>
      </c>
      <c r="O132">
        <f>IFERROR(INDEX('Company Hitlist'!$N:$N,MATCH(D132,'Company Hitlist'!$A:$A,0)),)</f>
        <v/>
      </c>
      <c r="Q132" t="inlineStr">
        <is>
          <t>todo</t>
        </is>
      </c>
    </row>
    <row r="133">
      <c r="A133" t="inlineStr">
        <is>
          <t>Jason Meek</t>
        </is>
      </c>
      <c r="B133" t="inlineStr">
        <is>
          <t>Attendee</t>
        </is>
      </c>
      <c r="C133" t="inlineStr">
        <is>
          <t>VP of Operations</t>
        </is>
      </c>
      <c r="D133" t="inlineStr">
        <is>
          <t>Agforce Transport Services</t>
        </is>
      </c>
      <c r="E133" t="inlineStr">
        <is>
          <t>United States</t>
        </is>
      </c>
      <c r="F133" t="inlineStr">
        <is>
          <t>Yes</t>
        </is>
      </c>
      <c r="H133" t="n">
        <v>26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>
        <f>IFERROR(INDEX('Company Hitlist'!$AA:$AA,MATCH(D133,'Company Hitlist'!$A:$A,0)),)</f>
        <v/>
      </c>
      <c r="O133">
        <f>IFERROR(INDEX('Company Hitlist'!$N:$N,MATCH(D133,'Company Hitlist'!$A:$A,0)),)</f>
        <v/>
      </c>
      <c r="Q133" t="inlineStr">
        <is>
          <t>todo</t>
        </is>
      </c>
    </row>
    <row r="134">
      <c r="A134" t="inlineStr">
        <is>
          <t>Shaneel Kalan</t>
        </is>
      </c>
      <c r="B134" t="inlineStr">
        <is>
          <t>Attendee</t>
        </is>
      </c>
      <c r="C134" t="inlineStr">
        <is>
          <t>Head of Logistics - Americas</t>
        </is>
      </c>
      <c r="D134" t="inlineStr">
        <is>
          <t>Airbus</t>
        </is>
      </c>
      <c r="H134" t="n">
        <v>26</v>
      </c>
      <c r="I134" t="b">
        <v>1</v>
      </c>
      <c r="J134" t="b">
        <v>1</v>
      </c>
      <c r="K134" t="b">
        <v>1</v>
      </c>
      <c r="L134" t="b">
        <v>0</v>
      </c>
      <c r="M134" t="b">
        <v>0</v>
      </c>
      <c r="N134">
        <f>IFERROR(INDEX('Company Hitlist'!$AA:$AA,MATCH(D134,'Company Hitlist'!$A:$A,0)),)</f>
        <v/>
      </c>
      <c r="O134">
        <f>IFERROR(INDEX('Company Hitlist'!$N:$N,MATCH(D134,'Company Hitlist'!$A:$A,0)),)</f>
        <v/>
      </c>
      <c r="Q134" t="inlineStr">
        <is>
          <t>todo</t>
        </is>
      </c>
    </row>
    <row r="135">
      <c r="A135" t="inlineStr">
        <is>
          <t>Frank Mainolfi</t>
        </is>
      </c>
      <c r="B135" t="inlineStr">
        <is>
          <t>Attendee</t>
        </is>
      </c>
      <c r="C135" t="inlineStr">
        <is>
          <t>SVP of Logistics</t>
        </is>
      </c>
      <c r="D135" t="inlineStr">
        <is>
          <t>Ajinomoto Foods North America, Inc.</t>
        </is>
      </c>
      <c r="E135" t="inlineStr">
        <is>
          <t>United States</t>
        </is>
      </c>
      <c r="F135" t="inlineStr">
        <is>
          <t>Yes</t>
        </is>
      </c>
      <c r="H135" t="n">
        <v>26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>
        <f>IFERROR(INDEX('Company Hitlist'!$AA:$AA,MATCH(D135,'Company Hitlist'!$A:$A,0)),)</f>
        <v/>
      </c>
      <c r="O135">
        <f>IFERROR(INDEX('Company Hitlist'!$N:$N,MATCH(D135,'Company Hitlist'!$A:$A,0)),)</f>
        <v/>
      </c>
      <c r="Q135" t="inlineStr">
        <is>
          <t>todo</t>
        </is>
      </c>
    </row>
    <row r="136">
      <c r="A136" t="inlineStr">
        <is>
          <t>Gema Verdin</t>
        </is>
      </c>
      <c r="B136" t="inlineStr">
        <is>
          <t>Attendee</t>
        </is>
      </c>
      <c r="C136" t="inlineStr">
        <is>
          <t>Vice President of Supply Chain Management</t>
        </is>
      </c>
      <c r="D136" t="inlineStr">
        <is>
          <t>Ajinomoto Foods North America, Inc.</t>
        </is>
      </c>
      <c r="H136" t="n">
        <v>26</v>
      </c>
      <c r="I136" t="b">
        <v>1</v>
      </c>
      <c r="J136" t="b">
        <v>1</v>
      </c>
      <c r="K136" t="b">
        <v>1</v>
      </c>
      <c r="L136" t="b">
        <v>0</v>
      </c>
      <c r="M136" t="b">
        <v>0</v>
      </c>
      <c r="N136">
        <f>IFERROR(INDEX('Company Hitlist'!$AA:$AA,MATCH(D136,'Company Hitlist'!$A:$A,0)),)</f>
        <v/>
      </c>
      <c r="O136">
        <f>IFERROR(INDEX('Company Hitlist'!$N:$N,MATCH(D136,'Company Hitlist'!$A:$A,0)),)</f>
        <v/>
      </c>
      <c r="Q136" t="inlineStr">
        <is>
          <t>todo</t>
        </is>
      </c>
    </row>
    <row r="137">
      <c r="A137" t="inlineStr">
        <is>
          <t>Dave Newton</t>
        </is>
      </c>
      <c r="B137" t="inlineStr">
        <is>
          <t>Attendee</t>
        </is>
      </c>
      <c r="C137" t="inlineStr">
        <is>
          <t>VP Supply Chain Technology</t>
        </is>
      </c>
      <c r="D137" t="inlineStr">
        <is>
          <t>Albertsons Technology</t>
        </is>
      </c>
      <c r="E137" t="inlineStr">
        <is>
          <t>United States</t>
        </is>
      </c>
      <c r="H137" t="n">
        <v>26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>
        <f>IFERROR(INDEX('Company Hitlist'!$AA:$AA,MATCH(D137,'Company Hitlist'!$A:$A,0)),)</f>
        <v/>
      </c>
      <c r="O137">
        <f>IFERROR(INDEX('Company Hitlist'!$N:$N,MATCH(D137,'Company Hitlist'!$A:$A,0)),)</f>
        <v/>
      </c>
      <c r="Q137" t="inlineStr">
        <is>
          <t>todo</t>
        </is>
      </c>
    </row>
    <row r="138">
      <c r="A138" t="inlineStr">
        <is>
          <t>Brad Magnani</t>
        </is>
      </c>
      <c r="B138" t="inlineStr">
        <is>
          <t>Attendee</t>
        </is>
      </c>
      <c r="C138" t="inlineStr">
        <is>
          <t>VP WW Head of Technical Operations</t>
        </is>
      </c>
      <c r="D138" t="inlineStr">
        <is>
          <t>Alcatel-Lucent Enterprise</t>
        </is>
      </c>
      <c r="F138" t="inlineStr">
        <is>
          <t>Yes</t>
        </is>
      </c>
      <c r="G138" t="inlineStr">
        <is>
          <t>$1.2B (2024 est.; projected $1.3B in 2025)</t>
        </is>
      </c>
      <c r="H138" t="n">
        <v>26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>
        <f>IFERROR(INDEX('Company Hitlist'!$AA:$AA,MATCH(D138,'Company Hitlist'!$A:$A,0)),)</f>
        <v/>
      </c>
      <c r="O138">
        <f>IFERROR(INDEX('Company Hitlist'!$N:$N,MATCH(D138,'Company Hitlist'!$A:$A,0)),)</f>
        <v/>
      </c>
      <c r="Q138" t="inlineStr">
        <is>
          <t>todo</t>
        </is>
      </c>
    </row>
    <row r="139">
      <c r="A139" t="inlineStr">
        <is>
          <t>Yikun Shao</t>
        </is>
      </c>
      <c r="B139" t="inlineStr">
        <is>
          <t>Attendee</t>
        </is>
      </c>
      <c r="C139" t="inlineStr">
        <is>
          <t>Head of NA Supply Chain</t>
        </is>
      </c>
      <c r="D139" t="inlineStr">
        <is>
          <t>Alibaba.com</t>
        </is>
      </c>
      <c r="H139" t="n">
        <v>26</v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>
        <f>IFERROR(INDEX('Company Hitlist'!$AA:$AA,MATCH(D139,'Company Hitlist'!$A:$A,0)),)</f>
        <v/>
      </c>
      <c r="O139">
        <f>IFERROR(INDEX('Company Hitlist'!$N:$N,MATCH(D139,'Company Hitlist'!$A:$A,0)),)</f>
        <v/>
      </c>
      <c r="Q139" t="inlineStr">
        <is>
          <t>todo</t>
        </is>
      </c>
    </row>
    <row r="140">
      <c r="A140" t="inlineStr">
        <is>
          <t>Randy Nichols</t>
        </is>
      </c>
      <c r="B140" t="inlineStr">
        <is>
          <t>Attendee</t>
        </is>
      </c>
      <c r="C140" t="inlineStr">
        <is>
          <t>SVP, Operations</t>
        </is>
      </c>
      <c r="D140" t="inlineStr">
        <is>
          <t>Apothecary Products</t>
        </is>
      </c>
      <c r="H140" t="n">
        <v>26</v>
      </c>
      <c r="I140" t="b">
        <v>1</v>
      </c>
      <c r="J140" t="b">
        <v>1</v>
      </c>
      <c r="K140" t="b">
        <v>1</v>
      </c>
      <c r="L140" t="b">
        <v>0</v>
      </c>
      <c r="M140" t="b">
        <v>0</v>
      </c>
      <c r="N140">
        <f>IFERROR(INDEX('Company Hitlist'!$AA:$AA,MATCH(D140,'Company Hitlist'!$A:$A,0)),)</f>
        <v/>
      </c>
      <c r="O140">
        <f>IFERROR(INDEX('Company Hitlist'!$N:$N,MATCH(D140,'Company Hitlist'!$A:$A,0)),)</f>
        <v/>
      </c>
      <c r="Q140" t="inlineStr">
        <is>
          <t>todo</t>
        </is>
      </c>
    </row>
    <row r="141">
      <c r="A141" t="inlineStr">
        <is>
          <t>Mihir Wagh</t>
        </is>
      </c>
      <c r="B141" t="inlineStr">
        <is>
          <t>Attendee</t>
        </is>
      </c>
      <c r="C141" t="inlineStr">
        <is>
          <t>SVP, GSC Manufacturing &amp; Logistics</t>
        </is>
      </c>
      <c r="D141" t="inlineStr">
        <is>
          <t>Aristocrat Gaming</t>
        </is>
      </c>
      <c r="H141" t="n">
        <v>26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>
        <f>IFERROR(INDEX('Company Hitlist'!$AA:$AA,MATCH(D141,'Company Hitlist'!$A:$A,0)),)</f>
        <v/>
      </c>
      <c r="O141">
        <f>IFERROR(INDEX('Company Hitlist'!$N:$N,MATCH(D141,'Company Hitlist'!$A:$A,0)),)</f>
        <v/>
      </c>
      <c r="Q141" t="inlineStr">
        <is>
          <t>todo</t>
        </is>
      </c>
    </row>
    <row r="142">
      <c r="A142" t="inlineStr">
        <is>
          <t>Timothy Melland</t>
        </is>
      </c>
      <c r="B142" t="inlineStr">
        <is>
          <t>Attendee</t>
        </is>
      </c>
      <c r="C142" t="inlineStr">
        <is>
          <t>Vice President of Logistics</t>
        </is>
      </c>
      <c r="D142" t="inlineStr">
        <is>
          <t>Article</t>
        </is>
      </c>
      <c r="F142" t="inlineStr">
        <is>
          <t>Yes</t>
        </is>
      </c>
      <c r="H142" t="n">
        <v>26</v>
      </c>
      <c r="I142" t="b">
        <v>1</v>
      </c>
      <c r="J142" t="b">
        <v>1</v>
      </c>
      <c r="K142" t="b">
        <v>1</v>
      </c>
      <c r="L142" t="b">
        <v>0</v>
      </c>
      <c r="M142" t="b">
        <v>0</v>
      </c>
      <c r="N142">
        <f>IFERROR(INDEX('Company Hitlist'!$AA:$AA,MATCH(D142,'Company Hitlist'!$A:$A,0)),)</f>
        <v/>
      </c>
      <c r="O142">
        <f>IFERROR(INDEX('Company Hitlist'!$N:$N,MATCH(D142,'Company Hitlist'!$A:$A,0)),)</f>
        <v/>
      </c>
      <c r="Q142" t="inlineStr">
        <is>
          <t>todo</t>
        </is>
      </c>
    </row>
    <row r="143">
      <c r="A143" t="inlineStr">
        <is>
          <t>Rob Haynes</t>
        </is>
      </c>
      <c r="B143" t="inlineStr">
        <is>
          <t>Attendee</t>
        </is>
      </c>
      <c r="C143" t="inlineStr">
        <is>
          <t>Chief Supply Chain Officer</t>
        </is>
      </c>
      <c r="D143" t="inlineStr">
        <is>
          <t>Artizia</t>
        </is>
      </c>
      <c r="H143" t="n">
        <v>26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>
        <f>IFERROR(INDEX('Company Hitlist'!$AA:$AA,MATCH(D143,'Company Hitlist'!$A:$A,0)),)</f>
        <v/>
      </c>
      <c r="O143">
        <f>IFERROR(INDEX('Company Hitlist'!$N:$N,MATCH(D143,'Company Hitlist'!$A:$A,0)),)</f>
        <v/>
      </c>
      <c r="Q143" t="inlineStr">
        <is>
          <t>todo</t>
        </is>
      </c>
    </row>
    <row r="144">
      <c r="A144" t="inlineStr">
        <is>
          <t>Kevin Nohl</t>
        </is>
      </c>
      <c r="B144" t="inlineStr">
        <is>
          <t>Attendee</t>
        </is>
      </c>
      <c r="C144" t="inlineStr">
        <is>
          <t>SVP- Global Supply Chain</t>
        </is>
      </c>
      <c r="D144" t="inlineStr">
        <is>
          <t>Aterian</t>
        </is>
      </c>
      <c r="E144" t="inlineStr">
        <is>
          <t>United States</t>
        </is>
      </c>
      <c r="H144" t="n">
        <v>26</v>
      </c>
      <c r="I144" t="b">
        <v>1</v>
      </c>
      <c r="J144" t="b">
        <v>1</v>
      </c>
      <c r="K144" t="b">
        <v>1</v>
      </c>
      <c r="L144" t="b">
        <v>0</v>
      </c>
      <c r="M144" t="b">
        <v>0</v>
      </c>
      <c r="N144">
        <f>IFERROR(INDEX('Company Hitlist'!$AA:$AA,MATCH(D144,'Company Hitlist'!$A:$A,0)),)</f>
        <v/>
      </c>
      <c r="O144">
        <f>IFERROR(INDEX('Company Hitlist'!$N:$N,MATCH(D144,'Company Hitlist'!$A:$A,0)),)</f>
        <v/>
      </c>
      <c r="Q144" t="inlineStr">
        <is>
          <t>todo</t>
        </is>
      </c>
    </row>
    <row r="145">
      <c r="A145" t="inlineStr">
        <is>
          <t>Jacob Modrzynski</t>
        </is>
      </c>
      <c r="B145" t="inlineStr">
        <is>
          <t>Attendee</t>
        </is>
      </c>
      <c r="C145" t="inlineStr">
        <is>
          <t>Head of Supply Chain</t>
        </is>
      </c>
      <c r="D145" t="inlineStr">
        <is>
          <t>Aterian</t>
        </is>
      </c>
      <c r="H145" t="n">
        <v>26</v>
      </c>
      <c r="I145" t="b">
        <v>1</v>
      </c>
      <c r="J145" t="b">
        <v>1</v>
      </c>
      <c r="K145" t="b">
        <v>1</v>
      </c>
      <c r="L145" t="b">
        <v>0</v>
      </c>
      <c r="M145" t="b">
        <v>0</v>
      </c>
      <c r="N145">
        <f>IFERROR(INDEX('Company Hitlist'!$AA:$AA,MATCH(D145,'Company Hitlist'!$A:$A,0)),)</f>
        <v/>
      </c>
      <c r="O145">
        <f>IFERROR(INDEX('Company Hitlist'!$N:$N,MATCH(D145,'Company Hitlist'!$A:$A,0)),)</f>
        <v/>
      </c>
      <c r="Q145" t="inlineStr">
        <is>
          <t>todo</t>
        </is>
      </c>
    </row>
    <row r="146">
      <c r="A146" t="inlineStr">
        <is>
          <t>Cheng Cheng</t>
        </is>
      </c>
      <c r="B146" t="inlineStr">
        <is>
          <t>Attendee</t>
        </is>
      </c>
      <c r="C146" t="inlineStr">
        <is>
          <t>Head of Operations</t>
        </is>
      </c>
      <c r="D146" t="inlineStr">
        <is>
          <t>Augment</t>
        </is>
      </c>
      <c r="E146" t="inlineStr">
        <is>
          <t>United States</t>
        </is>
      </c>
      <c r="F146" t="inlineStr">
        <is>
          <t>Yes</t>
        </is>
      </c>
      <c r="H146" t="n">
        <v>26</v>
      </c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>
        <f>IFERROR(INDEX('Company Hitlist'!$AA:$AA,MATCH(D146,'Company Hitlist'!$A:$A,0)),)</f>
        <v/>
      </c>
      <c r="O146">
        <f>IFERROR(INDEX('Company Hitlist'!$N:$N,MATCH(D146,'Company Hitlist'!$A:$A,0)),)</f>
        <v/>
      </c>
      <c r="Q146" t="inlineStr">
        <is>
          <t>todo</t>
        </is>
      </c>
    </row>
    <row r="147">
      <c r="A147" t="inlineStr">
        <is>
          <t>Sebastian Bleser</t>
        </is>
      </c>
      <c r="B147" t="inlineStr">
        <is>
          <t>Attendee</t>
        </is>
      </c>
      <c r="C147" t="inlineStr">
        <is>
          <t>VP Supply Chain</t>
        </is>
      </c>
      <c r="D147" t="inlineStr">
        <is>
          <t>Autodoc SE</t>
        </is>
      </c>
      <c r="H147" t="n">
        <v>26</v>
      </c>
      <c r="I147" t="b">
        <v>1</v>
      </c>
      <c r="J147" t="b">
        <v>1</v>
      </c>
      <c r="K147" t="b">
        <v>1</v>
      </c>
      <c r="L147" t="b">
        <v>0</v>
      </c>
      <c r="M147" t="b">
        <v>0</v>
      </c>
      <c r="N147">
        <f>IFERROR(INDEX('Company Hitlist'!$AA:$AA,MATCH(D147,'Company Hitlist'!$A:$A,0)),)</f>
        <v/>
      </c>
      <c r="O147">
        <f>IFERROR(INDEX('Company Hitlist'!$N:$N,MATCH(D147,'Company Hitlist'!$A:$A,0)),)</f>
        <v/>
      </c>
      <c r="Q147" t="inlineStr">
        <is>
          <t>todo</t>
        </is>
      </c>
    </row>
    <row r="148">
      <c r="A148" t="inlineStr">
        <is>
          <t>Brit Videbeck</t>
        </is>
      </c>
      <c r="B148" t="inlineStr">
        <is>
          <t>Attendee</t>
        </is>
      </c>
      <c r="C148" t="inlineStr">
        <is>
          <t>Chief Supply Chain Officer</t>
        </is>
      </c>
      <c r="D148" t="inlineStr">
        <is>
          <t>Away</t>
        </is>
      </c>
      <c r="H148" t="n">
        <v>26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>
        <f>IFERROR(INDEX('Company Hitlist'!$AA:$AA,MATCH(D148,'Company Hitlist'!$A:$A,0)),)</f>
        <v/>
      </c>
      <c r="O148">
        <f>IFERROR(INDEX('Company Hitlist'!$N:$N,MATCH(D148,'Company Hitlist'!$A:$A,0)),)</f>
        <v/>
      </c>
      <c r="Q148" t="inlineStr">
        <is>
          <t>todo</t>
        </is>
      </c>
    </row>
    <row r="149">
      <c r="A149" t="inlineStr">
        <is>
          <t>Dylan Murphy</t>
        </is>
      </c>
      <c r="B149" t="inlineStr">
        <is>
          <t>Attendee</t>
        </is>
      </c>
      <c r="C149" t="inlineStr">
        <is>
          <t>President &amp; Chief Operations Officer</t>
        </is>
      </c>
      <c r="D149" t="inlineStr">
        <is>
          <t>Backhaul Direct</t>
        </is>
      </c>
      <c r="H149" t="n">
        <v>26</v>
      </c>
      <c r="I149" t="b">
        <v>1</v>
      </c>
      <c r="J149" t="b">
        <v>1</v>
      </c>
      <c r="K149" t="b">
        <v>1</v>
      </c>
      <c r="L149" t="b">
        <v>0</v>
      </c>
      <c r="M149" t="b">
        <v>0</v>
      </c>
      <c r="N149">
        <f>IFERROR(INDEX('Company Hitlist'!$AA:$AA,MATCH(D149,'Company Hitlist'!$A:$A,0)),)</f>
        <v/>
      </c>
      <c r="O149">
        <f>IFERROR(INDEX('Company Hitlist'!$N:$N,MATCH(D149,'Company Hitlist'!$A:$A,0)),)</f>
        <v/>
      </c>
      <c r="Q149" t="inlineStr">
        <is>
          <t>todo</t>
        </is>
      </c>
    </row>
    <row r="150">
      <c r="A150" t="inlineStr">
        <is>
          <t>Vera Ioele</t>
        </is>
      </c>
      <c r="B150" t="inlineStr">
        <is>
          <t>Attendee</t>
        </is>
      </c>
      <c r="C150" t="inlineStr">
        <is>
          <t>VP of Transportation</t>
        </is>
      </c>
      <c r="D150" t="inlineStr">
        <is>
          <t>Baja Fulfillment</t>
        </is>
      </c>
      <c r="E150" t="inlineStr">
        <is>
          <t>United States</t>
        </is>
      </c>
      <c r="F150" t="inlineStr">
        <is>
          <t>Yes</t>
        </is>
      </c>
      <c r="H150" t="n">
        <v>26</v>
      </c>
      <c r="I150" t="b">
        <v>1</v>
      </c>
      <c r="J150" t="b">
        <v>1</v>
      </c>
      <c r="K150" t="b">
        <v>1</v>
      </c>
      <c r="L150" t="b">
        <v>0</v>
      </c>
      <c r="M150" t="b">
        <v>0</v>
      </c>
      <c r="N150">
        <f>IFERROR(INDEX('Company Hitlist'!$AA:$AA,MATCH(D150,'Company Hitlist'!$A:$A,0)),)</f>
        <v/>
      </c>
      <c r="O150">
        <f>IFERROR(INDEX('Company Hitlist'!$N:$N,MATCH(D150,'Company Hitlist'!$A:$A,0)),)</f>
        <v/>
      </c>
      <c r="Q150" t="inlineStr">
        <is>
          <t>todo</t>
        </is>
      </c>
    </row>
    <row r="151">
      <c r="A151" t="inlineStr">
        <is>
          <t>Emily Shaw</t>
        </is>
      </c>
      <c r="B151" t="inlineStr">
        <is>
          <t>Attendee</t>
        </is>
      </c>
      <c r="C151" t="inlineStr">
        <is>
          <t>Head of Operations</t>
        </is>
      </c>
      <c r="D151" t="inlineStr">
        <is>
          <t>Bandit Running</t>
        </is>
      </c>
      <c r="F151" t="inlineStr">
        <is>
          <t>Yes</t>
        </is>
      </c>
      <c r="H151" t="n">
        <v>26</v>
      </c>
      <c r="I151" t="b">
        <v>1</v>
      </c>
      <c r="J151" t="b">
        <v>1</v>
      </c>
      <c r="K151" t="b">
        <v>1</v>
      </c>
      <c r="L151" t="b">
        <v>0</v>
      </c>
      <c r="M151" t="b">
        <v>0</v>
      </c>
      <c r="N151">
        <f>IFERROR(INDEX('Company Hitlist'!$AA:$AA,MATCH(D151,'Company Hitlist'!$A:$A,0)),)</f>
        <v/>
      </c>
      <c r="O151">
        <f>IFERROR(INDEX('Company Hitlist'!$N:$N,MATCH(D151,'Company Hitlist'!$A:$A,0)),)</f>
        <v/>
      </c>
      <c r="Q151" t="inlineStr">
        <is>
          <t>todo</t>
        </is>
      </c>
    </row>
    <row r="152">
      <c r="A152" t="inlineStr">
        <is>
          <t>James OLeary</t>
        </is>
      </c>
      <c r="B152" t="inlineStr">
        <is>
          <t>Attendee</t>
        </is>
      </c>
      <c r="C152" t="inlineStr">
        <is>
          <t>Chief Supply Chain Officer</t>
        </is>
      </c>
      <c r="D152" t="inlineStr">
        <is>
          <t>BarkBox</t>
        </is>
      </c>
      <c r="E152" t="inlineStr">
        <is>
          <t>United States</t>
        </is>
      </c>
      <c r="H152" t="n">
        <v>26</v>
      </c>
      <c r="I152" t="b">
        <v>1</v>
      </c>
      <c r="J152" t="b">
        <v>1</v>
      </c>
      <c r="K152" t="b">
        <v>1</v>
      </c>
      <c r="L152" t="b">
        <v>0</v>
      </c>
      <c r="M152" t="b">
        <v>0</v>
      </c>
      <c r="N152">
        <f>IFERROR(INDEX('Company Hitlist'!$AA:$AA,MATCH(D152,'Company Hitlist'!$A:$A,0)),)</f>
        <v/>
      </c>
      <c r="O152">
        <f>IFERROR(INDEX('Company Hitlist'!$N:$N,MATCH(D152,'Company Hitlist'!$A:$A,0)),)</f>
        <v/>
      </c>
      <c r="Q152" t="inlineStr">
        <is>
          <t>todo</t>
        </is>
      </c>
    </row>
    <row r="153">
      <c r="A153" t="inlineStr">
        <is>
          <t>Jeremia Venter</t>
        </is>
      </c>
      <c r="B153" t="inlineStr">
        <is>
          <t>Attendee</t>
        </is>
      </c>
      <c r="C153" t="inlineStr">
        <is>
          <t>Vice President of Supply Chain</t>
        </is>
      </c>
      <c r="D153" t="inlineStr">
        <is>
          <t>BarkBox</t>
        </is>
      </c>
      <c r="H153" t="n">
        <v>26</v>
      </c>
      <c r="I153" t="b">
        <v>1</v>
      </c>
      <c r="J153" t="b">
        <v>1</v>
      </c>
      <c r="K153" t="b">
        <v>1</v>
      </c>
      <c r="L153" t="b">
        <v>0</v>
      </c>
      <c r="M153" t="b">
        <v>0</v>
      </c>
      <c r="N153">
        <f>IFERROR(INDEX('Company Hitlist'!$AA:$AA,MATCH(D153,'Company Hitlist'!$A:$A,0)),)</f>
        <v/>
      </c>
      <c r="O153">
        <f>IFERROR(INDEX('Company Hitlist'!$N:$N,MATCH(D153,'Company Hitlist'!$A:$A,0)),)</f>
        <v/>
      </c>
      <c r="Q153" t="inlineStr">
        <is>
          <t>todo</t>
        </is>
      </c>
    </row>
    <row r="154">
      <c r="A154" t="inlineStr">
        <is>
          <t>Aleksandra Dobnikar</t>
        </is>
      </c>
      <c r="B154" t="inlineStr">
        <is>
          <t>Attendee</t>
        </is>
      </c>
      <c r="C154" t="inlineStr">
        <is>
          <t>Head of Supply Chain</t>
        </is>
      </c>
      <c r="D154" t="inlineStr">
        <is>
          <t>Bird Buddy</t>
        </is>
      </c>
      <c r="H154" t="n">
        <v>26</v>
      </c>
      <c r="I154" t="b">
        <v>1</v>
      </c>
      <c r="J154" t="b">
        <v>1</v>
      </c>
      <c r="K154" t="b">
        <v>1</v>
      </c>
      <c r="L154" t="b">
        <v>0</v>
      </c>
      <c r="M154" t="b">
        <v>0</v>
      </c>
      <c r="N154">
        <f>IFERROR(INDEX('Company Hitlist'!$AA:$AA,MATCH(D154,'Company Hitlist'!$A:$A,0)),)</f>
        <v/>
      </c>
      <c r="O154">
        <f>IFERROR(INDEX('Company Hitlist'!$N:$N,MATCH(D154,'Company Hitlist'!$A:$A,0)),)</f>
        <v/>
      </c>
      <c r="Q154" t="inlineStr">
        <is>
          <t>todo</t>
        </is>
      </c>
    </row>
    <row r="155">
      <c r="A155" t="inlineStr">
        <is>
          <t>Bruno Svanci</t>
        </is>
      </c>
      <c r="B155" t="inlineStr">
        <is>
          <t>Attendee</t>
        </is>
      </c>
      <c r="C155" t="inlineStr">
        <is>
          <t>Head of Supply Chain Technology</t>
        </is>
      </c>
      <c r="D155" t="inlineStr">
        <is>
          <t>Bloomberg</t>
        </is>
      </c>
      <c r="E155" t="inlineStr">
        <is>
          <t>United States</t>
        </is>
      </c>
      <c r="H155" t="n">
        <v>26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>
        <f>IFERROR(INDEX('Company Hitlist'!$AA:$AA,MATCH(D155,'Company Hitlist'!$A:$A,0)),)</f>
        <v/>
      </c>
      <c r="O155">
        <f>IFERROR(INDEX('Company Hitlist'!$N:$N,MATCH(D155,'Company Hitlist'!$A:$A,0)),)</f>
        <v/>
      </c>
      <c r="Q155" t="inlineStr">
        <is>
          <t>todo</t>
        </is>
      </c>
    </row>
    <row r="156">
      <c r="A156" t="inlineStr">
        <is>
          <t>Elliot Lourie</t>
        </is>
      </c>
      <c r="B156" t="inlineStr">
        <is>
          <t>Attendee</t>
        </is>
      </c>
      <c r="C156" t="inlineStr">
        <is>
          <t>Head of NA Supply Chain and Global S&amp;OP</t>
        </is>
      </c>
      <c r="D156" t="inlineStr">
        <is>
          <t>Blueair, Inc.</t>
        </is>
      </c>
      <c r="H156" t="n">
        <v>26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>
        <f>IFERROR(INDEX('Company Hitlist'!$AA:$AA,MATCH(D156,'Company Hitlist'!$A:$A,0)),)</f>
        <v/>
      </c>
      <c r="O156">
        <f>IFERROR(INDEX('Company Hitlist'!$N:$N,MATCH(D156,'Company Hitlist'!$A:$A,0)),)</f>
        <v/>
      </c>
      <c r="Q156" t="inlineStr">
        <is>
          <t>todo</t>
        </is>
      </c>
    </row>
    <row r="157">
      <c r="A157" t="inlineStr">
        <is>
          <t>Foster Kaman</t>
        </is>
      </c>
      <c r="B157" t="inlineStr">
        <is>
          <t>Attendee</t>
        </is>
      </c>
      <c r="C157" t="inlineStr">
        <is>
          <t>VP, Industry, Transportation &amp; Logistics</t>
        </is>
      </c>
      <c r="D157" t="inlineStr">
        <is>
          <t>Bridgenext</t>
        </is>
      </c>
      <c r="E157" t="inlineStr">
        <is>
          <t>United States</t>
        </is>
      </c>
      <c r="H157" t="n">
        <v>26</v>
      </c>
      <c r="I157" t="b">
        <v>1</v>
      </c>
      <c r="J157" t="b">
        <v>1</v>
      </c>
      <c r="K157" t="b">
        <v>1</v>
      </c>
      <c r="L157" t="b">
        <v>0</v>
      </c>
      <c r="M157" t="b">
        <v>0</v>
      </c>
      <c r="N157">
        <f>IFERROR(INDEX('Company Hitlist'!$AA:$AA,MATCH(D157,'Company Hitlist'!$A:$A,0)),)</f>
        <v/>
      </c>
      <c r="O157">
        <f>IFERROR(INDEX('Company Hitlist'!$N:$N,MATCH(D157,'Company Hitlist'!$A:$A,0)),)</f>
        <v/>
      </c>
      <c r="Q157" t="inlineStr">
        <is>
          <t>todo</t>
        </is>
      </c>
    </row>
    <row r="158">
      <c r="A158" t="inlineStr">
        <is>
          <t>Kyle Janisse</t>
        </is>
      </c>
      <c r="B158" t="inlineStr">
        <is>
          <t>Attendee</t>
        </is>
      </c>
      <c r="C158" t="inlineStr">
        <is>
          <t>VP of Operations</t>
        </is>
      </c>
      <c r="D158" t="inlineStr">
        <is>
          <t>Buchanan</t>
        </is>
      </c>
      <c r="H158" t="n">
        <v>26</v>
      </c>
      <c r="I158" t="b">
        <v>1</v>
      </c>
      <c r="J158" t="b">
        <v>1</v>
      </c>
      <c r="K158" t="b">
        <v>1</v>
      </c>
      <c r="L158" t="b">
        <v>0</v>
      </c>
      <c r="M158" t="b">
        <v>0</v>
      </c>
      <c r="N158">
        <f>IFERROR(INDEX('Company Hitlist'!$AA:$AA,MATCH(D158,'Company Hitlist'!$A:$A,0)),)</f>
        <v/>
      </c>
      <c r="O158">
        <f>IFERROR(INDEX('Company Hitlist'!$N:$N,MATCH(D158,'Company Hitlist'!$A:$A,0)),)</f>
        <v/>
      </c>
      <c r="Q158" t="inlineStr">
        <is>
          <t>todo</t>
        </is>
      </c>
    </row>
    <row r="159">
      <c r="A159" t="inlineStr">
        <is>
          <t>Brian Angle</t>
        </is>
      </c>
      <c r="B159" t="inlineStr">
        <is>
          <t>Attendee</t>
        </is>
      </c>
      <c r="C159" t="inlineStr">
        <is>
          <t>General Manager of Supply Chain</t>
        </is>
      </c>
      <c r="D159" t="inlineStr">
        <is>
          <t>Buffalo Rock</t>
        </is>
      </c>
      <c r="E159" t="inlineStr">
        <is>
          <t>United States</t>
        </is>
      </c>
      <c r="H159" t="n">
        <v>26</v>
      </c>
      <c r="I159" t="b">
        <v>1</v>
      </c>
      <c r="J159" t="b">
        <v>1</v>
      </c>
      <c r="K159" t="b">
        <v>1</v>
      </c>
      <c r="L159" t="b">
        <v>0</v>
      </c>
      <c r="M159" t="b">
        <v>0</v>
      </c>
      <c r="N159">
        <f>IFERROR(INDEX('Company Hitlist'!$AA:$AA,MATCH(D159,'Company Hitlist'!$A:$A,0)),)</f>
        <v/>
      </c>
      <c r="O159">
        <f>IFERROR(INDEX('Company Hitlist'!$N:$N,MATCH(D159,'Company Hitlist'!$A:$A,0)),)</f>
        <v/>
      </c>
      <c r="Q159" t="inlineStr">
        <is>
          <t>todo</t>
        </is>
      </c>
    </row>
    <row r="160">
      <c r="A160" t="inlineStr">
        <is>
          <t>Greg Norton</t>
        </is>
      </c>
      <c r="B160" t="inlineStr">
        <is>
          <t>Attendee</t>
        </is>
      </c>
      <c r="C160" t="inlineStr">
        <is>
          <t>VP of Operations</t>
        </is>
      </c>
      <c r="D160" t="inlineStr">
        <is>
          <t>Butcher Box</t>
        </is>
      </c>
      <c r="F160" t="inlineStr">
        <is>
          <t>Yes</t>
        </is>
      </c>
      <c r="H160" t="n">
        <v>26</v>
      </c>
      <c r="I160" t="b">
        <v>1</v>
      </c>
      <c r="J160" t="b">
        <v>1</v>
      </c>
      <c r="K160" t="b">
        <v>1</v>
      </c>
      <c r="L160" t="b">
        <v>0</v>
      </c>
      <c r="M160" t="b">
        <v>0</v>
      </c>
      <c r="N160">
        <f>IFERROR(INDEX('Company Hitlist'!$AA:$AA,MATCH(D160,'Company Hitlist'!$A:$A,0)),)</f>
        <v/>
      </c>
      <c r="O160">
        <f>IFERROR(INDEX('Company Hitlist'!$N:$N,MATCH(D160,'Company Hitlist'!$A:$A,0)),)</f>
        <v/>
      </c>
      <c r="Q160" t="inlineStr">
        <is>
          <t>todo</t>
        </is>
      </c>
    </row>
    <row r="161">
      <c r="A161" t="inlineStr">
        <is>
          <t>Anudeep Kuppampati</t>
        </is>
      </c>
      <c r="B161" t="inlineStr">
        <is>
          <t>Attendee</t>
        </is>
      </c>
      <c r="C161" t="inlineStr">
        <is>
          <t>Head of Supply Chain Systems</t>
        </is>
      </c>
      <c r="D161" t="inlineStr">
        <is>
          <t>Butcher Box</t>
        </is>
      </c>
      <c r="H161" t="n">
        <v>26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>
        <f>IFERROR(INDEX('Company Hitlist'!$AA:$AA,MATCH(D161,'Company Hitlist'!$A:$A,0)),)</f>
        <v/>
      </c>
      <c r="O161">
        <f>IFERROR(INDEX('Company Hitlist'!$N:$N,MATCH(D161,'Company Hitlist'!$A:$A,0)),)</f>
        <v/>
      </c>
      <c r="Q161" t="inlineStr">
        <is>
          <t>todo</t>
        </is>
      </c>
    </row>
    <row r="162">
      <c r="A162" t="inlineStr">
        <is>
          <t>Justin Cauley</t>
        </is>
      </c>
      <c r="B162" t="inlineStr">
        <is>
          <t>Attendee</t>
        </is>
      </c>
      <c r="C162" t="inlineStr">
        <is>
          <t>VP, Transportation</t>
        </is>
      </c>
      <c r="D162" t="inlineStr">
        <is>
          <t>CHS, Inc.</t>
        </is>
      </c>
      <c r="H162" t="n">
        <v>26</v>
      </c>
      <c r="I162" t="b">
        <v>1</v>
      </c>
      <c r="J162" t="b">
        <v>1</v>
      </c>
      <c r="K162" t="b">
        <v>1</v>
      </c>
      <c r="L162" t="b">
        <v>0</v>
      </c>
      <c r="M162" t="b">
        <v>0</v>
      </c>
      <c r="N162">
        <f>IFERROR(INDEX('Company Hitlist'!$AA:$AA,MATCH(D162,'Company Hitlist'!$A:$A,0)),)</f>
        <v/>
      </c>
      <c r="O162">
        <f>IFERROR(INDEX('Company Hitlist'!$N:$N,MATCH(D162,'Company Hitlist'!$A:$A,0)),)</f>
        <v/>
      </c>
      <c r="Q162" t="inlineStr">
        <is>
          <t>todo</t>
        </is>
      </c>
    </row>
    <row r="163">
      <c r="A163" t="inlineStr">
        <is>
          <t>Justin Potes</t>
        </is>
      </c>
      <c r="B163" t="inlineStr">
        <is>
          <t>Attendee</t>
        </is>
      </c>
      <c r="C163" t="inlineStr">
        <is>
          <t>VP, Fleet</t>
        </is>
      </c>
      <c r="D163" t="inlineStr">
        <is>
          <t>CHS, Inc.</t>
        </is>
      </c>
      <c r="H163" t="n">
        <v>26</v>
      </c>
      <c r="I163" t="b">
        <v>1</v>
      </c>
      <c r="J163" t="b">
        <v>1</v>
      </c>
      <c r="K163" t="b">
        <v>1</v>
      </c>
      <c r="L163" t="b">
        <v>0</v>
      </c>
      <c r="M163" t="b">
        <v>0</v>
      </c>
      <c r="N163">
        <f>IFERROR(INDEX('Company Hitlist'!$AA:$AA,MATCH(D163,'Company Hitlist'!$A:$A,0)),)</f>
        <v/>
      </c>
      <c r="O163">
        <f>IFERROR(INDEX('Company Hitlist'!$N:$N,MATCH(D163,'Company Hitlist'!$A:$A,0)),)</f>
        <v/>
      </c>
      <c r="Q163" t="inlineStr">
        <is>
          <t>todo</t>
        </is>
      </c>
    </row>
    <row r="164">
      <c r="A164" t="inlineStr">
        <is>
          <t>Charlie Cunnion</t>
        </is>
      </c>
      <c r="B164" t="inlineStr">
        <is>
          <t>Attendee</t>
        </is>
      </c>
      <c r="C164" t="inlineStr">
        <is>
          <t>VP Supply Chain &amp; Customer Service</t>
        </is>
      </c>
      <c r="D164" t="inlineStr">
        <is>
          <t>CMPC Forest Products</t>
        </is>
      </c>
      <c r="E164" t="inlineStr">
        <is>
          <t>United States</t>
        </is>
      </c>
      <c r="H164" t="n">
        <v>26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>
        <f>IFERROR(INDEX('Company Hitlist'!$AA:$AA,MATCH(D164,'Company Hitlist'!$A:$A,0)),)</f>
        <v/>
      </c>
      <c r="O164">
        <f>IFERROR(INDEX('Company Hitlist'!$N:$N,MATCH(D164,'Company Hitlist'!$A:$A,0)),)</f>
        <v/>
      </c>
      <c r="Q164" t="inlineStr">
        <is>
          <t>todo</t>
        </is>
      </c>
    </row>
    <row r="165">
      <c r="A165" t="inlineStr">
        <is>
          <t>Matt Gordon</t>
        </is>
      </c>
      <c r="B165" t="inlineStr">
        <is>
          <t>Attendee</t>
        </is>
      </c>
      <c r="C165" t="inlineStr">
        <is>
          <t>VP, Logistics</t>
        </is>
      </c>
      <c r="D165" t="inlineStr">
        <is>
          <t>CRH</t>
        </is>
      </c>
      <c r="H165" t="n">
        <v>26</v>
      </c>
      <c r="I165" t="b">
        <v>1</v>
      </c>
      <c r="J165" t="b">
        <v>1</v>
      </c>
      <c r="K165" t="b">
        <v>1</v>
      </c>
      <c r="L165" t="b">
        <v>0</v>
      </c>
      <c r="M165" t="b">
        <v>0</v>
      </c>
      <c r="N165">
        <f>IFERROR(INDEX('Company Hitlist'!$AA:$AA,MATCH(D165,'Company Hitlist'!$A:$A,0)),)</f>
        <v/>
      </c>
      <c r="O165">
        <f>IFERROR(INDEX('Company Hitlist'!$N:$N,MATCH(D165,'Company Hitlist'!$A:$A,0)),)</f>
        <v/>
      </c>
      <c r="Q165" t="inlineStr">
        <is>
          <t>todo</t>
        </is>
      </c>
    </row>
    <row r="166">
      <c r="A166" t="inlineStr">
        <is>
          <t>Carolina Antonini</t>
        </is>
      </c>
      <c r="B166" t="inlineStr">
        <is>
          <t>Attendee</t>
        </is>
      </c>
      <c r="C166" t="inlineStr">
        <is>
          <t>VP Operations and Supply Chain</t>
        </is>
      </c>
      <c r="D166" t="inlineStr">
        <is>
          <t>Capital Brands (Nutribullet)</t>
        </is>
      </c>
      <c r="E166" t="inlineStr">
        <is>
          <t>United States</t>
        </is>
      </c>
      <c r="H166" t="n">
        <v>26</v>
      </c>
      <c r="I166" t="b">
        <v>1</v>
      </c>
      <c r="J166" t="b">
        <v>1</v>
      </c>
      <c r="K166" t="b">
        <v>1</v>
      </c>
      <c r="L166" t="b">
        <v>0</v>
      </c>
      <c r="M166" t="b">
        <v>0</v>
      </c>
      <c r="N166">
        <f>IFERROR(INDEX('Company Hitlist'!$AA:$AA,MATCH(D166,'Company Hitlist'!$A:$A,0)),)</f>
        <v/>
      </c>
      <c r="O166">
        <f>IFERROR(INDEX('Company Hitlist'!$N:$N,MATCH(D166,'Company Hitlist'!$A:$A,0)),)</f>
        <v/>
      </c>
      <c r="Q166" t="inlineStr">
        <is>
          <t>todo</t>
        </is>
      </c>
    </row>
    <row r="167">
      <c r="A167" t="inlineStr">
        <is>
          <t>Mark Riskowitz</t>
        </is>
      </c>
      <c r="B167" t="inlineStr">
        <is>
          <t>Attendee</t>
        </is>
      </c>
      <c r="C167" t="inlineStr">
        <is>
          <t>VP, Operations</t>
        </is>
      </c>
      <c r="D167" t="inlineStr">
        <is>
          <t>Caraway</t>
        </is>
      </c>
      <c r="F167" t="inlineStr">
        <is>
          <t>Yes</t>
        </is>
      </c>
      <c r="G167" t="inlineStr">
        <is>
          <t>$50M (2024 est.; projected $60M in 2025)</t>
        </is>
      </c>
      <c r="H167" t="n">
        <v>26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>
        <f>IFERROR(INDEX('Company Hitlist'!$AA:$AA,MATCH(D167,'Company Hitlist'!$A:$A,0)),)</f>
        <v/>
      </c>
      <c r="O167">
        <f>IFERROR(INDEX('Company Hitlist'!$N:$N,MATCH(D167,'Company Hitlist'!$A:$A,0)),)</f>
        <v/>
      </c>
      <c r="Q167" t="inlineStr">
        <is>
          <t>todo</t>
        </is>
      </c>
    </row>
    <row r="168">
      <c r="A168" t="inlineStr">
        <is>
          <t>Scott Murray</t>
        </is>
      </c>
      <c r="B168" t="inlineStr">
        <is>
          <t>Attendee</t>
        </is>
      </c>
      <c r="C168" t="inlineStr">
        <is>
          <t>VP of Operations</t>
        </is>
      </c>
      <c r="D168" t="inlineStr">
        <is>
          <t>CartonCloud</t>
        </is>
      </c>
      <c r="E168" t="inlineStr">
        <is>
          <t>Australia</t>
        </is>
      </c>
      <c r="F168" t="inlineStr">
        <is>
          <t>Yes</t>
        </is>
      </c>
      <c r="H168" t="n">
        <v>26</v>
      </c>
      <c r="I168" t="b">
        <v>1</v>
      </c>
      <c r="J168" t="b">
        <v>1</v>
      </c>
      <c r="K168" t="b">
        <v>1</v>
      </c>
      <c r="L168" t="b">
        <v>0</v>
      </c>
      <c r="M168" t="b">
        <v>0</v>
      </c>
      <c r="N168">
        <f>IFERROR(INDEX('Company Hitlist'!$AA:$AA,MATCH(D168,'Company Hitlist'!$A:$A,0)),)</f>
        <v/>
      </c>
      <c r="O168">
        <f>IFERROR(INDEX('Company Hitlist'!$N:$N,MATCH(D168,'Company Hitlist'!$A:$A,0)),)</f>
        <v/>
      </c>
      <c r="Q168" t="inlineStr">
        <is>
          <t>todo</t>
        </is>
      </c>
    </row>
    <row r="169">
      <c r="A169" t="inlineStr">
        <is>
          <t>Carlos Harper</t>
        </is>
      </c>
      <c r="B169" t="inlineStr">
        <is>
          <t>Attendee</t>
        </is>
      </c>
      <c r="C169" t="inlineStr">
        <is>
          <t>Head of North America Operations</t>
        </is>
      </c>
      <c r="D169" t="inlineStr">
        <is>
          <t>Castlery</t>
        </is>
      </c>
      <c r="E169" t="inlineStr">
        <is>
          <t>United States</t>
        </is>
      </c>
      <c r="F169" t="inlineStr">
        <is>
          <t>Yes</t>
        </is>
      </c>
      <c r="H169" t="n">
        <v>26</v>
      </c>
      <c r="I169" t="b">
        <v>1</v>
      </c>
      <c r="J169" t="b">
        <v>1</v>
      </c>
      <c r="K169" t="b">
        <v>1</v>
      </c>
      <c r="L169" t="b">
        <v>0</v>
      </c>
      <c r="M169" t="b">
        <v>0</v>
      </c>
      <c r="N169">
        <f>IFERROR(INDEX('Company Hitlist'!$AA:$AA,MATCH(D169,'Company Hitlist'!$A:$A,0)),)</f>
        <v/>
      </c>
      <c r="O169">
        <f>IFERROR(INDEX('Company Hitlist'!$N:$N,MATCH(D169,'Company Hitlist'!$A:$A,0)),)</f>
        <v/>
      </c>
      <c r="Q169" t="inlineStr">
        <is>
          <t>todo</t>
        </is>
      </c>
    </row>
    <row r="170">
      <c r="A170" t="inlineStr">
        <is>
          <t>Margaret Poorman</t>
        </is>
      </c>
      <c r="B170" t="inlineStr">
        <is>
          <t>Attendee</t>
        </is>
      </c>
      <c r="C170" t="inlineStr">
        <is>
          <t>Vice President, Integrated Logistics</t>
        </is>
      </c>
      <c r="D170" t="inlineStr">
        <is>
          <t>Caterpillar</t>
        </is>
      </c>
      <c r="E170" t="inlineStr">
        <is>
          <t>United States</t>
        </is>
      </c>
      <c r="H170" t="n">
        <v>26</v>
      </c>
      <c r="I170" t="b">
        <v>1</v>
      </c>
      <c r="J170" t="b">
        <v>1</v>
      </c>
      <c r="K170" t="b">
        <v>1</v>
      </c>
      <c r="L170" t="b">
        <v>0</v>
      </c>
      <c r="M170" t="b">
        <v>0</v>
      </c>
      <c r="N170">
        <f>IFERROR(INDEX('Company Hitlist'!$AA:$AA,MATCH(D170,'Company Hitlist'!$A:$A,0)),)</f>
        <v/>
      </c>
      <c r="O170">
        <f>IFERROR(INDEX('Company Hitlist'!$N:$N,MATCH(D170,'Company Hitlist'!$A:$A,0)),)</f>
        <v/>
      </c>
      <c r="Q170" t="inlineStr">
        <is>
          <t>todo</t>
        </is>
      </c>
    </row>
    <row r="171">
      <c r="A171" t="inlineStr">
        <is>
          <t>Alejandro Obelink</t>
        </is>
      </c>
      <c r="B171" t="inlineStr">
        <is>
          <t>Attendee</t>
        </is>
      </c>
      <c r="C171" t="inlineStr">
        <is>
          <t>VP of Logistics</t>
        </is>
      </c>
      <c r="D171" t="inlineStr">
        <is>
          <t>Cemex</t>
        </is>
      </c>
      <c r="H171" t="n">
        <v>26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>
        <f>IFERROR(INDEX('Company Hitlist'!$AA:$AA,MATCH(D171,'Company Hitlist'!$A:$A,0)),)</f>
        <v/>
      </c>
      <c r="O171">
        <f>IFERROR(INDEX('Company Hitlist'!$N:$N,MATCH(D171,'Company Hitlist'!$A:$A,0)),)</f>
        <v/>
      </c>
      <c r="Q171" t="inlineStr">
        <is>
          <t>todo</t>
        </is>
      </c>
    </row>
    <row r="172">
      <c r="A172" t="inlineStr">
        <is>
          <t>Shalil Fernandes</t>
        </is>
      </c>
      <c r="B172" t="inlineStr">
        <is>
          <t>Attendee</t>
        </is>
      </c>
      <c r="C172" t="inlineStr">
        <is>
          <t>VP of Supply Chain</t>
        </is>
      </c>
      <c r="D172" t="inlineStr">
        <is>
          <t>Cerrowire</t>
        </is>
      </c>
      <c r="H172" t="n">
        <v>26</v>
      </c>
      <c r="I172" t="b">
        <v>1</v>
      </c>
      <c r="J172" t="b">
        <v>1</v>
      </c>
      <c r="K172" t="b">
        <v>1</v>
      </c>
      <c r="L172" t="b">
        <v>0</v>
      </c>
      <c r="M172" t="b">
        <v>0</v>
      </c>
      <c r="N172">
        <f>IFERROR(INDEX('Company Hitlist'!$AA:$AA,MATCH(D172,'Company Hitlist'!$A:$A,0)),)</f>
        <v/>
      </c>
      <c r="O172">
        <f>IFERROR(INDEX('Company Hitlist'!$N:$N,MATCH(D172,'Company Hitlist'!$A:$A,0)),)</f>
        <v/>
      </c>
      <c r="Q172" t="inlineStr">
        <is>
          <t>todo</t>
        </is>
      </c>
    </row>
    <row r="173">
      <c r="A173" t="inlineStr">
        <is>
          <t>Amy Augustine</t>
        </is>
      </c>
      <c r="B173" t="inlineStr">
        <is>
          <t>Attendee</t>
        </is>
      </c>
      <c r="C173" t="inlineStr">
        <is>
          <t>VP of Operations and Supply Chain</t>
        </is>
      </c>
      <c r="D173" t="inlineStr">
        <is>
          <t>Champro</t>
        </is>
      </c>
      <c r="H173" t="n">
        <v>26</v>
      </c>
      <c r="I173" t="b">
        <v>1</v>
      </c>
      <c r="J173" t="b">
        <v>1</v>
      </c>
      <c r="K173" t="b">
        <v>1</v>
      </c>
      <c r="L173" t="b">
        <v>0</v>
      </c>
      <c r="M173" t="b">
        <v>0</v>
      </c>
      <c r="N173">
        <f>IFERROR(INDEX('Company Hitlist'!$AA:$AA,MATCH(D173,'Company Hitlist'!$A:$A,0)),)</f>
        <v/>
      </c>
      <c r="O173">
        <f>IFERROR(INDEX('Company Hitlist'!$N:$N,MATCH(D173,'Company Hitlist'!$A:$A,0)),)</f>
        <v/>
      </c>
      <c r="Q173" t="inlineStr">
        <is>
          <t>todo</t>
        </is>
      </c>
    </row>
    <row r="174">
      <c r="A174" t="inlineStr">
        <is>
          <t>Jerry Wolfe</t>
        </is>
      </c>
      <c r="B174" t="inlineStr">
        <is>
          <t>Attendee</t>
        </is>
      </c>
      <c r="C174" t="inlineStr">
        <is>
          <t>VP, Supply Chain</t>
        </is>
      </c>
      <c r="D174" t="inlineStr">
        <is>
          <t>Church &amp; Dwight</t>
        </is>
      </c>
      <c r="H174" t="n">
        <v>26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>
        <f>IFERROR(INDEX('Company Hitlist'!$AA:$AA,MATCH(D174,'Company Hitlist'!$A:$A,0)),)</f>
        <v/>
      </c>
      <c r="O174">
        <f>IFERROR(INDEX('Company Hitlist'!$N:$N,MATCH(D174,'Company Hitlist'!$A:$A,0)),)</f>
        <v/>
      </c>
      <c r="Q174" t="inlineStr">
        <is>
          <t>todo</t>
        </is>
      </c>
    </row>
    <row r="175">
      <c r="A175" t="inlineStr">
        <is>
          <t>Matt Duffy</t>
        </is>
      </c>
      <c r="B175" t="inlineStr">
        <is>
          <t>Attendee</t>
        </is>
      </c>
      <c r="C175" t="inlineStr">
        <is>
          <t>VP, Supply Chain Strategy</t>
        </is>
      </c>
      <c r="D175" t="inlineStr">
        <is>
          <t>Church &amp; Dwight</t>
        </is>
      </c>
      <c r="H175" t="n">
        <v>26</v>
      </c>
      <c r="I175" t="b">
        <v>1</v>
      </c>
      <c r="J175" t="b">
        <v>1</v>
      </c>
      <c r="K175" t="b">
        <v>1</v>
      </c>
      <c r="L175" t="b">
        <v>0</v>
      </c>
      <c r="M175" t="b">
        <v>0</v>
      </c>
      <c r="N175">
        <f>IFERROR(INDEX('Company Hitlist'!$AA:$AA,MATCH(D175,'Company Hitlist'!$A:$A,0)),)</f>
        <v/>
      </c>
      <c r="O175">
        <f>IFERROR(INDEX('Company Hitlist'!$N:$N,MATCH(D175,'Company Hitlist'!$A:$A,0)),)</f>
        <v/>
      </c>
      <c r="Q175" t="inlineStr">
        <is>
          <t>todo</t>
        </is>
      </c>
    </row>
    <row r="176">
      <c r="A176" t="inlineStr">
        <is>
          <t>Doug Platz</t>
        </is>
      </c>
      <c r="B176" t="inlineStr">
        <is>
          <t>Attendee</t>
        </is>
      </c>
      <c r="C176" t="inlineStr">
        <is>
          <t>Head of Supplier Network</t>
        </is>
      </c>
      <c r="D176" t="inlineStr">
        <is>
          <t>Cofactr</t>
        </is>
      </c>
      <c r="E176" t="inlineStr">
        <is>
          <t>United States</t>
        </is>
      </c>
      <c r="F176" t="inlineStr">
        <is>
          <t>Yes</t>
        </is>
      </c>
      <c r="H176" t="n">
        <v>26</v>
      </c>
      <c r="I176" t="b">
        <v>1</v>
      </c>
      <c r="J176" t="b">
        <v>1</v>
      </c>
      <c r="K176" t="b">
        <v>1</v>
      </c>
      <c r="L176" t="b">
        <v>0</v>
      </c>
      <c r="M176" t="b">
        <v>0</v>
      </c>
      <c r="N176">
        <f>IFERROR(INDEX('Company Hitlist'!$AA:$AA,MATCH(D176,'Company Hitlist'!$A:$A,0)),)</f>
        <v/>
      </c>
      <c r="O176">
        <f>IFERROR(INDEX('Company Hitlist'!$N:$N,MATCH(D176,'Company Hitlist'!$A:$A,0)),)</f>
        <v/>
      </c>
      <c r="Q176" t="inlineStr">
        <is>
          <t>todo</t>
        </is>
      </c>
    </row>
    <row r="177">
      <c r="A177" t="inlineStr">
        <is>
          <t>Aimee Tousignant</t>
        </is>
      </c>
      <c r="B177" t="inlineStr">
        <is>
          <t>Attendee</t>
        </is>
      </c>
      <c r="C177" t="inlineStr">
        <is>
          <t>VP, Customer Supply Chain and PMO</t>
        </is>
      </c>
      <c r="D177" t="inlineStr">
        <is>
          <t>Conagra Brands</t>
        </is>
      </c>
      <c r="E177" t="inlineStr">
        <is>
          <t>United States</t>
        </is>
      </c>
      <c r="H177" t="n">
        <v>26</v>
      </c>
      <c r="I177" t="b">
        <v>1</v>
      </c>
      <c r="J177" t="b">
        <v>1</v>
      </c>
      <c r="K177" t="b">
        <v>1</v>
      </c>
      <c r="L177" t="b">
        <v>0</v>
      </c>
      <c r="M177" t="b">
        <v>0</v>
      </c>
      <c r="N177">
        <f>IFERROR(INDEX('Company Hitlist'!$AA:$AA,MATCH(D177,'Company Hitlist'!$A:$A,0)),)</f>
        <v/>
      </c>
      <c r="O177">
        <f>IFERROR(INDEX('Company Hitlist'!$N:$N,MATCH(D177,'Company Hitlist'!$A:$A,0)),)</f>
        <v/>
      </c>
      <c r="Q177" t="inlineStr">
        <is>
          <t>todo</t>
        </is>
      </c>
    </row>
    <row r="178">
      <c r="A178" t="inlineStr">
        <is>
          <t>Aimee Tousignant</t>
        </is>
      </c>
      <c r="B178" t="inlineStr">
        <is>
          <t>Attendee</t>
        </is>
      </c>
      <c r="C178" t="inlineStr">
        <is>
          <t>Vice President Customer Supply Chain and PMO</t>
        </is>
      </c>
      <c r="D178" t="inlineStr">
        <is>
          <t>Conagra Brands</t>
        </is>
      </c>
      <c r="H178" t="n">
        <v>26</v>
      </c>
      <c r="I178" t="b">
        <v>1</v>
      </c>
      <c r="J178" t="b">
        <v>1</v>
      </c>
      <c r="K178" t="b">
        <v>1</v>
      </c>
      <c r="L178" t="b">
        <v>0</v>
      </c>
      <c r="M178" t="b">
        <v>0</v>
      </c>
      <c r="N178">
        <f>IFERROR(INDEX('Company Hitlist'!$AA:$AA,MATCH(D178,'Company Hitlist'!$A:$A,0)),)</f>
        <v/>
      </c>
      <c r="O178">
        <f>IFERROR(INDEX('Company Hitlist'!$N:$N,MATCH(D178,'Company Hitlist'!$A:$A,0)),)</f>
        <v/>
      </c>
      <c r="Q178" t="inlineStr">
        <is>
          <t>todo</t>
        </is>
      </c>
    </row>
    <row r="179">
      <c r="A179" t="inlineStr">
        <is>
          <t>John Webster</t>
        </is>
      </c>
      <c r="B179" t="inlineStr">
        <is>
          <t>Attendee</t>
        </is>
      </c>
      <c r="C179" t="inlineStr">
        <is>
          <t>VP of Logistics</t>
        </is>
      </c>
      <c r="D179" t="inlineStr">
        <is>
          <t>ContinuServe</t>
        </is>
      </c>
      <c r="E179" t="inlineStr">
        <is>
          <t>United States</t>
        </is>
      </c>
      <c r="H179" t="n">
        <v>26</v>
      </c>
      <c r="I179" t="b">
        <v>1</v>
      </c>
      <c r="J179" t="b">
        <v>1</v>
      </c>
      <c r="K179" t="b">
        <v>1</v>
      </c>
      <c r="L179" t="b">
        <v>0</v>
      </c>
      <c r="M179" t="b">
        <v>0</v>
      </c>
      <c r="N179">
        <f>IFERROR(INDEX('Company Hitlist'!$AA:$AA,MATCH(D179,'Company Hitlist'!$A:$A,0)),)</f>
        <v/>
      </c>
      <c r="O179">
        <f>IFERROR(INDEX('Company Hitlist'!$N:$N,MATCH(D179,'Company Hitlist'!$A:$A,0)),)</f>
        <v/>
      </c>
      <c r="Q179" t="inlineStr">
        <is>
          <t>todo</t>
        </is>
      </c>
    </row>
    <row r="180">
      <c r="A180" t="inlineStr">
        <is>
          <t>Joaquin Ortiz</t>
        </is>
      </c>
      <c r="B180" t="inlineStr">
        <is>
          <t>Attendee</t>
        </is>
      </c>
      <c r="C180" t="inlineStr">
        <is>
          <t>Vice President of Logistics</t>
        </is>
      </c>
      <c r="D180" t="inlineStr">
        <is>
          <t>Coppel</t>
        </is>
      </c>
      <c r="F180" t="inlineStr">
        <is>
          <t>Yes</t>
        </is>
      </c>
      <c r="H180" t="n">
        <v>26</v>
      </c>
      <c r="I180" t="b">
        <v>1</v>
      </c>
      <c r="J180" t="b">
        <v>1</v>
      </c>
      <c r="K180" t="b">
        <v>1</v>
      </c>
      <c r="L180" t="b">
        <v>0</v>
      </c>
      <c r="M180" t="b">
        <v>0</v>
      </c>
      <c r="N180">
        <f>IFERROR(INDEX('Company Hitlist'!$AA:$AA,MATCH(D180,'Company Hitlist'!$A:$A,0)),)</f>
        <v/>
      </c>
      <c r="O180">
        <f>IFERROR(INDEX('Company Hitlist'!$N:$N,MATCH(D180,'Company Hitlist'!$A:$A,0)),)</f>
        <v/>
      </c>
      <c r="Q180" t="inlineStr">
        <is>
          <t>todo</t>
        </is>
      </c>
    </row>
    <row r="181">
      <c r="A181" t="inlineStr">
        <is>
          <t>Jim Massengill</t>
        </is>
      </c>
      <c r="B181" t="inlineStr">
        <is>
          <t>Attendee</t>
        </is>
      </c>
      <c r="C181" t="inlineStr">
        <is>
          <t>SVP, Warehouse Operations</t>
        </is>
      </c>
      <c r="D181" t="inlineStr">
        <is>
          <t>Covenant Logistics</t>
        </is>
      </c>
      <c r="E181" t="inlineStr">
        <is>
          <t>United States</t>
        </is>
      </c>
      <c r="F181" t="inlineStr">
        <is>
          <t>Yes</t>
        </is>
      </c>
      <c r="G181" t="inlineStr">
        <is>
          <t>$1.1B (2024; projected $1.2B in 2025)</t>
        </is>
      </c>
      <c r="H181" t="n">
        <v>26</v>
      </c>
      <c r="I181" t="b">
        <v>1</v>
      </c>
      <c r="J181" t="b">
        <v>1</v>
      </c>
      <c r="K181" t="b">
        <v>1</v>
      </c>
      <c r="L181" t="b">
        <v>0</v>
      </c>
      <c r="M181" t="b">
        <v>0</v>
      </c>
      <c r="N181">
        <f>IFERROR(INDEX('Company Hitlist'!$AA:$AA,MATCH(D181,'Company Hitlist'!$A:$A,0)),)</f>
        <v/>
      </c>
      <c r="O181">
        <f>IFERROR(INDEX('Company Hitlist'!$N:$N,MATCH(D181,'Company Hitlist'!$A:$A,0)),)</f>
        <v/>
      </c>
      <c r="Q181" t="inlineStr">
        <is>
          <t>todo</t>
        </is>
      </c>
    </row>
    <row r="182">
      <c r="A182" t="inlineStr">
        <is>
          <t>Richard McNish</t>
        </is>
      </c>
      <c r="B182" t="inlineStr">
        <is>
          <t>Attendee</t>
        </is>
      </c>
      <c r="C182" t="inlineStr">
        <is>
          <t>EVP, Shipping and Logistics</t>
        </is>
      </c>
      <c r="D182" t="inlineStr">
        <is>
          <t>Cover Genius</t>
        </is>
      </c>
      <c r="E182" t="inlineStr">
        <is>
          <t>United States</t>
        </is>
      </c>
      <c r="H182" t="n">
        <v>26</v>
      </c>
      <c r="I182" t="b">
        <v>1</v>
      </c>
      <c r="J182" t="b">
        <v>1</v>
      </c>
      <c r="K182" t="b">
        <v>1</v>
      </c>
      <c r="L182" t="b">
        <v>0</v>
      </c>
      <c r="M182" t="b">
        <v>0</v>
      </c>
      <c r="N182">
        <f>IFERROR(INDEX('Company Hitlist'!$AA:$AA,MATCH(D182,'Company Hitlist'!$A:$A,0)),)</f>
        <v/>
      </c>
      <c r="O182">
        <f>IFERROR(INDEX('Company Hitlist'!$N:$N,MATCH(D182,'Company Hitlist'!$A:$A,0)),)</f>
        <v/>
      </c>
      <c r="Q182" t="inlineStr">
        <is>
          <t>todo</t>
        </is>
      </c>
    </row>
    <row r="183">
      <c r="A183" t="inlineStr">
        <is>
          <t>Ricardo Emmanuel Garcia Caballero</t>
        </is>
      </c>
      <c r="B183" t="inlineStr">
        <is>
          <t>Attendee</t>
        </is>
      </c>
      <c r="C183" t="inlineStr">
        <is>
          <t>Supply Chain &amp; Logistics VP</t>
        </is>
      </c>
      <c r="D183" t="inlineStr">
        <is>
          <t>DEACERO</t>
        </is>
      </c>
      <c r="H183" t="n">
        <v>26</v>
      </c>
      <c r="I183" t="b">
        <v>1</v>
      </c>
      <c r="J183" t="b">
        <v>1</v>
      </c>
      <c r="K183" t="b">
        <v>1</v>
      </c>
      <c r="L183" t="b">
        <v>0</v>
      </c>
      <c r="M183" t="b">
        <v>0</v>
      </c>
      <c r="N183">
        <f>IFERROR(INDEX('Company Hitlist'!$AA:$AA,MATCH(D183,'Company Hitlist'!$A:$A,0)),)</f>
        <v/>
      </c>
      <c r="O183">
        <f>IFERROR(INDEX('Company Hitlist'!$N:$N,MATCH(D183,'Company Hitlist'!$A:$A,0)),)</f>
        <v/>
      </c>
      <c r="Q183" t="inlineStr">
        <is>
          <t>todo</t>
        </is>
      </c>
    </row>
    <row r="184">
      <c r="A184" t="inlineStr">
        <is>
          <t>Rakuya Artis</t>
        </is>
      </c>
      <c r="B184" t="inlineStr">
        <is>
          <t>Attendee</t>
        </is>
      </c>
      <c r="C184" t="inlineStr">
        <is>
          <t>Vice President, Global Operations and Supply Chain</t>
        </is>
      </c>
      <c r="D184" t="inlineStr">
        <is>
          <t>DESTACO</t>
        </is>
      </c>
      <c r="H184" t="n">
        <v>26</v>
      </c>
      <c r="I184" t="b">
        <v>1</v>
      </c>
      <c r="J184" t="b">
        <v>1</v>
      </c>
      <c r="K184" t="b">
        <v>1</v>
      </c>
      <c r="L184" t="b">
        <v>0</v>
      </c>
      <c r="M184" t="b">
        <v>0</v>
      </c>
      <c r="N184">
        <f>IFERROR(INDEX('Company Hitlist'!$AA:$AA,MATCH(D184,'Company Hitlist'!$A:$A,0)),)</f>
        <v/>
      </c>
      <c r="O184">
        <f>IFERROR(INDEX('Company Hitlist'!$N:$N,MATCH(D184,'Company Hitlist'!$A:$A,0)),)</f>
        <v/>
      </c>
      <c r="Q184" t="inlineStr">
        <is>
          <t>todo</t>
        </is>
      </c>
    </row>
    <row r="185">
      <c r="A185" t="inlineStr">
        <is>
          <t>Brendan Reinert</t>
        </is>
      </c>
      <c r="B185" t="inlineStr">
        <is>
          <t>Attendee</t>
        </is>
      </c>
      <c r="C185" t="inlineStr">
        <is>
          <t>Vice President of Operations</t>
        </is>
      </c>
      <c r="D185" t="inlineStr">
        <is>
          <t>DHL Supply Chain</t>
        </is>
      </c>
      <c r="E185" t="inlineStr">
        <is>
          <t>United States</t>
        </is>
      </c>
      <c r="F185" t="inlineStr">
        <is>
          <t>Yes</t>
        </is>
      </c>
      <c r="G185" t="inlineStr">
        <is>
          <t>$80B (2024; projected $82B in 2025)</t>
        </is>
      </c>
      <c r="H185" t="n">
        <v>26</v>
      </c>
      <c r="I185" t="b">
        <v>1</v>
      </c>
      <c r="J185" t="b">
        <v>1</v>
      </c>
      <c r="K185" t="b">
        <v>1</v>
      </c>
      <c r="L185" t="b">
        <v>0</v>
      </c>
      <c r="M185" t="b">
        <v>0</v>
      </c>
      <c r="N185">
        <f>IFERROR(INDEX('Company Hitlist'!$AA:$AA,MATCH(D185,'Company Hitlist'!$A:$A,0)),)</f>
        <v/>
      </c>
      <c r="O185">
        <f>IFERROR(INDEX('Company Hitlist'!$N:$N,MATCH(D185,'Company Hitlist'!$A:$A,0)),)</f>
        <v/>
      </c>
      <c r="Q185" t="inlineStr">
        <is>
          <t>todo</t>
        </is>
      </c>
    </row>
    <row r="186">
      <c r="A186" t="inlineStr">
        <is>
          <t>Scott Casciato</t>
        </is>
      </c>
      <c r="B186" t="inlineStr">
        <is>
          <t>Attendee</t>
        </is>
      </c>
      <c r="C186" t="inlineStr">
        <is>
          <t>VP, Global Logistics &amp; Omnichannel Fulfillment</t>
        </is>
      </c>
      <c r="D186" t="inlineStr">
        <is>
          <t>DICK'S Sporting Goods</t>
        </is>
      </c>
      <c r="F186" t="inlineStr">
        <is>
          <t>Yes</t>
        </is>
      </c>
      <c r="G186" t="inlineStr">
        <is>
          <t>$13B (2024; projected $13.5B in 2025)</t>
        </is>
      </c>
      <c r="H186" t="n">
        <v>26</v>
      </c>
      <c r="I186" t="b">
        <v>1</v>
      </c>
      <c r="J186" t="b">
        <v>1</v>
      </c>
      <c r="K186" t="b">
        <v>1</v>
      </c>
      <c r="L186" t="b">
        <v>0</v>
      </c>
      <c r="M186" t="b">
        <v>0</v>
      </c>
      <c r="N186">
        <f>IFERROR(INDEX('Company Hitlist'!$AA:$AA,MATCH(D186,'Company Hitlist'!$A:$A,0)),)</f>
        <v/>
      </c>
      <c r="O186">
        <f>IFERROR(INDEX('Company Hitlist'!$N:$N,MATCH(D186,'Company Hitlist'!$A:$A,0)),)</f>
        <v/>
      </c>
      <c r="Q186" t="inlineStr">
        <is>
          <t>todo</t>
        </is>
      </c>
    </row>
    <row r="187">
      <c r="A187" t="inlineStr">
        <is>
          <t>Cathy Sidaphay</t>
        </is>
      </c>
      <c r="B187" t="inlineStr">
        <is>
          <t>Attendee</t>
        </is>
      </c>
      <c r="C187" t="inlineStr">
        <is>
          <t>VP Global Transport and Logistics</t>
        </is>
      </c>
      <c r="D187" t="inlineStr">
        <is>
          <t>DSV</t>
        </is>
      </c>
      <c r="E187" t="inlineStr">
        <is>
          <t>United States</t>
        </is>
      </c>
      <c r="F187" t="inlineStr">
        <is>
          <t>Yes</t>
        </is>
      </c>
      <c r="H187" t="n">
        <v>26</v>
      </c>
      <c r="I187" t="b">
        <v>1</v>
      </c>
      <c r="J187" t="b">
        <v>1</v>
      </c>
      <c r="K187" t="b">
        <v>1</v>
      </c>
      <c r="L187" t="b">
        <v>0</v>
      </c>
      <c r="M187" t="b">
        <v>0</v>
      </c>
      <c r="N187">
        <f>IFERROR(INDEX('Company Hitlist'!$AA:$AA,MATCH(D187,'Company Hitlist'!$A:$A,0)),)</f>
        <v/>
      </c>
      <c r="O187">
        <f>IFERROR(INDEX('Company Hitlist'!$N:$N,MATCH(D187,'Company Hitlist'!$A:$A,0)),)</f>
        <v/>
      </c>
      <c r="Q187" t="inlineStr">
        <is>
          <t>todo</t>
        </is>
      </c>
    </row>
    <row r="188">
      <c r="A188" t="inlineStr">
        <is>
          <t>Brad Adams</t>
        </is>
      </c>
      <c r="B188" t="inlineStr">
        <is>
          <t>Attendee</t>
        </is>
      </c>
      <c r="C188" t="inlineStr">
        <is>
          <t>Vice President of Logistics</t>
        </is>
      </c>
      <c r="D188" t="inlineStr">
        <is>
          <t>Dairy Famers of America</t>
        </is>
      </c>
      <c r="H188" t="n">
        <v>26</v>
      </c>
      <c r="I188" t="b">
        <v>1</v>
      </c>
      <c r="J188" t="b">
        <v>1</v>
      </c>
      <c r="K188" t="b">
        <v>1</v>
      </c>
      <c r="L188" t="b">
        <v>0</v>
      </c>
      <c r="M188" t="b">
        <v>0</v>
      </c>
      <c r="N188">
        <f>IFERROR(INDEX('Company Hitlist'!$AA:$AA,MATCH(D188,'Company Hitlist'!$A:$A,0)),)</f>
        <v/>
      </c>
      <c r="O188">
        <f>IFERROR(INDEX('Company Hitlist'!$N:$N,MATCH(D188,'Company Hitlist'!$A:$A,0)),)</f>
        <v/>
      </c>
      <c r="Q188" t="inlineStr">
        <is>
          <t>todo</t>
        </is>
      </c>
    </row>
    <row r="189">
      <c r="A189" t="inlineStr">
        <is>
          <t>Ailen Fee</t>
        </is>
      </c>
      <c r="B189" t="inlineStr">
        <is>
          <t>Attendee</t>
        </is>
      </c>
      <c r="C189" t="inlineStr">
        <is>
          <t>SVP of Operations</t>
        </is>
      </c>
      <c r="D189" t="inlineStr">
        <is>
          <t>Dandy</t>
        </is>
      </c>
      <c r="F189" t="inlineStr">
        <is>
          <t>Yes</t>
        </is>
      </c>
      <c r="H189" t="n">
        <v>26</v>
      </c>
      <c r="I189" t="b">
        <v>1</v>
      </c>
      <c r="J189" t="b">
        <v>1</v>
      </c>
      <c r="K189" t="b">
        <v>1</v>
      </c>
      <c r="L189" t="b">
        <v>0</v>
      </c>
      <c r="M189" t="b">
        <v>0</v>
      </c>
      <c r="N189">
        <f>IFERROR(INDEX('Company Hitlist'!$AA:$AA,MATCH(D189,'Company Hitlist'!$A:$A,0)),)</f>
        <v/>
      </c>
      <c r="O189">
        <f>IFERROR(INDEX('Company Hitlist'!$N:$N,MATCH(D189,'Company Hitlist'!$A:$A,0)),)</f>
        <v/>
      </c>
      <c r="Q189" t="inlineStr">
        <is>
          <t>todo</t>
        </is>
      </c>
    </row>
    <row r="190">
      <c r="A190" t="inlineStr">
        <is>
          <t>Juan Ramon Del Rio Garza</t>
        </is>
      </c>
      <c r="B190" t="inlineStr">
        <is>
          <t>Attendee</t>
        </is>
      </c>
      <c r="C190" t="inlineStr">
        <is>
          <t>SVP Operations</t>
        </is>
      </c>
      <c r="D190" t="inlineStr">
        <is>
          <t>Deacero</t>
        </is>
      </c>
      <c r="H190" t="n">
        <v>26</v>
      </c>
      <c r="I190" t="b">
        <v>1</v>
      </c>
      <c r="J190" t="b">
        <v>1</v>
      </c>
      <c r="K190" t="b">
        <v>1</v>
      </c>
      <c r="L190" t="b">
        <v>0</v>
      </c>
      <c r="M190" t="b">
        <v>0</v>
      </c>
      <c r="N190">
        <f>IFERROR(INDEX('Company Hitlist'!$AA:$AA,MATCH(D190,'Company Hitlist'!$A:$A,0)),)</f>
        <v/>
      </c>
      <c r="O190">
        <f>IFERROR(INDEX('Company Hitlist'!$N:$N,MATCH(D190,'Company Hitlist'!$A:$A,0)),)</f>
        <v/>
      </c>
      <c r="Q190" t="inlineStr">
        <is>
          <t>todo</t>
        </is>
      </c>
    </row>
    <row r="191">
      <c r="A191" t="inlineStr">
        <is>
          <t>Shawn Graves</t>
        </is>
      </c>
      <c r="B191" t="inlineStr">
        <is>
          <t>Attendee</t>
        </is>
      </c>
      <c r="C191" t="inlineStr">
        <is>
          <t>Vice President Transportation NA</t>
        </is>
      </c>
      <c r="D191" t="inlineStr">
        <is>
          <t>Del Monte</t>
        </is>
      </c>
      <c r="F191" t="inlineStr">
        <is>
          <t>Yes</t>
        </is>
      </c>
      <c r="H191" t="n">
        <v>26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>
        <f>IFERROR(INDEX('Company Hitlist'!$AA:$AA,MATCH(D191,'Company Hitlist'!$A:$A,0)),)</f>
        <v/>
      </c>
      <c r="O191">
        <f>IFERROR(INDEX('Company Hitlist'!$N:$N,MATCH(D191,'Company Hitlist'!$A:$A,0)),)</f>
        <v/>
      </c>
      <c r="Q191" t="inlineStr">
        <is>
          <t>todo</t>
        </is>
      </c>
    </row>
    <row r="192">
      <c r="A192" t="inlineStr">
        <is>
          <t>John McGuinn</t>
        </is>
      </c>
      <c r="B192" t="inlineStr">
        <is>
          <t>Attendee</t>
        </is>
      </c>
      <c r="C192" t="inlineStr">
        <is>
          <t>VP Operations</t>
        </is>
      </c>
      <c r="D192" t="inlineStr">
        <is>
          <t>Dermalogica</t>
        </is>
      </c>
      <c r="F192" t="inlineStr">
        <is>
          <t>Yes</t>
        </is>
      </c>
      <c r="H192" t="n">
        <v>26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>
        <f>IFERROR(INDEX('Company Hitlist'!$AA:$AA,MATCH(D192,'Company Hitlist'!$A:$A,0)),)</f>
        <v/>
      </c>
      <c r="O192">
        <f>IFERROR(INDEX('Company Hitlist'!$N:$N,MATCH(D192,'Company Hitlist'!$A:$A,0)),)</f>
        <v/>
      </c>
      <c r="Q192" t="inlineStr">
        <is>
          <t>todo</t>
        </is>
      </c>
    </row>
    <row r="193">
      <c r="A193" t="inlineStr">
        <is>
          <t>David Davis</t>
        </is>
      </c>
      <c r="B193" t="inlineStr">
        <is>
          <t>Attendee</t>
        </is>
      </c>
      <c r="C193" t="inlineStr">
        <is>
          <t>VP, Distribution and Transportation</t>
        </is>
      </c>
      <c r="D193" t="inlineStr">
        <is>
          <t>Discount Tire</t>
        </is>
      </c>
      <c r="E193" t="inlineStr">
        <is>
          <t>United States</t>
        </is>
      </c>
      <c r="F193" t="inlineStr">
        <is>
          <t>Yes</t>
        </is>
      </c>
      <c r="H193" t="n">
        <v>26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>
        <f>IFERROR(INDEX('Company Hitlist'!$AA:$AA,MATCH(D193,'Company Hitlist'!$A:$A,0)),)</f>
        <v/>
      </c>
      <c r="O193">
        <f>IFERROR(INDEX('Company Hitlist'!$N:$N,MATCH(D193,'Company Hitlist'!$A:$A,0)),)</f>
        <v/>
      </c>
      <c r="Q193" t="inlineStr">
        <is>
          <t>todo</t>
        </is>
      </c>
    </row>
    <row r="194">
      <c r="A194" t="inlineStr">
        <is>
          <t>Alex McCoy</t>
        </is>
      </c>
      <c r="B194" t="inlineStr">
        <is>
          <t>Attendee</t>
        </is>
      </c>
      <c r="C194" t="inlineStr">
        <is>
          <t>VP of DC Operations</t>
        </is>
      </c>
      <c r="D194" t="inlineStr">
        <is>
          <t>Distribution Management</t>
        </is>
      </c>
      <c r="F194" t="inlineStr">
        <is>
          <t>Yes</t>
        </is>
      </c>
      <c r="G194" t="inlineStr">
        <is>
          <t>800000000</t>
        </is>
      </c>
      <c r="H194" t="n">
        <v>26</v>
      </c>
      <c r="I194" t="b">
        <v>1</v>
      </c>
      <c r="J194" t="b">
        <v>1</v>
      </c>
      <c r="K194" t="b">
        <v>1</v>
      </c>
      <c r="L194" t="b">
        <v>0</v>
      </c>
      <c r="M194" t="b">
        <v>0</v>
      </c>
      <c r="N194">
        <f>IFERROR(INDEX('Company Hitlist'!$AA:$AA,MATCH(D194,'Company Hitlist'!$A:$A,0)),)</f>
        <v/>
      </c>
      <c r="O194">
        <f>IFERROR(INDEX('Company Hitlist'!$N:$N,MATCH(D194,'Company Hitlist'!$A:$A,0)),)</f>
        <v/>
      </c>
      <c r="Q194" t="inlineStr">
        <is>
          <t>todo</t>
        </is>
      </c>
    </row>
    <row r="195">
      <c r="A195" t="inlineStr">
        <is>
          <t>Michael Letzter</t>
        </is>
      </c>
      <c r="B195" t="inlineStr">
        <is>
          <t>Attendee</t>
        </is>
      </c>
      <c r="C195" t="inlineStr">
        <is>
          <t>President, Warehousing and Fulfillment</t>
        </is>
      </c>
      <c r="D195" t="inlineStr">
        <is>
          <t>Diverse Logistics Services</t>
        </is>
      </c>
      <c r="E195" t="inlineStr">
        <is>
          <t>United States</t>
        </is>
      </c>
      <c r="H195" t="n">
        <v>26</v>
      </c>
      <c r="I195" t="b">
        <v>1</v>
      </c>
      <c r="J195" t="b">
        <v>1</v>
      </c>
      <c r="K195" t="b">
        <v>1</v>
      </c>
      <c r="L195" t="b">
        <v>0</v>
      </c>
      <c r="M195" t="b">
        <v>0</v>
      </c>
      <c r="N195">
        <f>IFERROR(INDEX('Company Hitlist'!$AA:$AA,MATCH(D195,'Company Hitlist'!$A:$A,0)),)</f>
        <v/>
      </c>
      <c r="O195">
        <f>IFERROR(INDEX('Company Hitlist'!$N:$N,MATCH(D195,'Company Hitlist'!$A:$A,0)),)</f>
        <v/>
      </c>
      <c r="Q195" t="inlineStr">
        <is>
          <t>todo</t>
        </is>
      </c>
    </row>
    <row r="196">
      <c r="A196" t="inlineStr">
        <is>
          <t>Dennis Ivey</t>
        </is>
      </c>
      <c r="B196" t="inlineStr">
        <is>
          <t>Attendee</t>
        </is>
      </c>
      <c r="C196" t="inlineStr">
        <is>
          <t>President, Delivery Operations</t>
        </is>
      </c>
      <c r="D196" t="inlineStr">
        <is>
          <t>Diverse Logistics and Distribution</t>
        </is>
      </c>
      <c r="E196" t="inlineStr">
        <is>
          <t>United States</t>
        </is>
      </c>
      <c r="H196" t="n">
        <v>26</v>
      </c>
      <c r="I196" t="b">
        <v>1</v>
      </c>
      <c r="J196" t="b">
        <v>1</v>
      </c>
      <c r="K196" t="b">
        <v>1</v>
      </c>
      <c r="L196" t="b">
        <v>0</v>
      </c>
      <c r="M196" t="b">
        <v>0</v>
      </c>
      <c r="N196">
        <f>IFERROR(INDEX('Company Hitlist'!$AA:$AA,MATCH(D196,'Company Hitlist'!$A:$A,0)),)</f>
        <v/>
      </c>
      <c r="O196">
        <f>IFERROR(INDEX('Company Hitlist'!$N:$N,MATCH(D196,'Company Hitlist'!$A:$A,0)),)</f>
        <v/>
      </c>
      <c r="Q196" t="inlineStr">
        <is>
          <t>todo</t>
        </is>
      </c>
    </row>
    <row r="197">
      <c r="A197" t="inlineStr">
        <is>
          <t>Emily Fan</t>
        </is>
      </c>
      <c r="B197" t="inlineStr">
        <is>
          <t>Attendee</t>
        </is>
      </c>
      <c r="C197" t="inlineStr">
        <is>
          <t>VP of Operations</t>
        </is>
      </c>
      <c r="D197" t="inlineStr">
        <is>
          <t>Divi</t>
        </is>
      </c>
      <c r="F197" t="inlineStr">
        <is>
          <t>Yes</t>
        </is>
      </c>
      <c r="H197" t="n">
        <v>26</v>
      </c>
      <c r="I197" t="b">
        <v>1</v>
      </c>
      <c r="J197" t="b">
        <v>1</v>
      </c>
      <c r="K197" t="b">
        <v>1</v>
      </c>
      <c r="L197" t="b">
        <v>0</v>
      </c>
      <c r="M197" t="b">
        <v>0</v>
      </c>
      <c r="N197">
        <f>IFERROR(INDEX('Company Hitlist'!$AA:$AA,MATCH(D197,'Company Hitlist'!$A:$A,0)),)</f>
        <v/>
      </c>
      <c r="O197">
        <f>IFERROR(INDEX('Company Hitlist'!$N:$N,MATCH(D197,'Company Hitlist'!$A:$A,0)),)</f>
        <v/>
      </c>
      <c r="Q197" t="inlineStr">
        <is>
          <t>todo</t>
        </is>
      </c>
    </row>
    <row r="198">
      <c r="A198" t="inlineStr">
        <is>
          <t>Nicolas Pombo</t>
        </is>
      </c>
      <c r="B198" t="inlineStr">
        <is>
          <t>Attendee</t>
        </is>
      </c>
      <c r="C198" t="inlineStr">
        <is>
          <t>Supply Chain VP</t>
        </is>
      </c>
      <c r="D198" t="inlineStr">
        <is>
          <t>Dollar City</t>
        </is>
      </c>
      <c r="H198" t="n">
        <v>26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>
        <f>IFERROR(INDEX('Company Hitlist'!$AA:$AA,MATCH(D198,'Company Hitlist'!$A:$A,0)),)</f>
        <v/>
      </c>
      <c r="O198">
        <f>IFERROR(INDEX('Company Hitlist'!$N:$N,MATCH(D198,'Company Hitlist'!$A:$A,0)),)</f>
        <v/>
      </c>
      <c r="Q198" t="inlineStr">
        <is>
          <t>todo</t>
        </is>
      </c>
    </row>
    <row r="199">
      <c r="A199" t="inlineStr">
        <is>
          <t>Nick Metzger</t>
        </is>
      </c>
      <c r="B199" t="inlineStr">
        <is>
          <t>Attendee</t>
        </is>
      </c>
      <c r="C199" t="inlineStr">
        <is>
          <t>VP, Distribution Centers</t>
        </is>
      </c>
      <c r="D199" t="inlineStr">
        <is>
          <t>Dollar General</t>
        </is>
      </c>
      <c r="F199" t="inlineStr">
        <is>
          <t>Yes</t>
        </is>
      </c>
      <c r="G199" t="inlineStr">
        <is>
          <t>$38.7B (2024; projected $40B in 2025)</t>
        </is>
      </c>
      <c r="H199" t="n">
        <v>26</v>
      </c>
      <c r="I199" t="b">
        <v>1</v>
      </c>
      <c r="J199" t="b">
        <v>1</v>
      </c>
      <c r="K199" t="b">
        <v>1</v>
      </c>
      <c r="L199" t="b">
        <v>0</v>
      </c>
      <c r="M199" t="b">
        <v>0</v>
      </c>
      <c r="N199">
        <f>IFERROR(INDEX('Company Hitlist'!$AA:$AA,MATCH(D199,'Company Hitlist'!$A:$A,0)),)</f>
        <v/>
      </c>
      <c r="O199">
        <f>IFERROR(INDEX('Company Hitlist'!$N:$N,MATCH(D199,'Company Hitlist'!$A:$A,0)),)</f>
        <v/>
      </c>
      <c r="Q199" t="inlineStr">
        <is>
          <t>todo</t>
        </is>
      </c>
    </row>
    <row r="200">
      <c r="A200" t="inlineStr">
        <is>
          <t>Misty Melton</t>
        </is>
      </c>
      <c r="B200" t="inlineStr">
        <is>
          <t>Attendee</t>
        </is>
      </c>
      <c r="C200" t="inlineStr">
        <is>
          <t>Vice President, Supply Chain Distribution</t>
        </is>
      </c>
      <c r="D200" t="inlineStr">
        <is>
          <t>Dollar General</t>
        </is>
      </c>
      <c r="H200" t="n">
        <v>26</v>
      </c>
      <c r="I200" t="b">
        <v>1</v>
      </c>
      <c r="J200" t="b">
        <v>1</v>
      </c>
      <c r="K200" t="b">
        <v>1</v>
      </c>
      <c r="L200" t="b">
        <v>0</v>
      </c>
      <c r="M200" t="b">
        <v>0</v>
      </c>
      <c r="N200">
        <f>IFERROR(INDEX('Company Hitlist'!$AA:$AA,MATCH(D200,'Company Hitlist'!$A:$A,0)),)</f>
        <v/>
      </c>
      <c r="O200">
        <f>IFERROR(INDEX('Company Hitlist'!$N:$N,MATCH(D200,'Company Hitlist'!$A:$A,0)),)</f>
        <v/>
      </c>
      <c r="Q200" t="inlineStr">
        <is>
          <t>todo</t>
        </is>
      </c>
    </row>
    <row r="201">
      <c r="A201" t="inlineStr">
        <is>
          <t>Manuel Salazar</t>
        </is>
      </c>
      <c r="B201" t="inlineStr">
        <is>
          <t>Attendee</t>
        </is>
      </c>
      <c r="C201" t="inlineStr">
        <is>
          <t>Head of Supply Chain</t>
        </is>
      </c>
      <c r="D201" t="inlineStr">
        <is>
          <t>Dr Squatch</t>
        </is>
      </c>
      <c r="H201" t="n">
        <v>26</v>
      </c>
      <c r="I201" t="b">
        <v>1</v>
      </c>
      <c r="J201" t="b">
        <v>1</v>
      </c>
      <c r="K201" t="b">
        <v>1</v>
      </c>
      <c r="L201" t="b">
        <v>0</v>
      </c>
      <c r="M201" t="b">
        <v>0</v>
      </c>
      <c r="N201">
        <f>IFERROR(INDEX('Company Hitlist'!$AA:$AA,MATCH(D201,'Company Hitlist'!$A:$A,0)),)</f>
        <v/>
      </c>
      <c r="O201">
        <f>IFERROR(INDEX('Company Hitlist'!$N:$N,MATCH(D201,'Company Hitlist'!$A:$A,0)),)</f>
        <v/>
      </c>
      <c r="Q201" t="inlineStr">
        <is>
          <t>todo</t>
        </is>
      </c>
    </row>
    <row r="202">
      <c r="A202" t="inlineStr">
        <is>
          <t>Karl Larson</t>
        </is>
      </c>
      <c r="B202" t="inlineStr">
        <is>
          <t>Attendee</t>
        </is>
      </c>
      <c r="C202" t="inlineStr">
        <is>
          <t>Vice President of Supply Chain and Logistics</t>
        </is>
      </c>
      <c r="D202" t="inlineStr">
        <is>
          <t>Eko Health</t>
        </is>
      </c>
      <c r="H202" t="n">
        <v>26</v>
      </c>
      <c r="I202" t="b">
        <v>1</v>
      </c>
      <c r="J202" t="b">
        <v>1</v>
      </c>
      <c r="K202" t="b">
        <v>1</v>
      </c>
      <c r="L202" t="b">
        <v>0</v>
      </c>
      <c r="M202" t="b">
        <v>0</v>
      </c>
      <c r="N202">
        <f>IFERROR(INDEX('Company Hitlist'!$AA:$AA,MATCH(D202,'Company Hitlist'!$A:$A,0)),)</f>
        <v/>
      </c>
      <c r="O202">
        <f>IFERROR(INDEX('Company Hitlist'!$N:$N,MATCH(D202,'Company Hitlist'!$A:$A,0)),)</f>
        <v/>
      </c>
      <c r="Q202" t="inlineStr">
        <is>
          <t>todo</t>
        </is>
      </c>
    </row>
    <row r="203">
      <c r="A203" t="inlineStr">
        <is>
          <t>Raju Nadakuditi</t>
        </is>
      </c>
      <c r="B203" t="inlineStr">
        <is>
          <t>Attendee</t>
        </is>
      </c>
      <c r="C203" t="inlineStr">
        <is>
          <t>Head of Supply Chain Australia</t>
        </is>
      </c>
      <c r="D203" t="inlineStr">
        <is>
          <t>Emerson Professional Tools</t>
        </is>
      </c>
      <c r="H203" t="n">
        <v>26</v>
      </c>
      <c r="I203" t="b">
        <v>1</v>
      </c>
      <c r="J203" t="b">
        <v>1</v>
      </c>
      <c r="K203" t="b">
        <v>1</v>
      </c>
      <c r="L203" t="b">
        <v>0</v>
      </c>
      <c r="M203" t="b">
        <v>0</v>
      </c>
      <c r="N203">
        <f>IFERROR(INDEX('Company Hitlist'!$AA:$AA,MATCH(D203,'Company Hitlist'!$A:$A,0)),)</f>
        <v/>
      </c>
      <c r="O203">
        <f>IFERROR(INDEX('Company Hitlist'!$N:$N,MATCH(D203,'Company Hitlist'!$A:$A,0)),)</f>
        <v/>
      </c>
      <c r="Q203" t="inlineStr">
        <is>
          <t>todo</t>
        </is>
      </c>
    </row>
    <row r="204">
      <c r="A204" t="inlineStr">
        <is>
          <t>David Grassi</t>
        </is>
      </c>
      <c r="B204" t="inlineStr">
        <is>
          <t>Attendee</t>
        </is>
      </c>
      <c r="C204" t="inlineStr">
        <is>
          <t>Executive Vice President of Commercial Operations</t>
        </is>
      </c>
      <c r="D204" t="inlineStr">
        <is>
          <t>Energy Transportation Group</t>
        </is>
      </c>
      <c r="E204" t="inlineStr">
        <is>
          <t>Canada</t>
        </is>
      </c>
      <c r="F204" t="inlineStr">
        <is>
          <t>Yes</t>
        </is>
      </c>
      <c r="H204" t="n">
        <v>26</v>
      </c>
      <c r="I204" t="b">
        <v>1</v>
      </c>
      <c r="J204" t="b">
        <v>1</v>
      </c>
      <c r="K204" t="b">
        <v>1</v>
      </c>
      <c r="L204" t="b">
        <v>0</v>
      </c>
      <c r="M204" t="b">
        <v>0</v>
      </c>
      <c r="N204">
        <f>IFERROR(INDEX('Company Hitlist'!$AA:$AA,MATCH(D204,'Company Hitlist'!$A:$A,0)),)</f>
        <v/>
      </c>
      <c r="O204">
        <f>IFERROR(INDEX('Company Hitlist'!$N:$N,MATCH(D204,'Company Hitlist'!$A:$A,0)),)</f>
        <v/>
      </c>
      <c r="Q204" t="inlineStr">
        <is>
          <t>todo</t>
        </is>
      </c>
    </row>
    <row r="205">
      <c r="A205" t="inlineStr">
        <is>
          <t>Vib Mathur</t>
        </is>
      </c>
      <c r="B205" t="inlineStr">
        <is>
          <t>Attendee</t>
        </is>
      </c>
      <c r="C205" t="inlineStr">
        <is>
          <t>Vice President Operations</t>
        </is>
      </c>
      <c r="D205" t="inlineStr">
        <is>
          <t>Everyday Dose</t>
        </is>
      </c>
      <c r="E205" t="inlineStr">
        <is>
          <t>United States</t>
        </is>
      </c>
      <c r="F205" t="inlineStr">
        <is>
          <t>Yes</t>
        </is>
      </c>
      <c r="H205" t="n">
        <v>26</v>
      </c>
      <c r="I205" t="b">
        <v>1</v>
      </c>
      <c r="J205" t="b">
        <v>1</v>
      </c>
      <c r="K205" t="b">
        <v>1</v>
      </c>
      <c r="L205" t="b">
        <v>0</v>
      </c>
      <c r="M205" t="b">
        <v>0</v>
      </c>
      <c r="N205">
        <f>IFERROR(INDEX('Company Hitlist'!$AA:$AA,MATCH(D205,'Company Hitlist'!$A:$A,0)),)</f>
        <v/>
      </c>
      <c r="O205">
        <f>IFERROR(INDEX('Company Hitlist'!$N:$N,MATCH(D205,'Company Hitlist'!$A:$A,0)),)</f>
        <v/>
      </c>
      <c r="Q205" t="inlineStr">
        <is>
          <t>todo</t>
        </is>
      </c>
    </row>
    <row r="206">
      <c r="A206" t="inlineStr">
        <is>
          <t>Bob Loycano</t>
        </is>
      </c>
      <c r="B206" t="inlineStr">
        <is>
          <t>Attendee</t>
        </is>
      </c>
      <c r="C206" t="inlineStr">
        <is>
          <t>Vice President, Supply Chain</t>
        </is>
      </c>
      <c r="D206" t="inlineStr">
        <is>
          <t>FDH Aero</t>
        </is>
      </c>
      <c r="H206" t="n">
        <v>26</v>
      </c>
      <c r="I206" t="b">
        <v>1</v>
      </c>
      <c r="J206" t="b">
        <v>1</v>
      </c>
      <c r="K206" t="b">
        <v>1</v>
      </c>
      <c r="L206" t="b">
        <v>0</v>
      </c>
      <c r="M206" t="b">
        <v>0</v>
      </c>
      <c r="N206">
        <f>IFERROR(INDEX('Company Hitlist'!$AA:$AA,MATCH(D206,'Company Hitlist'!$A:$A,0)),)</f>
        <v/>
      </c>
      <c r="O206">
        <f>IFERROR(INDEX('Company Hitlist'!$N:$N,MATCH(D206,'Company Hitlist'!$A:$A,0)),)</f>
        <v/>
      </c>
      <c r="Q206" t="inlineStr">
        <is>
          <t>todo</t>
        </is>
      </c>
    </row>
    <row r="207">
      <c r="A207" t="inlineStr">
        <is>
          <t>Bert Hooper</t>
        </is>
      </c>
      <c r="B207" t="inlineStr">
        <is>
          <t>Attendee</t>
        </is>
      </c>
      <c r="C207" t="inlineStr">
        <is>
          <t>Senior VP, Global Fulfillment Center</t>
        </is>
      </c>
      <c r="D207" t="inlineStr">
        <is>
          <t>Fabletics</t>
        </is>
      </c>
      <c r="E207" t="inlineStr">
        <is>
          <t>United States</t>
        </is>
      </c>
      <c r="F207" t="inlineStr">
        <is>
          <t>Yes</t>
        </is>
      </c>
      <c r="G207" t="inlineStr">
        <is>
          <t>$500M (2024 est.; projected $550M in 2025)</t>
        </is>
      </c>
      <c r="H207" t="n">
        <v>26</v>
      </c>
      <c r="I207" t="b">
        <v>1</v>
      </c>
      <c r="J207" t="b">
        <v>1</v>
      </c>
      <c r="K207" t="b">
        <v>1</v>
      </c>
      <c r="L207" t="b">
        <v>0</v>
      </c>
      <c r="M207" t="b">
        <v>0</v>
      </c>
      <c r="N207">
        <f>IFERROR(INDEX('Company Hitlist'!$AA:$AA,MATCH(D207,'Company Hitlist'!$A:$A,0)),)</f>
        <v/>
      </c>
      <c r="O207">
        <f>IFERROR(INDEX('Company Hitlist'!$N:$N,MATCH(D207,'Company Hitlist'!$A:$A,0)),)</f>
        <v/>
      </c>
      <c r="Q207" t="inlineStr">
        <is>
          <t>todo</t>
        </is>
      </c>
    </row>
    <row r="208">
      <c r="A208" t="inlineStr">
        <is>
          <t>Alison Langus</t>
        </is>
      </c>
      <c r="B208" t="inlineStr">
        <is>
          <t>Attendee</t>
        </is>
      </c>
      <c r="C208" t="inlineStr">
        <is>
          <t>SVP of Operations</t>
        </is>
      </c>
      <c r="D208" t="inlineStr">
        <is>
          <t>Fabletics</t>
        </is>
      </c>
      <c r="F208" t="inlineStr">
        <is>
          <t>Yes</t>
        </is>
      </c>
      <c r="G208" t="inlineStr">
        <is>
          <t>$500M (2024 est.; projected $550M in 2025)</t>
        </is>
      </c>
      <c r="H208" t="n">
        <v>26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>
        <f>IFERROR(INDEX('Company Hitlist'!$AA:$AA,MATCH(D208,'Company Hitlist'!$A:$A,0)),)</f>
        <v/>
      </c>
      <c r="O208">
        <f>IFERROR(INDEX('Company Hitlist'!$N:$N,MATCH(D208,'Company Hitlist'!$A:$A,0)),)</f>
        <v/>
      </c>
      <c r="Q208" t="inlineStr">
        <is>
          <t>todo</t>
        </is>
      </c>
    </row>
    <row r="209">
      <c r="A209" t="inlineStr">
        <is>
          <t>Opal Portis</t>
        </is>
      </c>
      <c r="B209" t="inlineStr">
        <is>
          <t>Attendee</t>
        </is>
      </c>
      <c r="C209" t="inlineStr">
        <is>
          <t>VP, Global Supply Chain</t>
        </is>
      </c>
      <c r="D209" t="inlineStr">
        <is>
          <t>Fabletics</t>
        </is>
      </c>
      <c r="H209" t="n">
        <v>26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>
        <f>IFERROR(INDEX('Company Hitlist'!$AA:$AA,MATCH(D209,'Company Hitlist'!$A:$A,0)),)</f>
        <v/>
      </c>
      <c r="O209">
        <f>IFERROR(INDEX('Company Hitlist'!$N:$N,MATCH(D209,'Company Hitlist'!$A:$A,0)),)</f>
        <v/>
      </c>
      <c r="Q209" t="inlineStr">
        <is>
          <t>todo</t>
        </is>
      </c>
    </row>
    <row r="210">
      <c r="A210" t="inlineStr">
        <is>
          <t>Nadia Chohan</t>
        </is>
      </c>
      <c r="B210" t="inlineStr">
        <is>
          <t>Attendee</t>
        </is>
      </c>
      <c r="C210" t="inlineStr">
        <is>
          <t>Vice President of Supply Chain</t>
        </is>
      </c>
      <c r="D210" t="inlineStr">
        <is>
          <t>Fear of God</t>
        </is>
      </c>
      <c r="H210" t="n">
        <v>26</v>
      </c>
      <c r="I210" t="b">
        <v>1</v>
      </c>
      <c r="J210" t="b">
        <v>1</v>
      </c>
      <c r="K210" t="b">
        <v>1</v>
      </c>
      <c r="L210" t="b">
        <v>0</v>
      </c>
      <c r="M210" t="b">
        <v>0</v>
      </c>
      <c r="N210">
        <f>IFERROR(INDEX('Company Hitlist'!$AA:$AA,MATCH(D210,'Company Hitlist'!$A:$A,0)),)</f>
        <v/>
      </c>
      <c r="O210">
        <f>IFERROR(INDEX('Company Hitlist'!$N:$N,MATCH(D210,'Company Hitlist'!$A:$A,0)),)</f>
        <v/>
      </c>
      <c r="Q210" t="inlineStr">
        <is>
          <t>todo</t>
        </is>
      </c>
    </row>
    <row r="211">
      <c r="A211" t="inlineStr">
        <is>
          <t>Brit Videbeck</t>
        </is>
      </c>
      <c r="B211" t="inlineStr">
        <is>
          <t>Attendee</t>
        </is>
      </c>
      <c r="C211" t="inlineStr">
        <is>
          <t>Chief Supply Chain Officer</t>
        </is>
      </c>
      <c r="D211" t="inlineStr">
        <is>
          <t>Feeding America</t>
        </is>
      </c>
      <c r="H211" t="n">
        <v>26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>
        <f>IFERROR(INDEX('Company Hitlist'!$AA:$AA,MATCH(D211,'Company Hitlist'!$A:$A,0)),)</f>
        <v/>
      </c>
      <c r="O211">
        <f>IFERROR(INDEX('Company Hitlist'!$N:$N,MATCH(D211,'Company Hitlist'!$A:$A,0)),)</f>
        <v/>
      </c>
      <c r="Q211" t="inlineStr">
        <is>
          <t>todo</t>
        </is>
      </c>
    </row>
    <row r="212">
      <c r="A212" t="inlineStr">
        <is>
          <t>Ahmad Zakaria</t>
        </is>
      </c>
      <c r="B212" t="inlineStr">
        <is>
          <t>Attendee</t>
        </is>
      </c>
      <c r="C212" t="inlineStr">
        <is>
          <t>VP Hardware Operations</t>
        </is>
      </c>
      <c r="D212" t="inlineStr">
        <is>
          <t>Firstbase/AppDirect</t>
        </is>
      </c>
      <c r="F212" t="inlineStr">
        <is>
          <t>Yes</t>
        </is>
      </c>
      <c r="H212" t="n">
        <v>26</v>
      </c>
      <c r="I212" t="b">
        <v>1</v>
      </c>
      <c r="J212" t="b">
        <v>1</v>
      </c>
      <c r="K212" t="b">
        <v>1</v>
      </c>
      <c r="L212" t="b">
        <v>0</v>
      </c>
      <c r="M212" t="b">
        <v>0</v>
      </c>
      <c r="N212">
        <f>IFERROR(INDEX('Company Hitlist'!$AA:$AA,MATCH(D212,'Company Hitlist'!$A:$A,0)),)</f>
        <v/>
      </c>
      <c r="O212">
        <f>IFERROR(INDEX('Company Hitlist'!$N:$N,MATCH(D212,'Company Hitlist'!$A:$A,0)),)</f>
        <v/>
      </c>
      <c r="Q212" t="inlineStr">
        <is>
          <t>todo</t>
        </is>
      </c>
    </row>
    <row r="213">
      <c r="A213" t="inlineStr">
        <is>
          <t>Michael Wald</t>
        </is>
      </c>
      <c r="B213" t="inlineStr">
        <is>
          <t>Attendee</t>
        </is>
      </c>
      <c r="C213" t="inlineStr">
        <is>
          <t>Head of Operations</t>
        </is>
      </c>
      <c r="D213" t="inlineStr">
        <is>
          <t>Foundry Brands</t>
        </is>
      </c>
      <c r="H213" t="n">
        <v>26</v>
      </c>
      <c r="I213" t="b">
        <v>1</v>
      </c>
      <c r="J213" t="b">
        <v>1</v>
      </c>
      <c r="K213" t="b">
        <v>1</v>
      </c>
      <c r="L213" t="b">
        <v>0</v>
      </c>
      <c r="M213" t="b">
        <v>0</v>
      </c>
      <c r="N213">
        <f>IFERROR(INDEX('Company Hitlist'!$AA:$AA,MATCH(D213,'Company Hitlist'!$A:$A,0)),)</f>
        <v/>
      </c>
      <c r="O213">
        <f>IFERROR(INDEX('Company Hitlist'!$N:$N,MATCH(D213,'Company Hitlist'!$A:$A,0)),)</f>
        <v/>
      </c>
      <c r="Q213" t="inlineStr">
        <is>
          <t>todo</t>
        </is>
      </c>
    </row>
    <row r="214">
      <c r="A214" t="inlineStr">
        <is>
          <t>Rufus McLain</t>
        </is>
      </c>
      <c r="B214" t="inlineStr">
        <is>
          <t>Attendee</t>
        </is>
      </c>
      <c r="C214" t="inlineStr">
        <is>
          <t>Head of Operations</t>
        </is>
      </c>
      <c r="D214" t="inlineStr">
        <is>
          <t>Fragile</t>
        </is>
      </c>
      <c r="F214" t="inlineStr">
        <is>
          <t>Yes</t>
        </is>
      </c>
      <c r="H214" t="n">
        <v>26</v>
      </c>
      <c r="I214" t="b">
        <v>1</v>
      </c>
      <c r="J214" t="b">
        <v>1</v>
      </c>
      <c r="K214" t="b">
        <v>1</v>
      </c>
      <c r="L214" t="b">
        <v>0</v>
      </c>
      <c r="M214" t="b">
        <v>0</v>
      </c>
      <c r="N214">
        <f>IFERROR(INDEX('Company Hitlist'!$AA:$AA,MATCH(D214,'Company Hitlist'!$A:$A,0)),)</f>
        <v/>
      </c>
      <c r="O214">
        <f>IFERROR(INDEX('Company Hitlist'!$N:$N,MATCH(D214,'Company Hitlist'!$A:$A,0)),)</f>
        <v/>
      </c>
      <c r="Q214" t="inlineStr">
        <is>
          <t>todo</t>
        </is>
      </c>
    </row>
    <row r="215">
      <c r="A215" t="inlineStr">
        <is>
          <t>Chas Moore</t>
        </is>
      </c>
      <c r="B215" t="inlineStr">
        <is>
          <t>Attendee</t>
        </is>
      </c>
      <c r="C215" t="inlineStr">
        <is>
          <t>VP of Operations</t>
        </is>
      </c>
      <c r="D215" t="inlineStr">
        <is>
          <t>Freeport Logistics Inc</t>
        </is>
      </c>
      <c r="E215" t="inlineStr">
        <is>
          <t>United States</t>
        </is>
      </c>
      <c r="F215" t="inlineStr">
        <is>
          <t>Yes</t>
        </is>
      </c>
      <c r="H215" t="n">
        <v>26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>
        <f>IFERROR(INDEX('Company Hitlist'!$AA:$AA,MATCH(D215,'Company Hitlist'!$A:$A,0)),)</f>
        <v/>
      </c>
      <c r="O215">
        <f>IFERROR(INDEX('Company Hitlist'!$N:$N,MATCH(D215,'Company Hitlist'!$A:$A,0)),)</f>
        <v/>
      </c>
      <c r="Q215" t="inlineStr">
        <is>
          <t>todo</t>
        </is>
      </c>
    </row>
    <row r="216">
      <c r="A216" t="inlineStr">
        <is>
          <t>Katie Baldwin</t>
        </is>
      </c>
      <c r="B216" t="inlineStr">
        <is>
          <t>Attendee</t>
        </is>
      </c>
      <c r="C216" t="inlineStr">
        <is>
          <t>VP of Fulfillment</t>
        </is>
      </c>
      <c r="D216" t="inlineStr">
        <is>
          <t>Frida</t>
        </is>
      </c>
      <c r="E216" t="inlineStr">
        <is>
          <t>United States</t>
        </is>
      </c>
      <c r="F216" t="inlineStr">
        <is>
          <t>Yes</t>
        </is>
      </c>
      <c r="H216" t="n">
        <v>26</v>
      </c>
      <c r="I216" t="b">
        <v>1</v>
      </c>
      <c r="J216" t="b">
        <v>1</v>
      </c>
      <c r="K216" t="b">
        <v>1</v>
      </c>
      <c r="L216" t="b">
        <v>0</v>
      </c>
      <c r="M216" t="b">
        <v>0</v>
      </c>
      <c r="N216">
        <f>IFERROR(INDEX('Company Hitlist'!$AA:$AA,MATCH(D216,'Company Hitlist'!$A:$A,0)),)</f>
        <v/>
      </c>
      <c r="O216">
        <f>IFERROR(INDEX('Company Hitlist'!$N:$N,MATCH(D216,'Company Hitlist'!$A:$A,0)),)</f>
        <v/>
      </c>
      <c r="Q216" t="inlineStr">
        <is>
          <t>todo</t>
        </is>
      </c>
    </row>
    <row r="217">
      <c r="A217" t="inlineStr">
        <is>
          <t>Ken Boremi</t>
        </is>
      </c>
      <c r="B217" t="inlineStr">
        <is>
          <t>Attendee</t>
        </is>
      </c>
      <c r="C217" t="inlineStr">
        <is>
          <t>VP Global Logistics</t>
        </is>
      </c>
      <c r="D217" t="inlineStr">
        <is>
          <t>GOAT Group</t>
        </is>
      </c>
      <c r="F217" t="inlineStr">
        <is>
          <t>Yes</t>
        </is>
      </c>
      <c r="H217" t="n">
        <v>26</v>
      </c>
      <c r="I217" t="b">
        <v>1</v>
      </c>
      <c r="J217" t="b">
        <v>1</v>
      </c>
      <c r="K217" t="b">
        <v>1</v>
      </c>
      <c r="L217" t="b">
        <v>0</v>
      </c>
      <c r="M217" t="b">
        <v>0</v>
      </c>
      <c r="N217">
        <f>IFERROR(INDEX('Company Hitlist'!$AA:$AA,MATCH(D217,'Company Hitlist'!$A:$A,0)),)</f>
        <v/>
      </c>
      <c r="O217">
        <f>IFERROR(INDEX('Company Hitlist'!$N:$N,MATCH(D217,'Company Hitlist'!$A:$A,0)),)</f>
        <v/>
      </c>
      <c r="Q217" t="inlineStr">
        <is>
          <t>todo</t>
        </is>
      </c>
    </row>
    <row r="218">
      <c r="A218" t="inlineStr">
        <is>
          <t>Kim Kyle</t>
        </is>
      </c>
      <c r="B218" t="inlineStr">
        <is>
          <t>Attendee</t>
        </is>
      </c>
      <c r="C218" t="inlineStr">
        <is>
          <t>Senior Vice President, Operations - Consumer (Operations Management)</t>
        </is>
      </c>
      <c r="D218" t="inlineStr">
        <is>
          <t>GXO</t>
        </is>
      </c>
      <c r="E218" t="inlineStr">
        <is>
          <t>United States</t>
        </is>
      </c>
      <c r="F218" t="inlineStr">
        <is>
          <t>Yes</t>
        </is>
      </c>
      <c r="G218" t="inlineStr">
        <is>
          <t>$10.4B (2024; projected $11B in 2025)</t>
        </is>
      </c>
      <c r="H218" t="n">
        <v>26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>
        <f>IFERROR(INDEX('Company Hitlist'!$AA:$AA,MATCH(D218,'Company Hitlist'!$A:$A,0)),)</f>
        <v/>
      </c>
      <c r="O218">
        <f>IFERROR(INDEX('Company Hitlist'!$N:$N,MATCH(D218,'Company Hitlist'!$A:$A,0)),)</f>
        <v/>
      </c>
      <c r="Q218" t="inlineStr">
        <is>
          <t>todo</t>
        </is>
      </c>
    </row>
    <row r="219">
      <c r="A219" t="inlineStr">
        <is>
          <t>Cathy Chambers</t>
        </is>
      </c>
      <c r="B219" t="inlineStr">
        <is>
          <t>Attendee</t>
        </is>
      </c>
      <c r="C219" t="inlineStr">
        <is>
          <t>Vice President, SC Operations</t>
        </is>
      </c>
      <c r="D219" t="inlineStr">
        <is>
          <t>GXO</t>
        </is>
      </c>
      <c r="F219" t="inlineStr">
        <is>
          <t>Yes</t>
        </is>
      </c>
      <c r="G219" t="inlineStr">
        <is>
          <t>$10.4B (2024; projected $11B in 2025)</t>
        </is>
      </c>
      <c r="H219" t="n">
        <v>26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>
        <f>IFERROR(INDEX('Company Hitlist'!$AA:$AA,MATCH(D219,'Company Hitlist'!$A:$A,0)),)</f>
        <v/>
      </c>
      <c r="O219">
        <f>IFERROR(INDEX('Company Hitlist'!$N:$N,MATCH(D219,'Company Hitlist'!$A:$A,0)),)</f>
        <v/>
      </c>
      <c r="Q219" t="inlineStr">
        <is>
          <t>todo</t>
        </is>
      </c>
    </row>
    <row r="220">
      <c r="A220" t="inlineStr">
        <is>
          <t>Chris Alfonso</t>
        </is>
      </c>
      <c r="B220" t="inlineStr">
        <is>
          <t>Attendee</t>
        </is>
      </c>
      <c r="C220" t="inlineStr">
        <is>
          <t>Vice President, SC Operations</t>
        </is>
      </c>
      <c r="D220" t="inlineStr">
        <is>
          <t>GXO</t>
        </is>
      </c>
      <c r="F220" t="inlineStr">
        <is>
          <t>Yes</t>
        </is>
      </c>
      <c r="G220" t="inlineStr">
        <is>
          <t>$10.4B (2024; projected $11B in 2025)</t>
        </is>
      </c>
      <c r="H220" t="n">
        <v>26</v>
      </c>
      <c r="I220" t="b">
        <v>1</v>
      </c>
      <c r="J220" t="b">
        <v>1</v>
      </c>
      <c r="K220" t="b">
        <v>1</v>
      </c>
      <c r="L220" t="b">
        <v>0</v>
      </c>
      <c r="M220" t="b">
        <v>0</v>
      </c>
      <c r="N220">
        <f>IFERROR(INDEX('Company Hitlist'!$AA:$AA,MATCH(D220,'Company Hitlist'!$A:$A,0)),)</f>
        <v/>
      </c>
      <c r="O220">
        <f>IFERROR(INDEX('Company Hitlist'!$N:$N,MATCH(D220,'Company Hitlist'!$A:$A,0)),)</f>
        <v/>
      </c>
      <c r="Q220" t="inlineStr">
        <is>
          <t>todo</t>
        </is>
      </c>
    </row>
    <row r="221">
      <c r="A221" t="inlineStr">
        <is>
          <t>Derek Drabenstadt</t>
        </is>
      </c>
      <c r="B221" t="inlineStr">
        <is>
          <t>Attendee</t>
        </is>
      </c>
      <c r="C221" t="inlineStr">
        <is>
          <t>VP, SC Operations</t>
        </is>
      </c>
      <c r="D221" t="inlineStr">
        <is>
          <t>GXO</t>
        </is>
      </c>
      <c r="F221" t="inlineStr">
        <is>
          <t>Yes</t>
        </is>
      </c>
      <c r="G221" t="inlineStr">
        <is>
          <t>$10.4B (2024; projected $11B in 2025)</t>
        </is>
      </c>
      <c r="H221" t="n">
        <v>26</v>
      </c>
      <c r="I221" t="b">
        <v>1</v>
      </c>
      <c r="J221" t="b">
        <v>1</v>
      </c>
      <c r="K221" t="b">
        <v>1</v>
      </c>
      <c r="L221" t="b">
        <v>0</v>
      </c>
      <c r="M221" t="b">
        <v>0</v>
      </c>
      <c r="N221">
        <f>IFERROR(INDEX('Company Hitlist'!$AA:$AA,MATCH(D221,'Company Hitlist'!$A:$A,0)),)</f>
        <v/>
      </c>
      <c r="O221">
        <f>IFERROR(INDEX('Company Hitlist'!$N:$N,MATCH(D221,'Company Hitlist'!$A:$A,0)),)</f>
        <v/>
      </c>
      <c r="Q221" t="inlineStr">
        <is>
          <t>todo</t>
        </is>
      </c>
    </row>
    <row r="222">
      <c r="A222" t="inlineStr">
        <is>
          <t>Maureen Findley</t>
        </is>
      </c>
      <c r="B222" t="inlineStr">
        <is>
          <t>Attendee</t>
        </is>
      </c>
      <c r="C222" t="inlineStr">
        <is>
          <t>Vice President, Operations</t>
        </is>
      </c>
      <c r="D222" t="inlineStr">
        <is>
          <t>GXO</t>
        </is>
      </c>
      <c r="F222" t="inlineStr">
        <is>
          <t>Yes</t>
        </is>
      </c>
      <c r="G222" t="inlineStr">
        <is>
          <t>$10.4B (2024; projected $11B in 2025)</t>
        </is>
      </c>
      <c r="H222" t="n">
        <v>26</v>
      </c>
      <c r="I222" t="b">
        <v>1</v>
      </c>
      <c r="J222" t="b">
        <v>1</v>
      </c>
      <c r="K222" t="b">
        <v>1</v>
      </c>
      <c r="L222" t="b">
        <v>0</v>
      </c>
      <c r="M222" t="b">
        <v>0</v>
      </c>
      <c r="N222">
        <f>IFERROR(INDEX('Company Hitlist'!$AA:$AA,MATCH(D222,'Company Hitlist'!$A:$A,0)),)</f>
        <v/>
      </c>
      <c r="O222">
        <f>IFERROR(INDEX('Company Hitlist'!$N:$N,MATCH(D222,'Company Hitlist'!$A:$A,0)),)</f>
        <v/>
      </c>
      <c r="Q222" t="inlineStr">
        <is>
          <t>todo</t>
        </is>
      </c>
    </row>
    <row r="223">
      <c r="A223" t="inlineStr">
        <is>
          <t>Nitin Murali</t>
        </is>
      </c>
      <c r="B223" t="inlineStr">
        <is>
          <t>Attendee</t>
        </is>
      </c>
      <c r="C223" t="inlineStr">
        <is>
          <t>Vice President Supply Chain Excellence</t>
        </is>
      </c>
      <c r="D223" t="inlineStr">
        <is>
          <t>Gallo</t>
        </is>
      </c>
      <c r="E223" t="inlineStr">
        <is>
          <t>United States</t>
        </is>
      </c>
      <c r="H223" t="n">
        <v>26</v>
      </c>
      <c r="I223" t="b">
        <v>1</v>
      </c>
      <c r="J223" t="b">
        <v>1</v>
      </c>
      <c r="K223" t="b">
        <v>1</v>
      </c>
      <c r="L223" t="b">
        <v>0</v>
      </c>
      <c r="M223" t="b">
        <v>0</v>
      </c>
      <c r="N223">
        <f>IFERROR(INDEX('Company Hitlist'!$AA:$AA,MATCH(D223,'Company Hitlist'!$A:$A,0)),)</f>
        <v/>
      </c>
      <c r="O223">
        <f>IFERROR(INDEX('Company Hitlist'!$N:$N,MATCH(D223,'Company Hitlist'!$A:$A,0)),)</f>
        <v/>
      </c>
      <c r="Q223" t="inlineStr">
        <is>
          <t>todo</t>
        </is>
      </c>
    </row>
    <row r="224">
      <c r="A224" t="inlineStr">
        <is>
          <t>Josh Siler</t>
        </is>
      </c>
      <c r="B224" t="inlineStr">
        <is>
          <t>Attendee</t>
        </is>
      </c>
      <c r="C224" t="inlineStr">
        <is>
          <t>Global VP Logistics and Distribution</t>
        </is>
      </c>
      <c r="D224" t="inlineStr">
        <is>
          <t>Gathr Outdoors</t>
        </is>
      </c>
      <c r="E224" t="inlineStr">
        <is>
          <t>United States</t>
        </is>
      </c>
      <c r="F224" t="inlineStr">
        <is>
          <t>Yes</t>
        </is>
      </c>
      <c r="H224" t="n">
        <v>26</v>
      </c>
      <c r="I224" t="b">
        <v>1</v>
      </c>
      <c r="J224" t="b">
        <v>1</v>
      </c>
      <c r="K224" t="b">
        <v>1</v>
      </c>
      <c r="L224" t="b">
        <v>0</v>
      </c>
      <c r="M224" t="b">
        <v>0</v>
      </c>
      <c r="N224">
        <f>IFERROR(INDEX('Company Hitlist'!$AA:$AA,MATCH(D224,'Company Hitlist'!$A:$A,0)),)</f>
        <v/>
      </c>
      <c r="O224">
        <f>IFERROR(INDEX('Company Hitlist'!$N:$N,MATCH(D224,'Company Hitlist'!$A:$A,0)),)</f>
        <v/>
      </c>
      <c r="Q224" t="inlineStr">
        <is>
          <t>todo</t>
        </is>
      </c>
    </row>
    <row r="225">
      <c r="A225" t="inlineStr">
        <is>
          <t>Rafael Barkas</t>
        </is>
      </c>
      <c r="B225" t="inlineStr">
        <is>
          <t>Attendee</t>
        </is>
      </c>
      <c r="C225" t="inlineStr">
        <is>
          <t>Senior Vice President - Global Operations &amp; Supply Chain</t>
        </is>
      </c>
      <c r="D225" t="inlineStr">
        <is>
          <t>Gentherm</t>
        </is>
      </c>
      <c r="H225" t="n">
        <v>26</v>
      </c>
      <c r="I225" t="b">
        <v>1</v>
      </c>
      <c r="J225" t="b">
        <v>1</v>
      </c>
      <c r="K225" t="b">
        <v>1</v>
      </c>
      <c r="L225" t="b">
        <v>0</v>
      </c>
      <c r="M225" t="b">
        <v>0</v>
      </c>
      <c r="N225">
        <f>IFERROR(INDEX('Company Hitlist'!$AA:$AA,MATCH(D225,'Company Hitlist'!$A:$A,0)),)</f>
        <v/>
      </c>
      <c r="O225">
        <f>IFERROR(INDEX('Company Hitlist'!$N:$N,MATCH(D225,'Company Hitlist'!$A:$A,0)),)</f>
        <v/>
      </c>
      <c r="Q225" t="inlineStr">
        <is>
          <t>todo</t>
        </is>
      </c>
    </row>
    <row r="226">
      <c r="A226" t="inlineStr">
        <is>
          <t>Andy Greve</t>
        </is>
      </c>
      <c r="B226" t="inlineStr">
        <is>
          <t>Attendee</t>
        </is>
      </c>
      <c r="C226" t="inlineStr">
        <is>
          <t>VP Supply Chain</t>
        </is>
      </c>
      <c r="D226" t="inlineStr">
        <is>
          <t>Global Industrial Company</t>
        </is>
      </c>
      <c r="H226" t="n">
        <v>26</v>
      </c>
      <c r="I226" t="b">
        <v>1</v>
      </c>
      <c r="J226" t="b">
        <v>1</v>
      </c>
      <c r="K226" t="b">
        <v>1</v>
      </c>
      <c r="L226" t="b">
        <v>0</v>
      </c>
      <c r="M226" t="b">
        <v>0</v>
      </c>
      <c r="N226">
        <f>IFERROR(INDEX('Company Hitlist'!$AA:$AA,MATCH(D226,'Company Hitlist'!$A:$A,0)),)</f>
        <v/>
      </c>
      <c r="O226">
        <f>IFERROR(INDEX('Company Hitlist'!$N:$N,MATCH(D226,'Company Hitlist'!$A:$A,0)),)</f>
        <v/>
      </c>
      <c r="Q226" t="inlineStr">
        <is>
          <t>todo</t>
        </is>
      </c>
    </row>
    <row r="227">
      <c r="A227" t="inlineStr">
        <is>
          <t>John Gabel</t>
        </is>
      </c>
      <c r="B227" t="inlineStr">
        <is>
          <t>Attendee</t>
        </is>
      </c>
      <c r="C227" t="inlineStr">
        <is>
          <t>VP Operations</t>
        </is>
      </c>
      <c r="D227" t="inlineStr">
        <is>
          <t>Global Industrial Company</t>
        </is>
      </c>
      <c r="H227" t="n">
        <v>26</v>
      </c>
      <c r="I227" t="b">
        <v>1</v>
      </c>
      <c r="J227" t="b">
        <v>1</v>
      </c>
      <c r="K227" t="b">
        <v>1</v>
      </c>
      <c r="L227" t="b">
        <v>0</v>
      </c>
      <c r="M227" t="b">
        <v>0</v>
      </c>
      <c r="N227">
        <f>IFERROR(INDEX('Company Hitlist'!$AA:$AA,MATCH(D227,'Company Hitlist'!$A:$A,0)),)</f>
        <v/>
      </c>
      <c r="O227">
        <f>IFERROR(INDEX('Company Hitlist'!$N:$N,MATCH(D227,'Company Hitlist'!$A:$A,0)),)</f>
        <v/>
      </c>
      <c r="Q227" t="inlineStr">
        <is>
          <t>todo</t>
        </is>
      </c>
    </row>
    <row r="228">
      <c r="A228" t="inlineStr">
        <is>
          <t>Ryan Forbes</t>
        </is>
      </c>
      <c r="B228" t="inlineStr">
        <is>
          <t>Attendee</t>
        </is>
      </c>
      <c r="C228" t="inlineStr">
        <is>
          <t>VP Transportation</t>
        </is>
      </c>
      <c r="D228" t="inlineStr">
        <is>
          <t>Global Industrial Company</t>
        </is>
      </c>
      <c r="H228" t="n">
        <v>26</v>
      </c>
      <c r="I228" t="b">
        <v>1</v>
      </c>
      <c r="J228" t="b">
        <v>1</v>
      </c>
      <c r="K228" t="b">
        <v>1</v>
      </c>
      <c r="L228" t="b">
        <v>0</v>
      </c>
      <c r="M228" t="b">
        <v>0</v>
      </c>
      <c r="N228">
        <f>IFERROR(INDEX('Company Hitlist'!$AA:$AA,MATCH(D228,'Company Hitlist'!$A:$A,0)),)</f>
        <v/>
      </c>
      <c r="O228">
        <f>IFERROR(INDEX('Company Hitlist'!$N:$N,MATCH(D228,'Company Hitlist'!$A:$A,0)),)</f>
        <v/>
      </c>
      <c r="Q228" t="inlineStr">
        <is>
          <t>todo</t>
        </is>
      </c>
    </row>
    <row r="229">
      <c r="A229" t="inlineStr">
        <is>
          <t>Daniel Karitis</t>
        </is>
      </c>
      <c r="B229" t="inlineStr">
        <is>
          <t>Attendee</t>
        </is>
      </c>
      <c r="C229" t="inlineStr">
        <is>
          <t>VP Operations</t>
        </is>
      </c>
      <c r="D229" t="inlineStr">
        <is>
          <t>Global Logistics, Inc.</t>
        </is>
      </c>
      <c r="E229" t="inlineStr">
        <is>
          <t>United States</t>
        </is>
      </c>
      <c r="F229" t="inlineStr">
        <is>
          <t>Yes</t>
        </is>
      </c>
      <c r="H229" t="n">
        <v>26</v>
      </c>
      <c r="I229" t="b">
        <v>1</v>
      </c>
      <c r="J229" t="b">
        <v>1</v>
      </c>
      <c r="K229" t="b">
        <v>1</v>
      </c>
      <c r="L229" t="b">
        <v>0</v>
      </c>
      <c r="M229" t="b">
        <v>0</v>
      </c>
      <c r="N229">
        <f>IFERROR(INDEX('Company Hitlist'!$AA:$AA,MATCH(D229,'Company Hitlist'!$A:$A,0)),)</f>
        <v/>
      </c>
      <c r="O229">
        <f>IFERROR(INDEX('Company Hitlist'!$N:$N,MATCH(D229,'Company Hitlist'!$A:$A,0)),)</f>
        <v/>
      </c>
      <c r="Q229" t="inlineStr">
        <is>
          <t>todo</t>
        </is>
      </c>
    </row>
    <row r="230">
      <c r="A230" t="inlineStr">
        <is>
          <t>Jason Starr</t>
        </is>
      </c>
      <c r="B230" t="inlineStr">
        <is>
          <t>Attendee</t>
        </is>
      </c>
      <c r="C230" t="inlineStr">
        <is>
          <t>VP Operations</t>
        </is>
      </c>
      <c r="D230" t="inlineStr">
        <is>
          <t>Globe Electric</t>
        </is>
      </c>
      <c r="H230" t="n">
        <v>26</v>
      </c>
      <c r="I230" t="b">
        <v>1</v>
      </c>
      <c r="J230" t="b">
        <v>1</v>
      </c>
      <c r="K230" t="b">
        <v>1</v>
      </c>
      <c r="L230" t="b">
        <v>0</v>
      </c>
      <c r="M230" t="b">
        <v>0</v>
      </c>
      <c r="N230">
        <f>IFERROR(INDEX('Company Hitlist'!$AA:$AA,MATCH(D230,'Company Hitlist'!$A:$A,0)),)</f>
        <v/>
      </c>
      <c r="O230">
        <f>IFERROR(INDEX('Company Hitlist'!$N:$N,MATCH(D230,'Company Hitlist'!$A:$A,0)),)</f>
        <v/>
      </c>
      <c r="Q230" t="inlineStr">
        <is>
          <t>todo</t>
        </is>
      </c>
    </row>
    <row r="231">
      <c r="A231" t="inlineStr">
        <is>
          <t>Kristina Enbom</t>
        </is>
      </c>
      <c r="B231" t="inlineStr">
        <is>
          <t>Attendee</t>
        </is>
      </c>
      <c r="C231" t="inlineStr">
        <is>
          <t>EVP, Operations</t>
        </is>
      </c>
      <c r="D231" t="inlineStr">
        <is>
          <t>Globe Electric</t>
        </is>
      </c>
      <c r="H231" t="n">
        <v>26</v>
      </c>
      <c r="I231" t="b">
        <v>1</v>
      </c>
      <c r="J231" t="b">
        <v>1</v>
      </c>
      <c r="K231" t="b">
        <v>1</v>
      </c>
      <c r="L231" t="b">
        <v>0</v>
      </c>
      <c r="M231" t="b">
        <v>0</v>
      </c>
      <c r="N231">
        <f>IFERROR(INDEX('Company Hitlist'!$AA:$AA,MATCH(D231,'Company Hitlist'!$A:$A,0)),)</f>
        <v/>
      </c>
      <c r="O231">
        <f>IFERROR(INDEX('Company Hitlist'!$N:$N,MATCH(D231,'Company Hitlist'!$A:$A,0)),)</f>
        <v/>
      </c>
      <c r="Q231" t="inlineStr">
        <is>
          <t>todo</t>
        </is>
      </c>
    </row>
    <row r="232">
      <c r="A232" t="inlineStr">
        <is>
          <t>Jacob McCants</t>
        </is>
      </c>
      <c r="B232" t="inlineStr">
        <is>
          <t>Attendee</t>
        </is>
      </c>
      <c r="C232" t="inlineStr">
        <is>
          <t>Head of Supply Chain &amp; Logistics</t>
        </is>
      </c>
      <c r="D232" t="inlineStr">
        <is>
          <t>GoPuff</t>
        </is>
      </c>
      <c r="H232" t="n">
        <v>26</v>
      </c>
      <c r="I232" t="b">
        <v>1</v>
      </c>
      <c r="J232" t="b">
        <v>1</v>
      </c>
      <c r="K232" t="b">
        <v>1</v>
      </c>
      <c r="L232" t="b">
        <v>0</v>
      </c>
      <c r="M232" t="b">
        <v>0</v>
      </c>
      <c r="N232">
        <f>IFERROR(INDEX('Company Hitlist'!$AA:$AA,MATCH(D232,'Company Hitlist'!$A:$A,0)),)</f>
        <v/>
      </c>
      <c r="O232">
        <f>IFERROR(INDEX('Company Hitlist'!$N:$N,MATCH(D232,'Company Hitlist'!$A:$A,0)),)</f>
        <v/>
      </c>
      <c r="Q232" t="inlineStr">
        <is>
          <t>todo</t>
        </is>
      </c>
    </row>
    <row r="233">
      <c r="A233" t="inlineStr">
        <is>
          <t>Kevin Lynch</t>
        </is>
      </c>
      <c r="B233" t="inlineStr">
        <is>
          <t>Attendee</t>
        </is>
      </c>
      <c r="C233" t="inlineStr">
        <is>
          <t>Head of Supply Chain Tech Investment Banking Coverage</t>
        </is>
      </c>
      <c r="D233" t="inlineStr">
        <is>
          <t>Goldman Sachs</t>
        </is>
      </c>
      <c r="E233" t="inlineStr">
        <is>
          <t>United States</t>
        </is>
      </c>
      <c r="H233" t="n">
        <v>26</v>
      </c>
      <c r="I233" t="b">
        <v>1</v>
      </c>
      <c r="J233" t="b">
        <v>1</v>
      </c>
      <c r="K233" t="b">
        <v>1</v>
      </c>
      <c r="L233" t="b">
        <v>0</v>
      </c>
      <c r="M233" t="b">
        <v>0</v>
      </c>
      <c r="N233">
        <f>IFERROR(INDEX('Company Hitlist'!$AA:$AA,MATCH(D233,'Company Hitlist'!$A:$A,0)),)</f>
        <v/>
      </c>
      <c r="O233">
        <f>IFERROR(INDEX('Company Hitlist'!$N:$N,MATCH(D233,'Company Hitlist'!$A:$A,0)),)</f>
        <v/>
      </c>
      <c r="Q233" t="inlineStr">
        <is>
          <t>todo</t>
        </is>
      </c>
    </row>
    <row r="234">
      <c r="A234" t="inlineStr">
        <is>
          <t>Jeremy Larson</t>
        </is>
      </c>
      <c r="B234" t="inlineStr">
        <is>
          <t>Attendee</t>
        </is>
      </c>
      <c r="C234" t="inlineStr">
        <is>
          <t>VP of Transportation</t>
        </is>
      </c>
      <c r="D234" t="inlineStr">
        <is>
          <t>GoodShip</t>
        </is>
      </c>
      <c r="F234" t="inlineStr">
        <is>
          <t>Yes</t>
        </is>
      </c>
      <c r="G234" t="inlineStr">
        <is>
          <t>$9.2 million (2025)</t>
        </is>
      </c>
      <c r="H234" t="n">
        <v>26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>
        <f>IFERROR(INDEX('Company Hitlist'!$AA:$AA,MATCH(D234,'Company Hitlist'!$A:$A,0)),)</f>
        <v/>
      </c>
      <c r="O234">
        <f>IFERROR(INDEX('Company Hitlist'!$N:$N,MATCH(D234,'Company Hitlist'!$A:$A,0)),)</f>
        <v/>
      </c>
      <c r="Q234" t="inlineStr">
        <is>
          <t>todo</t>
        </is>
      </c>
    </row>
    <row r="235">
      <c r="A235" t="inlineStr">
        <is>
          <t>Greg Bicksler</t>
        </is>
      </c>
      <c r="B235" t="inlineStr">
        <is>
          <t>Attendee</t>
        </is>
      </c>
      <c r="C235" t="inlineStr">
        <is>
          <t>VP of Operations</t>
        </is>
      </c>
      <c r="D235" t="inlineStr">
        <is>
          <t>Goodr</t>
        </is>
      </c>
      <c r="F235" t="inlineStr">
        <is>
          <t>Yes</t>
        </is>
      </c>
      <c r="H235" t="n">
        <v>26</v>
      </c>
      <c r="I235" t="b">
        <v>1</v>
      </c>
      <c r="J235" t="b">
        <v>1</v>
      </c>
      <c r="K235" t="b">
        <v>1</v>
      </c>
      <c r="L235" t="b">
        <v>0</v>
      </c>
      <c r="M235" t="b">
        <v>0</v>
      </c>
      <c r="N235">
        <f>IFERROR(INDEX('Company Hitlist'!$AA:$AA,MATCH(D235,'Company Hitlist'!$A:$A,0)),)</f>
        <v/>
      </c>
      <c r="O235">
        <f>IFERROR(INDEX('Company Hitlist'!$N:$N,MATCH(D235,'Company Hitlist'!$A:$A,0)),)</f>
        <v/>
      </c>
      <c r="Q235" t="inlineStr">
        <is>
          <t>todo</t>
        </is>
      </c>
    </row>
    <row r="236">
      <c r="A236" t="inlineStr">
        <is>
          <t>Yip Chan</t>
        </is>
      </c>
      <c r="B236" t="inlineStr">
        <is>
          <t>Attendee</t>
        </is>
      </c>
      <c r="C236" t="inlineStr">
        <is>
          <t>Head of Transportation Systems Solutions</t>
        </is>
      </c>
      <c r="D236" t="inlineStr">
        <is>
          <t>Google</t>
        </is>
      </c>
      <c r="F236" t="inlineStr">
        <is>
          <t>Yes</t>
        </is>
      </c>
      <c r="G236" t="inlineStr">
        <is>
          <t>$281.7B (2024; projected $300B in 2025)</t>
        </is>
      </c>
      <c r="H236" t="n">
        <v>26</v>
      </c>
      <c r="I236" t="b">
        <v>1</v>
      </c>
      <c r="J236" t="b">
        <v>1</v>
      </c>
      <c r="K236" t="b">
        <v>1</v>
      </c>
      <c r="L236" t="b">
        <v>0</v>
      </c>
      <c r="M236" t="b">
        <v>0</v>
      </c>
      <c r="N236">
        <f>IFERROR(INDEX('Company Hitlist'!$AA:$AA,MATCH(D236,'Company Hitlist'!$A:$A,0)),)</f>
        <v/>
      </c>
      <c r="O236">
        <f>IFERROR(INDEX('Company Hitlist'!$N:$N,MATCH(D236,'Company Hitlist'!$A:$A,0)),)</f>
        <v/>
      </c>
      <c r="Q236" t="inlineStr">
        <is>
          <t>todo</t>
        </is>
      </c>
    </row>
    <row r="237">
      <c r="A237" t="inlineStr">
        <is>
          <t>Chris Luffler</t>
        </is>
      </c>
      <c r="B237" t="inlineStr">
        <is>
          <t>Attendee</t>
        </is>
      </c>
      <c r="C237" t="inlineStr">
        <is>
          <t>VP, Supply Chain Operations</t>
        </is>
      </c>
      <c r="D237" t="inlineStr">
        <is>
          <t>Greif</t>
        </is>
      </c>
      <c r="H237" t="n">
        <v>26</v>
      </c>
      <c r="I237" t="b">
        <v>1</v>
      </c>
      <c r="J237" t="b">
        <v>1</v>
      </c>
      <c r="K237" t="b">
        <v>1</v>
      </c>
      <c r="L237" t="b">
        <v>0</v>
      </c>
      <c r="M237" t="b">
        <v>0</v>
      </c>
      <c r="N237">
        <f>IFERROR(INDEX('Company Hitlist'!$AA:$AA,MATCH(D237,'Company Hitlist'!$A:$A,0)),)</f>
        <v/>
      </c>
      <c r="O237">
        <f>IFERROR(INDEX('Company Hitlist'!$N:$N,MATCH(D237,'Company Hitlist'!$A:$A,0)),)</f>
        <v/>
      </c>
      <c r="Q237" t="inlineStr">
        <is>
          <t>todo</t>
        </is>
      </c>
    </row>
    <row r="238">
      <c r="A238" t="inlineStr">
        <is>
          <t>Brian Schwartz</t>
        </is>
      </c>
      <c r="B238" t="inlineStr">
        <is>
          <t>Attendee</t>
        </is>
      </c>
      <c r="C238" t="inlineStr">
        <is>
          <t>VP of Distribution</t>
        </is>
      </c>
      <c r="D238" t="inlineStr">
        <is>
          <t>Grocery Outlet</t>
        </is>
      </c>
      <c r="F238" t="inlineStr">
        <is>
          <t>Yes</t>
        </is>
      </c>
      <c r="H238" t="n">
        <v>26</v>
      </c>
      <c r="I238" t="b">
        <v>1</v>
      </c>
      <c r="J238" t="b">
        <v>1</v>
      </c>
      <c r="K238" t="b">
        <v>1</v>
      </c>
      <c r="L238" t="b">
        <v>0</v>
      </c>
      <c r="M238" t="b">
        <v>0</v>
      </c>
      <c r="N238">
        <f>IFERROR(INDEX('Company Hitlist'!$AA:$AA,MATCH(D238,'Company Hitlist'!$A:$A,0)),)</f>
        <v/>
      </c>
      <c r="O238">
        <f>IFERROR(INDEX('Company Hitlist'!$N:$N,MATCH(D238,'Company Hitlist'!$A:$A,0)),)</f>
        <v/>
      </c>
      <c r="Q238" t="inlineStr">
        <is>
          <t>todo</t>
        </is>
      </c>
    </row>
    <row r="239">
      <c r="A239" t="inlineStr">
        <is>
          <t>Melinda McClure</t>
        </is>
      </c>
      <c r="B239" t="inlineStr">
        <is>
          <t>Attendee</t>
        </is>
      </c>
      <c r="C239" t="inlineStr">
        <is>
          <t>VP of Network Strategy and Engineering</t>
        </is>
      </c>
      <c r="D239" t="inlineStr">
        <is>
          <t>Grocery Outlet</t>
        </is>
      </c>
      <c r="F239" t="inlineStr">
        <is>
          <t>Yes</t>
        </is>
      </c>
      <c r="H239" t="n">
        <v>26</v>
      </c>
      <c r="I239" t="b">
        <v>1</v>
      </c>
      <c r="J239" t="b">
        <v>1</v>
      </c>
      <c r="K239" t="b">
        <v>1</v>
      </c>
      <c r="L239" t="b">
        <v>0</v>
      </c>
      <c r="M239" t="b">
        <v>0</v>
      </c>
      <c r="N239">
        <f>IFERROR(INDEX('Company Hitlist'!$AA:$AA,MATCH(D239,'Company Hitlist'!$A:$A,0)),)</f>
        <v/>
      </c>
      <c r="O239">
        <f>IFERROR(INDEX('Company Hitlist'!$N:$N,MATCH(D239,'Company Hitlist'!$A:$A,0)),)</f>
        <v/>
      </c>
      <c r="Q239" t="inlineStr">
        <is>
          <t>todo</t>
        </is>
      </c>
    </row>
    <row r="240">
      <c r="A240" t="inlineStr">
        <is>
          <t>Garsten Bergquist</t>
        </is>
      </c>
      <c r="B240" t="inlineStr">
        <is>
          <t>Attendee</t>
        </is>
      </c>
      <c r="C240" t="inlineStr">
        <is>
          <t>Head of Supply Chain</t>
        </is>
      </c>
      <c r="D240" t="inlineStr">
        <is>
          <t>H.V.M.N</t>
        </is>
      </c>
      <c r="H240" t="n">
        <v>26</v>
      </c>
      <c r="I240" t="b">
        <v>1</v>
      </c>
      <c r="J240" t="b">
        <v>1</v>
      </c>
      <c r="K240" t="b">
        <v>1</v>
      </c>
      <c r="L240" t="b">
        <v>0</v>
      </c>
      <c r="M240" t="b">
        <v>0</v>
      </c>
      <c r="N240">
        <f>IFERROR(INDEX('Company Hitlist'!$AA:$AA,MATCH(D240,'Company Hitlist'!$A:$A,0)),)</f>
        <v/>
      </c>
      <c r="O240">
        <f>IFERROR(INDEX('Company Hitlist'!$N:$N,MATCH(D240,'Company Hitlist'!$A:$A,0)),)</f>
        <v/>
      </c>
      <c r="Q240" t="inlineStr">
        <is>
          <t>todo</t>
        </is>
      </c>
    </row>
    <row r="241">
      <c r="A241" t="inlineStr">
        <is>
          <t>Feridoun Amirjalayer</t>
        </is>
      </c>
      <c r="B241" t="inlineStr">
        <is>
          <t>Attendee</t>
        </is>
      </c>
      <c r="C241" t="inlineStr">
        <is>
          <t>Vice President, Supply Chain</t>
        </is>
      </c>
      <c r="D241" t="inlineStr">
        <is>
          <t>HD Supply</t>
        </is>
      </c>
      <c r="H241" t="n">
        <v>26</v>
      </c>
      <c r="I241" t="b">
        <v>1</v>
      </c>
      <c r="J241" t="b">
        <v>1</v>
      </c>
      <c r="K241" t="b">
        <v>1</v>
      </c>
      <c r="L241" t="b">
        <v>0</v>
      </c>
      <c r="M241" t="b">
        <v>0</v>
      </c>
      <c r="N241">
        <f>IFERROR(INDEX('Company Hitlist'!$AA:$AA,MATCH(D241,'Company Hitlist'!$A:$A,0)),)</f>
        <v/>
      </c>
      <c r="O241">
        <f>IFERROR(INDEX('Company Hitlist'!$N:$N,MATCH(D241,'Company Hitlist'!$A:$A,0)),)</f>
        <v/>
      </c>
      <c r="Q241" t="inlineStr">
        <is>
          <t>todo</t>
        </is>
      </c>
    </row>
    <row r="242">
      <c r="A242" t="inlineStr">
        <is>
          <t>John Drake</t>
        </is>
      </c>
      <c r="B242" t="inlineStr">
        <is>
          <t>Attendee</t>
        </is>
      </c>
      <c r="C242" t="inlineStr">
        <is>
          <t>Senior VP, Supply Chain</t>
        </is>
      </c>
      <c r="D242" t="inlineStr">
        <is>
          <t>HD Supply</t>
        </is>
      </c>
      <c r="H242" t="n">
        <v>26</v>
      </c>
      <c r="I242" t="b">
        <v>1</v>
      </c>
      <c r="J242" t="b">
        <v>1</v>
      </c>
      <c r="K242" t="b">
        <v>1</v>
      </c>
      <c r="L242" t="b">
        <v>0</v>
      </c>
      <c r="M242" t="b">
        <v>0</v>
      </c>
      <c r="N242">
        <f>IFERROR(INDEX('Company Hitlist'!$AA:$AA,MATCH(D242,'Company Hitlist'!$A:$A,0)),)</f>
        <v/>
      </c>
      <c r="O242">
        <f>IFERROR(INDEX('Company Hitlist'!$N:$N,MATCH(D242,'Company Hitlist'!$A:$A,0)),)</f>
        <v/>
      </c>
      <c r="Q242" t="inlineStr">
        <is>
          <t>todo</t>
        </is>
      </c>
    </row>
    <row r="243">
      <c r="A243" t="inlineStr">
        <is>
          <t>Ravindar Krishnappa</t>
        </is>
      </c>
      <c r="B243" t="inlineStr">
        <is>
          <t>Attendee</t>
        </is>
      </c>
      <c r="C243" t="inlineStr">
        <is>
          <t>SVP of Supply Chain and Operations</t>
        </is>
      </c>
      <c r="D243" t="inlineStr">
        <is>
          <t>HF Foods</t>
        </is>
      </c>
      <c r="H243" t="n">
        <v>26</v>
      </c>
      <c r="I243" t="b">
        <v>1</v>
      </c>
      <c r="J243" t="b">
        <v>1</v>
      </c>
      <c r="K243" t="b">
        <v>1</v>
      </c>
      <c r="L243" t="b">
        <v>0</v>
      </c>
      <c r="M243" t="b">
        <v>0</v>
      </c>
      <c r="N243">
        <f>IFERROR(INDEX('Company Hitlist'!$AA:$AA,MATCH(D243,'Company Hitlist'!$A:$A,0)),)</f>
        <v/>
      </c>
      <c r="O243">
        <f>IFERROR(INDEX('Company Hitlist'!$N:$N,MATCH(D243,'Company Hitlist'!$A:$A,0)),)</f>
        <v/>
      </c>
      <c r="Q243" t="inlineStr">
        <is>
          <t>todo</t>
        </is>
      </c>
    </row>
    <row r="244">
      <c r="A244" t="inlineStr">
        <is>
          <t>Alvaro Cantillo</t>
        </is>
      </c>
      <c r="B244" t="inlineStr">
        <is>
          <t>Attendee</t>
        </is>
      </c>
      <c r="C244" t="inlineStr">
        <is>
          <t>Head North America QSC -CH Quality &amp; Supply Chain</t>
        </is>
      </c>
      <c r="D244" t="inlineStr">
        <is>
          <t>Haleon</t>
        </is>
      </c>
      <c r="E244" t="inlineStr">
        <is>
          <t>United States</t>
        </is>
      </c>
      <c r="H244" t="n">
        <v>26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>
        <f>IFERROR(INDEX('Company Hitlist'!$AA:$AA,MATCH(D244,'Company Hitlist'!$A:$A,0)),)</f>
        <v/>
      </c>
      <c r="O244">
        <f>IFERROR(INDEX('Company Hitlist'!$N:$N,MATCH(D244,'Company Hitlist'!$A:$A,0)),)</f>
        <v/>
      </c>
      <c r="Q244" t="inlineStr">
        <is>
          <t>todo</t>
        </is>
      </c>
    </row>
    <row r="245">
      <c r="A245" t="inlineStr">
        <is>
          <t>Tyler Crawford</t>
        </is>
      </c>
      <c r="B245" t="inlineStr">
        <is>
          <t>Attendee</t>
        </is>
      </c>
      <c r="C245" t="inlineStr">
        <is>
          <t>VP of Ops</t>
        </is>
      </c>
      <c r="D245" t="inlineStr">
        <is>
          <t>Hatch</t>
        </is>
      </c>
      <c r="H245" t="n">
        <v>26</v>
      </c>
      <c r="I245" t="b">
        <v>1</v>
      </c>
      <c r="J245" t="b">
        <v>1</v>
      </c>
      <c r="K245" t="b">
        <v>1</v>
      </c>
      <c r="L245" t="b">
        <v>0</v>
      </c>
      <c r="M245" t="b">
        <v>0</v>
      </c>
      <c r="N245">
        <f>IFERROR(INDEX('Company Hitlist'!$AA:$AA,MATCH(D245,'Company Hitlist'!$A:$A,0)),)</f>
        <v/>
      </c>
      <c r="O245">
        <f>IFERROR(INDEX('Company Hitlist'!$N:$N,MATCH(D245,'Company Hitlist'!$A:$A,0)),)</f>
        <v/>
      </c>
      <c r="Q245" t="inlineStr">
        <is>
          <t>todo</t>
        </is>
      </c>
    </row>
    <row r="246">
      <c r="A246" t="inlineStr">
        <is>
          <t>Nunzio Di Savino</t>
        </is>
      </c>
      <c r="B246" t="inlineStr">
        <is>
          <t>Attendee</t>
        </is>
      </c>
      <c r="C246" t="inlineStr">
        <is>
          <t>VP Logistics</t>
        </is>
      </c>
      <c r="D246" t="inlineStr">
        <is>
          <t>Hello Fresh</t>
        </is>
      </c>
      <c r="H246" t="n">
        <v>26</v>
      </c>
      <c r="I246" t="b">
        <v>1</v>
      </c>
      <c r="J246" t="b">
        <v>1</v>
      </c>
      <c r="K246" t="b">
        <v>1</v>
      </c>
      <c r="L246" t="b">
        <v>0</v>
      </c>
      <c r="M246" t="b">
        <v>0</v>
      </c>
      <c r="N246">
        <f>IFERROR(INDEX('Company Hitlist'!$AA:$AA,MATCH(D246,'Company Hitlist'!$A:$A,0)),)</f>
        <v/>
      </c>
      <c r="O246">
        <f>IFERROR(INDEX('Company Hitlist'!$N:$N,MATCH(D246,'Company Hitlist'!$A:$A,0)),)</f>
        <v/>
      </c>
      <c r="Q246" t="inlineStr">
        <is>
          <t>todo</t>
        </is>
      </c>
    </row>
    <row r="247">
      <c r="A247" t="inlineStr">
        <is>
          <t>Matthew Cicinelli</t>
        </is>
      </c>
      <c r="B247" t="inlineStr">
        <is>
          <t>Attendee</t>
        </is>
      </c>
      <c r="C247" t="inlineStr">
        <is>
          <t>VP, U.S Operations &amp; Global Supply Chain Technology</t>
        </is>
      </c>
      <c r="D247" t="inlineStr">
        <is>
          <t>HelloFresh</t>
        </is>
      </c>
      <c r="H247" t="n">
        <v>26</v>
      </c>
      <c r="I247" t="b">
        <v>1</v>
      </c>
      <c r="J247" t="b">
        <v>1</v>
      </c>
      <c r="K247" t="b">
        <v>1</v>
      </c>
      <c r="L247" t="b">
        <v>0</v>
      </c>
      <c r="M247" t="b">
        <v>0</v>
      </c>
      <c r="N247">
        <f>IFERROR(INDEX('Company Hitlist'!$AA:$AA,MATCH(D247,'Company Hitlist'!$A:$A,0)),)</f>
        <v/>
      </c>
      <c r="O247">
        <f>IFERROR(INDEX('Company Hitlist'!$N:$N,MATCH(D247,'Company Hitlist'!$A:$A,0)),)</f>
        <v/>
      </c>
      <c r="Q247" t="inlineStr">
        <is>
          <t>todo</t>
        </is>
      </c>
    </row>
    <row r="248">
      <c r="A248" t="inlineStr">
        <is>
          <t>Richard Whitner</t>
        </is>
      </c>
      <c r="B248" t="inlineStr">
        <is>
          <t>Attendee</t>
        </is>
      </c>
      <c r="C248" t="inlineStr">
        <is>
          <t>VP Operations</t>
        </is>
      </c>
      <c r="D248" t="inlineStr">
        <is>
          <t>Heritage Distribution Holdings</t>
        </is>
      </c>
      <c r="E248" t="inlineStr">
        <is>
          <t>United States</t>
        </is>
      </c>
      <c r="F248" t="inlineStr">
        <is>
          <t>Yes</t>
        </is>
      </c>
      <c r="H248" t="n">
        <v>26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>
        <f>IFERROR(INDEX('Company Hitlist'!$AA:$AA,MATCH(D248,'Company Hitlist'!$A:$A,0)),)</f>
        <v/>
      </c>
      <c r="O248">
        <f>IFERROR(INDEX('Company Hitlist'!$N:$N,MATCH(D248,'Company Hitlist'!$A:$A,0)),)</f>
        <v/>
      </c>
      <c r="Q248" t="inlineStr">
        <is>
          <t>todo</t>
        </is>
      </c>
    </row>
    <row r="249">
      <c r="A249" t="inlineStr">
        <is>
          <t>Amir Ghoddousi</t>
        </is>
      </c>
      <c r="B249" t="inlineStr">
        <is>
          <t>Attendee</t>
        </is>
      </c>
      <c r="C249" t="inlineStr">
        <is>
          <t>VP Supply Chain</t>
        </is>
      </c>
      <c r="D249" t="inlineStr">
        <is>
          <t>Hillpointe Construction</t>
        </is>
      </c>
      <c r="H249" t="n">
        <v>26</v>
      </c>
      <c r="I249" t="b">
        <v>1</v>
      </c>
      <c r="J249" t="b">
        <v>1</v>
      </c>
      <c r="K249" t="b">
        <v>1</v>
      </c>
      <c r="L249" t="b">
        <v>0</v>
      </c>
      <c r="M249" t="b">
        <v>0</v>
      </c>
      <c r="N249">
        <f>IFERROR(INDEX('Company Hitlist'!$AA:$AA,MATCH(D249,'Company Hitlist'!$A:$A,0)),)</f>
        <v/>
      </c>
      <c r="O249">
        <f>IFERROR(INDEX('Company Hitlist'!$N:$N,MATCH(D249,'Company Hitlist'!$A:$A,0)),)</f>
        <v/>
      </c>
      <c r="Q249" t="inlineStr">
        <is>
          <t>todo</t>
        </is>
      </c>
    </row>
    <row r="250">
      <c r="A250" t="inlineStr">
        <is>
          <t>Dale Finstead</t>
        </is>
      </c>
      <c r="B250" t="inlineStr">
        <is>
          <t>Attendee</t>
        </is>
      </c>
      <c r="C250" t="inlineStr">
        <is>
          <t>VP Customer Service &amp; Logistics-North America</t>
        </is>
      </c>
      <c r="D250" t="inlineStr">
        <is>
          <t>Hills Pet Nutrition</t>
        </is>
      </c>
      <c r="E250" t="inlineStr">
        <is>
          <t>United States</t>
        </is>
      </c>
      <c r="F250" t="inlineStr">
        <is>
          <t>Yes</t>
        </is>
      </c>
      <c r="H250" t="n">
        <v>26</v>
      </c>
      <c r="I250" t="b">
        <v>1</v>
      </c>
      <c r="J250" t="b">
        <v>1</v>
      </c>
      <c r="K250" t="b">
        <v>1</v>
      </c>
      <c r="L250" t="b">
        <v>0</v>
      </c>
      <c r="M250" t="b">
        <v>0</v>
      </c>
      <c r="N250">
        <f>IFERROR(INDEX('Company Hitlist'!$AA:$AA,MATCH(D250,'Company Hitlist'!$A:$A,0)),)</f>
        <v/>
      </c>
      <c r="O250">
        <f>IFERROR(INDEX('Company Hitlist'!$N:$N,MATCH(D250,'Company Hitlist'!$A:$A,0)),)</f>
        <v/>
      </c>
      <c r="Q250" t="inlineStr">
        <is>
          <t>todo</t>
        </is>
      </c>
    </row>
    <row r="251">
      <c r="A251" t="inlineStr">
        <is>
          <t>Zach Johnson</t>
        </is>
      </c>
      <c r="B251" t="inlineStr">
        <is>
          <t>Attendee</t>
        </is>
      </c>
      <c r="C251" t="inlineStr">
        <is>
          <t>VP Operations</t>
        </is>
      </c>
      <c r="D251" t="inlineStr">
        <is>
          <t>Holland Enterprises Inc</t>
        </is>
      </c>
      <c r="H251" t="n">
        <v>26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>
        <f>IFERROR(INDEX('Company Hitlist'!$AA:$AA,MATCH(D251,'Company Hitlist'!$A:$A,0)),)</f>
        <v/>
      </c>
      <c r="O251">
        <f>IFERROR(INDEX('Company Hitlist'!$N:$N,MATCH(D251,'Company Hitlist'!$A:$A,0)),)</f>
        <v/>
      </c>
      <c r="Q251" t="inlineStr">
        <is>
          <t>todo</t>
        </is>
      </c>
    </row>
    <row r="252">
      <c r="A252" t="inlineStr">
        <is>
          <t>Andrew Henderson</t>
        </is>
      </c>
      <c r="B252" t="inlineStr">
        <is>
          <t>Attendee</t>
        </is>
      </c>
      <c r="C252" t="inlineStr">
        <is>
          <t>VP Logistics</t>
        </is>
      </c>
      <c r="D252" t="inlineStr">
        <is>
          <t>Holland Enterprises Inc.</t>
        </is>
      </c>
      <c r="F252" t="inlineStr">
        <is>
          <t>Yes</t>
        </is>
      </c>
      <c r="H252" t="n">
        <v>26</v>
      </c>
      <c r="I252" t="b">
        <v>1</v>
      </c>
      <c r="J252" t="b">
        <v>1</v>
      </c>
      <c r="K252" t="b">
        <v>1</v>
      </c>
      <c r="L252" t="b">
        <v>0</v>
      </c>
      <c r="M252" t="b">
        <v>0</v>
      </c>
      <c r="N252">
        <f>IFERROR(INDEX('Company Hitlist'!$AA:$AA,MATCH(D252,'Company Hitlist'!$A:$A,0)),)</f>
        <v/>
      </c>
      <c r="O252">
        <f>IFERROR(INDEX('Company Hitlist'!$N:$N,MATCH(D252,'Company Hitlist'!$A:$A,0)),)</f>
        <v/>
      </c>
      <c r="Q252" t="inlineStr">
        <is>
          <t>todo</t>
        </is>
      </c>
    </row>
    <row r="253">
      <c r="A253" t="inlineStr">
        <is>
          <t>Doug Starnes</t>
        </is>
      </c>
      <c r="B253" t="inlineStr">
        <is>
          <t>Attendee</t>
        </is>
      </c>
      <c r="C253" t="inlineStr">
        <is>
          <t>VP Operations</t>
        </is>
      </c>
      <c r="D253" t="inlineStr">
        <is>
          <t>Hometown Logistics</t>
        </is>
      </c>
      <c r="F253" t="inlineStr">
        <is>
          <t>Yes</t>
        </is>
      </c>
      <c r="H253" t="n">
        <v>26</v>
      </c>
      <c r="I253" t="b">
        <v>1</v>
      </c>
      <c r="J253" t="b">
        <v>1</v>
      </c>
      <c r="K253" t="b">
        <v>1</v>
      </c>
      <c r="L253" t="b">
        <v>0</v>
      </c>
      <c r="M253" t="b">
        <v>0</v>
      </c>
      <c r="N253">
        <f>IFERROR(INDEX('Company Hitlist'!$AA:$AA,MATCH(D253,'Company Hitlist'!$A:$A,0)),)</f>
        <v/>
      </c>
      <c r="O253">
        <f>IFERROR(INDEX('Company Hitlist'!$N:$N,MATCH(D253,'Company Hitlist'!$A:$A,0)),)</f>
        <v/>
      </c>
      <c r="Q253" t="inlineStr">
        <is>
          <t>todo</t>
        </is>
      </c>
    </row>
    <row r="254">
      <c r="A254" t="inlineStr">
        <is>
          <t>Riddhi Kasudia</t>
        </is>
      </c>
      <c r="B254" t="inlineStr">
        <is>
          <t>Attendee</t>
        </is>
      </c>
      <c r="C254" t="inlineStr">
        <is>
          <t>VP Operations</t>
        </is>
      </c>
      <c r="D254" t="inlineStr">
        <is>
          <t>Hourglass</t>
        </is>
      </c>
      <c r="E254" t="inlineStr">
        <is>
          <t>United States</t>
        </is>
      </c>
      <c r="F254" t="inlineStr">
        <is>
          <t>Yes</t>
        </is>
      </c>
      <c r="H254" t="n">
        <v>26</v>
      </c>
      <c r="I254" t="b">
        <v>1</v>
      </c>
      <c r="J254" t="b">
        <v>1</v>
      </c>
      <c r="K254" t="b">
        <v>1</v>
      </c>
      <c r="L254" t="b">
        <v>0</v>
      </c>
      <c r="M254" t="b">
        <v>0</v>
      </c>
      <c r="N254">
        <f>IFERROR(INDEX('Company Hitlist'!$AA:$AA,MATCH(D254,'Company Hitlist'!$A:$A,0)),)</f>
        <v/>
      </c>
      <c r="O254">
        <f>IFERROR(INDEX('Company Hitlist'!$N:$N,MATCH(D254,'Company Hitlist'!$A:$A,0)),)</f>
        <v/>
      </c>
      <c r="Q254" t="inlineStr">
        <is>
          <t>todo</t>
        </is>
      </c>
    </row>
    <row r="255">
      <c r="A255" t="inlineStr">
        <is>
          <t>Nick Meister</t>
        </is>
      </c>
      <c r="B255" t="inlineStr">
        <is>
          <t>Attendee</t>
        </is>
      </c>
      <c r="C255" t="inlineStr">
        <is>
          <t>VP, Operations</t>
        </is>
      </c>
      <c r="D255" t="inlineStr">
        <is>
          <t>Huckberry</t>
        </is>
      </c>
      <c r="F255" t="inlineStr">
        <is>
          <t>Yes</t>
        </is>
      </c>
      <c r="H255" t="n">
        <v>26</v>
      </c>
      <c r="I255" t="b">
        <v>1</v>
      </c>
      <c r="J255" t="b">
        <v>1</v>
      </c>
      <c r="K255" t="b">
        <v>1</v>
      </c>
      <c r="L255" t="b">
        <v>0</v>
      </c>
      <c r="M255" t="b">
        <v>0</v>
      </c>
      <c r="N255">
        <f>IFERROR(INDEX('Company Hitlist'!$AA:$AA,MATCH(D255,'Company Hitlist'!$A:$A,0)),)</f>
        <v/>
      </c>
      <c r="O255">
        <f>IFERROR(INDEX('Company Hitlist'!$N:$N,MATCH(D255,'Company Hitlist'!$A:$A,0)),)</f>
        <v/>
      </c>
      <c r="Q255" t="inlineStr">
        <is>
          <t>todo</t>
        </is>
      </c>
    </row>
    <row r="256">
      <c r="A256" t="inlineStr">
        <is>
          <t>Nikki Soss</t>
        </is>
      </c>
      <c r="B256" t="inlineStr">
        <is>
          <t>Attendee</t>
        </is>
      </c>
      <c r="C256" t="inlineStr">
        <is>
          <t>Head of Enterprise Logistics &amp; Distribution</t>
        </is>
      </c>
      <c r="D256" t="inlineStr">
        <is>
          <t>Hunter Douglas</t>
        </is>
      </c>
      <c r="H256" t="n">
        <v>26</v>
      </c>
      <c r="I256" t="b">
        <v>1</v>
      </c>
      <c r="J256" t="b">
        <v>1</v>
      </c>
      <c r="K256" t="b">
        <v>1</v>
      </c>
      <c r="L256" t="b">
        <v>0</v>
      </c>
      <c r="M256" t="b">
        <v>0</v>
      </c>
      <c r="N256">
        <f>IFERROR(INDEX('Company Hitlist'!$AA:$AA,MATCH(D256,'Company Hitlist'!$A:$A,0)),)</f>
        <v/>
      </c>
      <c r="O256">
        <f>IFERROR(INDEX('Company Hitlist'!$N:$N,MATCH(D256,'Company Hitlist'!$A:$A,0)),)</f>
        <v/>
      </c>
      <c r="Q256" t="inlineStr">
        <is>
          <t>todo</t>
        </is>
      </c>
    </row>
    <row r="257">
      <c r="A257" t="inlineStr">
        <is>
          <t>Linda Ewing</t>
        </is>
      </c>
      <c r="B257" t="inlineStr">
        <is>
          <t>Attendee</t>
        </is>
      </c>
      <c r="C257" t="inlineStr">
        <is>
          <t>SVP Health &amp; Wellness Operations</t>
        </is>
      </c>
      <c r="D257" t="inlineStr">
        <is>
          <t>ID Logistics</t>
        </is>
      </c>
      <c r="E257" t="inlineStr">
        <is>
          <t>United States</t>
        </is>
      </c>
      <c r="F257" t="inlineStr">
        <is>
          <t>Yes</t>
        </is>
      </c>
      <c r="H257" t="n">
        <v>26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>
        <f>IFERROR(INDEX('Company Hitlist'!$AA:$AA,MATCH(D257,'Company Hitlist'!$A:$A,0)),)</f>
        <v/>
      </c>
      <c r="O257">
        <f>IFERROR(INDEX('Company Hitlist'!$N:$N,MATCH(D257,'Company Hitlist'!$A:$A,0)),)</f>
        <v/>
      </c>
      <c r="Q257" t="inlineStr">
        <is>
          <t>todo</t>
        </is>
      </c>
    </row>
    <row r="258">
      <c r="A258" t="inlineStr">
        <is>
          <t>Nicole Yuan He</t>
        </is>
      </c>
      <c r="B258" t="inlineStr">
        <is>
          <t>Attendee</t>
        </is>
      </c>
      <c r="C258" t="inlineStr">
        <is>
          <t>SVP Operations</t>
        </is>
      </c>
      <c r="D258" t="inlineStr">
        <is>
          <t>IPSY</t>
        </is>
      </c>
      <c r="F258" t="inlineStr">
        <is>
          <t>Yes</t>
        </is>
      </c>
      <c r="H258" t="n">
        <v>26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>
        <f>IFERROR(INDEX('Company Hitlist'!$AA:$AA,MATCH(D258,'Company Hitlist'!$A:$A,0)),)</f>
        <v/>
      </c>
      <c r="O258">
        <f>IFERROR(INDEX('Company Hitlist'!$N:$N,MATCH(D258,'Company Hitlist'!$A:$A,0)),)</f>
        <v/>
      </c>
      <c r="Q258" t="inlineStr">
        <is>
          <t>todo</t>
        </is>
      </c>
    </row>
    <row r="259">
      <c r="A259" t="inlineStr">
        <is>
          <t>MAHEISH KESARKAR</t>
        </is>
      </c>
      <c r="B259" t="inlineStr">
        <is>
          <t>Attendee</t>
        </is>
      </c>
      <c r="C259" t="inlineStr">
        <is>
          <t>Head - Manufacturing and Logistics</t>
        </is>
      </c>
      <c r="D259" t="inlineStr">
        <is>
          <t>IRIS SOFTWARE INC</t>
        </is>
      </c>
      <c r="E259" t="inlineStr">
        <is>
          <t>United States</t>
        </is>
      </c>
      <c r="F259" t="inlineStr">
        <is>
          <t>Yes</t>
        </is>
      </c>
      <c r="H259" t="n">
        <v>26</v>
      </c>
      <c r="I259" t="b">
        <v>1</v>
      </c>
      <c r="J259" t="b">
        <v>1</v>
      </c>
      <c r="K259" t="b">
        <v>1</v>
      </c>
      <c r="L259" t="b">
        <v>0</v>
      </c>
      <c r="M259" t="b">
        <v>0</v>
      </c>
      <c r="N259">
        <f>IFERROR(INDEX('Company Hitlist'!$AA:$AA,MATCH(D259,'Company Hitlist'!$A:$A,0)),)</f>
        <v/>
      </c>
      <c r="O259">
        <f>IFERROR(INDEX('Company Hitlist'!$N:$N,MATCH(D259,'Company Hitlist'!$A:$A,0)),)</f>
        <v/>
      </c>
      <c r="Q259" t="inlineStr">
        <is>
          <t>todo</t>
        </is>
      </c>
    </row>
    <row r="260">
      <c r="A260" t="inlineStr">
        <is>
          <t>Ryan Martin</t>
        </is>
      </c>
      <c r="B260" t="inlineStr">
        <is>
          <t>Attendee</t>
        </is>
      </c>
      <c r="C260" t="inlineStr">
        <is>
          <t>President of Distribution and Fulfillment</t>
        </is>
      </c>
      <c r="D260" t="inlineStr">
        <is>
          <t>ITS</t>
        </is>
      </c>
      <c r="F260" t="inlineStr">
        <is>
          <t>Yes</t>
        </is>
      </c>
      <c r="H260" t="n">
        <v>26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>
        <f>IFERROR(INDEX('Company Hitlist'!$AA:$AA,MATCH(D260,'Company Hitlist'!$A:$A,0)),)</f>
        <v/>
      </c>
      <c r="O260">
        <f>IFERROR(INDEX('Company Hitlist'!$N:$N,MATCH(D260,'Company Hitlist'!$A:$A,0)),)</f>
        <v/>
      </c>
      <c r="Q260" t="inlineStr">
        <is>
          <t>todo</t>
        </is>
      </c>
    </row>
    <row r="261">
      <c r="A261" t="inlineStr">
        <is>
          <t>Dustin Miles</t>
        </is>
      </c>
      <c r="B261" t="inlineStr">
        <is>
          <t>Attendee</t>
        </is>
      </c>
      <c r="C261" t="inlineStr">
        <is>
          <t>Head of Logistics</t>
        </is>
      </c>
      <c r="D261" t="inlineStr">
        <is>
          <t>Illuminate USA</t>
        </is>
      </c>
      <c r="E261" t="inlineStr">
        <is>
          <t>United States</t>
        </is>
      </c>
      <c r="H261" t="n">
        <v>26</v>
      </c>
      <c r="I261" t="b">
        <v>1</v>
      </c>
      <c r="J261" t="b">
        <v>1</v>
      </c>
      <c r="K261" t="b">
        <v>1</v>
      </c>
      <c r="L261" t="b">
        <v>0</v>
      </c>
      <c r="M261" t="b">
        <v>0</v>
      </c>
      <c r="N261">
        <f>IFERROR(INDEX('Company Hitlist'!$AA:$AA,MATCH(D261,'Company Hitlist'!$A:$A,0)),)</f>
        <v/>
      </c>
      <c r="O261">
        <f>IFERROR(INDEX('Company Hitlist'!$N:$N,MATCH(D261,'Company Hitlist'!$A:$A,0)),)</f>
        <v/>
      </c>
      <c r="Q261" t="inlineStr">
        <is>
          <t>todo</t>
        </is>
      </c>
    </row>
    <row r="262">
      <c r="A262" t="inlineStr">
        <is>
          <t>Christopher Cartelli</t>
        </is>
      </c>
      <c r="B262" t="inlineStr">
        <is>
          <t>Attendee</t>
        </is>
      </c>
      <c r="C262" t="inlineStr">
        <is>
          <t>Chief Operations Officer</t>
        </is>
      </c>
      <c r="D262" t="inlineStr">
        <is>
          <t>International Bridge</t>
        </is>
      </c>
      <c r="E262" t="inlineStr">
        <is>
          <t>United States</t>
        </is>
      </c>
      <c r="F262" t="inlineStr">
        <is>
          <t>Yes</t>
        </is>
      </c>
      <c r="H262" t="n">
        <v>26</v>
      </c>
      <c r="I262" t="b">
        <v>1</v>
      </c>
      <c r="J262" t="b">
        <v>1</v>
      </c>
      <c r="K262" t="b">
        <v>1</v>
      </c>
      <c r="L262" t="b">
        <v>0</v>
      </c>
      <c r="M262" t="b">
        <v>0</v>
      </c>
      <c r="N262">
        <f>IFERROR(INDEX('Company Hitlist'!$AA:$AA,MATCH(D262,'Company Hitlist'!$A:$A,0)),)</f>
        <v/>
      </c>
      <c r="O262">
        <f>IFERROR(INDEX('Company Hitlist'!$N:$N,MATCH(D262,'Company Hitlist'!$A:$A,0)),)</f>
        <v/>
      </c>
      <c r="Q262" t="inlineStr">
        <is>
          <t>todo</t>
        </is>
      </c>
    </row>
    <row r="263">
      <c r="A263" t="inlineStr">
        <is>
          <t>Mauricio Diaz</t>
        </is>
      </c>
      <c r="B263" t="inlineStr">
        <is>
          <t>Attendee</t>
        </is>
      </c>
      <c r="C263" t="inlineStr">
        <is>
          <t>Head of Logistics</t>
        </is>
      </c>
      <c r="D263" t="inlineStr">
        <is>
          <t>Joffroy</t>
        </is>
      </c>
      <c r="F263" t="inlineStr">
        <is>
          <t>Yes</t>
        </is>
      </c>
      <c r="H263" t="n">
        <v>26</v>
      </c>
      <c r="I263" t="b">
        <v>1</v>
      </c>
      <c r="J263" t="b">
        <v>1</v>
      </c>
      <c r="K263" t="b">
        <v>1</v>
      </c>
      <c r="L263" t="b">
        <v>0</v>
      </c>
      <c r="M263" t="b">
        <v>0</v>
      </c>
      <c r="N263">
        <f>IFERROR(INDEX('Company Hitlist'!$AA:$AA,MATCH(D263,'Company Hitlist'!$A:$A,0)),)</f>
        <v/>
      </c>
      <c r="O263">
        <f>IFERROR(INDEX('Company Hitlist'!$N:$N,MATCH(D263,'Company Hitlist'!$A:$A,0)),)</f>
        <v/>
      </c>
      <c r="Q263" t="inlineStr">
        <is>
          <t>todo</t>
        </is>
      </c>
    </row>
    <row r="264">
      <c r="A264" t="inlineStr">
        <is>
          <t>Gerardo Vargas Montes</t>
        </is>
      </c>
      <c r="B264" t="inlineStr">
        <is>
          <t>Attendee</t>
        </is>
      </c>
      <c r="C264" t="inlineStr">
        <is>
          <t>VP, Supply Chain Deliver</t>
        </is>
      </c>
      <c r="D264" t="inlineStr">
        <is>
          <t>Johnson &amp; Johnson</t>
        </is>
      </c>
      <c r="E264" t="inlineStr">
        <is>
          <t>United States</t>
        </is>
      </c>
      <c r="H264" t="n">
        <v>26</v>
      </c>
      <c r="I264" t="b">
        <v>1</v>
      </c>
      <c r="J264" t="b">
        <v>1</v>
      </c>
      <c r="K264" t="b">
        <v>1</v>
      </c>
      <c r="L264" t="b">
        <v>0</v>
      </c>
      <c r="M264" t="b">
        <v>0</v>
      </c>
      <c r="N264">
        <f>IFERROR(INDEX('Company Hitlist'!$AA:$AA,MATCH(D264,'Company Hitlist'!$A:$A,0)),)</f>
        <v/>
      </c>
      <c r="O264">
        <f>IFERROR(INDEX('Company Hitlist'!$N:$N,MATCH(D264,'Company Hitlist'!$A:$A,0)),)</f>
        <v/>
      </c>
      <c r="Q264" t="inlineStr">
        <is>
          <t>todo</t>
        </is>
      </c>
    </row>
    <row r="265">
      <c r="A265" t="inlineStr">
        <is>
          <t>Tracy Reiss</t>
        </is>
      </c>
      <c r="B265" t="inlineStr">
        <is>
          <t>Attendee</t>
        </is>
      </c>
      <c r="C265" t="inlineStr">
        <is>
          <t>SVP Transportation</t>
        </is>
      </c>
      <c r="D265" t="inlineStr">
        <is>
          <t>KBX Logistics</t>
        </is>
      </c>
      <c r="E265" t="inlineStr">
        <is>
          <t>United States</t>
        </is>
      </c>
      <c r="F265" t="inlineStr">
        <is>
          <t>Yes</t>
        </is>
      </c>
      <c r="H265" t="n">
        <v>26</v>
      </c>
      <c r="I265" t="b">
        <v>1</v>
      </c>
      <c r="J265" t="b">
        <v>1</v>
      </c>
      <c r="K265" t="b">
        <v>1</v>
      </c>
      <c r="L265" t="b">
        <v>0</v>
      </c>
      <c r="M265" t="b">
        <v>0</v>
      </c>
      <c r="N265">
        <f>IFERROR(INDEX('Company Hitlist'!$AA:$AA,MATCH(D265,'Company Hitlist'!$A:$A,0)),)</f>
        <v/>
      </c>
      <c r="O265">
        <f>IFERROR(INDEX('Company Hitlist'!$N:$N,MATCH(D265,'Company Hitlist'!$A:$A,0)),)</f>
        <v/>
      </c>
      <c r="Q265" t="inlineStr">
        <is>
          <t>todo</t>
        </is>
      </c>
    </row>
    <row r="266">
      <c r="A266" t="inlineStr">
        <is>
          <t>Brad Young</t>
        </is>
      </c>
      <c r="B266" t="inlineStr">
        <is>
          <t>Attendee</t>
        </is>
      </c>
      <c r="C266" t="inlineStr">
        <is>
          <t>Vice President, Transportation Management</t>
        </is>
      </c>
      <c r="D266" t="inlineStr">
        <is>
          <t>Kenco</t>
        </is>
      </c>
      <c r="E266" t="inlineStr">
        <is>
          <t>United States</t>
        </is>
      </c>
      <c r="F266" t="inlineStr">
        <is>
          <t>Yes</t>
        </is>
      </c>
      <c r="G266" t="inlineStr">
        <is>
          <t>$626M (est.)</t>
        </is>
      </c>
      <c r="H266" t="n">
        <v>26</v>
      </c>
      <c r="I266" t="b">
        <v>1</v>
      </c>
      <c r="J266" t="b">
        <v>1</v>
      </c>
      <c r="K266" t="b">
        <v>1</v>
      </c>
      <c r="L266" t="b">
        <v>0</v>
      </c>
      <c r="M266" t="b">
        <v>0</v>
      </c>
      <c r="N266">
        <f>IFERROR(INDEX('Company Hitlist'!$AA:$AA,MATCH(D266,'Company Hitlist'!$A:$A,0)),)</f>
        <v/>
      </c>
      <c r="O266">
        <f>IFERROR(INDEX('Company Hitlist'!$N:$N,MATCH(D266,'Company Hitlist'!$A:$A,0)),)</f>
        <v/>
      </c>
      <c r="Q266" t="inlineStr">
        <is>
          <t>todo</t>
        </is>
      </c>
    </row>
    <row r="267">
      <c r="A267" t="inlineStr">
        <is>
          <t>Jason Minghini</t>
        </is>
      </c>
      <c r="B267" t="inlineStr">
        <is>
          <t>Attendee</t>
        </is>
      </c>
      <c r="C267" t="inlineStr">
        <is>
          <t>Senior Vice President Supply Chain Solutions</t>
        </is>
      </c>
      <c r="D267" t="inlineStr">
        <is>
          <t>Kenco</t>
        </is>
      </c>
      <c r="E267" t="inlineStr">
        <is>
          <t>United States</t>
        </is>
      </c>
      <c r="H267" t="n">
        <v>26</v>
      </c>
      <c r="I267" t="b">
        <v>1</v>
      </c>
      <c r="J267" t="b">
        <v>1</v>
      </c>
      <c r="K267" t="b">
        <v>1</v>
      </c>
      <c r="L267" t="b">
        <v>0</v>
      </c>
      <c r="M267" t="b">
        <v>0</v>
      </c>
      <c r="N267">
        <f>IFERROR(INDEX('Company Hitlist'!$AA:$AA,MATCH(D267,'Company Hitlist'!$A:$A,0)),)</f>
        <v/>
      </c>
      <c r="O267">
        <f>IFERROR(INDEX('Company Hitlist'!$N:$N,MATCH(D267,'Company Hitlist'!$A:$A,0)),)</f>
        <v/>
      </c>
      <c r="Q267" t="inlineStr">
        <is>
          <t>todo</t>
        </is>
      </c>
    </row>
    <row r="268">
      <c r="A268" t="inlineStr">
        <is>
          <t>Rodney Leonard</t>
        </is>
      </c>
      <c r="B268" t="inlineStr">
        <is>
          <t>Attendee</t>
        </is>
      </c>
      <c r="C268" t="inlineStr">
        <is>
          <t>VP, US Deliver Operations</t>
        </is>
      </c>
      <c r="D268" t="inlineStr">
        <is>
          <t>Kenvue</t>
        </is>
      </c>
      <c r="F268" t="inlineStr">
        <is>
          <t>Yes</t>
        </is>
      </c>
      <c r="G268" t="inlineStr">
        <is>
          <t>$15.5B (2024; projected $16B in 2025)</t>
        </is>
      </c>
      <c r="H268" t="n">
        <v>26</v>
      </c>
      <c r="I268" t="b">
        <v>1</v>
      </c>
      <c r="J268" t="b">
        <v>1</v>
      </c>
      <c r="K268" t="b">
        <v>1</v>
      </c>
      <c r="L268" t="b">
        <v>0</v>
      </c>
      <c r="M268" t="b">
        <v>0</v>
      </c>
      <c r="N268">
        <f>IFERROR(INDEX('Company Hitlist'!$AA:$AA,MATCH(D268,'Company Hitlist'!$A:$A,0)),)</f>
        <v/>
      </c>
      <c r="O268">
        <f>IFERROR(INDEX('Company Hitlist'!$N:$N,MATCH(D268,'Company Hitlist'!$A:$A,0)),)</f>
        <v/>
      </c>
      <c r="Q268" t="inlineStr">
        <is>
          <t>todo</t>
        </is>
      </c>
    </row>
    <row r="269">
      <c r="A269" t="inlineStr">
        <is>
          <t>Jay Traficante</t>
        </is>
      </c>
      <c r="B269" t="inlineStr">
        <is>
          <t>Attendee</t>
        </is>
      </c>
      <c r="C269" t="inlineStr">
        <is>
          <t>VP - Supply Chain</t>
        </is>
      </c>
      <c r="D269" t="inlineStr">
        <is>
          <t>Keurig Dr Pepper</t>
        </is>
      </c>
      <c r="H269" t="n">
        <v>26</v>
      </c>
      <c r="I269" t="b">
        <v>1</v>
      </c>
      <c r="J269" t="b">
        <v>1</v>
      </c>
      <c r="K269" t="b">
        <v>1</v>
      </c>
      <c r="L269" t="b">
        <v>0</v>
      </c>
      <c r="M269" t="b">
        <v>0</v>
      </c>
      <c r="N269">
        <f>IFERROR(INDEX('Company Hitlist'!$AA:$AA,MATCH(D269,'Company Hitlist'!$A:$A,0)),)</f>
        <v/>
      </c>
      <c r="O269">
        <f>IFERROR(INDEX('Company Hitlist'!$N:$N,MATCH(D269,'Company Hitlist'!$A:$A,0)),)</f>
        <v/>
      </c>
      <c r="Q269" t="inlineStr">
        <is>
          <t>todo</t>
        </is>
      </c>
    </row>
    <row r="270">
      <c r="A270" t="inlineStr">
        <is>
          <t>Sarah Haffner</t>
        </is>
      </c>
      <c r="B270" t="inlineStr">
        <is>
          <t>Attendee</t>
        </is>
      </c>
      <c r="C270" t="inlineStr">
        <is>
          <t>Vice President, Supply Chain Digital Transformation</t>
        </is>
      </c>
      <c r="D270" t="inlineStr">
        <is>
          <t>Kimberly Clark Company</t>
        </is>
      </c>
      <c r="E270" t="inlineStr">
        <is>
          <t>United States</t>
        </is>
      </c>
      <c r="H270" t="n">
        <v>26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>
        <f>IFERROR(INDEX('Company Hitlist'!$AA:$AA,MATCH(D270,'Company Hitlist'!$A:$A,0)),)</f>
        <v/>
      </c>
      <c r="O270">
        <f>IFERROR(INDEX('Company Hitlist'!$N:$N,MATCH(D270,'Company Hitlist'!$A:$A,0)),)</f>
        <v/>
      </c>
      <c r="Q270" t="inlineStr">
        <is>
          <t>todo</t>
        </is>
      </c>
    </row>
    <row r="271">
      <c r="A271" t="inlineStr">
        <is>
          <t>Bill Durbin</t>
        </is>
      </c>
      <c r="B271" t="inlineStr">
        <is>
          <t>Attendee</t>
        </is>
      </c>
      <c r="C271" t="inlineStr">
        <is>
          <t>Vice President of Logistics</t>
        </is>
      </c>
      <c r="D271" t="inlineStr">
        <is>
          <t>Kraft Heinz</t>
        </is>
      </c>
      <c r="F271" t="inlineStr">
        <is>
          <t>Yes</t>
        </is>
      </c>
      <c r="H271" t="n">
        <v>26</v>
      </c>
      <c r="I271" t="b">
        <v>1</v>
      </c>
      <c r="J271" t="b">
        <v>1</v>
      </c>
      <c r="K271" t="b">
        <v>1</v>
      </c>
      <c r="L271" t="b">
        <v>0</v>
      </c>
      <c r="M271" t="b">
        <v>0</v>
      </c>
      <c r="N271">
        <f>IFERROR(INDEX('Company Hitlist'!$AA:$AA,MATCH(D271,'Company Hitlist'!$A:$A,0)),)</f>
        <v/>
      </c>
      <c r="O271">
        <f>IFERROR(INDEX('Company Hitlist'!$N:$N,MATCH(D271,'Company Hitlist'!$A:$A,0)),)</f>
        <v/>
      </c>
      <c r="Q271" t="inlineStr">
        <is>
          <t>todo</t>
        </is>
      </c>
    </row>
    <row r="272">
      <c r="A272" t="inlineStr">
        <is>
          <t>Viral Parekh</t>
        </is>
      </c>
      <c r="B272" t="inlineStr">
        <is>
          <t>Attendee</t>
        </is>
      </c>
      <c r="C272" t="inlineStr">
        <is>
          <t>Head of Logistics Operations</t>
        </is>
      </c>
      <c r="D272" t="inlineStr">
        <is>
          <t>Kraft Heinz</t>
        </is>
      </c>
      <c r="F272" t="inlineStr">
        <is>
          <t>Yes</t>
        </is>
      </c>
      <c r="H272" t="n">
        <v>26</v>
      </c>
      <c r="I272" t="b">
        <v>1</v>
      </c>
      <c r="J272" t="b">
        <v>1</v>
      </c>
      <c r="K272" t="b">
        <v>1</v>
      </c>
      <c r="L272" t="b">
        <v>0</v>
      </c>
      <c r="M272" t="b">
        <v>0</v>
      </c>
      <c r="N272">
        <f>IFERROR(INDEX('Company Hitlist'!$AA:$AA,MATCH(D272,'Company Hitlist'!$A:$A,0)),)</f>
        <v/>
      </c>
      <c r="O272">
        <f>IFERROR(INDEX('Company Hitlist'!$N:$N,MATCH(D272,'Company Hitlist'!$A:$A,0)),)</f>
        <v/>
      </c>
      <c r="Q272" t="inlineStr">
        <is>
          <t>todo</t>
        </is>
      </c>
    </row>
    <row r="273">
      <c r="A273" t="inlineStr">
        <is>
          <t>Adis Sulejmanovic</t>
        </is>
      </c>
      <c r="B273" t="inlineStr">
        <is>
          <t>Attendee</t>
        </is>
      </c>
      <c r="C273" t="inlineStr">
        <is>
          <t>Head of Digital Supply Chain Transformation</t>
        </is>
      </c>
      <c r="D273" t="inlineStr">
        <is>
          <t>Kraft Heinz</t>
        </is>
      </c>
      <c r="H273" t="n">
        <v>26</v>
      </c>
      <c r="I273" t="b">
        <v>1</v>
      </c>
      <c r="J273" t="b">
        <v>1</v>
      </c>
      <c r="K273" t="b">
        <v>1</v>
      </c>
      <c r="L273" t="b">
        <v>0</v>
      </c>
      <c r="M273" t="b">
        <v>0</v>
      </c>
      <c r="N273">
        <f>IFERROR(INDEX('Company Hitlist'!$AA:$AA,MATCH(D273,'Company Hitlist'!$A:$A,0)),)</f>
        <v/>
      </c>
      <c r="O273">
        <f>IFERROR(INDEX('Company Hitlist'!$N:$N,MATCH(D273,'Company Hitlist'!$A:$A,0)),)</f>
        <v/>
      </c>
      <c r="Q273" t="inlineStr">
        <is>
          <t>todo</t>
        </is>
      </c>
    </row>
    <row r="274">
      <c r="A274" t="inlineStr">
        <is>
          <t>Bryce Tonner</t>
        </is>
      </c>
      <c r="B274" t="inlineStr">
        <is>
          <t>Attendee</t>
        </is>
      </c>
      <c r="C274" t="inlineStr">
        <is>
          <t>Vice President Supply Chain</t>
        </is>
      </c>
      <c r="D274" t="inlineStr">
        <is>
          <t>Kruger Products</t>
        </is>
      </c>
      <c r="E274" t="inlineStr">
        <is>
          <t>Canada</t>
        </is>
      </c>
      <c r="H274" t="n">
        <v>26</v>
      </c>
      <c r="I274" t="b">
        <v>1</v>
      </c>
      <c r="J274" t="b">
        <v>1</v>
      </c>
      <c r="K274" t="b">
        <v>1</v>
      </c>
      <c r="L274" t="b">
        <v>0</v>
      </c>
      <c r="M274" t="b">
        <v>0</v>
      </c>
      <c r="N274">
        <f>IFERROR(INDEX('Company Hitlist'!$AA:$AA,MATCH(D274,'Company Hitlist'!$A:$A,0)),)</f>
        <v/>
      </c>
      <c r="O274">
        <f>IFERROR(INDEX('Company Hitlist'!$N:$N,MATCH(D274,'Company Hitlist'!$A:$A,0)),)</f>
        <v/>
      </c>
      <c r="Q274" t="inlineStr">
        <is>
          <t>todo</t>
        </is>
      </c>
    </row>
    <row r="275">
      <c r="A275" t="inlineStr">
        <is>
          <t>Mathieu Joubert</t>
        </is>
      </c>
      <c r="B275" t="inlineStr">
        <is>
          <t>Attendee</t>
        </is>
      </c>
      <c r="C275" t="inlineStr">
        <is>
          <t>VP Transportation</t>
        </is>
      </c>
      <c r="D275" t="inlineStr">
        <is>
          <t>L'Oreal</t>
        </is>
      </c>
      <c r="F275" t="inlineStr">
        <is>
          <t>Yes</t>
        </is>
      </c>
      <c r="H275" t="n">
        <v>26</v>
      </c>
      <c r="I275" t="b">
        <v>1</v>
      </c>
      <c r="J275" t="b">
        <v>1</v>
      </c>
      <c r="K275" t="b">
        <v>1</v>
      </c>
      <c r="L275" t="b">
        <v>0</v>
      </c>
      <c r="M275" t="b">
        <v>0</v>
      </c>
      <c r="N275">
        <f>IFERROR(INDEX('Company Hitlist'!$AA:$AA,MATCH(D275,'Company Hitlist'!$A:$A,0)),)</f>
        <v/>
      </c>
      <c r="O275">
        <f>IFERROR(INDEX('Company Hitlist'!$N:$N,MATCH(D275,'Company Hitlist'!$A:$A,0)),)</f>
        <v/>
      </c>
      <c r="Q275" t="inlineStr">
        <is>
          <t>todo</t>
        </is>
      </c>
    </row>
    <row r="276">
      <c r="A276" t="inlineStr">
        <is>
          <t>Mark Bednis</t>
        </is>
      </c>
      <c r="B276" t="inlineStr">
        <is>
          <t>Attendee</t>
        </is>
      </c>
      <c r="C276" t="inlineStr">
        <is>
          <t>VP Supply Chain Analytics</t>
        </is>
      </c>
      <c r="D276" t="inlineStr">
        <is>
          <t>Loblaw</t>
        </is>
      </c>
      <c r="H276" t="n">
        <v>26</v>
      </c>
      <c r="I276" t="b">
        <v>1</v>
      </c>
      <c r="J276" t="b">
        <v>1</v>
      </c>
      <c r="K276" t="b">
        <v>1</v>
      </c>
      <c r="L276" t="b">
        <v>0</v>
      </c>
      <c r="M276" t="b">
        <v>0</v>
      </c>
      <c r="N276">
        <f>IFERROR(INDEX('Company Hitlist'!$AA:$AA,MATCH(D276,'Company Hitlist'!$A:$A,0)),)</f>
        <v/>
      </c>
      <c r="O276">
        <f>IFERROR(INDEX('Company Hitlist'!$N:$N,MATCH(D276,'Company Hitlist'!$A:$A,0)),)</f>
        <v/>
      </c>
      <c r="Q276" t="inlineStr">
        <is>
          <t>todo</t>
        </is>
      </c>
    </row>
    <row r="277">
      <c r="A277" t="inlineStr">
        <is>
          <t>Brandon Jenkins</t>
        </is>
      </c>
      <c r="B277" t="inlineStr">
        <is>
          <t>Attendee</t>
        </is>
      </c>
      <c r="C277" t="inlineStr">
        <is>
          <t>Vice President of Operations</t>
        </is>
      </c>
      <c r="D277" t="inlineStr">
        <is>
          <t>Logistify</t>
        </is>
      </c>
      <c r="E277" t="inlineStr">
        <is>
          <t>United States</t>
        </is>
      </c>
      <c r="F277" t="inlineStr">
        <is>
          <t>Yes</t>
        </is>
      </c>
      <c r="H277" t="n">
        <v>26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>
        <f>IFERROR(INDEX('Company Hitlist'!$AA:$AA,MATCH(D277,'Company Hitlist'!$A:$A,0)),)</f>
        <v/>
      </c>
      <c r="O277">
        <f>IFERROR(INDEX('Company Hitlist'!$N:$N,MATCH(D277,'Company Hitlist'!$A:$A,0)),)</f>
        <v/>
      </c>
      <c r="Q277" t="inlineStr">
        <is>
          <t>todo</t>
        </is>
      </c>
    </row>
    <row r="278">
      <c r="A278" t="inlineStr">
        <is>
          <t>Brad Blackman</t>
        </is>
      </c>
      <c r="B278" t="inlineStr">
        <is>
          <t>Attendee</t>
        </is>
      </c>
      <c r="C278" t="inlineStr">
        <is>
          <t>Head of AMR Logistics</t>
        </is>
      </c>
      <c r="D278" t="inlineStr">
        <is>
          <t>Logitech</t>
        </is>
      </c>
      <c r="H278" t="n">
        <v>26</v>
      </c>
      <c r="I278" t="b">
        <v>1</v>
      </c>
      <c r="J278" t="b">
        <v>1</v>
      </c>
      <c r="K278" t="b">
        <v>1</v>
      </c>
      <c r="L278" t="b">
        <v>0</v>
      </c>
      <c r="M278" t="b">
        <v>0</v>
      </c>
      <c r="N278">
        <f>IFERROR(INDEX('Company Hitlist'!$AA:$AA,MATCH(D278,'Company Hitlist'!$A:$A,0)),)</f>
        <v/>
      </c>
      <c r="O278">
        <f>IFERROR(INDEX('Company Hitlist'!$N:$N,MATCH(D278,'Company Hitlist'!$A:$A,0)),)</f>
        <v/>
      </c>
      <c r="Q278" t="inlineStr">
        <is>
          <t>todo</t>
        </is>
      </c>
    </row>
    <row r="279">
      <c r="A279" t="inlineStr">
        <is>
          <t>Max Stevens</t>
        </is>
      </c>
      <c r="B279" t="inlineStr">
        <is>
          <t>Attendee</t>
        </is>
      </c>
      <c r="C279" t="inlineStr">
        <is>
          <t>SVP Fulfillment</t>
        </is>
      </c>
      <c r="D279" t="inlineStr">
        <is>
          <t>Manifest.eco</t>
        </is>
      </c>
      <c r="E279" t="inlineStr">
        <is>
          <t>United States</t>
        </is>
      </c>
      <c r="F279" t="inlineStr">
        <is>
          <t>Yes</t>
        </is>
      </c>
      <c r="H279" t="n">
        <v>26</v>
      </c>
      <c r="I279" t="b">
        <v>1</v>
      </c>
      <c r="J279" t="b">
        <v>1</v>
      </c>
      <c r="K279" t="b">
        <v>1</v>
      </c>
      <c r="L279" t="b">
        <v>0</v>
      </c>
      <c r="M279" t="b">
        <v>0</v>
      </c>
      <c r="N279">
        <f>IFERROR(INDEX('Company Hitlist'!$AA:$AA,MATCH(D279,'Company Hitlist'!$A:$A,0)),)</f>
        <v/>
      </c>
      <c r="O279">
        <f>IFERROR(INDEX('Company Hitlist'!$N:$N,MATCH(D279,'Company Hitlist'!$A:$A,0)),)</f>
        <v/>
      </c>
      <c r="Q279" t="inlineStr">
        <is>
          <t>todo</t>
        </is>
      </c>
    </row>
    <row r="280">
      <c r="A280" t="inlineStr">
        <is>
          <t>Mike Ringsdorf</t>
        </is>
      </c>
      <c r="B280" t="inlineStr">
        <is>
          <t>Attendee</t>
        </is>
      </c>
      <c r="C280" t="inlineStr">
        <is>
          <t>Vice President Transportation &amp; Logistics</t>
        </is>
      </c>
      <c r="D280" t="inlineStr">
        <is>
          <t>Mary Kay</t>
        </is>
      </c>
      <c r="F280" t="inlineStr">
        <is>
          <t>Yes</t>
        </is>
      </c>
      <c r="H280" t="n">
        <v>26</v>
      </c>
      <c r="I280" t="b">
        <v>1</v>
      </c>
      <c r="J280" t="b">
        <v>1</v>
      </c>
      <c r="K280" t="b">
        <v>1</v>
      </c>
      <c r="L280" t="b">
        <v>0</v>
      </c>
      <c r="M280" t="b">
        <v>0</v>
      </c>
      <c r="N280">
        <f>IFERROR(INDEX('Company Hitlist'!$AA:$AA,MATCH(D280,'Company Hitlist'!$A:$A,0)),)</f>
        <v/>
      </c>
      <c r="O280">
        <f>IFERROR(INDEX('Company Hitlist'!$N:$N,MATCH(D280,'Company Hitlist'!$A:$A,0)),)</f>
        <v/>
      </c>
      <c r="Q280" t="inlineStr">
        <is>
          <t>todo</t>
        </is>
      </c>
    </row>
    <row r="281">
      <c r="A281" t="inlineStr">
        <is>
          <t>Connie Hunter</t>
        </is>
      </c>
      <c r="B281" t="inlineStr">
        <is>
          <t>Attendee</t>
        </is>
      </c>
      <c r="C281" t="inlineStr">
        <is>
          <t>VP of Supply Chain</t>
        </is>
      </c>
      <c r="D281" t="inlineStr">
        <is>
          <t>MaryRuth Organics</t>
        </is>
      </c>
      <c r="E281" t="inlineStr">
        <is>
          <t>United States</t>
        </is>
      </c>
      <c r="H281" t="n">
        <v>26</v>
      </c>
      <c r="I281" t="b">
        <v>1</v>
      </c>
      <c r="J281" t="b">
        <v>1</v>
      </c>
      <c r="K281" t="b">
        <v>1</v>
      </c>
      <c r="L281" t="b">
        <v>0</v>
      </c>
      <c r="M281" t="b">
        <v>0</v>
      </c>
      <c r="N281">
        <f>IFERROR(INDEX('Company Hitlist'!$AA:$AA,MATCH(D281,'Company Hitlist'!$A:$A,0)),)</f>
        <v/>
      </c>
      <c r="O281">
        <f>IFERROR(INDEX('Company Hitlist'!$N:$N,MATCH(D281,'Company Hitlist'!$A:$A,0)),)</f>
        <v/>
      </c>
      <c r="Q281" t="inlineStr">
        <is>
          <t>todo</t>
        </is>
      </c>
    </row>
    <row r="282">
      <c r="A282" t="inlineStr">
        <is>
          <t>Deepak Telang</t>
        </is>
      </c>
      <c r="B282" t="inlineStr">
        <is>
          <t>Attendee</t>
        </is>
      </c>
      <c r="C282" t="inlineStr">
        <is>
          <t>VP, Supply Chain</t>
        </is>
      </c>
      <c r="D282" t="inlineStr">
        <is>
          <t>Mattel</t>
        </is>
      </c>
      <c r="H282" t="n">
        <v>26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>
        <f>IFERROR(INDEX('Company Hitlist'!$AA:$AA,MATCH(D282,'Company Hitlist'!$A:$A,0)),)</f>
        <v/>
      </c>
      <c r="O282">
        <f>IFERROR(INDEX('Company Hitlist'!$N:$N,MATCH(D282,'Company Hitlist'!$A:$A,0)),)</f>
        <v/>
      </c>
      <c r="Q282" t="inlineStr">
        <is>
          <t>todo</t>
        </is>
      </c>
    </row>
    <row r="283">
      <c r="A283" t="inlineStr">
        <is>
          <t>Gregory Javor</t>
        </is>
      </c>
      <c r="B283" t="inlineStr">
        <is>
          <t>Attendee</t>
        </is>
      </c>
      <c r="C283" t="inlineStr">
        <is>
          <t>SVP, Global Supply Chain Operations</t>
        </is>
      </c>
      <c r="D283" t="inlineStr">
        <is>
          <t>Mattel</t>
        </is>
      </c>
      <c r="H283" t="n">
        <v>26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>
        <f>IFERROR(INDEX('Company Hitlist'!$AA:$AA,MATCH(D283,'Company Hitlist'!$A:$A,0)),)</f>
        <v/>
      </c>
      <c r="O283">
        <f>IFERROR(INDEX('Company Hitlist'!$N:$N,MATCH(D283,'Company Hitlist'!$A:$A,0)),)</f>
        <v/>
      </c>
      <c r="Q283" t="inlineStr">
        <is>
          <t>todo</t>
        </is>
      </c>
    </row>
    <row r="284">
      <c r="A284" t="inlineStr">
        <is>
          <t>Mario Ayala</t>
        </is>
      </c>
      <c r="B284" t="inlineStr">
        <is>
          <t>Attendee</t>
        </is>
      </c>
      <c r="C284" t="inlineStr">
        <is>
          <t>VP, NA DC operations &amp; Direct to Consumer Logistics</t>
        </is>
      </c>
      <c r="D284" t="inlineStr">
        <is>
          <t>Mattel</t>
        </is>
      </c>
      <c r="H284" t="n">
        <v>26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>
        <f>IFERROR(INDEX('Company Hitlist'!$AA:$AA,MATCH(D284,'Company Hitlist'!$A:$A,0)),)</f>
        <v/>
      </c>
      <c r="O284">
        <f>IFERROR(INDEX('Company Hitlist'!$N:$N,MATCH(D284,'Company Hitlist'!$A:$A,0)),)</f>
        <v/>
      </c>
      <c r="Q284" t="inlineStr">
        <is>
          <t>todo</t>
        </is>
      </c>
    </row>
    <row r="285">
      <c r="A285" t="inlineStr">
        <is>
          <t>Sean McClain</t>
        </is>
      </c>
      <c r="B285" t="inlineStr">
        <is>
          <t>Attendee</t>
        </is>
      </c>
      <c r="C285" t="inlineStr">
        <is>
          <t>VP Operations</t>
        </is>
      </c>
      <c r="D285" t="inlineStr">
        <is>
          <t>McClain &amp; Associates</t>
        </is>
      </c>
      <c r="E285" t="inlineStr">
        <is>
          <t>United States</t>
        </is>
      </c>
      <c r="H285" t="n">
        <v>26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>
        <f>IFERROR(INDEX('Company Hitlist'!$AA:$AA,MATCH(D285,'Company Hitlist'!$A:$A,0)),)</f>
        <v/>
      </c>
      <c r="O285">
        <f>IFERROR(INDEX('Company Hitlist'!$N:$N,MATCH(D285,'Company Hitlist'!$A:$A,0)),)</f>
        <v/>
      </c>
      <c r="Q285" t="inlineStr">
        <is>
          <t>todo</t>
        </is>
      </c>
    </row>
    <row r="286">
      <c r="A286" t="inlineStr">
        <is>
          <t>Ryan Harvey</t>
        </is>
      </c>
      <c r="B286" t="inlineStr">
        <is>
          <t>Attendee</t>
        </is>
      </c>
      <c r="C286" t="inlineStr">
        <is>
          <t>VP, Logistics Insurance &amp; Risk Strategy</t>
        </is>
      </c>
      <c r="D286" t="inlineStr">
        <is>
          <t>McGriff Insurance Services</t>
        </is>
      </c>
      <c r="E286" t="inlineStr">
        <is>
          <t>United States</t>
        </is>
      </c>
      <c r="H286" t="n">
        <v>26</v>
      </c>
      <c r="I286" t="b">
        <v>1</v>
      </c>
      <c r="J286" t="b">
        <v>1</v>
      </c>
      <c r="K286" t="b">
        <v>1</v>
      </c>
      <c r="L286" t="b">
        <v>0</v>
      </c>
      <c r="M286" t="b">
        <v>0</v>
      </c>
      <c r="N286">
        <f>IFERROR(INDEX('Company Hitlist'!$AA:$AA,MATCH(D286,'Company Hitlist'!$A:$A,0)),)</f>
        <v/>
      </c>
      <c r="O286">
        <f>IFERROR(INDEX('Company Hitlist'!$N:$N,MATCH(D286,'Company Hitlist'!$A:$A,0)),)</f>
        <v/>
      </c>
      <c r="Q286" t="inlineStr">
        <is>
          <t>todo</t>
        </is>
      </c>
    </row>
    <row r="287">
      <c r="A287" t="inlineStr">
        <is>
          <t>Todd Kleinow</t>
        </is>
      </c>
      <c r="B287" t="inlineStr">
        <is>
          <t>Attendee</t>
        </is>
      </c>
      <c r="C287" t="inlineStr">
        <is>
          <t>VP, Strategic Distribution</t>
        </is>
      </c>
      <c r="D287" t="inlineStr">
        <is>
          <t>McKesson</t>
        </is>
      </c>
      <c r="F287" t="inlineStr">
        <is>
          <t>Yes</t>
        </is>
      </c>
      <c r="G287" t="inlineStr">
        <is>
          <t>$387B (2024; projected $400B in 2025)</t>
        </is>
      </c>
      <c r="H287" t="n">
        <v>26</v>
      </c>
      <c r="I287" t="b">
        <v>1</v>
      </c>
      <c r="J287" t="b">
        <v>1</v>
      </c>
      <c r="K287" t="b">
        <v>1</v>
      </c>
      <c r="L287" t="b">
        <v>0</v>
      </c>
      <c r="M287" t="b">
        <v>0</v>
      </c>
      <c r="N287">
        <f>IFERROR(INDEX('Company Hitlist'!$AA:$AA,MATCH(D287,'Company Hitlist'!$A:$A,0)),)</f>
        <v/>
      </c>
      <c r="O287">
        <f>IFERROR(INDEX('Company Hitlist'!$N:$N,MATCH(D287,'Company Hitlist'!$A:$A,0)),)</f>
        <v/>
      </c>
      <c r="Q287" t="inlineStr">
        <is>
          <t>todo</t>
        </is>
      </c>
    </row>
    <row r="288">
      <c r="A288" t="inlineStr">
        <is>
          <t>Mike DeLucia</t>
        </is>
      </c>
      <c r="B288" t="inlineStr">
        <is>
          <t>Attendee</t>
        </is>
      </c>
      <c r="C288" t="inlineStr">
        <is>
          <t>VP of Operations</t>
        </is>
      </c>
      <c r="D288" t="inlineStr">
        <is>
          <t>Melrose</t>
        </is>
      </c>
      <c r="E288" t="inlineStr">
        <is>
          <t>United States</t>
        </is>
      </c>
      <c r="H288" t="n">
        <v>26</v>
      </c>
      <c r="I288" t="b">
        <v>1</v>
      </c>
      <c r="J288" t="b">
        <v>1</v>
      </c>
      <c r="K288" t="b">
        <v>1</v>
      </c>
      <c r="L288" t="b">
        <v>0</v>
      </c>
      <c r="M288" t="b">
        <v>0</v>
      </c>
      <c r="N288">
        <f>IFERROR(INDEX('Company Hitlist'!$AA:$AA,MATCH(D288,'Company Hitlist'!$A:$A,0)),)</f>
        <v/>
      </c>
      <c r="O288">
        <f>IFERROR(INDEX('Company Hitlist'!$N:$N,MATCH(D288,'Company Hitlist'!$A:$A,0)),)</f>
        <v/>
      </c>
      <c r="Q288" t="inlineStr">
        <is>
          <t>todo</t>
        </is>
      </c>
    </row>
    <row r="289">
      <c r="A289" t="inlineStr">
        <is>
          <t>Chris Galindo</t>
        </is>
      </c>
      <c r="B289" t="inlineStr">
        <is>
          <t>Attendee</t>
        </is>
      </c>
      <c r="C289" t="inlineStr">
        <is>
          <t>President- Supply Chain Services</t>
        </is>
      </c>
      <c r="D289" t="inlineStr">
        <is>
          <t>Metro Supply Chain</t>
        </is>
      </c>
      <c r="E289" t="inlineStr">
        <is>
          <t>Canada</t>
        </is>
      </c>
      <c r="H289" t="n">
        <v>26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>
        <f>IFERROR(INDEX('Company Hitlist'!$AA:$AA,MATCH(D289,'Company Hitlist'!$A:$A,0)),)</f>
        <v/>
      </c>
      <c r="O289">
        <f>IFERROR(INDEX('Company Hitlist'!$N:$N,MATCH(D289,'Company Hitlist'!$A:$A,0)),)</f>
        <v/>
      </c>
      <c r="Q289" t="inlineStr">
        <is>
          <t>todo</t>
        </is>
      </c>
    </row>
    <row r="290">
      <c r="A290" t="inlineStr">
        <is>
          <t>Marco Eipper</t>
        </is>
      </c>
      <c r="B290" t="inlineStr">
        <is>
          <t>Attendee</t>
        </is>
      </c>
      <c r="C290" t="inlineStr">
        <is>
          <t>Global Head of Network Optimization</t>
        </is>
      </c>
      <c r="D290" t="inlineStr">
        <is>
          <t>Microsoft</t>
        </is>
      </c>
      <c r="E290" t="inlineStr">
        <is>
          <t>Germany</t>
        </is>
      </c>
      <c r="F290" t="inlineStr">
        <is>
          <t>Yes</t>
        </is>
      </c>
      <c r="G290" t="inlineStr">
        <is>
          <t>$281.7B (2024; projected $300B in 2025)</t>
        </is>
      </c>
      <c r="H290" t="n">
        <v>26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>
        <f>IFERROR(INDEX('Company Hitlist'!$AA:$AA,MATCH(D290,'Company Hitlist'!$A:$A,0)),)</f>
        <v/>
      </c>
      <c r="O290">
        <f>IFERROR(INDEX('Company Hitlist'!$N:$N,MATCH(D290,'Company Hitlist'!$A:$A,0)),)</f>
        <v/>
      </c>
      <c r="Q290" t="inlineStr">
        <is>
          <t>todo</t>
        </is>
      </c>
    </row>
    <row r="291">
      <c r="A291" t="inlineStr">
        <is>
          <t>Jeffrey Dudzick</t>
        </is>
      </c>
      <c r="B291" t="inlineStr">
        <is>
          <t>Attendee</t>
        </is>
      </c>
      <c r="C291" t="inlineStr">
        <is>
          <t>VP, Supply Chain – Transportation</t>
        </is>
      </c>
      <c r="D291" t="inlineStr">
        <is>
          <t>Milwaukee Tool</t>
        </is>
      </c>
      <c r="H291" t="n">
        <v>26</v>
      </c>
      <c r="I291" t="b">
        <v>1</v>
      </c>
      <c r="J291" t="b">
        <v>1</v>
      </c>
      <c r="K291" t="b">
        <v>1</v>
      </c>
      <c r="L291" t="b">
        <v>0</v>
      </c>
      <c r="M291" t="b">
        <v>0</v>
      </c>
      <c r="N291">
        <f>IFERROR(INDEX('Company Hitlist'!$AA:$AA,MATCH(D291,'Company Hitlist'!$A:$A,0)),)</f>
        <v/>
      </c>
      <c r="O291">
        <f>IFERROR(INDEX('Company Hitlist'!$N:$N,MATCH(D291,'Company Hitlist'!$A:$A,0)),)</f>
        <v/>
      </c>
      <c r="Q291" t="inlineStr">
        <is>
          <t>todo</t>
        </is>
      </c>
    </row>
    <row r="292">
      <c r="A292" t="inlineStr">
        <is>
          <t>Tony Masco</t>
        </is>
      </c>
      <c r="B292" t="inlineStr">
        <is>
          <t>Attendee</t>
        </is>
      </c>
      <c r="C292" t="inlineStr">
        <is>
          <t>VP of Logistics</t>
        </is>
      </c>
      <c r="D292" t="inlineStr">
        <is>
          <t>Misfits Market</t>
        </is>
      </c>
      <c r="F292" t="inlineStr">
        <is>
          <t>Yes</t>
        </is>
      </c>
      <c r="G292" t="inlineStr">
        <is>
          <t>$100M+ (2024 est.; projected $120M in 2025)</t>
        </is>
      </c>
      <c r="H292" t="n">
        <v>26</v>
      </c>
      <c r="I292" t="b">
        <v>1</v>
      </c>
      <c r="J292" t="b">
        <v>1</v>
      </c>
      <c r="K292" t="b">
        <v>1</v>
      </c>
      <c r="L292" t="b">
        <v>0</v>
      </c>
      <c r="M292" t="b">
        <v>0</v>
      </c>
      <c r="N292">
        <f>IFERROR(INDEX('Company Hitlist'!$AA:$AA,MATCH(D292,'Company Hitlist'!$A:$A,0)),)</f>
        <v/>
      </c>
      <c r="O292">
        <f>IFERROR(INDEX('Company Hitlist'!$N:$N,MATCH(D292,'Company Hitlist'!$A:$A,0)),)</f>
        <v/>
      </c>
      <c r="Q292" t="inlineStr">
        <is>
          <t>todo</t>
        </is>
      </c>
    </row>
    <row r="293">
      <c r="A293" t="inlineStr">
        <is>
          <t>Rahul Signal</t>
        </is>
      </c>
      <c r="B293" t="inlineStr">
        <is>
          <t>Attendee</t>
        </is>
      </c>
      <c r="C293" t="inlineStr">
        <is>
          <t>VP of Supply Chain</t>
        </is>
      </c>
      <c r="D293" t="inlineStr">
        <is>
          <t>Misfits Market</t>
        </is>
      </c>
      <c r="H293" t="n">
        <v>26</v>
      </c>
      <c r="I293" t="b">
        <v>1</v>
      </c>
      <c r="J293" t="b">
        <v>1</v>
      </c>
      <c r="K293" t="b">
        <v>1</v>
      </c>
      <c r="L293" t="b">
        <v>0</v>
      </c>
      <c r="M293" t="b">
        <v>0</v>
      </c>
      <c r="N293">
        <f>IFERROR(INDEX('Company Hitlist'!$AA:$AA,MATCH(D293,'Company Hitlist'!$A:$A,0)),)</f>
        <v/>
      </c>
      <c r="O293">
        <f>IFERROR(INDEX('Company Hitlist'!$N:$N,MATCH(D293,'Company Hitlist'!$A:$A,0)),)</f>
        <v/>
      </c>
      <c r="Q293" t="inlineStr">
        <is>
          <t>todo</t>
        </is>
      </c>
    </row>
    <row r="294">
      <c r="A294" t="inlineStr">
        <is>
          <t>Jason Babb</t>
        </is>
      </c>
      <c r="B294" t="inlineStr">
        <is>
          <t>Attendee</t>
        </is>
      </c>
      <c r="C294" t="inlineStr">
        <is>
          <t>Head of Operations</t>
        </is>
      </c>
      <c r="D294" t="inlineStr">
        <is>
          <t>Miss Debbie's Road to Reading</t>
        </is>
      </c>
      <c r="H294" t="n">
        <v>26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>
        <f>IFERROR(INDEX('Company Hitlist'!$AA:$AA,MATCH(D294,'Company Hitlist'!$A:$A,0)),)</f>
        <v/>
      </c>
      <c r="O294">
        <f>IFERROR(INDEX('Company Hitlist'!$N:$N,MATCH(D294,'Company Hitlist'!$A:$A,0)),)</f>
        <v/>
      </c>
      <c r="Q294" t="inlineStr">
        <is>
          <t>todo</t>
        </is>
      </c>
    </row>
    <row r="295">
      <c r="A295" t="inlineStr">
        <is>
          <t>Brian Newton</t>
        </is>
      </c>
      <c r="B295" t="inlineStr">
        <is>
          <t>Attendee</t>
        </is>
      </c>
      <c r="C295" t="inlineStr">
        <is>
          <t>VP of Supply Chain</t>
        </is>
      </c>
      <c r="D295" t="inlineStr">
        <is>
          <t>Monin</t>
        </is>
      </c>
      <c r="H295" t="n">
        <v>26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>
        <f>IFERROR(INDEX('Company Hitlist'!$AA:$AA,MATCH(D295,'Company Hitlist'!$A:$A,0)),)</f>
        <v/>
      </c>
      <c r="O295">
        <f>IFERROR(INDEX('Company Hitlist'!$N:$N,MATCH(D295,'Company Hitlist'!$A:$A,0)),)</f>
        <v/>
      </c>
      <c r="Q295" t="inlineStr">
        <is>
          <t>todo</t>
        </is>
      </c>
    </row>
    <row r="296">
      <c r="A296" t="inlineStr">
        <is>
          <t>Steve Pastor</t>
        </is>
      </c>
      <c r="B296" t="inlineStr">
        <is>
          <t>Attendee</t>
        </is>
      </c>
      <c r="C296" t="inlineStr">
        <is>
          <t>SVP, GLOBAL SUPPLY CHAIN&amp;PORTS/LOGISTICS</t>
        </is>
      </c>
      <c r="D296" t="inlineStr">
        <is>
          <t>NAI James E. Hanson</t>
        </is>
      </c>
      <c r="E296" t="inlineStr">
        <is>
          <t>United States</t>
        </is>
      </c>
      <c r="H296" t="n">
        <v>26</v>
      </c>
      <c r="I296" t="b">
        <v>1</v>
      </c>
      <c r="J296" t="b">
        <v>1</v>
      </c>
      <c r="K296" t="b">
        <v>1</v>
      </c>
      <c r="L296" t="b">
        <v>0</v>
      </c>
      <c r="M296" t="b">
        <v>0</v>
      </c>
      <c r="N296">
        <f>IFERROR(INDEX('Company Hitlist'!$AA:$AA,MATCH(D296,'Company Hitlist'!$A:$A,0)),)</f>
        <v/>
      </c>
      <c r="O296">
        <f>IFERROR(INDEX('Company Hitlist'!$N:$N,MATCH(D296,'Company Hitlist'!$A:$A,0)),)</f>
        <v/>
      </c>
      <c r="Q296" t="inlineStr">
        <is>
          <t>todo</t>
        </is>
      </c>
    </row>
    <row r="297">
      <c r="A297" t="inlineStr">
        <is>
          <t>Sean Herwaldt</t>
        </is>
      </c>
      <c r="B297" t="inlineStr">
        <is>
          <t>Attendee</t>
        </is>
      </c>
      <c r="C297" t="inlineStr">
        <is>
          <t>Head of Supply Chain &amp; Customer Experience</t>
        </is>
      </c>
      <c r="D297" t="inlineStr">
        <is>
          <t>NOVOS</t>
        </is>
      </c>
      <c r="H297" t="n">
        <v>26</v>
      </c>
      <c r="I297" t="b">
        <v>1</v>
      </c>
      <c r="J297" t="b">
        <v>1</v>
      </c>
      <c r="K297" t="b">
        <v>1</v>
      </c>
      <c r="L297" t="b">
        <v>0</v>
      </c>
      <c r="M297" t="b">
        <v>0</v>
      </c>
      <c r="N297">
        <f>IFERROR(INDEX('Company Hitlist'!$AA:$AA,MATCH(D297,'Company Hitlist'!$A:$A,0)),)</f>
        <v/>
      </c>
      <c r="O297">
        <f>IFERROR(INDEX('Company Hitlist'!$N:$N,MATCH(D297,'Company Hitlist'!$A:$A,0)),)</f>
        <v/>
      </c>
      <c r="Q297" t="inlineStr">
        <is>
          <t>todo</t>
        </is>
      </c>
    </row>
    <row r="298">
      <c r="A298" t="inlineStr">
        <is>
          <t>Anthony Mayor</t>
        </is>
      </c>
      <c r="B298" t="inlineStr">
        <is>
          <t>Attendee</t>
        </is>
      </c>
      <c r="C298" t="inlineStr">
        <is>
          <t>SVP Distribution</t>
        </is>
      </c>
      <c r="D298" t="inlineStr">
        <is>
          <t>NRS</t>
        </is>
      </c>
      <c r="E298" t="inlineStr">
        <is>
          <t>United States</t>
        </is>
      </c>
      <c r="F298" t="inlineStr">
        <is>
          <t>Yes</t>
        </is>
      </c>
      <c r="H298" t="n">
        <v>26</v>
      </c>
      <c r="I298" t="b">
        <v>1</v>
      </c>
      <c r="J298" t="b">
        <v>1</v>
      </c>
      <c r="K298" t="b">
        <v>1</v>
      </c>
      <c r="L298" t="b">
        <v>0</v>
      </c>
      <c r="M298" t="b">
        <v>0</v>
      </c>
      <c r="N298">
        <f>IFERROR(INDEX('Company Hitlist'!$AA:$AA,MATCH(D298,'Company Hitlist'!$A:$A,0)),)</f>
        <v/>
      </c>
      <c r="O298">
        <f>IFERROR(INDEX('Company Hitlist'!$N:$N,MATCH(D298,'Company Hitlist'!$A:$A,0)),)</f>
        <v/>
      </c>
      <c r="Q298" t="inlineStr">
        <is>
          <t>todo</t>
        </is>
      </c>
    </row>
    <row r="299">
      <c r="A299" t="inlineStr">
        <is>
          <t>Eduardo Friere</t>
        </is>
      </c>
      <c r="B299" t="inlineStr">
        <is>
          <t>Attendee</t>
        </is>
      </c>
      <c r="C299" t="inlineStr">
        <is>
          <t>Head of Supply Chain</t>
        </is>
      </c>
      <c r="D299" t="inlineStr">
        <is>
          <t>Natura</t>
        </is>
      </c>
      <c r="H299" t="n">
        <v>26</v>
      </c>
      <c r="I299" t="b">
        <v>1</v>
      </c>
      <c r="J299" t="b">
        <v>1</v>
      </c>
      <c r="K299" t="b">
        <v>1</v>
      </c>
      <c r="L299" t="b">
        <v>0</v>
      </c>
      <c r="M299" t="b">
        <v>0</v>
      </c>
      <c r="N299">
        <f>IFERROR(INDEX('Company Hitlist'!$AA:$AA,MATCH(D299,'Company Hitlist'!$A:$A,0)),)</f>
        <v/>
      </c>
      <c r="O299">
        <f>IFERROR(INDEX('Company Hitlist'!$N:$N,MATCH(D299,'Company Hitlist'!$A:$A,0)),)</f>
        <v/>
      </c>
      <c r="Q299" t="inlineStr">
        <is>
          <t>todo</t>
        </is>
      </c>
    </row>
    <row r="300">
      <c r="A300" t="inlineStr">
        <is>
          <t>Manuel Aguirre</t>
        </is>
      </c>
      <c r="B300" t="inlineStr">
        <is>
          <t>Attendee</t>
        </is>
      </c>
      <c r="C300" t="inlineStr">
        <is>
          <t>VP of Supply Chain Electrification</t>
        </is>
      </c>
      <c r="D300" t="inlineStr">
        <is>
          <t>Ndustrial</t>
        </is>
      </c>
      <c r="E300" t="inlineStr">
        <is>
          <t>United States</t>
        </is>
      </c>
      <c r="H300" t="n">
        <v>26</v>
      </c>
      <c r="I300" t="b">
        <v>1</v>
      </c>
      <c r="J300" t="b">
        <v>1</v>
      </c>
      <c r="K300" t="b">
        <v>1</v>
      </c>
      <c r="L300" t="b">
        <v>0</v>
      </c>
      <c r="M300" t="b">
        <v>0</v>
      </c>
      <c r="N300">
        <f>IFERROR(INDEX('Company Hitlist'!$AA:$AA,MATCH(D300,'Company Hitlist'!$A:$A,0)),)</f>
        <v/>
      </c>
      <c r="O300">
        <f>IFERROR(INDEX('Company Hitlist'!$N:$N,MATCH(D300,'Company Hitlist'!$A:$A,0)),)</f>
        <v/>
      </c>
      <c r="Q300" t="inlineStr">
        <is>
          <t>todo</t>
        </is>
      </c>
    </row>
    <row r="301">
      <c r="A301" t="inlineStr">
        <is>
          <t>Jacques Retief</t>
        </is>
      </c>
      <c r="B301" t="inlineStr">
        <is>
          <t>Attendee</t>
        </is>
      </c>
      <c r="C301" t="inlineStr">
        <is>
          <t>Chief Operations Officer</t>
        </is>
      </c>
      <c r="D301" t="inlineStr">
        <is>
          <t>Neovia Logistics</t>
        </is>
      </c>
      <c r="E301" t="inlineStr">
        <is>
          <t>United States</t>
        </is>
      </c>
      <c r="F301" t="inlineStr">
        <is>
          <t>Yes</t>
        </is>
      </c>
      <c r="G301" t="inlineStr">
        <is>
          <t>$2.4 billion (2025)</t>
        </is>
      </c>
      <c r="H301" t="n">
        <v>26</v>
      </c>
      <c r="I301" t="b">
        <v>1</v>
      </c>
      <c r="J301" t="b">
        <v>1</v>
      </c>
      <c r="K301" t="b">
        <v>1</v>
      </c>
      <c r="L301" t="b">
        <v>0</v>
      </c>
      <c r="M301" t="b">
        <v>0</v>
      </c>
      <c r="N301">
        <f>IFERROR(INDEX('Company Hitlist'!$AA:$AA,MATCH(D301,'Company Hitlist'!$A:$A,0)),)</f>
        <v/>
      </c>
      <c r="O301">
        <f>IFERROR(INDEX('Company Hitlist'!$N:$N,MATCH(D301,'Company Hitlist'!$A:$A,0)),)</f>
        <v/>
      </c>
      <c r="Q301" t="inlineStr">
        <is>
          <t>todo</t>
        </is>
      </c>
    </row>
    <row r="302">
      <c r="A302" t="inlineStr">
        <is>
          <t>Jeff McDonald</t>
        </is>
      </c>
      <c r="B302" t="inlineStr">
        <is>
          <t>Attendee</t>
        </is>
      </c>
      <c r="C302" t="inlineStr">
        <is>
          <t>Executive Vice President - Global Logistics</t>
        </is>
      </c>
      <c r="D302" t="inlineStr">
        <is>
          <t>Nishi Nippon Railroad USA</t>
        </is>
      </c>
      <c r="F302" t="inlineStr">
        <is>
          <t>Yes</t>
        </is>
      </c>
      <c r="H302" t="n">
        <v>26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>
        <f>IFERROR(INDEX('Company Hitlist'!$AA:$AA,MATCH(D302,'Company Hitlist'!$A:$A,0)),)</f>
        <v/>
      </c>
      <c r="O302">
        <f>IFERROR(INDEX('Company Hitlist'!$N:$N,MATCH(D302,'Company Hitlist'!$A:$A,0)),)</f>
        <v/>
      </c>
      <c r="Q302" t="inlineStr">
        <is>
          <t>todo</t>
        </is>
      </c>
    </row>
    <row r="303">
      <c r="A303" t="inlineStr">
        <is>
          <t>Dénes Bozsó</t>
        </is>
      </c>
      <c r="B303" t="inlineStr">
        <is>
          <t>Attendee</t>
        </is>
      </c>
      <c r="C303" t="inlineStr">
        <is>
          <t>Head of Order Fulfillment Planning Europe and North America</t>
        </is>
      </c>
      <c r="D303" t="inlineStr">
        <is>
          <t>Nokia</t>
        </is>
      </c>
      <c r="F303" t="inlineStr">
        <is>
          <t>Yes</t>
        </is>
      </c>
      <c r="H303" t="n">
        <v>26</v>
      </c>
      <c r="I303" t="b">
        <v>1</v>
      </c>
      <c r="J303" t="b">
        <v>1</v>
      </c>
      <c r="K303" t="b">
        <v>1</v>
      </c>
      <c r="L303" t="b">
        <v>0</v>
      </c>
      <c r="M303" t="b">
        <v>0</v>
      </c>
      <c r="N303">
        <f>IFERROR(INDEX('Company Hitlist'!$AA:$AA,MATCH(D303,'Company Hitlist'!$A:$A,0)),)</f>
        <v/>
      </c>
      <c r="O303">
        <f>IFERROR(INDEX('Company Hitlist'!$N:$N,MATCH(D303,'Company Hitlist'!$A:$A,0)),)</f>
        <v/>
      </c>
      <c r="Q303" t="inlineStr">
        <is>
          <t>todo</t>
        </is>
      </c>
    </row>
    <row r="304">
      <c r="A304" t="inlineStr">
        <is>
          <t>Justin Lancaster</t>
        </is>
      </c>
      <c r="B304" t="inlineStr">
        <is>
          <t>Attendee</t>
        </is>
      </c>
      <c r="C304" t="inlineStr">
        <is>
          <t>Vice President of Supply Chain</t>
        </is>
      </c>
      <c r="D304" t="inlineStr">
        <is>
          <t>Northern Chef</t>
        </is>
      </c>
      <c r="H304" t="n">
        <v>26</v>
      </c>
      <c r="I304" t="b">
        <v>1</v>
      </c>
      <c r="J304" t="b">
        <v>1</v>
      </c>
      <c r="K304" t="b">
        <v>1</v>
      </c>
      <c r="L304" t="b">
        <v>0</v>
      </c>
      <c r="M304" t="b">
        <v>0</v>
      </c>
      <c r="N304">
        <f>IFERROR(INDEX('Company Hitlist'!$AA:$AA,MATCH(D304,'Company Hitlist'!$A:$A,0)),)</f>
        <v/>
      </c>
      <c r="O304">
        <f>IFERROR(INDEX('Company Hitlist'!$N:$N,MATCH(D304,'Company Hitlist'!$A:$A,0)),)</f>
        <v/>
      </c>
      <c r="Q304" t="inlineStr">
        <is>
          <t>todo</t>
        </is>
      </c>
    </row>
    <row r="305">
      <c r="A305" t="inlineStr">
        <is>
          <t>Jeff Hiott</t>
        </is>
      </c>
      <c r="B305" t="inlineStr">
        <is>
          <t>Attendee</t>
        </is>
      </c>
      <c r="C305" t="inlineStr">
        <is>
          <t>VP of Operations</t>
        </is>
      </c>
      <c r="D305" t="inlineStr">
        <is>
          <t>Novo Logistics</t>
        </is>
      </c>
      <c r="E305" t="inlineStr">
        <is>
          <t>United States</t>
        </is>
      </c>
      <c r="F305" t="inlineStr">
        <is>
          <t>Yes</t>
        </is>
      </c>
      <c r="H305" t="n">
        <v>26</v>
      </c>
      <c r="I305" t="b">
        <v>1</v>
      </c>
      <c r="J305" t="b">
        <v>1</v>
      </c>
      <c r="K305" t="b">
        <v>1</v>
      </c>
      <c r="L305" t="b">
        <v>0</v>
      </c>
      <c r="M305" t="b">
        <v>0</v>
      </c>
      <c r="N305">
        <f>IFERROR(INDEX('Company Hitlist'!$AA:$AA,MATCH(D305,'Company Hitlist'!$A:$A,0)),)</f>
        <v/>
      </c>
      <c r="O305">
        <f>IFERROR(INDEX('Company Hitlist'!$N:$N,MATCH(D305,'Company Hitlist'!$A:$A,0)),)</f>
        <v/>
      </c>
      <c r="Q305" t="inlineStr">
        <is>
          <t>todo</t>
        </is>
      </c>
    </row>
    <row r="306">
      <c r="A306" t="inlineStr">
        <is>
          <t>Thomas Mallory</t>
        </is>
      </c>
      <c r="B306" t="inlineStr">
        <is>
          <t>Attendee</t>
        </is>
      </c>
      <c r="C306" t="inlineStr">
        <is>
          <t>SVP Global Logistics</t>
        </is>
      </c>
      <c r="D306" t="inlineStr">
        <is>
          <t>Nutrabolt</t>
        </is>
      </c>
      <c r="F306" t="inlineStr">
        <is>
          <t>Yes</t>
        </is>
      </c>
      <c r="G306" t="inlineStr">
        <is>
          <t>$1B+ (2025 est.; on pace to exceed)</t>
        </is>
      </c>
      <c r="H306" t="n">
        <v>26</v>
      </c>
      <c r="I306" t="b">
        <v>1</v>
      </c>
      <c r="J306" t="b">
        <v>1</v>
      </c>
      <c r="K306" t="b">
        <v>1</v>
      </c>
      <c r="L306" t="b">
        <v>0</v>
      </c>
      <c r="M306" t="b">
        <v>0</v>
      </c>
      <c r="N306">
        <f>IFERROR(INDEX('Company Hitlist'!$AA:$AA,MATCH(D306,'Company Hitlist'!$A:$A,0)),)</f>
        <v/>
      </c>
      <c r="O306">
        <f>IFERROR(INDEX('Company Hitlist'!$N:$N,MATCH(D306,'Company Hitlist'!$A:$A,0)),)</f>
        <v/>
      </c>
      <c r="Q306" t="inlineStr">
        <is>
          <t>todo</t>
        </is>
      </c>
    </row>
    <row r="307">
      <c r="A307" t="inlineStr">
        <is>
          <t>Michael Woolfson</t>
        </is>
      </c>
      <c r="B307" t="inlineStr">
        <is>
          <t>Attendee</t>
        </is>
      </c>
      <c r="C307" t="inlineStr">
        <is>
          <t>Head of Operations</t>
        </is>
      </c>
      <c r="D307" t="inlineStr">
        <is>
          <t>Octup</t>
        </is>
      </c>
      <c r="E307" t="inlineStr">
        <is>
          <t>Canada</t>
        </is>
      </c>
      <c r="F307" t="inlineStr">
        <is>
          <t>Yes</t>
        </is>
      </c>
      <c r="H307" t="n">
        <v>26</v>
      </c>
      <c r="I307" t="b">
        <v>1</v>
      </c>
      <c r="J307" t="b">
        <v>1</v>
      </c>
      <c r="K307" t="b">
        <v>1</v>
      </c>
      <c r="L307" t="b">
        <v>0</v>
      </c>
      <c r="M307" t="b">
        <v>0</v>
      </c>
      <c r="N307">
        <f>IFERROR(INDEX('Company Hitlist'!$AA:$AA,MATCH(D307,'Company Hitlist'!$A:$A,0)),)</f>
        <v/>
      </c>
      <c r="O307">
        <f>IFERROR(INDEX('Company Hitlist'!$N:$N,MATCH(D307,'Company Hitlist'!$A:$A,0)),)</f>
        <v/>
      </c>
      <c r="Q307" t="inlineStr">
        <is>
          <t>todo</t>
        </is>
      </c>
    </row>
    <row r="308">
      <c r="A308" t="inlineStr">
        <is>
          <t>George Scobell</t>
        </is>
      </c>
      <c r="B308" t="inlineStr">
        <is>
          <t>Attendee</t>
        </is>
      </c>
      <c r="C308" t="inlineStr">
        <is>
          <t>SVP, Supply Chain</t>
        </is>
      </c>
      <c r="D308" t="inlineStr">
        <is>
          <t>Olipop</t>
        </is>
      </c>
      <c r="E308" t="inlineStr">
        <is>
          <t>United States</t>
        </is>
      </c>
      <c r="H308" t="n">
        <v>26</v>
      </c>
      <c r="I308" t="b">
        <v>1</v>
      </c>
      <c r="J308" t="b">
        <v>1</v>
      </c>
      <c r="K308" t="b">
        <v>1</v>
      </c>
      <c r="L308" t="b">
        <v>0</v>
      </c>
      <c r="M308" t="b">
        <v>0</v>
      </c>
      <c r="N308">
        <f>IFERROR(INDEX('Company Hitlist'!$AA:$AA,MATCH(D308,'Company Hitlist'!$A:$A,0)),)</f>
        <v/>
      </c>
      <c r="O308">
        <f>IFERROR(INDEX('Company Hitlist'!$N:$N,MATCH(D308,'Company Hitlist'!$A:$A,0)),)</f>
        <v/>
      </c>
      <c r="Q308" t="inlineStr">
        <is>
          <t>todo</t>
        </is>
      </c>
    </row>
    <row r="309">
      <c r="A309" t="inlineStr">
        <is>
          <t>Cindy Ogden Angeli</t>
        </is>
      </c>
      <c r="B309" t="inlineStr">
        <is>
          <t>Attendee</t>
        </is>
      </c>
      <c r="C309" t="inlineStr">
        <is>
          <t>VP, Operations</t>
        </is>
      </c>
      <c r="D309" t="inlineStr">
        <is>
          <t>Our Serviceworks</t>
        </is>
      </c>
      <c r="E309" t="inlineStr">
        <is>
          <t>United States</t>
        </is>
      </c>
      <c r="F309" t="inlineStr">
        <is>
          <t>Yes</t>
        </is>
      </c>
      <c r="H309" t="n">
        <v>26</v>
      </c>
      <c r="I309" t="b">
        <v>1</v>
      </c>
      <c r="J309" t="b">
        <v>1</v>
      </c>
      <c r="K309" t="b">
        <v>1</v>
      </c>
      <c r="L309" t="b">
        <v>0</v>
      </c>
      <c r="M309" t="b">
        <v>0</v>
      </c>
      <c r="N309">
        <f>IFERROR(INDEX('Company Hitlist'!$AA:$AA,MATCH(D309,'Company Hitlist'!$A:$A,0)),)</f>
        <v/>
      </c>
      <c r="O309">
        <f>IFERROR(INDEX('Company Hitlist'!$N:$N,MATCH(D309,'Company Hitlist'!$A:$A,0)),)</f>
        <v/>
      </c>
      <c r="Q309" t="inlineStr">
        <is>
          <t>todo</t>
        </is>
      </c>
    </row>
    <row r="310">
      <c r="A310" t="inlineStr">
        <is>
          <t>Chris Joyce</t>
        </is>
      </c>
      <c r="B310" t="inlineStr">
        <is>
          <t>Attendee</t>
        </is>
      </c>
      <c r="C310" t="inlineStr">
        <is>
          <t>North America VP, Logistics &amp; Distribution</t>
        </is>
      </c>
      <c r="D310" t="inlineStr">
        <is>
          <t>Patagonia</t>
        </is>
      </c>
      <c r="E310" t="inlineStr">
        <is>
          <t>United States</t>
        </is>
      </c>
      <c r="F310" t="inlineStr">
        <is>
          <t>Yes</t>
        </is>
      </c>
      <c r="G310" t="inlineStr">
        <is>
          <t>$1.5B (2025 est.)</t>
        </is>
      </c>
      <c r="H310" t="n">
        <v>26</v>
      </c>
      <c r="I310" t="b">
        <v>1</v>
      </c>
      <c r="J310" t="b">
        <v>1</v>
      </c>
      <c r="K310" t="b">
        <v>1</v>
      </c>
      <c r="L310" t="b">
        <v>0</v>
      </c>
      <c r="M310" t="b">
        <v>0</v>
      </c>
      <c r="N310">
        <f>IFERROR(INDEX('Company Hitlist'!$AA:$AA,MATCH(D310,'Company Hitlist'!$A:$A,0)),)</f>
        <v/>
      </c>
      <c r="O310">
        <f>IFERROR(INDEX('Company Hitlist'!$N:$N,MATCH(D310,'Company Hitlist'!$A:$A,0)),)</f>
        <v/>
      </c>
      <c r="Q310" t="inlineStr">
        <is>
          <t>todo</t>
        </is>
      </c>
    </row>
    <row r="311">
      <c r="A311" t="inlineStr">
        <is>
          <t>Todd Soller</t>
        </is>
      </c>
      <c r="B311" t="inlineStr">
        <is>
          <t>Attendee</t>
        </is>
      </c>
      <c r="C311" t="inlineStr">
        <is>
          <t>Chief Supply Chain Officer</t>
        </is>
      </c>
      <c r="D311" t="inlineStr">
        <is>
          <t>Patagonia</t>
        </is>
      </c>
      <c r="H311" t="n">
        <v>26</v>
      </c>
      <c r="I311" t="b">
        <v>1</v>
      </c>
      <c r="J311" t="b">
        <v>1</v>
      </c>
      <c r="K311" t="b">
        <v>1</v>
      </c>
      <c r="L311" t="b">
        <v>0</v>
      </c>
      <c r="M311" t="b">
        <v>0</v>
      </c>
      <c r="N311">
        <f>IFERROR(INDEX('Company Hitlist'!$AA:$AA,MATCH(D311,'Company Hitlist'!$A:$A,0)),)</f>
        <v/>
      </c>
      <c r="O311">
        <f>IFERROR(INDEX('Company Hitlist'!$N:$N,MATCH(D311,'Company Hitlist'!$A:$A,0)),)</f>
        <v/>
      </c>
      <c r="Q311" t="inlineStr">
        <is>
          <t>todo</t>
        </is>
      </c>
    </row>
    <row r="312">
      <c r="A312" t="inlineStr">
        <is>
          <t>Andy Rendich</t>
        </is>
      </c>
      <c r="B312" t="inlineStr">
        <is>
          <t>Attendee</t>
        </is>
      </c>
      <c r="C312" t="inlineStr">
        <is>
          <t>Chief Supply Chain Officer</t>
        </is>
      </c>
      <c r="D312" t="inlineStr">
        <is>
          <t>Peloton Interactive</t>
        </is>
      </c>
      <c r="H312" t="n">
        <v>26</v>
      </c>
      <c r="I312" t="b">
        <v>1</v>
      </c>
      <c r="J312" t="b">
        <v>1</v>
      </c>
      <c r="K312" t="b">
        <v>1</v>
      </c>
      <c r="L312" t="b">
        <v>0</v>
      </c>
      <c r="M312" t="b">
        <v>0</v>
      </c>
      <c r="N312">
        <f>IFERROR(INDEX('Company Hitlist'!$AA:$AA,MATCH(D312,'Company Hitlist'!$A:$A,0)),)</f>
        <v/>
      </c>
      <c r="O312">
        <f>IFERROR(INDEX('Company Hitlist'!$N:$N,MATCH(D312,'Company Hitlist'!$A:$A,0)),)</f>
        <v/>
      </c>
      <c r="Q312" t="inlineStr">
        <is>
          <t>todo</t>
        </is>
      </c>
    </row>
    <row r="313">
      <c r="A313" t="inlineStr">
        <is>
          <t>Tomasz Biskup</t>
        </is>
      </c>
      <c r="B313" t="inlineStr">
        <is>
          <t>Attendee</t>
        </is>
      </c>
      <c r="C313" t="inlineStr">
        <is>
          <t>Head of Logistics</t>
        </is>
      </c>
      <c r="D313" t="inlineStr">
        <is>
          <t>Picanova Inc</t>
        </is>
      </c>
      <c r="H313" t="n">
        <v>26</v>
      </c>
      <c r="I313" t="b">
        <v>1</v>
      </c>
      <c r="J313" t="b">
        <v>1</v>
      </c>
      <c r="K313" t="b">
        <v>1</v>
      </c>
      <c r="L313" t="b">
        <v>0</v>
      </c>
      <c r="M313" t="b">
        <v>0</v>
      </c>
      <c r="N313">
        <f>IFERROR(INDEX('Company Hitlist'!$AA:$AA,MATCH(D313,'Company Hitlist'!$A:$A,0)),)</f>
        <v/>
      </c>
      <c r="O313">
        <f>IFERROR(INDEX('Company Hitlist'!$N:$N,MATCH(D313,'Company Hitlist'!$A:$A,0)),)</f>
        <v/>
      </c>
      <c r="Q313" t="inlineStr">
        <is>
          <t>todo</t>
        </is>
      </c>
    </row>
    <row r="314">
      <c r="A314" t="inlineStr">
        <is>
          <t>Allison Rud</t>
        </is>
      </c>
      <c r="B314" t="inlineStr">
        <is>
          <t>Attendee</t>
        </is>
      </c>
      <c r="C314" t="inlineStr">
        <is>
          <t>Head of Operations</t>
        </is>
      </c>
      <c r="D314" t="inlineStr">
        <is>
          <t>Pipsticks</t>
        </is>
      </c>
      <c r="H314" t="n">
        <v>26</v>
      </c>
      <c r="I314" t="b">
        <v>1</v>
      </c>
      <c r="J314" t="b">
        <v>1</v>
      </c>
      <c r="K314" t="b">
        <v>1</v>
      </c>
      <c r="L314" t="b">
        <v>0</v>
      </c>
      <c r="M314" t="b">
        <v>0</v>
      </c>
      <c r="N314">
        <f>IFERROR(INDEX('Company Hitlist'!$AA:$AA,MATCH(D314,'Company Hitlist'!$A:$A,0)),)</f>
        <v/>
      </c>
      <c r="O314">
        <f>IFERROR(INDEX('Company Hitlist'!$N:$N,MATCH(D314,'Company Hitlist'!$A:$A,0)),)</f>
        <v/>
      </c>
      <c r="Q314" t="inlineStr">
        <is>
          <t>todo</t>
        </is>
      </c>
    </row>
    <row r="315">
      <c r="A315" t="inlineStr">
        <is>
          <t>Tim Castellanos</t>
        </is>
      </c>
      <c r="B315" t="inlineStr">
        <is>
          <t>Attendee</t>
        </is>
      </c>
      <c r="C315" t="inlineStr">
        <is>
          <t>Head of Logistics Americas</t>
        </is>
      </c>
      <c r="D315" t="inlineStr">
        <is>
          <t>Popmart</t>
        </is>
      </c>
      <c r="F315" t="inlineStr">
        <is>
          <t>Yes</t>
        </is>
      </c>
      <c r="H315" t="n">
        <v>26</v>
      </c>
      <c r="I315" t="b">
        <v>1</v>
      </c>
      <c r="J315" t="b">
        <v>1</v>
      </c>
      <c r="K315" t="b">
        <v>1</v>
      </c>
      <c r="L315" t="b">
        <v>0</v>
      </c>
      <c r="M315" t="b">
        <v>0</v>
      </c>
      <c r="N315">
        <f>IFERROR(INDEX('Company Hitlist'!$AA:$AA,MATCH(D315,'Company Hitlist'!$A:$A,0)),)</f>
        <v/>
      </c>
      <c r="O315">
        <f>IFERROR(INDEX('Company Hitlist'!$N:$N,MATCH(D315,'Company Hitlist'!$A:$A,0)),)</f>
        <v/>
      </c>
      <c r="Q315" t="inlineStr">
        <is>
          <t>todo</t>
        </is>
      </c>
    </row>
    <row r="316">
      <c r="A316" t="inlineStr">
        <is>
          <t>Rajan Devnath</t>
        </is>
      </c>
      <c r="B316" t="inlineStr">
        <is>
          <t>Attendee</t>
        </is>
      </c>
      <c r="C316" t="inlineStr">
        <is>
          <t>GM Operations</t>
        </is>
      </c>
      <c r="D316" t="inlineStr">
        <is>
          <t>Portless</t>
        </is>
      </c>
      <c r="E316" t="inlineStr">
        <is>
          <t>Canada</t>
        </is>
      </c>
      <c r="F316" t="inlineStr">
        <is>
          <t>Yes</t>
        </is>
      </c>
      <c r="H316" t="n">
        <v>26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>
        <f>IFERROR(INDEX('Company Hitlist'!$AA:$AA,MATCH(D316,'Company Hitlist'!$A:$A,0)),)</f>
        <v/>
      </c>
      <c r="O316">
        <f>IFERROR(INDEX('Company Hitlist'!$N:$N,MATCH(D316,'Company Hitlist'!$A:$A,0)),)</f>
        <v/>
      </c>
      <c r="Q316" t="inlineStr">
        <is>
          <t>todo</t>
        </is>
      </c>
    </row>
    <row r="317">
      <c r="A317" t="inlineStr">
        <is>
          <t>Matthew Schiffler</t>
        </is>
      </c>
      <c r="B317" t="inlineStr">
        <is>
          <t>Attendee</t>
        </is>
      </c>
      <c r="C317" t="inlineStr">
        <is>
          <t>VP, Transportation and US Distribution</t>
        </is>
      </c>
      <c r="D317" t="inlineStr">
        <is>
          <t>Pricesmart</t>
        </is>
      </c>
      <c r="F317" t="inlineStr">
        <is>
          <t>Yes</t>
        </is>
      </c>
      <c r="H317" t="n">
        <v>26</v>
      </c>
      <c r="I317" t="b">
        <v>1</v>
      </c>
      <c r="J317" t="b">
        <v>1</v>
      </c>
      <c r="K317" t="b">
        <v>1</v>
      </c>
      <c r="L317" t="b">
        <v>0</v>
      </c>
      <c r="M317" t="b">
        <v>0</v>
      </c>
      <c r="N317">
        <f>IFERROR(INDEX('Company Hitlist'!$AA:$AA,MATCH(D317,'Company Hitlist'!$A:$A,0)),)</f>
        <v/>
      </c>
      <c r="O317">
        <f>IFERROR(INDEX('Company Hitlist'!$N:$N,MATCH(D317,'Company Hitlist'!$A:$A,0)),)</f>
        <v/>
      </c>
      <c r="Q317" t="inlineStr">
        <is>
          <t>todo</t>
        </is>
      </c>
    </row>
    <row r="318">
      <c r="A318" t="inlineStr">
        <is>
          <t>Deborah Kennedy</t>
        </is>
      </c>
      <c r="B318" t="inlineStr">
        <is>
          <t>Attendee</t>
        </is>
      </c>
      <c r="C318" t="inlineStr">
        <is>
          <t>VP Business Operations</t>
        </is>
      </c>
      <c r="D318" t="inlineStr">
        <is>
          <t>Prologis</t>
        </is>
      </c>
      <c r="E318" t="inlineStr">
        <is>
          <t>United States</t>
        </is>
      </c>
      <c r="H318" t="n">
        <v>26</v>
      </c>
      <c r="I318" t="b">
        <v>1</v>
      </c>
      <c r="J318" t="b">
        <v>1</v>
      </c>
      <c r="K318" t="b">
        <v>1</v>
      </c>
      <c r="L318" t="b">
        <v>0</v>
      </c>
      <c r="M318" t="b">
        <v>0</v>
      </c>
      <c r="N318">
        <f>IFERROR(INDEX('Company Hitlist'!$AA:$AA,MATCH(D318,'Company Hitlist'!$A:$A,0)),)</f>
        <v/>
      </c>
      <c r="O318">
        <f>IFERROR(INDEX('Company Hitlist'!$N:$N,MATCH(D318,'Company Hitlist'!$A:$A,0)),)</f>
        <v/>
      </c>
      <c r="Q318" t="inlineStr">
        <is>
          <t>todo</t>
        </is>
      </c>
    </row>
    <row r="319">
      <c r="A319" t="inlineStr">
        <is>
          <t>Marvin Cunningham</t>
        </is>
      </c>
      <c r="B319" t="inlineStr">
        <is>
          <t>Attendee</t>
        </is>
      </c>
      <c r="C319" t="inlineStr">
        <is>
          <t>Global Head of Essentials Operations</t>
        </is>
      </c>
      <c r="D319" t="inlineStr">
        <is>
          <t>Prologis</t>
        </is>
      </c>
      <c r="E319" t="inlineStr">
        <is>
          <t>United States</t>
        </is>
      </c>
      <c r="H319" t="n">
        <v>26</v>
      </c>
      <c r="I319" t="b">
        <v>1</v>
      </c>
      <c r="J319" t="b">
        <v>1</v>
      </c>
      <c r="K319" t="b">
        <v>1</v>
      </c>
      <c r="L319" t="b">
        <v>0</v>
      </c>
      <c r="M319" t="b">
        <v>0</v>
      </c>
      <c r="N319">
        <f>IFERROR(INDEX('Company Hitlist'!$AA:$AA,MATCH(D319,'Company Hitlist'!$A:$A,0)),)</f>
        <v/>
      </c>
      <c r="O319">
        <f>IFERROR(INDEX('Company Hitlist'!$N:$N,MATCH(D319,'Company Hitlist'!$A:$A,0)),)</f>
        <v/>
      </c>
      <c r="Q319" t="inlineStr">
        <is>
          <t>todo</t>
        </is>
      </c>
    </row>
    <row r="320">
      <c r="A320" t="inlineStr">
        <is>
          <t>Tony Huether</t>
        </is>
      </c>
      <c r="B320" t="inlineStr">
        <is>
          <t>Attendee</t>
        </is>
      </c>
      <c r="C320" t="inlineStr">
        <is>
          <t>VP of Operations</t>
        </is>
      </c>
      <c r="D320" t="inlineStr">
        <is>
          <t>RBW Logistics</t>
        </is>
      </c>
      <c r="E320" t="inlineStr">
        <is>
          <t>United States</t>
        </is>
      </c>
      <c r="F320" t="inlineStr">
        <is>
          <t>Yes</t>
        </is>
      </c>
      <c r="H320" t="n">
        <v>26</v>
      </c>
      <c r="I320" t="b">
        <v>1</v>
      </c>
      <c r="J320" t="b">
        <v>1</v>
      </c>
      <c r="K320" t="b">
        <v>1</v>
      </c>
      <c r="L320" t="b">
        <v>0</v>
      </c>
      <c r="M320" t="b">
        <v>0</v>
      </c>
      <c r="N320">
        <f>IFERROR(INDEX('Company Hitlist'!$AA:$AA,MATCH(D320,'Company Hitlist'!$A:$A,0)),)</f>
        <v/>
      </c>
      <c r="O320">
        <f>IFERROR(INDEX('Company Hitlist'!$N:$N,MATCH(D320,'Company Hitlist'!$A:$A,0)),)</f>
        <v/>
      </c>
      <c r="Q320" t="inlineStr">
        <is>
          <t>todo</t>
        </is>
      </c>
    </row>
    <row r="321">
      <c r="A321" t="inlineStr">
        <is>
          <t>Stein Syversen</t>
        </is>
      </c>
      <c r="B321" t="inlineStr">
        <is>
          <t>Attendee</t>
        </is>
      </c>
      <c r="C321" t="inlineStr">
        <is>
          <t>VP Supply Chain &amp; Logistics</t>
        </is>
      </c>
      <c r="D321" t="inlineStr">
        <is>
          <t>RH</t>
        </is>
      </c>
      <c r="H321" t="n">
        <v>26</v>
      </c>
      <c r="I321" t="b">
        <v>1</v>
      </c>
      <c r="J321" t="b">
        <v>1</v>
      </c>
      <c r="K321" t="b">
        <v>1</v>
      </c>
      <c r="L321" t="b">
        <v>0</v>
      </c>
      <c r="M321" t="b">
        <v>0</v>
      </c>
      <c r="N321">
        <f>IFERROR(INDEX('Company Hitlist'!$AA:$AA,MATCH(D321,'Company Hitlist'!$A:$A,0)),)</f>
        <v/>
      </c>
      <c r="O321">
        <f>IFERROR(INDEX('Company Hitlist'!$N:$N,MATCH(D321,'Company Hitlist'!$A:$A,0)),)</f>
        <v/>
      </c>
      <c r="Q321" t="inlineStr">
        <is>
          <t>todo</t>
        </is>
      </c>
    </row>
    <row r="322">
      <c r="A322" t="inlineStr">
        <is>
          <t>Brandon Harris</t>
        </is>
      </c>
      <c r="B322" t="inlineStr">
        <is>
          <t>Attendee</t>
        </is>
      </c>
      <c r="C322" t="inlineStr">
        <is>
          <t>Head of Supply Chain</t>
        </is>
      </c>
      <c r="D322" t="inlineStr">
        <is>
          <t>Range Energy</t>
        </is>
      </c>
      <c r="E322" t="inlineStr">
        <is>
          <t>United States</t>
        </is>
      </c>
      <c r="H322" t="n">
        <v>26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>
        <f>IFERROR(INDEX('Company Hitlist'!$AA:$AA,MATCH(D322,'Company Hitlist'!$A:$A,0)),)</f>
        <v/>
      </c>
      <c r="O322">
        <f>IFERROR(INDEX('Company Hitlist'!$N:$N,MATCH(D322,'Company Hitlist'!$A:$A,0)),)</f>
        <v/>
      </c>
      <c r="Q322" t="inlineStr">
        <is>
          <t>todo</t>
        </is>
      </c>
    </row>
    <row r="323">
      <c r="A323" t="inlineStr">
        <is>
          <t>Robert Lubanski</t>
        </is>
      </c>
      <c r="B323" t="inlineStr">
        <is>
          <t>Attendee</t>
        </is>
      </c>
      <c r="C323" t="inlineStr">
        <is>
          <t>VP Transportation</t>
        </is>
      </c>
      <c r="D323" t="inlineStr">
        <is>
          <t>Registrix</t>
        </is>
      </c>
      <c r="F323" t="inlineStr">
        <is>
          <t>Yes</t>
        </is>
      </c>
      <c r="H323" t="n">
        <v>26</v>
      </c>
      <c r="I323" t="b">
        <v>1</v>
      </c>
      <c r="J323" t="b">
        <v>1</v>
      </c>
      <c r="K323" t="b">
        <v>1</v>
      </c>
      <c r="L323" t="b">
        <v>0</v>
      </c>
      <c r="M323" t="b">
        <v>0</v>
      </c>
      <c r="N323">
        <f>IFERROR(INDEX('Company Hitlist'!$AA:$AA,MATCH(D323,'Company Hitlist'!$A:$A,0)),)</f>
        <v/>
      </c>
      <c r="O323">
        <f>IFERROR(INDEX('Company Hitlist'!$N:$N,MATCH(D323,'Company Hitlist'!$A:$A,0)),)</f>
        <v/>
      </c>
      <c r="Q323" t="inlineStr">
        <is>
          <t>todo</t>
        </is>
      </c>
    </row>
    <row r="324">
      <c r="A324" t="inlineStr">
        <is>
          <t>Dylan Roberts</t>
        </is>
      </c>
      <c r="B324" t="inlineStr">
        <is>
          <t>Attendee</t>
        </is>
      </c>
      <c r="C324" t="inlineStr">
        <is>
          <t>VP, Operations</t>
        </is>
      </c>
      <c r="D324" t="inlineStr">
        <is>
          <t>Reship Logistics Services Inc.</t>
        </is>
      </c>
      <c r="E324" t="inlineStr">
        <is>
          <t>Canada</t>
        </is>
      </c>
      <c r="F324" t="inlineStr">
        <is>
          <t>Yes</t>
        </is>
      </c>
      <c r="H324" t="n">
        <v>26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>
        <f>IFERROR(INDEX('Company Hitlist'!$AA:$AA,MATCH(D324,'Company Hitlist'!$A:$A,0)),)</f>
        <v/>
      </c>
      <c r="O324">
        <f>IFERROR(INDEX('Company Hitlist'!$N:$N,MATCH(D324,'Company Hitlist'!$A:$A,0)),)</f>
        <v/>
      </c>
      <c r="Q324" t="inlineStr">
        <is>
          <t>todo</t>
        </is>
      </c>
    </row>
    <row r="325">
      <c r="A325" t="inlineStr">
        <is>
          <t>Adam Green</t>
        </is>
      </c>
      <c r="B325" t="inlineStr">
        <is>
          <t>Attendee</t>
        </is>
      </c>
      <c r="C325" t="inlineStr">
        <is>
          <t>Senior Vice President - Logistics</t>
        </is>
      </c>
      <c r="D325" t="inlineStr">
        <is>
          <t>Risk Strategies</t>
        </is>
      </c>
      <c r="E325" t="inlineStr">
        <is>
          <t>United States</t>
        </is>
      </c>
      <c r="H325" t="n">
        <v>26</v>
      </c>
      <c r="I325" t="b">
        <v>1</v>
      </c>
      <c r="J325" t="b">
        <v>1</v>
      </c>
      <c r="K325" t="b">
        <v>1</v>
      </c>
      <c r="L325" t="b">
        <v>0</v>
      </c>
      <c r="M325" t="b">
        <v>0</v>
      </c>
      <c r="N325">
        <f>IFERROR(INDEX('Company Hitlist'!$AA:$AA,MATCH(D325,'Company Hitlist'!$A:$A,0)),)</f>
        <v/>
      </c>
      <c r="O325">
        <f>IFERROR(INDEX('Company Hitlist'!$N:$N,MATCH(D325,'Company Hitlist'!$A:$A,0)),)</f>
        <v/>
      </c>
      <c r="Q325" t="inlineStr">
        <is>
          <t>todo</t>
        </is>
      </c>
    </row>
    <row r="326">
      <c r="A326" t="inlineStr">
        <is>
          <t>Brian Dreher</t>
        </is>
      </c>
      <c r="B326" t="inlineStr">
        <is>
          <t>Attendee</t>
        </is>
      </c>
      <c r="C326" t="inlineStr">
        <is>
          <t>Vice President, Risk Advisor, Transportation</t>
        </is>
      </c>
      <c r="D326" t="inlineStr">
        <is>
          <t>Risk Strategies</t>
        </is>
      </c>
      <c r="E326" t="inlineStr">
        <is>
          <t>United States</t>
        </is>
      </c>
      <c r="H326" t="n">
        <v>26</v>
      </c>
      <c r="I326" t="b">
        <v>1</v>
      </c>
      <c r="J326" t="b">
        <v>1</v>
      </c>
      <c r="K326" t="b">
        <v>1</v>
      </c>
      <c r="L326" t="b">
        <v>0</v>
      </c>
      <c r="M326" t="b">
        <v>0</v>
      </c>
      <c r="N326">
        <f>IFERROR(INDEX('Company Hitlist'!$AA:$AA,MATCH(D326,'Company Hitlist'!$A:$A,0)),)</f>
        <v/>
      </c>
      <c r="O326">
        <f>IFERROR(INDEX('Company Hitlist'!$N:$N,MATCH(D326,'Company Hitlist'!$A:$A,0)),)</f>
        <v/>
      </c>
      <c r="Q326" t="inlineStr">
        <is>
          <t>todo</t>
        </is>
      </c>
    </row>
    <row r="327">
      <c r="A327" t="inlineStr">
        <is>
          <t>Iris Lo</t>
        </is>
      </c>
      <c r="B327" t="inlineStr">
        <is>
          <t>Attendee</t>
        </is>
      </c>
      <c r="C327" t="inlineStr">
        <is>
          <t>SVP, Supply Chain</t>
        </is>
      </c>
      <c r="D327" t="inlineStr">
        <is>
          <t>RoC Skincare</t>
        </is>
      </c>
      <c r="E327" t="inlineStr">
        <is>
          <t>United States</t>
        </is>
      </c>
      <c r="H327" t="n">
        <v>26</v>
      </c>
      <c r="I327" t="b">
        <v>1</v>
      </c>
      <c r="J327" t="b">
        <v>1</v>
      </c>
      <c r="K327" t="b">
        <v>1</v>
      </c>
      <c r="L327" t="b">
        <v>0</v>
      </c>
      <c r="M327" t="b">
        <v>0</v>
      </c>
      <c r="N327">
        <f>IFERROR(INDEX('Company Hitlist'!$AA:$AA,MATCH(D327,'Company Hitlist'!$A:$A,0)),)</f>
        <v/>
      </c>
      <c r="O327">
        <f>IFERROR(INDEX('Company Hitlist'!$N:$N,MATCH(D327,'Company Hitlist'!$A:$A,0)),)</f>
        <v/>
      </c>
      <c r="Q327" t="inlineStr">
        <is>
          <t>todo</t>
        </is>
      </c>
    </row>
    <row r="328">
      <c r="A328" t="inlineStr">
        <is>
          <t>Sven Homes</t>
        </is>
      </c>
      <c r="B328" t="inlineStr">
        <is>
          <t>Attendee</t>
        </is>
      </c>
      <c r="C328" t="inlineStr">
        <is>
          <t>SVP - IT SCM and Logistics</t>
        </is>
      </c>
      <c r="D328" t="inlineStr">
        <is>
          <t>Schwarz IT KG</t>
        </is>
      </c>
      <c r="E328" t="inlineStr">
        <is>
          <t>Germany</t>
        </is>
      </c>
      <c r="F328" t="inlineStr">
        <is>
          <t>Yes</t>
        </is>
      </c>
      <c r="H328" t="n">
        <v>26</v>
      </c>
      <c r="I328" t="b">
        <v>1</v>
      </c>
      <c r="J328" t="b">
        <v>1</v>
      </c>
      <c r="K328" t="b">
        <v>1</v>
      </c>
      <c r="L328" t="b">
        <v>0</v>
      </c>
      <c r="M328" t="b">
        <v>0</v>
      </c>
      <c r="N328">
        <f>IFERROR(INDEX('Company Hitlist'!$AA:$AA,MATCH(D328,'Company Hitlist'!$A:$A,0)),)</f>
        <v/>
      </c>
      <c r="O328">
        <f>IFERROR(INDEX('Company Hitlist'!$N:$N,MATCH(D328,'Company Hitlist'!$A:$A,0)),)</f>
        <v/>
      </c>
      <c r="Q328" t="inlineStr">
        <is>
          <t>todo</t>
        </is>
      </c>
    </row>
    <row r="329">
      <c r="A329" t="inlineStr">
        <is>
          <t>Bryce Madsen</t>
        </is>
      </c>
      <c r="B329" t="inlineStr">
        <is>
          <t>Attendee</t>
        </is>
      </c>
      <c r="C329" t="inlineStr">
        <is>
          <t>Head of Commercial Operations</t>
        </is>
      </c>
      <c r="D329" t="inlineStr">
        <is>
          <t>Scope23</t>
        </is>
      </c>
      <c r="E329" t="inlineStr">
        <is>
          <t>United States</t>
        </is>
      </c>
      <c r="F329" t="inlineStr">
        <is>
          <t>Yes</t>
        </is>
      </c>
      <c r="H329" t="n">
        <v>26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>
        <f>IFERROR(INDEX('Company Hitlist'!$AA:$AA,MATCH(D329,'Company Hitlist'!$A:$A,0)),)</f>
        <v/>
      </c>
      <c r="O329">
        <f>IFERROR(INDEX('Company Hitlist'!$N:$N,MATCH(D329,'Company Hitlist'!$A:$A,0)),)</f>
        <v/>
      </c>
      <c r="Q329" t="inlineStr">
        <is>
          <t>todo</t>
        </is>
      </c>
    </row>
    <row r="330">
      <c r="A330" t="inlineStr">
        <is>
          <t>David Bramlett</t>
        </is>
      </c>
      <c r="B330" t="inlineStr">
        <is>
          <t>Attendee</t>
        </is>
      </c>
      <c r="C330" t="inlineStr">
        <is>
          <t>Head of Operations</t>
        </is>
      </c>
      <c r="D330" t="inlineStr">
        <is>
          <t>Scout Freight</t>
        </is>
      </c>
      <c r="F330" t="inlineStr">
        <is>
          <t>Yes</t>
        </is>
      </c>
      <c r="H330" t="n">
        <v>26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>
        <f>IFERROR(INDEX('Company Hitlist'!$AA:$AA,MATCH(D330,'Company Hitlist'!$A:$A,0)),)</f>
        <v/>
      </c>
      <c r="O330">
        <f>IFERROR(INDEX('Company Hitlist'!$N:$N,MATCH(D330,'Company Hitlist'!$A:$A,0)),)</f>
        <v/>
      </c>
      <c r="Q330" t="inlineStr">
        <is>
          <t>todo</t>
        </is>
      </c>
    </row>
    <row r="331">
      <c r="A331" t="inlineStr">
        <is>
          <t>Keith Frymark</t>
        </is>
      </c>
      <c r="B331" t="inlineStr">
        <is>
          <t>Attendee</t>
        </is>
      </c>
      <c r="C331" t="inlineStr">
        <is>
          <t>Chief Supply Chain Officer</t>
        </is>
      </c>
      <c r="D331" t="inlineStr">
        <is>
          <t>Seed Health</t>
        </is>
      </c>
      <c r="H331" t="n">
        <v>26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>
        <f>IFERROR(INDEX('Company Hitlist'!$AA:$AA,MATCH(D331,'Company Hitlist'!$A:$A,0)),)</f>
        <v/>
      </c>
      <c r="O331">
        <f>IFERROR(INDEX('Company Hitlist'!$N:$N,MATCH(D331,'Company Hitlist'!$A:$A,0)),)</f>
        <v/>
      </c>
      <c r="Q331" t="inlineStr">
        <is>
          <t>todo</t>
        </is>
      </c>
    </row>
    <row r="332">
      <c r="A332" t="inlineStr">
        <is>
          <t>Karen Schwartz</t>
        </is>
      </c>
      <c r="B332" t="inlineStr">
        <is>
          <t>Attendee</t>
        </is>
      </c>
      <c r="C332" t="inlineStr">
        <is>
          <t>VP of Transportation</t>
        </is>
      </c>
      <c r="D332" t="inlineStr">
        <is>
          <t>ShipHero</t>
        </is>
      </c>
      <c r="E332" t="inlineStr">
        <is>
          <t>United States</t>
        </is>
      </c>
      <c r="F332" t="inlineStr">
        <is>
          <t>Yes</t>
        </is>
      </c>
      <c r="H332" t="n">
        <v>26</v>
      </c>
      <c r="I332" t="b">
        <v>1</v>
      </c>
      <c r="J332" t="b">
        <v>1</v>
      </c>
      <c r="K332" t="b">
        <v>1</v>
      </c>
      <c r="L332" t="b">
        <v>0</v>
      </c>
      <c r="M332" t="b">
        <v>0</v>
      </c>
      <c r="N332">
        <f>IFERROR(INDEX('Company Hitlist'!$AA:$AA,MATCH(D332,'Company Hitlist'!$A:$A,0)),)</f>
        <v/>
      </c>
      <c r="O332">
        <f>IFERROR(INDEX('Company Hitlist'!$N:$N,MATCH(D332,'Company Hitlist'!$A:$A,0)),)</f>
        <v/>
      </c>
      <c r="Q332" t="inlineStr">
        <is>
          <t>todo</t>
        </is>
      </c>
    </row>
    <row r="333">
      <c r="A333" t="inlineStr">
        <is>
          <t>Kaleb Mondragon</t>
        </is>
      </c>
      <c r="B333" t="inlineStr">
        <is>
          <t>Attendee</t>
        </is>
      </c>
      <c r="C333" t="inlineStr">
        <is>
          <t>Vice President of Operational Logistics</t>
        </is>
      </c>
      <c r="D333" t="inlineStr">
        <is>
          <t>ShipOffers</t>
        </is>
      </c>
      <c r="E333" t="inlineStr">
        <is>
          <t>Netherlands</t>
        </is>
      </c>
      <c r="F333" t="inlineStr">
        <is>
          <t>Yes</t>
        </is>
      </c>
      <c r="H333" t="n">
        <v>26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>
        <f>IFERROR(INDEX('Company Hitlist'!$AA:$AA,MATCH(D333,'Company Hitlist'!$A:$A,0)),)</f>
        <v/>
      </c>
      <c r="O333">
        <f>IFERROR(INDEX('Company Hitlist'!$N:$N,MATCH(D333,'Company Hitlist'!$A:$A,0)),)</f>
        <v/>
      </c>
      <c r="Q333" t="inlineStr">
        <is>
          <t>todo</t>
        </is>
      </c>
    </row>
    <row r="334">
      <c r="A334" t="inlineStr">
        <is>
          <t>Agla Fridjons</t>
        </is>
      </c>
      <c r="B334" t="inlineStr">
        <is>
          <t>Attendee</t>
        </is>
      </c>
      <c r="C334" t="inlineStr">
        <is>
          <t>VP of Supply Chain</t>
        </is>
      </c>
      <c r="D334" t="inlineStr">
        <is>
          <t>Smalls</t>
        </is>
      </c>
      <c r="H334" t="n">
        <v>26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>
        <f>IFERROR(INDEX('Company Hitlist'!$AA:$AA,MATCH(D334,'Company Hitlist'!$A:$A,0)),)</f>
        <v/>
      </c>
      <c r="O334">
        <f>IFERROR(INDEX('Company Hitlist'!$N:$N,MATCH(D334,'Company Hitlist'!$A:$A,0)),)</f>
        <v/>
      </c>
      <c r="Q334" t="inlineStr">
        <is>
          <t>todo</t>
        </is>
      </c>
    </row>
    <row r="335">
      <c r="A335" t="inlineStr">
        <is>
          <t>Alex Alarcon</t>
        </is>
      </c>
      <c r="B335" t="inlineStr">
        <is>
          <t>Attendee</t>
        </is>
      </c>
      <c r="C335" t="inlineStr">
        <is>
          <t>Chief Administration &amp; Operations Officer</t>
        </is>
      </c>
      <c r="D335" t="inlineStr">
        <is>
          <t>Sobel-Westex</t>
        </is>
      </c>
      <c r="F335" t="inlineStr">
        <is>
          <t>Yes</t>
        </is>
      </c>
      <c r="H335" t="n">
        <v>26</v>
      </c>
      <c r="I335" t="b">
        <v>1</v>
      </c>
      <c r="J335" t="b">
        <v>1</v>
      </c>
      <c r="K335" t="b">
        <v>1</v>
      </c>
      <c r="L335" t="b">
        <v>0</v>
      </c>
      <c r="M335" t="b">
        <v>0</v>
      </c>
      <c r="N335">
        <f>IFERROR(INDEX('Company Hitlist'!$AA:$AA,MATCH(D335,'Company Hitlist'!$A:$A,0)),)</f>
        <v/>
      </c>
      <c r="O335">
        <f>IFERROR(INDEX('Company Hitlist'!$N:$N,MATCH(D335,'Company Hitlist'!$A:$A,0)),)</f>
        <v/>
      </c>
      <c r="Q335" t="inlineStr">
        <is>
          <t>todo</t>
        </is>
      </c>
    </row>
    <row r="336">
      <c r="A336" t="inlineStr">
        <is>
          <t>Eric Miller</t>
        </is>
      </c>
      <c r="B336" t="inlineStr">
        <is>
          <t>Attendee</t>
        </is>
      </c>
      <c r="C336" t="inlineStr">
        <is>
          <t>SVP Global Operations</t>
        </is>
      </c>
      <c r="D336" t="inlineStr">
        <is>
          <t>Sol de Janeiro</t>
        </is>
      </c>
      <c r="H336" t="n">
        <v>26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>
        <f>IFERROR(INDEX('Company Hitlist'!$AA:$AA,MATCH(D336,'Company Hitlist'!$A:$A,0)),)</f>
        <v/>
      </c>
      <c r="O336">
        <f>IFERROR(INDEX('Company Hitlist'!$N:$N,MATCH(D336,'Company Hitlist'!$A:$A,0)),)</f>
        <v/>
      </c>
      <c r="Q336" t="inlineStr">
        <is>
          <t>todo</t>
        </is>
      </c>
    </row>
    <row r="337">
      <c r="A337" t="inlineStr">
        <is>
          <t>Lael Atkins</t>
        </is>
      </c>
      <c r="B337" t="inlineStr">
        <is>
          <t>Attendee</t>
        </is>
      </c>
      <c r="C337" t="inlineStr">
        <is>
          <t>Head of Operations</t>
        </is>
      </c>
      <c r="D337" t="inlineStr">
        <is>
          <t>Spirit Tea</t>
        </is>
      </c>
      <c r="E337" t="inlineStr">
        <is>
          <t>United States</t>
        </is>
      </c>
      <c r="F337" t="inlineStr">
        <is>
          <t>Yes</t>
        </is>
      </c>
      <c r="H337" t="n">
        <v>26</v>
      </c>
      <c r="I337" t="b">
        <v>1</v>
      </c>
      <c r="J337" t="b">
        <v>1</v>
      </c>
      <c r="K337" t="b">
        <v>1</v>
      </c>
      <c r="L337" t="b">
        <v>0</v>
      </c>
      <c r="M337" t="b">
        <v>0</v>
      </c>
      <c r="N337">
        <f>IFERROR(INDEX('Company Hitlist'!$AA:$AA,MATCH(D337,'Company Hitlist'!$A:$A,0)),)</f>
        <v/>
      </c>
      <c r="O337">
        <f>IFERROR(INDEX('Company Hitlist'!$N:$N,MATCH(D337,'Company Hitlist'!$A:$A,0)),)</f>
        <v/>
      </c>
      <c r="Q337" t="inlineStr">
        <is>
          <t>todo</t>
        </is>
      </c>
    </row>
    <row r="338">
      <c r="A338" t="inlineStr">
        <is>
          <t>Kreg Hunter</t>
        </is>
      </c>
      <c r="B338" t="inlineStr">
        <is>
          <t>Attendee</t>
        </is>
      </c>
      <c r="C338" t="inlineStr">
        <is>
          <t>VP of Operations</t>
        </is>
      </c>
      <c r="D338" t="inlineStr">
        <is>
          <t>Spot Inc</t>
        </is>
      </c>
      <c r="E338" t="inlineStr">
        <is>
          <t>United States</t>
        </is>
      </c>
      <c r="F338" t="inlineStr">
        <is>
          <t>Yes</t>
        </is>
      </c>
      <c r="H338" t="n">
        <v>26</v>
      </c>
      <c r="I338" t="b">
        <v>1</v>
      </c>
      <c r="J338" t="b">
        <v>1</v>
      </c>
      <c r="K338" t="b">
        <v>1</v>
      </c>
      <c r="L338" t="b">
        <v>0</v>
      </c>
      <c r="M338" t="b">
        <v>0</v>
      </c>
      <c r="N338">
        <f>IFERROR(INDEX('Company Hitlist'!$AA:$AA,MATCH(D338,'Company Hitlist'!$A:$A,0)),)</f>
        <v/>
      </c>
      <c r="O338">
        <f>IFERROR(INDEX('Company Hitlist'!$N:$N,MATCH(D338,'Company Hitlist'!$A:$A,0)),)</f>
        <v/>
      </c>
      <c r="Q338" t="inlineStr">
        <is>
          <t>todo</t>
        </is>
      </c>
    </row>
    <row r="339">
      <c r="A339" t="inlineStr">
        <is>
          <t>Nicholas Trzeciak</t>
        </is>
      </c>
      <c r="B339" t="inlineStr">
        <is>
          <t>Attendee</t>
        </is>
      </c>
      <c r="C339" t="inlineStr">
        <is>
          <t>Vice President of Logistics &amp; Distribution</t>
        </is>
      </c>
      <c r="D339" t="inlineStr">
        <is>
          <t>Stanford Medicine</t>
        </is>
      </c>
      <c r="F339" t="inlineStr">
        <is>
          <t>Yes</t>
        </is>
      </c>
      <c r="G339" t="inlineStr">
        <is>
          <t>$9.56B (2025 est.)</t>
        </is>
      </c>
      <c r="H339" t="n">
        <v>26</v>
      </c>
      <c r="I339" t="b">
        <v>1</v>
      </c>
      <c r="J339" t="b">
        <v>1</v>
      </c>
      <c r="K339" t="b">
        <v>1</v>
      </c>
      <c r="L339" t="b">
        <v>0</v>
      </c>
      <c r="M339" t="b">
        <v>0</v>
      </c>
      <c r="N339">
        <f>IFERROR(INDEX('Company Hitlist'!$AA:$AA,MATCH(D339,'Company Hitlist'!$A:$A,0)),)</f>
        <v/>
      </c>
      <c r="O339">
        <f>IFERROR(INDEX('Company Hitlist'!$N:$N,MATCH(D339,'Company Hitlist'!$A:$A,0)),)</f>
        <v/>
      </c>
      <c r="Q339" t="inlineStr">
        <is>
          <t>todo</t>
        </is>
      </c>
    </row>
    <row r="340">
      <c r="A340" t="inlineStr">
        <is>
          <t>Ryan Hanson</t>
        </is>
      </c>
      <c r="B340" t="inlineStr">
        <is>
          <t>Attendee</t>
        </is>
      </c>
      <c r="C340" t="inlineStr">
        <is>
          <t>Chief Supply Chain Officer</t>
        </is>
      </c>
      <c r="D340" t="inlineStr">
        <is>
          <t>Staples</t>
        </is>
      </c>
      <c r="H340" t="n">
        <v>26</v>
      </c>
      <c r="I340" t="b">
        <v>1</v>
      </c>
      <c r="J340" t="b">
        <v>1</v>
      </c>
      <c r="K340" t="b">
        <v>1</v>
      </c>
      <c r="L340" t="b">
        <v>0</v>
      </c>
      <c r="M340" t="b">
        <v>0</v>
      </c>
      <c r="N340">
        <f>IFERROR(INDEX('Company Hitlist'!$AA:$AA,MATCH(D340,'Company Hitlist'!$A:$A,0)),)</f>
        <v/>
      </c>
      <c r="O340">
        <f>IFERROR(INDEX('Company Hitlist'!$N:$N,MATCH(D340,'Company Hitlist'!$A:$A,0)),)</f>
        <v/>
      </c>
      <c r="Q340" t="inlineStr">
        <is>
          <t>todo</t>
        </is>
      </c>
    </row>
    <row r="341">
      <c r="A341" t="inlineStr">
        <is>
          <t>Carrie Benson</t>
        </is>
      </c>
      <c r="B341" t="inlineStr">
        <is>
          <t>Attendee</t>
        </is>
      </c>
      <c r="C341" t="inlineStr">
        <is>
          <t>Head of Transportation</t>
        </is>
      </c>
      <c r="D341" t="inlineStr">
        <is>
          <t>Stitch Fix</t>
        </is>
      </c>
      <c r="E341" t="inlineStr">
        <is>
          <t>United States</t>
        </is>
      </c>
      <c r="F341" t="inlineStr">
        <is>
          <t>Yes</t>
        </is>
      </c>
      <c r="H341" t="n">
        <v>26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>
        <f>IFERROR(INDEX('Company Hitlist'!$AA:$AA,MATCH(D341,'Company Hitlist'!$A:$A,0)),)</f>
        <v/>
      </c>
      <c r="O341">
        <f>IFERROR(INDEX('Company Hitlist'!$N:$N,MATCH(D341,'Company Hitlist'!$A:$A,0)),)</f>
        <v/>
      </c>
      <c r="Q341" t="inlineStr">
        <is>
          <t>todo</t>
        </is>
      </c>
    </row>
    <row r="342">
      <c r="A342" t="inlineStr">
        <is>
          <t>Kim Cioto</t>
        </is>
      </c>
      <c r="B342" t="inlineStr">
        <is>
          <t>Attendee</t>
        </is>
      </c>
      <c r="C342" t="inlineStr">
        <is>
          <t>VP of Operations</t>
        </is>
      </c>
      <c r="D342" t="inlineStr">
        <is>
          <t>Stitch Fix</t>
        </is>
      </c>
      <c r="E342" t="inlineStr">
        <is>
          <t>United States</t>
        </is>
      </c>
      <c r="F342" t="inlineStr">
        <is>
          <t>Yes</t>
        </is>
      </c>
      <c r="H342" t="n">
        <v>26</v>
      </c>
      <c r="I342" t="b">
        <v>1</v>
      </c>
      <c r="J342" t="b">
        <v>1</v>
      </c>
      <c r="K342" t="b">
        <v>1</v>
      </c>
      <c r="L342" t="b">
        <v>0</v>
      </c>
      <c r="M342" t="b">
        <v>0</v>
      </c>
      <c r="N342">
        <f>IFERROR(INDEX('Company Hitlist'!$AA:$AA,MATCH(D342,'Company Hitlist'!$A:$A,0)),)</f>
        <v/>
      </c>
      <c r="O342">
        <f>IFERROR(INDEX('Company Hitlist'!$N:$N,MATCH(D342,'Company Hitlist'!$A:$A,0)),)</f>
        <v/>
      </c>
      <c r="Q342" t="inlineStr">
        <is>
          <t>todo</t>
        </is>
      </c>
    </row>
    <row r="343">
      <c r="A343" t="inlineStr">
        <is>
          <t>Alexis Takvorian</t>
        </is>
      </c>
      <c r="B343" t="inlineStr">
        <is>
          <t>Attendee</t>
        </is>
      </c>
      <c r="C343" t="inlineStr">
        <is>
          <t>VP, Global Transportation</t>
        </is>
      </c>
      <c r="D343" t="inlineStr">
        <is>
          <t>StockX</t>
        </is>
      </c>
      <c r="F343" t="inlineStr">
        <is>
          <t>Yes</t>
        </is>
      </c>
      <c r="H343" t="n">
        <v>26</v>
      </c>
      <c r="I343" t="b">
        <v>1</v>
      </c>
      <c r="J343" t="b">
        <v>1</v>
      </c>
      <c r="K343" t="b">
        <v>1</v>
      </c>
      <c r="L343" t="b">
        <v>0</v>
      </c>
      <c r="M343" t="b">
        <v>0</v>
      </c>
      <c r="N343">
        <f>IFERROR(INDEX('Company Hitlist'!$AA:$AA,MATCH(D343,'Company Hitlist'!$A:$A,0)),)</f>
        <v/>
      </c>
      <c r="O343">
        <f>IFERROR(INDEX('Company Hitlist'!$N:$N,MATCH(D343,'Company Hitlist'!$A:$A,0)),)</f>
        <v/>
      </c>
      <c r="Q343" t="inlineStr">
        <is>
          <t>todo</t>
        </is>
      </c>
    </row>
    <row r="344">
      <c r="A344" t="inlineStr">
        <is>
          <t>Victor Wilson</t>
        </is>
      </c>
      <c r="B344" t="inlineStr">
        <is>
          <t>Attendee</t>
        </is>
      </c>
      <c r="C344" t="inlineStr">
        <is>
          <t>VP, Operations</t>
        </is>
      </c>
      <c r="D344" t="inlineStr">
        <is>
          <t>StockX</t>
        </is>
      </c>
      <c r="F344" t="inlineStr">
        <is>
          <t>Yes</t>
        </is>
      </c>
      <c r="H344" t="n">
        <v>26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>
        <f>IFERROR(INDEX('Company Hitlist'!$AA:$AA,MATCH(D344,'Company Hitlist'!$A:$A,0)),)</f>
        <v/>
      </c>
      <c r="O344">
        <f>IFERROR(INDEX('Company Hitlist'!$N:$N,MATCH(D344,'Company Hitlist'!$A:$A,0)),)</f>
        <v/>
      </c>
      <c r="Q344" t="inlineStr">
        <is>
          <t>todo</t>
        </is>
      </c>
    </row>
    <row r="345">
      <c r="A345" t="inlineStr">
        <is>
          <t>Tyler Strom</t>
        </is>
      </c>
      <c r="B345" t="inlineStr">
        <is>
          <t>Attendee</t>
        </is>
      </c>
      <c r="C345" t="inlineStr">
        <is>
          <t>Sr. Manager, Regional Head of Transportation, North America</t>
        </is>
      </c>
      <c r="D345" t="inlineStr">
        <is>
          <t>StockX</t>
        </is>
      </c>
      <c r="H345" t="n">
        <v>26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>
        <f>IFERROR(INDEX('Company Hitlist'!$AA:$AA,MATCH(D345,'Company Hitlist'!$A:$A,0)),)</f>
        <v/>
      </c>
      <c r="O345">
        <f>IFERROR(INDEX('Company Hitlist'!$N:$N,MATCH(D345,'Company Hitlist'!$A:$A,0)),)</f>
        <v/>
      </c>
      <c r="Q345" t="inlineStr">
        <is>
          <t>todo</t>
        </is>
      </c>
    </row>
    <row r="346">
      <c r="A346" t="inlineStr">
        <is>
          <t>Tabitha Davenport</t>
        </is>
      </c>
      <c r="B346" t="inlineStr">
        <is>
          <t>Attendee</t>
        </is>
      </c>
      <c r="C346" t="inlineStr">
        <is>
          <t>Head of Supply Chain &amp; Operations</t>
        </is>
      </c>
      <c r="D346" t="inlineStr">
        <is>
          <t>StockX</t>
        </is>
      </c>
      <c r="H346" t="n">
        <v>26</v>
      </c>
      <c r="I346" t="b">
        <v>1</v>
      </c>
      <c r="J346" t="b">
        <v>1</v>
      </c>
      <c r="K346" t="b">
        <v>1</v>
      </c>
      <c r="L346" t="b">
        <v>0</v>
      </c>
      <c r="M346" t="b">
        <v>0</v>
      </c>
      <c r="N346">
        <f>IFERROR(INDEX('Company Hitlist'!$AA:$AA,MATCH(D346,'Company Hitlist'!$A:$A,0)),)</f>
        <v/>
      </c>
      <c r="O346">
        <f>IFERROR(INDEX('Company Hitlist'!$N:$N,MATCH(D346,'Company Hitlist'!$A:$A,0)),)</f>
        <v/>
      </c>
      <c r="Q346" t="inlineStr">
        <is>
          <t>todo</t>
        </is>
      </c>
    </row>
    <row r="347">
      <c r="A347" t="inlineStr">
        <is>
          <t>John Slinkard</t>
        </is>
      </c>
      <c r="B347" t="inlineStr">
        <is>
          <t>Attendee</t>
        </is>
      </c>
      <c r="C347" t="inlineStr">
        <is>
          <t>SVP, Supply Chain</t>
        </is>
      </c>
      <c r="D347" t="inlineStr">
        <is>
          <t>Sun-Maid Growers of California</t>
        </is>
      </c>
      <c r="H347" t="n">
        <v>26</v>
      </c>
      <c r="I347" t="b">
        <v>1</v>
      </c>
      <c r="J347" t="b">
        <v>1</v>
      </c>
      <c r="K347" t="b">
        <v>1</v>
      </c>
      <c r="L347" t="b">
        <v>0</v>
      </c>
      <c r="M347" t="b">
        <v>0</v>
      </c>
      <c r="N347">
        <f>IFERROR(INDEX('Company Hitlist'!$AA:$AA,MATCH(D347,'Company Hitlist'!$A:$A,0)),)</f>
        <v/>
      </c>
      <c r="O347">
        <f>IFERROR(INDEX('Company Hitlist'!$N:$N,MATCH(D347,'Company Hitlist'!$A:$A,0)),)</f>
        <v/>
      </c>
      <c r="Q347" t="inlineStr">
        <is>
          <t>todo</t>
        </is>
      </c>
    </row>
    <row r="348">
      <c r="A348" t="inlineStr">
        <is>
          <t>Mark S. Arnold</t>
        </is>
      </c>
      <c r="B348" t="inlineStr">
        <is>
          <t>Attendee</t>
        </is>
      </c>
      <c r="C348" t="inlineStr">
        <is>
          <t>VP Global Supply Chain</t>
        </is>
      </c>
      <c r="D348" t="inlineStr">
        <is>
          <t>Superior Industries</t>
        </is>
      </c>
      <c r="H348" t="n">
        <v>26</v>
      </c>
      <c r="I348" t="b">
        <v>1</v>
      </c>
      <c r="J348" t="b">
        <v>1</v>
      </c>
      <c r="K348" t="b">
        <v>1</v>
      </c>
      <c r="L348" t="b">
        <v>0</v>
      </c>
      <c r="M348" t="b">
        <v>0</v>
      </c>
      <c r="N348">
        <f>IFERROR(INDEX('Company Hitlist'!$AA:$AA,MATCH(D348,'Company Hitlist'!$A:$A,0)),)</f>
        <v/>
      </c>
      <c r="O348">
        <f>IFERROR(INDEX('Company Hitlist'!$N:$N,MATCH(D348,'Company Hitlist'!$A:$A,0)),)</f>
        <v/>
      </c>
      <c r="Q348" t="inlineStr">
        <is>
          <t>todo</t>
        </is>
      </c>
    </row>
    <row r="349">
      <c r="A349" t="inlineStr">
        <is>
          <t>Pat Brown</t>
        </is>
      </c>
      <c r="B349" t="inlineStr">
        <is>
          <t>Attendee</t>
        </is>
      </c>
      <c r="C349" t="inlineStr">
        <is>
          <t>VP Supply Chain Innovation &amp; Engineering.</t>
        </is>
      </c>
      <c r="D349" t="inlineStr">
        <is>
          <t>TJX</t>
        </is>
      </c>
      <c r="H349" t="n">
        <v>26</v>
      </c>
      <c r="I349" t="b">
        <v>1</v>
      </c>
      <c r="J349" t="b">
        <v>1</v>
      </c>
      <c r="K349" t="b">
        <v>1</v>
      </c>
      <c r="L349" t="b">
        <v>0</v>
      </c>
      <c r="M349" t="b">
        <v>0</v>
      </c>
      <c r="N349">
        <f>IFERROR(INDEX('Company Hitlist'!$AA:$AA,MATCH(D349,'Company Hitlist'!$A:$A,0)),)</f>
        <v/>
      </c>
      <c r="O349">
        <f>IFERROR(INDEX('Company Hitlist'!$N:$N,MATCH(D349,'Company Hitlist'!$A:$A,0)),)</f>
        <v/>
      </c>
      <c r="Q349" t="inlineStr">
        <is>
          <t>todo</t>
        </is>
      </c>
    </row>
    <row r="350">
      <c r="A350" t="inlineStr">
        <is>
          <t>SILVINA MENDEZ</t>
        </is>
      </c>
      <c r="B350" t="inlineStr">
        <is>
          <t>Attendee</t>
        </is>
      </c>
      <c r="C350" t="inlineStr">
        <is>
          <t>HEAD OF LOGISTICS, USA</t>
        </is>
      </c>
      <c r="D350" t="inlineStr">
        <is>
          <t>TSEA ENERGIA USA</t>
        </is>
      </c>
      <c r="F350" t="inlineStr">
        <is>
          <t>Yes</t>
        </is>
      </c>
      <c r="H350" t="n">
        <v>26</v>
      </c>
      <c r="I350" t="b">
        <v>1</v>
      </c>
      <c r="J350" t="b">
        <v>1</v>
      </c>
      <c r="K350" t="b">
        <v>1</v>
      </c>
      <c r="L350" t="b">
        <v>0</v>
      </c>
      <c r="M350" t="b">
        <v>0</v>
      </c>
      <c r="N350">
        <f>IFERROR(INDEX('Company Hitlist'!$AA:$AA,MATCH(D350,'Company Hitlist'!$A:$A,0)),)</f>
        <v/>
      </c>
      <c r="O350">
        <f>IFERROR(INDEX('Company Hitlist'!$N:$N,MATCH(D350,'Company Hitlist'!$A:$A,0)),)</f>
        <v/>
      </c>
      <c r="Q350" t="inlineStr">
        <is>
          <t>todo</t>
        </is>
      </c>
    </row>
    <row r="351">
      <c r="A351" t="inlineStr">
        <is>
          <t>Rob Holland</t>
        </is>
      </c>
      <c r="B351" t="inlineStr">
        <is>
          <t>Attendee</t>
        </is>
      </c>
      <c r="C351" t="inlineStr">
        <is>
          <t>Vice President - Transportation</t>
        </is>
      </c>
      <c r="D351" t="inlineStr">
        <is>
          <t>Tailored Brands</t>
        </is>
      </c>
      <c r="E351" t="inlineStr">
        <is>
          <t>United States</t>
        </is>
      </c>
      <c r="F351" t="inlineStr">
        <is>
          <t>Yes</t>
        </is>
      </c>
      <c r="G351" t="inlineStr">
        <is>
          <t>$2.6B (2025 est.)</t>
        </is>
      </c>
      <c r="H351" t="n">
        <v>26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>
        <f>IFERROR(INDEX('Company Hitlist'!$AA:$AA,MATCH(D351,'Company Hitlist'!$A:$A,0)),)</f>
        <v/>
      </c>
      <c r="O351">
        <f>IFERROR(INDEX('Company Hitlist'!$N:$N,MATCH(D351,'Company Hitlist'!$A:$A,0)),)</f>
        <v/>
      </c>
      <c r="Q351" t="inlineStr">
        <is>
          <t>todo</t>
        </is>
      </c>
    </row>
    <row r="352">
      <c r="A352" t="inlineStr">
        <is>
          <t>Todd McCullough</t>
        </is>
      </c>
      <c r="B352" t="inlineStr">
        <is>
          <t>Attendee</t>
        </is>
      </c>
      <c r="C352" t="inlineStr">
        <is>
          <t>VP, Fulfillment and Logistics</t>
        </is>
      </c>
      <c r="D352" t="inlineStr">
        <is>
          <t>Tapestry</t>
        </is>
      </c>
      <c r="F352" t="inlineStr">
        <is>
          <t>Yes</t>
        </is>
      </c>
      <c r="H352" t="n">
        <v>26</v>
      </c>
      <c r="I352" t="b">
        <v>1</v>
      </c>
      <c r="J352" t="b">
        <v>1</v>
      </c>
      <c r="K352" t="b">
        <v>1</v>
      </c>
      <c r="L352" t="b">
        <v>0</v>
      </c>
      <c r="M352" t="b">
        <v>0</v>
      </c>
      <c r="N352">
        <f>IFERROR(INDEX('Company Hitlist'!$AA:$AA,MATCH(D352,'Company Hitlist'!$A:$A,0)),)</f>
        <v/>
      </c>
      <c r="O352">
        <f>IFERROR(INDEX('Company Hitlist'!$N:$N,MATCH(D352,'Company Hitlist'!$A:$A,0)),)</f>
        <v/>
      </c>
      <c r="Q352" t="inlineStr">
        <is>
          <t>todo</t>
        </is>
      </c>
    </row>
    <row r="353">
      <c r="A353" t="inlineStr">
        <is>
          <t>Todd Neubauer</t>
        </is>
      </c>
      <c r="B353" t="inlineStr">
        <is>
          <t>Attendee</t>
        </is>
      </c>
      <c r="C353" t="inlineStr">
        <is>
          <t>Senior Vice President of Transportation</t>
        </is>
      </c>
      <c r="D353" t="inlineStr">
        <is>
          <t>The Dependable Cos</t>
        </is>
      </c>
      <c r="F353" t="inlineStr">
        <is>
          <t>Yes</t>
        </is>
      </c>
      <c r="H353" t="n">
        <v>26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>
        <f>IFERROR(INDEX('Company Hitlist'!$AA:$AA,MATCH(D353,'Company Hitlist'!$A:$A,0)),)</f>
        <v/>
      </c>
      <c r="O353">
        <f>IFERROR(INDEX('Company Hitlist'!$N:$N,MATCH(D353,'Company Hitlist'!$A:$A,0)),)</f>
        <v/>
      </c>
      <c r="Q353" t="inlineStr">
        <is>
          <t>todo</t>
        </is>
      </c>
    </row>
    <row r="354">
      <c r="A354" t="inlineStr">
        <is>
          <t>Paul Laskow</t>
        </is>
      </c>
      <c r="B354" t="inlineStr">
        <is>
          <t>Attendee</t>
        </is>
      </c>
      <c r="C354" t="inlineStr">
        <is>
          <t>Head of Transportation</t>
        </is>
      </c>
      <c r="D354" t="inlineStr">
        <is>
          <t>The Real Real</t>
        </is>
      </c>
      <c r="E354" t="inlineStr">
        <is>
          <t>United States</t>
        </is>
      </c>
      <c r="F354" t="inlineStr">
        <is>
          <t>Yes</t>
        </is>
      </c>
      <c r="H354" t="n">
        <v>26</v>
      </c>
      <c r="I354" t="b">
        <v>1</v>
      </c>
      <c r="J354" t="b">
        <v>1</v>
      </c>
      <c r="K354" t="b">
        <v>1</v>
      </c>
      <c r="L354" t="b">
        <v>0</v>
      </c>
      <c r="M354" t="b">
        <v>0</v>
      </c>
      <c r="N354">
        <f>IFERROR(INDEX('Company Hitlist'!$AA:$AA,MATCH(D354,'Company Hitlist'!$A:$A,0)),)</f>
        <v/>
      </c>
      <c r="O354">
        <f>IFERROR(INDEX('Company Hitlist'!$N:$N,MATCH(D354,'Company Hitlist'!$A:$A,0)),)</f>
        <v/>
      </c>
      <c r="Q354" t="inlineStr">
        <is>
          <t>todo</t>
        </is>
      </c>
    </row>
    <row r="355">
      <c r="A355" t="inlineStr">
        <is>
          <t>David Huskisson</t>
        </is>
      </c>
      <c r="B355" t="inlineStr">
        <is>
          <t>Attendee</t>
        </is>
      </c>
      <c r="C355" t="inlineStr">
        <is>
          <t>Vice President: Distribution, Customer Experience, and Enterprise Planning</t>
        </is>
      </c>
      <c r="D355" t="inlineStr">
        <is>
          <t>The Scotts Miracle-Gro Company</t>
        </is>
      </c>
      <c r="H355" t="n">
        <v>26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>
        <f>IFERROR(INDEX('Company Hitlist'!$AA:$AA,MATCH(D355,'Company Hitlist'!$A:$A,0)),)</f>
        <v/>
      </c>
      <c r="O355">
        <f>IFERROR(INDEX('Company Hitlist'!$N:$N,MATCH(D355,'Company Hitlist'!$A:$A,0)),)</f>
        <v/>
      </c>
      <c r="Q355" t="inlineStr">
        <is>
          <t>todo</t>
        </is>
      </c>
    </row>
    <row r="356">
      <c r="A356" t="inlineStr">
        <is>
          <t>Cherris Armour</t>
        </is>
      </c>
      <c r="B356" t="inlineStr">
        <is>
          <t>Attendee</t>
        </is>
      </c>
      <c r="C356" t="inlineStr">
        <is>
          <t>VP, Fulfillment</t>
        </is>
      </c>
      <c r="D356" t="inlineStr">
        <is>
          <t>Thrive Market</t>
        </is>
      </c>
      <c r="F356" t="inlineStr">
        <is>
          <t>Yes</t>
        </is>
      </c>
      <c r="G356" t="inlineStr">
        <is>
          <t>700000000</t>
        </is>
      </c>
      <c r="H356" t="n">
        <v>26</v>
      </c>
      <c r="I356" t="b">
        <v>1</v>
      </c>
      <c r="J356" t="b">
        <v>1</v>
      </c>
      <c r="K356" t="b">
        <v>1</v>
      </c>
      <c r="L356" t="b">
        <v>0</v>
      </c>
      <c r="M356" t="b">
        <v>0</v>
      </c>
      <c r="N356">
        <f>IFERROR(INDEX('Company Hitlist'!$AA:$AA,MATCH(D356,'Company Hitlist'!$A:$A,0)),)</f>
        <v/>
      </c>
      <c r="O356">
        <f>IFERROR(INDEX('Company Hitlist'!$N:$N,MATCH(D356,'Company Hitlist'!$A:$A,0)),)</f>
        <v/>
      </c>
      <c r="Q356" t="inlineStr">
        <is>
          <t>todo</t>
        </is>
      </c>
    </row>
    <row r="357">
      <c r="A357" t="inlineStr">
        <is>
          <t>Taylor Wilson</t>
        </is>
      </c>
      <c r="B357" t="inlineStr">
        <is>
          <t>Attendee</t>
        </is>
      </c>
      <c r="C357" t="inlineStr">
        <is>
          <t>VP, Operations Integration &amp; CI</t>
        </is>
      </c>
      <c r="D357" t="inlineStr">
        <is>
          <t>Thrive Market</t>
        </is>
      </c>
      <c r="F357" t="inlineStr">
        <is>
          <t>Yes</t>
        </is>
      </c>
      <c r="G357" t="inlineStr">
        <is>
          <t>700000000</t>
        </is>
      </c>
      <c r="H357" t="n">
        <v>26</v>
      </c>
      <c r="I357" t="b">
        <v>1</v>
      </c>
      <c r="J357" t="b">
        <v>1</v>
      </c>
      <c r="K357" t="b">
        <v>1</v>
      </c>
      <c r="L357" t="b">
        <v>0</v>
      </c>
      <c r="M357" t="b">
        <v>0</v>
      </c>
      <c r="N357">
        <f>IFERROR(INDEX('Company Hitlist'!$AA:$AA,MATCH(D357,'Company Hitlist'!$A:$A,0)),)</f>
        <v/>
      </c>
      <c r="O357">
        <f>IFERROR(INDEX('Company Hitlist'!$N:$N,MATCH(D357,'Company Hitlist'!$A:$A,0)),)</f>
        <v/>
      </c>
      <c r="Q357" t="inlineStr">
        <is>
          <t>todo</t>
        </is>
      </c>
    </row>
    <row r="358">
      <c r="A358" t="inlineStr">
        <is>
          <t>Michael Gambino</t>
        </is>
      </c>
      <c r="B358" t="inlineStr">
        <is>
          <t>Attendee</t>
        </is>
      </c>
      <c r="C358" t="inlineStr">
        <is>
          <t>VP Operations</t>
        </is>
      </c>
      <c r="D358" t="inlineStr">
        <is>
          <t>Toolup</t>
        </is>
      </c>
      <c r="F358" t="inlineStr">
        <is>
          <t>Yes</t>
        </is>
      </c>
      <c r="H358" t="n">
        <v>26</v>
      </c>
      <c r="I358" t="b">
        <v>1</v>
      </c>
      <c r="J358" t="b">
        <v>1</v>
      </c>
      <c r="K358" t="b">
        <v>1</v>
      </c>
      <c r="L358" t="b">
        <v>0</v>
      </c>
      <c r="M358" t="b">
        <v>0</v>
      </c>
      <c r="N358">
        <f>IFERROR(INDEX('Company Hitlist'!$AA:$AA,MATCH(D358,'Company Hitlist'!$A:$A,0)),)</f>
        <v/>
      </c>
      <c r="O358">
        <f>IFERROR(INDEX('Company Hitlist'!$N:$N,MATCH(D358,'Company Hitlist'!$A:$A,0)),)</f>
        <v/>
      </c>
      <c r="Q358" t="inlineStr">
        <is>
          <t>todo</t>
        </is>
      </c>
    </row>
    <row r="359">
      <c r="A359" t="inlineStr">
        <is>
          <t>Erick Osburn</t>
        </is>
      </c>
      <c r="B359" t="inlineStr">
        <is>
          <t>Attendee</t>
        </is>
      </c>
      <c r="C359" t="inlineStr">
        <is>
          <t>VP Logistics &amp; Transportation</t>
        </is>
      </c>
      <c r="D359" t="inlineStr">
        <is>
          <t>Tractor Supply</t>
        </is>
      </c>
      <c r="H359" t="n">
        <v>26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>
        <f>IFERROR(INDEX('Company Hitlist'!$AA:$AA,MATCH(D359,'Company Hitlist'!$A:$A,0)),)</f>
        <v/>
      </c>
      <c r="O359">
        <f>IFERROR(INDEX('Company Hitlist'!$N:$N,MATCH(D359,'Company Hitlist'!$A:$A,0)),)</f>
        <v/>
      </c>
      <c r="Q359" t="inlineStr">
        <is>
          <t>todo</t>
        </is>
      </c>
    </row>
    <row r="360">
      <c r="A360" t="inlineStr">
        <is>
          <t>John Garden</t>
        </is>
      </c>
      <c r="B360" t="inlineStr">
        <is>
          <t>Attendee</t>
        </is>
      </c>
      <c r="C360" t="inlineStr">
        <is>
          <t>EVP ‑ Transportation &amp; Trade</t>
        </is>
      </c>
      <c r="D360" t="inlineStr">
        <is>
          <t>Transcard</t>
        </is>
      </c>
      <c r="E360" t="inlineStr">
        <is>
          <t>United States</t>
        </is>
      </c>
      <c r="H360" t="n">
        <v>26</v>
      </c>
      <c r="I360" t="b">
        <v>1</v>
      </c>
      <c r="J360" t="b">
        <v>1</v>
      </c>
      <c r="K360" t="b">
        <v>1</v>
      </c>
      <c r="L360" t="b">
        <v>0</v>
      </c>
      <c r="M360" t="b">
        <v>0</v>
      </c>
      <c r="N360">
        <f>IFERROR(INDEX('Company Hitlist'!$AA:$AA,MATCH(D360,'Company Hitlist'!$A:$A,0)),)</f>
        <v/>
      </c>
      <c r="O360">
        <f>IFERROR(INDEX('Company Hitlist'!$N:$N,MATCH(D360,'Company Hitlist'!$A:$A,0)),)</f>
        <v/>
      </c>
      <c r="Q360" t="inlineStr">
        <is>
          <t>todo</t>
        </is>
      </c>
    </row>
    <row r="361">
      <c r="A361" t="inlineStr">
        <is>
          <t>Christopher Bleess</t>
        </is>
      </c>
      <c r="B361" t="inlineStr">
        <is>
          <t>Attendee</t>
        </is>
      </c>
      <c r="C361" t="inlineStr">
        <is>
          <t>VP, Integrated Supply Chain Division</t>
        </is>
      </c>
      <c r="D361" t="inlineStr">
        <is>
          <t>Triage Partners</t>
        </is>
      </c>
      <c r="E361" t="inlineStr">
        <is>
          <t>United States</t>
        </is>
      </c>
      <c r="H361" t="n">
        <v>26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>
        <f>IFERROR(INDEX('Company Hitlist'!$AA:$AA,MATCH(D361,'Company Hitlist'!$A:$A,0)),)</f>
        <v/>
      </c>
      <c r="O361">
        <f>IFERROR(INDEX('Company Hitlist'!$N:$N,MATCH(D361,'Company Hitlist'!$A:$A,0)),)</f>
        <v/>
      </c>
      <c r="Q361" t="inlineStr">
        <is>
          <t>todo</t>
        </is>
      </c>
    </row>
    <row r="362">
      <c r="A362" t="inlineStr">
        <is>
          <t>Ryan Goodwin</t>
        </is>
      </c>
      <c r="B362" t="inlineStr">
        <is>
          <t>Attendee</t>
        </is>
      </c>
      <c r="C362" t="inlineStr">
        <is>
          <t>Head of Advance Supply Chain</t>
        </is>
      </c>
      <c r="D362" t="inlineStr">
        <is>
          <t>Trinity Rail Industries</t>
        </is>
      </c>
      <c r="H362" t="n">
        <v>26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>
        <f>IFERROR(INDEX('Company Hitlist'!$AA:$AA,MATCH(D362,'Company Hitlist'!$A:$A,0)),)</f>
        <v/>
      </c>
      <c r="O362">
        <f>IFERROR(INDEX('Company Hitlist'!$N:$N,MATCH(D362,'Company Hitlist'!$A:$A,0)),)</f>
        <v/>
      </c>
      <c r="Q362" t="inlineStr">
        <is>
          <t>todo</t>
        </is>
      </c>
    </row>
    <row r="363">
      <c r="A363" t="inlineStr">
        <is>
          <t>Sanjiv Monahan</t>
        </is>
      </c>
      <c r="B363" t="inlineStr">
        <is>
          <t>Attendee</t>
        </is>
      </c>
      <c r="C363" t="inlineStr">
        <is>
          <t>VP of Supply Chain</t>
        </is>
      </c>
      <c r="D363" t="inlineStr">
        <is>
          <t>Tropicana</t>
        </is>
      </c>
      <c r="H363" t="n">
        <v>26</v>
      </c>
      <c r="I363" t="b">
        <v>1</v>
      </c>
      <c r="J363" t="b">
        <v>1</v>
      </c>
      <c r="K363" t="b">
        <v>1</v>
      </c>
      <c r="L363" t="b">
        <v>0</v>
      </c>
      <c r="M363" t="b">
        <v>0</v>
      </c>
      <c r="N363">
        <f>IFERROR(INDEX('Company Hitlist'!$AA:$AA,MATCH(D363,'Company Hitlist'!$A:$A,0)),)</f>
        <v/>
      </c>
      <c r="O363">
        <f>IFERROR(INDEX('Company Hitlist'!$N:$N,MATCH(D363,'Company Hitlist'!$A:$A,0)),)</f>
        <v/>
      </c>
      <c r="Q363" t="inlineStr">
        <is>
          <t>todo</t>
        </is>
      </c>
    </row>
    <row r="364">
      <c r="A364" t="inlineStr">
        <is>
          <t>Scott George</t>
        </is>
      </c>
      <c r="B364" t="inlineStr">
        <is>
          <t>Attendee</t>
        </is>
      </c>
      <c r="C364" t="inlineStr">
        <is>
          <t>VP of Supply Chain</t>
        </is>
      </c>
      <c r="D364" t="inlineStr">
        <is>
          <t>TruConnect</t>
        </is>
      </c>
      <c r="H364" t="n">
        <v>26</v>
      </c>
      <c r="I364" t="b">
        <v>1</v>
      </c>
      <c r="J364" t="b">
        <v>1</v>
      </c>
      <c r="K364" t="b">
        <v>1</v>
      </c>
      <c r="L364" t="b">
        <v>0</v>
      </c>
      <c r="M364" t="b">
        <v>0</v>
      </c>
      <c r="N364">
        <f>IFERROR(INDEX('Company Hitlist'!$AA:$AA,MATCH(D364,'Company Hitlist'!$A:$A,0)),)</f>
        <v/>
      </c>
      <c r="O364">
        <f>IFERROR(INDEX('Company Hitlist'!$N:$N,MATCH(D364,'Company Hitlist'!$A:$A,0)),)</f>
        <v/>
      </c>
      <c r="Q364" t="inlineStr">
        <is>
          <t>todo</t>
        </is>
      </c>
    </row>
    <row r="365">
      <c r="A365" t="inlineStr">
        <is>
          <t>Shannon Evans</t>
        </is>
      </c>
      <c r="B365" t="inlineStr">
        <is>
          <t>Attendee</t>
        </is>
      </c>
      <c r="C365" t="inlineStr">
        <is>
          <t>VP Transportation</t>
        </is>
      </c>
      <c r="D365" t="inlineStr">
        <is>
          <t>UFP Industries</t>
        </is>
      </c>
      <c r="E365" t="inlineStr">
        <is>
          <t>United States</t>
        </is>
      </c>
      <c r="H365" t="n">
        <v>26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>
        <f>IFERROR(INDEX('Company Hitlist'!$AA:$AA,MATCH(D365,'Company Hitlist'!$A:$A,0)),)</f>
        <v/>
      </c>
      <c r="O365">
        <f>IFERROR(INDEX('Company Hitlist'!$N:$N,MATCH(D365,'Company Hitlist'!$A:$A,0)),)</f>
        <v/>
      </c>
      <c r="Q365" t="inlineStr">
        <is>
          <t>todo</t>
        </is>
      </c>
    </row>
    <row r="366">
      <c r="A366" t="inlineStr">
        <is>
          <t>Mark Chandler</t>
        </is>
      </c>
      <c r="B366" t="inlineStr">
        <is>
          <t>Attendee</t>
        </is>
      </c>
      <c r="C366" t="inlineStr">
        <is>
          <t>EVP &amp; Chief Logistics Officer</t>
        </is>
      </c>
      <c r="D366" t="inlineStr">
        <is>
          <t>US 1 Logistics</t>
        </is>
      </c>
      <c r="F366" t="inlineStr">
        <is>
          <t>Yes</t>
        </is>
      </c>
      <c r="H366" t="n">
        <v>26</v>
      </c>
      <c r="I366" t="b">
        <v>1</v>
      </c>
      <c r="J366" t="b">
        <v>1</v>
      </c>
      <c r="K366" t="b">
        <v>1</v>
      </c>
      <c r="L366" t="b">
        <v>0</v>
      </c>
      <c r="M366" t="b">
        <v>0</v>
      </c>
      <c r="N366">
        <f>IFERROR(INDEX('Company Hitlist'!$AA:$AA,MATCH(D366,'Company Hitlist'!$A:$A,0)),)</f>
        <v/>
      </c>
      <c r="O366">
        <f>IFERROR(INDEX('Company Hitlist'!$N:$N,MATCH(D366,'Company Hitlist'!$A:$A,0)),)</f>
        <v/>
      </c>
      <c r="Q366" t="inlineStr">
        <is>
          <t>todo</t>
        </is>
      </c>
    </row>
    <row r="367">
      <c r="A367" t="inlineStr">
        <is>
          <t>Jeremy Druckemiller</t>
        </is>
      </c>
      <c r="B367" t="inlineStr">
        <is>
          <t>Attendee</t>
        </is>
      </c>
      <c r="C367" t="inlineStr">
        <is>
          <t>VP, Transportation and Logistics</t>
        </is>
      </c>
      <c r="D367" t="inlineStr">
        <is>
          <t>US Foods</t>
        </is>
      </c>
      <c r="F367" t="inlineStr">
        <is>
          <t>Yes</t>
        </is>
      </c>
      <c r="H367" t="n">
        <v>26</v>
      </c>
      <c r="I367" t="b">
        <v>1</v>
      </c>
      <c r="J367" t="b">
        <v>1</v>
      </c>
      <c r="K367" t="b">
        <v>1</v>
      </c>
      <c r="L367" t="b">
        <v>0</v>
      </c>
      <c r="M367" t="b">
        <v>0</v>
      </c>
      <c r="N367">
        <f>IFERROR(INDEX('Company Hitlist'!$AA:$AA,MATCH(D367,'Company Hitlist'!$A:$A,0)),)</f>
        <v/>
      </c>
      <c r="O367">
        <f>IFERROR(INDEX('Company Hitlist'!$N:$N,MATCH(D367,'Company Hitlist'!$A:$A,0)),)</f>
        <v/>
      </c>
      <c r="Q367" t="inlineStr">
        <is>
          <t>todo</t>
        </is>
      </c>
    </row>
    <row r="368">
      <c r="A368" t="inlineStr">
        <is>
          <t>Tim Grey</t>
        </is>
      </c>
      <c r="B368" t="inlineStr">
        <is>
          <t>Attendee</t>
        </is>
      </c>
      <c r="C368" t="inlineStr">
        <is>
          <t>Vice President - Operations</t>
        </is>
      </c>
      <c r="D368" t="inlineStr">
        <is>
          <t>US Foods</t>
        </is>
      </c>
      <c r="F368" t="inlineStr">
        <is>
          <t>Yes</t>
        </is>
      </c>
      <c r="H368" t="n">
        <v>26</v>
      </c>
      <c r="I368" t="b">
        <v>1</v>
      </c>
      <c r="J368" t="b">
        <v>1</v>
      </c>
      <c r="K368" t="b">
        <v>1</v>
      </c>
      <c r="L368" t="b">
        <v>0</v>
      </c>
      <c r="M368" t="b">
        <v>0</v>
      </c>
      <c r="N368">
        <f>IFERROR(INDEX('Company Hitlist'!$AA:$AA,MATCH(D368,'Company Hitlist'!$A:$A,0)),)</f>
        <v/>
      </c>
      <c r="O368">
        <f>IFERROR(INDEX('Company Hitlist'!$N:$N,MATCH(D368,'Company Hitlist'!$A:$A,0)),)</f>
        <v/>
      </c>
      <c r="Q368" t="inlineStr">
        <is>
          <t>todo</t>
        </is>
      </c>
    </row>
    <row r="369">
      <c r="A369" t="inlineStr">
        <is>
          <t>Gabriella Costilla</t>
        </is>
      </c>
      <c r="B369" t="inlineStr">
        <is>
          <t>Attendee</t>
        </is>
      </c>
      <c r="C369" t="inlineStr">
        <is>
          <t>VP Global Supply Chain Strategy</t>
        </is>
      </c>
      <c r="D369" t="inlineStr">
        <is>
          <t>Unilever Prestige</t>
        </is>
      </c>
      <c r="H369" t="n">
        <v>26</v>
      </c>
      <c r="I369" t="b">
        <v>1</v>
      </c>
      <c r="J369" t="b">
        <v>1</v>
      </c>
      <c r="K369" t="b">
        <v>1</v>
      </c>
      <c r="L369" t="b">
        <v>0</v>
      </c>
      <c r="M369" t="b">
        <v>0</v>
      </c>
      <c r="N369">
        <f>IFERROR(INDEX('Company Hitlist'!$AA:$AA,MATCH(D369,'Company Hitlist'!$A:$A,0)),)</f>
        <v/>
      </c>
      <c r="O369">
        <f>IFERROR(INDEX('Company Hitlist'!$N:$N,MATCH(D369,'Company Hitlist'!$A:$A,0)),)</f>
        <v/>
      </c>
      <c r="Q369" t="inlineStr">
        <is>
          <t>todo</t>
        </is>
      </c>
    </row>
    <row r="370">
      <c r="A370" t="inlineStr">
        <is>
          <t>Kathryn Fair</t>
        </is>
      </c>
      <c r="B370" t="inlineStr">
        <is>
          <t>Attendee</t>
        </is>
      </c>
      <c r="C370" t="inlineStr">
        <is>
          <t>Global Head of Supply Chain - Unilever Prestige</t>
        </is>
      </c>
      <c r="D370" t="inlineStr">
        <is>
          <t>Unilever Prestige</t>
        </is>
      </c>
      <c r="H370" t="n">
        <v>26</v>
      </c>
      <c r="I370" t="b">
        <v>1</v>
      </c>
      <c r="J370" t="b">
        <v>1</v>
      </c>
      <c r="K370" t="b">
        <v>1</v>
      </c>
      <c r="L370" t="b">
        <v>0</v>
      </c>
      <c r="M370" t="b">
        <v>0</v>
      </c>
      <c r="N370">
        <f>IFERROR(INDEX('Company Hitlist'!$AA:$AA,MATCH(D370,'Company Hitlist'!$A:$A,0)),)</f>
        <v/>
      </c>
      <c r="O370">
        <f>IFERROR(INDEX('Company Hitlist'!$N:$N,MATCH(D370,'Company Hitlist'!$A:$A,0)),)</f>
        <v/>
      </c>
      <c r="Q370" t="inlineStr">
        <is>
          <t>todo</t>
        </is>
      </c>
    </row>
    <row r="371">
      <c r="A371" t="inlineStr">
        <is>
          <t>Larry Yocum</t>
        </is>
      </c>
      <c r="B371" t="inlineStr">
        <is>
          <t>Attendee</t>
        </is>
      </c>
      <c r="C371" t="inlineStr">
        <is>
          <t>VP of Ops</t>
        </is>
      </c>
      <c r="D371" t="inlineStr">
        <is>
          <t>United Facilities</t>
        </is>
      </c>
      <c r="E371" t="inlineStr">
        <is>
          <t>United States</t>
        </is>
      </c>
      <c r="H371" t="n">
        <v>26</v>
      </c>
      <c r="I371" t="b">
        <v>1</v>
      </c>
      <c r="J371" t="b">
        <v>1</v>
      </c>
      <c r="K371" t="b">
        <v>1</v>
      </c>
      <c r="L371" t="b">
        <v>0</v>
      </c>
      <c r="M371" t="b">
        <v>0</v>
      </c>
      <c r="N371">
        <f>IFERROR(INDEX('Company Hitlist'!$AA:$AA,MATCH(D371,'Company Hitlist'!$A:$A,0)),)</f>
        <v/>
      </c>
      <c r="O371">
        <f>IFERROR(INDEX('Company Hitlist'!$N:$N,MATCH(D371,'Company Hitlist'!$A:$A,0)),)</f>
        <v/>
      </c>
      <c r="Q371" t="inlineStr">
        <is>
          <t>todo</t>
        </is>
      </c>
    </row>
    <row r="372">
      <c r="A372" t="inlineStr">
        <is>
          <t>Rob McRae</t>
        </is>
      </c>
      <c r="B372" t="inlineStr">
        <is>
          <t>Attendee</t>
        </is>
      </c>
      <c r="C372" t="inlineStr">
        <is>
          <t>VP of Logistics</t>
        </is>
      </c>
      <c r="D372" t="inlineStr">
        <is>
          <t>Univar Solutions</t>
        </is>
      </c>
      <c r="F372" t="inlineStr">
        <is>
          <t>Yes</t>
        </is>
      </c>
      <c r="H372" t="n">
        <v>26</v>
      </c>
      <c r="I372" t="b">
        <v>1</v>
      </c>
      <c r="J372" t="b">
        <v>1</v>
      </c>
      <c r="K372" t="b">
        <v>1</v>
      </c>
      <c r="L372" t="b">
        <v>0</v>
      </c>
      <c r="M372" t="b">
        <v>0</v>
      </c>
      <c r="N372">
        <f>IFERROR(INDEX('Company Hitlist'!$AA:$AA,MATCH(D372,'Company Hitlist'!$A:$A,0)),)</f>
        <v/>
      </c>
      <c r="O372">
        <f>IFERROR(INDEX('Company Hitlist'!$N:$N,MATCH(D372,'Company Hitlist'!$A:$A,0)),)</f>
        <v/>
      </c>
      <c r="Q372" t="inlineStr">
        <is>
          <t>todo</t>
        </is>
      </c>
    </row>
    <row r="373">
      <c r="A373" t="inlineStr">
        <is>
          <t>Will Vining</t>
        </is>
      </c>
      <c r="B373" t="inlineStr">
        <is>
          <t>Attendee</t>
        </is>
      </c>
      <c r="C373" t="inlineStr">
        <is>
          <t>Vice President, Strategic Operations</t>
        </is>
      </c>
      <c r="D373" t="inlineStr">
        <is>
          <t>Veritiv</t>
        </is>
      </c>
      <c r="E373" t="inlineStr">
        <is>
          <t>United States</t>
        </is>
      </c>
      <c r="F373" t="inlineStr">
        <is>
          <t>Yes</t>
        </is>
      </c>
      <c r="H373" t="n">
        <v>26</v>
      </c>
      <c r="I373" t="b">
        <v>1</v>
      </c>
      <c r="J373" t="b">
        <v>1</v>
      </c>
      <c r="K373" t="b">
        <v>1</v>
      </c>
      <c r="L373" t="b">
        <v>0</v>
      </c>
      <c r="M373" t="b">
        <v>0</v>
      </c>
      <c r="N373">
        <f>IFERROR(INDEX('Company Hitlist'!$AA:$AA,MATCH(D373,'Company Hitlist'!$A:$A,0)),)</f>
        <v/>
      </c>
      <c r="O373">
        <f>IFERROR(INDEX('Company Hitlist'!$N:$N,MATCH(D373,'Company Hitlist'!$A:$A,0)),)</f>
        <v/>
      </c>
      <c r="Q373" t="inlineStr">
        <is>
          <t>todo</t>
        </is>
      </c>
    </row>
    <row r="374">
      <c r="A374" t="inlineStr">
        <is>
          <t>Travis French</t>
        </is>
      </c>
      <c r="B374" t="inlineStr">
        <is>
          <t>Attendee</t>
        </is>
      </c>
      <c r="C374" t="inlineStr">
        <is>
          <t>Senior Vice President, Logistics</t>
        </is>
      </c>
      <c r="D374" t="inlineStr">
        <is>
          <t>Verst Logistics</t>
        </is>
      </c>
      <c r="E374" t="inlineStr">
        <is>
          <t>United States</t>
        </is>
      </c>
      <c r="F374" t="inlineStr">
        <is>
          <t>Yes</t>
        </is>
      </c>
      <c r="H374" t="n">
        <v>26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>
        <f>IFERROR(INDEX('Company Hitlist'!$AA:$AA,MATCH(D374,'Company Hitlist'!$A:$A,0)),)</f>
        <v/>
      </c>
      <c r="O374">
        <f>IFERROR(INDEX('Company Hitlist'!$N:$N,MATCH(D374,'Company Hitlist'!$A:$A,0)),)</f>
        <v/>
      </c>
      <c r="Q374" t="inlineStr">
        <is>
          <t>todo</t>
        </is>
      </c>
    </row>
    <row r="375">
      <c r="A375" t="inlineStr">
        <is>
          <t>Tim Moore</t>
        </is>
      </c>
      <c r="B375" t="inlineStr">
        <is>
          <t>Attendee</t>
        </is>
      </c>
      <c r="C375" t="inlineStr">
        <is>
          <t>Head of Small Molecule Logistics</t>
        </is>
      </c>
      <c r="D375" t="inlineStr">
        <is>
          <t>Vertex</t>
        </is>
      </c>
      <c r="E375" t="inlineStr">
        <is>
          <t>United States</t>
        </is>
      </c>
      <c r="H375" t="n">
        <v>26</v>
      </c>
      <c r="I375" t="b">
        <v>1</v>
      </c>
      <c r="J375" t="b">
        <v>1</v>
      </c>
      <c r="K375" t="b">
        <v>1</v>
      </c>
      <c r="L375" t="b">
        <v>0</v>
      </c>
      <c r="M375" t="b">
        <v>0</v>
      </c>
      <c r="N375">
        <f>IFERROR(INDEX('Company Hitlist'!$AA:$AA,MATCH(D375,'Company Hitlist'!$A:$A,0)),)</f>
        <v/>
      </c>
      <c r="O375">
        <f>IFERROR(INDEX('Company Hitlist'!$N:$N,MATCH(D375,'Company Hitlist'!$A:$A,0)),)</f>
        <v/>
      </c>
      <c r="Q375" t="inlineStr">
        <is>
          <t>todo</t>
        </is>
      </c>
    </row>
    <row r="376">
      <c r="A376" t="inlineStr">
        <is>
          <t>Joao Paulo Ribeiro</t>
        </is>
      </c>
      <c r="B376" t="inlineStr">
        <is>
          <t>Attendee</t>
        </is>
      </c>
      <c r="C376" t="inlineStr">
        <is>
          <t>Senior Vice President Operations and Supply Chain</t>
        </is>
      </c>
      <c r="D376" t="inlineStr">
        <is>
          <t>Visteon Corporation</t>
        </is>
      </c>
      <c r="H376" t="n">
        <v>26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>
        <f>IFERROR(INDEX('Company Hitlist'!$AA:$AA,MATCH(D376,'Company Hitlist'!$A:$A,0)),)</f>
        <v/>
      </c>
      <c r="O376">
        <f>IFERROR(INDEX('Company Hitlist'!$N:$N,MATCH(D376,'Company Hitlist'!$A:$A,0)),)</f>
        <v/>
      </c>
      <c r="Q376" t="inlineStr">
        <is>
          <t>todo</t>
        </is>
      </c>
    </row>
    <row r="377">
      <c r="A377" t="inlineStr">
        <is>
          <t>Matthew Mallard</t>
        </is>
      </c>
      <c r="B377" t="inlineStr">
        <is>
          <t>Attendee</t>
        </is>
      </c>
      <c r="C377" t="inlineStr">
        <is>
          <t>Head of Global Transport Parts Management</t>
        </is>
      </c>
      <c r="D377" t="inlineStr">
        <is>
          <t>Volvo Group Service Market Logistics</t>
        </is>
      </c>
      <c r="F377" t="inlineStr">
        <is>
          <t>Yes</t>
        </is>
      </c>
      <c r="H377" t="n">
        <v>26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>
        <f>IFERROR(INDEX('Company Hitlist'!$AA:$AA,MATCH(D377,'Company Hitlist'!$A:$A,0)),)</f>
        <v/>
      </c>
      <c r="O377">
        <f>IFERROR(INDEX('Company Hitlist'!$N:$N,MATCH(D377,'Company Hitlist'!$A:$A,0)),)</f>
        <v/>
      </c>
      <c r="Q377" t="inlineStr">
        <is>
          <t>todo</t>
        </is>
      </c>
    </row>
    <row r="378">
      <c r="A378" t="inlineStr">
        <is>
          <t>Wendy Huller</t>
        </is>
      </c>
      <c r="B378" t="inlineStr">
        <is>
          <t>Attendee</t>
        </is>
      </c>
      <c r="C378" t="inlineStr">
        <is>
          <t>VP, Customer Service and Logistics</t>
        </is>
      </c>
      <c r="D378" t="inlineStr">
        <is>
          <t>WK Kellogg</t>
        </is>
      </c>
      <c r="H378" t="n">
        <v>26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>
        <f>IFERROR(INDEX('Company Hitlist'!$AA:$AA,MATCH(D378,'Company Hitlist'!$A:$A,0)),)</f>
        <v/>
      </c>
      <c r="O378">
        <f>IFERROR(INDEX('Company Hitlist'!$N:$N,MATCH(D378,'Company Hitlist'!$A:$A,0)),)</f>
        <v/>
      </c>
      <c r="Q378" t="inlineStr">
        <is>
          <t>todo</t>
        </is>
      </c>
    </row>
    <row r="379">
      <c r="A379" t="inlineStr">
        <is>
          <t>George Schoedinger</t>
        </is>
      </c>
      <c r="B379" t="inlineStr">
        <is>
          <t>Attendee</t>
        </is>
      </c>
      <c r="C379" t="inlineStr">
        <is>
          <t>VP, Logistics Operations</t>
        </is>
      </c>
      <c r="D379" t="inlineStr">
        <is>
          <t>WWT</t>
        </is>
      </c>
      <c r="F379" t="inlineStr">
        <is>
          <t>Yes</t>
        </is>
      </c>
      <c r="H379" t="n">
        <v>26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>
        <f>IFERROR(INDEX('Company Hitlist'!$AA:$AA,MATCH(D379,'Company Hitlist'!$A:$A,0)),)</f>
        <v/>
      </c>
      <c r="O379">
        <f>IFERROR(INDEX('Company Hitlist'!$N:$N,MATCH(D379,'Company Hitlist'!$A:$A,0)),)</f>
        <v/>
      </c>
      <c r="Q379" t="inlineStr">
        <is>
          <t>todo</t>
        </is>
      </c>
    </row>
    <row r="380">
      <c r="A380" t="inlineStr">
        <is>
          <t>Mike Dawson</t>
        </is>
      </c>
      <c r="B380" t="inlineStr">
        <is>
          <t>Attendee</t>
        </is>
      </c>
      <c r="C380" t="inlineStr">
        <is>
          <t>Vice President of Global Operations &amp; IT</t>
        </is>
      </c>
      <c r="D380" t="inlineStr">
        <is>
          <t>Welly Health</t>
        </is>
      </c>
      <c r="F380" t="inlineStr">
        <is>
          <t>Yes</t>
        </is>
      </c>
      <c r="H380" t="n">
        <v>26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>
        <f>IFERROR(INDEX('Company Hitlist'!$AA:$AA,MATCH(D380,'Company Hitlist'!$A:$A,0)),)</f>
        <v/>
      </c>
      <c r="O380">
        <f>IFERROR(INDEX('Company Hitlist'!$N:$N,MATCH(D380,'Company Hitlist'!$A:$A,0)),)</f>
        <v/>
      </c>
      <c r="Q380" t="inlineStr">
        <is>
          <t>todo</t>
        </is>
      </c>
    </row>
    <row r="381">
      <c r="A381" t="inlineStr">
        <is>
          <t>Dave Rice</t>
        </is>
      </c>
      <c r="B381" t="inlineStr">
        <is>
          <t>Attendee</t>
        </is>
      </c>
      <c r="C381" t="inlineStr">
        <is>
          <t>Vice President, Compliance &amp; Transportation</t>
        </is>
      </c>
      <c r="D381" t="inlineStr">
        <is>
          <t>XB Logistics</t>
        </is>
      </c>
      <c r="F381" t="inlineStr">
        <is>
          <t>Yes</t>
        </is>
      </c>
      <c r="H381" t="n">
        <v>26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>
        <f>IFERROR(INDEX('Company Hitlist'!$AA:$AA,MATCH(D381,'Company Hitlist'!$A:$A,0)),)</f>
        <v/>
      </c>
      <c r="O381">
        <f>IFERROR(INDEX('Company Hitlist'!$N:$N,MATCH(D381,'Company Hitlist'!$A:$A,0)),)</f>
        <v/>
      </c>
      <c r="Q381" t="inlineStr">
        <is>
          <t>todo</t>
        </is>
      </c>
    </row>
    <row r="382">
      <c r="A382" t="inlineStr">
        <is>
          <t>Jon Agnich</t>
        </is>
      </c>
      <c r="B382" t="inlineStr">
        <is>
          <t>Attendee</t>
        </is>
      </c>
      <c r="C382" t="inlineStr">
        <is>
          <t>VP Systems and Logistics</t>
        </is>
      </c>
      <c r="D382" t="inlineStr">
        <is>
          <t>Zazzle</t>
        </is>
      </c>
      <c r="E382" t="inlineStr">
        <is>
          <t>United States</t>
        </is>
      </c>
      <c r="F382" t="inlineStr">
        <is>
          <t>Yes</t>
        </is>
      </c>
      <c r="H382" t="n">
        <v>26</v>
      </c>
      <c r="I382" t="b">
        <v>1</v>
      </c>
      <c r="J382" t="b">
        <v>1</v>
      </c>
      <c r="K382" t="b">
        <v>1</v>
      </c>
      <c r="L382" t="b">
        <v>0</v>
      </c>
      <c r="M382" t="b">
        <v>0</v>
      </c>
      <c r="N382">
        <f>IFERROR(INDEX('Company Hitlist'!$AA:$AA,MATCH(D382,'Company Hitlist'!$A:$A,0)),)</f>
        <v/>
      </c>
      <c r="O382">
        <f>IFERROR(INDEX('Company Hitlist'!$N:$N,MATCH(D382,'Company Hitlist'!$A:$A,0)),)</f>
        <v/>
      </c>
      <c r="Q382" t="inlineStr">
        <is>
          <t>todo</t>
        </is>
      </c>
    </row>
    <row r="383">
      <c r="A383" t="inlineStr">
        <is>
          <t>Charles Ohiaeri</t>
        </is>
      </c>
      <c r="B383" t="inlineStr">
        <is>
          <t>Attendee</t>
        </is>
      </c>
      <c r="C383" t="inlineStr">
        <is>
          <t>Chief Fulfillment Officer</t>
        </is>
      </c>
      <c r="D383" t="inlineStr">
        <is>
          <t>Zazzle</t>
        </is>
      </c>
      <c r="F383" t="inlineStr">
        <is>
          <t>Yes</t>
        </is>
      </c>
      <c r="H383" t="n">
        <v>26</v>
      </c>
      <c r="I383" t="b">
        <v>1</v>
      </c>
      <c r="J383" t="b">
        <v>1</v>
      </c>
      <c r="K383" t="b">
        <v>1</v>
      </c>
      <c r="L383" t="b">
        <v>0</v>
      </c>
      <c r="M383" t="b">
        <v>0</v>
      </c>
      <c r="N383">
        <f>IFERROR(INDEX('Company Hitlist'!$AA:$AA,MATCH(D383,'Company Hitlist'!$A:$A,0)),)</f>
        <v/>
      </c>
      <c r="O383">
        <f>IFERROR(INDEX('Company Hitlist'!$N:$N,MATCH(D383,'Company Hitlist'!$A:$A,0)),)</f>
        <v/>
      </c>
      <c r="Q383" t="inlineStr">
        <is>
          <t>todo</t>
        </is>
      </c>
    </row>
    <row r="384">
      <c r="A384" t="inlineStr">
        <is>
          <t>Jeff Trevena</t>
        </is>
      </c>
      <c r="B384" t="inlineStr">
        <is>
          <t>Attendee</t>
        </is>
      </c>
      <c r="C384" t="inlineStr">
        <is>
          <t>Head of Logistics</t>
        </is>
      </c>
      <c r="D384" t="inlineStr">
        <is>
          <t>Zero Motorcycles</t>
        </is>
      </c>
      <c r="E384" t="inlineStr">
        <is>
          <t>United States</t>
        </is>
      </c>
      <c r="H384" t="n">
        <v>26</v>
      </c>
      <c r="I384" t="b">
        <v>1</v>
      </c>
      <c r="J384" t="b">
        <v>1</v>
      </c>
      <c r="K384" t="b">
        <v>1</v>
      </c>
      <c r="L384" t="b">
        <v>0</v>
      </c>
      <c r="M384" t="b">
        <v>0</v>
      </c>
      <c r="N384">
        <f>IFERROR(INDEX('Company Hitlist'!$AA:$AA,MATCH(D384,'Company Hitlist'!$A:$A,0)),)</f>
        <v/>
      </c>
      <c r="O384">
        <f>IFERROR(INDEX('Company Hitlist'!$N:$N,MATCH(D384,'Company Hitlist'!$A:$A,0)),)</f>
        <v/>
      </c>
      <c r="Q384" t="inlineStr">
        <is>
          <t>todo</t>
        </is>
      </c>
    </row>
    <row r="385">
      <c r="A385" t="inlineStr">
        <is>
          <t>Philipp Obermark</t>
        </is>
      </c>
      <c r="B385" t="inlineStr">
        <is>
          <t>Attendee</t>
        </is>
      </c>
      <c r="C385" t="inlineStr">
        <is>
          <t>Head of Logistics</t>
        </is>
      </c>
      <c r="D385" t="inlineStr">
        <is>
          <t>adp MERKUR GmbH</t>
        </is>
      </c>
      <c r="E385" t="inlineStr">
        <is>
          <t>Germany</t>
        </is>
      </c>
      <c r="F385" t="inlineStr">
        <is>
          <t>Yes</t>
        </is>
      </c>
      <c r="H385" t="n">
        <v>26</v>
      </c>
      <c r="I385" t="b">
        <v>1</v>
      </c>
      <c r="J385" t="b">
        <v>1</v>
      </c>
      <c r="K385" t="b">
        <v>1</v>
      </c>
      <c r="L385" t="b">
        <v>0</v>
      </c>
      <c r="M385" t="b">
        <v>0</v>
      </c>
      <c r="N385">
        <f>IFERROR(INDEX('Company Hitlist'!$AA:$AA,MATCH(D385,'Company Hitlist'!$A:$A,0)),)</f>
        <v/>
      </c>
      <c r="O385">
        <f>IFERROR(INDEX('Company Hitlist'!$N:$N,MATCH(D385,'Company Hitlist'!$A:$A,0)),)</f>
        <v/>
      </c>
      <c r="Q385" t="inlineStr">
        <is>
          <t>todo</t>
        </is>
      </c>
    </row>
    <row r="386">
      <c r="A386" t="inlineStr">
        <is>
          <t>Julian Thomas</t>
        </is>
      </c>
      <c r="B386" t="inlineStr">
        <is>
          <t>Attendee</t>
        </is>
      </c>
      <c r="C386" t="inlineStr">
        <is>
          <t>VP Carrier Operations</t>
        </is>
      </c>
      <c r="D386" t="inlineStr">
        <is>
          <t>eHub</t>
        </is>
      </c>
      <c r="E386" t="inlineStr">
        <is>
          <t>United States</t>
        </is>
      </c>
      <c r="F386" t="inlineStr">
        <is>
          <t>Yes</t>
        </is>
      </c>
      <c r="H386" t="n">
        <v>26</v>
      </c>
      <c r="I386" t="b">
        <v>1</v>
      </c>
      <c r="J386" t="b">
        <v>1</v>
      </c>
      <c r="K386" t="b">
        <v>1</v>
      </c>
      <c r="L386" t="b">
        <v>0</v>
      </c>
      <c r="M386" t="b">
        <v>0</v>
      </c>
      <c r="N386">
        <f>IFERROR(INDEX('Company Hitlist'!$AA:$AA,MATCH(D386,'Company Hitlist'!$A:$A,0)),)</f>
        <v/>
      </c>
      <c r="O386">
        <f>IFERROR(INDEX('Company Hitlist'!$N:$N,MATCH(D386,'Company Hitlist'!$A:$A,0)),)</f>
        <v/>
      </c>
      <c r="Q386" t="inlineStr">
        <is>
          <t>todo</t>
        </is>
      </c>
    </row>
    <row r="387">
      <c r="A387" t="inlineStr">
        <is>
          <t>Robert Critchley</t>
        </is>
      </c>
      <c r="B387" t="inlineStr">
        <is>
          <t>Attendee</t>
        </is>
      </c>
      <c r="C387" t="inlineStr">
        <is>
          <t>VP, Transportation &amp; Warehousing</t>
        </is>
      </c>
      <c r="D387" t="inlineStr">
        <is>
          <t>iFIT</t>
        </is>
      </c>
      <c r="F387" t="inlineStr">
        <is>
          <t>Yes</t>
        </is>
      </c>
      <c r="H387" t="n">
        <v>26</v>
      </c>
      <c r="I387" t="b">
        <v>1</v>
      </c>
      <c r="J387" t="b">
        <v>1</v>
      </c>
      <c r="K387" t="b">
        <v>1</v>
      </c>
      <c r="L387" t="b">
        <v>0</v>
      </c>
      <c r="M387" t="b">
        <v>0</v>
      </c>
      <c r="N387">
        <f>IFERROR(INDEX('Company Hitlist'!$AA:$AA,MATCH(D387,'Company Hitlist'!$A:$A,0)),)</f>
        <v/>
      </c>
      <c r="O387">
        <f>IFERROR(INDEX('Company Hitlist'!$N:$N,MATCH(D387,'Company Hitlist'!$A:$A,0)),)</f>
        <v/>
      </c>
      <c r="Q387" t="inlineStr">
        <is>
          <t>todo</t>
        </is>
      </c>
    </row>
    <row r="388">
      <c r="A388" t="inlineStr">
        <is>
          <t>Vic Zdor</t>
        </is>
      </c>
      <c r="B388" t="inlineStr">
        <is>
          <t>Attendee</t>
        </is>
      </c>
      <c r="C388" t="inlineStr">
        <is>
          <t>VP of Operations</t>
        </is>
      </c>
      <c r="D388" t="inlineStr">
        <is>
          <t>myMechanic, Inc.</t>
        </is>
      </c>
      <c r="E388" t="inlineStr">
        <is>
          <t>United States</t>
        </is>
      </c>
      <c r="H388" t="n">
        <v>26</v>
      </c>
      <c r="I388" t="b">
        <v>1</v>
      </c>
      <c r="J388" t="b">
        <v>1</v>
      </c>
      <c r="K388" t="b">
        <v>1</v>
      </c>
      <c r="L388" t="b">
        <v>0</v>
      </c>
      <c r="M388" t="b">
        <v>0</v>
      </c>
      <c r="N388">
        <f>IFERROR(INDEX('Company Hitlist'!$AA:$AA,MATCH(D388,'Company Hitlist'!$A:$A,0)),)</f>
        <v/>
      </c>
      <c r="O388">
        <f>IFERROR(INDEX('Company Hitlist'!$N:$N,MATCH(D388,'Company Hitlist'!$A:$A,0)),)</f>
        <v/>
      </c>
      <c r="Q388" t="inlineStr">
        <is>
          <t>todo</t>
        </is>
      </c>
    </row>
    <row r="389">
      <c r="A389" t="inlineStr">
        <is>
          <t>Manik Sharma</t>
        </is>
      </c>
      <c r="B389" t="inlineStr">
        <is>
          <t>Speaker</t>
        </is>
      </c>
      <c r="C389" t="inlineStr">
        <is>
          <t>Head of Supply Chain GTM AI</t>
        </is>
      </c>
      <c r="D389" t="inlineStr">
        <is>
          <t>Celonis</t>
        </is>
      </c>
      <c r="H389" t="n">
        <v>21</v>
      </c>
      <c r="I389" t="b">
        <v>1</v>
      </c>
      <c r="J389" t="b">
        <v>1</v>
      </c>
      <c r="K389" t="b">
        <v>1</v>
      </c>
      <c r="L389" t="b">
        <v>0</v>
      </c>
      <c r="M389" t="b">
        <v>1</v>
      </c>
      <c r="N389">
        <f>IFERROR(INDEX('Company Hitlist'!$AA:$AA,MATCH(D389,'Company Hitlist'!$A:$A,0)),)</f>
        <v/>
      </c>
      <c r="O389">
        <f>IFERROR(INDEX('Company Hitlist'!$N:$N,MATCH(D389,'Company Hitlist'!$A:$A,0)),)</f>
        <v/>
      </c>
      <c r="Q389" t="inlineStr">
        <is>
          <t>todo</t>
        </is>
      </c>
    </row>
    <row r="390">
      <c r="A390" t="inlineStr">
        <is>
          <t>Joe Laro</t>
        </is>
      </c>
      <c r="B390" t="inlineStr">
        <is>
          <t>Sponsor</t>
        </is>
      </c>
      <c r="C390" t="inlineStr">
        <is>
          <t>Head of Sales Operations, Americas</t>
        </is>
      </c>
      <c r="D390" t="inlineStr">
        <is>
          <t>APL Logistics</t>
        </is>
      </c>
      <c r="E390" t="inlineStr">
        <is>
          <t>United States</t>
        </is>
      </c>
      <c r="H390" t="n">
        <v>20</v>
      </c>
      <c r="I390" t="b">
        <v>1</v>
      </c>
      <c r="J390" t="b">
        <v>1</v>
      </c>
      <c r="K390" t="b">
        <v>1</v>
      </c>
      <c r="L390" t="b">
        <v>0</v>
      </c>
      <c r="M390" t="b">
        <v>1</v>
      </c>
      <c r="N390">
        <f>IFERROR(INDEX('Company Hitlist'!$AA:$AA,MATCH(D390,'Company Hitlist'!$A:$A,0)),)</f>
        <v/>
      </c>
      <c r="O390">
        <f>IFERROR(INDEX('Company Hitlist'!$N:$N,MATCH(D390,'Company Hitlist'!$A:$A,0)),)</f>
        <v/>
      </c>
      <c r="Q390" t="inlineStr">
        <is>
          <t>todo</t>
        </is>
      </c>
    </row>
    <row r="391">
      <c r="A391" t="inlineStr">
        <is>
          <t>Rav Randhawa</t>
        </is>
      </c>
      <c r="B391" t="inlineStr">
        <is>
          <t>Sponsor</t>
        </is>
      </c>
      <c r="C391" t="inlineStr">
        <is>
          <t>VP Fulfillment Sales</t>
        </is>
      </c>
      <c r="D391" t="inlineStr">
        <is>
          <t>Cart.com</t>
        </is>
      </c>
      <c r="E391" t="inlineStr">
        <is>
          <t>United States</t>
        </is>
      </c>
      <c r="H391" t="n">
        <v>20</v>
      </c>
      <c r="I391" t="b">
        <v>1</v>
      </c>
      <c r="J391" t="b">
        <v>1</v>
      </c>
      <c r="K391" t="b">
        <v>1</v>
      </c>
      <c r="L391" t="b">
        <v>0</v>
      </c>
      <c r="M391" t="b">
        <v>1</v>
      </c>
      <c r="N391">
        <f>IFERROR(INDEX('Company Hitlist'!$AA:$AA,MATCH(D391,'Company Hitlist'!$A:$A,0)),)</f>
        <v/>
      </c>
      <c r="O391">
        <f>IFERROR(INDEX('Company Hitlist'!$N:$N,MATCH(D391,'Company Hitlist'!$A:$A,0)),)</f>
        <v/>
      </c>
      <c r="Q391" t="inlineStr">
        <is>
          <t>todo</t>
        </is>
      </c>
    </row>
    <row r="392">
      <c r="A392" t="inlineStr">
        <is>
          <t>Toni Burhke</t>
        </is>
      </c>
      <c r="B392" t="inlineStr">
        <is>
          <t>Sponsor</t>
        </is>
      </c>
      <c r="C392" t="inlineStr">
        <is>
          <t>Vice President Sales Engineering &amp; Operations</t>
        </is>
      </c>
      <c r="D392" t="inlineStr">
        <is>
          <t>Dot Ai</t>
        </is>
      </c>
      <c r="H392" t="n">
        <v>20</v>
      </c>
      <c r="I392" t="b">
        <v>1</v>
      </c>
      <c r="J392" t="b">
        <v>1</v>
      </c>
      <c r="K392" t="b">
        <v>1</v>
      </c>
      <c r="L392" t="b">
        <v>0</v>
      </c>
      <c r="M392" t="b">
        <v>1</v>
      </c>
      <c r="N392">
        <f>IFERROR(INDEX('Company Hitlist'!$AA:$AA,MATCH(D392,'Company Hitlist'!$A:$A,0)),)</f>
        <v/>
      </c>
      <c r="O392">
        <f>IFERROR(INDEX('Company Hitlist'!$N:$N,MATCH(D392,'Company Hitlist'!$A:$A,0)),)</f>
        <v/>
      </c>
      <c r="Q392" t="inlineStr">
        <is>
          <t>todo</t>
        </is>
      </c>
    </row>
    <row r="393">
      <c r="A393" t="inlineStr">
        <is>
          <t>Barbara LeCounte</t>
        </is>
      </c>
      <c r="B393" t="inlineStr">
        <is>
          <t>Attendee</t>
        </is>
      </c>
      <c r="C393" t="inlineStr">
        <is>
          <t>Director Fuel Procurement &amp; Logistics</t>
        </is>
      </c>
      <c r="D393" t="inlineStr">
        <is>
          <t>Allegiant</t>
        </is>
      </c>
      <c r="E393" t="inlineStr">
        <is>
          <t>United States</t>
        </is>
      </c>
      <c r="F393" t="inlineStr">
        <is>
          <t>Yes</t>
        </is>
      </c>
      <c r="H393" t="n">
        <v>18</v>
      </c>
      <c r="I393" t="b">
        <v>1</v>
      </c>
      <c r="J393" t="b">
        <v>0</v>
      </c>
      <c r="K393" t="b">
        <v>0</v>
      </c>
      <c r="L393" t="b">
        <v>1</v>
      </c>
      <c r="M393" t="b">
        <v>0</v>
      </c>
      <c r="N393">
        <f>IFERROR(INDEX('Company Hitlist'!$AA:$AA,MATCH(D393,'Company Hitlist'!$A:$A,0)),)</f>
        <v/>
      </c>
      <c r="O393">
        <f>IFERROR(INDEX('Company Hitlist'!$N:$N,MATCH(D393,'Company Hitlist'!$A:$A,0)),)</f>
        <v/>
      </c>
      <c r="Q393" t="inlineStr">
        <is>
          <t>todo</t>
        </is>
      </c>
    </row>
    <row r="394">
      <c r="A394" t="inlineStr">
        <is>
          <t>Amanda Bishop</t>
        </is>
      </c>
      <c r="B394" t="inlineStr">
        <is>
          <t>Attendee</t>
        </is>
      </c>
      <c r="C394" t="inlineStr">
        <is>
          <t>Manager, Fuel Logistics &amp; Procurement</t>
        </is>
      </c>
      <c r="D394" t="inlineStr">
        <is>
          <t>Allegiant</t>
        </is>
      </c>
      <c r="H394" t="n">
        <v>18</v>
      </c>
      <c r="I394" t="b">
        <v>1</v>
      </c>
      <c r="J394" t="b">
        <v>0</v>
      </c>
      <c r="K394" t="b">
        <v>0</v>
      </c>
      <c r="L394" t="b">
        <v>1</v>
      </c>
      <c r="M394" t="b">
        <v>0</v>
      </c>
      <c r="N394">
        <f>IFERROR(INDEX('Company Hitlist'!$AA:$AA,MATCH(D394,'Company Hitlist'!$A:$A,0)),)</f>
        <v/>
      </c>
      <c r="O394">
        <f>IFERROR(INDEX('Company Hitlist'!$N:$N,MATCH(D394,'Company Hitlist'!$A:$A,0)),)</f>
        <v/>
      </c>
      <c r="Q394" t="inlineStr">
        <is>
          <t>todo</t>
        </is>
      </c>
    </row>
    <row r="395">
      <c r="A395" t="inlineStr">
        <is>
          <t>Greg Snider</t>
        </is>
      </c>
      <c r="B395" t="inlineStr">
        <is>
          <t>Attendee</t>
        </is>
      </c>
      <c r="C395" t="inlineStr">
        <is>
          <t>Sr. Director of Transportation Procurement</t>
        </is>
      </c>
      <c r="D395" t="inlineStr">
        <is>
          <t>Anheuser-Busch InBev (ABI)</t>
        </is>
      </c>
      <c r="F395" t="inlineStr">
        <is>
          <t>Yes</t>
        </is>
      </c>
      <c r="H395" t="n">
        <v>18</v>
      </c>
      <c r="I395" t="b">
        <v>1</v>
      </c>
      <c r="J395" t="b">
        <v>0</v>
      </c>
      <c r="K395" t="b">
        <v>0</v>
      </c>
      <c r="L395" t="b">
        <v>1</v>
      </c>
      <c r="M395" t="b">
        <v>0</v>
      </c>
      <c r="N395">
        <f>IFERROR(INDEX('Company Hitlist'!$AA:$AA,MATCH(D395,'Company Hitlist'!$A:$A,0)),)</f>
        <v/>
      </c>
      <c r="O395">
        <f>IFERROR(INDEX('Company Hitlist'!$N:$N,MATCH(D395,'Company Hitlist'!$A:$A,0)),)</f>
        <v/>
      </c>
      <c r="Q395" t="inlineStr">
        <is>
          <t>todo</t>
        </is>
      </c>
    </row>
    <row r="396">
      <c r="A396" t="inlineStr">
        <is>
          <t>Hal Justice</t>
        </is>
      </c>
      <c r="B396" t="inlineStr">
        <is>
          <t>Attendee</t>
        </is>
      </c>
      <c r="C396" t="inlineStr">
        <is>
          <t>VP Sales and Operations</t>
        </is>
      </c>
      <c r="D396" t="inlineStr">
        <is>
          <t>Atlanta Bonded Warehouse</t>
        </is>
      </c>
      <c r="E396" t="inlineStr">
        <is>
          <t>United States</t>
        </is>
      </c>
      <c r="H396" t="n">
        <v>18</v>
      </c>
      <c r="I396" t="b">
        <v>1</v>
      </c>
      <c r="J396" t="b">
        <v>1</v>
      </c>
      <c r="K396" t="b">
        <v>1</v>
      </c>
      <c r="L396" t="b">
        <v>0</v>
      </c>
      <c r="M396" t="b">
        <v>1</v>
      </c>
      <c r="N396">
        <f>IFERROR(INDEX('Company Hitlist'!$AA:$AA,MATCH(D396,'Company Hitlist'!$A:$A,0)),)</f>
        <v/>
      </c>
      <c r="O396">
        <f>IFERROR(INDEX('Company Hitlist'!$N:$N,MATCH(D396,'Company Hitlist'!$A:$A,0)),)</f>
        <v/>
      </c>
      <c r="Q396" t="inlineStr">
        <is>
          <t>todo</t>
        </is>
      </c>
    </row>
    <row r="397">
      <c r="A397" t="inlineStr">
        <is>
          <t>Billie Giroux</t>
        </is>
      </c>
      <c r="B397" t="inlineStr">
        <is>
          <t>Attendee</t>
        </is>
      </c>
      <c r="C397" t="inlineStr">
        <is>
          <t>Senior Transportation Sourcing Leader</t>
        </is>
      </c>
      <c r="D397" t="inlineStr">
        <is>
          <t>BRP</t>
        </is>
      </c>
      <c r="H397" t="n">
        <v>18</v>
      </c>
      <c r="I397" t="b">
        <v>1</v>
      </c>
      <c r="J397" t="b">
        <v>0</v>
      </c>
      <c r="K397" t="b">
        <v>0</v>
      </c>
      <c r="L397" t="b">
        <v>1</v>
      </c>
      <c r="M397" t="b">
        <v>0</v>
      </c>
      <c r="N397">
        <f>IFERROR(INDEX('Company Hitlist'!$AA:$AA,MATCH(D397,'Company Hitlist'!$A:$A,0)),)</f>
        <v/>
      </c>
      <c r="O397">
        <f>IFERROR(INDEX('Company Hitlist'!$N:$N,MATCH(D397,'Company Hitlist'!$A:$A,0)),)</f>
        <v/>
      </c>
      <c r="Q397" t="inlineStr">
        <is>
          <t>todo</t>
        </is>
      </c>
    </row>
    <row r="398">
      <c r="A398" t="inlineStr">
        <is>
          <t>Todd D. Bulmash</t>
        </is>
      </c>
      <c r="B398" t="inlineStr">
        <is>
          <t>Attendee</t>
        </is>
      </c>
      <c r="C398" t="inlineStr">
        <is>
          <t>Category Manager, Logistics Sourcing</t>
        </is>
      </c>
      <c r="D398" t="inlineStr">
        <is>
          <t>Barry Callebaut</t>
        </is>
      </c>
      <c r="H398" t="n">
        <v>18</v>
      </c>
      <c r="I398" t="b">
        <v>1</v>
      </c>
      <c r="J398" t="b">
        <v>0</v>
      </c>
      <c r="K398" t="b">
        <v>0</v>
      </c>
      <c r="L398" t="b">
        <v>1</v>
      </c>
      <c r="M398" t="b">
        <v>0</v>
      </c>
      <c r="N398">
        <f>IFERROR(INDEX('Company Hitlist'!$AA:$AA,MATCH(D398,'Company Hitlist'!$A:$A,0)),)</f>
        <v/>
      </c>
      <c r="O398">
        <f>IFERROR(INDEX('Company Hitlist'!$N:$N,MATCH(D398,'Company Hitlist'!$A:$A,0)),)</f>
        <v/>
      </c>
      <c r="Q398" t="inlineStr">
        <is>
          <t>todo</t>
        </is>
      </c>
    </row>
    <row r="399">
      <c r="A399" t="inlineStr">
        <is>
          <t>Chris Butler</t>
        </is>
      </c>
      <c r="B399" t="inlineStr">
        <is>
          <t>Attendee</t>
        </is>
      </c>
      <c r="C399" t="inlineStr">
        <is>
          <t>Sourcing &amp; Contract Management; Procurement, Supply Chain</t>
        </is>
      </c>
      <c r="D399" t="inlineStr">
        <is>
          <t>Best Buy Canada Ltd</t>
        </is>
      </c>
      <c r="H399" t="n">
        <v>18</v>
      </c>
      <c r="I399" t="b">
        <v>1</v>
      </c>
      <c r="J399" t="b">
        <v>0</v>
      </c>
      <c r="K399" t="b">
        <v>0</v>
      </c>
      <c r="L399" t="b">
        <v>1</v>
      </c>
      <c r="M399" t="b">
        <v>0</v>
      </c>
      <c r="N399">
        <f>IFERROR(INDEX('Company Hitlist'!$AA:$AA,MATCH(D399,'Company Hitlist'!$A:$A,0)),)</f>
        <v/>
      </c>
      <c r="O399">
        <f>IFERROR(INDEX('Company Hitlist'!$N:$N,MATCH(D399,'Company Hitlist'!$A:$A,0)),)</f>
        <v/>
      </c>
      <c r="Q399" t="inlineStr">
        <is>
          <t>todo</t>
        </is>
      </c>
    </row>
    <row r="400">
      <c r="A400" t="inlineStr">
        <is>
          <t>Andrew Akiyoshi</t>
        </is>
      </c>
      <c r="B400" t="inlineStr">
        <is>
          <t>Attendee</t>
        </is>
      </c>
      <c r="C400" t="inlineStr">
        <is>
          <t>Sr Director of Supply Chain &amp; Sourcing</t>
        </is>
      </c>
      <c r="D400" t="inlineStr">
        <is>
          <t>Branded Mills</t>
        </is>
      </c>
      <c r="H400" t="n">
        <v>18</v>
      </c>
      <c r="I400" t="b">
        <v>1</v>
      </c>
      <c r="J400" t="b">
        <v>0</v>
      </c>
      <c r="K400" t="b">
        <v>0</v>
      </c>
      <c r="L400" t="b">
        <v>1</v>
      </c>
      <c r="M400" t="b">
        <v>0</v>
      </c>
      <c r="N400">
        <f>IFERROR(INDEX('Company Hitlist'!$AA:$AA,MATCH(D400,'Company Hitlist'!$A:$A,0)),)</f>
        <v/>
      </c>
      <c r="O400">
        <f>IFERROR(INDEX('Company Hitlist'!$N:$N,MATCH(D400,'Company Hitlist'!$A:$A,0)),)</f>
        <v/>
      </c>
      <c r="Q400" t="inlineStr">
        <is>
          <t>todo</t>
        </is>
      </c>
    </row>
    <row r="401">
      <c r="A401" t="inlineStr">
        <is>
          <t>Nadia Targosz</t>
        </is>
      </c>
      <c r="B401" t="inlineStr">
        <is>
          <t>Attendee</t>
        </is>
      </c>
      <c r="C401" t="inlineStr">
        <is>
          <t>Director of Transportation Sourcing</t>
        </is>
      </c>
      <c r="D401" t="inlineStr">
        <is>
          <t>CHS, Inc.</t>
        </is>
      </c>
      <c r="H401" t="n">
        <v>18</v>
      </c>
      <c r="I401" t="b">
        <v>1</v>
      </c>
      <c r="J401" t="b">
        <v>0</v>
      </c>
      <c r="K401" t="b">
        <v>0</v>
      </c>
      <c r="L401" t="b">
        <v>1</v>
      </c>
      <c r="M401" t="b">
        <v>0</v>
      </c>
      <c r="N401">
        <f>IFERROR(INDEX('Company Hitlist'!$AA:$AA,MATCH(D401,'Company Hitlist'!$A:$A,0)),)</f>
        <v/>
      </c>
      <c r="O401">
        <f>IFERROR(INDEX('Company Hitlist'!$N:$N,MATCH(D401,'Company Hitlist'!$A:$A,0)),)</f>
        <v/>
      </c>
      <c r="Q401" t="inlineStr">
        <is>
          <t>todo</t>
        </is>
      </c>
    </row>
    <row r="402">
      <c r="A402" t="inlineStr">
        <is>
          <t>Allyson Yalch</t>
        </is>
      </c>
      <c r="B402" t="inlineStr">
        <is>
          <t>Attendee</t>
        </is>
      </c>
      <c r="C402" t="inlineStr">
        <is>
          <t>Senior Consultant - Transportation Procurement</t>
        </is>
      </c>
      <c r="D402" t="inlineStr">
        <is>
          <t>Cardinal Health</t>
        </is>
      </c>
      <c r="F402" t="inlineStr">
        <is>
          <t>Yes</t>
        </is>
      </c>
      <c r="H402" t="n">
        <v>18</v>
      </c>
      <c r="I402" t="b">
        <v>1</v>
      </c>
      <c r="J402" t="b">
        <v>0</v>
      </c>
      <c r="K402" t="b">
        <v>0</v>
      </c>
      <c r="L402" t="b">
        <v>1</v>
      </c>
      <c r="M402" t="b">
        <v>0</v>
      </c>
      <c r="N402">
        <f>IFERROR(INDEX('Company Hitlist'!$AA:$AA,MATCH(D402,'Company Hitlist'!$A:$A,0)),)</f>
        <v/>
      </c>
      <c r="O402">
        <f>IFERROR(INDEX('Company Hitlist'!$N:$N,MATCH(D402,'Company Hitlist'!$A:$A,0)),)</f>
        <v/>
      </c>
      <c r="Q402" t="inlineStr">
        <is>
          <t>todo</t>
        </is>
      </c>
    </row>
    <row r="403">
      <c r="A403" t="inlineStr">
        <is>
          <t>Tyson Steele</t>
        </is>
      </c>
      <c r="B403" t="inlineStr">
        <is>
          <t>Attendee</t>
        </is>
      </c>
      <c r="C403" t="inlineStr">
        <is>
          <t>Director of Procurement for Logistics</t>
        </is>
      </c>
      <c r="D403" t="inlineStr">
        <is>
          <t>Carmax</t>
        </is>
      </c>
      <c r="F403" t="inlineStr">
        <is>
          <t>Yes</t>
        </is>
      </c>
      <c r="G403" t="inlineStr">
        <is>
          <t>$26.5B (2024; projected $27B in 2025)</t>
        </is>
      </c>
      <c r="H403" t="n">
        <v>18</v>
      </c>
      <c r="I403" t="b">
        <v>1</v>
      </c>
      <c r="J403" t="b">
        <v>0</v>
      </c>
      <c r="K403" t="b">
        <v>0</v>
      </c>
      <c r="L403" t="b">
        <v>1</v>
      </c>
      <c r="M403" t="b">
        <v>0</v>
      </c>
      <c r="N403">
        <f>IFERROR(INDEX('Company Hitlist'!$AA:$AA,MATCH(D403,'Company Hitlist'!$A:$A,0)),)</f>
        <v/>
      </c>
      <c r="O403">
        <f>IFERROR(INDEX('Company Hitlist'!$N:$N,MATCH(D403,'Company Hitlist'!$A:$A,0)),)</f>
        <v/>
      </c>
      <c r="Q403" t="inlineStr">
        <is>
          <t>todo</t>
        </is>
      </c>
    </row>
    <row r="404">
      <c r="A404" t="inlineStr">
        <is>
          <t>James Dietrich</t>
        </is>
      </c>
      <c r="B404" t="inlineStr">
        <is>
          <t>Attendee</t>
        </is>
      </c>
      <c r="C404" t="inlineStr">
        <is>
          <t>Head of Logistics &amp; Enterprise Sales</t>
        </is>
      </c>
      <c r="D404" t="inlineStr">
        <is>
          <t>Cobot</t>
        </is>
      </c>
      <c r="E404" t="inlineStr">
        <is>
          <t>United States</t>
        </is>
      </c>
      <c r="H404" t="n">
        <v>18</v>
      </c>
      <c r="I404" t="b">
        <v>1</v>
      </c>
      <c r="J404" t="b">
        <v>1</v>
      </c>
      <c r="K404" t="b">
        <v>1</v>
      </c>
      <c r="L404" t="b">
        <v>0</v>
      </c>
      <c r="M404" t="b">
        <v>1</v>
      </c>
      <c r="N404">
        <f>IFERROR(INDEX('Company Hitlist'!$AA:$AA,MATCH(D404,'Company Hitlist'!$A:$A,0)),)</f>
        <v/>
      </c>
      <c r="O404">
        <f>IFERROR(INDEX('Company Hitlist'!$N:$N,MATCH(D404,'Company Hitlist'!$A:$A,0)),)</f>
        <v/>
      </c>
      <c r="Q404" t="inlineStr">
        <is>
          <t>todo</t>
        </is>
      </c>
    </row>
    <row r="405">
      <c r="A405" t="inlineStr">
        <is>
          <t>Jon Stanley</t>
        </is>
      </c>
      <c r="B405" t="inlineStr">
        <is>
          <t>Attendee</t>
        </is>
      </c>
      <c r="C405" t="inlineStr">
        <is>
          <t>VP, Contract Warehousing &amp; Distribution Sales</t>
        </is>
      </c>
      <c r="D405" t="inlineStr">
        <is>
          <t>Covenant Logistics</t>
        </is>
      </c>
      <c r="E405" t="inlineStr">
        <is>
          <t>United States</t>
        </is>
      </c>
      <c r="H405" t="n">
        <v>18</v>
      </c>
      <c r="I405" t="b">
        <v>1</v>
      </c>
      <c r="J405" t="b">
        <v>1</v>
      </c>
      <c r="K405" t="b">
        <v>1</v>
      </c>
      <c r="L405" t="b">
        <v>0</v>
      </c>
      <c r="M405" t="b">
        <v>1</v>
      </c>
      <c r="N405">
        <f>IFERROR(INDEX('Company Hitlist'!$AA:$AA,MATCH(D405,'Company Hitlist'!$A:$A,0)),)</f>
        <v/>
      </c>
      <c r="O405">
        <f>IFERROR(INDEX('Company Hitlist'!$N:$N,MATCH(D405,'Company Hitlist'!$A:$A,0)),)</f>
        <v/>
      </c>
      <c r="Q405" t="inlineStr">
        <is>
          <t>todo</t>
        </is>
      </c>
    </row>
    <row r="406">
      <c r="A406" t="inlineStr">
        <is>
          <t>Nate Cowart</t>
        </is>
      </c>
      <c r="B406" t="inlineStr">
        <is>
          <t>Attendee</t>
        </is>
      </c>
      <c r="C406" t="inlineStr">
        <is>
          <t>VP, Sales - Contract Logistics</t>
        </is>
      </c>
      <c r="D406" t="inlineStr">
        <is>
          <t>Covenant Logistics</t>
        </is>
      </c>
      <c r="E406" t="inlineStr">
        <is>
          <t>United States</t>
        </is>
      </c>
      <c r="H406" t="n">
        <v>18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>
        <f>IFERROR(INDEX('Company Hitlist'!$AA:$AA,MATCH(D406,'Company Hitlist'!$A:$A,0)),)</f>
        <v/>
      </c>
      <c r="O406">
        <f>IFERROR(INDEX('Company Hitlist'!$N:$N,MATCH(D406,'Company Hitlist'!$A:$A,0)),)</f>
        <v/>
      </c>
      <c r="Q406" t="inlineStr">
        <is>
          <t>todo</t>
        </is>
      </c>
    </row>
    <row r="407">
      <c r="A407" t="inlineStr">
        <is>
          <t>Kyle Hutcheson</t>
        </is>
      </c>
      <c r="B407" t="inlineStr">
        <is>
          <t>Attendee</t>
        </is>
      </c>
      <c r="C407" t="inlineStr">
        <is>
          <t>Strategic Sourcing, Warehouse and Logistics</t>
        </is>
      </c>
      <c r="D407" t="inlineStr">
        <is>
          <t>Dairy Famers of America</t>
        </is>
      </c>
      <c r="H407" t="n">
        <v>18</v>
      </c>
      <c r="I407" t="b">
        <v>1</v>
      </c>
      <c r="J407" t="b">
        <v>0</v>
      </c>
      <c r="K407" t="b">
        <v>0</v>
      </c>
      <c r="L407" t="b">
        <v>1</v>
      </c>
      <c r="M407" t="b">
        <v>0</v>
      </c>
      <c r="N407">
        <f>IFERROR(INDEX('Company Hitlist'!$AA:$AA,MATCH(D407,'Company Hitlist'!$A:$A,0)),)</f>
        <v/>
      </c>
      <c r="O407">
        <f>IFERROR(INDEX('Company Hitlist'!$N:$N,MATCH(D407,'Company Hitlist'!$A:$A,0)),)</f>
        <v/>
      </c>
      <c r="Q407" t="inlineStr">
        <is>
          <t>todo</t>
        </is>
      </c>
    </row>
    <row r="408">
      <c r="A408" t="inlineStr">
        <is>
          <t>Mack Kelsey</t>
        </is>
      </c>
      <c r="B408" t="inlineStr">
        <is>
          <t>Attendee</t>
        </is>
      </c>
      <c r="C408" t="inlineStr">
        <is>
          <t>VP Sales &amp; Ops</t>
        </is>
      </c>
      <c r="D408" t="inlineStr">
        <is>
          <t>Direct Logistics</t>
        </is>
      </c>
      <c r="E408" t="inlineStr">
        <is>
          <t>United States</t>
        </is>
      </c>
      <c r="H408" t="n">
        <v>18</v>
      </c>
      <c r="I408" t="b">
        <v>1</v>
      </c>
      <c r="J408" t="b">
        <v>1</v>
      </c>
      <c r="K408" t="b">
        <v>1</v>
      </c>
      <c r="L408" t="b">
        <v>0</v>
      </c>
      <c r="M408" t="b">
        <v>1</v>
      </c>
      <c r="N408">
        <f>IFERROR(INDEX('Company Hitlist'!$AA:$AA,MATCH(D408,'Company Hitlist'!$A:$A,0)),)</f>
        <v/>
      </c>
      <c r="O408">
        <f>IFERROR(INDEX('Company Hitlist'!$N:$N,MATCH(D408,'Company Hitlist'!$A:$A,0)),)</f>
        <v/>
      </c>
      <c r="Q408" t="inlineStr">
        <is>
          <t>todo</t>
        </is>
      </c>
    </row>
    <row r="409">
      <c r="A409" t="inlineStr">
        <is>
          <t>Kevin Trapp</t>
        </is>
      </c>
      <c r="B409" t="inlineStr">
        <is>
          <t>Attendee</t>
        </is>
      </c>
      <c r="C409" t="inlineStr">
        <is>
          <t>Global Logistics Procurement</t>
        </is>
      </c>
      <c r="D409" t="inlineStr">
        <is>
          <t>EATON CORPORATOIN</t>
        </is>
      </c>
      <c r="H409" t="n">
        <v>18</v>
      </c>
      <c r="I409" t="b">
        <v>1</v>
      </c>
      <c r="J409" t="b">
        <v>0</v>
      </c>
      <c r="K409" t="b">
        <v>0</v>
      </c>
      <c r="L409" t="b">
        <v>1</v>
      </c>
      <c r="M409" t="b">
        <v>0</v>
      </c>
      <c r="N409">
        <f>IFERROR(INDEX('Company Hitlist'!$AA:$AA,MATCH(D409,'Company Hitlist'!$A:$A,0)),)</f>
        <v/>
      </c>
      <c r="O409">
        <f>IFERROR(INDEX('Company Hitlist'!$N:$N,MATCH(D409,'Company Hitlist'!$A:$A,0)),)</f>
        <v/>
      </c>
      <c r="Q409" t="inlineStr">
        <is>
          <t>todo</t>
        </is>
      </c>
    </row>
    <row r="410">
      <c r="A410" t="inlineStr">
        <is>
          <t>Jeff Amble</t>
        </is>
      </c>
      <c r="B410" t="inlineStr">
        <is>
          <t>Attendee</t>
        </is>
      </c>
      <c r="C410" t="inlineStr">
        <is>
          <t>Senior Director, Logistics Sourcing, Transportation</t>
        </is>
      </c>
      <c r="D410" t="inlineStr">
        <is>
          <t>Ecolab</t>
        </is>
      </c>
      <c r="H410" t="n">
        <v>18</v>
      </c>
      <c r="I410" t="b">
        <v>1</v>
      </c>
      <c r="J410" t="b">
        <v>0</v>
      </c>
      <c r="K410" t="b">
        <v>0</v>
      </c>
      <c r="L410" t="b">
        <v>1</v>
      </c>
      <c r="M410" t="b">
        <v>0</v>
      </c>
      <c r="N410">
        <f>IFERROR(INDEX('Company Hitlist'!$AA:$AA,MATCH(D410,'Company Hitlist'!$A:$A,0)),)</f>
        <v/>
      </c>
      <c r="O410">
        <f>IFERROR(INDEX('Company Hitlist'!$N:$N,MATCH(D410,'Company Hitlist'!$A:$A,0)),)</f>
        <v/>
      </c>
      <c r="Q410" t="inlineStr">
        <is>
          <t>todo</t>
        </is>
      </c>
    </row>
    <row r="411">
      <c r="A411" t="inlineStr">
        <is>
          <t>Dan Acree</t>
        </is>
      </c>
      <c r="B411" t="inlineStr">
        <is>
          <t>Attendee</t>
        </is>
      </c>
      <c r="C411" t="inlineStr">
        <is>
          <t>VP SALES AND OPERATIONS</t>
        </is>
      </c>
      <c r="D411" t="inlineStr">
        <is>
          <t>FSL Group</t>
        </is>
      </c>
      <c r="E411" t="inlineStr">
        <is>
          <t>United States</t>
        </is>
      </c>
      <c r="H411" t="n">
        <v>18</v>
      </c>
      <c r="I411" t="b">
        <v>1</v>
      </c>
      <c r="J411" t="b">
        <v>1</v>
      </c>
      <c r="K411" t="b">
        <v>1</v>
      </c>
      <c r="L411" t="b">
        <v>0</v>
      </c>
      <c r="M411" t="b">
        <v>1</v>
      </c>
      <c r="N411">
        <f>IFERROR(INDEX('Company Hitlist'!$AA:$AA,MATCH(D411,'Company Hitlist'!$A:$A,0)),)</f>
        <v/>
      </c>
      <c r="O411">
        <f>IFERROR(INDEX('Company Hitlist'!$N:$N,MATCH(D411,'Company Hitlist'!$A:$A,0)),)</f>
        <v/>
      </c>
      <c r="Q411" t="inlineStr">
        <is>
          <t>todo</t>
        </is>
      </c>
    </row>
    <row r="412">
      <c r="A412" t="inlineStr">
        <is>
          <t>Kevin McMaster</t>
        </is>
      </c>
      <c r="B412" t="inlineStr">
        <is>
          <t>Attendee</t>
        </is>
      </c>
      <c r="C412" t="inlineStr">
        <is>
          <t>SVP, Customer Success &amp; Operations</t>
        </is>
      </c>
      <c r="D412" t="inlineStr">
        <is>
          <t>Flock Freight</t>
        </is>
      </c>
      <c r="E412" t="inlineStr">
        <is>
          <t>United States</t>
        </is>
      </c>
      <c r="F412" t="inlineStr">
        <is>
          <t>Yes</t>
        </is>
      </c>
      <c r="H412" t="n">
        <v>18</v>
      </c>
      <c r="I412" t="b">
        <v>1</v>
      </c>
      <c r="J412" t="b">
        <v>1</v>
      </c>
      <c r="K412" t="b">
        <v>1</v>
      </c>
      <c r="L412" t="b">
        <v>0</v>
      </c>
      <c r="M412" t="b">
        <v>1</v>
      </c>
      <c r="N412">
        <f>IFERROR(INDEX('Company Hitlist'!$AA:$AA,MATCH(D412,'Company Hitlist'!$A:$A,0)),)</f>
        <v/>
      </c>
      <c r="O412">
        <f>IFERROR(INDEX('Company Hitlist'!$N:$N,MATCH(D412,'Company Hitlist'!$A:$A,0)),)</f>
        <v/>
      </c>
      <c r="Q412" t="inlineStr">
        <is>
          <t>todo</t>
        </is>
      </c>
    </row>
    <row r="413">
      <c r="A413" t="inlineStr">
        <is>
          <t>Kristen Danielson</t>
        </is>
      </c>
      <c r="B413" t="inlineStr">
        <is>
          <t>Attendee</t>
        </is>
      </c>
      <c r="C413" t="inlineStr">
        <is>
          <t>Sr. Global Sourcing Manager - Transportation and Warehousing</t>
        </is>
      </c>
      <c r="D413" t="inlineStr">
        <is>
          <t>General Mills, Inc.</t>
        </is>
      </c>
      <c r="H413" t="n">
        <v>18</v>
      </c>
      <c r="I413" t="b">
        <v>1</v>
      </c>
      <c r="J413" t="b">
        <v>0</v>
      </c>
      <c r="K413" t="b">
        <v>0</v>
      </c>
      <c r="L413" t="b">
        <v>1</v>
      </c>
      <c r="M413" t="b">
        <v>0</v>
      </c>
      <c r="N413">
        <f>IFERROR(INDEX('Company Hitlist'!$AA:$AA,MATCH(D413,'Company Hitlist'!$A:$A,0)),)</f>
        <v/>
      </c>
      <c r="O413">
        <f>IFERROR(INDEX('Company Hitlist'!$N:$N,MATCH(D413,'Company Hitlist'!$A:$A,0)),)</f>
        <v/>
      </c>
      <c r="Q413" t="inlineStr">
        <is>
          <t>todo</t>
        </is>
      </c>
    </row>
    <row r="414">
      <c r="A414" t="inlineStr">
        <is>
          <t>Paul McLean</t>
        </is>
      </c>
      <c r="B414" t="inlineStr">
        <is>
          <t>Attendee</t>
        </is>
      </c>
      <c r="C414" t="inlineStr">
        <is>
          <t>EVP, Sales and Operations</t>
        </is>
      </c>
      <c r="D414" t="inlineStr">
        <is>
          <t>GoFor Delivers</t>
        </is>
      </c>
      <c r="E414" t="inlineStr">
        <is>
          <t>Canada</t>
        </is>
      </c>
      <c r="H414" t="n">
        <v>18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>
        <f>IFERROR(INDEX('Company Hitlist'!$AA:$AA,MATCH(D414,'Company Hitlist'!$A:$A,0)),)</f>
        <v/>
      </c>
      <c r="O414">
        <f>IFERROR(INDEX('Company Hitlist'!$N:$N,MATCH(D414,'Company Hitlist'!$A:$A,0)),)</f>
        <v/>
      </c>
      <c r="Q414" t="inlineStr">
        <is>
          <t>todo</t>
        </is>
      </c>
    </row>
    <row r="415">
      <c r="A415" t="inlineStr">
        <is>
          <t>Mike Teasdale</t>
        </is>
      </c>
      <c r="B415" t="inlineStr">
        <is>
          <t>Attendee</t>
        </is>
      </c>
      <c r="C415" t="inlineStr">
        <is>
          <t>Director, Logistics Sourcing</t>
        </is>
      </c>
      <c r="D415" t="inlineStr">
        <is>
          <t>GoodShip</t>
        </is>
      </c>
      <c r="F415" t="inlineStr">
        <is>
          <t>Yes</t>
        </is>
      </c>
      <c r="G415" t="inlineStr">
        <is>
          <t>$9.2 million (2025)</t>
        </is>
      </c>
      <c r="H415" t="n">
        <v>18</v>
      </c>
      <c r="I415" t="b">
        <v>1</v>
      </c>
      <c r="J415" t="b">
        <v>0</v>
      </c>
      <c r="K415" t="b">
        <v>0</v>
      </c>
      <c r="L415" t="b">
        <v>1</v>
      </c>
      <c r="M415" t="b">
        <v>0</v>
      </c>
      <c r="N415">
        <f>IFERROR(INDEX('Company Hitlist'!$AA:$AA,MATCH(D415,'Company Hitlist'!$A:$A,0)),)</f>
        <v/>
      </c>
      <c r="O415">
        <f>IFERROR(INDEX('Company Hitlist'!$N:$N,MATCH(D415,'Company Hitlist'!$A:$A,0)),)</f>
        <v/>
      </c>
      <c r="Q415" t="inlineStr">
        <is>
          <t>todo</t>
        </is>
      </c>
    </row>
    <row r="416">
      <c r="A416" t="inlineStr">
        <is>
          <t>Keefer Gibson</t>
        </is>
      </c>
      <c r="B416" t="inlineStr">
        <is>
          <t>Attendee</t>
        </is>
      </c>
      <c r="C416" t="inlineStr">
        <is>
          <t>Sourcing Manager, North America Supply Chain</t>
        </is>
      </c>
      <c r="D416" t="inlineStr">
        <is>
          <t>Grupo Bimbo</t>
        </is>
      </c>
      <c r="E416" t="inlineStr">
        <is>
          <t>Canada</t>
        </is>
      </c>
      <c r="H416" t="n">
        <v>18</v>
      </c>
      <c r="I416" t="b">
        <v>1</v>
      </c>
      <c r="J416" t="b">
        <v>0</v>
      </c>
      <c r="K416" t="b">
        <v>0</v>
      </c>
      <c r="L416" t="b">
        <v>1</v>
      </c>
      <c r="M416" t="b">
        <v>0</v>
      </c>
      <c r="N416">
        <f>IFERROR(INDEX('Company Hitlist'!$AA:$AA,MATCH(D416,'Company Hitlist'!$A:$A,0)),)</f>
        <v/>
      </c>
      <c r="O416">
        <f>IFERROR(INDEX('Company Hitlist'!$N:$N,MATCH(D416,'Company Hitlist'!$A:$A,0)),)</f>
        <v/>
      </c>
      <c r="Q416" t="inlineStr">
        <is>
          <t>todo</t>
        </is>
      </c>
    </row>
    <row r="417">
      <c r="A417" t="inlineStr">
        <is>
          <t>Anne Acampora</t>
        </is>
      </c>
      <c r="B417" t="inlineStr">
        <is>
          <t>Attendee</t>
        </is>
      </c>
      <c r="C417" t="inlineStr">
        <is>
          <t>Senior Manager Logistics Purchasing</t>
        </is>
      </c>
      <c r="D417" t="inlineStr">
        <is>
          <t>Henkel</t>
        </is>
      </c>
      <c r="H417" t="n">
        <v>18</v>
      </c>
      <c r="I417" t="b">
        <v>1</v>
      </c>
      <c r="J417" t="b">
        <v>0</v>
      </c>
      <c r="K417" t="b">
        <v>0</v>
      </c>
      <c r="L417" t="b">
        <v>1</v>
      </c>
      <c r="M417" t="b">
        <v>0</v>
      </c>
      <c r="N417">
        <f>IFERROR(INDEX('Company Hitlist'!$AA:$AA,MATCH(D417,'Company Hitlist'!$A:$A,0)),)</f>
        <v/>
      </c>
      <c r="O417">
        <f>IFERROR(INDEX('Company Hitlist'!$N:$N,MATCH(D417,'Company Hitlist'!$A:$A,0)),)</f>
        <v/>
      </c>
      <c r="Q417" t="inlineStr">
        <is>
          <t>todo</t>
        </is>
      </c>
    </row>
    <row r="418">
      <c r="A418" t="inlineStr">
        <is>
          <t>Joe Taranto</t>
        </is>
      </c>
      <c r="B418" t="inlineStr">
        <is>
          <t>Attendee</t>
        </is>
      </c>
      <c r="C418" t="inlineStr">
        <is>
          <t>Procurement Manager, Logistics Sourcing &amp; Project Support</t>
        </is>
      </c>
      <c r="D418" t="inlineStr">
        <is>
          <t>Henkel</t>
        </is>
      </c>
      <c r="H418" t="n">
        <v>18</v>
      </c>
      <c r="I418" t="b">
        <v>1</v>
      </c>
      <c r="J418" t="b">
        <v>0</v>
      </c>
      <c r="K418" t="b">
        <v>0</v>
      </c>
      <c r="L418" t="b">
        <v>1</v>
      </c>
      <c r="M418" t="b">
        <v>0</v>
      </c>
      <c r="N418">
        <f>IFERROR(INDEX('Company Hitlist'!$AA:$AA,MATCH(D418,'Company Hitlist'!$A:$A,0)),)</f>
        <v/>
      </c>
      <c r="O418">
        <f>IFERROR(INDEX('Company Hitlist'!$N:$N,MATCH(D418,'Company Hitlist'!$A:$A,0)),)</f>
        <v/>
      </c>
      <c r="Q418" t="inlineStr">
        <is>
          <t>todo</t>
        </is>
      </c>
    </row>
    <row r="419">
      <c r="A419" t="inlineStr">
        <is>
          <t>Ike Flynn</t>
        </is>
      </c>
      <c r="B419" t="inlineStr">
        <is>
          <t>Attendee</t>
        </is>
      </c>
      <c r="C419" t="inlineStr">
        <is>
          <t>Logistics &amp; Sourcing Operations Manager</t>
        </is>
      </c>
      <c r="D419" t="inlineStr">
        <is>
          <t>JM Huber</t>
        </is>
      </c>
      <c r="E419" t="inlineStr">
        <is>
          <t>United States</t>
        </is>
      </c>
      <c r="H419" t="n">
        <v>18</v>
      </c>
      <c r="I419" t="b">
        <v>1</v>
      </c>
      <c r="J419" t="b">
        <v>0</v>
      </c>
      <c r="K419" t="b">
        <v>0</v>
      </c>
      <c r="L419" t="b">
        <v>1</v>
      </c>
      <c r="M419" t="b">
        <v>0</v>
      </c>
      <c r="N419">
        <f>IFERROR(INDEX('Company Hitlist'!$AA:$AA,MATCH(D419,'Company Hitlist'!$A:$A,0)),)</f>
        <v/>
      </c>
      <c r="O419">
        <f>IFERROR(INDEX('Company Hitlist'!$N:$N,MATCH(D419,'Company Hitlist'!$A:$A,0)),)</f>
        <v/>
      </c>
      <c r="Q419" t="inlineStr">
        <is>
          <t>todo</t>
        </is>
      </c>
    </row>
    <row r="420">
      <c r="A420" t="inlineStr">
        <is>
          <t>Christian Corrado</t>
        </is>
      </c>
      <c r="B420" t="inlineStr">
        <is>
          <t>Attendee</t>
        </is>
      </c>
      <c r="C420" t="inlineStr">
        <is>
          <t>Sr Director Logistics Procurement</t>
        </is>
      </c>
      <c r="D420" t="inlineStr">
        <is>
          <t>Kenvue</t>
        </is>
      </c>
      <c r="E420" t="inlineStr">
        <is>
          <t>United States</t>
        </is>
      </c>
      <c r="F420" t="inlineStr">
        <is>
          <t>Yes</t>
        </is>
      </c>
      <c r="G420" t="inlineStr">
        <is>
          <t>$15.5B (2024; projected $16B in 2025)</t>
        </is>
      </c>
      <c r="H420" t="n">
        <v>18</v>
      </c>
      <c r="I420" t="b">
        <v>1</v>
      </c>
      <c r="J420" t="b">
        <v>0</v>
      </c>
      <c r="K420" t="b">
        <v>0</v>
      </c>
      <c r="L420" t="b">
        <v>1</v>
      </c>
      <c r="M420" t="b">
        <v>0</v>
      </c>
      <c r="N420">
        <f>IFERROR(INDEX('Company Hitlist'!$AA:$AA,MATCH(D420,'Company Hitlist'!$A:$A,0)),)</f>
        <v/>
      </c>
      <c r="O420">
        <f>IFERROR(INDEX('Company Hitlist'!$N:$N,MATCH(D420,'Company Hitlist'!$A:$A,0)),)</f>
        <v/>
      </c>
      <c r="Q420" t="inlineStr">
        <is>
          <t>todo</t>
        </is>
      </c>
    </row>
    <row r="421">
      <c r="A421" t="inlineStr">
        <is>
          <t>Gearoid Coughlan</t>
        </is>
      </c>
      <c r="B421" t="inlineStr">
        <is>
          <t>Attendee</t>
        </is>
      </c>
      <c r="C421" t="inlineStr">
        <is>
          <t>Procurement Category Manager - Logistics</t>
        </is>
      </c>
      <c r="D421" t="inlineStr">
        <is>
          <t>Kerry Inc</t>
        </is>
      </c>
      <c r="E421" t="inlineStr">
        <is>
          <t>United States</t>
        </is>
      </c>
      <c r="H421" t="n">
        <v>18</v>
      </c>
      <c r="I421" t="b">
        <v>1</v>
      </c>
      <c r="J421" t="b">
        <v>0</v>
      </c>
      <c r="K421" t="b">
        <v>0</v>
      </c>
      <c r="L421" t="b">
        <v>1</v>
      </c>
      <c r="M421" t="b">
        <v>0</v>
      </c>
      <c r="N421">
        <f>IFERROR(INDEX('Company Hitlist'!$AA:$AA,MATCH(D421,'Company Hitlist'!$A:$A,0)),)</f>
        <v/>
      </c>
      <c r="O421">
        <f>IFERROR(INDEX('Company Hitlist'!$N:$N,MATCH(D421,'Company Hitlist'!$A:$A,0)),)</f>
        <v/>
      </c>
      <c r="Q421" t="inlineStr">
        <is>
          <t>todo</t>
        </is>
      </c>
    </row>
    <row r="422">
      <c r="A422" t="inlineStr">
        <is>
          <t>Jesse Salas</t>
        </is>
      </c>
      <c r="B422" t="inlineStr">
        <is>
          <t>Attendee</t>
        </is>
      </c>
      <c r="C422" t="inlineStr">
        <is>
          <t>Sr. Manager, Strategic Sourcing, Logistics and Transportation</t>
        </is>
      </c>
      <c r="D422" t="inlineStr">
        <is>
          <t>Kohler Co.</t>
        </is>
      </c>
      <c r="H422" t="n">
        <v>18</v>
      </c>
      <c r="I422" t="b">
        <v>1</v>
      </c>
      <c r="J422" t="b">
        <v>0</v>
      </c>
      <c r="K422" t="b">
        <v>0</v>
      </c>
      <c r="L422" t="b">
        <v>1</v>
      </c>
      <c r="M422" t="b">
        <v>0</v>
      </c>
      <c r="N422">
        <f>IFERROR(INDEX('Company Hitlist'!$AA:$AA,MATCH(D422,'Company Hitlist'!$A:$A,0)),)</f>
        <v/>
      </c>
      <c r="O422">
        <f>IFERROR(INDEX('Company Hitlist'!$N:$N,MATCH(D422,'Company Hitlist'!$A:$A,0)),)</f>
        <v/>
      </c>
      <c r="Q422" t="inlineStr">
        <is>
          <t>todo</t>
        </is>
      </c>
    </row>
    <row r="423">
      <c r="A423" t="inlineStr">
        <is>
          <t>Chad Friio</t>
        </is>
      </c>
      <c r="B423" t="inlineStr">
        <is>
          <t>Attendee</t>
        </is>
      </c>
      <c r="C423" t="inlineStr">
        <is>
          <t>VP Supply Chain BD</t>
        </is>
      </c>
      <c r="D423" t="inlineStr">
        <is>
          <t>Loblaw</t>
        </is>
      </c>
      <c r="H423" t="n">
        <v>18</v>
      </c>
      <c r="I423" t="b">
        <v>1</v>
      </c>
      <c r="J423" t="b">
        <v>1</v>
      </c>
      <c r="K423" t="b">
        <v>1</v>
      </c>
      <c r="L423" t="b">
        <v>0</v>
      </c>
      <c r="M423" t="b">
        <v>1</v>
      </c>
      <c r="N423">
        <f>IFERROR(INDEX('Company Hitlist'!$AA:$AA,MATCH(D423,'Company Hitlist'!$A:$A,0)),)</f>
        <v/>
      </c>
      <c r="O423">
        <f>IFERROR(INDEX('Company Hitlist'!$N:$N,MATCH(D423,'Company Hitlist'!$A:$A,0)),)</f>
        <v/>
      </c>
      <c r="Q423" t="inlineStr">
        <is>
          <t>todo</t>
        </is>
      </c>
    </row>
    <row r="424">
      <c r="A424" t="inlineStr">
        <is>
          <t>Michael Ventura</t>
        </is>
      </c>
      <c r="B424" t="inlineStr">
        <is>
          <t>Attendee</t>
        </is>
      </c>
      <c r="C424" t="inlineStr">
        <is>
          <t>Manager, Strategic Sourcing - Transportation</t>
        </is>
      </c>
      <c r="D424" t="inlineStr">
        <is>
          <t>Mars</t>
        </is>
      </c>
      <c r="H424" t="n">
        <v>18</v>
      </c>
      <c r="I424" t="b">
        <v>1</v>
      </c>
      <c r="J424" t="b">
        <v>0</v>
      </c>
      <c r="K424" t="b">
        <v>0</v>
      </c>
      <c r="L424" t="b">
        <v>1</v>
      </c>
      <c r="M424" t="b">
        <v>0</v>
      </c>
      <c r="N424">
        <f>IFERROR(INDEX('Company Hitlist'!$AA:$AA,MATCH(D424,'Company Hitlist'!$A:$A,0)),)</f>
        <v/>
      </c>
      <c r="O424">
        <f>IFERROR(INDEX('Company Hitlist'!$N:$N,MATCH(D424,'Company Hitlist'!$A:$A,0)),)</f>
        <v/>
      </c>
      <c r="Q424" t="inlineStr">
        <is>
          <t>todo</t>
        </is>
      </c>
    </row>
    <row r="425">
      <c r="A425" t="inlineStr">
        <is>
          <t>RAMON CORTAZA</t>
        </is>
      </c>
      <c r="B425" t="inlineStr">
        <is>
          <t>Attendee</t>
        </is>
      </c>
      <c r="C425" t="inlineStr">
        <is>
          <t>DIRECTOR SUPPLY CHAIN &amp; SOURCING</t>
        </is>
      </c>
      <c r="D425" t="inlineStr">
        <is>
          <t>OWENS CORNING</t>
        </is>
      </c>
      <c r="H425" t="n">
        <v>18</v>
      </c>
      <c r="I425" t="b">
        <v>1</v>
      </c>
      <c r="J425" t="b">
        <v>0</v>
      </c>
      <c r="K425" t="b">
        <v>0</v>
      </c>
      <c r="L425" t="b">
        <v>1</v>
      </c>
      <c r="M425" t="b">
        <v>0</v>
      </c>
      <c r="N425">
        <f>IFERROR(INDEX('Company Hitlist'!$AA:$AA,MATCH(D425,'Company Hitlist'!$A:$A,0)),)</f>
        <v/>
      </c>
      <c r="O425">
        <f>IFERROR(INDEX('Company Hitlist'!$N:$N,MATCH(D425,'Company Hitlist'!$A:$A,0)),)</f>
        <v/>
      </c>
      <c r="Q425" t="inlineStr">
        <is>
          <t>todo</t>
        </is>
      </c>
    </row>
    <row r="426">
      <c r="A426" t="inlineStr">
        <is>
          <t>Aaron Meyerrenke</t>
        </is>
      </c>
      <c r="B426" t="inlineStr">
        <is>
          <t>Attendee</t>
        </is>
      </c>
      <c r="C426" t="inlineStr">
        <is>
          <t>Director, Transportation Procurement</t>
        </is>
      </c>
      <c r="D426" t="inlineStr">
        <is>
          <t>P&amp;G</t>
        </is>
      </c>
      <c r="F426" t="inlineStr">
        <is>
          <t>Yes</t>
        </is>
      </c>
      <c r="H426" t="n">
        <v>18</v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>
        <f>IFERROR(INDEX('Company Hitlist'!$AA:$AA,MATCH(D426,'Company Hitlist'!$A:$A,0)),)</f>
        <v/>
      </c>
      <c r="O426">
        <f>IFERROR(INDEX('Company Hitlist'!$N:$N,MATCH(D426,'Company Hitlist'!$A:$A,0)),)</f>
        <v/>
      </c>
      <c r="Q426" t="inlineStr">
        <is>
          <t>todo</t>
        </is>
      </c>
    </row>
    <row r="427">
      <c r="A427" t="inlineStr">
        <is>
          <t>Adam Buttgenbach</t>
        </is>
      </c>
      <c r="B427" t="inlineStr">
        <is>
          <t>Attendee</t>
        </is>
      </c>
      <c r="C427" t="inlineStr">
        <is>
          <t>Global Procurement Director, Fleet Transformation</t>
        </is>
      </c>
      <c r="D427" t="inlineStr">
        <is>
          <t>PepsiCo</t>
        </is>
      </c>
      <c r="F427" t="inlineStr">
        <is>
          <t>Yes</t>
        </is>
      </c>
      <c r="H427" t="n">
        <v>18</v>
      </c>
      <c r="I427" t="b">
        <v>1</v>
      </c>
      <c r="J427" t="b">
        <v>0</v>
      </c>
      <c r="K427" t="b">
        <v>0</v>
      </c>
      <c r="L427" t="b">
        <v>1</v>
      </c>
      <c r="M427" t="b">
        <v>0</v>
      </c>
      <c r="N427">
        <f>IFERROR(INDEX('Company Hitlist'!$AA:$AA,MATCH(D427,'Company Hitlist'!$A:$A,0)),)</f>
        <v/>
      </c>
      <c r="O427">
        <f>IFERROR(INDEX('Company Hitlist'!$N:$N,MATCH(D427,'Company Hitlist'!$A:$A,0)),)</f>
        <v/>
      </c>
      <c r="Q427" t="inlineStr">
        <is>
          <t>todo</t>
        </is>
      </c>
    </row>
    <row r="428">
      <c r="A428" t="inlineStr">
        <is>
          <t>Marcelo Franzoi</t>
        </is>
      </c>
      <c r="B428" t="inlineStr">
        <is>
          <t>Attendee</t>
        </is>
      </c>
      <c r="C428" t="inlineStr">
        <is>
          <t>Executive Director, Purchasing &amp; Supply Chain</t>
        </is>
      </c>
      <c r="D428" t="inlineStr">
        <is>
          <t>Piston Group</t>
        </is>
      </c>
      <c r="H428" t="n">
        <v>18</v>
      </c>
      <c r="I428" t="b">
        <v>1</v>
      </c>
      <c r="J428" t="b">
        <v>0</v>
      </c>
      <c r="K428" t="b">
        <v>0</v>
      </c>
      <c r="L428" t="b">
        <v>1</v>
      </c>
      <c r="M428" t="b">
        <v>0</v>
      </c>
      <c r="N428">
        <f>IFERROR(INDEX('Company Hitlist'!$AA:$AA,MATCH(D428,'Company Hitlist'!$A:$A,0)),)</f>
        <v/>
      </c>
      <c r="O428">
        <f>IFERROR(INDEX('Company Hitlist'!$N:$N,MATCH(D428,'Company Hitlist'!$A:$A,0)),)</f>
        <v/>
      </c>
      <c r="Q428" t="inlineStr">
        <is>
          <t>todo</t>
        </is>
      </c>
    </row>
    <row r="429">
      <c r="A429" t="inlineStr">
        <is>
          <t>Kristen LaMourie</t>
        </is>
      </c>
      <c r="B429" t="inlineStr">
        <is>
          <t>Attendee</t>
        </is>
      </c>
      <c r="C429" t="inlineStr">
        <is>
          <t>Vice President, Business Development, Managed Transportation</t>
        </is>
      </c>
      <c r="D429" t="inlineStr">
        <is>
          <t>RXO Logistics</t>
        </is>
      </c>
      <c r="E429" t="inlineStr">
        <is>
          <t>United States</t>
        </is>
      </c>
      <c r="H429" t="n">
        <v>18</v>
      </c>
      <c r="I429" t="b">
        <v>1</v>
      </c>
      <c r="J429" t="b">
        <v>1</v>
      </c>
      <c r="K429" t="b">
        <v>1</v>
      </c>
      <c r="L429" t="b">
        <v>0</v>
      </c>
      <c r="M429" t="b">
        <v>1</v>
      </c>
      <c r="N429">
        <f>IFERROR(INDEX('Company Hitlist'!$AA:$AA,MATCH(D429,'Company Hitlist'!$A:$A,0)),)</f>
        <v/>
      </c>
      <c r="O429">
        <f>IFERROR(INDEX('Company Hitlist'!$N:$N,MATCH(D429,'Company Hitlist'!$A:$A,0)),)</f>
        <v/>
      </c>
      <c r="Q429" t="inlineStr">
        <is>
          <t>todo</t>
        </is>
      </c>
    </row>
    <row r="430">
      <c r="A430" t="inlineStr">
        <is>
          <t>Gideon Steed</t>
        </is>
      </c>
      <c r="B430" t="inlineStr">
        <is>
          <t>Attendee</t>
        </is>
      </c>
      <c r="C430" t="inlineStr">
        <is>
          <t>Director, Logistics Procurement</t>
        </is>
      </c>
      <c r="D430" t="inlineStr">
        <is>
          <t>Reckitt Benckiser</t>
        </is>
      </c>
      <c r="F430" t="inlineStr">
        <is>
          <t>Yes</t>
        </is>
      </c>
      <c r="H430" t="n">
        <v>18</v>
      </c>
      <c r="I430" t="b">
        <v>1</v>
      </c>
      <c r="J430" t="b">
        <v>0</v>
      </c>
      <c r="K430" t="b">
        <v>0</v>
      </c>
      <c r="L430" t="b">
        <v>1</v>
      </c>
      <c r="M430" t="b">
        <v>0</v>
      </c>
      <c r="N430">
        <f>IFERROR(INDEX('Company Hitlist'!$AA:$AA,MATCH(D430,'Company Hitlist'!$A:$A,0)),)</f>
        <v/>
      </c>
      <c r="O430">
        <f>IFERROR(INDEX('Company Hitlist'!$N:$N,MATCH(D430,'Company Hitlist'!$A:$A,0)),)</f>
        <v/>
      </c>
      <c r="Q430" t="inlineStr">
        <is>
          <t>todo</t>
        </is>
      </c>
    </row>
    <row r="431">
      <c r="A431" t="inlineStr">
        <is>
          <t>Nicole Schuman</t>
        </is>
      </c>
      <c r="B431" t="inlineStr">
        <is>
          <t>Attendee</t>
        </is>
      </c>
      <c r="C431" t="inlineStr">
        <is>
          <t>Transportation Procurement Manager</t>
        </is>
      </c>
      <c r="D431" t="inlineStr">
        <is>
          <t>Reser's Fine Foods</t>
        </is>
      </c>
      <c r="H431" t="n">
        <v>18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>
        <f>IFERROR(INDEX('Company Hitlist'!$AA:$AA,MATCH(D431,'Company Hitlist'!$A:$A,0)),)</f>
        <v/>
      </c>
      <c r="O431">
        <f>IFERROR(INDEX('Company Hitlist'!$N:$N,MATCH(D431,'Company Hitlist'!$A:$A,0)),)</f>
        <v/>
      </c>
      <c r="Q431" t="inlineStr">
        <is>
          <t>todo</t>
        </is>
      </c>
    </row>
    <row r="432">
      <c r="A432" t="inlineStr">
        <is>
          <t>Esin Yasli</t>
        </is>
      </c>
      <c r="B432" t="inlineStr">
        <is>
          <t>Attendee</t>
        </is>
      </c>
      <c r="C432" t="inlineStr">
        <is>
          <t>Director of Procurement, Logistics Innovation</t>
        </is>
      </c>
      <c r="D432" t="inlineStr">
        <is>
          <t>The Procter &amp; Gamble Company</t>
        </is>
      </c>
      <c r="E432" t="inlineStr">
        <is>
          <t>United States</t>
        </is>
      </c>
      <c r="H432" t="n">
        <v>18</v>
      </c>
      <c r="I432" t="b">
        <v>1</v>
      </c>
      <c r="J432" t="b">
        <v>0</v>
      </c>
      <c r="K432" t="b">
        <v>0</v>
      </c>
      <c r="L432" t="b">
        <v>1</v>
      </c>
      <c r="M432" t="b">
        <v>0</v>
      </c>
      <c r="N432">
        <f>IFERROR(INDEX('Company Hitlist'!$AA:$AA,MATCH(D432,'Company Hitlist'!$A:$A,0)),)</f>
        <v/>
      </c>
      <c r="O432">
        <f>IFERROR(INDEX('Company Hitlist'!$N:$N,MATCH(D432,'Company Hitlist'!$A:$A,0)),)</f>
        <v/>
      </c>
      <c r="Q432" t="inlineStr">
        <is>
          <t>todo</t>
        </is>
      </c>
    </row>
    <row r="433">
      <c r="A433" t="inlineStr">
        <is>
          <t>Tony Lathers</t>
        </is>
      </c>
      <c r="B433" t="inlineStr">
        <is>
          <t>Attendee</t>
        </is>
      </c>
      <c r="C433" t="inlineStr">
        <is>
          <t>Director, Supply Chain Visibility and Sourcing</t>
        </is>
      </c>
      <c r="D433" t="inlineStr">
        <is>
          <t>Trek Bicycle</t>
        </is>
      </c>
      <c r="H433" t="n">
        <v>18</v>
      </c>
      <c r="I433" t="b">
        <v>1</v>
      </c>
      <c r="J433" t="b">
        <v>0</v>
      </c>
      <c r="K433" t="b">
        <v>0</v>
      </c>
      <c r="L433" t="b">
        <v>1</v>
      </c>
      <c r="M433" t="b">
        <v>0</v>
      </c>
      <c r="N433">
        <f>IFERROR(INDEX('Company Hitlist'!$AA:$AA,MATCH(D433,'Company Hitlist'!$A:$A,0)),)</f>
        <v/>
      </c>
      <c r="O433">
        <f>IFERROR(INDEX('Company Hitlist'!$N:$N,MATCH(D433,'Company Hitlist'!$A:$A,0)),)</f>
        <v/>
      </c>
      <c r="Q433" t="inlineStr">
        <is>
          <t>todo</t>
        </is>
      </c>
    </row>
    <row r="434">
      <c r="A434" t="inlineStr">
        <is>
          <t>Amit Mitna</t>
        </is>
      </c>
      <c r="B434" t="inlineStr">
        <is>
          <t>Attendee</t>
        </is>
      </c>
      <c r="C434" t="inlineStr">
        <is>
          <t>Procurement Director Logistics Asia</t>
        </is>
      </c>
      <c r="D434" t="inlineStr">
        <is>
          <t>Unilever</t>
        </is>
      </c>
      <c r="H434" t="n">
        <v>18</v>
      </c>
      <c r="I434" t="b">
        <v>1</v>
      </c>
      <c r="J434" t="b">
        <v>0</v>
      </c>
      <c r="K434" t="b">
        <v>0</v>
      </c>
      <c r="L434" t="b">
        <v>1</v>
      </c>
      <c r="M434" t="b">
        <v>0</v>
      </c>
      <c r="N434">
        <f>IFERROR(INDEX('Company Hitlist'!$AA:$AA,MATCH(D434,'Company Hitlist'!$A:$A,0)),)</f>
        <v/>
      </c>
      <c r="O434">
        <f>IFERROR(INDEX('Company Hitlist'!$N:$N,MATCH(D434,'Company Hitlist'!$A:$A,0)),)</f>
        <v/>
      </c>
      <c r="Q434" t="inlineStr">
        <is>
          <t>todo</t>
        </is>
      </c>
    </row>
    <row r="435">
      <c r="A435" t="inlineStr">
        <is>
          <t>Anna Borsuk</t>
        </is>
      </c>
      <c r="B435" t="inlineStr">
        <is>
          <t>Attendee</t>
        </is>
      </c>
      <c r="C435" t="inlineStr">
        <is>
          <t>Procurement Director Logistics Europe</t>
        </is>
      </c>
      <c r="D435" t="inlineStr">
        <is>
          <t>Unilever</t>
        </is>
      </c>
      <c r="H435" t="n">
        <v>18</v>
      </c>
      <c r="I435" t="b">
        <v>1</v>
      </c>
      <c r="J435" t="b">
        <v>0</v>
      </c>
      <c r="K435" t="b">
        <v>0</v>
      </c>
      <c r="L435" t="b">
        <v>1</v>
      </c>
      <c r="M435" t="b">
        <v>0</v>
      </c>
      <c r="N435">
        <f>IFERROR(INDEX('Company Hitlist'!$AA:$AA,MATCH(D435,'Company Hitlist'!$A:$A,0)),)</f>
        <v/>
      </c>
      <c r="O435">
        <f>IFERROR(INDEX('Company Hitlist'!$N:$N,MATCH(D435,'Company Hitlist'!$A:$A,0)),)</f>
        <v/>
      </c>
      <c r="Q435" t="inlineStr">
        <is>
          <t>todo</t>
        </is>
      </c>
    </row>
    <row r="436">
      <c r="A436" t="inlineStr">
        <is>
          <t>Arsalan Bashir</t>
        </is>
      </c>
      <c r="B436" t="inlineStr">
        <is>
          <t>Attendee</t>
        </is>
      </c>
      <c r="C436" t="inlineStr">
        <is>
          <t>Associate Manager, Logistics Procurement</t>
        </is>
      </c>
      <c r="D436" t="inlineStr">
        <is>
          <t>Unilever</t>
        </is>
      </c>
      <c r="H436" t="n">
        <v>18</v>
      </c>
      <c r="I436" t="b">
        <v>1</v>
      </c>
      <c r="J436" t="b">
        <v>0</v>
      </c>
      <c r="K436" t="b">
        <v>0</v>
      </c>
      <c r="L436" t="b">
        <v>1</v>
      </c>
      <c r="M436" t="b">
        <v>0</v>
      </c>
      <c r="N436">
        <f>IFERROR(INDEX('Company Hitlist'!$AA:$AA,MATCH(D436,'Company Hitlist'!$A:$A,0)),)</f>
        <v/>
      </c>
      <c r="O436">
        <f>IFERROR(INDEX('Company Hitlist'!$N:$N,MATCH(D436,'Company Hitlist'!$A:$A,0)),)</f>
        <v/>
      </c>
      <c r="Q436" t="inlineStr">
        <is>
          <t>todo</t>
        </is>
      </c>
    </row>
    <row r="437">
      <c r="A437" t="inlineStr">
        <is>
          <t>Aura Chavez</t>
        </is>
      </c>
      <c r="B437" t="inlineStr">
        <is>
          <t>Attendee</t>
        </is>
      </c>
      <c r="C437" t="inlineStr">
        <is>
          <t>Associate Director, Logistics Procurement</t>
        </is>
      </c>
      <c r="D437" t="inlineStr">
        <is>
          <t>Unilever</t>
        </is>
      </c>
      <c r="H437" t="n">
        <v>18</v>
      </c>
      <c r="I437" t="b">
        <v>1</v>
      </c>
      <c r="J437" t="b">
        <v>0</v>
      </c>
      <c r="K437" t="b">
        <v>0</v>
      </c>
      <c r="L437" t="b">
        <v>1</v>
      </c>
      <c r="M437" t="b">
        <v>0</v>
      </c>
      <c r="N437">
        <f>IFERROR(INDEX('Company Hitlist'!$AA:$AA,MATCH(D437,'Company Hitlist'!$A:$A,0)),)</f>
        <v/>
      </c>
      <c r="O437">
        <f>IFERROR(INDEX('Company Hitlist'!$N:$N,MATCH(D437,'Company Hitlist'!$A:$A,0)),)</f>
        <v/>
      </c>
      <c r="Q437" t="inlineStr">
        <is>
          <t>todo</t>
        </is>
      </c>
    </row>
    <row r="438">
      <c r="A438" t="inlineStr">
        <is>
          <t>Fernando Petersen</t>
        </is>
      </c>
      <c r="B438" t="inlineStr">
        <is>
          <t>Attendee</t>
        </is>
      </c>
      <c r="C438" t="inlineStr">
        <is>
          <t>Procurement Director Logistics LATAM</t>
        </is>
      </c>
      <c r="D438" t="inlineStr">
        <is>
          <t>Unilever</t>
        </is>
      </c>
      <c r="H438" t="n">
        <v>18</v>
      </c>
      <c r="I438" t="b">
        <v>1</v>
      </c>
      <c r="J438" t="b">
        <v>0</v>
      </c>
      <c r="K438" t="b">
        <v>0</v>
      </c>
      <c r="L438" t="b">
        <v>1</v>
      </c>
      <c r="M438" t="b">
        <v>0</v>
      </c>
      <c r="N438">
        <f>IFERROR(INDEX('Company Hitlist'!$AA:$AA,MATCH(D438,'Company Hitlist'!$A:$A,0)),)</f>
        <v/>
      </c>
      <c r="O438">
        <f>IFERROR(INDEX('Company Hitlist'!$N:$N,MATCH(D438,'Company Hitlist'!$A:$A,0)),)</f>
        <v/>
      </c>
      <c r="Q438" t="inlineStr">
        <is>
          <t>todo</t>
        </is>
      </c>
    </row>
    <row r="439">
      <c r="A439" t="inlineStr">
        <is>
          <t>Nadeem Zuberi</t>
        </is>
      </c>
      <c r="B439" t="inlineStr">
        <is>
          <t>Attendee</t>
        </is>
      </c>
      <c r="C439" t="inlineStr">
        <is>
          <t>Associate Director, Logistics Procurement</t>
        </is>
      </c>
      <c r="D439" t="inlineStr">
        <is>
          <t>Unilever</t>
        </is>
      </c>
      <c r="H439" t="n">
        <v>18</v>
      </c>
      <c r="I439" t="b">
        <v>1</v>
      </c>
      <c r="J439" t="b">
        <v>0</v>
      </c>
      <c r="K439" t="b">
        <v>0</v>
      </c>
      <c r="L439" t="b">
        <v>1</v>
      </c>
      <c r="M439" t="b">
        <v>0</v>
      </c>
      <c r="N439">
        <f>IFERROR(INDEX('Company Hitlist'!$AA:$AA,MATCH(D439,'Company Hitlist'!$A:$A,0)),)</f>
        <v/>
      </c>
      <c r="O439">
        <f>IFERROR(INDEX('Company Hitlist'!$N:$N,MATCH(D439,'Company Hitlist'!$A:$A,0)),)</f>
        <v/>
      </c>
      <c r="Q439" t="inlineStr">
        <is>
          <t>todo</t>
        </is>
      </c>
    </row>
    <row r="440">
      <c r="A440" t="inlineStr">
        <is>
          <t>Sulin Wu</t>
        </is>
      </c>
      <c r="B440" t="inlineStr">
        <is>
          <t>Attendee</t>
        </is>
      </c>
      <c r="C440" t="inlineStr">
        <is>
          <t>Logistics Procurement Manager</t>
        </is>
      </c>
      <c r="D440" t="inlineStr">
        <is>
          <t>Unilever Prestige</t>
        </is>
      </c>
      <c r="E440" t="inlineStr">
        <is>
          <t>United States</t>
        </is>
      </c>
      <c r="H440" t="n">
        <v>18</v>
      </c>
      <c r="I440" t="b">
        <v>1</v>
      </c>
      <c r="J440" t="b">
        <v>0</v>
      </c>
      <c r="K440" t="b">
        <v>0</v>
      </c>
      <c r="L440" t="b">
        <v>1</v>
      </c>
      <c r="M440" t="b">
        <v>0</v>
      </c>
      <c r="N440">
        <f>IFERROR(INDEX('Company Hitlist'!$AA:$AA,MATCH(D440,'Company Hitlist'!$A:$A,0)),)</f>
        <v/>
      </c>
      <c r="O440">
        <f>IFERROR(INDEX('Company Hitlist'!$N:$N,MATCH(D440,'Company Hitlist'!$A:$A,0)),)</f>
        <v/>
      </c>
      <c r="Q440" t="inlineStr">
        <is>
          <t>todo</t>
        </is>
      </c>
    </row>
    <row r="441">
      <c r="A441" t="inlineStr">
        <is>
          <t>Dustin Vock</t>
        </is>
      </c>
      <c r="B441" t="inlineStr">
        <is>
          <t>Attendee</t>
        </is>
      </c>
      <c r="C441" t="inlineStr">
        <is>
          <t>Director, Logistics Procurement</t>
        </is>
      </c>
      <c r="D441" t="inlineStr">
        <is>
          <t>Univar Solutions</t>
        </is>
      </c>
      <c r="F441" t="inlineStr">
        <is>
          <t>Yes</t>
        </is>
      </c>
      <c r="H441" t="n">
        <v>18</v>
      </c>
      <c r="I441" t="b">
        <v>1</v>
      </c>
      <c r="J441" t="b">
        <v>0</v>
      </c>
      <c r="K441" t="b">
        <v>0</v>
      </c>
      <c r="L441" t="b">
        <v>1</v>
      </c>
      <c r="M441" t="b">
        <v>0</v>
      </c>
      <c r="N441">
        <f>IFERROR(INDEX('Company Hitlist'!$AA:$AA,MATCH(D441,'Company Hitlist'!$A:$A,0)),)</f>
        <v/>
      </c>
      <c r="O441">
        <f>IFERROR(INDEX('Company Hitlist'!$N:$N,MATCH(D441,'Company Hitlist'!$A:$A,0)),)</f>
        <v/>
      </c>
      <c r="Q441" t="inlineStr">
        <is>
          <t>todo</t>
        </is>
      </c>
    </row>
    <row r="442">
      <c r="A442" t="inlineStr">
        <is>
          <t>Harrison Hawthorne</t>
        </is>
      </c>
      <c r="B442" t="inlineStr">
        <is>
          <t>Attendee</t>
        </is>
      </c>
      <c r="C442" t="inlineStr">
        <is>
          <t>Category Lead Sr. Logistics Procurement</t>
        </is>
      </c>
      <c r="D442" t="inlineStr">
        <is>
          <t>VW Group</t>
        </is>
      </c>
      <c r="H442" t="n">
        <v>18</v>
      </c>
      <c r="I442" t="b">
        <v>1</v>
      </c>
      <c r="J442" t="b">
        <v>0</v>
      </c>
      <c r="K442" t="b">
        <v>0</v>
      </c>
      <c r="L442" t="b">
        <v>1</v>
      </c>
      <c r="M442" t="b">
        <v>0</v>
      </c>
      <c r="N442">
        <f>IFERROR(INDEX('Company Hitlist'!$AA:$AA,MATCH(D442,'Company Hitlist'!$A:$A,0)),)</f>
        <v/>
      </c>
      <c r="O442">
        <f>IFERROR(INDEX('Company Hitlist'!$N:$N,MATCH(D442,'Company Hitlist'!$A:$A,0)),)</f>
        <v/>
      </c>
      <c r="Q442" t="inlineStr">
        <is>
          <t>todo</t>
        </is>
      </c>
    </row>
    <row r="443">
      <c r="A443" t="inlineStr">
        <is>
          <t>Eric Topp</t>
        </is>
      </c>
      <c r="B443" t="inlineStr">
        <is>
          <t>Attendee</t>
        </is>
      </c>
      <c r="C443" t="inlineStr">
        <is>
          <t>WW Head Transportation &amp; Logistics (T&amp;L), Solutions and BD</t>
        </is>
      </c>
      <c r="D443" t="inlineStr">
        <is>
          <t>WNS</t>
        </is>
      </c>
      <c r="E443" t="inlineStr">
        <is>
          <t>United States</t>
        </is>
      </c>
      <c r="H443" t="n">
        <v>18</v>
      </c>
      <c r="I443" t="b">
        <v>1</v>
      </c>
      <c r="J443" t="b">
        <v>1</v>
      </c>
      <c r="K443" t="b">
        <v>1</v>
      </c>
      <c r="L443" t="b">
        <v>0</v>
      </c>
      <c r="M443" t="b">
        <v>1</v>
      </c>
      <c r="N443">
        <f>IFERROR(INDEX('Company Hitlist'!$AA:$AA,MATCH(D443,'Company Hitlist'!$A:$A,0)),)</f>
        <v/>
      </c>
      <c r="O443">
        <f>IFERROR(INDEX('Company Hitlist'!$N:$N,MATCH(D443,'Company Hitlist'!$A:$A,0)),)</f>
        <v/>
      </c>
      <c r="Q443" t="inlineStr">
        <is>
          <t>todo</t>
        </is>
      </c>
    </row>
    <row r="444">
      <c r="A444" t="inlineStr">
        <is>
          <t>Daniel Mackie</t>
        </is>
      </c>
      <c r="B444" t="inlineStr">
        <is>
          <t>Attendee</t>
        </is>
      </c>
      <c r="C444" t="inlineStr">
        <is>
          <t>Sr. Manager Global Procurement - Logistics</t>
        </is>
      </c>
      <c r="D444" t="inlineStr">
        <is>
          <t>Wella company</t>
        </is>
      </c>
      <c r="H444" t="n">
        <v>18</v>
      </c>
      <c r="I444" t="b">
        <v>1</v>
      </c>
      <c r="J444" t="b">
        <v>0</v>
      </c>
      <c r="K444" t="b">
        <v>0</v>
      </c>
      <c r="L444" t="b">
        <v>1</v>
      </c>
      <c r="M444" t="b">
        <v>0</v>
      </c>
      <c r="N444">
        <f>IFERROR(INDEX('Company Hitlist'!$AA:$AA,MATCH(D444,'Company Hitlist'!$A:$A,0)),)</f>
        <v/>
      </c>
      <c r="O444">
        <f>IFERROR(INDEX('Company Hitlist'!$N:$N,MATCH(D444,'Company Hitlist'!$A:$A,0)),)</f>
        <v/>
      </c>
      <c r="Q444" t="inlineStr">
        <is>
          <t>todo</t>
        </is>
      </c>
    </row>
    <row r="445">
      <c r="A445" t="inlineStr">
        <is>
          <t>Kenneth Ritenour</t>
        </is>
      </c>
      <c r="B445" t="inlineStr">
        <is>
          <t>Attendee</t>
        </is>
      </c>
      <c r="C445" t="inlineStr">
        <is>
          <t>Director, Sourcing, Vendor Compliance and Logistics</t>
        </is>
      </c>
      <c r="D445" t="inlineStr">
        <is>
          <t>Zwiesel Fortessa Americas LLC</t>
        </is>
      </c>
      <c r="F445" t="inlineStr">
        <is>
          <t>Yes</t>
        </is>
      </c>
      <c r="H445" t="n">
        <v>18</v>
      </c>
      <c r="I445" t="b">
        <v>1</v>
      </c>
      <c r="J445" t="b">
        <v>0</v>
      </c>
      <c r="K445" t="b">
        <v>0</v>
      </c>
      <c r="L445" t="b">
        <v>1</v>
      </c>
      <c r="M445" t="b">
        <v>0</v>
      </c>
      <c r="N445">
        <f>IFERROR(INDEX('Company Hitlist'!$AA:$AA,MATCH(D445,'Company Hitlist'!$A:$A,0)),)</f>
        <v/>
      </c>
      <c r="O445">
        <f>IFERROR(INDEX('Company Hitlist'!$N:$N,MATCH(D445,'Company Hitlist'!$A:$A,0)),)</f>
        <v/>
      </c>
      <c r="Q445" t="inlineStr">
        <is>
          <t>todo</t>
        </is>
      </c>
    </row>
    <row r="446">
      <c r="A446" t="inlineStr">
        <is>
          <t>Jeffrey Ball</t>
        </is>
      </c>
      <c r="B446" t="inlineStr">
        <is>
          <t>Speaker</t>
        </is>
      </c>
      <c r="C446" t="inlineStr">
        <is>
          <t>Chief Procurement Officer</t>
        </is>
      </c>
      <c r="D446" t="inlineStr">
        <is>
          <t>MediaNews Group</t>
        </is>
      </c>
      <c r="H446" t="n">
        <v>17</v>
      </c>
      <c r="I446" t="b">
        <v>0</v>
      </c>
      <c r="J446" t="b">
        <v>1</v>
      </c>
      <c r="K446" t="b">
        <v>0</v>
      </c>
      <c r="L446" t="b">
        <v>1</v>
      </c>
      <c r="M446" t="b">
        <v>0</v>
      </c>
      <c r="N446">
        <f>IFERROR(INDEX('Company Hitlist'!$AA:$AA,MATCH(D446,'Company Hitlist'!$A:$A,0)),)</f>
        <v/>
      </c>
      <c r="O446">
        <f>IFERROR(INDEX('Company Hitlist'!$N:$N,MATCH(D446,'Company Hitlist'!$A:$A,0)),)</f>
        <v/>
      </c>
      <c r="Q446" t="inlineStr">
        <is>
          <t>todo</t>
        </is>
      </c>
    </row>
    <row r="447">
      <c r="A447" t="inlineStr">
        <is>
          <t>Sirsij Peshin</t>
        </is>
      </c>
      <c r="B447" t="inlineStr">
        <is>
          <t>Speaker</t>
        </is>
      </c>
      <c r="C447" t="inlineStr">
        <is>
          <t>Chief Procurement Officer, Global Lead - Source to Pay</t>
        </is>
      </c>
      <c r="D447" t="inlineStr">
        <is>
          <t>Pfizer</t>
        </is>
      </c>
      <c r="H447" t="n">
        <v>17</v>
      </c>
      <c r="I447" t="b">
        <v>0</v>
      </c>
      <c r="J447" t="b">
        <v>1</v>
      </c>
      <c r="K447" t="b">
        <v>0</v>
      </c>
      <c r="L447" t="b">
        <v>1</v>
      </c>
      <c r="M447" t="b">
        <v>0</v>
      </c>
      <c r="N447">
        <f>IFERROR(INDEX('Company Hitlist'!$AA:$AA,MATCH(D447,'Company Hitlist'!$A:$A,0)),)</f>
        <v/>
      </c>
      <c r="O447">
        <f>IFERROR(INDEX('Company Hitlist'!$N:$N,MATCH(D447,'Company Hitlist'!$A:$A,0)),)</f>
        <v/>
      </c>
      <c r="Q447" t="inlineStr">
        <is>
          <t>todo</t>
        </is>
      </c>
    </row>
    <row r="448">
      <c r="A448" t="inlineStr">
        <is>
          <t>Jeff Grossman</t>
        </is>
      </c>
      <c r="B448" t="inlineStr">
        <is>
          <t>Attendee</t>
        </is>
      </c>
      <c r="C448" t="inlineStr">
        <is>
          <t>Head of Sourcing</t>
        </is>
      </c>
      <c r="D448" t="inlineStr">
        <is>
          <t>Acuity Brands</t>
        </is>
      </c>
      <c r="H448" t="n">
        <v>14</v>
      </c>
      <c r="I448" t="b">
        <v>0</v>
      </c>
      <c r="J448" t="b">
        <v>1</v>
      </c>
      <c r="K448" t="b">
        <v>0</v>
      </c>
      <c r="L448" t="b">
        <v>1</v>
      </c>
      <c r="M448" t="b">
        <v>0</v>
      </c>
      <c r="N448">
        <f>IFERROR(INDEX('Company Hitlist'!$AA:$AA,MATCH(D448,'Company Hitlist'!$A:$A,0)),)</f>
        <v/>
      </c>
      <c r="O448">
        <f>IFERROR(INDEX('Company Hitlist'!$N:$N,MATCH(D448,'Company Hitlist'!$A:$A,0)),)</f>
        <v/>
      </c>
      <c r="Q448" t="inlineStr">
        <is>
          <t>todo</t>
        </is>
      </c>
    </row>
    <row r="449">
      <c r="A449" t="inlineStr">
        <is>
          <t>Jennifer Resonable</t>
        </is>
      </c>
      <c r="B449" t="inlineStr">
        <is>
          <t>Attendee</t>
        </is>
      </c>
      <c r="C449" t="inlineStr">
        <is>
          <t>VP Procurement</t>
        </is>
      </c>
      <c r="D449" t="inlineStr">
        <is>
          <t>Allegiant</t>
        </is>
      </c>
      <c r="F449" t="inlineStr">
        <is>
          <t>Yes</t>
        </is>
      </c>
      <c r="H449" t="n">
        <v>14</v>
      </c>
      <c r="I449" t="b">
        <v>0</v>
      </c>
      <c r="J449" t="b">
        <v>1</v>
      </c>
      <c r="K449" t="b">
        <v>0</v>
      </c>
      <c r="L449" t="b">
        <v>1</v>
      </c>
      <c r="M449" t="b">
        <v>0</v>
      </c>
      <c r="N449">
        <f>IFERROR(INDEX('Company Hitlist'!$AA:$AA,MATCH(D449,'Company Hitlist'!$A:$A,0)),)</f>
        <v/>
      </c>
      <c r="O449">
        <f>IFERROR(INDEX('Company Hitlist'!$N:$N,MATCH(D449,'Company Hitlist'!$A:$A,0)),)</f>
        <v/>
      </c>
      <c r="Q449" t="inlineStr">
        <is>
          <t>todo</t>
        </is>
      </c>
    </row>
    <row r="450">
      <c r="A450" t="inlineStr">
        <is>
          <t>Chad Robinson</t>
        </is>
      </c>
      <c r="B450" t="inlineStr">
        <is>
          <t>Attendee</t>
        </is>
      </c>
      <c r="C450" t="inlineStr">
        <is>
          <t>VP Procurement</t>
        </is>
      </c>
      <c r="D450" t="inlineStr">
        <is>
          <t>Allied Group</t>
        </is>
      </c>
      <c r="H450" t="n">
        <v>14</v>
      </c>
      <c r="I450" t="b">
        <v>0</v>
      </c>
      <c r="J450" t="b">
        <v>1</v>
      </c>
      <c r="K450" t="b">
        <v>0</v>
      </c>
      <c r="L450" t="b">
        <v>1</v>
      </c>
      <c r="M450" t="b">
        <v>0</v>
      </c>
      <c r="N450">
        <f>IFERROR(INDEX('Company Hitlist'!$AA:$AA,MATCH(D450,'Company Hitlist'!$A:$A,0)),)</f>
        <v/>
      </c>
      <c r="O450">
        <f>IFERROR(INDEX('Company Hitlist'!$N:$N,MATCH(D450,'Company Hitlist'!$A:$A,0)),)</f>
        <v/>
      </c>
      <c r="Q450" t="inlineStr">
        <is>
          <t>todo</t>
        </is>
      </c>
    </row>
    <row r="451">
      <c r="A451" t="inlineStr">
        <is>
          <t>Mark S. Barrett</t>
        </is>
      </c>
      <c r="B451" t="inlineStr">
        <is>
          <t>Attendee</t>
        </is>
      </c>
      <c r="C451" t="inlineStr">
        <is>
          <t>Group Vice President Procurement, Program Management and Driveshaft Business Unit</t>
        </is>
      </c>
      <c r="D451" t="inlineStr">
        <is>
          <t>American Axle &amp; Manufacturing (AAM)</t>
        </is>
      </c>
      <c r="H451" t="n">
        <v>14</v>
      </c>
      <c r="I451" t="b">
        <v>0</v>
      </c>
      <c r="J451" t="b">
        <v>1</v>
      </c>
      <c r="K451" t="b">
        <v>0</v>
      </c>
      <c r="L451" t="b">
        <v>1</v>
      </c>
      <c r="M451" t="b">
        <v>0</v>
      </c>
      <c r="N451">
        <f>IFERROR(INDEX('Company Hitlist'!$AA:$AA,MATCH(D451,'Company Hitlist'!$A:$A,0)),)</f>
        <v/>
      </c>
      <c r="O451">
        <f>IFERROR(INDEX('Company Hitlist'!$N:$N,MATCH(D451,'Company Hitlist'!$A:$A,0)),)</f>
        <v/>
      </c>
      <c r="Q451" t="inlineStr">
        <is>
          <t>todo</t>
        </is>
      </c>
    </row>
    <row r="452">
      <c r="A452" t="inlineStr">
        <is>
          <t>Ron Bregin</t>
        </is>
      </c>
      <c r="B452" t="inlineStr">
        <is>
          <t>Attendee</t>
        </is>
      </c>
      <c r="C452" t="inlineStr">
        <is>
          <t>VP Global Purchasing</t>
        </is>
      </c>
      <c r="D452" t="inlineStr">
        <is>
          <t>DURA Automotive Systems</t>
        </is>
      </c>
      <c r="H452" t="n">
        <v>14</v>
      </c>
      <c r="I452" t="b">
        <v>0</v>
      </c>
      <c r="J452" t="b">
        <v>1</v>
      </c>
      <c r="K452" t="b">
        <v>0</v>
      </c>
      <c r="L452" t="b">
        <v>1</v>
      </c>
      <c r="M452" t="b">
        <v>0</v>
      </c>
      <c r="N452">
        <f>IFERROR(INDEX('Company Hitlist'!$AA:$AA,MATCH(D452,'Company Hitlist'!$A:$A,0)),)</f>
        <v/>
      </c>
      <c r="O452">
        <f>IFERROR(INDEX('Company Hitlist'!$N:$N,MATCH(D452,'Company Hitlist'!$A:$A,0)),)</f>
        <v/>
      </c>
      <c r="Q452" t="inlineStr">
        <is>
          <t>todo</t>
        </is>
      </c>
    </row>
    <row r="453">
      <c r="A453" t="inlineStr">
        <is>
          <t>Ken Schadler</t>
        </is>
      </c>
      <c r="B453" t="inlineStr">
        <is>
          <t>Attendee</t>
        </is>
      </c>
      <c r="C453" t="inlineStr">
        <is>
          <t>VP Manufacturing and Purchasing</t>
        </is>
      </c>
      <c r="D453" t="inlineStr">
        <is>
          <t>East Penn Manufacturing Co.</t>
        </is>
      </c>
      <c r="F453" t="inlineStr">
        <is>
          <t>Yes</t>
        </is>
      </c>
      <c r="H453" t="n">
        <v>14</v>
      </c>
      <c r="I453" t="b">
        <v>0</v>
      </c>
      <c r="J453" t="b">
        <v>1</v>
      </c>
      <c r="K453" t="b">
        <v>0</v>
      </c>
      <c r="L453" t="b">
        <v>1</v>
      </c>
      <c r="M453" t="b">
        <v>0</v>
      </c>
      <c r="N453">
        <f>IFERROR(INDEX('Company Hitlist'!$AA:$AA,MATCH(D453,'Company Hitlist'!$A:$A,0)),)</f>
        <v/>
      </c>
      <c r="O453">
        <f>IFERROR(INDEX('Company Hitlist'!$N:$N,MATCH(D453,'Company Hitlist'!$A:$A,0)),)</f>
        <v/>
      </c>
      <c r="Q453" t="inlineStr">
        <is>
          <t>todo</t>
        </is>
      </c>
    </row>
    <row r="454">
      <c r="A454" t="inlineStr">
        <is>
          <t>Carlos-Andres Herrara</t>
        </is>
      </c>
      <c r="B454" t="inlineStr">
        <is>
          <t>Attendee</t>
        </is>
      </c>
      <c r="C454" t="inlineStr">
        <is>
          <t>Head of Procurement</t>
        </is>
      </c>
      <c r="D454" t="inlineStr">
        <is>
          <t>Elida Beauty</t>
        </is>
      </c>
      <c r="F454" t="inlineStr">
        <is>
          <t>Yes</t>
        </is>
      </c>
      <c r="G454" t="inlineStr">
        <is>
          <t>$500M (2024 est.; projected $550M in 2025)</t>
        </is>
      </c>
      <c r="H454" t="n">
        <v>14</v>
      </c>
      <c r="I454" t="b">
        <v>0</v>
      </c>
      <c r="J454" t="b">
        <v>1</v>
      </c>
      <c r="K454" t="b">
        <v>0</v>
      </c>
      <c r="L454" t="b">
        <v>1</v>
      </c>
      <c r="M454" t="b">
        <v>0</v>
      </c>
      <c r="N454">
        <f>IFERROR(INDEX('Company Hitlist'!$AA:$AA,MATCH(D454,'Company Hitlist'!$A:$A,0)),)</f>
        <v/>
      </c>
      <c r="O454">
        <f>IFERROR(INDEX('Company Hitlist'!$N:$N,MATCH(D454,'Company Hitlist'!$A:$A,0)),)</f>
        <v/>
      </c>
      <c r="Q454" t="inlineStr">
        <is>
          <t>todo</t>
        </is>
      </c>
    </row>
    <row r="455">
      <c r="A455" t="inlineStr">
        <is>
          <t>Bill Beistline</t>
        </is>
      </c>
      <c r="B455" t="inlineStr">
        <is>
          <t>Attendee</t>
        </is>
      </c>
      <c r="C455" t="inlineStr">
        <is>
          <t>VP Procurement</t>
        </is>
      </c>
      <c r="D455" t="inlineStr">
        <is>
          <t>Flex-N-Gate</t>
        </is>
      </c>
      <c r="H455" t="n">
        <v>14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>
        <f>IFERROR(INDEX('Company Hitlist'!$AA:$AA,MATCH(D455,'Company Hitlist'!$A:$A,0)),)</f>
        <v/>
      </c>
      <c r="O455">
        <f>IFERROR(INDEX('Company Hitlist'!$N:$N,MATCH(D455,'Company Hitlist'!$A:$A,0)),)</f>
        <v/>
      </c>
      <c r="Q455" t="inlineStr">
        <is>
          <t>todo</t>
        </is>
      </c>
    </row>
    <row r="456">
      <c r="A456" t="inlineStr">
        <is>
          <t>Antione Bennett</t>
        </is>
      </c>
      <c r="B456" t="inlineStr">
        <is>
          <t>Attendee</t>
        </is>
      </c>
      <c r="C456" t="inlineStr">
        <is>
          <t>Head of Procurement</t>
        </is>
      </c>
      <c r="D456" t="inlineStr">
        <is>
          <t>Gap inc</t>
        </is>
      </c>
      <c r="F456" t="inlineStr">
        <is>
          <t>Yes</t>
        </is>
      </c>
      <c r="H456" t="n">
        <v>14</v>
      </c>
      <c r="I456" t="b">
        <v>0</v>
      </c>
      <c r="J456" t="b">
        <v>1</v>
      </c>
      <c r="K456" t="b">
        <v>0</v>
      </c>
      <c r="L456" t="b">
        <v>1</v>
      </c>
      <c r="M456" t="b">
        <v>0</v>
      </c>
      <c r="N456">
        <f>IFERROR(INDEX('Company Hitlist'!$AA:$AA,MATCH(D456,'Company Hitlist'!$A:$A,0)),)</f>
        <v/>
      </c>
      <c r="O456">
        <f>IFERROR(INDEX('Company Hitlist'!$N:$N,MATCH(D456,'Company Hitlist'!$A:$A,0)),)</f>
        <v/>
      </c>
      <c r="Q456" t="inlineStr">
        <is>
          <t>todo</t>
        </is>
      </c>
    </row>
    <row r="457">
      <c r="A457" t="inlineStr">
        <is>
          <t>Elena Rasmussen</t>
        </is>
      </c>
      <c r="B457" t="inlineStr">
        <is>
          <t>Attendee</t>
        </is>
      </c>
      <c r="C457" t="inlineStr">
        <is>
          <t>VP Purchasing</t>
        </is>
      </c>
      <c r="D457" t="inlineStr">
        <is>
          <t>Harman International</t>
        </is>
      </c>
      <c r="F457" t="inlineStr">
        <is>
          <t>Yes</t>
        </is>
      </c>
      <c r="H457" t="n">
        <v>14</v>
      </c>
      <c r="I457" t="b">
        <v>0</v>
      </c>
      <c r="J457" t="b">
        <v>1</v>
      </c>
      <c r="K457" t="b">
        <v>0</v>
      </c>
      <c r="L457" t="b">
        <v>1</v>
      </c>
      <c r="M457" t="b">
        <v>0</v>
      </c>
      <c r="N457">
        <f>IFERROR(INDEX('Company Hitlist'!$AA:$AA,MATCH(D457,'Company Hitlist'!$A:$A,0)),)</f>
        <v/>
      </c>
      <c r="O457">
        <f>IFERROR(INDEX('Company Hitlist'!$N:$N,MATCH(D457,'Company Hitlist'!$A:$A,0)),)</f>
        <v/>
      </c>
      <c r="Q457" t="inlineStr">
        <is>
          <t>todo</t>
        </is>
      </c>
    </row>
    <row r="458">
      <c r="A458" t="inlineStr">
        <is>
          <t>Michael Ostrander</t>
        </is>
      </c>
      <c r="B458" t="inlineStr">
        <is>
          <t>Attendee</t>
        </is>
      </c>
      <c r="C458" t="inlineStr">
        <is>
          <t>Global Vice President Purchasing</t>
        </is>
      </c>
      <c r="D458" t="inlineStr">
        <is>
          <t>Henniges Automotive</t>
        </is>
      </c>
      <c r="H458" t="n">
        <v>14</v>
      </c>
      <c r="I458" t="b">
        <v>0</v>
      </c>
      <c r="J458" t="b">
        <v>1</v>
      </c>
      <c r="K458" t="b">
        <v>0</v>
      </c>
      <c r="L458" t="b">
        <v>1</v>
      </c>
      <c r="M458" t="b">
        <v>0</v>
      </c>
      <c r="N458">
        <f>IFERROR(INDEX('Company Hitlist'!$AA:$AA,MATCH(D458,'Company Hitlist'!$A:$A,0)),)</f>
        <v/>
      </c>
      <c r="O458">
        <f>IFERROR(INDEX('Company Hitlist'!$N:$N,MATCH(D458,'Company Hitlist'!$A:$A,0)),)</f>
        <v/>
      </c>
      <c r="Q458" t="inlineStr">
        <is>
          <t>todo</t>
        </is>
      </c>
    </row>
    <row r="459">
      <c r="A459" t="inlineStr">
        <is>
          <t>Larry Vano</t>
        </is>
      </c>
      <c r="B459" t="inlineStr">
        <is>
          <t>Attendee</t>
        </is>
      </c>
      <c r="C459" t="inlineStr">
        <is>
          <t>Chief Procurement Officer</t>
        </is>
      </c>
      <c r="D459" t="inlineStr">
        <is>
          <t>IAC Group</t>
        </is>
      </c>
      <c r="H459" t="n">
        <v>14</v>
      </c>
      <c r="I459" t="b">
        <v>0</v>
      </c>
      <c r="J459" t="b">
        <v>1</v>
      </c>
      <c r="K459" t="b">
        <v>0</v>
      </c>
      <c r="L459" t="b">
        <v>1</v>
      </c>
      <c r="M459" t="b">
        <v>0</v>
      </c>
      <c r="N459">
        <f>IFERROR(INDEX('Company Hitlist'!$AA:$AA,MATCH(D459,'Company Hitlist'!$A:$A,0)),)</f>
        <v/>
      </c>
      <c r="O459">
        <f>IFERROR(INDEX('Company Hitlist'!$N:$N,MATCH(D459,'Company Hitlist'!$A:$A,0)),)</f>
        <v/>
      </c>
      <c r="Q459" t="inlineStr">
        <is>
          <t>todo</t>
        </is>
      </c>
    </row>
    <row r="460">
      <c r="A460" t="inlineStr">
        <is>
          <t>Velat Özkilinc</t>
        </is>
      </c>
      <c r="B460" t="inlineStr">
        <is>
          <t>Attendee</t>
        </is>
      </c>
      <c r="C460" t="inlineStr">
        <is>
          <t>Chief Purchasing Officer</t>
        </is>
      </c>
      <c r="D460" t="inlineStr">
        <is>
          <t>Joyson Safety Systems</t>
        </is>
      </c>
      <c r="H460" t="n">
        <v>14</v>
      </c>
      <c r="I460" t="b">
        <v>0</v>
      </c>
      <c r="J460" t="b">
        <v>1</v>
      </c>
      <c r="K460" t="b">
        <v>0</v>
      </c>
      <c r="L460" t="b">
        <v>1</v>
      </c>
      <c r="M460" t="b">
        <v>0</v>
      </c>
      <c r="N460">
        <f>IFERROR(INDEX('Company Hitlist'!$AA:$AA,MATCH(D460,'Company Hitlist'!$A:$A,0)),)</f>
        <v/>
      </c>
      <c r="O460">
        <f>IFERROR(INDEX('Company Hitlist'!$N:$N,MATCH(D460,'Company Hitlist'!$A:$A,0)),)</f>
        <v/>
      </c>
      <c r="Q460" t="inlineStr">
        <is>
          <t>todo</t>
        </is>
      </c>
    </row>
    <row r="461">
      <c r="A461" t="inlineStr">
        <is>
          <t>Jennifer Krueger</t>
        </is>
      </c>
      <c r="B461" t="inlineStr">
        <is>
          <t>Attendee</t>
        </is>
      </c>
      <c r="C461" t="inlineStr">
        <is>
          <t>Vice President, Planning &amp; Purchasing</t>
        </is>
      </c>
      <c r="D461" t="inlineStr">
        <is>
          <t>Light &amp; Wonder</t>
        </is>
      </c>
      <c r="H461" t="n">
        <v>14</v>
      </c>
      <c r="I461" t="b">
        <v>0</v>
      </c>
      <c r="J461" t="b">
        <v>1</v>
      </c>
      <c r="K461" t="b">
        <v>0</v>
      </c>
      <c r="L461" t="b">
        <v>1</v>
      </c>
      <c r="M461" t="b">
        <v>0</v>
      </c>
      <c r="N461">
        <f>IFERROR(INDEX('Company Hitlist'!$AA:$AA,MATCH(D461,'Company Hitlist'!$A:$A,0)),)</f>
        <v/>
      </c>
      <c r="O461">
        <f>IFERROR(INDEX('Company Hitlist'!$N:$N,MATCH(D461,'Company Hitlist'!$A:$A,0)),)</f>
        <v/>
      </c>
      <c r="Q461" t="inlineStr">
        <is>
          <t>todo</t>
        </is>
      </c>
    </row>
    <row r="462">
      <c r="A462" t="inlineStr">
        <is>
          <t>Esteban REYES</t>
        </is>
      </c>
      <c r="B462" t="inlineStr">
        <is>
          <t>Attendee</t>
        </is>
      </c>
      <c r="C462" t="inlineStr">
        <is>
          <t>Head Global ecommerce Procurement</t>
        </is>
      </c>
      <c r="D462" t="inlineStr">
        <is>
          <t>Maersk</t>
        </is>
      </c>
      <c r="F462" t="inlineStr">
        <is>
          <t>Yes</t>
        </is>
      </c>
      <c r="G462" t="inlineStr">
        <is>
          <t>$61B (2024; projected $65B in 2025)</t>
        </is>
      </c>
      <c r="H462" t="n">
        <v>14</v>
      </c>
      <c r="I462" t="b">
        <v>0</v>
      </c>
      <c r="J462" t="b">
        <v>1</v>
      </c>
      <c r="K462" t="b">
        <v>0</v>
      </c>
      <c r="L462" t="b">
        <v>1</v>
      </c>
      <c r="M462" t="b">
        <v>0</v>
      </c>
      <c r="N462">
        <f>IFERROR(INDEX('Company Hitlist'!$AA:$AA,MATCH(D462,'Company Hitlist'!$A:$A,0)),)</f>
        <v/>
      </c>
      <c r="O462">
        <f>IFERROR(INDEX('Company Hitlist'!$N:$N,MATCH(D462,'Company Hitlist'!$A:$A,0)),)</f>
        <v/>
      </c>
      <c r="Q462" t="inlineStr">
        <is>
          <t>todo</t>
        </is>
      </c>
    </row>
    <row r="463">
      <c r="A463" t="inlineStr">
        <is>
          <t>Anup Pillay</t>
        </is>
      </c>
      <c r="B463" t="inlineStr">
        <is>
          <t>Attendee</t>
        </is>
      </c>
      <c r="C463" t="inlineStr">
        <is>
          <t>Vice President of Procurement</t>
        </is>
      </c>
      <c r="D463" t="inlineStr">
        <is>
          <t>Niagara Bottling</t>
        </is>
      </c>
      <c r="H463" t="n">
        <v>14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>
        <f>IFERROR(INDEX('Company Hitlist'!$AA:$AA,MATCH(D463,'Company Hitlist'!$A:$A,0)),)</f>
        <v/>
      </c>
      <c r="O463">
        <f>IFERROR(INDEX('Company Hitlist'!$N:$N,MATCH(D463,'Company Hitlist'!$A:$A,0)),)</f>
        <v/>
      </c>
      <c r="Q463" t="inlineStr">
        <is>
          <t>todo</t>
        </is>
      </c>
    </row>
    <row r="464">
      <c r="A464" t="inlineStr">
        <is>
          <t>Steve Fehling</t>
        </is>
      </c>
      <c r="B464" t="inlineStr">
        <is>
          <t>Attendee</t>
        </is>
      </c>
      <c r="C464" t="inlineStr">
        <is>
          <t>VP Procurement</t>
        </is>
      </c>
      <c r="D464" t="inlineStr">
        <is>
          <t>Novelis</t>
        </is>
      </c>
      <c r="H464" t="n">
        <v>14</v>
      </c>
      <c r="I464" t="b">
        <v>0</v>
      </c>
      <c r="J464" t="b">
        <v>1</v>
      </c>
      <c r="K464" t="b">
        <v>0</v>
      </c>
      <c r="L464" t="b">
        <v>1</v>
      </c>
      <c r="M464" t="b">
        <v>0</v>
      </c>
      <c r="N464">
        <f>IFERROR(INDEX('Company Hitlist'!$AA:$AA,MATCH(D464,'Company Hitlist'!$A:$A,0)),)</f>
        <v/>
      </c>
      <c r="O464">
        <f>IFERROR(INDEX('Company Hitlist'!$N:$N,MATCH(D464,'Company Hitlist'!$A:$A,0)),)</f>
        <v/>
      </c>
      <c r="Q464" t="inlineStr">
        <is>
          <t>todo</t>
        </is>
      </c>
    </row>
    <row r="465">
      <c r="A465" t="inlineStr">
        <is>
          <t>Sidney Locke</t>
        </is>
      </c>
      <c r="B465" t="inlineStr">
        <is>
          <t>Attendee</t>
        </is>
      </c>
      <c r="C465" t="inlineStr">
        <is>
          <t>Global Vice President - HR, Purchasing and Communication</t>
        </is>
      </c>
      <c r="D465" t="inlineStr">
        <is>
          <t>SAGE Automotive Interiors</t>
        </is>
      </c>
      <c r="H465" t="n">
        <v>14</v>
      </c>
      <c r="I465" t="b">
        <v>0</v>
      </c>
      <c r="J465" t="b">
        <v>1</v>
      </c>
      <c r="K465" t="b">
        <v>0</v>
      </c>
      <c r="L465" t="b">
        <v>1</v>
      </c>
      <c r="M465" t="b">
        <v>0</v>
      </c>
      <c r="N465">
        <f>IFERROR(INDEX('Company Hitlist'!$AA:$AA,MATCH(D465,'Company Hitlist'!$A:$A,0)),)</f>
        <v/>
      </c>
      <c r="O465">
        <f>IFERROR(INDEX('Company Hitlist'!$N:$N,MATCH(D465,'Company Hitlist'!$A:$A,0)),)</f>
        <v/>
      </c>
      <c r="Q465" t="inlineStr">
        <is>
          <t>todo</t>
        </is>
      </c>
    </row>
    <row r="466">
      <c r="A466" t="inlineStr">
        <is>
          <t>Shawn Pace</t>
        </is>
      </c>
      <c r="B466" t="inlineStr">
        <is>
          <t>Attendee</t>
        </is>
      </c>
      <c r="C466" t="inlineStr">
        <is>
          <t>Chief Procurement Officer</t>
        </is>
      </c>
      <c r="D466" t="inlineStr">
        <is>
          <t>The Goodyear Tire &amp; Rubber Company</t>
        </is>
      </c>
      <c r="H466" t="n">
        <v>14</v>
      </c>
      <c r="I466" t="b">
        <v>0</v>
      </c>
      <c r="J466" t="b">
        <v>1</v>
      </c>
      <c r="K466" t="b">
        <v>0</v>
      </c>
      <c r="L466" t="b">
        <v>1</v>
      </c>
      <c r="M466" t="b">
        <v>0</v>
      </c>
      <c r="N466">
        <f>IFERROR(INDEX('Company Hitlist'!$AA:$AA,MATCH(D466,'Company Hitlist'!$A:$A,0)),)</f>
        <v/>
      </c>
      <c r="O466">
        <f>IFERROR(INDEX('Company Hitlist'!$N:$N,MATCH(D466,'Company Hitlist'!$A:$A,0)),)</f>
        <v/>
      </c>
      <c r="Q466" t="inlineStr">
        <is>
          <t>todo</t>
        </is>
      </c>
    </row>
    <row r="467">
      <c r="A467" t="inlineStr">
        <is>
          <t>Maggie Brommer</t>
        </is>
      </c>
      <c r="B467" t="inlineStr">
        <is>
          <t>Attendee</t>
        </is>
      </c>
      <c r="C467" t="inlineStr">
        <is>
          <t>Head of Procurement</t>
        </is>
      </c>
      <c r="D467" t="inlineStr">
        <is>
          <t>Unilever Prestige</t>
        </is>
      </c>
      <c r="F467" t="inlineStr">
        <is>
          <t>Yes</t>
        </is>
      </c>
      <c r="G467" t="inlineStr">
        <is>
          <t>$686M (2025 est.; part of Unilever) (ICP match)</t>
        </is>
      </c>
      <c r="H467" t="n">
        <v>14</v>
      </c>
      <c r="I467" t="b">
        <v>0</v>
      </c>
      <c r="J467" t="b">
        <v>1</v>
      </c>
      <c r="K467" t="b">
        <v>0</v>
      </c>
      <c r="L467" t="b">
        <v>1</v>
      </c>
      <c r="M467" t="b">
        <v>0</v>
      </c>
      <c r="N467">
        <f>IFERROR(INDEX('Company Hitlist'!$AA:$AA,MATCH(D467,'Company Hitlist'!$A:$A,0)),)</f>
        <v/>
      </c>
      <c r="O467">
        <f>IFERROR(INDEX('Company Hitlist'!$N:$N,MATCH(D467,'Company Hitlist'!$A:$A,0)),)</f>
        <v/>
      </c>
      <c r="Q467" t="inlineStr">
        <is>
          <t>todo</t>
        </is>
      </c>
    </row>
    <row r="468">
      <c r="A468" t="inlineStr">
        <is>
          <t>Adrian Meouchi</t>
        </is>
      </c>
      <c r="B468" t="inlineStr">
        <is>
          <t>Attendee</t>
        </is>
      </c>
      <c r="C468" t="inlineStr">
        <is>
          <t>VP Corporate Procurement</t>
        </is>
      </c>
      <c r="D468" t="inlineStr">
        <is>
          <t>Vitro Automotive Glass</t>
        </is>
      </c>
      <c r="H468" t="n">
        <v>14</v>
      </c>
      <c r="I468" t="b">
        <v>0</v>
      </c>
      <c r="J468" t="b">
        <v>1</v>
      </c>
      <c r="K468" t="b">
        <v>0</v>
      </c>
      <c r="L468" t="b">
        <v>1</v>
      </c>
      <c r="M468" t="b">
        <v>0</v>
      </c>
      <c r="N468">
        <f>IFERROR(INDEX('Company Hitlist'!$AA:$AA,MATCH(D468,'Company Hitlist'!$A:$A,0)),)</f>
        <v/>
      </c>
      <c r="O468">
        <f>IFERROR(INDEX('Company Hitlist'!$N:$N,MATCH(D468,'Company Hitlist'!$A:$A,0)),)</f>
        <v/>
      </c>
      <c r="Q468" t="inlineStr">
        <is>
          <t>todo</t>
        </is>
      </c>
    </row>
    <row r="469">
      <c r="A469" t="inlineStr">
        <is>
          <t>Kenneth Sine</t>
        </is>
      </c>
      <c r="B469" t="inlineStr">
        <is>
          <t>Attendee</t>
        </is>
      </c>
      <c r="C469" t="inlineStr">
        <is>
          <t>Head of Global Procurement</t>
        </is>
      </c>
      <c r="D469" t="inlineStr">
        <is>
          <t>Wayfair</t>
        </is>
      </c>
      <c r="F469" t="inlineStr">
        <is>
          <t>Yes</t>
        </is>
      </c>
      <c r="H469" t="n">
        <v>14</v>
      </c>
      <c r="I469" t="b">
        <v>0</v>
      </c>
      <c r="J469" t="b">
        <v>1</v>
      </c>
      <c r="K469" t="b">
        <v>0</v>
      </c>
      <c r="L469" t="b">
        <v>1</v>
      </c>
      <c r="M469" t="b">
        <v>0</v>
      </c>
      <c r="N469">
        <f>IFERROR(INDEX('Company Hitlist'!$AA:$AA,MATCH(D469,'Company Hitlist'!$A:$A,0)),)</f>
        <v/>
      </c>
      <c r="O469">
        <f>IFERROR(INDEX('Company Hitlist'!$N:$N,MATCH(D469,'Company Hitlist'!$A:$A,0)),)</f>
        <v/>
      </c>
      <c r="Q469" t="inlineStr">
        <is>
          <t>todo</t>
        </is>
      </c>
    </row>
    <row r="470">
      <c r="A470" t="inlineStr">
        <is>
          <t>Abhijit Supekar</t>
        </is>
      </c>
      <c r="B470" t="inlineStr">
        <is>
          <t>Speaker</t>
        </is>
      </c>
      <c r="C470" t="inlineStr">
        <is>
          <t>Senior Director, Global Supply Chain</t>
        </is>
      </c>
      <c r="D470" t="inlineStr">
        <is>
          <t>Aeva</t>
        </is>
      </c>
      <c r="H470" t="n">
        <v>13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>
        <f>IFERROR(INDEX('Company Hitlist'!$AA:$AA,MATCH(D470,'Company Hitlist'!$A:$A,0)),)</f>
        <v/>
      </c>
      <c r="O470">
        <f>IFERROR(INDEX('Company Hitlist'!$N:$N,MATCH(D470,'Company Hitlist'!$A:$A,0)),)</f>
        <v/>
      </c>
      <c r="Q470" t="inlineStr">
        <is>
          <t>todo</t>
        </is>
      </c>
    </row>
    <row r="471">
      <c r="A471" t="inlineStr">
        <is>
          <t>Rob Haddock</t>
        </is>
      </c>
      <c r="B471" t="inlineStr">
        <is>
          <t>Speaker</t>
        </is>
      </c>
      <c r="C471" t="inlineStr">
        <is>
          <t>Transportation Advisor</t>
        </is>
      </c>
      <c r="D471" t="inlineStr">
        <is>
          <t>Albedo Logistics Solutions</t>
        </is>
      </c>
      <c r="F471" t="inlineStr">
        <is>
          <t>Yes</t>
        </is>
      </c>
      <c r="H471" t="n">
        <v>13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>
        <f>IFERROR(INDEX('Company Hitlist'!$AA:$AA,MATCH(D471,'Company Hitlist'!$A:$A,0)),)</f>
        <v/>
      </c>
      <c r="O471">
        <f>IFERROR(INDEX('Company Hitlist'!$N:$N,MATCH(D471,'Company Hitlist'!$A:$A,0)),)</f>
        <v/>
      </c>
      <c r="Q471" t="inlineStr">
        <is>
          <t>todo</t>
        </is>
      </c>
    </row>
    <row r="472">
      <c r="A472" t="inlineStr">
        <is>
          <t>Colin Campbell</t>
        </is>
      </c>
      <c r="B472" t="inlineStr">
        <is>
          <t>Speaker</t>
        </is>
      </c>
      <c r="C472" t="inlineStr">
        <is>
          <t>Supply Chain Deals Reporter</t>
        </is>
      </c>
      <c r="D472" t="inlineStr">
        <is>
          <t>Axios</t>
        </is>
      </c>
      <c r="H472" t="n">
        <v>13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>
        <f>IFERROR(INDEX('Company Hitlist'!$AA:$AA,MATCH(D472,'Company Hitlist'!$A:$A,0)),)</f>
        <v/>
      </c>
      <c r="O472">
        <f>IFERROR(INDEX('Company Hitlist'!$N:$N,MATCH(D472,'Company Hitlist'!$A:$A,0)),)</f>
        <v/>
      </c>
      <c r="Q472" t="inlineStr">
        <is>
          <t>todo</t>
        </is>
      </c>
    </row>
    <row r="473">
      <c r="A473" t="inlineStr">
        <is>
          <t>Lee Klaskow</t>
        </is>
      </c>
      <c r="B473" t="inlineStr">
        <is>
          <t>Speaker</t>
        </is>
      </c>
      <c r="C473" t="inlineStr">
        <is>
          <t>Senior Analyst - Transportation and Logistics</t>
        </is>
      </c>
      <c r="D473" t="inlineStr">
        <is>
          <t>Bloomberg Intelligence</t>
        </is>
      </c>
      <c r="H473" t="n">
        <v>13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>
        <f>IFERROR(INDEX('Company Hitlist'!$AA:$AA,MATCH(D473,'Company Hitlist'!$A:$A,0)),)</f>
        <v/>
      </c>
      <c r="O473">
        <f>IFERROR(INDEX('Company Hitlist'!$N:$N,MATCH(D473,'Company Hitlist'!$A:$A,0)),)</f>
        <v/>
      </c>
      <c r="Q473" t="inlineStr">
        <is>
          <t>todo</t>
        </is>
      </c>
    </row>
    <row r="474">
      <c r="A474" t="inlineStr">
        <is>
          <t>John Kirkman</t>
        </is>
      </c>
      <c r="B474" t="inlineStr">
        <is>
          <t>Speaker</t>
        </is>
      </c>
      <c r="C474" t="inlineStr">
        <is>
          <t>Senior Managing Director, Supply Chain</t>
        </is>
      </c>
      <c r="D474" t="inlineStr">
        <is>
          <t>CBRE</t>
        </is>
      </c>
      <c r="H474" t="n">
        <v>13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>
        <f>IFERROR(INDEX('Company Hitlist'!$AA:$AA,MATCH(D474,'Company Hitlist'!$A:$A,0)),)</f>
        <v/>
      </c>
      <c r="O474">
        <f>IFERROR(INDEX('Company Hitlist'!$N:$N,MATCH(D474,'Company Hitlist'!$A:$A,0)),)</f>
        <v/>
      </c>
      <c r="Q474" t="inlineStr">
        <is>
          <t>todo</t>
        </is>
      </c>
    </row>
    <row r="475">
      <c r="A475" t="inlineStr">
        <is>
          <t>Kristi App</t>
        </is>
      </c>
      <c r="B475" t="inlineStr">
        <is>
          <t>Speaker</t>
        </is>
      </c>
      <c r="C475" t="inlineStr">
        <is>
          <t>Port of New Orleans &amp; New Orleans Public Belt</t>
        </is>
      </c>
      <c r="D475" t="inlineStr">
        <is>
          <t>CCO</t>
        </is>
      </c>
      <c r="F475" t="inlineStr">
        <is>
          <t>Yes</t>
        </is>
      </c>
      <c r="H475" t="n">
        <v>13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>
        <f>IFERROR(INDEX('Company Hitlist'!$AA:$AA,MATCH(D475,'Company Hitlist'!$A:$A,0)),)</f>
        <v/>
      </c>
      <c r="O475">
        <f>IFERROR(INDEX('Company Hitlist'!$N:$N,MATCH(D475,'Company Hitlist'!$A:$A,0)),)</f>
        <v/>
      </c>
      <c r="Q475" t="inlineStr">
        <is>
          <t>todo</t>
        </is>
      </c>
    </row>
    <row r="476">
      <c r="A476" t="inlineStr">
        <is>
          <t>Tina Sherman</t>
        </is>
      </c>
      <c r="B476" t="inlineStr">
        <is>
          <t>Speaker</t>
        </is>
      </c>
      <c r="C476" t="inlineStr">
        <is>
          <t>Supply Chain Manager</t>
        </is>
      </c>
      <c r="D476" t="inlineStr">
        <is>
          <t>CDF Corporation</t>
        </is>
      </c>
      <c r="H476" t="n">
        <v>13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>
        <f>IFERROR(INDEX('Company Hitlist'!$AA:$AA,MATCH(D476,'Company Hitlist'!$A:$A,0)),)</f>
        <v/>
      </c>
      <c r="O476">
        <f>IFERROR(INDEX('Company Hitlist'!$N:$N,MATCH(D476,'Company Hitlist'!$A:$A,0)),)</f>
        <v/>
      </c>
      <c r="Q476" t="inlineStr">
        <is>
          <t>todo</t>
        </is>
      </c>
    </row>
    <row r="477">
      <c r="A477" t="inlineStr">
        <is>
          <t>Samantha Kane</t>
        </is>
      </c>
      <c r="B477" t="inlineStr">
        <is>
          <t>Speaker</t>
        </is>
      </c>
      <c r="C477" t="inlineStr">
        <is>
          <t>Director of Planning &amp; Operations</t>
        </is>
      </c>
      <c r="D477" t="inlineStr">
        <is>
          <t>Canopy</t>
        </is>
      </c>
      <c r="F477" t="inlineStr">
        <is>
          <t>Yes</t>
        </is>
      </c>
      <c r="H477" t="n">
        <v>13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>
        <f>IFERROR(INDEX('Company Hitlist'!$AA:$AA,MATCH(D477,'Company Hitlist'!$A:$A,0)),)</f>
        <v/>
      </c>
      <c r="O477">
        <f>IFERROR(INDEX('Company Hitlist'!$N:$N,MATCH(D477,'Company Hitlist'!$A:$A,0)),)</f>
        <v/>
      </c>
      <c r="Q477" t="inlineStr">
        <is>
          <t>todo</t>
        </is>
      </c>
    </row>
    <row r="478">
      <c r="A478" t="inlineStr">
        <is>
          <t>Meghan Wichern</t>
        </is>
      </c>
      <c r="B478" t="inlineStr">
        <is>
          <t>Speaker</t>
        </is>
      </c>
      <c r="C478" t="inlineStr">
        <is>
          <t>Director of Logistics, The Americas</t>
        </is>
      </c>
      <c r="D478" t="inlineStr">
        <is>
          <t>Christian Louboutin</t>
        </is>
      </c>
      <c r="E478" t="inlineStr">
        <is>
          <t>United States</t>
        </is>
      </c>
      <c r="H478" t="n">
        <v>13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>
        <f>IFERROR(INDEX('Company Hitlist'!$AA:$AA,MATCH(D478,'Company Hitlist'!$A:$A,0)),)</f>
        <v/>
      </c>
      <c r="O478">
        <f>IFERROR(INDEX('Company Hitlist'!$N:$N,MATCH(D478,'Company Hitlist'!$A:$A,0)),)</f>
        <v/>
      </c>
      <c r="Q478" t="inlineStr">
        <is>
          <t>todo</t>
        </is>
      </c>
    </row>
    <row r="479">
      <c r="A479" t="inlineStr">
        <is>
          <t>Lance McCrorey</t>
        </is>
      </c>
      <c r="B479" t="inlineStr">
        <is>
          <t>Speaker</t>
        </is>
      </c>
      <c r="C479" t="inlineStr">
        <is>
          <t>Transportation Manager, US/Canada Regions</t>
        </is>
      </c>
      <c r="D479" t="inlineStr">
        <is>
          <t>Continental Tire</t>
        </is>
      </c>
      <c r="H479" t="n">
        <v>13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>
        <f>IFERROR(INDEX('Company Hitlist'!$AA:$AA,MATCH(D479,'Company Hitlist'!$A:$A,0)),)</f>
        <v/>
      </c>
      <c r="O479">
        <f>IFERROR(INDEX('Company Hitlist'!$N:$N,MATCH(D479,'Company Hitlist'!$A:$A,0)),)</f>
        <v/>
      </c>
      <c r="Q479" t="inlineStr">
        <is>
          <t>todo</t>
        </is>
      </c>
    </row>
    <row r="480">
      <c r="A480" t="inlineStr">
        <is>
          <t>Andrew Sutton</t>
        </is>
      </c>
      <c r="B480" t="inlineStr">
        <is>
          <t>Speaker</t>
        </is>
      </c>
      <c r="C480" t="inlineStr">
        <is>
          <t>Sr. Director, Fulfillment</t>
        </is>
      </c>
      <c r="D480" t="inlineStr">
        <is>
          <t>Dr. Squatch</t>
        </is>
      </c>
      <c r="E480" t="inlineStr">
        <is>
          <t>United States</t>
        </is>
      </c>
      <c r="F480" t="inlineStr">
        <is>
          <t>Yes</t>
        </is>
      </c>
      <c r="G480" t="inlineStr">
        <is>
          <t>$100M+ (2024 est.; projected $110M in 2025)</t>
        </is>
      </c>
      <c r="H480" t="n">
        <v>13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>
        <f>IFERROR(INDEX('Company Hitlist'!$AA:$AA,MATCH(D480,'Company Hitlist'!$A:$A,0)),)</f>
        <v/>
      </c>
      <c r="O480">
        <f>IFERROR(INDEX('Company Hitlist'!$N:$N,MATCH(D480,'Company Hitlist'!$A:$A,0)),)</f>
        <v/>
      </c>
      <c r="Q480" t="inlineStr">
        <is>
          <t>todo</t>
        </is>
      </c>
    </row>
    <row r="481">
      <c r="A481" t="inlineStr">
        <is>
          <t>Kok Ee Lian</t>
        </is>
      </c>
      <c r="B481" t="inlineStr">
        <is>
          <t>Speaker</t>
        </is>
      </c>
      <c r="C481" t="inlineStr">
        <is>
          <t>Global Supply Chain Director</t>
        </is>
      </c>
      <c r="D481" t="inlineStr">
        <is>
          <t>Dyson</t>
        </is>
      </c>
      <c r="H481" t="n">
        <v>13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>
        <f>IFERROR(INDEX('Company Hitlist'!$AA:$AA,MATCH(D481,'Company Hitlist'!$A:$A,0)),)</f>
        <v/>
      </c>
      <c r="O481">
        <f>IFERROR(INDEX('Company Hitlist'!$N:$N,MATCH(D481,'Company Hitlist'!$A:$A,0)),)</f>
        <v/>
      </c>
      <c r="Q481" t="inlineStr">
        <is>
          <t>todo</t>
        </is>
      </c>
    </row>
    <row r="482">
      <c r="A482" t="inlineStr">
        <is>
          <t>Navendu Sharma</t>
        </is>
      </c>
      <c r="B482" t="inlineStr">
        <is>
          <t>Speaker</t>
        </is>
      </c>
      <c r="C482" t="inlineStr">
        <is>
          <t>Director, Sustainable Business Operations</t>
        </is>
      </c>
      <c r="D482" t="inlineStr">
        <is>
          <t>Fabletics</t>
        </is>
      </c>
      <c r="F482" t="inlineStr">
        <is>
          <t>Yes</t>
        </is>
      </c>
      <c r="G482" t="inlineStr">
        <is>
          <t>$500M (2024 est.; projected $550M in 2025)</t>
        </is>
      </c>
      <c r="H482" t="n">
        <v>13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>
        <f>IFERROR(INDEX('Company Hitlist'!$AA:$AA,MATCH(D482,'Company Hitlist'!$A:$A,0)),)</f>
        <v/>
      </c>
      <c r="O482">
        <f>IFERROR(INDEX('Company Hitlist'!$N:$N,MATCH(D482,'Company Hitlist'!$A:$A,0)),)</f>
        <v/>
      </c>
      <c r="Q482" t="inlineStr">
        <is>
          <t>todo</t>
        </is>
      </c>
    </row>
    <row r="483">
      <c r="A483" t="inlineStr">
        <is>
          <t>Chris Gaffney</t>
        </is>
      </c>
      <c r="B483" t="inlineStr">
        <is>
          <t>Speaker</t>
        </is>
      </c>
      <c r="C483" t="inlineStr">
        <is>
          <t>Managing Director, Supply Chain &amp; Logistics Institute (SCL)</t>
        </is>
      </c>
      <c r="D483" t="inlineStr">
        <is>
          <t>Georgia Tech Professional Education (GTPE) Chris Gaffney Managing Director, S</t>
        </is>
      </c>
      <c r="H483" t="n">
        <v>13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>
        <f>IFERROR(INDEX('Company Hitlist'!$AA:$AA,MATCH(D483,'Company Hitlist'!$A:$A,0)),)</f>
        <v/>
      </c>
      <c r="O483">
        <f>IFERROR(INDEX('Company Hitlist'!$N:$N,MATCH(D483,'Company Hitlist'!$A:$A,0)),)</f>
        <v/>
      </c>
      <c r="Q483" t="inlineStr">
        <is>
          <t>todo</t>
        </is>
      </c>
    </row>
    <row r="484">
      <c r="A484" t="inlineStr">
        <is>
          <t>Paula Natoli</t>
        </is>
      </c>
      <c r="B484" t="inlineStr">
        <is>
          <t>Speaker</t>
        </is>
      </c>
      <c r="C484" t="inlineStr">
        <is>
          <t>Director, Global Strategic Industries, Supply Chain &amp; Logistics</t>
        </is>
      </c>
      <c r="D484" t="inlineStr">
        <is>
          <t>Google</t>
        </is>
      </c>
      <c r="E484" t="inlineStr">
        <is>
          <t>United States</t>
        </is>
      </c>
      <c r="H484" t="n">
        <v>13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>
        <f>IFERROR(INDEX('Company Hitlist'!$AA:$AA,MATCH(D484,'Company Hitlist'!$A:$A,0)),)</f>
        <v/>
      </c>
      <c r="O484">
        <f>IFERROR(INDEX('Company Hitlist'!$N:$N,MATCH(D484,'Company Hitlist'!$A:$A,0)),)</f>
        <v/>
      </c>
      <c r="Q484" t="inlineStr">
        <is>
          <t>todo</t>
        </is>
      </c>
    </row>
    <row r="485">
      <c r="A485" t="inlineStr">
        <is>
          <t>Frank Wurst</t>
        </is>
      </c>
      <c r="B485" t="inlineStr">
        <is>
          <t>Speaker</t>
        </is>
      </c>
      <c r="C485" t="inlineStr">
        <is>
          <t>Director, North America &amp; EMEA Logistics</t>
        </is>
      </c>
      <c r="D485" t="inlineStr">
        <is>
          <t>Greif</t>
        </is>
      </c>
      <c r="H485" t="n">
        <v>13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>
        <f>IFERROR(INDEX('Company Hitlist'!$AA:$AA,MATCH(D485,'Company Hitlist'!$A:$A,0)),)</f>
        <v/>
      </c>
      <c r="O485">
        <f>IFERROR(INDEX('Company Hitlist'!$N:$N,MATCH(D485,'Company Hitlist'!$A:$A,0)),)</f>
        <v/>
      </c>
      <c r="Q485" t="inlineStr">
        <is>
          <t>todo</t>
        </is>
      </c>
    </row>
    <row r="486">
      <c r="A486" t="inlineStr">
        <is>
          <t>Sofia Rivas</t>
        </is>
      </c>
      <c r="B486" t="inlineStr">
        <is>
          <t>Speaker</t>
        </is>
      </c>
      <c r="C486" t="inlineStr">
        <is>
          <t>Supply Chain Network Design and Optimization Manager</t>
        </is>
      </c>
      <c r="D486" t="inlineStr">
        <is>
          <t>HP</t>
        </is>
      </c>
      <c r="H486" t="n">
        <v>13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>
        <f>IFERROR(INDEX('Company Hitlist'!$AA:$AA,MATCH(D486,'Company Hitlist'!$A:$A,0)),)</f>
        <v/>
      </c>
      <c r="O486">
        <f>IFERROR(INDEX('Company Hitlist'!$N:$N,MATCH(D486,'Company Hitlist'!$A:$A,0)),)</f>
        <v/>
      </c>
      <c r="Q486" t="inlineStr">
        <is>
          <t>todo</t>
        </is>
      </c>
    </row>
    <row r="487">
      <c r="A487" t="inlineStr">
        <is>
          <t>Jean-Pascal Gagnon</t>
        </is>
      </c>
      <c r="B487" t="inlineStr">
        <is>
          <t>Speaker</t>
        </is>
      </c>
      <c r="C487" t="inlineStr">
        <is>
          <t>Portfolio Leader, Supply Chain &amp; Transportation</t>
        </is>
      </c>
      <c r="D487" t="inlineStr">
        <is>
          <t>Harris</t>
        </is>
      </c>
      <c r="H487" t="n">
        <v>13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>
        <f>IFERROR(INDEX('Company Hitlist'!$AA:$AA,MATCH(D487,'Company Hitlist'!$A:$A,0)),)</f>
        <v/>
      </c>
      <c r="O487">
        <f>IFERROR(INDEX('Company Hitlist'!$N:$N,MATCH(D487,'Company Hitlist'!$A:$A,0)),)</f>
        <v/>
      </c>
      <c r="Q487" t="inlineStr">
        <is>
          <t>todo</t>
        </is>
      </c>
    </row>
    <row r="488">
      <c r="A488" t="inlineStr">
        <is>
          <t>Taylor Rotella</t>
        </is>
      </c>
      <c r="B488" t="inlineStr">
        <is>
          <t>Speaker</t>
        </is>
      </c>
      <c r="C488" t="inlineStr">
        <is>
          <t>Logistics Consultant</t>
        </is>
      </c>
      <c r="D488" t="inlineStr">
        <is>
          <t>Kimberly-Clark</t>
        </is>
      </c>
      <c r="E488" t="inlineStr">
        <is>
          <t>United States</t>
        </is>
      </c>
      <c r="F488" t="inlineStr">
        <is>
          <t>Yes</t>
        </is>
      </c>
      <c r="G488" t="inlineStr">
        <is>
          <t>$20.4B (2024; projected $21B in 2025)</t>
        </is>
      </c>
      <c r="H488" t="n">
        <v>13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>
        <f>IFERROR(INDEX('Company Hitlist'!$AA:$AA,MATCH(D488,'Company Hitlist'!$A:$A,0)),)</f>
        <v/>
      </c>
      <c r="O488">
        <f>IFERROR(INDEX('Company Hitlist'!$N:$N,MATCH(D488,'Company Hitlist'!$A:$A,0)),)</f>
        <v/>
      </c>
      <c r="Q488" t="inlineStr">
        <is>
          <t>todo</t>
        </is>
      </c>
    </row>
    <row r="489">
      <c r="A489" t="inlineStr">
        <is>
          <t>Prabhat Pinnaka</t>
        </is>
      </c>
      <c r="B489" t="inlineStr">
        <is>
          <t>Speaker</t>
        </is>
      </c>
      <c r="C489" t="inlineStr">
        <is>
          <t>Technology Product Leader - Supply Chain &amp; AI</t>
        </is>
      </c>
      <c r="D489" t="inlineStr">
        <is>
          <t>Lowe's Companies</t>
        </is>
      </c>
      <c r="H489" t="n">
        <v>13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>
        <f>IFERROR(INDEX('Company Hitlist'!$AA:$AA,MATCH(D489,'Company Hitlist'!$A:$A,0)),)</f>
        <v/>
      </c>
      <c r="O489">
        <f>IFERROR(INDEX('Company Hitlist'!$N:$N,MATCH(D489,'Company Hitlist'!$A:$A,0)),)</f>
        <v/>
      </c>
      <c r="Q489" t="inlineStr">
        <is>
          <t>todo</t>
        </is>
      </c>
    </row>
    <row r="490">
      <c r="A490" t="inlineStr">
        <is>
          <t>Mike Shaverin</t>
        </is>
      </c>
      <c r="B490" t="inlineStr">
        <is>
          <t>Speaker</t>
        </is>
      </c>
      <c r="C490" t="inlineStr">
        <is>
          <t>Global Supply Chain Director</t>
        </is>
      </c>
      <c r="D490" t="inlineStr">
        <is>
          <t>Mars</t>
        </is>
      </c>
      <c r="E490" t="inlineStr">
        <is>
          <t>United Kingdom</t>
        </is>
      </c>
      <c r="H490" t="n">
        <v>13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>
        <f>IFERROR(INDEX('Company Hitlist'!$AA:$AA,MATCH(D490,'Company Hitlist'!$A:$A,0)),)</f>
        <v/>
      </c>
      <c r="O490">
        <f>IFERROR(INDEX('Company Hitlist'!$N:$N,MATCH(D490,'Company Hitlist'!$A:$A,0)),)</f>
        <v/>
      </c>
      <c r="Q490" t="inlineStr">
        <is>
          <t>todo</t>
        </is>
      </c>
    </row>
    <row r="491">
      <c r="A491" t="inlineStr">
        <is>
          <t>Lusine Atayan</t>
        </is>
      </c>
      <c r="B491" t="inlineStr">
        <is>
          <t>Speaker</t>
        </is>
      </c>
      <c r="C491" t="inlineStr">
        <is>
          <t>Director of Logistics &amp; Distribution</t>
        </is>
      </c>
      <c r="D491" t="inlineStr">
        <is>
          <t>Mary Kay Global</t>
        </is>
      </c>
      <c r="E491" t="inlineStr">
        <is>
          <t>United States</t>
        </is>
      </c>
      <c r="F491" t="inlineStr">
        <is>
          <t>Yes</t>
        </is>
      </c>
      <c r="G491" t="inlineStr">
        <is>
          <t>$2.5B (2024; projected $2.6B in 2025)</t>
        </is>
      </c>
      <c r="H491" t="n">
        <v>13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>
        <f>IFERROR(INDEX('Company Hitlist'!$AA:$AA,MATCH(D491,'Company Hitlist'!$A:$A,0)),)</f>
        <v/>
      </c>
      <c r="O491">
        <f>IFERROR(INDEX('Company Hitlist'!$N:$N,MATCH(D491,'Company Hitlist'!$A:$A,0)),)</f>
        <v/>
      </c>
      <c r="Q491" t="inlineStr">
        <is>
          <t>todo</t>
        </is>
      </c>
    </row>
    <row r="492">
      <c r="A492" t="inlineStr">
        <is>
          <t>Nitin Agarwal</t>
        </is>
      </c>
      <c r="B492" t="inlineStr">
        <is>
          <t>Speaker</t>
        </is>
      </c>
      <c r="C492" t="inlineStr">
        <is>
          <t>Director - IT Supply Chain Solutions</t>
        </is>
      </c>
      <c r="D492" t="inlineStr">
        <is>
          <t>McKesson</t>
        </is>
      </c>
      <c r="H492" t="n">
        <v>13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>
        <f>IFERROR(INDEX('Company Hitlist'!$AA:$AA,MATCH(D492,'Company Hitlist'!$A:$A,0)),)</f>
        <v/>
      </c>
      <c r="O492">
        <f>IFERROR(INDEX('Company Hitlist'!$N:$N,MATCH(D492,'Company Hitlist'!$A:$A,0)),)</f>
        <v/>
      </c>
      <c r="Q492" t="inlineStr">
        <is>
          <t>todo</t>
        </is>
      </c>
    </row>
    <row r="493">
      <c r="A493" t="inlineStr">
        <is>
          <t>Jeff Lander</t>
        </is>
      </c>
      <c r="B493" t="inlineStr">
        <is>
          <t>Speaker</t>
        </is>
      </c>
      <c r="C493" t="inlineStr">
        <is>
          <t>Director, Global Logistics Engineering</t>
        </is>
      </c>
      <c r="D493" t="inlineStr">
        <is>
          <t>Moderna</t>
        </is>
      </c>
      <c r="F493" t="inlineStr">
        <is>
          <t>Yes</t>
        </is>
      </c>
      <c r="G493" t="inlineStr">
        <is>
          <t>$1.9B (2024 est.; projected $2B in 2025)</t>
        </is>
      </c>
      <c r="H493" t="n">
        <v>13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>
        <f>IFERROR(INDEX('Company Hitlist'!$AA:$AA,MATCH(D493,'Company Hitlist'!$A:$A,0)),)</f>
        <v/>
      </c>
      <c r="O493">
        <f>IFERROR(INDEX('Company Hitlist'!$N:$N,MATCH(D493,'Company Hitlist'!$A:$A,0)),)</f>
        <v/>
      </c>
      <c r="Q493" t="inlineStr">
        <is>
          <t>todo</t>
        </is>
      </c>
    </row>
    <row r="494">
      <c r="A494" t="inlineStr">
        <is>
          <t>Niraj Jha</t>
        </is>
      </c>
      <c r="B494" t="inlineStr">
        <is>
          <t>Speaker</t>
        </is>
      </c>
      <c r="C494" t="inlineStr">
        <is>
          <t>Sr. Director of Logistics- Southwest</t>
        </is>
      </c>
      <c r="D494" t="inlineStr">
        <is>
          <t>Niagara Bottling</t>
        </is>
      </c>
      <c r="H494" t="n">
        <v>13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>
        <f>IFERROR(INDEX('Company Hitlist'!$AA:$AA,MATCH(D494,'Company Hitlist'!$A:$A,0)),)</f>
        <v/>
      </c>
      <c r="O494">
        <f>IFERROR(INDEX('Company Hitlist'!$N:$N,MATCH(D494,'Company Hitlist'!$A:$A,0)),)</f>
        <v/>
      </c>
      <c r="Q494" t="inlineStr">
        <is>
          <t>todo</t>
        </is>
      </c>
    </row>
    <row r="495">
      <c r="A495" t="inlineStr">
        <is>
          <t>Courtney Padgitt</t>
        </is>
      </c>
      <c r="B495" t="inlineStr">
        <is>
          <t>Speaker</t>
        </is>
      </c>
      <c r="C495" t="inlineStr">
        <is>
          <t>Senior Director of Logistics</t>
        </is>
      </c>
      <c r="D495" t="inlineStr">
        <is>
          <t>Post Consumer Brands</t>
        </is>
      </c>
      <c r="F495" t="inlineStr">
        <is>
          <t>Yes</t>
        </is>
      </c>
      <c r="G495" t="inlineStr">
        <is>
          <t>$2.83B (2025 est.)</t>
        </is>
      </c>
      <c r="H495" t="n">
        <v>13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>
        <f>IFERROR(INDEX('Company Hitlist'!$AA:$AA,MATCH(D495,'Company Hitlist'!$A:$A,0)),)</f>
        <v/>
      </c>
      <c r="O495">
        <f>IFERROR(INDEX('Company Hitlist'!$N:$N,MATCH(D495,'Company Hitlist'!$A:$A,0)),)</f>
        <v/>
      </c>
      <c r="Q495" t="inlineStr">
        <is>
          <t>todo</t>
        </is>
      </c>
    </row>
    <row r="496">
      <c r="A496" t="inlineStr">
        <is>
          <t>Jenae Waddell</t>
        </is>
      </c>
      <c r="B496" t="inlineStr">
        <is>
          <t>Speaker</t>
        </is>
      </c>
      <c r="C496" t="inlineStr">
        <is>
          <t>Director of Supply Chain, Product Management Operations</t>
        </is>
      </c>
      <c r="D496" t="inlineStr">
        <is>
          <t>QXO</t>
        </is>
      </c>
      <c r="H496" t="n">
        <v>13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>
        <f>IFERROR(INDEX('Company Hitlist'!$AA:$AA,MATCH(D496,'Company Hitlist'!$A:$A,0)),)</f>
        <v/>
      </c>
      <c r="O496">
        <f>IFERROR(INDEX('Company Hitlist'!$N:$N,MATCH(D496,'Company Hitlist'!$A:$A,0)),)</f>
        <v/>
      </c>
      <c r="Q496" t="inlineStr">
        <is>
          <t>todo</t>
        </is>
      </c>
    </row>
    <row r="497">
      <c r="A497" t="inlineStr">
        <is>
          <t>Peter Zedler</t>
        </is>
      </c>
      <c r="B497" t="inlineStr">
        <is>
          <t>Speaker</t>
        </is>
      </c>
      <c r="C497" t="inlineStr">
        <is>
          <t>Director of Logistics</t>
        </is>
      </c>
      <c r="D497" t="inlineStr">
        <is>
          <t>Schwan’s Company</t>
        </is>
      </c>
      <c r="F497" t="inlineStr">
        <is>
          <t>Yes</t>
        </is>
      </c>
      <c r="G497" t="inlineStr">
        <is>
          <t>$3.1B (2025 est.)</t>
        </is>
      </c>
      <c r="H497" t="n">
        <v>13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>
        <f>IFERROR(INDEX('Company Hitlist'!$AA:$AA,MATCH(D497,'Company Hitlist'!$A:$A,0)),)</f>
        <v/>
      </c>
      <c r="O497">
        <f>IFERROR(INDEX('Company Hitlist'!$N:$N,MATCH(D497,'Company Hitlist'!$A:$A,0)),)</f>
        <v/>
      </c>
      <c r="Q497" t="inlineStr">
        <is>
          <t>todo</t>
        </is>
      </c>
    </row>
    <row r="498">
      <c r="A498" t="inlineStr">
        <is>
          <t>Brynne Johnson</t>
        </is>
      </c>
      <c r="B498" t="inlineStr">
        <is>
          <t>Speaker</t>
        </is>
      </c>
      <c r="C498" t="inlineStr">
        <is>
          <t>Sr Director, Supply Chain Logistics</t>
        </is>
      </c>
      <c r="D498" t="inlineStr">
        <is>
          <t>Shearer’s Snacks</t>
        </is>
      </c>
      <c r="H498" t="n">
        <v>13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>
        <f>IFERROR(INDEX('Company Hitlist'!$AA:$AA,MATCH(D498,'Company Hitlist'!$A:$A,0)),)</f>
        <v/>
      </c>
      <c r="O498">
        <f>IFERROR(INDEX('Company Hitlist'!$N:$N,MATCH(D498,'Company Hitlist'!$A:$A,0)),)</f>
        <v/>
      </c>
      <c r="Q498" t="inlineStr">
        <is>
          <t>todo</t>
        </is>
      </c>
    </row>
    <row r="499">
      <c r="A499" t="inlineStr">
        <is>
          <t>Scott DeGroot</t>
        </is>
      </c>
      <c r="B499" t="inlineStr">
        <is>
          <t>Speaker</t>
        </is>
      </c>
      <c r="C499" t="inlineStr">
        <is>
          <t>Managing Director - Global Supply Chain Institute</t>
        </is>
      </c>
      <c r="D499" t="inlineStr">
        <is>
          <t>University of Tennessee</t>
        </is>
      </c>
      <c r="H499" t="n">
        <v>13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>
        <f>IFERROR(INDEX('Company Hitlist'!$AA:$AA,MATCH(D499,'Company Hitlist'!$A:$A,0)),)</f>
        <v/>
      </c>
      <c r="O499">
        <f>IFERROR(INDEX('Company Hitlist'!$N:$N,MATCH(D499,'Company Hitlist'!$A:$A,0)),)</f>
        <v/>
      </c>
      <c r="Q499" t="inlineStr">
        <is>
          <t>todo</t>
        </is>
      </c>
    </row>
    <row r="500">
      <c r="A500" t="inlineStr">
        <is>
          <t>Cait Gillespie</t>
        </is>
      </c>
      <c r="B500" t="inlineStr">
        <is>
          <t>Sponsor</t>
        </is>
      </c>
      <c r="C500" t="inlineStr">
        <is>
          <t>Supply Chain Manager, Grocery Logistics</t>
        </is>
      </c>
      <c r="D500" t="inlineStr">
        <is>
          <t>Amazon</t>
        </is>
      </c>
      <c r="H500" t="n">
        <v>12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>
        <f>IFERROR(INDEX('Company Hitlist'!$AA:$AA,MATCH(D500,'Company Hitlist'!$A:$A,0)),)</f>
        <v/>
      </c>
      <c r="O500">
        <f>IFERROR(INDEX('Company Hitlist'!$N:$N,MATCH(D500,'Company Hitlist'!$A:$A,0)),)</f>
        <v/>
      </c>
      <c r="Q500" t="inlineStr">
        <is>
          <t>todo</t>
        </is>
      </c>
    </row>
    <row r="501">
      <c r="A501" t="inlineStr">
        <is>
          <t>Sean Elmurib</t>
        </is>
      </c>
      <c r="B501" t="inlineStr">
        <is>
          <t>Sponsor</t>
        </is>
      </c>
      <c r="C501" t="inlineStr">
        <is>
          <t>Strategic Ops &amp; Partnerships</t>
        </is>
      </c>
      <c r="D501" t="inlineStr">
        <is>
          <t>BackOps AI</t>
        </is>
      </c>
      <c r="F501" t="inlineStr">
        <is>
          <t>Yes</t>
        </is>
      </c>
      <c r="H501" t="n">
        <v>12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>
        <f>IFERROR(INDEX('Company Hitlist'!$AA:$AA,MATCH(D501,'Company Hitlist'!$A:$A,0)),)</f>
        <v/>
      </c>
      <c r="O501">
        <f>IFERROR(INDEX('Company Hitlist'!$N:$N,MATCH(D501,'Company Hitlist'!$A:$A,0)),)</f>
        <v/>
      </c>
      <c r="Q501" t="inlineStr">
        <is>
          <t>todo</t>
        </is>
      </c>
    </row>
    <row r="502">
      <c r="A502" t="inlineStr">
        <is>
          <t>Paul Dawsey</t>
        </is>
      </c>
      <c r="B502" t="inlineStr">
        <is>
          <t>Sponsor</t>
        </is>
      </c>
      <c r="C502" t="inlineStr">
        <is>
          <t>Logistics Solutions Director</t>
        </is>
      </c>
      <c r="D502" t="inlineStr">
        <is>
          <t>CACI</t>
        </is>
      </c>
      <c r="E502" t="inlineStr">
        <is>
          <t>United Kingdom</t>
        </is>
      </c>
      <c r="H502" t="n">
        <v>12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>
        <f>IFERROR(INDEX('Company Hitlist'!$AA:$AA,MATCH(D502,'Company Hitlist'!$A:$A,0)),)</f>
        <v/>
      </c>
      <c r="O502">
        <f>IFERROR(INDEX('Company Hitlist'!$N:$N,MATCH(D502,'Company Hitlist'!$A:$A,0)),)</f>
        <v/>
      </c>
      <c r="Q502" t="inlineStr">
        <is>
          <t>todo</t>
        </is>
      </c>
    </row>
    <row r="503">
      <c r="A503" t="inlineStr">
        <is>
          <t>Tyler Heard</t>
        </is>
      </c>
      <c r="B503" t="inlineStr">
        <is>
          <t>Sponsor</t>
        </is>
      </c>
      <c r="C503" t="inlineStr">
        <is>
          <t>Supply Chain Network Modeler</t>
        </is>
      </c>
      <c r="D503" t="inlineStr">
        <is>
          <t>CBRE</t>
        </is>
      </c>
      <c r="E503" t="inlineStr">
        <is>
          <t>United States</t>
        </is>
      </c>
      <c r="H503" t="n">
        <v>12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>
        <f>IFERROR(INDEX('Company Hitlist'!$AA:$AA,MATCH(D503,'Company Hitlist'!$A:$A,0)),)</f>
        <v/>
      </c>
      <c r="O503">
        <f>IFERROR(INDEX('Company Hitlist'!$N:$N,MATCH(D503,'Company Hitlist'!$A:$A,0)),)</f>
        <v/>
      </c>
      <c r="Q503" t="inlineStr">
        <is>
          <t>todo</t>
        </is>
      </c>
    </row>
    <row r="504">
      <c r="A504" t="inlineStr">
        <is>
          <t>Chris Scullin</t>
        </is>
      </c>
      <c r="B504" t="inlineStr">
        <is>
          <t>Sponsor</t>
        </is>
      </c>
      <c r="C504" t="inlineStr">
        <is>
          <t>Warehouse Market Leader</t>
        </is>
      </c>
      <c r="D504" t="inlineStr">
        <is>
          <t>Camcode</t>
        </is>
      </c>
      <c r="F504" t="inlineStr">
        <is>
          <t>Yes</t>
        </is>
      </c>
      <c r="G504" t="inlineStr">
        <is>
          <t>$5M (est.)</t>
        </is>
      </c>
      <c r="H504" t="n">
        <v>12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>
        <f>IFERROR(INDEX('Company Hitlist'!$AA:$AA,MATCH(D504,'Company Hitlist'!$A:$A,0)),)</f>
        <v/>
      </c>
      <c r="O504">
        <f>IFERROR(INDEX('Company Hitlist'!$N:$N,MATCH(D504,'Company Hitlist'!$A:$A,0)),)</f>
        <v/>
      </c>
      <c r="Q504" t="inlineStr">
        <is>
          <t>todo</t>
        </is>
      </c>
    </row>
    <row r="505">
      <c r="A505" t="inlineStr">
        <is>
          <t>Karly Baldi</t>
        </is>
      </c>
      <c r="B505" t="inlineStr">
        <is>
          <t>Sponsor</t>
        </is>
      </c>
      <c r="C505" t="inlineStr">
        <is>
          <t>Warehouse Solutions Manager</t>
        </is>
      </c>
      <c r="D505" t="inlineStr">
        <is>
          <t>Camcode</t>
        </is>
      </c>
      <c r="E505" t="inlineStr">
        <is>
          <t>United States</t>
        </is>
      </c>
      <c r="H505" t="n">
        <v>12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>
        <f>IFERROR(INDEX('Company Hitlist'!$AA:$AA,MATCH(D505,'Company Hitlist'!$A:$A,0)),)</f>
        <v/>
      </c>
      <c r="O505">
        <f>IFERROR(INDEX('Company Hitlist'!$N:$N,MATCH(D505,'Company Hitlist'!$A:$A,0)),)</f>
        <v/>
      </c>
      <c r="Q505" t="inlineStr">
        <is>
          <t>todo</t>
        </is>
      </c>
    </row>
    <row r="506">
      <c r="A506" t="inlineStr">
        <is>
          <t>Atit Shah</t>
        </is>
      </c>
      <c r="B506" t="inlineStr">
        <is>
          <t>Sponsor</t>
        </is>
      </c>
      <c r="C506" t="inlineStr">
        <is>
          <t>Director Of Operations</t>
        </is>
      </c>
      <c r="D506" t="inlineStr">
        <is>
          <t>Chetu Inc.</t>
        </is>
      </c>
      <c r="E506" t="inlineStr">
        <is>
          <t>United States</t>
        </is>
      </c>
      <c r="F506" t="inlineStr">
        <is>
          <t>Yes</t>
        </is>
      </c>
      <c r="H506" t="n">
        <v>12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>
        <f>IFERROR(INDEX('Company Hitlist'!$AA:$AA,MATCH(D506,'Company Hitlist'!$A:$A,0)),)</f>
        <v/>
      </c>
      <c r="O506">
        <f>IFERROR(INDEX('Company Hitlist'!$N:$N,MATCH(D506,'Company Hitlist'!$A:$A,0)),)</f>
        <v/>
      </c>
      <c r="Q506" t="inlineStr">
        <is>
          <t>todo</t>
        </is>
      </c>
    </row>
    <row r="507">
      <c r="A507" t="inlineStr">
        <is>
          <t>Cameron Schwartz</t>
        </is>
      </c>
      <c r="B507" t="inlineStr">
        <is>
          <t>Sponsor</t>
        </is>
      </c>
      <c r="C507" t="inlineStr">
        <is>
          <t>Director of Digital Supply Chain</t>
        </is>
      </c>
      <c r="D507" t="inlineStr">
        <is>
          <t>CloudPaths</t>
        </is>
      </c>
      <c r="E507" t="inlineStr">
        <is>
          <t>United States</t>
        </is>
      </c>
      <c r="H507" t="n">
        <v>12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>
        <f>IFERROR(INDEX('Company Hitlist'!$AA:$AA,MATCH(D507,'Company Hitlist'!$A:$A,0)),)</f>
        <v/>
      </c>
      <c r="O507">
        <f>IFERROR(INDEX('Company Hitlist'!$N:$N,MATCH(D507,'Company Hitlist'!$A:$A,0)),)</f>
        <v/>
      </c>
      <c r="Q507" t="inlineStr">
        <is>
          <t>todo</t>
        </is>
      </c>
    </row>
    <row r="508">
      <c r="A508" t="inlineStr">
        <is>
          <t>Frank Polito</t>
        </is>
      </c>
      <c r="B508" t="inlineStr">
        <is>
          <t>Sponsor</t>
        </is>
      </c>
      <c r="C508" t="inlineStr">
        <is>
          <t>RVP of Digital Supply Chain</t>
        </is>
      </c>
      <c r="D508" t="inlineStr">
        <is>
          <t>CloudPaths</t>
        </is>
      </c>
      <c r="H508" t="n">
        <v>12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>
        <f>IFERROR(INDEX('Company Hitlist'!$AA:$AA,MATCH(D508,'Company Hitlist'!$A:$A,0)),)</f>
        <v/>
      </c>
      <c r="O508">
        <f>IFERROR(INDEX('Company Hitlist'!$N:$N,MATCH(D508,'Company Hitlist'!$A:$A,0)),)</f>
        <v/>
      </c>
      <c r="Q508" t="inlineStr">
        <is>
          <t>todo</t>
        </is>
      </c>
    </row>
    <row r="509">
      <c r="A509" t="inlineStr">
        <is>
          <t>Brian Griffin</t>
        </is>
      </c>
      <c r="B509" t="inlineStr">
        <is>
          <t>Sponsor</t>
        </is>
      </c>
      <c r="C509" t="inlineStr">
        <is>
          <t>Senior Director of Operations</t>
        </is>
      </c>
      <c r="D509" t="inlineStr">
        <is>
          <t>DHL Supply Chain</t>
        </is>
      </c>
      <c r="E509" t="inlineStr">
        <is>
          <t>United States</t>
        </is>
      </c>
      <c r="F509" t="inlineStr">
        <is>
          <t>Yes</t>
        </is>
      </c>
      <c r="G509" t="inlineStr">
        <is>
          <t>$80B (2024; projected $82B in 2025)</t>
        </is>
      </c>
      <c r="H509" t="n">
        <v>12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>
        <f>IFERROR(INDEX('Company Hitlist'!$AA:$AA,MATCH(D509,'Company Hitlist'!$A:$A,0)),)</f>
        <v/>
      </c>
      <c r="O509">
        <f>IFERROR(INDEX('Company Hitlist'!$N:$N,MATCH(D509,'Company Hitlist'!$A:$A,0)),)</f>
        <v/>
      </c>
      <c r="Q509" t="inlineStr">
        <is>
          <t>todo</t>
        </is>
      </c>
    </row>
    <row r="510">
      <c r="A510" t="inlineStr">
        <is>
          <t>Chris Bennett</t>
        </is>
      </c>
      <c r="B510" t="inlineStr">
        <is>
          <t>Sponsor</t>
        </is>
      </c>
      <c r="C510" t="inlineStr">
        <is>
          <t>Director of Operations</t>
        </is>
      </c>
      <c r="D510" t="inlineStr">
        <is>
          <t>DHL Supply Chain</t>
        </is>
      </c>
      <c r="E510" t="inlineStr">
        <is>
          <t>United States</t>
        </is>
      </c>
      <c r="F510" t="inlineStr">
        <is>
          <t>Yes</t>
        </is>
      </c>
      <c r="G510" t="inlineStr">
        <is>
          <t>$80B (2024; projected $82B in 2025)</t>
        </is>
      </c>
      <c r="H510" t="n">
        <v>12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>
        <f>IFERROR(INDEX('Company Hitlist'!$AA:$AA,MATCH(D510,'Company Hitlist'!$A:$A,0)),)</f>
        <v/>
      </c>
      <c r="O510">
        <f>IFERROR(INDEX('Company Hitlist'!$N:$N,MATCH(D510,'Company Hitlist'!$A:$A,0)),)</f>
        <v/>
      </c>
      <c r="Q510" t="inlineStr">
        <is>
          <t>todo</t>
        </is>
      </c>
    </row>
    <row r="511">
      <c r="A511" t="inlineStr">
        <is>
          <t>Tony Della Rocco</t>
        </is>
      </c>
      <c r="B511" t="inlineStr">
        <is>
          <t>Sponsor</t>
        </is>
      </c>
      <c r="C511" t="inlineStr">
        <is>
          <t>Senior Director of Operations</t>
        </is>
      </c>
      <c r="D511" t="inlineStr">
        <is>
          <t>DHL Supply Chain</t>
        </is>
      </c>
      <c r="E511" t="inlineStr">
        <is>
          <t>United States</t>
        </is>
      </c>
      <c r="F511" t="inlineStr">
        <is>
          <t>Yes</t>
        </is>
      </c>
      <c r="G511" t="inlineStr">
        <is>
          <t>$80B (2024; projected $82B in 2025)</t>
        </is>
      </c>
      <c r="H511" t="n">
        <v>12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>
        <f>IFERROR(INDEX('Company Hitlist'!$AA:$AA,MATCH(D511,'Company Hitlist'!$A:$A,0)),)</f>
        <v/>
      </c>
      <c r="O511">
        <f>IFERROR(INDEX('Company Hitlist'!$N:$N,MATCH(D511,'Company Hitlist'!$A:$A,0)),)</f>
        <v/>
      </c>
      <c r="Q511" t="inlineStr">
        <is>
          <t>todo</t>
        </is>
      </c>
    </row>
    <row r="512">
      <c r="A512" t="inlineStr">
        <is>
          <t>Shawn Breon</t>
        </is>
      </c>
      <c r="B512" t="inlineStr">
        <is>
          <t>Sponsor</t>
        </is>
      </c>
      <c r="C512" t="inlineStr">
        <is>
          <t>Director of Operations</t>
        </is>
      </c>
      <c r="D512" t="inlineStr">
        <is>
          <t>DHL Supply Chain</t>
        </is>
      </c>
      <c r="F512" t="inlineStr">
        <is>
          <t>Yes</t>
        </is>
      </c>
      <c r="G512" t="inlineStr">
        <is>
          <t>$80B (2024; projected $82B in 2025)</t>
        </is>
      </c>
      <c r="H512" t="n">
        <v>12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>
        <f>IFERROR(INDEX('Company Hitlist'!$AA:$AA,MATCH(D512,'Company Hitlist'!$A:$A,0)),)</f>
        <v/>
      </c>
      <c r="O512">
        <f>IFERROR(INDEX('Company Hitlist'!$N:$N,MATCH(D512,'Company Hitlist'!$A:$A,0)),)</f>
        <v/>
      </c>
      <c r="Q512" t="inlineStr">
        <is>
          <t>todo</t>
        </is>
      </c>
    </row>
    <row r="513">
      <c r="A513" t="inlineStr">
        <is>
          <t>Josh Sexton</t>
        </is>
      </c>
      <c r="B513" t="inlineStr">
        <is>
          <t>Sponsor</t>
        </is>
      </c>
      <c r="C513" t="inlineStr">
        <is>
          <t>Operations Development Manager, Operations Excellence</t>
        </is>
      </c>
      <c r="D513" t="inlineStr">
        <is>
          <t>DHL Supply Chain</t>
        </is>
      </c>
      <c r="H513" t="n">
        <v>12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>
        <f>IFERROR(INDEX('Company Hitlist'!$AA:$AA,MATCH(D513,'Company Hitlist'!$A:$A,0)),)</f>
        <v/>
      </c>
      <c r="O513">
        <f>IFERROR(INDEX('Company Hitlist'!$N:$N,MATCH(D513,'Company Hitlist'!$A:$A,0)),)</f>
        <v/>
      </c>
      <c r="Q513" t="inlineStr">
        <is>
          <t>todo</t>
        </is>
      </c>
    </row>
    <row r="514">
      <c r="A514" t="inlineStr">
        <is>
          <t>Hector Merchan</t>
        </is>
      </c>
      <c r="B514" t="inlineStr">
        <is>
          <t>Sponsor</t>
        </is>
      </c>
      <c r="C514" t="inlineStr">
        <is>
          <t>Operations Manager</t>
        </is>
      </c>
      <c r="D514" t="inlineStr">
        <is>
          <t>DIGILOG</t>
        </is>
      </c>
      <c r="H514" t="n">
        <v>12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>
        <f>IFERROR(INDEX('Company Hitlist'!$AA:$AA,MATCH(D514,'Company Hitlist'!$A:$A,0)),)</f>
        <v/>
      </c>
      <c r="O514">
        <f>IFERROR(INDEX('Company Hitlist'!$N:$N,MATCH(D514,'Company Hitlist'!$A:$A,0)),)</f>
        <v/>
      </c>
      <c r="Q514" t="inlineStr">
        <is>
          <t>todo</t>
        </is>
      </c>
    </row>
    <row r="515">
      <c r="A515" t="inlineStr">
        <is>
          <t>Rosa Saporito</t>
        </is>
      </c>
      <c r="B515" t="inlineStr">
        <is>
          <t>Sponsor</t>
        </is>
      </c>
      <c r="C515" t="inlineStr">
        <is>
          <t>Operations</t>
        </is>
      </c>
      <c r="D515" t="inlineStr">
        <is>
          <t>Da Vinci</t>
        </is>
      </c>
      <c r="E515" t="inlineStr">
        <is>
          <t>United States</t>
        </is>
      </c>
      <c r="H515" t="n">
        <v>12</v>
      </c>
      <c r="I515" t="b">
        <v>1</v>
      </c>
      <c r="J515" t="b">
        <v>0</v>
      </c>
      <c r="K515" t="b">
        <v>0</v>
      </c>
      <c r="L515" t="b">
        <v>0</v>
      </c>
      <c r="M515" t="b">
        <v>0</v>
      </c>
      <c r="N515">
        <f>IFERROR(INDEX('Company Hitlist'!$AA:$AA,MATCH(D515,'Company Hitlist'!$A:$A,0)),)</f>
        <v/>
      </c>
      <c r="O515">
        <f>IFERROR(INDEX('Company Hitlist'!$N:$N,MATCH(D515,'Company Hitlist'!$A:$A,0)),)</f>
        <v/>
      </c>
      <c r="Q515" t="inlineStr">
        <is>
          <t>todo</t>
        </is>
      </c>
    </row>
    <row r="516">
      <c r="A516" t="inlineStr">
        <is>
          <t>Adam Schipper</t>
        </is>
      </c>
      <c r="B516" t="inlineStr">
        <is>
          <t>Sponsor</t>
        </is>
      </c>
      <c r="C516" t="inlineStr">
        <is>
          <t>Global Vertical Lead, Transportation</t>
        </is>
      </c>
      <c r="D516" t="inlineStr">
        <is>
          <t>Ericsson</t>
        </is>
      </c>
      <c r="F516" t="inlineStr">
        <is>
          <t>Yes</t>
        </is>
      </c>
      <c r="G516" t="inlineStr">
        <is>
          <t>$24.1 billion (2025)</t>
        </is>
      </c>
      <c r="H516" t="n">
        <v>12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>
        <f>IFERROR(INDEX('Company Hitlist'!$AA:$AA,MATCH(D516,'Company Hitlist'!$A:$A,0)),)</f>
        <v/>
      </c>
      <c r="O516">
        <f>IFERROR(INDEX('Company Hitlist'!$N:$N,MATCH(D516,'Company Hitlist'!$A:$A,0)),)</f>
        <v/>
      </c>
      <c r="Q516" t="inlineStr">
        <is>
          <t>todo</t>
        </is>
      </c>
    </row>
    <row r="517">
      <c r="A517" t="inlineStr">
        <is>
          <t>Achim Taylor</t>
        </is>
      </c>
      <c r="B517" t="inlineStr">
        <is>
          <t>Sponsor</t>
        </is>
      </c>
      <c r="C517" t="inlineStr">
        <is>
          <t>Director of POST Logistics - POST Luxembourg</t>
        </is>
      </c>
      <c r="D517" t="inlineStr">
        <is>
          <t>Eurosender SARL</t>
        </is>
      </c>
      <c r="F517" t="inlineStr">
        <is>
          <t>Yes</t>
        </is>
      </c>
      <c r="H517" t="n">
        <v>12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>
        <f>IFERROR(INDEX('Company Hitlist'!$AA:$AA,MATCH(D517,'Company Hitlist'!$A:$A,0)),)</f>
        <v/>
      </c>
      <c r="O517">
        <f>IFERROR(INDEX('Company Hitlist'!$N:$N,MATCH(D517,'Company Hitlist'!$A:$A,0)),)</f>
        <v/>
      </c>
      <c r="Q517" t="inlineStr">
        <is>
          <t>todo</t>
        </is>
      </c>
    </row>
    <row r="518">
      <c r="A518" t="inlineStr">
        <is>
          <t>Mike Stearns</t>
        </is>
      </c>
      <c r="B518" t="inlineStr">
        <is>
          <t>Sponsor</t>
        </is>
      </c>
      <c r="C518" t="inlineStr">
        <is>
          <t>Director of Warehouse and Distribution</t>
        </is>
      </c>
      <c r="D518" t="inlineStr">
        <is>
          <t>Fives Intralogistics Corp.</t>
        </is>
      </c>
      <c r="F518" t="inlineStr">
        <is>
          <t>Yes</t>
        </is>
      </c>
      <c r="G518" t="inlineStr">
        <is>
          <t>$2.6B (est.)</t>
        </is>
      </c>
      <c r="H518" t="n">
        <v>12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>
        <f>IFERROR(INDEX('Company Hitlist'!$AA:$AA,MATCH(D518,'Company Hitlist'!$A:$A,0)),)</f>
        <v/>
      </c>
      <c r="O518">
        <f>IFERROR(INDEX('Company Hitlist'!$N:$N,MATCH(D518,'Company Hitlist'!$A:$A,0)),)</f>
        <v/>
      </c>
      <c r="Q518" t="inlineStr">
        <is>
          <t>todo</t>
        </is>
      </c>
    </row>
    <row r="519">
      <c r="A519" t="inlineStr">
        <is>
          <t>Manognya Gattereddi</t>
        </is>
      </c>
      <c r="B519" t="inlineStr">
        <is>
          <t>Sponsor</t>
        </is>
      </c>
      <c r="C519" t="inlineStr">
        <is>
          <t>Supply Chain Advisor</t>
        </is>
      </c>
      <c r="D519" t="inlineStr">
        <is>
          <t>Free Hand</t>
        </is>
      </c>
      <c r="H519" t="n">
        <v>12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>
        <f>IFERROR(INDEX('Company Hitlist'!$AA:$AA,MATCH(D519,'Company Hitlist'!$A:$A,0)),)</f>
        <v/>
      </c>
      <c r="O519">
        <f>IFERROR(INDEX('Company Hitlist'!$N:$N,MATCH(D519,'Company Hitlist'!$A:$A,0)),)</f>
        <v/>
      </c>
      <c r="Q519" t="inlineStr">
        <is>
          <t>todo</t>
        </is>
      </c>
    </row>
    <row r="520">
      <c r="A520" t="inlineStr">
        <is>
          <t>Ata Bilen</t>
        </is>
      </c>
      <c r="B520" t="inlineStr">
        <is>
          <t>Sponsor</t>
        </is>
      </c>
      <c r="C520" t="inlineStr">
        <is>
          <t>Senior Manager, Business Operations</t>
        </is>
      </c>
      <c r="D520" t="inlineStr">
        <is>
          <t>GTA GSM</t>
        </is>
      </c>
      <c r="E520" t="inlineStr">
        <is>
          <t>Canada</t>
        </is>
      </c>
      <c r="H520" t="n">
        <v>12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>
        <f>IFERROR(INDEX('Company Hitlist'!$AA:$AA,MATCH(D520,'Company Hitlist'!$A:$A,0)),)</f>
        <v/>
      </c>
      <c r="O520">
        <f>IFERROR(INDEX('Company Hitlist'!$N:$N,MATCH(D520,'Company Hitlist'!$A:$A,0)),)</f>
        <v/>
      </c>
      <c r="Q520" t="inlineStr">
        <is>
          <t>todo</t>
        </is>
      </c>
    </row>
    <row r="521">
      <c r="A521" t="inlineStr">
        <is>
          <t>Bobbie Kelley</t>
        </is>
      </c>
      <c r="B521" t="inlineStr">
        <is>
          <t>Sponsor</t>
        </is>
      </c>
      <c r="C521" t="inlineStr">
        <is>
          <t>Knight-Swift Warehousing &amp; Fulfillment</t>
        </is>
      </c>
      <c r="D521" t="inlineStr">
        <is>
          <t>Hayes Co. dba; Knight-Swift Warehousing &amp; Fulfillment</t>
        </is>
      </c>
      <c r="F521" t="inlineStr">
        <is>
          <t>Yes</t>
        </is>
      </c>
      <c r="H521" t="n">
        <v>12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>
        <f>IFERROR(INDEX('Company Hitlist'!$AA:$AA,MATCH(D521,'Company Hitlist'!$A:$A,0)),)</f>
        <v/>
      </c>
      <c r="O521">
        <f>IFERROR(INDEX('Company Hitlist'!$N:$N,MATCH(D521,'Company Hitlist'!$A:$A,0)),)</f>
        <v/>
      </c>
      <c r="Q521" t="inlineStr">
        <is>
          <t>todo</t>
        </is>
      </c>
    </row>
    <row r="522">
      <c r="A522" t="inlineStr">
        <is>
          <t>Michele Woods</t>
        </is>
      </c>
      <c r="B522" t="inlineStr">
        <is>
          <t>Sponsor</t>
        </is>
      </c>
      <c r="C522" t="inlineStr">
        <is>
          <t>Distribution Operations Manager</t>
        </is>
      </c>
      <c r="D522" t="inlineStr">
        <is>
          <t>Meter</t>
        </is>
      </c>
      <c r="E522" t="inlineStr">
        <is>
          <t>United States</t>
        </is>
      </c>
      <c r="H522" t="n">
        <v>12</v>
      </c>
      <c r="I522" t="b">
        <v>1</v>
      </c>
      <c r="J522" t="b">
        <v>0</v>
      </c>
      <c r="K522" t="b">
        <v>0</v>
      </c>
      <c r="L522" t="b">
        <v>0</v>
      </c>
      <c r="M522" t="b">
        <v>0</v>
      </c>
      <c r="N522">
        <f>IFERROR(INDEX('Company Hitlist'!$AA:$AA,MATCH(D522,'Company Hitlist'!$A:$A,0)),)</f>
        <v/>
      </c>
      <c r="O522">
        <f>IFERROR(INDEX('Company Hitlist'!$N:$N,MATCH(D522,'Company Hitlist'!$A:$A,0)),)</f>
        <v/>
      </c>
      <c r="Q522" t="inlineStr">
        <is>
          <t>todo</t>
        </is>
      </c>
    </row>
    <row r="523">
      <c r="A523" t="inlineStr">
        <is>
          <t>Drew Butler</t>
        </is>
      </c>
      <c r="B523" t="inlineStr">
        <is>
          <t>Sponsor</t>
        </is>
      </c>
      <c r="C523" t="inlineStr">
        <is>
          <t>Business Operations</t>
        </is>
      </c>
      <c r="D523" t="inlineStr">
        <is>
          <t>Pallet</t>
        </is>
      </c>
      <c r="E523" t="inlineStr">
        <is>
          <t>United States</t>
        </is>
      </c>
      <c r="F523" t="inlineStr">
        <is>
          <t>Yes</t>
        </is>
      </c>
      <c r="G523" t="inlineStr">
        <is>
          <t>11251000</t>
        </is>
      </c>
      <c r="H523" t="n">
        <v>12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>
        <f>IFERROR(INDEX('Company Hitlist'!$AA:$AA,MATCH(D523,'Company Hitlist'!$A:$A,0)),)</f>
        <v/>
      </c>
      <c r="O523">
        <f>IFERROR(INDEX('Company Hitlist'!$N:$N,MATCH(D523,'Company Hitlist'!$A:$A,0)),)</f>
        <v/>
      </c>
      <c r="Q523" t="inlineStr">
        <is>
          <t>todo</t>
        </is>
      </c>
    </row>
    <row r="524">
      <c r="A524" t="inlineStr">
        <is>
          <t>Ishan Lakhani</t>
        </is>
      </c>
      <c r="B524" t="inlineStr">
        <is>
          <t>Sponsor</t>
        </is>
      </c>
      <c r="C524" t="inlineStr">
        <is>
          <t>Business Operations</t>
        </is>
      </c>
      <c r="D524" t="inlineStr">
        <is>
          <t>Pallet</t>
        </is>
      </c>
      <c r="E524" t="inlineStr">
        <is>
          <t>United States</t>
        </is>
      </c>
      <c r="F524" t="inlineStr">
        <is>
          <t>Yes</t>
        </is>
      </c>
      <c r="G524" t="inlineStr">
        <is>
          <t>11251000</t>
        </is>
      </c>
      <c r="H524" t="n">
        <v>12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>
        <f>IFERROR(INDEX('Company Hitlist'!$AA:$AA,MATCH(D524,'Company Hitlist'!$A:$A,0)),)</f>
        <v/>
      </c>
      <c r="O524">
        <f>IFERROR(INDEX('Company Hitlist'!$N:$N,MATCH(D524,'Company Hitlist'!$A:$A,0)),)</f>
        <v/>
      </c>
      <c r="Q524" t="inlineStr">
        <is>
          <t>todo</t>
        </is>
      </c>
    </row>
    <row r="525">
      <c r="A525" t="inlineStr">
        <is>
          <t>Amy Crum</t>
        </is>
      </c>
      <c r="B525" t="inlineStr">
        <is>
          <t>Sponsor</t>
        </is>
      </c>
      <c r="C525" t="inlineStr">
        <is>
          <t>Director-Customer Operations</t>
        </is>
      </c>
      <c r="D525" t="inlineStr">
        <is>
          <t>Penske Transportation Solutions</t>
        </is>
      </c>
      <c r="E525" t="inlineStr">
        <is>
          <t>United States</t>
        </is>
      </c>
      <c r="F525" t="inlineStr">
        <is>
          <t>Yes</t>
        </is>
      </c>
      <c r="H525" t="n">
        <v>12</v>
      </c>
      <c r="I525" t="b">
        <v>1</v>
      </c>
      <c r="J525" t="b">
        <v>0</v>
      </c>
      <c r="K525" t="b">
        <v>0</v>
      </c>
      <c r="L525" t="b">
        <v>0</v>
      </c>
      <c r="M525" t="b">
        <v>0</v>
      </c>
      <c r="N525">
        <f>IFERROR(INDEX('Company Hitlist'!$AA:$AA,MATCH(D525,'Company Hitlist'!$A:$A,0)),)</f>
        <v/>
      </c>
      <c r="O525">
        <f>IFERROR(INDEX('Company Hitlist'!$N:$N,MATCH(D525,'Company Hitlist'!$A:$A,0)),)</f>
        <v/>
      </c>
      <c r="Q525" t="inlineStr">
        <is>
          <t>todo</t>
        </is>
      </c>
    </row>
    <row r="526">
      <c r="A526" t="inlineStr">
        <is>
          <t>Craig Brinson</t>
        </is>
      </c>
      <c r="B526" t="inlineStr">
        <is>
          <t>Sponsor</t>
        </is>
      </c>
      <c r="C526" t="inlineStr">
        <is>
          <t>Director Of Operations</t>
        </is>
      </c>
      <c r="D526" t="inlineStr">
        <is>
          <t>Precision Lumping Services</t>
        </is>
      </c>
      <c r="E526" t="inlineStr">
        <is>
          <t>United States</t>
        </is>
      </c>
      <c r="F526" t="inlineStr">
        <is>
          <t>Yes</t>
        </is>
      </c>
      <c r="G526" t="inlineStr">
        <is>
          <t>$3.3 billion (2025)</t>
        </is>
      </c>
      <c r="H526" t="n">
        <v>12</v>
      </c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>
        <f>IFERROR(INDEX('Company Hitlist'!$AA:$AA,MATCH(D526,'Company Hitlist'!$A:$A,0)),)</f>
        <v/>
      </c>
      <c r="O526">
        <f>IFERROR(INDEX('Company Hitlist'!$N:$N,MATCH(D526,'Company Hitlist'!$A:$A,0)),)</f>
        <v/>
      </c>
      <c r="Q526" t="inlineStr">
        <is>
          <t>todo</t>
        </is>
      </c>
    </row>
    <row r="527">
      <c r="A527" t="inlineStr">
        <is>
          <t>Peter McIntyre</t>
        </is>
      </c>
      <c r="B527" t="inlineStr">
        <is>
          <t>Sponsor</t>
        </is>
      </c>
      <c r="C527" t="inlineStr">
        <is>
          <t>Senior Operations Manager</t>
        </is>
      </c>
      <c r="D527" t="inlineStr">
        <is>
          <t>RIVR</t>
        </is>
      </c>
      <c r="H527" t="n">
        <v>12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>
        <f>IFERROR(INDEX('Company Hitlist'!$AA:$AA,MATCH(D527,'Company Hitlist'!$A:$A,0)),)</f>
        <v/>
      </c>
      <c r="O527">
        <f>IFERROR(INDEX('Company Hitlist'!$N:$N,MATCH(D527,'Company Hitlist'!$A:$A,0)),)</f>
        <v/>
      </c>
      <c r="Q527" t="inlineStr">
        <is>
          <t>todo</t>
        </is>
      </c>
    </row>
    <row r="528">
      <c r="A528" t="inlineStr">
        <is>
          <t>Elisa Trujillo</t>
        </is>
      </c>
      <c r="B528" t="inlineStr">
        <is>
          <t>Sponsor</t>
        </is>
      </c>
      <c r="C528" t="inlineStr">
        <is>
          <t>Operations</t>
        </is>
      </c>
      <c r="D528" t="inlineStr">
        <is>
          <t>Rosemont Industries T</t>
        </is>
      </c>
      <c r="E528" t="inlineStr">
        <is>
          <t>United States</t>
        </is>
      </c>
      <c r="H528" t="n">
        <v>12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>
        <f>IFERROR(INDEX('Company Hitlist'!$AA:$AA,MATCH(D528,'Company Hitlist'!$A:$A,0)),)</f>
        <v/>
      </c>
      <c r="O528">
        <f>IFERROR(INDEX('Company Hitlist'!$N:$N,MATCH(D528,'Company Hitlist'!$A:$A,0)),)</f>
        <v/>
      </c>
      <c r="Q528" t="inlineStr">
        <is>
          <t>todo</t>
        </is>
      </c>
    </row>
    <row r="529">
      <c r="A529" t="inlineStr">
        <is>
          <t>Timothy Paramata</t>
        </is>
      </c>
      <c r="B529" t="inlineStr">
        <is>
          <t>Sponsor</t>
        </is>
      </c>
      <c r="C529" t="inlineStr">
        <is>
          <t>Operations Executive</t>
        </is>
      </c>
      <c r="D529" t="inlineStr">
        <is>
          <t>SEAIR Global Inc.</t>
        </is>
      </c>
      <c r="H529" t="n">
        <v>12</v>
      </c>
      <c r="I529" t="b">
        <v>1</v>
      </c>
      <c r="J529" t="b">
        <v>0</v>
      </c>
      <c r="K529" t="b">
        <v>0</v>
      </c>
      <c r="L529" t="b">
        <v>0</v>
      </c>
      <c r="M529" t="b">
        <v>0</v>
      </c>
      <c r="N529">
        <f>IFERROR(INDEX('Company Hitlist'!$AA:$AA,MATCH(D529,'Company Hitlist'!$A:$A,0)),)</f>
        <v/>
      </c>
      <c r="O529">
        <f>IFERROR(INDEX('Company Hitlist'!$N:$N,MATCH(D529,'Company Hitlist'!$A:$A,0)),)</f>
        <v/>
      </c>
      <c r="Q529" t="inlineStr">
        <is>
          <t>todo</t>
        </is>
      </c>
    </row>
    <row r="530">
      <c r="A530" t="inlineStr">
        <is>
          <t>Caleb Alvis</t>
        </is>
      </c>
      <c r="B530" t="inlineStr">
        <is>
          <t>Sponsor</t>
        </is>
      </c>
      <c r="C530" t="inlineStr">
        <is>
          <t>Commercial Operations Manager</t>
        </is>
      </c>
      <c r="D530" t="inlineStr">
        <is>
          <t>SEKO Logistics</t>
        </is>
      </c>
      <c r="E530" t="inlineStr">
        <is>
          <t>United States</t>
        </is>
      </c>
      <c r="H530" t="n">
        <v>12</v>
      </c>
      <c r="I530" t="b">
        <v>1</v>
      </c>
      <c r="J530" t="b">
        <v>0</v>
      </c>
      <c r="K530" t="b">
        <v>0</v>
      </c>
      <c r="L530" t="b">
        <v>0</v>
      </c>
      <c r="M530" t="b">
        <v>0</v>
      </c>
      <c r="N530">
        <f>IFERROR(INDEX('Company Hitlist'!$AA:$AA,MATCH(D530,'Company Hitlist'!$A:$A,0)),)</f>
        <v/>
      </c>
      <c r="O530">
        <f>IFERROR(INDEX('Company Hitlist'!$N:$N,MATCH(D530,'Company Hitlist'!$A:$A,0)),)</f>
        <v/>
      </c>
      <c r="Q530" t="inlineStr">
        <is>
          <t>todo</t>
        </is>
      </c>
    </row>
    <row r="531">
      <c r="A531" t="inlineStr">
        <is>
          <t>Dina Stillo</t>
        </is>
      </c>
      <c r="B531" t="inlineStr">
        <is>
          <t>Sponsor</t>
        </is>
      </c>
      <c r="C531" t="inlineStr">
        <is>
          <t>Director of Program Development, Supply Chain &amp; Logistics</t>
        </is>
      </c>
      <c r="D531" t="inlineStr">
        <is>
          <t>SEKO Logistics</t>
        </is>
      </c>
      <c r="E531" t="inlineStr">
        <is>
          <t>United States</t>
        </is>
      </c>
      <c r="H531" t="n">
        <v>12</v>
      </c>
      <c r="I531" t="b">
        <v>1</v>
      </c>
      <c r="J531" t="b">
        <v>0</v>
      </c>
      <c r="K531" t="b">
        <v>0</v>
      </c>
      <c r="L531" t="b">
        <v>0</v>
      </c>
      <c r="M531" t="b">
        <v>0</v>
      </c>
      <c r="N531">
        <f>IFERROR(INDEX('Company Hitlist'!$AA:$AA,MATCH(D531,'Company Hitlist'!$A:$A,0)),)</f>
        <v/>
      </c>
      <c r="O531">
        <f>IFERROR(INDEX('Company Hitlist'!$N:$N,MATCH(D531,'Company Hitlist'!$A:$A,0)),)</f>
        <v/>
      </c>
      <c r="Q531" t="inlineStr">
        <is>
          <t>todo</t>
        </is>
      </c>
    </row>
    <row r="532">
      <c r="A532" t="inlineStr">
        <is>
          <t>Jake Jacob</t>
        </is>
      </c>
      <c r="B532" t="inlineStr">
        <is>
          <t>Sponsor</t>
        </is>
      </c>
      <c r="C532" t="inlineStr">
        <is>
          <t>Operations</t>
        </is>
      </c>
      <c r="D532" t="inlineStr">
        <is>
          <t>Shiplab</t>
        </is>
      </c>
      <c r="E532" t="inlineStr">
        <is>
          <t>United States</t>
        </is>
      </c>
      <c r="F532" t="inlineStr">
        <is>
          <t>Yes</t>
        </is>
      </c>
      <c r="H532" t="n">
        <v>12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>
        <f>IFERROR(INDEX('Company Hitlist'!$AA:$AA,MATCH(D532,'Company Hitlist'!$A:$A,0)),)</f>
        <v/>
      </c>
      <c r="O532">
        <f>IFERROR(INDEX('Company Hitlist'!$N:$N,MATCH(D532,'Company Hitlist'!$A:$A,0)),)</f>
        <v/>
      </c>
      <c r="Q532" t="inlineStr">
        <is>
          <t>todo</t>
        </is>
      </c>
    </row>
    <row r="533">
      <c r="A533" t="inlineStr">
        <is>
          <t>Ed Ferrugia</t>
        </is>
      </c>
      <c r="B533" t="inlineStr">
        <is>
          <t>Sponsor</t>
        </is>
      </c>
      <c r="C533" t="inlineStr">
        <is>
          <t>Sr Logistics Intelligence Specialist</t>
        </is>
      </c>
      <c r="D533" t="inlineStr">
        <is>
          <t>Sifted</t>
        </is>
      </c>
      <c r="E533" t="inlineStr">
        <is>
          <t>United States</t>
        </is>
      </c>
      <c r="H533" t="n">
        <v>12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>
        <f>IFERROR(INDEX('Company Hitlist'!$AA:$AA,MATCH(D533,'Company Hitlist'!$A:$A,0)),)</f>
        <v/>
      </c>
      <c r="O533">
        <f>IFERROR(INDEX('Company Hitlist'!$N:$N,MATCH(D533,'Company Hitlist'!$A:$A,0)),)</f>
        <v/>
      </c>
      <c r="Q533" t="inlineStr">
        <is>
          <t>todo</t>
        </is>
      </c>
    </row>
    <row r="534">
      <c r="A534" t="inlineStr">
        <is>
          <t>Renee Abernethy - Miller</t>
        </is>
      </c>
      <c r="B534" t="inlineStr">
        <is>
          <t>Sponsor</t>
        </is>
      </c>
      <c r="C534" t="inlineStr">
        <is>
          <t>Transportation Insight</t>
        </is>
      </c>
      <c r="D534" t="inlineStr">
        <is>
          <t>Transportation Insight</t>
        </is>
      </c>
      <c r="E534" t="inlineStr">
        <is>
          <t>United States</t>
        </is>
      </c>
      <c r="H534" t="n">
        <v>12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>
        <f>IFERROR(INDEX('Company Hitlist'!$AA:$AA,MATCH(D534,'Company Hitlist'!$A:$A,0)),)</f>
        <v/>
      </c>
      <c r="O534">
        <f>IFERROR(INDEX('Company Hitlist'!$N:$N,MATCH(D534,'Company Hitlist'!$A:$A,0)),)</f>
        <v/>
      </c>
      <c r="Q534" t="inlineStr">
        <is>
          <t>todo</t>
        </is>
      </c>
    </row>
    <row r="535">
      <c r="A535" t="inlineStr">
        <is>
          <t>Nurina Ayyoub</t>
        </is>
      </c>
      <c r="B535" t="inlineStr">
        <is>
          <t>Sponsor</t>
        </is>
      </c>
      <c r="C535" t="inlineStr">
        <is>
          <t>Operations</t>
        </is>
      </c>
      <c r="D535" t="inlineStr">
        <is>
          <t>Vooma</t>
        </is>
      </c>
      <c r="F535" t="inlineStr">
        <is>
          <t>Yes</t>
        </is>
      </c>
      <c r="H535" t="n">
        <v>12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>
        <f>IFERROR(INDEX('Company Hitlist'!$AA:$AA,MATCH(D535,'Company Hitlist'!$A:$A,0)),)</f>
        <v/>
      </c>
      <c r="O535">
        <f>IFERROR(INDEX('Company Hitlist'!$N:$N,MATCH(D535,'Company Hitlist'!$A:$A,0)),)</f>
        <v/>
      </c>
      <c r="Q535" t="inlineStr">
        <is>
          <t>todo</t>
        </is>
      </c>
    </row>
    <row r="536">
      <c r="A536" t="inlineStr">
        <is>
          <t>Cassidy Kovell</t>
        </is>
      </c>
      <c r="B536" t="inlineStr">
        <is>
          <t>Sponsor</t>
        </is>
      </c>
      <c r="C536" t="inlineStr">
        <is>
          <t>Robotics Operations &amp; Communications Coordinator</t>
        </is>
      </c>
      <c r="D536" t="inlineStr">
        <is>
          <t>Yondu AI</t>
        </is>
      </c>
      <c r="F536" t="inlineStr">
        <is>
          <t>Yes</t>
        </is>
      </c>
      <c r="H536" t="n">
        <v>12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>
        <f>IFERROR(INDEX('Company Hitlist'!$AA:$AA,MATCH(D536,'Company Hitlist'!$A:$A,0)),)</f>
        <v/>
      </c>
      <c r="O536">
        <f>IFERROR(INDEX('Company Hitlist'!$N:$N,MATCH(D536,'Company Hitlist'!$A:$A,0)),)</f>
        <v/>
      </c>
      <c r="Q536" t="inlineStr">
        <is>
          <t>todo</t>
        </is>
      </c>
    </row>
    <row r="537">
      <c r="A537" t="inlineStr">
        <is>
          <t>Aaron Bezzant</t>
        </is>
      </c>
      <c r="B537" t="inlineStr">
        <is>
          <t>Sponsor</t>
        </is>
      </c>
      <c r="C537" t="inlineStr">
        <is>
          <t>V.P. Supply Chain</t>
        </is>
      </c>
      <c r="D537" t="inlineStr">
        <is>
          <t>Zonos</t>
        </is>
      </c>
      <c r="H537" t="n">
        <v>12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>
        <f>IFERROR(INDEX('Company Hitlist'!$AA:$AA,MATCH(D537,'Company Hitlist'!$A:$A,0)),)</f>
        <v/>
      </c>
      <c r="O537">
        <f>IFERROR(INDEX('Company Hitlist'!$N:$N,MATCH(D537,'Company Hitlist'!$A:$A,0)),)</f>
        <v/>
      </c>
      <c r="Q537" t="inlineStr">
        <is>
          <t>todo</t>
        </is>
      </c>
    </row>
    <row r="538">
      <c r="A538" t="inlineStr">
        <is>
          <t>Jim Sanborn</t>
        </is>
      </c>
      <c r="B538" t="inlineStr">
        <is>
          <t>Sponsor</t>
        </is>
      </c>
      <c r="C538" t="inlineStr">
        <is>
          <t>Director, Network Marketplace</t>
        </is>
      </c>
      <c r="D538" t="inlineStr">
        <is>
          <t>e2open - WiseTech Global Group</t>
        </is>
      </c>
      <c r="F538" t="inlineStr">
        <is>
          <t>Yes</t>
        </is>
      </c>
      <c r="H538" t="n">
        <v>12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>
        <f>IFERROR(INDEX('Company Hitlist'!$AA:$AA,MATCH(D538,'Company Hitlist'!$A:$A,0)),)</f>
        <v/>
      </c>
      <c r="O538">
        <f>IFERROR(INDEX('Company Hitlist'!$N:$N,MATCH(D538,'Company Hitlist'!$A:$A,0)),)</f>
        <v/>
      </c>
      <c r="Q538" t="inlineStr">
        <is>
          <t>todo</t>
        </is>
      </c>
    </row>
    <row r="539">
      <c r="A539" t="inlineStr">
        <is>
          <t>Victor Andrade</t>
        </is>
      </c>
      <c r="B539" t="inlineStr">
        <is>
          <t>Attendee</t>
        </is>
      </c>
      <c r="C539" t="inlineStr">
        <is>
          <t>Network Maintenance Manager</t>
        </is>
      </c>
      <c r="D539" t="inlineStr">
        <is>
          <t>(MP USA) Mastronardi Produce-USA, Inc.</t>
        </is>
      </c>
      <c r="H539" t="n">
        <v>10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>
        <f>IFERROR(INDEX('Company Hitlist'!$AA:$AA,MATCH(D539,'Company Hitlist'!$A:$A,0)),)</f>
        <v/>
      </c>
      <c r="O539">
        <f>IFERROR(INDEX('Company Hitlist'!$N:$N,MATCH(D539,'Company Hitlist'!$A:$A,0)),)</f>
        <v/>
      </c>
      <c r="Q539" t="inlineStr">
        <is>
          <t>todo</t>
        </is>
      </c>
    </row>
    <row r="540">
      <c r="A540" t="inlineStr">
        <is>
          <t>Brian Whiting</t>
        </is>
      </c>
      <c r="B540" t="inlineStr">
        <is>
          <t>Attendee</t>
        </is>
      </c>
      <c r="C540" t="inlineStr">
        <is>
          <t>Director of Operations</t>
        </is>
      </c>
      <c r="D540" t="inlineStr">
        <is>
          <t>1st Phorm</t>
        </is>
      </c>
      <c r="F540" t="inlineStr">
        <is>
          <t>Yes</t>
        </is>
      </c>
      <c r="H540" t="n">
        <v>10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>
        <f>IFERROR(INDEX('Company Hitlist'!$AA:$AA,MATCH(D540,'Company Hitlist'!$A:$A,0)),)</f>
        <v/>
      </c>
      <c r="O540">
        <f>IFERROR(INDEX('Company Hitlist'!$N:$N,MATCH(D540,'Company Hitlist'!$A:$A,0)),)</f>
        <v/>
      </c>
      <c r="Q540" t="inlineStr">
        <is>
          <t>todo</t>
        </is>
      </c>
    </row>
    <row r="541">
      <c r="A541" t="inlineStr">
        <is>
          <t>Dakota Miller</t>
        </is>
      </c>
      <c r="B541" t="inlineStr">
        <is>
          <t>Attendee</t>
        </is>
      </c>
      <c r="C541" t="inlineStr">
        <is>
          <t>Warehouse Manager</t>
        </is>
      </c>
      <c r="D541" t="inlineStr">
        <is>
          <t>1st Phorm</t>
        </is>
      </c>
      <c r="H541" t="n">
        <v>10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>
        <f>IFERROR(INDEX('Company Hitlist'!$AA:$AA,MATCH(D541,'Company Hitlist'!$A:$A,0)),)</f>
        <v/>
      </c>
      <c r="O541">
        <f>IFERROR(INDEX('Company Hitlist'!$N:$N,MATCH(D541,'Company Hitlist'!$A:$A,0)),)</f>
        <v/>
      </c>
      <c r="Q541" t="inlineStr">
        <is>
          <t>todo</t>
        </is>
      </c>
    </row>
    <row r="542">
      <c r="A542" t="inlineStr">
        <is>
          <t>Josh Ward</t>
        </is>
      </c>
      <c r="B542" t="inlineStr">
        <is>
          <t>Attendee</t>
        </is>
      </c>
      <c r="C542" t="inlineStr">
        <is>
          <t>Warehouse Manager</t>
        </is>
      </c>
      <c r="D542" t="inlineStr">
        <is>
          <t>1st Phorm</t>
        </is>
      </c>
      <c r="H542" t="n">
        <v>10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>
        <f>IFERROR(INDEX('Company Hitlist'!$AA:$AA,MATCH(D542,'Company Hitlist'!$A:$A,0)),)</f>
        <v/>
      </c>
      <c r="O542">
        <f>IFERROR(INDEX('Company Hitlist'!$N:$N,MATCH(D542,'Company Hitlist'!$A:$A,0)),)</f>
        <v/>
      </c>
      <c r="Q542" t="inlineStr">
        <is>
          <t>todo</t>
        </is>
      </c>
    </row>
    <row r="543">
      <c r="A543" t="inlineStr">
        <is>
          <t>Scott Vazzana</t>
        </is>
      </c>
      <c r="B543" t="inlineStr">
        <is>
          <t>Attendee</t>
        </is>
      </c>
      <c r="C543" t="inlineStr">
        <is>
          <t>Supply Chain Reduction (SCR) Originator</t>
        </is>
      </c>
      <c r="D543" t="inlineStr">
        <is>
          <t>3Degrees</t>
        </is>
      </c>
      <c r="E543" t="inlineStr">
        <is>
          <t>United States</t>
        </is>
      </c>
      <c r="H543" t="n">
        <v>10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>
        <f>IFERROR(INDEX('Company Hitlist'!$AA:$AA,MATCH(D543,'Company Hitlist'!$A:$A,0)),)</f>
        <v/>
      </c>
      <c r="O543">
        <f>IFERROR(INDEX('Company Hitlist'!$N:$N,MATCH(D543,'Company Hitlist'!$A:$A,0)),)</f>
        <v/>
      </c>
      <c r="Q543" t="inlineStr">
        <is>
          <t>todo</t>
        </is>
      </c>
    </row>
    <row r="544">
      <c r="A544" t="inlineStr">
        <is>
          <t>Jeremy Petersen</t>
        </is>
      </c>
      <c r="B544" t="inlineStr">
        <is>
          <t>Attendee</t>
        </is>
      </c>
      <c r="C544" t="inlineStr">
        <is>
          <t>Global Logistics Excellence Manager</t>
        </is>
      </c>
      <c r="D544" t="inlineStr">
        <is>
          <t>3M</t>
        </is>
      </c>
      <c r="H544" t="n">
        <v>10</v>
      </c>
      <c r="I544" t="b">
        <v>1</v>
      </c>
      <c r="J544" t="b">
        <v>0</v>
      </c>
      <c r="K544" t="b">
        <v>0</v>
      </c>
      <c r="L544" t="b">
        <v>0</v>
      </c>
      <c r="M544" t="b">
        <v>0</v>
      </c>
      <c r="N544">
        <f>IFERROR(INDEX('Company Hitlist'!$AA:$AA,MATCH(D544,'Company Hitlist'!$A:$A,0)),)</f>
        <v/>
      </c>
      <c r="O544">
        <f>IFERROR(INDEX('Company Hitlist'!$N:$N,MATCH(D544,'Company Hitlist'!$A:$A,0)),)</f>
        <v/>
      </c>
      <c r="Q544" t="inlineStr">
        <is>
          <t>todo</t>
        </is>
      </c>
    </row>
    <row r="545">
      <c r="A545" t="inlineStr">
        <is>
          <t>Kirsti Clason</t>
        </is>
      </c>
      <c r="B545" t="inlineStr">
        <is>
          <t>Attendee</t>
        </is>
      </c>
      <c r="C545" t="inlineStr">
        <is>
          <t>Global Logistics Manager</t>
        </is>
      </c>
      <c r="D545" t="inlineStr">
        <is>
          <t>3M</t>
        </is>
      </c>
      <c r="H545" t="n">
        <v>10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>
        <f>IFERROR(INDEX('Company Hitlist'!$AA:$AA,MATCH(D545,'Company Hitlist'!$A:$A,0)),)</f>
        <v/>
      </c>
      <c r="O545">
        <f>IFERROR(INDEX('Company Hitlist'!$N:$N,MATCH(D545,'Company Hitlist'!$A:$A,0)),)</f>
        <v/>
      </c>
      <c r="Q545" t="inlineStr">
        <is>
          <t>todo</t>
        </is>
      </c>
    </row>
    <row r="546">
      <c r="A546" t="inlineStr">
        <is>
          <t>Joseph Cotroneo</t>
        </is>
      </c>
      <c r="B546" t="inlineStr">
        <is>
          <t>Attendee</t>
        </is>
      </c>
      <c r="C546" t="inlineStr">
        <is>
          <t>Senior Logistics Manager</t>
        </is>
      </c>
      <c r="D546" t="inlineStr">
        <is>
          <t>47 BRAND LLC</t>
        </is>
      </c>
      <c r="E546" t="inlineStr">
        <is>
          <t>United States</t>
        </is>
      </c>
      <c r="H546" t="n">
        <v>10</v>
      </c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>
        <f>IFERROR(INDEX('Company Hitlist'!$AA:$AA,MATCH(D546,'Company Hitlist'!$A:$A,0)),)</f>
        <v/>
      </c>
      <c r="O546">
        <f>IFERROR(INDEX('Company Hitlist'!$N:$N,MATCH(D546,'Company Hitlist'!$A:$A,0)),)</f>
        <v/>
      </c>
      <c r="Q546" t="inlineStr">
        <is>
          <t>todo</t>
        </is>
      </c>
    </row>
    <row r="547">
      <c r="A547" t="inlineStr">
        <is>
          <t>Katie LaVave</t>
        </is>
      </c>
      <c r="B547" t="inlineStr">
        <is>
          <t>Attendee</t>
        </is>
      </c>
      <c r="C547" t="inlineStr">
        <is>
          <t>Director of Transportation and Logistic</t>
        </is>
      </c>
      <c r="D547" t="inlineStr">
        <is>
          <t>4Imprint</t>
        </is>
      </c>
      <c r="H547" t="n">
        <v>10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>
        <f>IFERROR(INDEX('Company Hitlist'!$AA:$AA,MATCH(D547,'Company Hitlist'!$A:$A,0)),)</f>
        <v/>
      </c>
      <c r="O547">
        <f>IFERROR(INDEX('Company Hitlist'!$N:$N,MATCH(D547,'Company Hitlist'!$A:$A,0)),)</f>
        <v/>
      </c>
      <c r="Q547" t="inlineStr">
        <is>
          <t>todo</t>
        </is>
      </c>
    </row>
    <row r="548">
      <c r="A548" t="inlineStr">
        <is>
          <t>Mike Lopez</t>
        </is>
      </c>
      <c r="B548" t="inlineStr">
        <is>
          <t>Attendee</t>
        </is>
      </c>
      <c r="C548" t="inlineStr">
        <is>
          <t>Senior Director, Supply Chain</t>
        </is>
      </c>
      <c r="D548" t="inlineStr">
        <is>
          <t>4Over</t>
        </is>
      </c>
      <c r="H548" t="n">
        <v>10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>
        <f>IFERROR(INDEX('Company Hitlist'!$AA:$AA,MATCH(D548,'Company Hitlist'!$A:$A,0)),)</f>
        <v/>
      </c>
      <c r="O548">
        <f>IFERROR(INDEX('Company Hitlist'!$N:$N,MATCH(D548,'Company Hitlist'!$A:$A,0)),)</f>
        <v/>
      </c>
      <c r="Q548" t="inlineStr">
        <is>
          <t>todo</t>
        </is>
      </c>
    </row>
    <row r="549">
      <c r="A549" t="inlineStr">
        <is>
          <t>Russ Miceli</t>
        </is>
      </c>
      <c r="B549" t="inlineStr">
        <is>
          <t>Attendee</t>
        </is>
      </c>
      <c r="C549" t="inlineStr">
        <is>
          <t>Supply Chain Solutions</t>
        </is>
      </c>
      <c r="D549" t="inlineStr">
        <is>
          <t>A. Duie Pyle</t>
        </is>
      </c>
      <c r="E549" t="inlineStr">
        <is>
          <t>United States</t>
        </is>
      </c>
      <c r="H549" t="n">
        <v>10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>
        <f>IFERROR(INDEX('Company Hitlist'!$AA:$AA,MATCH(D549,'Company Hitlist'!$A:$A,0)),)</f>
        <v/>
      </c>
      <c r="O549">
        <f>IFERROR(INDEX('Company Hitlist'!$N:$N,MATCH(D549,'Company Hitlist'!$A:$A,0)),)</f>
        <v/>
      </c>
      <c r="Q549" t="inlineStr">
        <is>
          <t>todo</t>
        </is>
      </c>
    </row>
    <row r="550">
      <c r="A550" t="inlineStr">
        <is>
          <t>Chad Brant</t>
        </is>
      </c>
      <c r="B550" t="inlineStr">
        <is>
          <t>Attendee</t>
        </is>
      </c>
      <c r="C550" t="inlineStr">
        <is>
          <t>Director of Transportation</t>
        </is>
      </c>
      <c r="D550" t="inlineStr">
        <is>
          <t>ABB</t>
        </is>
      </c>
      <c r="E550" t="inlineStr">
        <is>
          <t>United States</t>
        </is>
      </c>
      <c r="H550" t="n">
        <v>10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>
        <f>IFERROR(INDEX('Company Hitlist'!$AA:$AA,MATCH(D550,'Company Hitlist'!$A:$A,0)),)</f>
        <v/>
      </c>
      <c r="O550">
        <f>IFERROR(INDEX('Company Hitlist'!$N:$N,MATCH(D550,'Company Hitlist'!$A:$A,0)),)</f>
        <v/>
      </c>
      <c r="Q550" t="inlineStr">
        <is>
          <t>todo</t>
        </is>
      </c>
    </row>
    <row r="551">
      <c r="A551" t="inlineStr">
        <is>
          <t>Bryan Tckett</t>
        </is>
      </c>
      <c r="B551" t="inlineStr">
        <is>
          <t>Attendee</t>
        </is>
      </c>
      <c r="C551" t="inlineStr">
        <is>
          <t>Transportation Manager</t>
        </is>
      </c>
      <c r="D551" t="inlineStr">
        <is>
          <t>ABB</t>
        </is>
      </c>
      <c r="H551" t="n">
        <v>10</v>
      </c>
      <c r="I551" t="b">
        <v>1</v>
      </c>
      <c r="J551" t="b">
        <v>0</v>
      </c>
      <c r="K551" t="b">
        <v>0</v>
      </c>
      <c r="L551" t="b">
        <v>0</v>
      </c>
      <c r="M551" t="b">
        <v>0</v>
      </c>
      <c r="N551">
        <f>IFERROR(INDEX('Company Hitlist'!$AA:$AA,MATCH(D551,'Company Hitlist'!$A:$A,0)),)</f>
        <v/>
      </c>
      <c r="O551">
        <f>IFERROR(INDEX('Company Hitlist'!$N:$N,MATCH(D551,'Company Hitlist'!$A:$A,0)),)</f>
        <v/>
      </c>
      <c r="Q551" t="inlineStr">
        <is>
          <t>todo</t>
        </is>
      </c>
    </row>
    <row r="552">
      <c r="A552" t="inlineStr">
        <is>
          <t>Wesley Read</t>
        </is>
      </c>
      <c r="B552" t="inlineStr">
        <is>
          <t>Attendee</t>
        </is>
      </c>
      <c r="C552" t="inlineStr">
        <is>
          <t>Domestic Transportation Specialist</t>
        </is>
      </c>
      <c r="D552" t="inlineStr">
        <is>
          <t>ABB</t>
        </is>
      </c>
      <c r="H552" t="n">
        <v>10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>
        <f>IFERROR(INDEX('Company Hitlist'!$AA:$AA,MATCH(D552,'Company Hitlist'!$A:$A,0)),)</f>
        <v/>
      </c>
      <c r="O552">
        <f>IFERROR(INDEX('Company Hitlist'!$N:$N,MATCH(D552,'Company Hitlist'!$A:$A,0)),)</f>
        <v/>
      </c>
      <c r="Q552" t="inlineStr">
        <is>
          <t>todo</t>
        </is>
      </c>
    </row>
    <row r="553">
      <c r="A553" t="inlineStr">
        <is>
          <t>John Albano</t>
        </is>
      </c>
      <c r="B553" t="inlineStr">
        <is>
          <t>Attendee</t>
        </is>
      </c>
      <c r="C553" t="inlineStr">
        <is>
          <t>Principal Account Director - Logistics</t>
        </is>
      </c>
      <c r="D553" t="inlineStr">
        <is>
          <t>ABB Robotics</t>
        </is>
      </c>
      <c r="E553" t="inlineStr">
        <is>
          <t>United States</t>
        </is>
      </c>
      <c r="H553" t="n">
        <v>10</v>
      </c>
      <c r="I553" t="b">
        <v>1</v>
      </c>
      <c r="J553" t="b">
        <v>0</v>
      </c>
      <c r="K553" t="b">
        <v>0</v>
      </c>
      <c r="L553" t="b">
        <v>0</v>
      </c>
      <c r="M553" t="b">
        <v>0</v>
      </c>
      <c r="N553">
        <f>IFERROR(INDEX('Company Hitlist'!$AA:$AA,MATCH(D553,'Company Hitlist'!$A:$A,0)),)</f>
        <v/>
      </c>
      <c r="O553">
        <f>IFERROR(INDEX('Company Hitlist'!$N:$N,MATCH(D553,'Company Hitlist'!$A:$A,0)),)</f>
        <v/>
      </c>
      <c r="Q553" t="inlineStr">
        <is>
          <t>todo</t>
        </is>
      </c>
    </row>
    <row r="554">
      <c r="A554" t="inlineStr">
        <is>
          <t>Lyndsay Molinaro</t>
        </is>
      </c>
      <c r="B554" t="inlineStr">
        <is>
          <t>Attendee</t>
        </is>
      </c>
      <c r="C554" t="inlineStr">
        <is>
          <t>Director - Supply Chain Strategy</t>
        </is>
      </c>
      <c r="D554" t="inlineStr">
        <is>
          <t>AEO</t>
        </is>
      </c>
      <c r="H554" t="n">
        <v>10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>
        <f>IFERROR(INDEX('Company Hitlist'!$AA:$AA,MATCH(D554,'Company Hitlist'!$A:$A,0)),)</f>
        <v/>
      </c>
      <c r="O554">
        <f>IFERROR(INDEX('Company Hitlist'!$N:$N,MATCH(D554,'Company Hitlist'!$A:$A,0)),)</f>
        <v/>
      </c>
      <c r="Q554" t="inlineStr">
        <is>
          <t>todo</t>
        </is>
      </c>
    </row>
    <row r="555">
      <c r="A555" t="inlineStr">
        <is>
          <t>Lizette Brown</t>
        </is>
      </c>
      <c r="B555" t="inlineStr">
        <is>
          <t>Attendee</t>
        </is>
      </c>
      <c r="C555" t="inlineStr">
        <is>
          <t>Manager of Freight &amp; Logistics</t>
        </is>
      </c>
      <c r="D555" t="inlineStr">
        <is>
          <t>AG1</t>
        </is>
      </c>
      <c r="H555" t="n">
        <v>10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>
        <f>IFERROR(INDEX('Company Hitlist'!$AA:$AA,MATCH(D555,'Company Hitlist'!$A:$A,0)),)</f>
        <v/>
      </c>
      <c r="O555">
        <f>IFERROR(INDEX('Company Hitlist'!$N:$N,MATCH(D555,'Company Hitlist'!$A:$A,0)),)</f>
        <v/>
      </c>
      <c r="Q555" t="inlineStr">
        <is>
          <t>todo</t>
        </is>
      </c>
    </row>
    <row r="556">
      <c r="A556" t="inlineStr">
        <is>
          <t>John Senior</t>
        </is>
      </c>
      <c r="B556" t="inlineStr">
        <is>
          <t>Attendee</t>
        </is>
      </c>
      <c r="C556" t="inlineStr">
        <is>
          <t>National Business Operations Manager</t>
        </is>
      </c>
      <c r="D556" t="inlineStr">
        <is>
          <t>APS Logistics Group Pty Ltd</t>
        </is>
      </c>
      <c r="H556" t="n">
        <v>10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>
        <f>IFERROR(INDEX('Company Hitlist'!$AA:$AA,MATCH(D556,'Company Hitlist'!$A:$A,0)),)</f>
        <v/>
      </c>
      <c r="O556">
        <f>IFERROR(INDEX('Company Hitlist'!$N:$N,MATCH(D556,'Company Hitlist'!$A:$A,0)),)</f>
        <v/>
      </c>
      <c r="Q556" t="inlineStr">
        <is>
          <t>todo</t>
        </is>
      </c>
    </row>
    <row r="557">
      <c r="A557" t="inlineStr">
        <is>
          <t>Ashleigh Bagnata</t>
        </is>
      </c>
      <c r="B557" t="inlineStr">
        <is>
          <t>Attendee</t>
        </is>
      </c>
      <c r="C557" t="inlineStr">
        <is>
          <t>Senior Director of Operations</t>
        </is>
      </c>
      <c r="D557" t="inlineStr">
        <is>
          <t>AS Beauty</t>
        </is>
      </c>
      <c r="E557" t="inlineStr">
        <is>
          <t>United States</t>
        </is>
      </c>
      <c r="H557" t="n">
        <v>10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>
        <f>IFERROR(INDEX('Company Hitlist'!$AA:$AA,MATCH(D557,'Company Hitlist'!$A:$A,0)),)</f>
        <v/>
      </c>
      <c r="O557">
        <f>IFERROR(INDEX('Company Hitlist'!$N:$N,MATCH(D557,'Company Hitlist'!$A:$A,0)),)</f>
        <v/>
      </c>
      <c r="Q557" t="inlineStr">
        <is>
          <t>todo</t>
        </is>
      </c>
    </row>
    <row r="558">
      <c r="A558" t="inlineStr">
        <is>
          <t>Ellen Valencia</t>
        </is>
      </c>
      <c r="B558" t="inlineStr">
        <is>
          <t>Attendee</t>
        </is>
      </c>
      <c r="C558" t="inlineStr">
        <is>
          <t>AVP Planning and Logistics</t>
        </is>
      </c>
      <c r="D558" t="inlineStr">
        <is>
          <t>AT&amp;T</t>
        </is>
      </c>
      <c r="E558" t="inlineStr">
        <is>
          <t>United States</t>
        </is>
      </c>
      <c r="F558" t="inlineStr">
        <is>
          <t>Yes</t>
        </is>
      </c>
      <c r="H558" t="n">
        <v>10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>
        <f>IFERROR(INDEX('Company Hitlist'!$AA:$AA,MATCH(D558,'Company Hitlist'!$A:$A,0)),)</f>
        <v/>
      </c>
      <c r="O558">
        <f>IFERROR(INDEX('Company Hitlist'!$N:$N,MATCH(D558,'Company Hitlist'!$A:$A,0)),)</f>
        <v/>
      </c>
      <c r="Q558" t="inlineStr">
        <is>
          <t>todo</t>
        </is>
      </c>
    </row>
    <row r="559">
      <c r="A559" t="inlineStr">
        <is>
          <t>Jawad Masood</t>
        </is>
      </c>
      <c r="B559" t="inlineStr">
        <is>
          <t>Attendee</t>
        </is>
      </c>
      <c r="C559" t="inlineStr">
        <is>
          <t>Director Planning and Logistics</t>
        </is>
      </c>
      <c r="D559" t="inlineStr">
        <is>
          <t>AT&amp;T</t>
        </is>
      </c>
      <c r="E559" t="inlineStr">
        <is>
          <t>United States</t>
        </is>
      </c>
      <c r="F559" t="inlineStr">
        <is>
          <t>Yes</t>
        </is>
      </c>
      <c r="H559" t="n">
        <v>10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>
        <f>IFERROR(INDEX('Company Hitlist'!$AA:$AA,MATCH(D559,'Company Hitlist'!$A:$A,0)),)</f>
        <v/>
      </c>
      <c r="O559">
        <f>IFERROR(INDEX('Company Hitlist'!$N:$N,MATCH(D559,'Company Hitlist'!$A:$A,0)),)</f>
        <v/>
      </c>
      <c r="Q559" t="inlineStr">
        <is>
          <t>todo</t>
        </is>
      </c>
    </row>
    <row r="560">
      <c r="A560" t="inlineStr">
        <is>
          <t>Kent McCormick</t>
        </is>
      </c>
      <c r="B560" t="inlineStr">
        <is>
          <t>Attendee</t>
        </is>
      </c>
      <c r="C560" t="inlineStr">
        <is>
          <t>Director Supply Planning/Logistics</t>
        </is>
      </c>
      <c r="D560" t="inlineStr">
        <is>
          <t>AT&amp;T</t>
        </is>
      </c>
      <c r="E560" t="inlineStr">
        <is>
          <t>United States</t>
        </is>
      </c>
      <c r="F560" t="inlineStr">
        <is>
          <t>Yes</t>
        </is>
      </c>
      <c r="H560" t="n">
        <v>10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>
        <f>IFERROR(INDEX('Company Hitlist'!$AA:$AA,MATCH(D560,'Company Hitlist'!$A:$A,0)),)</f>
        <v/>
      </c>
      <c r="O560">
        <f>IFERROR(INDEX('Company Hitlist'!$N:$N,MATCH(D560,'Company Hitlist'!$A:$A,0)),)</f>
        <v/>
      </c>
      <c r="Q560" t="inlineStr">
        <is>
          <t>todo</t>
        </is>
      </c>
    </row>
    <row r="561">
      <c r="A561" t="inlineStr">
        <is>
          <t>Kyle Meyer</t>
        </is>
      </c>
      <c r="B561" t="inlineStr">
        <is>
          <t>Attendee</t>
        </is>
      </c>
      <c r="C561" t="inlineStr">
        <is>
          <t>Director Planning and Logistics</t>
        </is>
      </c>
      <c r="D561" t="inlineStr">
        <is>
          <t>AT&amp;T</t>
        </is>
      </c>
      <c r="E561" t="inlineStr">
        <is>
          <t>United States</t>
        </is>
      </c>
      <c r="F561" t="inlineStr">
        <is>
          <t>Yes</t>
        </is>
      </c>
      <c r="H561" t="n">
        <v>10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>
        <f>IFERROR(INDEX('Company Hitlist'!$AA:$AA,MATCH(D561,'Company Hitlist'!$A:$A,0)),)</f>
        <v/>
      </c>
      <c r="O561">
        <f>IFERROR(INDEX('Company Hitlist'!$N:$N,MATCH(D561,'Company Hitlist'!$A:$A,0)),)</f>
        <v/>
      </c>
      <c r="Q561" t="inlineStr">
        <is>
          <t>todo</t>
        </is>
      </c>
    </row>
    <row r="562">
      <c r="A562" t="inlineStr">
        <is>
          <t>Meg Birchfiled</t>
        </is>
      </c>
      <c r="B562" t="inlineStr">
        <is>
          <t>Attendee</t>
        </is>
      </c>
      <c r="C562" t="inlineStr">
        <is>
          <t>Director Planning &amp; Logistics</t>
        </is>
      </c>
      <c r="D562" t="inlineStr">
        <is>
          <t>AT&amp;T</t>
        </is>
      </c>
      <c r="E562" t="inlineStr">
        <is>
          <t>United States</t>
        </is>
      </c>
      <c r="F562" t="inlineStr">
        <is>
          <t>Yes</t>
        </is>
      </c>
      <c r="H562" t="n">
        <v>10</v>
      </c>
      <c r="I562" t="b">
        <v>1</v>
      </c>
      <c r="J562" t="b">
        <v>0</v>
      </c>
      <c r="K562" t="b">
        <v>0</v>
      </c>
      <c r="L562" t="b">
        <v>0</v>
      </c>
      <c r="M562" t="b">
        <v>0</v>
      </c>
      <c r="N562">
        <f>IFERROR(INDEX('Company Hitlist'!$AA:$AA,MATCH(D562,'Company Hitlist'!$A:$A,0)),)</f>
        <v/>
      </c>
      <c r="O562">
        <f>IFERROR(INDEX('Company Hitlist'!$N:$N,MATCH(D562,'Company Hitlist'!$A:$A,0)),)</f>
        <v/>
      </c>
      <c r="Q562" t="inlineStr">
        <is>
          <t>todo</t>
        </is>
      </c>
    </row>
    <row r="563">
      <c r="A563" t="inlineStr">
        <is>
          <t>Dennis Hodgkins</t>
        </is>
      </c>
      <c r="B563" t="inlineStr">
        <is>
          <t>Attendee</t>
        </is>
      </c>
      <c r="C563" t="inlineStr">
        <is>
          <t>AVP Supply Chain Planning and Logistics</t>
        </is>
      </c>
      <c r="D563" t="inlineStr">
        <is>
          <t>AT&amp;T</t>
        </is>
      </c>
      <c r="E563" t="inlineStr">
        <is>
          <t>United States</t>
        </is>
      </c>
      <c r="H563" t="n">
        <v>10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>
        <f>IFERROR(INDEX('Company Hitlist'!$AA:$AA,MATCH(D563,'Company Hitlist'!$A:$A,0)),)</f>
        <v/>
      </c>
      <c r="O563">
        <f>IFERROR(INDEX('Company Hitlist'!$N:$N,MATCH(D563,'Company Hitlist'!$A:$A,0)),)</f>
        <v/>
      </c>
      <c r="Q563" t="inlineStr">
        <is>
          <t>todo</t>
        </is>
      </c>
    </row>
    <row r="564">
      <c r="A564" t="inlineStr">
        <is>
          <t>Alejandra Keating</t>
        </is>
      </c>
      <c r="B564" t="inlineStr">
        <is>
          <t>Attendee</t>
        </is>
      </c>
      <c r="C564" t="inlineStr">
        <is>
          <t>Transport Logistics Manager</t>
        </is>
      </c>
      <c r="D564" t="inlineStr">
        <is>
          <t>AT-PAC</t>
        </is>
      </c>
      <c r="E564" t="inlineStr">
        <is>
          <t>United States</t>
        </is>
      </c>
      <c r="H564" t="n">
        <v>10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>
        <f>IFERROR(INDEX('Company Hitlist'!$AA:$AA,MATCH(D564,'Company Hitlist'!$A:$A,0)),)</f>
        <v/>
      </c>
      <c r="O564">
        <f>IFERROR(INDEX('Company Hitlist'!$N:$N,MATCH(D564,'Company Hitlist'!$A:$A,0)),)</f>
        <v/>
      </c>
      <c r="Q564" t="inlineStr">
        <is>
          <t>todo</t>
        </is>
      </c>
    </row>
    <row r="565">
      <c r="A565" t="inlineStr">
        <is>
          <t>David Watkins</t>
        </is>
      </c>
      <c r="B565" t="inlineStr">
        <is>
          <t>Attendee</t>
        </is>
      </c>
      <c r="C565" t="inlineStr">
        <is>
          <t>Velocity Logistics Center Manager</t>
        </is>
      </c>
      <c r="D565" t="inlineStr">
        <is>
          <t>AVI Systems Inc</t>
        </is>
      </c>
      <c r="E565" t="inlineStr">
        <is>
          <t>United States</t>
        </is>
      </c>
      <c r="H565" t="n">
        <v>10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>
        <f>IFERROR(INDEX('Company Hitlist'!$AA:$AA,MATCH(D565,'Company Hitlist'!$A:$A,0)),)</f>
        <v/>
      </c>
      <c r="O565">
        <f>IFERROR(INDEX('Company Hitlist'!$N:$N,MATCH(D565,'Company Hitlist'!$A:$A,0)),)</f>
        <v/>
      </c>
      <c r="Q565" t="inlineStr">
        <is>
          <t>todo</t>
        </is>
      </c>
    </row>
    <row r="566">
      <c r="A566" t="inlineStr">
        <is>
          <t>Josh James</t>
        </is>
      </c>
      <c r="B566" t="inlineStr">
        <is>
          <t>Attendee</t>
        </is>
      </c>
      <c r="C566" t="inlineStr">
        <is>
          <t>Distribution Center Manager</t>
        </is>
      </c>
      <c r="D566" t="inlineStr">
        <is>
          <t>AVI Systems Inc</t>
        </is>
      </c>
      <c r="E566" t="inlineStr">
        <is>
          <t>United States</t>
        </is>
      </c>
      <c r="H566" t="n">
        <v>10</v>
      </c>
      <c r="I566" t="b">
        <v>1</v>
      </c>
      <c r="J566" t="b">
        <v>0</v>
      </c>
      <c r="K566" t="b">
        <v>0</v>
      </c>
      <c r="L566" t="b">
        <v>0</v>
      </c>
      <c r="M566" t="b">
        <v>0</v>
      </c>
      <c r="N566">
        <f>IFERROR(INDEX('Company Hitlist'!$AA:$AA,MATCH(D566,'Company Hitlist'!$A:$A,0)),)</f>
        <v/>
      </c>
      <c r="O566">
        <f>IFERROR(INDEX('Company Hitlist'!$N:$N,MATCH(D566,'Company Hitlist'!$A:$A,0)),)</f>
        <v/>
      </c>
      <c r="Q566" t="inlineStr">
        <is>
          <t>todo</t>
        </is>
      </c>
    </row>
    <row r="567">
      <c r="A567" t="inlineStr">
        <is>
          <t>Nicole Sorensen</t>
        </is>
      </c>
      <c r="B567" t="inlineStr">
        <is>
          <t>Attendee</t>
        </is>
      </c>
      <c r="C567" t="inlineStr">
        <is>
          <t>Director of Operations</t>
        </is>
      </c>
      <c r="D567" t="inlineStr">
        <is>
          <t>Aden Logistics Corp</t>
        </is>
      </c>
      <c r="E567" t="inlineStr">
        <is>
          <t>United States</t>
        </is>
      </c>
      <c r="F567" t="inlineStr">
        <is>
          <t>Yes</t>
        </is>
      </c>
      <c r="H567" t="n">
        <v>10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>
        <f>IFERROR(INDEX('Company Hitlist'!$AA:$AA,MATCH(D567,'Company Hitlist'!$A:$A,0)),)</f>
        <v/>
      </c>
      <c r="O567">
        <f>IFERROR(INDEX('Company Hitlist'!$N:$N,MATCH(D567,'Company Hitlist'!$A:$A,0)),)</f>
        <v/>
      </c>
      <c r="Q567" t="inlineStr">
        <is>
          <t>todo</t>
        </is>
      </c>
    </row>
    <row r="568">
      <c r="A568" t="inlineStr">
        <is>
          <t>Emilio Manuel Tamargo Navarro</t>
        </is>
      </c>
      <c r="B568" t="inlineStr">
        <is>
          <t>Attendee</t>
        </is>
      </c>
      <c r="C568" t="inlineStr">
        <is>
          <t>Representative of the port administration</t>
        </is>
      </c>
      <c r="D568" t="inlineStr">
        <is>
          <t>Administración Portuaria Integral de Quintana Roo</t>
        </is>
      </c>
      <c r="F568" t="inlineStr">
        <is>
          <t>Yes</t>
        </is>
      </c>
      <c r="H568" t="n">
        <v>10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>
        <f>IFERROR(INDEX('Company Hitlist'!$AA:$AA,MATCH(D568,'Company Hitlist'!$A:$A,0)),)</f>
        <v/>
      </c>
      <c r="O568">
        <f>IFERROR(INDEX('Company Hitlist'!$N:$N,MATCH(D568,'Company Hitlist'!$A:$A,0)),)</f>
        <v/>
      </c>
      <c r="Q568" t="inlineStr">
        <is>
          <t>todo</t>
        </is>
      </c>
    </row>
    <row r="569">
      <c r="A569" t="inlineStr">
        <is>
          <t>Bart Richardson</t>
        </is>
      </c>
      <c r="B569" t="inlineStr">
        <is>
          <t>Attendee</t>
        </is>
      </c>
      <c r="C569" t="inlineStr">
        <is>
          <t>Transportations Operations Specialist,</t>
        </is>
      </c>
      <c r="D569" t="inlineStr">
        <is>
          <t>Admiral Beverage</t>
        </is>
      </c>
      <c r="F569" t="inlineStr">
        <is>
          <t>Yes</t>
        </is>
      </c>
      <c r="H569" t="n">
        <v>10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>
        <f>IFERROR(INDEX('Company Hitlist'!$AA:$AA,MATCH(D569,'Company Hitlist'!$A:$A,0)),)</f>
        <v/>
      </c>
      <c r="O569">
        <f>IFERROR(INDEX('Company Hitlist'!$N:$N,MATCH(D569,'Company Hitlist'!$A:$A,0)),)</f>
        <v/>
      </c>
      <c r="Q569" t="inlineStr">
        <is>
          <t>todo</t>
        </is>
      </c>
    </row>
    <row r="570">
      <c r="A570" t="inlineStr">
        <is>
          <t>John Staben</t>
        </is>
      </c>
      <c r="B570" t="inlineStr">
        <is>
          <t>Attendee</t>
        </is>
      </c>
      <c r="C570" t="inlineStr">
        <is>
          <t>Logistics Manager</t>
        </is>
      </c>
      <c r="D570" t="inlineStr">
        <is>
          <t>Ajinomoto Foods</t>
        </is>
      </c>
      <c r="H570" t="n">
        <v>10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>
        <f>IFERROR(INDEX('Company Hitlist'!$AA:$AA,MATCH(D570,'Company Hitlist'!$A:$A,0)),)</f>
        <v/>
      </c>
      <c r="O570">
        <f>IFERROR(INDEX('Company Hitlist'!$N:$N,MATCH(D570,'Company Hitlist'!$A:$A,0)),)</f>
        <v/>
      </c>
      <c r="Q570" t="inlineStr">
        <is>
          <t>todo</t>
        </is>
      </c>
    </row>
    <row r="571">
      <c r="A571" t="inlineStr">
        <is>
          <t>Eric Nadera</t>
        </is>
      </c>
      <c r="B571" t="inlineStr">
        <is>
          <t>Attendee</t>
        </is>
      </c>
      <c r="C571" t="inlineStr">
        <is>
          <t>Senior Warehouse and Distribution Manager</t>
        </is>
      </c>
      <c r="D571" t="inlineStr">
        <is>
          <t>Ajinomoto Foods North America, Inc.</t>
        </is>
      </c>
      <c r="H571" t="n">
        <v>10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>
        <f>IFERROR(INDEX('Company Hitlist'!$AA:$AA,MATCH(D571,'Company Hitlist'!$A:$A,0)),)</f>
        <v/>
      </c>
      <c r="O571">
        <f>IFERROR(INDEX('Company Hitlist'!$N:$N,MATCH(D571,'Company Hitlist'!$A:$A,0)),)</f>
        <v/>
      </c>
      <c r="Q571" t="inlineStr">
        <is>
          <t>todo</t>
        </is>
      </c>
    </row>
    <row r="572">
      <c r="A572" t="inlineStr">
        <is>
          <t>Horacia Martin</t>
        </is>
      </c>
      <c r="B572" t="inlineStr">
        <is>
          <t>Attendee</t>
        </is>
      </c>
      <c r="C572" t="inlineStr">
        <is>
          <t>Manager of Distribution Center Warehouse and Operations</t>
        </is>
      </c>
      <c r="D572" t="inlineStr">
        <is>
          <t>Ajinomoto Foods North America, Inc.</t>
        </is>
      </c>
      <c r="H572" t="n">
        <v>10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>
        <f>IFERROR(INDEX('Company Hitlist'!$AA:$AA,MATCH(D572,'Company Hitlist'!$A:$A,0)),)</f>
        <v/>
      </c>
      <c r="O572">
        <f>IFERROR(INDEX('Company Hitlist'!$N:$N,MATCH(D572,'Company Hitlist'!$A:$A,0)),)</f>
        <v/>
      </c>
      <c r="Q572" t="inlineStr">
        <is>
          <t>todo</t>
        </is>
      </c>
    </row>
    <row r="573">
      <c r="A573" t="inlineStr">
        <is>
          <t>Vincent Kho</t>
        </is>
      </c>
      <c r="B573" t="inlineStr">
        <is>
          <t>Attendee</t>
        </is>
      </c>
      <c r="C573" t="inlineStr">
        <is>
          <t>Logistics Manager</t>
        </is>
      </c>
      <c r="D573" t="inlineStr">
        <is>
          <t>Ajinomoto Foods North America, Inc.</t>
        </is>
      </c>
      <c r="H573" t="n">
        <v>10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>
        <f>IFERROR(INDEX('Company Hitlist'!$AA:$AA,MATCH(D573,'Company Hitlist'!$A:$A,0)),)</f>
        <v/>
      </c>
      <c r="O573">
        <f>IFERROR(INDEX('Company Hitlist'!$N:$N,MATCH(D573,'Company Hitlist'!$A:$A,0)),)</f>
        <v/>
      </c>
      <c r="Q573" t="inlineStr">
        <is>
          <t>todo</t>
        </is>
      </c>
    </row>
    <row r="574">
      <c r="A574" t="inlineStr">
        <is>
          <t>Dustin Record</t>
        </is>
      </c>
      <c r="B574" t="inlineStr">
        <is>
          <t>Attendee</t>
        </is>
      </c>
      <c r="C574" t="inlineStr">
        <is>
          <t>Trade &amp; Logistics Lead</t>
        </is>
      </c>
      <c r="D574" t="inlineStr">
        <is>
          <t>Allegiant</t>
        </is>
      </c>
      <c r="F574" t="inlineStr">
        <is>
          <t>Yes</t>
        </is>
      </c>
      <c r="H574" t="n">
        <v>10</v>
      </c>
      <c r="I574" t="b">
        <v>1</v>
      </c>
      <c r="J574" t="b">
        <v>0</v>
      </c>
      <c r="K574" t="b">
        <v>0</v>
      </c>
      <c r="L574" t="b">
        <v>0</v>
      </c>
      <c r="M574" t="b">
        <v>0</v>
      </c>
      <c r="N574">
        <f>IFERROR(INDEX('Company Hitlist'!$AA:$AA,MATCH(D574,'Company Hitlist'!$A:$A,0)),)</f>
        <v/>
      </c>
      <c r="O574">
        <f>IFERROR(INDEX('Company Hitlist'!$N:$N,MATCH(D574,'Company Hitlist'!$A:$A,0)),)</f>
        <v/>
      </c>
      <c r="Q574" t="inlineStr">
        <is>
          <t>todo</t>
        </is>
      </c>
    </row>
    <row r="575">
      <c r="A575" t="inlineStr">
        <is>
          <t>Christopher Smith</t>
        </is>
      </c>
      <c r="B575" t="inlineStr">
        <is>
          <t>Attendee</t>
        </is>
      </c>
      <c r="C575" t="inlineStr">
        <is>
          <t>Trade &amp; Logistics Analyst</t>
        </is>
      </c>
      <c r="D575" t="inlineStr">
        <is>
          <t>Allegiant Air</t>
        </is>
      </c>
      <c r="F575" t="inlineStr">
        <is>
          <t>Yes</t>
        </is>
      </c>
      <c r="H575" t="n">
        <v>10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>
        <f>IFERROR(INDEX('Company Hitlist'!$AA:$AA,MATCH(D575,'Company Hitlist'!$A:$A,0)),)</f>
        <v/>
      </c>
      <c r="O575">
        <f>IFERROR(INDEX('Company Hitlist'!$N:$N,MATCH(D575,'Company Hitlist'!$A:$A,0)),)</f>
        <v/>
      </c>
      <c r="Q575" t="inlineStr">
        <is>
          <t>todo</t>
        </is>
      </c>
    </row>
    <row r="576">
      <c r="A576" t="inlineStr">
        <is>
          <t>Rawley Mims</t>
        </is>
      </c>
      <c r="B576" t="inlineStr">
        <is>
          <t>Attendee</t>
        </is>
      </c>
      <c r="C576" t="inlineStr">
        <is>
          <t>Director Stores, Tools &amp; Logistics</t>
        </is>
      </c>
      <c r="D576" t="inlineStr">
        <is>
          <t>Allegiant Air</t>
        </is>
      </c>
      <c r="F576" t="inlineStr">
        <is>
          <t>Yes</t>
        </is>
      </c>
      <c r="H576" t="n">
        <v>10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>
        <f>IFERROR(INDEX('Company Hitlist'!$AA:$AA,MATCH(D576,'Company Hitlist'!$A:$A,0)),)</f>
        <v/>
      </c>
      <c r="O576">
        <f>IFERROR(INDEX('Company Hitlist'!$N:$N,MATCH(D576,'Company Hitlist'!$A:$A,0)),)</f>
        <v/>
      </c>
      <c r="Q576" t="inlineStr">
        <is>
          <t>todo</t>
        </is>
      </c>
    </row>
    <row r="577">
      <c r="A577" t="inlineStr">
        <is>
          <t>Sylvia Smith</t>
        </is>
      </c>
      <c r="B577" t="inlineStr">
        <is>
          <t>Attendee</t>
        </is>
      </c>
      <c r="C577" t="inlineStr">
        <is>
          <t>Trade &amp; Logistics Supervisor</t>
        </is>
      </c>
      <c r="D577" t="inlineStr">
        <is>
          <t>Allegiant Air</t>
        </is>
      </c>
      <c r="F577" t="inlineStr">
        <is>
          <t>Yes</t>
        </is>
      </c>
      <c r="H577" t="n">
        <v>10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>
        <f>IFERROR(INDEX('Company Hitlist'!$AA:$AA,MATCH(D577,'Company Hitlist'!$A:$A,0)),)</f>
        <v/>
      </c>
      <c r="O577">
        <f>IFERROR(INDEX('Company Hitlist'!$N:$N,MATCH(D577,'Company Hitlist'!$A:$A,0)),)</f>
        <v/>
      </c>
      <c r="Q577" t="inlineStr">
        <is>
          <t>todo</t>
        </is>
      </c>
    </row>
    <row r="578">
      <c r="A578" t="inlineStr">
        <is>
          <t>Diego Cusco</t>
        </is>
      </c>
      <c r="B578" t="inlineStr">
        <is>
          <t>Attendee</t>
        </is>
      </c>
      <c r="C578" t="inlineStr">
        <is>
          <t>Business Operations Manager</t>
        </is>
      </c>
      <c r="D578" t="inlineStr">
        <is>
          <t>Allied Trucking of Florida</t>
        </is>
      </c>
      <c r="E578" t="inlineStr">
        <is>
          <t>United States</t>
        </is>
      </c>
      <c r="H578" t="n">
        <v>10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>
        <f>IFERROR(INDEX('Company Hitlist'!$AA:$AA,MATCH(D578,'Company Hitlist'!$A:$A,0)),)</f>
        <v/>
      </c>
      <c r="O578">
        <f>IFERROR(INDEX('Company Hitlist'!$N:$N,MATCH(D578,'Company Hitlist'!$A:$A,0)),)</f>
        <v/>
      </c>
      <c r="Q578" t="inlineStr">
        <is>
          <t>todo</t>
        </is>
      </c>
    </row>
    <row r="579">
      <c r="A579" t="inlineStr">
        <is>
          <t>Charles Osiegbu</t>
        </is>
      </c>
      <c r="B579" t="inlineStr">
        <is>
          <t>Attendee</t>
        </is>
      </c>
      <c r="C579" t="inlineStr">
        <is>
          <t>Director Of Logistics</t>
        </is>
      </c>
      <c r="D579" t="inlineStr">
        <is>
          <t>Altium Packaging Inc.</t>
        </is>
      </c>
      <c r="E579" t="inlineStr">
        <is>
          <t>United States</t>
        </is>
      </c>
      <c r="H579" t="n">
        <v>10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>
        <f>IFERROR(INDEX('Company Hitlist'!$AA:$AA,MATCH(D579,'Company Hitlist'!$A:$A,0)),)</f>
        <v/>
      </c>
      <c r="O579">
        <f>IFERROR(INDEX('Company Hitlist'!$N:$N,MATCH(D579,'Company Hitlist'!$A:$A,0)),)</f>
        <v/>
      </c>
      <c r="Q579" t="inlineStr">
        <is>
          <t>todo</t>
        </is>
      </c>
    </row>
    <row r="580">
      <c r="A580" t="inlineStr">
        <is>
          <t>Andy Parra</t>
        </is>
      </c>
      <c r="B580" t="inlineStr">
        <is>
          <t>Attendee</t>
        </is>
      </c>
      <c r="C580" t="inlineStr">
        <is>
          <t>Director, Supply Chain Mexico</t>
        </is>
      </c>
      <c r="D580" t="inlineStr">
        <is>
          <t>Amazon</t>
        </is>
      </c>
      <c r="E580" t="inlineStr">
        <is>
          <t>United States</t>
        </is>
      </c>
      <c r="H580" t="n">
        <v>10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>
        <f>IFERROR(INDEX('Company Hitlist'!$AA:$AA,MATCH(D580,'Company Hitlist'!$A:$A,0)),)</f>
        <v/>
      </c>
      <c r="O580">
        <f>IFERROR(INDEX('Company Hitlist'!$N:$N,MATCH(D580,'Company Hitlist'!$A:$A,0)),)</f>
        <v/>
      </c>
      <c r="Q580" t="inlineStr">
        <is>
          <t>todo</t>
        </is>
      </c>
    </row>
    <row r="581">
      <c r="A581" t="inlineStr">
        <is>
          <t>John Wong</t>
        </is>
      </c>
      <c r="B581" t="inlineStr">
        <is>
          <t>Attendee</t>
        </is>
      </c>
      <c r="C581" t="inlineStr">
        <is>
          <t>Supply Chain Industrial Fund</t>
        </is>
      </c>
      <c r="D581" t="inlineStr">
        <is>
          <t>Amazon</t>
        </is>
      </c>
      <c r="E581" t="inlineStr">
        <is>
          <t>United States</t>
        </is>
      </c>
      <c r="H581" t="n">
        <v>10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>
        <f>IFERROR(INDEX('Company Hitlist'!$AA:$AA,MATCH(D581,'Company Hitlist'!$A:$A,0)),)</f>
        <v/>
      </c>
      <c r="O581">
        <f>IFERROR(INDEX('Company Hitlist'!$N:$N,MATCH(D581,'Company Hitlist'!$A:$A,0)),)</f>
        <v/>
      </c>
      <c r="Q581" t="inlineStr">
        <is>
          <t>todo</t>
        </is>
      </c>
    </row>
    <row r="582">
      <c r="A582" t="inlineStr">
        <is>
          <t>Alyssa Opzoomer</t>
        </is>
      </c>
      <c r="B582" t="inlineStr">
        <is>
          <t>Attendee</t>
        </is>
      </c>
      <c r="C582" t="inlineStr">
        <is>
          <t>3PL Supply Chain Strategy</t>
        </is>
      </c>
      <c r="D582" t="inlineStr">
        <is>
          <t>Amazon</t>
        </is>
      </c>
      <c r="H582" t="n">
        <v>10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>
        <f>IFERROR(INDEX('Company Hitlist'!$AA:$AA,MATCH(D582,'Company Hitlist'!$A:$A,0)),)</f>
        <v/>
      </c>
      <c r="O582">
        <f>IFERROR(INDEX('Company Hitlist'!$N:$N,MATCH(D582,'Company Hitlist'!$A:$A,0)),)</f>
        <v/>
      </c>
      <c r="Q582" t="inlineStr">
        <is>
          <t>todo</t>
        </is>
      </c>
    </row>
    <row r="583">
      <c r="A583" t="inlineStr">
        <is>
          <t>Jisoo Yoon</t>
        </is>
      </c>
      <c r="B583" t="inlineStr">
        <is>
          <t>Attendee</t>
        </is>
      </c>
      <c r="C583" t="inlineStr">
        <is>
          <t>Supply Chain Manager, WW Engineering</t>
        </is>
      </c>
      <c r="D583" t="inlineStr">
        <is>
          <t>Amazon</t>
        </is>
      </c>
      <c r="H583" t="n">
        <v>10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>
        <f>IFERROR(INDEX('Company Hitlist'!$AA:$AA,MATCH(D583,'Company Hitlist'!$A:$A,0)),)</f>
        <v/>
      </c>
      <c r="O583">
        <f>IFERROR(INDEX('Company Hitlist'!$N:$N,MATCH(D583,'Company Hitlist'!$A:$A,0)),)</f>
        <v/>
      </c>
      <c r="Q583" t="inlineStr">
        <is>
          <t>todo</t>
        </is>
      </c>
    </row>
    <row r="584">
      <c r="A584" t="inlineStr">
        <is>
          <t>Thomas Selby</t>
        </is>
      </c>
      <c r="B584" t="inlineStr">
        <is>
          <t>Attendee</t>
        </is>
      </c>
      <c r="C584" t="inlineStr">
        <is>
          <t>Supply Chain Industrial Fund</t>
        </is>
      </c>
      <c r="D584" t="inlineStr">
        <is>
          <t>Amazon</t>
        </is>
      </c>
      <c r="H584" t="n">
        <v>10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>
        <f>IFERROR(INDEX('Company Hitlist'!$AA:$AA,MATCH(D584,'Company Hitlist'!$A:$A,0)),)</f>
        <v/>
      </c>
      <c r="O584">
        <f>IFERROR(INDEX('Company Hitlist'!$N:$N,MATCH(D584,'Company Hitlist'!$A:$A,0)),)</f>
        <v/>
      </c>
      <c r="Q584" t="inlineStr">
        <is>
          <t>todo</t>
        </is>
      </c>
    </row>
    <row r="585">
      <c r="A585" t="inlineStr">
        <is>
          <t>Pete Schmidt</t>
        </is>
      </c>
      <c r="B585" t="inlineStr">
        <is>
          <t>Attendee</t>
        </is>
      </c>
      <c r="C585" t="inlineStr">
        <is>
          <t>Manager - Logistics</t>
        </is>
      </c>
      <c r="D585" t="inlineStr">
        <is>
          <t>American Axle &amp; Manufacturing</t>
        </is>
      </c>
      <c r="H585" t="n">
        <v>10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>
        <f>IFERROR(INDEX('Company Hitlist'!$AA:$AA,MATCH(D585,'Company Hitlist'!$A:$A,0)),)</f>
        <v/>
      </c>
      <c r="O585">
        <f>IFERROR(INDEX('Company Hitlist'!$N:$N,MATCH(D585,'Company Hitlist'!$A:$A,0)),)</f>
        <v/>
      </c>
      <c r="Q585" t="inlineStr">
        <is>
          <t>todo</t>
        </is>
      </c>
    </row>
    <row r="586">
      <c r="A586" t="inlineStr">
        <is>
          <t>Paul Battista</t>
        </is>
      </c>
      <c r="B586" t="inlineStr">
        <is>
          <t>Attendee</t>
        </is>
      </c>
      <c r="C586" t="inlineStr">
        <is>
          <t>Transportation Manager</t>
        </is>
      </c>
      <c r="D586" t="inlineStr">
        <is>
          <t>American Woodmark</t>
        </is>
      </c>
      <c r="H586" t="n">
        <v>10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>
        <f>IFERROR(INDEX('Company Hitlist'!$AA:$AA,MATCH(D586,'Company Hitlist'!$A:$A,0)),)</f>
        <v/>
      </c>
      <c r="O586">
        <f>IFERROR(INDEX('Company Hitlist'!$N:$N,MATCH(D586,'Company Hitlist'!$A:$A,0)),)</f>
        <v/>
      </c>
      <c r="Q586" t="inlineStr">
        <is>
          <t>todo</t>
        </is>
      </c>
    </row>
    <row r="587">
      <c r="A587" t="inlineStr">
        <is>
          <t>Maximilian Albrecht</t>
        </is>
      </c>
      <c r="B587" t="inlineStr">
        <is>
          <t>Attendee</t>
        </is>
      </c>
      <c r="C587" t="inlineStr">
        <is>
          <t>Worldwide Logistics Manager</t>
        </is>
      </c>
      <c r="D587" t="inlineStr">
        <is>
          <t>Apple, Inc.</t>
        </is>
      </c>
      <c r="E587" t="inlineStr">
        <is>
          <t>United States</t>
        </is>
      </c>
      <c r="H587" t="n">
        <v>10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>
        <f>IFERROR(INDEX('Company Hitlist'!$AA:$AA,MATCH(D587,'Company Hitlist'!$A:$A,0)),)</f>
        <v/>
      </c>
      <c r="O587">
        <f>IFERROR(INDEX('Company Hitlist'!$N:$N,MATCH(D587,'Company Hitlist'!$A:$A,0)),)</f>
        <v/>
      </c>
      <c r="Q587" t="inlineStr">
        <is>
          <t>todo</t>
        </is>
      </c>
    </row>
    <row r="588">
      <c r="A588" t="inlineStr">
        <is>
          <t>Kevin Zweier</t>
        </is>
      </c>
      <c r="B588" t="inlineStr">
        <is>
          <t>Attendee</t>
        </is>
      </c>
      <c r="C588" t="inlineStr">
        <is>
          <t>Partner &amp; Transportation Practice Lead</t>
        </is>
      </c>
      <c r="D588" t="inlineStr">
        <is>
          <t>Argon &amp; Co</t>
        </is>
      </c>
      <c r="E588" t="inlineStr">
        <is>
          <t>United States</t>
        </is>
      </c>
      <c r="H588" t="n">
        <v>10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>
        <f>IFERROR(INDEX('Company Hitlist'!$AA:$AA,MATCH(D588,'Company Hitlist'!$A:$A,0)),)</f>
        <v/>
      </c>
      <c r="O588">
        <f>IFERROR(INDEX('Company Hitlist'!$N:$N,MATCH(D588,'Company Hitlist'!$A:$A,0)),)</f>
        <v/>
      </c>
      <c r="Q588" t="inlineStr">
        <is>
          <t>todo</t>
        </is>
      </c>
    </row>
    <row r="589">
      <c r="A589" t="inlineStr">
        <is>
          <t>Caleb Lawrence</t>
        </is>
      </c>
      <c r="B589" t="inlineStr">
        <is>
          <t>Attendee</t>
        </is>
      </c>
      <c r="C589" t="inlineStr">
        <is>
          <t>Senior Analyst Global Logistics</t>
        </is>
      </c>
      <c r="D589" t="inlineStr">
        <is>
          <t>Aristocrat Gaming</t>
        </is>
      </c>
      <c r="H589" t="n">
        <v>10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>
        <f>IFERROR(INDEX('Company Hitlist'!$AA:$AA,MATCH(D589,'Company Hitlist'!$A:$A,0)),)</f>
        <v/>
      </c>
      <c r="O589">
        <f>IFERROR(INDEX('Company Hitlist'!$N:$N,MATCH(D589,'Company Hitlist'!$A:$A,0)),)</f>
        <v/>
      </c>
      <c r="Q589" t="inlineStr">
        <is>
          <t>todo</t>
        </is>
      </c>
    </row>
    <row r="590">
      <c r="A590" t="inlineStr">
        <is>
          <t>Erin Turner</t>
        </is>
      </c>
      <c r="B590" t="inlineStr">
        <is>
          <t>Attendee</t>
        </is>
      </c>
      <c r="C590" t="inlineStr">
        <is>
          <t>Sr. Manager, Global Logistics</t>
        </is>
      </c>
      <c r="D590" t="inlineStr">
        <is>
          <t>Aristocrat Gaming</t>
        </is>
      </c>
      <c r="H590" t="n">
        <v>10</v>
      </c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>
        <f>IFERROR(INDEX('Company Hitlist'!$AA:$AA,MATCH(D590,'Company Hitlist'!$A:$A,0)),)</f>
        <v/>
      </c>
      <c r="O590">
        <f>IFERROR(INDEX('Company Hitlist'!$N:$N,MATCH(D590,'Company Hitlist'!$A:$A,0)),)</f>
        <v/>
      </c>
      <c r="Q590" t="inlineStr">
        <is>
          <t>todo</t>
        </is>
      </c>
    </row>
    <row r="591">
      <c r="A591" t="inlineStr">
        <is>
          <t>Sam Rodriguez</t>
        </is>
      </c>
      <c r="B591" t="inlineStr">
        <is>
          <t>Attendee</t>
        </is>
      </c>
      <c r="C591" t="inlineStr">
        <is>
          <t>Global Logistics Manager</t>
        </is>
      </c>
      <c r="D591" t="inlineStr">
        <is>
          <t>Aristocrat Technologies</t>
        </is>
      </c>
      <c r="H591" t="n">
        <v>10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>
        <f>IFERROR(INDEX('Company Hitlist'!$AA:$AA,MATCH(D591,'Company Hitlist'!$A:$A,0)),)</f>
        <v/>
      </c>
      <c r="O591">
        <f>IFERROR(INDEX('Company Hitlist'!$N:$N,MATCH(D591,'Company Hitlist'!$A:$A,0)),)</f>
        <v/>
      </c>
      <c r="Q591" t="inlineStr">
        <is>
          <t>todo</t>
        </is>
      </c>
    </row>
    <row r="592">
      <c r="A592" t="inlineStr">
        <is>
          <t>Zack Castle</t>
        </is>
      </c>
      <c r="B592" t="inlineStr">
        <is>
          <t>Attendee</t>
        </is>
      </c>
      <c r="C592" t="inlineStr">
        <is>
          <t>Director – Global Warehouse Management</t>
        </is>
      </c>
      <c r="D592" t="inlineStr">
        <is>
          <t>Aristocrat Technologies</t>
        </is>
      </c>
      <c r="H592" t="n">
        <v>10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>
        <f>IFERROR(INDEX('Company Hitlist'!$AA:$AA,MATCH(D592,'Company Hitlist'!$A:$A,0)),)</f>
        <v/>
      </c>
      <c r="O592">
        <f>IFERROR(INDEX('Company Hitlist'!$N:$N,MATCH(D592,'Company Hitlist'!$A:$A,0)),)</f>
        <v/>
      </c>
      <c r="Q592" t="inlineStr">
        <is>
          <t>todo</t>
        </is>
      </c>
    </row>
    <row r="593">
      <c r="A593" t="inlineStr">
        <is>
          <t>Lisa Fordyce</t>
        </is>
      </c>
      <c r="B593" t="inlineStr">
        <is>
          <t>Attendee</t>
        </is>
      </c>
      <c r="C593" t="inlineStr">
        <is>
          <t>Director, Inbound Logistics</t>
        </is>
      </c>
      <c r="D593" t="inlineStr">
        <is>
          <t>Aritzia</t>
        </is>
      </c>
      <c r="F593" t="inlineStr">
        <is>
          <t>Yes</t>
        </is>
      </c>
      <c r="H593" t="n">
        <v>10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>
        <f>IFERROR(INDEX('Company Hitlist'!$AA:$AA,MATCH(D593,'Company Hitlist'!$A:$A,0)),)</f>
        <v/>
      </c>
      <c r="O593">
        <f>IFERROR(INDEX('Company Hitlist'!$N:$N,MATCH(D593,'Company Hitlist'!$A:$A,0)),)</f>
        <v/>
      </c>
      <c r="Q593" t="inlineStr">
        <is>
          <t>todo</t>
        </is>
      </c>
    </row>
    <row r="594">
      <c r="A594" t="inlineStr">
        <is>
          <t>Ryan Yeung</t>
        </is>
      </c>
      <c r="B594" t="inlineStr">
        <is>
          <t>Attendee</t>
        </is>
      </c>
      <c r="C594" t="inlineStr">
        <is>
          <t>Senior Director, Global Logistics</t>
        </is>
      </c>
      <c r="D594" t="inlineStr">
        <is>
          <t>Aritzia</t>
        </is>
      </c>
      <c r="F594" t="inlineStr">
        <is>
          <t>Yes</t>
        </is>
      </c>
      <c r="H594" t="n">
        <v>10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>
        <f>IFERROR(INDEX('Company Hitlist'!$AA:$AA,MATCH(D594,'Company Hitlist'!$A:$A,0)),)</f>
        <v/>
      </c>
      <c r="O594">
        <f>IFERROR(INDEX('Company Hitlist'!$N:$N,MATCH(D594,'Company Hitlist'!$A:$A,0)),)</f>
        <v/>
      </c>
      <c r="Q594" t="inlineStr">
        <is>
          <t>todo</t>
        </is>
      </c>
    </row>
    <row r="595">
      <c r="A595" t="inlineStr">
        <is>
          <t>Jimmy Wong</t>
        </is>
      </c>
      <c r="B595" t="inlineStr">
        <is>
          <t>Attendee</t>
        </is>
      </c>
      <c r="C595" t="inlineStr">
        <is>
          <t>Director, Supply Chain Technology</t>
        </is>
      </c>
      <c r="D595" t="inlineStr">
        <is>
          <t>Aritzia</t>
        </is>
      </c>
      <c r="H595" t="n">
        <v>10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>
        <f>IFERROR(INDEX('Company Hitlist'!$AA:$AA,MATCH(D595,'Company Hitlist'!$A:$A,0)),)</f>
        <v/>
      </c>
      <c r="O595">
        <f>IFERROR(INDEX('Company Hitlist'!$N:$N,MATCH(D595,'Company Hitlist'!$A:$A,0)),)</f>
        <v/>
      </c>
      <c r="Q595" t="inlineStr">
        <is>
          <t>todo</t>
        </is>
      </c>
    </row>
    <row r="596">
      <c r="A596" t="inlineStr">
        <is>
          <t>Christopher Contreras</t>
        </is>
      </c>
      <c r="B596" t="inlineStr">
        <is>
          <t>Attendee</t>
        </is>
      </c>
      <c r="C596" t="inlineStr">
        <is>
          <t>Warehouse Supervisor</t>
        </is>
      </c>
      <c r="D596" t="inlineStr">
        <is>
          <t>Arizona Public Service</t>
        </is>
      </c>
      <c r="F596" t="inlineStr">
        <is>
          <t>Yes</t>
        </is>
      </c>
      <c r="H596" t="n">
        <v>10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>
        <f>IFERROR(INDEX('Company Hitlist'!$AA:$AA,MATCH(D596,'Company Hitlist'!$A:$A,0)),)</f>
        <v/>
      </c>
      <c r="O596">
        <f>IFERROR(INDEX('Company Hitlist'!$N:$N,MATCH(D596,'Company Hitlist'!$A:$A,0)),)</f>
        <v/>
      </c>
      <c r="Q596" t="inlineStr">
        <is>
          <t>todo</t>
        </is>
      </c>
    </row>
    <row r="597">
      <c r="A597" t="inlineStr">
        <is>
          <t>Greg Lujan</t>
        </is>
      </c>
      <c r="B597" t="inlineStr">
        <is>
          <t>Attendee</t>
        </is>
      </c>
      <c r="C597" t="inlineStr">
        <is>
          <t>Warehouse Supervisor</t>
        </is>
      </c>
      <c r="D597" t="inlineStr">
        <is>
          <t>Arizona Public Service</t>
        </is>
      </c>
      <c r="F597" t="inlineStr">
        <is>
          <t>Yes</t>
        </is>
      </c>
      <c r="H597" t="n">
        <v>10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>
        <f>IFERROR(INDEX('Company Hitlist'!$AA:$AA,MATCH(D597,'Company Hitlist'!$A:$A,0)),)</f>
        <v/>
      </c>
      <c r="O597">
        <f>IFERROR(INDEX('Company Hitlist'!$N:$N,MATCH(D597,'Company Hitlist'!$A:$A,0)),)</f>
        <v/>
      </c>
      <c r="Q597" t="inlineStr">
        <is>
          <t>todo</t>
        </is>
      </c>
    </row>
    <row r="598">
      <c r="A598" t="inlineStr">
        <is>
          <t>Joseph Neuheisel</t>
        </is>
      </c>
      <c r="B598" t="inlineStr">
        <is>
          <t>Attendee</t>
        </is>
      </c>
      <c r="C598" t="inlineStr">
        <is>
          <t>Warehouse Supervisor</t>
        </is>
      </c>
      <c r="D598" t="inlineStr">
        <is>
          <t>Arizona Public Service</t>
        </is>
      </c>
      <c r="F598" t="inlineStr">
        <is>
          <t>Yes</t>
        </is>
      </c>
      <c r="H598" t="n">
        <v>10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>
        <f>IFERROR(INDEX('Company Hitlist'!$AA:$AA,MATCH(D598,'Company Hitlist'!$A:$A,0)),)</f>
        <v/>
      </c>
      <c r="O598">
        <f>IFERROR(INDEX('Company Hitlist'!$N:$N,MATCH(D598,'Company Hitlist'!$A:$A,0)),)</f>
        <v/>
      </c>
      <c r="Q598" t="inlineStr">
        <is>
          <t>todo</t>
        </is>
      </c>
    </row>
    <row r="599">
      <c r="A599" t="inlineStr">
        <is>
          <t>Kurk Woolery</t>
        </is>
      </c>
      <c r="B599" t="inlineStr">
        <is>
          <t>Attendee</t>
        </is>
      </c>
      <c r="C599" t="inlineStr">
        <is>
          <t>Warehouse Leader</t>
        </is>
      </c>
      <c r="D599" t="inlineStr">
        <is>
          <t>Arizona Public Service</t>
        </is>
      </c>
      <c r="F599" t="inlineStr">
        <is>
          <t>Yes</t>
        </is>
      </c>
      <c r="H599" t="n">
        <v>10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>
        <f>IFERROR(INDEX('Company Hitlist'!$AA:$AA,MATCH(D599,'Company Hitlist'!$A:$A,0)),)</f>
        <v/>
      </c>
      <c r="O599">
        <f>IFERROR(INDEX('Company Hitlist'!$N:$N,MATCH(D599,'Company Hitlist'!$A:$A,0)),)</f>
        <v/>
      </c>
      <c r="Q599" t="inlineStr">
        <is>
          <t>todo</t>
        </is>
      </c>
    </row>
    <row r="600">
      <c r="A600" t="inlineStr">
        <is>
          <t>Nicholas Pompa</t>
        </is>
      </c>
      <c r="B600" t="inlineStr">
        <is>
          <t>Attendee</t>
        </is>
      </c>
      <c r="C600" t="inlineStr">
        <is>
          <t>Warehouse Supervisor</t>
        </is>
      </c>
      <c r="D600" t="inlineStr">
        <is>
          <t>Arizona Public Service</t>
        </is>
      </c>
      <c r="F600" t="inlineStr">
        <is>
          <t>Yes</t>
        </is>
      </c>
      <c r="H600" t="n">
        <v>10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>
        <f>IFERROR(INDEX('Company Hitlist'!$AA:$AA,MATCH(D600,'Company Hitlist'!$A:$A,0)),)</f>
        <v/>
      </c>
      <c r="O600">
        <f>IFERROR(INDEX('Company Hitlist'!$N:$N,MATCH(D600,'Company Hitlist'!$A:$A,0)),)</f>
        <v/>
      </c>
      <c r="Q600" t="inlineStr">
        <is>
          <t>todo</t>
        </is>
      </c>
    </row>
    <row r="601">
      <c r="A601" t="inlineStr">
        <is>
          <t>Nick MCVICKER</t>
        </is>
      </c>
      <c r="B601" t="inlineStr">
        <is>
          <t>Attendee</t>
        </is>
      </c>
      <c r="C601" t="inlineStr">
        <is>
          <t>Warehouse Supervisor</t>
        </is>
      </c>
      <c r="D601" t="inlineStr">
        <is>
          <t>Arizona Public Service</t>
        </is>
      </c>
      <c r="F601" t="inlineStr">
        <is>
          <t>Yes</t>
        </is>
      </c>
      <c r="H601" t="n">
        <v>10</v>
      </c>
      <c r="I601" t="b">
        <v>1</v>
      </c>
      <c r="J601" t="b">
        <v>0</v>
      </c>
      <c r="K601" t="b">
        <v>0</v>
      </c>
      <c r="L601" t="b">
        <v>0</v>
      </c>
      <c r="M601" t="b">
        <v>0</v>
      </c>
      <c r="N601">
        <f>IFERROR(INDEX('Company Hitlist'!$AA:$AA,MATCH(D601,'Company Hitlist'!$A:$A,0)),)</f>
        <v/>
      </c>
      <c r="O601">
        <f>IFERROR(INDEX('Company Hitlist'!$N:$N,MATCH(D601,'Company Hitlist'!$A:$A,0)),)</f>
        <v/>
      </c>
      <c r="Q601" t="inlineStr">
        <is>
          <t>todo</t>
        </is>
      </c>
    </row>
    <row r="602">
      <c r="A602" t="inlineStr">
        <is>
          <t>Blake Morrison</t>
        </is>
      </c>
      <c r="B602" t="inlineStr">
        <is>
          <t>Attendee</t>
        </is>
      </c>
      <c r="C602" t="inlineStr">
        <is>
          <t>Warehouse Manager</t>
        </is>
      </c>
      <c r="D602" t="inlineStr">
        <is>
          <t>Arizona Public Service</t>
        </is>
      </c>
      <c r="H602" t="n">
        <v>10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>
        <f>IFERROR(INDEX('Company Hitlist'!$AA:$AA,MATCH(D602,'Company Hitlist'!$A:$A,0)),)</f>
        <v/>
      </c>
      <c r="O602">
        <f>IFERROR(INDEX('Company Hitlist'!$N:$N,MATCH(D602,'Company Hitlist'!$A:$A,0)),)</f>
        <v/>
      </c>
      <c r="Q602" t="inlineStr">
        <is>
          <t>todo</t>
        </is>
      </c>
    </row>
    <row r="603">
      <c r="A603" t="inlineStr">
        <is>
          <t>Jose Diaz</t>
        </is>
      </c>
      <c r="B603" t="inlineStr">
        <is>
          <t>Attendee</t>
        </is>
      </c>
      <c r="C603" t="inlineStr">
        <is>
          <t>Supply Chain Leader</t>
        </is>
      </c>
      <c r="D603" t="inlineStr">
        <is>
          <t>Arizona Public Service</t>
        </is>
      </c>
      <c r="H603" t="n">
        <v>10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>
        <f>IFERROR(INDEX('Company Hitlist'!$AA:$AA,MATCH(D603,'Company Hitlist'!$A:$A,0)),)</f>
        <v/>
      </c>
      <c r="O603">
        <f>IFERROR(INDEX('Company Hitlist'!$N:$N,MATCH(D603,'Company Hitlist'!$A:$A,0)),)</f>
        <v/>
      </c>
      <c r="Q603" t="inlineStr">
        <is>
          <t>todo</t>
        </is>
      </c>
    </row>
    <row r="604">
      <c r="A604" t="inlineStr">
        <is>
          <t>Eddie Simon</t>
        </is>
      </c>
      <c r="B604" t="inlineStr">
        <is>
          <t>Attendee</t>
        </is>
      </c>
      <c r="C604" t="inlineStr">
        <is>
          <t>Sr Manager, Transportation &amp; Logistics</t>
        </is>
      </c>
      <c r="D604" t="inlineStr">
        <is>
          <t>Arlon Graphics</t>
        </is>
      </c>
      <c r="E604" t="inlineStr">
        <is>
          <t>United States</t>
        </is>
      </c>
      <c r="H604" t="n">
        <v>10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>
        <f>IFERROR(INDEX('Company Hitlist'!$AA:$AA,MATCH(D604,'Company Hitlist'!$A:$A,0)),)</f>
        <v/>
      </c>
      <c r="O604">
        <f>IFERROR(INDEX('Company Hitlist'!$N:$N,MATCH(D604,'Company Hitlist'!$A:$A,0)),)</f>
        <v/>
      </c>
      <c r="Q604" t="inlineStr">
        <is>
          <t>todo</t>
        </is>
      </c>
    </row>
    <row r="605">
      <c r="A605" t="inlineStr">
        <is>
          <t>Mike Schubert</t>
        </is>
      </c>
      <c r="B605" t="inlineStr">
        <is>
          <t>Attendee</t>
        </is>
      </c>
      <c r="C605" t="inlineStr">
        <is>
          <t>Director of North American Logistics</t>
        </is>
      </c>
      <c r="D605" t="inlineStr">
        <is>
          <t>Articore</t>
        </is>
      </c>
      <c r="E605" t="inlineStr">
        <is>
          <t>United States</t>
        </is>
      </c>
      <c r="F605" t="inlineStr">
        <is>
          <t>Yes</t>
        </is>
      </c>
      <c r="H605" t="n">
        <v>10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>
        <f>IFERROR(INDEX('Company Hitlist'!$AA:$AA,MATCH(D605,'Company Hitlist'!$A:$A,0)),)</f>
        <v/>
      </c>
      <c r="O605">
        <f>IFERROR(INDEX('Company Hitlist'!$N:$N,MATCH(D605,'Company Hitlist'!$A:$A,0)),)</f>
        <v/>
      </c>
      <c r="Q605" t="inlineStr">
        <is>
          <t>todo</t>
        </is>
      </c>
    </row>
    <row r="606">
      <c r="A606" t="inlineStr">
        <is>
          <t>RJ Nicholl</t>
        </is>
      </c>
      <c r="B606" t="inlineStr">
        <is>
          <t>Attendee</t>
        </is>
      </c>
      <c r="C606" t="inlineStr">
        <is>
          <t>Senior Manager, Logistics Systems</t>
        </is>
      </c>
      <c r="D606" t="inlineStr">
        <is>
          <t>Articore (redbubble, teepublic, dashery)</t>
        </is>
      </c>
      <c r="H606" t="n">
        <v>10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>
        <f>IFERROR(INDEX('Company Hitlist'!$AA:$AA,MATCH(D606,'Company Hitlist'!$A:$A,0)),)</f>
        <v/>
      </c>
      <c r="O606">
        <f>IFERROR(INDEX('Company Hitlist'!$N:$N,MATCH(D606,'Company Hitlist'!$A:$A,0)),)</f>
        <v/>
      </c>
      <c r="Q606" t="inlineStr">
        <is>
          <t>todo</t>
        </is>
      </c>
    </row>
    <row r="607">
      <c r="A607" t="inlineStr">
        <is>
          <t>Denny Nhan</t>
        </is>
      </c>
      <c r="B607" t="inlineStr">
        <is>
          <t>Attendee</t>
        </is>
      </c>
      <c r="C607" t="inlineStr">
        <is>
          <t>Director, Supply Chain Systems Transformation</t>
        </is>
      </c>
      <c r="D607" t="inlineStr">
        <is>
          <t>Aspire Bakeries</t>
        </is>
      </c>
      <c r="H607" t="n">
        <v>10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>
        <f>IFERROR(INDEX('Company Hitlist'!$AA:$AA,MATCH(D607,'Company Hitlist'!$A:$A,0)),)</f>
        <v/>
      </c>
      <c r="O607">
        <f>IFERROR(INDEX('Company Hitlist'!$N:$N,MATCH(D607,'Company Hitlist'!$A:$A,0)),)</f>
        <v/>
      </c>
      <c r="Q607" t="inlineStr">
        <is>
          <t>todo</t>
        </is>
      </c>
    </row>
    <row r="608">
      <c r="A608" t="inlineStr">
        <is>
          <t>Chase Carlson</t>
        </is>
      </c>
      <c r="B608" t="inlineStr">
        <is>
          <t>Attendee</t>
        </is>
      </c>
      <c r="C608" t="inlineStr">
        <is>
          <t>Director of Operations</t>
        </is>
      </c>
      <c r="D608" t="inlineStr">
        <is>
          <t>Aterian</t>
        </is>
      </c>
      <c r="F608" t="inlineStr">
        <is>
          <t>Yes</t>
        </is>
      </c>
      <c r="H608" t="n">
        <v>10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>
        <f>IFERROR(INDEX('Company Hitlist'!$AA:$AA,MATCH(D608,'Company Hitlist'!$A:$A,0)),)</f>
        <v/>
      </c>
      <c r="O608">
        <f>IFERROR(INDEX('Company Hitlist'!$N:$N,MATCH(D608,'Company Hitlist'!$A:$A,0)),)</f>
        <v/>
      </c>
      <c r="Q608" t="inlineStr">
        <is>
          <t>todo</t>
        </is>
      </c>
    </row>
    <row r="609">
      <c r="A609" t="inlineStr">
        <is>
          <t>Alex De Grossi</t>
        </is>
      </c>
      <c r="B609" t="inlineStr">
        <is>
          <t>Attendee</t>
        </is>
      </c>
      <c r="C609" t="inlineStr">
        <is>
          <t>IT Applications and Project Manager, Supply Chain Operations</t>
        </is>
      </c>
      <c r="D609" t="inlineStr">
        <is>
          <t>Atlanta Bonded Warehouse Corp</t>
        </is>
      </c>
      <c r="E609" t="inlineStr">
        <is>
          <t>United States</t>
        </is>
      </c>
      <c r="H609" t="n">
        <v>10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>
        <f>IFERROR(INDEX('Company Hitlist'!$AA:$AA,MATCH(D609,'Company Hitlist'!$A:$A,0)),)</f>
        <v/>
      </c>
      <c r="O609">
        <f>IFERROR(INDEX('Company Hitlist'!$N:$N,MATCH(D609,'Company Hitlist'!$A:$A,0)),)</f>
        <v/>
      </c>
      <c r="Q609" t="inlineStr">
        <is>
          <t>todo</t>
        </is>
      </c>
    </row>
    <row r="610">
      <c r="A610" t="inlineStr">
        <is>
          <t>Dacia Webb</t>
        </is>
      </c>
      <c r="B610" t="inlineStr">
        <is>
          <t>Attendee</t>
        </is>
      </c>
      <c r="C610" t="inlineStr">
        <is>
          <t>Director of Operations</t>
        </is>
      </c>
      <c r="D610" t="inlineStr">
        <is>
          <t>Atlas Energy</t>
        </is>
      </c>
      <c r="F610" t="inlineStr">
        <is>
          <t>Yes</t>
        </is>
      </c>
      <c r="H610" t="n">
        <v>10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>
        <f>IFERROR(INDEX('Company Hitlist'!$AA:$AA,MATCH(D610,'Company Hitlist'!$A:$A,0)),)</f>
        <v/>
      </c>
      <c r="O610">
        <f>IFERROR(INDEX('Company Hitlist'!$N:$N,MATCH(D610,'Company Hitlist'!$A:$A,0)),)</f>
        <v/>
      </c>
      <c r="Q610" t="inlineStr">
        <is>
          <t>todo</t>
        </is>
      </c>
    </row>
    <row r="611">
      <c r="A611" t="inlineStr">
        <is>
          <t>Jose Palomo</t>
        </is>
      </c>
      <c r="B611" t="inlineStr">
        <is>
          <t>Attendee</t>
        </is>
      </c>
      <c r="C611" t="inlineStr">
        <is>
          <t>Sr. Manager of Operations</t>
        </is>
      </c>
      <c r="D611" t="inlineStr">
        <is>
          <t>Atlas Energy</t>
        </is>
      </c>
      <c r="H611" t="n">
        <v>10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>
        <f>IFERROR(INDEX('Company Hitlist'!$AA:$AA,MATCH(D611,'Company Hitlist'!$A:$A,0)),)</f>
        <v/>
      </c>
      <c r="O611">
        <f>IFERROR(INDEX('Company Hitlist'!$N:$N,MATCH(D611,'Company Hitlist'!$A:$A,0)),)</f>
        <v/>
      </c>
      <c r="Q611" t="inlineStr">
        <is>
          <t>todo</t>
        </is>
      </c>
    </row>
    <row r="612">
      <c r="A612" t="inlineStr">
        <is>
          <t>Julio Robles</t>
        </is>
      </c>
      <c r="B612" t="inlineStr">
        <is>
          <t>Attendee</t>
        </is>
      </c>
      <c r="C612" t="inlineStr">
        <is>
          <t>Group Manager, Transportation &amp; Logistics</t>
        </is>
      </c>
      <c r="D612" t="inlineStr">
        <is>
          <t>Avery Products Corp</t>
        </is>
      </c>
      <c r="H612" t="n">
        <v>10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>
        <f>IFERROR(INDEX('Company Hitlist'!$AA:$AA,MATCH(D612,'Company Hitlist'!$A:$A,0)),)</f>
        <v/>
      </c>
      <c r="O612">
        <f>IFERROR(INDEX('Company Hitlist'!$N:$N,MATCH(D612,'Company Hitlist'!$A:$A,0)),)</f>
        <v/>
      </c>
      <c r="Q612" t="inlineStr">
        <is>
          <t>todo</t>
        </is>
      </c>
    </row>
    <row r="613">
      <c r="A613" t="inlineStr">
        <is>
          <t>Volodymyr Mikula</t>
        </is>
      </c>
      <c r="B613" t="inlineStr">
        <is>
          <t>Attendee</t>
        </is>
      </c>
      <c r="C613" t="inlineStr">
        <is>
          <t>Sr Director Distribution &amp; Logistics</t>
        </is>
      </c>
      <c r="D613" t="inlineStr">
        <is>
          <t>Avolta</t>
        </is>
      </c>
      <c r="F613" t="inlineStr">
        <is>
          <t>Yes</t>
        </is>
      </c>
      <c r="H613" t="n">
        <v>10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>
        <f>IFERROR(INDEX('Company Hitlist'!$AA:$AA,MATCH(D613,'Company Hitlist'!$A:$A,0)),)</f>
        <v/>
      </c>
      <c r="O613">
        <f>IFERROR(INDEX('Company Hitlist'!$N:$N,MATCH(D613,'Company Hitlist'!$A:$A,0)),)</f>
        <v/>
      </c>
      <c r="Q613" t="inlineStr">
        <is>
          <t>todo</t>
        </is>
      </c>
    </row>
    <row r="614">
      <c r="A614" t="inlineStr">
        <is>
          <t>Andrea Napoliello</t>
        </is>
      </c>
      <c r="B614" t="inlineStr">
        <is>
          <t>Attendee</t>
        </is>
      </c>
      <c r="C614" t="inlineStr">
        <is>
          <t>Director, Fulfillment</t>
        </is>
      </c>
      <c r="D614" t="inlineStr">
        <is>
          <t>Away</t>
        </is>
      </c>
      <c r="H614" t="n">
        <v>10</v>
      </c>
      <c r="I614" t="b">
        <v>1</v>
      </c>
      <c r="J614" t="b">
        <v>0</v>
      </c>
      <c r="K614" t="b">
        <v>0</v>
      </c>
      <c r="L614" t="b">
        <v>0</v>
      </c>
      <c r="M614" t="b">
        <v>0</v>
      </c>
      <c r="N614">
        <f>IFERROR(INDEX('Company Hitlist'!$AA:$AA,MATCH(D614,'Company Hitlist'!$A:$A,0)),)</f>
        <v/>
      </c>
      <c r="O614">
        <f>IFERROR(INDEX('Company Hitlist'!$N:$N,MATCH(D614,'Company Hitlist'!$A:$A,0)),)</f>
        <v/>
      </c>
      <c r="Q614" t="inlineStr">
        <is>
          <t>todo</t>
        </is>
      </c>
    </row>
    <row r="615">
      <c r="A615" t="inlineStr">
        <is>
          <t>Adriana Giraldo</t>
        </is>
      </c>
      <c r="B615" t="inlineStr">
        <is>
          <t>Attendee</t>
        </is>
      </c>
      <c r="C615" t="inlineStr">
        <is>
          <t>Senior Manager Customs &amp; Foreign Trade Operations</t>
        </is>
      </c>
      <c r="D615" t="inlineStr">
        <is>
          <t>BASF</t>
        </is>
      </c>
      <c r="H615" t="n">
        <v>10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>
        <f>IFERROR(INDEX('Company Hitlist'!$AA:$AA,MATCH(D615,'Company Hitlist'!$A:$A,0)),)</f>
        <v/>
      </c>
      <c r="O615">
        <f>IFERROR(INDEX('Company Hitlist'!$N:$N,MATCH(D615,'Company Hitlist'!$A:$A,0)),)</f>
        <v/>
      </c>
      <c r="Q615" t="inlineStr">
        <is>
          <t>todo</t>
        </is>
      </c>
    </row>
    <row r="616">
      <c r="A616" t="inlineStr">
        <is>
          <t>John Buche</t>
        </is>
      </c>
      <c r="B616" t="inlineStr">
        <is>
          <t>Attendee</t>
        </is>
      </c>
      <c r="C616" t="inlineStr">
        <is>
          <t>Supply Chain Manager</t>
        </is>
      </c>
      <c r="D616" t="inlineStr">
        <is>
          <t>BG PRODUCTS</t>
        </is>
      </c>
      <c r="E616" t="inlineStr">
        <is>
          <t>United States</t>
        </is>
      </c>
      <c r="H616" t="n">
        <v>10</v>
      </c>
      <c r="I616" t="b">
        <v>1</v>
      </c>
      <c r="J616" t="b">
        <v>0</v>
      </c>
      <c r="K616" t="b">
        <v>0</v>
      </c>
      <c r="L616" t="b">
        <v>0</v>
      </c>
      <c r="M616" t="b">
        <v>0</v>
      </c>
      <c r="N616">
        <f>IFERROR(INDEX('Company Hitlist'!$AA:$AA,MATCH(D616,'Company Hitlist'!$A:$A,0)),)</f>
        <v/>
      </c>
      <c r="O616">
        <f>IFERROR(INDEX('Company Hitlist'!$N:$N,MATCH(D616,'Company Hitlist'!$A:$A,0)),)</f>
        <v/>
      </c>
      <c r="Q616" t="inlineStr">
        <is>
          <t>todo</t>
        </is>
      </c>
    </row>
    <row r="617">
      <c r="A617" t="inlineStr">
        <is>
          <t>victor gutierrez</t>
        </is>
      </c>
      <c r="B617" t="inlineStr">
        <is>
          <t>Attendee</t>
        </is>
      </c>
      <c r="C617" t="inlineStr">
        <is>
          <t>Director, Supply Chain Logistics</t>
        </is>
      </c>
      <c r="D617" t="inlineStr">
        <is>
          <t>BIMBO BAKERIES USA</t>
        </is>
      </c>
      <c r="E617" t="inlineStr">
        <is>
          <t>United States</t>
        </is>
      </c>
      <c r="H617" t="n">
        <v>10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>
        <f>IFERROR(INDEX('Company Hitlist'!$AA:$AA,MATCH(D617,'Company Hitlist'!$A:$A,0)),)</f>
        <v/>
      </c>
      <c r="O617">
        <f>IFERROR(INDEX('Company Hitlist'!$N:$N,MATCH(D617,'Company Hitlist'!$A:$A,0)),)</f>
        <v/>
      </c>
      <c r="Q617" t="inlineStr">
        <is>
          <t>todo</t>
        </is>
      </c>
    </row>
    <row r="618">
      <c r="A618" t="inlineStr">
        <is>
          <t>Jennifer Hernandez</t>
        </is>
      </c>
      <c r="B618" t="inlineStr">
        <is>
          <t>Attendee</t>
        </is>
      </c>
      <c r="C618" t="inlineStr">
        <is>
          <t>Director of Operations</t>
        </is>
      </c>
      <c r="D618" t="inlineStr">
        <is>
          <t>BK Beauty</t>
        </is>
      </c>
      <c r="F618" t="inlineStr">
        <is>
          <t>Yes</t>
        </is>
      </c>
      <c r="H618" t="n">
        <v>10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>
        <f>IFERROR(INDEX('Company Hitlist'!$AA:$AA,MATCH(D618,'Company Hitlist'!$A:$A,0)),)</f>
        <v/>
      </c>
      <c r="O618">
        <f>IFERROR(INDEX('Company Hitlist'!$N:$N,MATCH(D618,'Company Hitlist'!$A:$A,0)),)</f>
        <v/>
      </c>
      <c r="Q618" t="inlineStr">
        <is>
          <t>todo</t>
        </is>
      </c>
    </row>
    <row r="619">
      <c r="A619" t="inlineStr">
        <is>
          <t>Cody Coats</t>
        </is>
      </c>
      <c r="B619" t="inlineStr">
        <is>
          <t>Attendee</t>
        </is>
      </c>
      <c r="C619" t="inlineStr">
        <is>
          <t>Intermodal Solutions Manager</t>
        </is>
      </c>
      <c r="D619" t="inlineStr">
        <is>
          <t>BNSF Railway</t>
        </is>
      </c>
      <c r="E619" t="inlineStr">
        <is>
          <t>United States</t>
        </is>
      </c>
      <c r="H619" t="n">
        <v>10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>
        <f>IFERROR(INDEX('Company Hitlist'!$AA:$AA,MATCH(D619,'Company Hitlist'!$A:$A,0)),)</f>
        <v/>
      </c>
      <c r="O619">
        <f>IFERROR(INDEX('Company Hitlist'!$N:$N,MATCH(D619,'Company Hitlist'!$A:$A,0)),)</f>
        <v/>
      </c>
      <c r="Q619" t="inlineStr">
        <is>
          <t>todo</t>
        </is>
      </c>
    </row>
    <row r="620">
      <c r="A620" t="inlineStr">
        <is>
          <t>Julien Cavalletto</t>
        </is>
      </c>
      <c r="B620" t="inlineStr">
        <is>
          <t>Attendee</t>
        </is>
      </c>
      <c r="C620" t="inlineStr">
        <is>
          <t>Director of Transportation</t>
        </is>
      </c>
      <c r="D620" t="inlineStr">
        <is>
          <t>Backcountry.com</t>
        </is>
      </c>
      <c r="E620" t="inlineStr">
        <is>
          <t>United States</t>
        </is>
      </c>
      <c r="F620" t="inlineStr">
        <is>
          <t>Yes</t>
        </is>
      </c>
      <c r="H620" t="n">
        <v>10</v>
      </c>
      <c r="I620" t="b">
        <v>1</v>
      </c>
      <c r="J620" t="b">
        <v>0</v>
      </c>
      <c r="K620" t="b">
        <v>0</v>
      </c>
      <c r="L620" t="b">
        <v>0</v>
      </c>
      <c r="M620" t="b">
        <v>0</v>
      </c>
      <c r="N620">
        <f>IFERROR(INDEX('Company Hitlist'!$AA:$AA,MATCH(D620,'Company Hitlist'!$A:$A,0)),)</f>
        <v/>
      </c>
      <c r="O620">
        <f>IFERROR(INDEX('Company Hitlist'!$N:$N,MATCH(D620,'Company Hitlist'!$A:$A,0)),)</f>
        <v/>
      </c>
      <c r="Q620" t="inlineStr">
        <is>
          <t>todo</t>
        </is>
      </c>
    </row>
    <row r="621">
      <c r="A621" t="inlineStr">
        <is>
          <t>Dylan Mollo</t>
        </is>
      </c>
      <c r="B621" t="inlineStr">
        <is>
          <t>Attendee</t>
        </is>
      </c>
      <c r="C621" t="inlineStr">
        <is>
          <t>Tech Operations Lead</t>
        </is>
      </c>
      <c r="D621" t="inlineStr">
        <is>
          <t>Backhaul Direct</t>
        </is>
      </c>
      <c r="H621" t="n">
        <v>10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>
        <f>IFERROR(INDEX('Company Hitlist'!$AA:$AA,MATCH(D621,'Company Hitlist'!$A:$A,0)),)</f>
        <v/>
      </c>
      <c r="O621">
        <f>IFERROR(INDEX('Company Hitlist'!$N:$N,MATCH(D621,'Company Hitlist'!$A:$A,0)),)</f>
        <v/>
      </c>
      <c r="Q621" t="inlineStr">
        <is>
          <t>todo</t>
        </is>
      </c>
    </row>
    <row r="622">
      <c r="A622" t="inlineStr">
        <is>
          <t>John Walles</t>
        </is>
      </c>
      <c r="B622" t="inlineStr">
        <is>
          <t>Attendee</t>
        </is>
      </c>
      <c r="C622" t="inlineStr">
        <is>
          <t>Director of Logistics</t>
        </is>
      </c>
      <c r="D622" t="inlineStr">
        <is>
          <t>BarkBox</t>
        </is>
      </c>
      <c r="F622" t="inlineStr">
        <is>
          <t>Yes</t>
        </is>
      </c>
      <c r="H622" t="n">
        <v>10</v>
      </c>
      <c r="I622" t="b">
        <v>1</v>
      </c>
      <c r="J622" t="b">
        <v>0</v>
      </c>
      <c r="K622" t="b">
        <v>0</v>
      </c>
      <c r="L622" t="b">
        <v>0</v>
      </c>
      <c r="M622" t="b">
        <v>0</v>
      </c>
      <c r="N622">
        <f>IFERROR(INDEX('Company Hitlist'!$AA:$AA,MATCH(D622,'Company Hitlist'!$A:$A,0)),)</f>
        <v/>
      </c>
      <c r="O622">
        <f>IFERROR(INDEX('Company Hitlist'!$N:$N,MATCH(D622,'Company Hitlist'!$A:$A,0)),)</f>
        <v/>
      </c>
      <c r="Q622" t="inlineStr">
        <is>
          <t>todo</t>
        </is>
      </c>
    </row>
    <row r="623">
      <c r="A623" t="inlineStr">
        <is>
          <t>Mark Diaz</t>
        </is>
      </c>
      <c r="B623" t="inlineStr">
        <is>
          <t>Attendee</t>
        </is>
      </c>
      <c r="C623" t="inlineStr">
        <is>
          <t>Sr. International Logistics Manager</t>
        </is>
      </c>
      <c r="D623" t="inlineStr">
        <is>
          <t>BarkBox</t>
        </is>
      </c>
      <c r="H623" t="n">
        <v>10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>
        <f>IFERROR(INDEX('Company Hitlist'!$AA:$AA,MATCH(D623,'Company Hitlist'!$A:$A,0)),)</f>
        <v/>
      </c>
      <c r="O623">
        <f>IFERROR(INDEX('Company Hitlist'!$N:$N,MATCH(D623,'Company Hitlist'!$A:$A,0)),)</f>
        <v/>
      </c>
      <c r="Q623" t="inlineStr">
        <is>
          <t>todo</t>
        </is>
      </c>
    </row>
    <row r="624">
      <c r="A624" t="inlineStr">
        <is>
          <t>David Wu</t>
        </is>
      </c>
      <c r="B624" t="inlineStr">
        <is>
          <t>Attendee</t>
        </is>
      </c>
      <c r="C624" t="inlineStr">
        <is>
          <t>Director, Supply Chain Operations &amp; Analytics</t>
        </is>
      </c>
      <c r="D624" t="inlineStr">
        <is>
          <t>Bath and Body Works</t>
        </is>
      </c>
      <c r="H624" t="n">
        <v>10</v>
      </c>
      <c r="I624" t="b">
        <v>1</v>
      </c>
      <c r="J624" t="b">
        <v>0</v>
      </c>
      <c r="K624" t="b">
        <v>0</v>
      </c>
      <c r="L624" t="b">
        <v>0</v>
      </c>
      <c r="M624" t="b">
        <v>0</v>
      </c>
      <c r="N624">
        <f>IFERROR(INDEX('Company Hitlist'!$AA:$AA,MATCH(D624,'Company Hitlist'!$A:$A,0)),)</f>
        <v/>
      </c>
      <c r="O624">
        <f>IFERROR(INDEX('Company Hitlist'!$N:$N,MATCH(D624,'Company Hitlist'!$A:$A,0)),)</f>
        <v/>
      </c>
      <c r="Q624" t="inlineStr">
        <is>
          <t>todo</t>
        </is>
      </c>
    </row>
    <row r="625">
      <c r="A625" t="inlineStr">
        <is>
          <t>Andy Nhung</t>
        </is>
      </c>
      <c r="B625" t="inlineStr">
        <is>
          <t>Attendee</t>
        </is>
      </c>
      <c r="C625" t="inlineStr">
        <is>
          <t>Supply Chain Analytics Manager</t>
        </is>
      </c>
      <c r="D625" t="inlineStr">
        <is>
          <t>Belk</t>
        </is>
      </c>
      <c r="H625" t="n">
        <v>10</v>
      </c>
      <c r="I625" t="b">
        <v>1</v>
      </c>
      <c r="J625" t="b">
        <v>0</v>
      </c>
      <c r="K625" t="b">
        <v>0</v>
      </c>
      <c r="L625" t="b">
        <v>0</v>
      </c>
      <c r="M625" t="b">
        <v>0</v>
      </c>
      <c r="N625">
        <f>IFERROR(INDEX('Company Hitlist'!$AA:$AA,MATCH(D625,'Company Hitlist'!$A:$A,0)),)</f>
        <v/>
      </c>
      <c r="O625">
        <f>IFERROR(INDEX('Company Hitlist'!$N:$N,MATCH(D625,'Company Hitlist'!$A:$A,0)),)</f>
        <v/>
      </c>
      <c r="Q625" t="inlineStr">
        <is>
          <t>todo</t>
        </is>
      </c>
    </row>
    <row r="626">
      <c r="A626" t="inlineStr">
        <is>
          <t>Terrence Harrell</t>
        </is>
      </c>
      <c r="B626" t="inlineStr">
        <is>
          <t>Attendee</t>
        </is>
      </c>
      <c r="C626" t="inlineStr">
        <is>
          <t>Supply Chain Manager</t>
        </is>
      </c>
      <c r="D626" t="inlineStr">
        <is>
          <t>Belk</t>
        </is>
      </c>
      <c r="H626" t="n">
        <v>10</v>
      </c>
      <c r="I626" t="b">
        <v>1</v>
      </c>
      <c r="J626" t="b">
        <v>0</v>
      </c>
      <c r="K626" t="b">
        <v>0</v>
      </c>
      <c r="L626" t="b">
        <v>0</v>
      </c>
      <c r="M626" t="b">
        <v>0</v>
      </c>
      <c r="N626">
        <f>IFERROR(INDEX('Company Hitlist'!$AA:$AA,MATCH(D626,'Company Hitlist'!$A:$A,0)),)</f>
        <v/>
      </c>
      <c r="O626">
        <f>IFERROR(INDEX('Company Hitlist'!$N:$N,MATCH(D626,'Company Hitlist'!$A:$A,0)),)</f>
        <v/>
      </c>
      <c r="Q626" t="inlineStr">
        <is>
          <t>todo</t>
        </is>
      </c>
    </row>
    <row r="627">
      <c r="A627" t="inlineStr">
        <is>
          <t>Ben Elwood</t>
        </is>
      </c>
      <c r="B627" t="inlineStr">
        <is>
          <t>Attendee</t>
        </is>
      </c>
      <c r="C627" t="inlineStr">
        <is>
          <t>Sr Director Operations</t>
        </is>
      </c>
      <c r="D627" t="inlineStr">
        <is>
          <t>Bella Canvas</t>
        </is>
      </c>
      <c r="F627" t="inlineStr">
        <is>
          <t>Yes</t>
        </is>
      </c>
      <c r="H627" t="n">
        <v>10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>
        <f>IFERROR(INDEX('Company Hitlist'!$AA:$AA,MATCH(D627,'Company Hitlist'!$A:$A,0)),)</f>
        <v/>
      </c>
      <c r="O627">
        <f>IFERROR(INDEX('Company Hitlist'!$N:$N,MATCH(D627,'Company Hitlist'!$A:$A,0)),)</f>
        <v/>
      </c>
      <c r="Q627" t="inlineStr">
        <is>
          <t>todo</t>
        </is>
      </c>
    </row>
    <row r="628">
      <c r="A628" t="inlineStr">
        <is>
          <t>Marc Blubaugh</t>
        </is>
      </c>
      <c r="B628" t="inlineStr">
        <is>
          <t>Attendee</t>
        </is>
      </c>
      <c r="C628" t="inlineStr">
        <is>
          <t>Partner and Co-Chair, Transportation &amp; Logistics Practice,</t>
        </is>
      </c>
      <c r="D628" t="inlineStr">
        <is>
          <t>Benesch Friedlander Coplan &amp; Aronoff LLP</t>
        </is>
      </c>
      <c r="E628" t="inlineStr">
        <is>
          <t>United States</t>
        </is>
      </c>
      <c r="H628" t="n">
        <v>10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>
        <f>IFERROR(INDEX('Company Hitlist'!$AA:$AA,MATCH(D628,'Company Hitlist'!$A:$A,0)),)</f>
        <v/>
      </c>
      <c r="O628">
        <f>IFERROR(INDEX('Company Hitlist'!$N:$N,MATCH(D628,'Company Hitlist'!$A:$A,0)),)</f>
        <v/>
      </c>
      <c r="Q628" t="inlineStr">
        <is>
          <t>todo</t>
        </is>
      </c>
    </row>
    <row r="629">
      <c r="A629" t="inlineStr">
        <is>
          <t>Luke Lan</t>
        </is>
      </c>
      <c r="B629" t="inlineStr">
        <is>
          <t>Attendee</t>
        </is>
      </c>
      <c r="C629" t="inlineStr">
        <is>
          <t>Lean Engineer Supply Chain</t>
        </is>
      </c>
      <c r="D629" t="inlineStr">
        <is>
          <t>Best Buy Canada</t>
        </is>
      </c>
      <c r="H629" t="n">
        <v>10</v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>
        <f>IFERROR(INDEX('Company Hitlist'!$AA:$AA,MATCH(D629,'Company Hitlist'!$A:$A,0)),)</f>
        <v/>
      </c>
      <c r="O629">
        <f>IFERROR(INDEX('Company Hitlist'!$N:$N,MATCH(D629,'Company Hitlist'!$A:$A,0)),)</f>
        <v/>
      </c>
      <c r="Q629" t="inlineStr">
        <is>
          <t>todo</t>
        </is>
      </c>
    </row>
    <row r="630">
      <c r="A630" t="inlineStr">
        <is>
          <t>Greg Recker</t>
        </is>
      </c>
      <c r="B630" t="inlineStr">
        <is>
          <t>Attendee</t>
        </is>
      </c>
      <c r="C630" t="inlineStr">
        <is>
          <t>Distribution, Warehousing &amp; Transportation</t>
        </is>
      </c>
      <c r="D630" t="inlineStr">
        <is>
          <t>Betco</t>
        </is>
      </c>
      <c r="H630" t="n">
        <v>10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>
        <f>IFERROR(INDEX('Company Hitlist'!$AA:$AA,MATCH(D630,'Company Hitlist'!$A:$A,0)),)</f>
        <v/>
      </c>
      <c r="O630">
        <f>IFERROR(INDEX('Company Hitlist'!$N:$N,MATCH(D630,'Company Hitlist'!$A:$A,0)),)</f>
        <v/>
      </c>
      <c r="Q630" t="inlineStr">
        <is>
          <t>todo</t>
        </is>
      </c>
    </row>
    <row r="631">
      <c r="A631" t="inlineStr">
        <is>
          <t>Scott Loewe</t>
        </is>
      </c>
      <c r="B631" t="inlineStr">
        <is>
          <t>Attendee</t>
        </is>
      </c>
      <c r="C631" t="inlineStr">
        <is>
          <t>Sr. Director, Supply Chain Logistics</t>
        </is>
      </c>
      <c r="D631" t="inlineStr">
        <is>
          <t>Bimbo Bakeries, USA</t>
        </is>
      </c>
      <c r="H631" t="n">
        <v>10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>
        <f>IFERROR(INDEX('Company Hitlist'!$AA:$AA,MATCH(D631,'Company Hitlist'!$A:$A,0)),)</f>
        <v/>
      </c>
      <c r="O631">
        <f>IFERROR(INDEX('Company Hitlist'!$N:$N,MATCH(D631,'Company Hitlist'!$A:$A,0)),)</f>
        <v/>
      </c>
      <c r="Q631" t="inlineStr">
        <is>
          <t>todo</t>
        </is>
      </c>
    </row>
    <row r="632">
      <c r="A632" t="inlineStr">
        <is>
          <t>Phil Kirkpatrick</t>
        </is>
      </c>
      <c r="B632" t="inlineStr">
        <is>
          <t>Attendee</t>
        </is>
      </c>
      <c r="C632" t="inlineStr">
        <is>
          <t>Logistics Supervisor</t>
        </is>
      </c>
      <c r="D632" t="inlineStr">
        <is>
          <t>Biocair</t>
        </is>
      </c>
      <c r="E632" t="inlineStr">
        <is>
          <t>United States</t>
        </is>
      </c>
      <c r="H632" t="n">
        <v>10</v>
      </c>
      <c r="I632" t="b">
        <v>1</v>
      </c>
      <c r="J632" t="b">
        <v>0</v>
      </c>
      <c r="K632" t="b">
        <v>0</v>
      </c>
      <c r="L632" t="b">
        <v>0</v>
      </c>
      <c r="M632" t="b">
        <v>0</v>
      </c>
      <c r="N632">
        <f>IFERROR(INDEX('Company Hitlist'!$AA:$AA,MATCH(D632,'Company Hitlist'!$A:$A,0)),)</f>
        <v/>
      </c>
      <c r="O632">
        <f>IFERROR(INDEX('Company Hitlist'!$N:$N,MATCH(D632,'Company Hitlist'!$A:$A,0)),)</f>
        <v/>
      </c>
      <c r="Q632" t="inlineStr">
        <is>
          <t>todo</t>
        </is>
      </c>
    </row>
    <row r="633">
      <c r="A633" t="inlineStr">
        <is>
          <t>David Ward</t>
        </is>
      </c>
      <c r="B633" t="inlineStr">
        <is>
          <t>Attendee</t>
        </is>
      </c>
      <c r="C633" t="inlineStr">
        <is>
          <t>Cross dock/Logistics Network</t>
        </is>
      </c>
      <c r="D633" t="inlineStr">
        <is>
          <t>Boeing</t>
        </is>
      </c>
      <c r="H633" t="n">
        <v>10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>
        <f>IFERROR(INDEX('Company Hitlist'!$AA:$AA,MATCH(D633,'Company Hitlist'!$A:$A,0)),)</f>
        <v/>
      </c>
      <c r="O633">
        <f>IFERROR(INDEX('Company Hitlist'!$N:$N,MATCH(D633,'Company Hitlist'!$A:$A,0)),)</f>
        <v/>
      </c>
      <c r="Q633" t="inlineStr">
        <is>
          <t>todo</t>
        </is>
      </c>
    </row>
    <row r="634">
      <c r="A634" t="inlineStr">
        <is>
          <t>Thomas Embleton</t>
        </is>
      </c>
      <c r="B634" t="inlineStr">
        <is>
          <t>Attendee</t>
        </is>
      </c>
      <c r="C634" t="inlineStr">
        <is>
          <t>Senior Transportation Manager/Dedicated Fleet Management</t>
        </is>
      </c>
      <c r="D634" t="inlineStr">
        <is>
          <t>Boeing</t>
        </is>
      </c>
      <c r="H634" t="n">
        <v>10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>
        <f>IFERROR(INDEX('Company Hitlist'!$AA:$AA,MATCH(D634,'Company Hitlist'!$A:$A,0)),)</f>
        <v/>
      </c>
      <c r="O634">
        <f>IFERROR(INDEX('Company Hitlist'!$N:$N,MATCH(D634,'Company Hitlist'!$A:$A,0)),)</f>
        <v/>
      </c>
      <c r="Q634" t="inlineStr">
        <is>
          <t>todo</t>
        </is>
      </c>
    </row>
    <row r="635">
      <c r="A635" t="inlineStr">
        <is>
          <t>Thomas Renowden</t>
        </is>
      </c>
      <c r="B635" t="inlineStr">
        <is>
          <t>Attendee</t>
        </is>
      </c>
      <c r="C635" t="inlineStr">
        <is>
          <t>Transportation Management Systems/EDI</t>
        </is>
      </c>
      <c r="D635" t="inlineStr">
        <is>
          <t>Boeing</t>
        </is>
      </c>
      <c r="H635" t="n">
        <v>10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>
        <f>IFERROR(INDEX('Company Hitlist'!$AA:$AA,MATCH(D635,'Company Hitlist'!$A:$A,0)),)</f>
        <v/>
      </c>
      <c r="O635">
        <f>IFERROR(INDEX('Company Hitlist'!$N:$N,MATCH(D635,'Company Hitlist'!$A:$A,0)),)</f>
        <v/>
      </c>
      <c r="Q635" t="inlineStr">
        <is>
          <t>todo</t>
        </is>
      </c>
    </row>
    <row r="636">
      <c r="A636" t="inlineStr">
        <is>
          <t>Peter Bogulaski</t>
        </is>
      </c>
      <c r="B636" t="inlineStr">
        <is>
          <t>Attendee</t>
        </is>
      </c>
      <c r="C636" t="inlineStr">
        <is>
          <t>Sr Director, Supply Chain</t>
        </is>
      </c>
      <c r="D636" t="inlineStr">
        <is>
          <t>Branch Furniture</t>
        </is>
      </c>
      <c r="H636" t="n">
        <v>10</v>
      </c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>
        <f>IFERROR(INDEX('Company Hitlist'!$AA:$AA,MATCH(D636,'Company Hitlist'!$A:$A,0)),)</f>
        <v/>
      </c>
      <c r="O636">
        <f>IFERROR(INDEX('Company Hitlist'!$N:$N,MATCH(D636,'Company Hitlist'!$A:$A,0)),)</f>
        <v/>
      </c>
      <c r="Q636" t="inlineStr">
        <is>
          <t>todo</t>
        </is>
      </c>
    </row>
    <row r="637">
      <c r="A637" t="inlineStr">
        <is>
          <t>Michael Chen</t>
        </is>
      </c>
      <c r="B637" t="inlineStr">
        <is>
          <t>Attendee</t>
        </is>
      </c>
      <c r="C637" t="inlineStr">
        <is>
          <t>Senior Director of Ops &amp; Logistics</t>
        </is>
      </c>
      <c r="D637" t="inlineStr">
        <is>
          <t>Brooklinen</t>
        </is>
      </c>
      <c r="F637" t="inlineStr">
        <is>
          <t>Yes</t>
        </is>
      </c>
      <c r="G637" t="inlineStr">
        <is>
          <t>$100M+ (2024 est.; projected $110M in 2025)</t>
        </is>
      </c>
      <c r="H637" t="n">
        <v>10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>
        <f>IFERROR(INDEX('Company Hitlist'!$AA:$AA,MATCH(D637,'Company Hitlist'!$A:$A,0)),)</f>
        <v/>
      </c>
      <c r="O637">
        <f>IFERROR(INDEX('Company Hitlist'!$N:$N,MATCH(D637,'Company Hitlist'!$A:$A,0)),)</f>
        <v/>
      </c>
      <c r="Q637" t="inlineStr">
        <is>
          <t>todo</t>
        </is>
      </c>
    </row>
    <row r="638">
      <c r="A638" t="inlineStr">
        <is>
          <t>Michael Rivas</t>
        </is>
      </c>
      <c r="B638" t="inlineStr">
        <is>
          <t>Attendee</t>
        </is>
      </c>
      <c r="C638" t="inlineStr">
        <is>
          <t>Dir of Operations</t>
        </is>
      </c>
      <c r="D638" t="inlineStr">
        <is>
          <t>Buchanan</t>
        </is>
      </c>
      <c r="H638" t="n">
        <v>10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>
        <f>IFERROR(INDEX('Company Hitlist'!$AA:$AA,MATCH(D638,'Company Hitlist'!$A:$A,0)),)</f>
        <v/>
      </c>
      <c r="O638">
        <f>IFERROR(INDEX('Company Hitlist'!$N:$N,MATCH(D638,'Company Hitlist'!$A:$A,0)),)</f>
        <v/>
      </c>
      <c r="Q638" t="inlineStr">
        <is>
          <t>todo</t>
        </is>
      </c>
    </row>
    <row r="639">
      <c r="A639" t="inlineStr">
        <is>
          <t>Evan Clark</t>
        </is>
      </c>
      <c r="B639" t="inlineStr">
        <is>
          <t>Attendee</t>
        </is>
      </c>
      <c r="C639" t="inlineStr">
        <is>
          <t>Global Supply Chain Collective</t>
        </is>
      </c>
      <c r="D639" t="inlineStr">
        <is>
          <t>CBRE</t>
        </is>
      </c>
      <c r="E639" t="inlineStr">
        <is>
          <t>United States</t>
        </is>
      </c>
      <c r="H639" t="n">
        <v>10</v>
      </c>
      <c r="I639" t="b">
        <v>1</v>
      </c>
      <c r="J639" t="b">
        <v>0</v>
      </c>
      <c r="K639" t="b">
        <v>0</v>
      </c>
      <c r="L639" t="b">
        <v>0</v>
      </c>
      <c r="M639" t="b">
        <v>0</v>
      </c>
      <c r="N639">
        <f>IFERROR(INDEX('Company Hitlist'!$AA:$AA,MATCH(D639,'Company Hitlist'!$A:$A,0)),)</f>
        <v/>
      </c>
      <c r="O639">
        <f>IFERROR(INDEX('Company Hitlist'!$N:$N,MATCH(D639,'Company Hitlist'!$A:$A,0)),)</f>
        <v/>
      </c>
      <c r="Q639" t="inlineStr">
        <is>
          <t>todo</t>
        </is>
      </c>
    </row>
    <row r="640">
      <c r="A640" t="inlineStr">
        <is>
          <t>Craig Probst</t>
        </is>
      </c>
      <c r="B640" t="inlineStr">
        <is>
          <t>Attendee</t>
        </is>
      </c>
      <c r="C640" t="inlineStr">
        <is>
          <t>Director, Logistics Product and Solution Design</t>
        </is>
      </c>
      <c r="D640" t="inlineStr">
        <is>
          <t>CHS</t>
        </is>
      </c>
      <c r="E640" t="inlineStr">
        <is>
          <t>United States</t>
        </is>
      </c>
      <c r="H640" t="n">
        <v>10</v>
      </c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>
        <f>IFERROR(INDEX('Company Hitlist'!$AA:$AA,MATCH(D640,'Company Hitlist'!$A:$A,0)),)</f>
        <v/>
      </c>
      <c r="O640">
        <f>IFERROR(INDEX('Company Hitlist'!$N:$N,MATCH(D640,'Company Hitlist'!$A:$A,0)),)</f>
        <v/>
      </c>
      <c r="Q640" t="inlineStr">
        <is>
          <t>todo</t>
        </is>
      </c>
    </row>
    <row r="641">
      <c r="A641" t="inlineStr">
        <is>
          <t>Curt Reynolds</t>
        </is>
      </c>
      <c r="B641" t="inlineStr">
        <is>
          <t>Attendee</t>
        </is>
      </c>
      <c r="C641" t="inlineStr">
        <is>
          <t>Director of Transportation</t>
        </is>
      </c>
      <c r="D641" t="inlineStr">
        <is>
          <t>CHS, Inc.</t>
        </is>
      </c>
      <c r="H641" t="n">
        <v>10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>
        <f>IFERROR(INDEX('Company Hitlist'!$AA:$AA,MATCH(D641,'Company Hitlist'!$A:$A,0)),)</f>
        <v/>
      </c>
      <c r="O641">
        <f>IFERROR(INDEX('Company Hitlist'!$N:$N,MATCH(D641,'Company Hitlist'!$A:$A,0)),)</f>
        <v/>
      </c>
      <c r="Q641" t="inlineStr">
        <is>
          <t>todo</t>
        </is>
      </c>
    </row>
    <row r="642">
      <c r="A642" t="inlineStr">
        <is>
          <t>Emilie Zafirov</t>
        </is>
      </c>
      <c r="B642" t="inlineStr">
        <is>
          <t>Attendee</t>
        </is>
      </c>
      <c r="C642" t="inlineStr">
        <is>
          <t>Logistics Plus</t>
        </is>
      </c>
      <c r="D642" t="inlineStr">
        <is>
          <t>CIO</t>
        </is>
      </c>
      <c r="H642" t="n">
        <v>10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>
        <f>IFERROR(INDEX('Company Hitlist'!$AA:$AA,MATCH(D642,'Company Hitlist'!$A:$A,0)),)</f>
        <v/>
      </c>
      <c r="O642">
        <f>IFERROR(INDEX('Company Hitlist'!$N:$N,MATCH(D642,'Company Hitlist'!$A:$A,0)),)</f>
        <v/>
      </c>
      <c r="Q642" t="inlineStr">
        <is>
          <t>todo</t>
        </is>
      </c>
    </row>
    <row r="643">
      <c r="A643" t="inlineStr">
        <is>
          <t>Richard Heintz</t>
        </is>
      </c>
      <c r="B643" t="inlineStr">
        <is>
          <t>Attendee</t>
        </is>
      </c>
      <c r="C643" t="inlineStr">
        <is>
          <t>Director, Operations Support</t>
        </is>
      </c>
      <c r="D643" t="inlineStr">
        <is>
          <t>CJ Logistics</t>
        </is>
      </c>
      <c r="H643" t="n">
        <v>10</v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>
        <f>IFERROR(INDEX('Company Hitlist'!$AA:$AA,MATCH(D643,'Company Hitlist'!$A:$A,0)),)</f>
        <v/>
      </c>
      <c r="O643">
        <f>IFERROR(INDEX('Company Hitlist'!$N:$N,MATCH(D643,'Company Hitlist'!$A:$A,0)),)</f>
        <v/>
      </c>
      <c r="Q643" t="inlineStr">
        <is>
          <t>todo</t>
        </is>
      </c>
    </row>
    <row r="644">
      <c r="A644" t="inlineStr">
        <is>
          <t>Jim Kicher</t>
        </is>
      </c>
      <c r="B644" t="inlineStr">
        <is>
          <t>Attendee</t>
        </is>
      </c>
      <c r="C644" t="inlineStr">
        <is>
          <t>Logistics Director</t>
        </is>
      </c>
      <c r="D644" t="inlineStr">
        <is>
          <t>CTSI Global</t>
        </is>
      </c>
      <c r="E644" t="inlineStr">
        <is>
          <t>United States</t>
        </is>
      </c>
      <c r="H644" t="n">
        <v>10</v>
      </c>
      <c r="I644" t="b">
        <v>1</v>
      </c>
      <c r="J644" t="b">
        <v>0</v>
      </c>
      <c r="K644" t="b">
        <v>0</v>
      </c>
      <c r="L644" t="b">
        <v>0</v>
      </c>
      <c r="M644" t="b">
        <v>0</v>
      </c>
      <c r="N644">
        <f>IFERROR(INDEX('Company Hitlist'!$AA:$AA,MATCH(D644,'Company Hitlist'!$A:$A,0)),)</f>
        <v/>
      </c>
      <c r="O644">
        <f>IFERROR(INDEX('Company Hitlist'!$N:$N,MATCH(D644,'Company Hitlist'!$A:$A,0)),)</f>
        <v/>
      </c>
      <c r="Q644" t="inlineStr">
        <is>
          <t>todo</t>
        </is>
      </c>
    </row>
    <row r="645">
      <c r="A645" t="inlineStr">
        <is>
          <t>Joey Milano</t>
        </is>
      </c>
      <c r="B645" t="inlineStr">
        <is>
          <t>Attendee</t>
        </is>
      </c>
      <c r="C645" t="inlineStr">
        <is>
          <t>Operations Manager</t>
        </is>
      </c>
      <c r="D645" t="inlineStr">
        <is>
          <t>Canopy</t>
        </is>
      </c>
      <c r="H645" t="n">
        <v>10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>
        <f>IFERROR(INDEX('Company Hitlist'!$AA:$AA,MATCH(D645,'Company Hitlist'!$A:$A,0)),)</f>
        <v/>
      </c>
      <c r="O645">
        <f>IFERROR(INDEX('Company Hitlist'!$N:$N,MATCH(D645,'Company Hitlist'!$A:$A,0)),)</f>
        <v/>
      </c>
      <c r="Q645" t="inlineStr">
        <is>
          <t>todo</t>
        </is>
      </c>
    </row>
    <row r="646">
      <c r="A646" t="inlineStr">
        <is>
          <t>Peter Marcinek</t>
        </is>
      </c>
      <c r="B646" t="inlineStr">
        <is>
          <t>Attendee</t>
        </is>
      </c>
      <c r="C646" t="inlineStr">
        <is>
          <t>Ecommerce Logistics Director</t>
        </is>
      </c>
      <c r="D646" t="inlineStr">
        <is>
          <t>Capacity LLC</t>
        </is>
      </c>
      <c r="F646" t="inlineStr">
        <is>
          <t>Yes</t>
        </is>
      </c>
      <c r="H646" t="n">
        <v>10</v>
      </c>
      <c r="I646" t="b">
        <v>1</v>
      </c>
      <c r="J646" t="b">
        <v>0</v>
      </c>
      <c r="K646" t="b">
        <v>0</v>
      </c>
      <c r="L646" t="b">
        <v>0</v>
      </c>
      <c r="M646" t="b">
        <v>0</v>
      </c>
      <c r="N646">
        <f>IFERROR(INDEX('Company Hitlist'!$AA:$AA,MATCH(D646,'Company Hitlist'!$A:$A,0)),)</f>
        <v/>
      </c>
      <c r="O646">
        <f>IFERROR(INDEX('Company Hitlist'!$N:$N,MATCH(D646,'Company Hitlist'!$A:$A,0)),)</f>
        <v/>
      </c>
      <c r="Q646" t="inlineStr">
        <is>
          <t>todo</t>
        </is>
      </c>
    </row>
    <row r="647">
      <c r="A647" t="inlineStr">
        <is>
          <t>Katya Lotzof</t>
        </is>
      </c>
      <c r="B647" t="inlineStr">
        <is>
          <t>Attendee</t>
        </is>
      </c>
      <c r="C647" t="inlineStr">
        <is>
          <t>Associate Director, Logistics &amp; Fulfillment Ops</t>
        </is>
      </c>
      <c r="D647" t="inlineStr">
        <is>
          <t>Caraway</t>
        </is>
      </c>
      <c r="F647" t="inlineStr">
        <is>
          <t>Yes</t>
        </is>
      </c>
      <c r="G647" t="inlineStr">
        <is>
          <t>$50M (2024 est.; projected $60M in 2025)</t>
        </is>
      </c>
      <c r="H647" t="n">
        <v>10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>
        <f>IFERROR(INDEX('Company Hitlist'!$AA:$AA,MATCH(D647,'Company Hitlist'!$A:$A,0)),)</f>
        <v/>
      </c>
      <c r="O647">
        <f>IFERROR(INDEX('Company Hitlist'!$N:$N,MATCH(D647,'Company Hitlist'!$A:$A,0)),)</f>
        <v/>
      </c>
      <c r="Q647" t="inlineStr">
        <is>
          <t>todo</t>
        </is>
      </c>
    </row>
    <row r="648">
      <c r="A648" t="inlineStr">
        <is>
          <t>Brian Feld</t>
        </is>
      </c>
      <c r="B648" t="inlineStr">
        <is>
          <t>Attendee</t>
        </is>
      </c>
      <c r="C648" t="inlineStr">
        <is>
          <t>Logistics &amp; Distribution Manager</t>
        </is>
      </c>
      <c r="D648" t="inlineStr">
        <is>
          <t>Caraway</t>
        </is>
      </c>
      <c r="H648" t="n">
        <v>10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>
        <f>IFERROR(INDEX('Company Hitlist'!$AA:$AA,MATCH(D648,'Company Hitlist'!$A:$A,0)),)</f>
        <v/>
      </c>
      <c r="O648">
        <f>IFERROR(INDEX('Company Hitlist'!$N:$N,MATCH(D648,'Company Hitlist'!$A:$A,0)),)</f>
        <v/>
      </c>
      <c r="Q648" t="inlineStr">
        <is>
          <t>todo</t>
        </is>
      </c>
    </row>
    <row r="649">
      <c r="A649" t="inlineStr">
        <is>
          <t>Megan Goldman</t>
        </is>
      </c>
      <c r="B649" t="inlineStr">
        <is>
          <t>Attendee</t>
        </is>
      </c>
      <c r="C649" t="inlineStr">
        <is>
          <t>Ecommerce Operations Manager</t>
        </is>
      </c>
      <c r="D649" t="inlineStr">
        <is>
          <t>Caraway</t>
        </is>
      </c>
      <c r="H649" t="n">
        <v>10</v>
      </c>
      <c r="I649" t="b">
        <v>1</v>
      </c>
      <c r="J649" t="b">
        <v>0</v>
      </c>
      <c r="K649" t="b">
        <v>0</v>
      </c>
      <c r="L649" t="b">
        <v>0</v>
      </c>
      <c r="M649" t="b">
        <v>0</v>
      </c>
      <c r="N649">
        <f>IFERROR(INDEX('Company Hitlist'!$AA:$AA,MATCH(D649,'Company Hitlist'!$A:$A,0)),)</f>
        <v/>
      </c>
      <c r="O649">
        <f>IFERROR(INDEX('Company Hitlist'!$N:$N,MATCH(D649,'Company Hitlist'!$A:$A,0)),)</f>
        <v/>
      </c>
      <c r="Q649" t="inlineStr">
        <is>
          <t>todo</t>
        </is>
      </c>
    </row>
    <row r="650">
      <c r="A650" t="inlineStr">
        <is>
          <t>Tim Schreiner</t>
        </is>
      </c>
      <c r="B650" t="inlineStr">
        <is>
          <t>Attendee</t>
        </is>
      </c>
      <c r="C650" t="inlineStr">
        <is>
          <t>Wholesale Operations Manager</t>
        </is>
      </c>
      <c r="D650" t="inlineStr">
        <is>
          <t>Caraway</t>
        </is>
      </c>
      <c r="H650" t="n">
        <v>10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>
        <f>IFERROR(INDEX('Company Hitlist'!$AA:$AA,MATCH(D650,'Company Hitlist'!$A:$A,0)),)</f>
        <v/>
      </c>
      <c r="O650">
        <f>IFERROR(INDEX('Company Hitlist'!$N:$N,MATCH(D650,'Company Hitlist'!$A:$A,0)),)</f>
        <v/>
      </c>
      <c r="Q650" t="inlineStr">
        <is>
          <t>todo</t>
        </is>
      </c>
    </row>
    <row r="651">
      <c r="A651" t="inlineStr">
        <is>
          <t>Rob Snowden</t>
        </is>
      </c>
      <c r="B651" t="inlineStr">
        <is>
          <t>Attendee</t>
        </is>
      </c>
      <c r="C651" t="inlineStr">
        <is>
          <t>Senior Director of Supply Chain</t>
        </is>
      </c>
      <c r="D651" t="inlineStr">
        <is>
          <t>Caraway</t>
        </is>
      </c>
      <c r="H651" t="n">
        <v>10</v>
      </c>
      <c r="I651" t="b">
        <v>1</v>
      </c>
      <c r="J651" t="b">
        <v>0</v>
      </c>
      <c r="K651" t="b">
        <v>0</v>
      </c>
      <c r="L651" t="b">
        <v>0</v>
      </c>
      <c r="M651" t="b">
        <v>0</v>
      </c>
      <c r="N651">
        <f>IFERROR(INDEX('Company Hitlist'!$AA:$AA,MATCH(D651,'Company Hitlist'!$A:$A,0)),)</f>
        <v/>
      </c>
      <c r="O651">
        <f>IFERROR(INDEX('Company Hitlist'!$N:$N,MATCH(D651,'Company Hitlist'!$A:$A,0)),)</f>
        <v/>
      </c>
      <c r="Q651" t="inlineStr">
        <is>
          <t>todo</t>
        </is>
      </c>
    </row>
    <row r="652">
      <c r="A652" t="inlineStr">
        <is>
          <t>Guy Antoine</t>
        </is>
      </c>
      <c r="B652" t="inlineStr">
        <is>
          <t>Attendee</t>
        </is>
      </c>
      <c r="C652" t="inlineStr">
        <is>
          <t>Director, Logistics Operations</t>
        </is>
      </c>
      <c r="D652" t="inlineStr">
        <is>
          <t>Cardinal Health</t>
        </is>
      </c>
      <c r="E652" t="inlineStr">
        <is>
          <t>United States</t>
        </is>
      </c>
      <c r="F652" t="inlineStr">
        <is>
          <t>Yes</t>
        </is>
      </c>
      <c r="H652" t="n">
        <v>10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>
        <f>IFERROR(INDEX('Company Hitlist'!$AA:$AA,MATCH(D652,'Company Hitlist'!$A:$A,0)),)</f>
        <v/>
      </c>
      <c r="O652">
        <f>IFERROR(INDEX('Company Hitlist'!$N:$N,MATCH(D652,'Company Hitlist'!$A:$A,0)),)</f>
        <v/>
      </c>
      <c r="Q652" t="inlineStr">
        <is>
          <t>todo</t>
        </is>
      </c>
    </row>
    <row r="653">
      <c r="A653" t="inlineStr">
        <is>
          <t>Jason Schwieterman</t>
        </is>
      </c>
      <c r="B653" t="inlineStr">
        <is>
          <t>Attendee</t>
        </is>
      </c>
      <c r="C653" t="inlineStr">
        <is>
          <t>Director, Global Logistics – Business Intelligence</t>
        </is>
      </c>
      <c r="D653" t="inlineStr">
        <is>
          <t>Cardinal Health</t>
        </is>
      </c>
      <c r="E653" t="inlineStr">
        <is>
          <t>United States</t>
        </is>
      </c>
      <c r="F653" t="inlineStr">
        <is>
          <t>Yes</t>
        </is>
      </c>
      <c r="H653" t="n">
        <v>10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>
        <f>IFERROR(INDEX('Company Hitlist'!$AA:$AA,MATCH(D653,'Company Hitlist'!$A:$A,0)),)</f>
        <v/>
      </c>
      <c r="O653">
        <f>IFERROR(INDEX('Company Hitlist'!$N:$N,MATCH(D653,'Company Hitlist'!$A:$A,0)),)</f>
        <v/>
      </c>
      <c r="Q653" t="inlineStr">
        <is>
          <t>todo</t>
        </is>
      </c>
    </row>
    <row r="654">
      <c r="A654" t="inlineStr">
        <is>
          <t>Jill Lester</t>
        </is>
      </c>
      <c r="B654" t="inlineStr">
        <is>
          <t>Attendee</t>
        </is>
      </c>
      <c r="C654" t="inlineStr">
        <is>
          <t>Director, Logistics Products and Technology</t>
        </is>
      </c>
      <c r="D654" t="inlineStr">
        <is>
          <t>Cardinal Health</t>
        </is>
      </c>
      <c r="F654" t="inlineStr">
        <is>
          <t>Yes</t>
        </is>
      </c>
      <c r="H654" t="n">
        <v>10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>
        <f>IFERROR(INDEX('Company Hitlist'!$AA:$AA,MATCH(D654,'Company Hitlist'!$A:$A,0)),)</f>
        <v/>
      </c>
      <c r="O654">
        <f>IFERROR(INDEX('Company Hitlist'!$N:$N,MATCH(D654,'Company Hitlist'!$A:$A,0)),)</f>
        <v/>
      </c>
      <c r="Q654" t="inlineStr">
        <is>
          <t>todo</t>
        </is>
      </c>
    </row>
    <row r="655">
      <c r="A655" t="inlineStr">
        <is>
          <t>Kim Abreu</t>
        </is>
      </c>
      <c r="B655" t="inlineStr">
        <is>
          <t>Attendee</t>
        </is>
      </c>
      <c r="C655" t="inlineStr">
        <is>
          <t>Consultant, Parcel Transportation</t>
        </is>
      </c>
      <c r="D655" t="inlineStr">
        <is>
          <t>Cardinal Health</t>
        </is>
      </c>
      <c r="F655" t="inlineStr">
        <is>
          <t>Yes</t>
        </is>
      </c>
      <c r="H655" t="n">
        <v>10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>
        <f>IFERROR(INDEX('Company Hitlist'!$AA:$AA,MATCH(D655,'Company Hitlist'!$A:$A,0)),)</f>
        <v/>
      </c>
      <c r="O655">
        <f>IFERROR(INDEX('Company Hitlist'!$N:$N,MATCH(D655,'Company Hitlist'!$A:$A,0)),)</f>
        <v/>
      </c>
      <c r="Q655" t="inlineStr">
        <is>
          <t>todo</t>
        </is>
      </c>
    </row>
    <row r="656">
      <c r="A656" t="inlineStr">
        <is>
          <t>Blake Wyderski</t>
        </is>
      </c>
      <c r="B656" t="inlineStr">
        <is>
          <t>Attendee</t>
        </is>
      </c>
      <c r="C656" t="inlineStr">
        <is>
          <t>Manager, Enterprise Logistics</t>
        </is>
      </c>
      <c r="D656" t="inlineStr">
        <is>
          <t>Cardinal Health</t>
        </is>
      </c>
      <c r="E656" t="inlineStr">
        <is>
          <t>United States</t>
        </is>
      </c>
      <c r="H656" t="n">
        <v>10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>
        <f>IFERROR(INDEX('Company Hitlist'!$AA:$AA,MATCH(D656,'Company Hitlist'!$A:$A,0)),)</f>
        <v/>
      </c>
      <c r="O656">
        <f>IFERROR(INDEX('Company Hitlist'!$N:$N,MATCH(D656,'Company Hitlist'!$A:$A,0)),)</f>
        <v/>
      </c>
      <c r="Q656" t="inlineStr">
        <is>
          <t>todo</t>
        </is>
      </c>
    </row>
    <row r="657">
      <c r="A657" t="inlineStr">
        <is>
          <t>Mike Grant</t>
        </is>
      </c>
      <c r="B657" t="inlineStr">
        <is>
          <t>Attendee</t>
        </is>
      </c>
      <c r="C657" t="inlineStr">
        <is>
          <t>Operations Manager</t>
        </is>
      </c>
      <c r="D657" t="inlineStr">
        <is>
          <t>Cardinal Health</t>
        </is>
      </c>
      <c r="E657" t="inlineStr">
        <is>
          <t>United States</t>
        </is>
      </c>
      <c r="H657" t="n">
        <v>10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>
        <f>IFERROR(INDEX('Company Hitlist'!$AA:$AA,MATCH(D657,'Company Hitlist'!$A:$A,0)),)</f>
        <v/>
      </c>
      <c r="O657">
        <f>IFERROR(INDEX('Company Hitlist'!$N:$N,MATCH(D657,'Company Hitlist'!$A:$A,0)),)</f>
        <v/>
      </c>
      <c r="Q657" t="inlineStr">
        <is>
          <t>todo</t>
        </is>
      </c>
    </row>
    <row r="658">
      <c r="A658" t="inlineStr">
        <is>
          <t>Aaron Danison</t>
        </is>
      </c>
      <c r="B658" t="inlineStr">
        <is>
          <t>Attendee</t>
        </is>
      </c>
      <c r="C658" t="inlineStr">
        <is>
          <t>Manager- US Transportation BI&amp;A</t>
        </is>
      </c>
      <c r="D658" t="inlineStr">
        <is>
          <t>Cardinal Health</t>
        </is>
      </c>
      <c r="H658" t="n">
        <v>10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>
        <f>IFERROR(INDEX('Company Hitlist'!$AA:$AA,MATCH(D658,'Company Hitlist'!$A:$A,0)),)</f>
        <v/>
      </c>
      <c r="O658">
        <f>IFERROR(INDEX('Company Hitlist'!$N:$N,MATCH(D658,'Company Hitlist'!$A:$A,0)),)</f>
        <v/>
      </c>
      <c r="Q658" t="inlineStr">
        <is>
          <t>todo</t>
        </is>
      </c>
    </row>
    <row r="659">
      <c r="A659" t="inlineStr">
        <is>
          <t>Christina Young</t>
        </is>
      </c>
      <c r="B659" t="inlineStr">
        <is>
          <t>Attendee</t>
        </is>
      </c>
      <c r="C659" t="inlineStr">
        <is>
          <t>Director of Logistics Development and Innovation</t>
        </is>
      </c>
      <c r="D659" t="inlineStr">
        <is>
          <t>Carmax</t>
        </is>
      </c>
      <c r="F659" t="inlineStr">
        <is>
          <t>Yes</t>
        </is>
      </c>
      <c r="G659" t="inlineStr">
        <is>
          <t>$26.5B (2024; projected $27B in 2025)</t>
        </is>
      </c>
      <c r="H659" t="n">
        <v>10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>
        <f>IFERROR(INDEX('Company Hitlist'!$AA:$AA,MATCH(D659,'Company Hitlist'!$A:$A,0)),)</f>
        <v/>
      </c>
      <c r="O659">
        <f>IFERROR(INDEX('Company Hitlist'!$N:$N,MATCH(D659,'Company Hitlist'!$A:$A,0)),)</f>
        <v/>
      </c>
      <c r="Q659" t="inlineStr">
        <is>
          <t>todo</t>
        </is>
      </c>
    </row>
    <row r="660">
      <c r="A660" t="inlineStr">
        <is>
          <t>Stephanie Link</t>
        </is>
      </c>
      <c r="B660" t="inlineStr">
        <is>
          <t>Attendee</t>
        </is>
      </c>
      <c r="C660" t="inlineStr">
        <is>
          <t>Logistics Strategy Manager</t>
        </is>
      </c>
      <c r="D660" t="inlineStr">
        <is>
          <t>Carrier</t>
        </is>
      </c>
      <c r="E660" t="inlineStr">
        <is>
          <t>United States</t>
        </is>
      </c>
      <c r="H660" t="n">
        <v>10</v>
      </c>
      <c r="I660" t="b">
        <v>1</v>
      </c>
      <c r="J660" t="b">
        <v>0</v>
      </c>
      <c r="K660" t="b">
        <v>0</v>
      </c>
      <c r="L660" t="b">
        <v>0</v>
      </c>
      <c r="M660" t="b">
        <v>0</v>
      </c>
      <c r="N660">
        <f>IFERROR(INDEX('Company Hitlist'!$AA:$AA,MATCH(D660,'Company Hitlist'!$A:$A,0)),)</f>
        <v/>
      </c>
      <c r="O660">
        <f>IFERROR(INDEX('Company Hitlist'!$N:$N,MATCH(D660,'Company Hitlist'!$A:$A,0)),)</f>
        <v/>
      </c>
      <c r="Q660" t="inlineStr">
        <is>
          <t>todo</t>
        </is>
      </c>
    </row>
    <row r="661">
      <c r="A661" t="inlineStr">
        <is>
          <t>Yang Liu</t>
        </is>
      </c>
      <c r="B661" t="inlineStr">
        <is>
          <t>Attendee</t>
        </is>
      </c>
      <c r="C661" t="inlineStr">
        <is>
          <t>Director Logistics</t>
        </is>
      </c>
      <c r="D661" t="inlineStr">
        <is>
          <t>Caterpillar Inc</t>
        </is>
      </c>
      <c r="E661" t="inlineStr">
        <is>
          <t>United States</t>
        </is>
      </c>
      <c r="H661" t="n">
        <v>10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>
        <f>IFERROR(INDEX('Company Hitlist'!$AA:$AA,MATCH(D661,'Company Hitlist'!$A:$A,0)),)</f>
        <v/>
      </c>
      <c r="O661">
        <f>IFERROR(INDEX('Company Hitlist'!$N:$N,MATCH(D661,'Company Hitlist'!$A:$A,0)),)</f>
        <v/>
      </c>
      <c r="Q661" t="inlineStr">
        <is>
          <t>todo</t>
        </is>
      </c>
    </row>
    <row r="662">
      <c r="A662" t="inlineStr">
        <is>
          <t>John Meador</t>
        </is>
      </c>
      <c r="B662" t="inlineStr">
        <is>
          <t>Attendee</t>
        </is>
      </c>
      <c r="C662" t="inlineStr">
        <is>
          <t>Global Category Manager Logistics</t>
        </is>
      </c>
      <c r="D662" t="inlineStr">
        <is>
          <t>Celeros</t>
        </is>
      </c>
      <c r="E662" t="inlineStr">
        <is>
          <t>United States</t>
        </is>
      </c>
      <c r="H662" t="n">
        <v>10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>
        <f>IFERROR(INDEX('Company Hitlist'!$AA:$AA,MATCH(D662,'Company Hitlist'!$A:$A,0)),)</f>
        <v/>
      </c>
      <c r="O662">
        <f>IFERROR(INDEX('Company Hitlist'!$N:$N,MATCH(D662,'Company Hitlist'!$A:$A,0)),)</f>
        <v/>
      </c>
      <c r="Q662" t="inlineStr">
        <is>
          <t>todo</t>
        </is>
      </c>
    </row>
    <row r="663">
      <c r="A663" t="inlineStr">
        <is>
          <t>Marcus Onofre</t>
        </is>
      </c>
      <c r="B663" t="inlineStr">
        <is>
          <t>Attendee</t>
        </is>
      </c>
      <c r="C663" t="inlineStr">
        <is>
          <t>Global Category Specialist Logistics</t>
        </is>
      </c>
      <c r="D663" t="inlineStr">
        <is>
          <t>Celeros</t>
        </is>
      </c>
      <c r="H663" t="n">
        <v>10</v>
      </c>
      <c r="I663" t="b">
        <v>1</v>
      </c>
      <c r="J663" t="b">
        <v>0</v>
      </c>
      <c r="K663" t="b">
        <v>0</v>
      </c>
      <c r="L663" t="b">
        <v>0</v>
      </c>
      <c r="M663" t="b">
        <v>0</v>
      </c>
      <c r="N663">
        <f>IFERROR(INDEX('Company Hitlist'!$AA:$AA,MATCH(D663,'Company Hitlist'!$A:$A,0)),)</f>
        <v/>
      </c>
      <c r="O663">
        <f>IFERROR(INDEX('Company Hitlist'!$N:$N,MATCH(D663,'Company Hitlist'!$A:$A,0)),)</f>
        <v/>
      </c>
      <c r="Q663" t="inlineStr">
        <is>
          <t>todo</t>
        </is>
      </c>
    </row>
    <row r="664">
      <c r="A664" t="inlineStr">
        <is>
          <t>Steven Cao</t>
        </is>
      </c>
      <c r="B664" t="inlineStr">
        <is>
          <t>Attendee</t>
        </is>
      </c>
      <c r="C664" t="inlineStr">
        <is>
          <t>Transportation Manager</t>
        </is>
      </c>
      <c r="D664" t="inlineStr">
        <is>
          <t>Cemex</t>
        </is>
      </c>
      <c r="E664" t="inlineStr">
        <is>
          <t>United States</t>
        </is>
      </c>
      <c r="H664" t="n">
        <v>10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>
        <f>IFERROR(INDEX('Company Hitlist'!$AA:$AA,MATCH(D664,'Company Hitlist'!$A:$A,0)),)</f>
        <v/>
      </c>
      <c r="O664">
        <f>IFERROR(INDEX('Company Hitlist'!$N:$N,MATCH(D664,'Company Hitlist'!$A:$A,0)),)</f>
        <v/>
      </c>
      <c r="Q664" t="inlineStr">
        <is>
          <t>todo</t>
        </is>
      </c>
    </row>
    <row r="665">
      <c r="A665" t="inlineStr">
        <is>
          <t>Mike Logan</t>
        </is>
      </c>
      <c r="B665" t="inlineStr">
        <is>
          <t>Attendee</t>
        </is>
      </c>
      <c r="C665" t="inlineStr">
        <is>
          <t>Director Logistics</t>
        </is>
      </c>
      <c r="D665" t="inlineStr">
        <is>
          <t>CenterWell Pharmacy (Humana)</t>
        </is>
      </c>
      <c r="E665" t="inlineStr">
        <is>
          <t>United States</t>
        </is>
      </c>
      <c r="H665" t="n">
        <v>10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>
        <f>IFERROR(INDEX('Company Hitlist'!$AA:$AA,MATCH(D665,'Company Hitlist'!$A:$A,0)),)</f>
        <v/>
      </c>
      <c r="O665">
        <f>IFERROR(INDEX('Company Hitlist'!$N:$N,MATCH(D665,'Company Hitlist'!$A:$A,0)),)</f>
        <v/>
      </c>
      <c r="Q665" t="inlineStr">
        <is>
          <t>todo</t>
        </is>
      </c>
    </row>
    <row r="666">
      <c r="A666" t="inlineStr">
        <is>
          <t>Ryan Thurston</t>
        </is>
      </c>
      <c r="B666" t="inlineStr">
        <is>
          <t>Attendee</t>
        </is>
      </c>
      <c r="C666" t="inlineStr">
        <is>
          <t>National Logistics Manager</t>
        </is>
      </c>
      <c r="D666" t="inlineStr">
        <is>
          <t>Cerrowire</t>
        </is>
      </c>
      <c r="E666" t="inlineStr">
        <is>
          <t>United States</t>
        </is>
      </c>
      <c r="H666" t="n">
        <v>10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>
        <f>IFERROR(INDEX('Company Hitlist'!$AA:$AA,MATCH(D666,'Company Hitlist'!$A:$A,0)),)</f>
        <v/>
      </c>
      <c r="O666">
        <f>IFERROR(INDEX('Company Hitlist'!$N:$N,MATCH(D666,'Company Hitlist'!$A:$A,0)),)</f>
        <v/>
      </c>
      <c r="Q666" t="inlineStr">
        <is>
          <t>todo</t>
        </is>
      </c>
    </row>
    <row r="667">
      <c r="A667" t="inlineStr">
        <is>
          <t>Christopher Stayman</t>
        </is>
      </c>
      <c r="B667" t="inlineStr">
        <is>
          <t>Attendee</t>
        </is>
      </c>
      <c r="C667" t="inlineStr">
        <is>
          <t>Supply Chain Manager</t>
        </is>
      </c>
      <c r="D667" t="inlineStr">
        <is>
          <t>Champro</t>
        </is>
      </c>
      <c r="H667" t="n">
        <v>10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>
        <f>IFERROR(INDEX('Company Hitlist'!$AA:$AA,MATCH(D667,'Company Hitlist'!$A:$A,0)),)</f>
        <v/>
      </c>
      <c r="O667">
        <f>IFERROR(INDEX('Company Hitlist'!$N:$N,MATCH(D667,'Company Hitlist'!$A:$A,0)),)</f>
        <v/>
      </c>
      <c r="Q667" t="inlineStr">
        <is>
          <t>todo</t>
        </is>
      </c>
    </row>
    <row r="668">
      <c r="A668" t="inlineStr">
        <is>
          <t>Avi Kagan</t>
        </is>
      </c>
      <c r="B668" t="inlineStr">
        <is>
          <t>Attendee</t>
        </is>
      </c>
      <c r="C668" t="inlineStr">
        <is>
          <t>Director of Supply Chain</t>
        </is>
      </c>
      <c r="D668" t="inlineStr">
        <is>
          <t>Chefman</t>
        </is>
      </c>
      <c r="H668" t="n">
        <v>10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>
        <f>IFERROR(INDEX('Company Hitlist'!$AA:$AA,MATCH(D668,'Company Hitlist'!$A:$A,0)),)</f>
        <v/>
      </c>
      <c r="O668">
        <f>IFERROR(INDEX('Company Hitlist'!$N:$N,MATCH(D668,'Company Hitlist'!$A:$A,0)),)</f>
        <v/>
      </c>
      <c r="Q668" t="inlineStr">
        <is>
          <t>todo</t>
        </is>
      </c>
    </row>
    <row r="669">
      <c r="A669" t="inlineStr">
        <is>
          <t>Jonathan Rodgers</t>
        </is>
      </c>
      <c r="B669" t="inlineStr">
        <is>
          <t>Attendee</t>
        </is>
      </c>
      <c r="C669" t="inlineStr">
        <is>
          <t>Director of Fulfillment</t>
        </is>
      </c>
      <c r="D669" t="inlineStr">
        <is>
          <t>Chewy</t>
        </is>
      </c>
      <c r="F669" t="inlineStr">
        <is>
          <t>Yes</t>
        </is>
      </c>
      <c r="H669" t="n">
        <v>10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>
        <f>IFERROR(INDEX('Company Hitlist'!$AA:$AA,MATCH(D669,'Company Hitlist'!$A:$A,0)),)</f>
        <v/>
      </c>
      <c r="O669">
        <f>IFERROR(INDEX('Company Hitlist'!$N:$N,MATCH(D669,'Company Hitlist'!$A:$A,0)),)</f>
        <v/>
      </c>
      <c r="Q669" t="inlineStr">
        <is>
          <t>todo</t>
        </is>
      </c>
    </row>
    <row r="670">
      <c r="A670" t="inlineStr">
        <is>
          <t>Doug McCadden</t>
        </is>
      </c>
      <c r="B670" t="inlineStr">
        <is>
          <t>Attendee</t>
        </is>
      </c>
      <c r="C670" t="inlineStr">
        <is>
          <t>Associate Director of Supply Chain</t>
        </is>
      </c>
      <c r="D670" t="inlineStr">
        <is>
          <t>Chewy.com</t>
        </is>
      </c>
      <c r="H670" t="n">
        <v>10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>
        <f>IFERROR(INDEX('Company Hitlist'!$AA:$AA,MATCH(D670,'Company Hitlist'!$A:$A,0)),)</f>
        <v/>
      </c>
      <c r="O670">
        <f>IFERROR(INDEX('Company Hitlist'!$N:$N,MATCH(D670,'Company Hitlist'!$A:$A,0)),)</f>
        <v/>
      </c>
      <c r="Q670" t="inlineStr">
        <is>
          <t>todo</t>
        </is>
      </c>
    </row>
    <row r="671">
      <c r="A671" t="inlineStr">
        <is>
          <t>Korey Evering</t>
        </is>
      </c>
      <c r="B671" t="inlineStr">
        <is>
          <t>Attendee</t>
        </is>
      </c>
      <c r="C671" t="inlineStr">
        <is>
          <t>Manager of 3PL Operations Americas</t>
        </is>
      </c>
      <c r="D671" t="inlineStr">
        <is>
          <t>Christian Louboutin</t>
        </is>
      </c>
      <c r="H671" t="n">
        <v>10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>
        <f>IFERROR(INDEX('Company Hitlist'!$AA:$AA,MATCH(D671,'Company Hitlist'!$A:$A,0)),)</f>
        <v/>
      </c>
      <c r="O671">
        <f>IFERROR(INDEX('Company Hitlist'!$N:$N,MATCH(D671,'Company Hitlist'!$A:$A,0)),)</f>
        <v/>
      </c>
      <c r="Q671" t="inlineStr">
        <is>
          <t>todo</t>
        </is>
      </c>
    </row>
    <row r="672">
      <c r="A672" t="inlineStr">
        <is>
          <t>Samia Tebigui</t>
        </is>
      </c>
      <c r="B672" t="inlineStr">
        <is>
          <t>Attendee</t>
        </is>
      </c>
      <c r="C672" t="inlineStr">
        <is>
          <t>Senior Manager of Transportation Americas</t>
        </is>
      </c>
      <c r="D672" t="inlineStr">
        <is>
          <t>Christian Louboutin</t>
        </is>
      </c>
      <c r="H672" t="n">
        <v>10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>
        <f>IFERROR(INDEX('Company Hitlist'!$AA:$AA,MATCH(D672,'Company Hitlist'!$A:$A,0)),)</f>
        <v/>
      </c>
      <c r="O672">
        <f>IFERROR(INDEX('Company Hitlist'!$N:$N,MATCH(D672,'Company Hitlist'!$A:$A,0)),)</f>
        <v/>
      </c>
      <c r="Q672" t="inlineStr">
        <is>
          <t>todo</t>
        </is>
      </c>
    </row>
    <row r="673">
      <c r="A673" t="inlineStr">
        <is>
          <t>Erskine Smith</t>
        </is>
      </c>
      <c r="B673" t="inlineStr">
        <is>
          <t>Attendee</t>
        </is>
      </c>
      <c r="C673" t="inlineStr">
        <is>
          <t>Senior Director, Logistics</t>
        </is>
      </c>
      <c r="D673" t="inlineStr">
        <is>
          <t>Church &amp; Dwight</t>
        </is>
      </c>
      <c r="E673" t="inlineStr">
        <is>
          <t>United States</t>
        </is>
      </c>
      <c r="F673" t="inlineStr">
        <is>
          <t>Yes</t>
        </is>
      </c>
      <c r="G673" t="inlineStr">
        <is>
          <t>$5.9B (2024; projected $6.1B in 2025)</t>
        </is>
      </c>
      <c r="H673" t="n">
        <v>10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>
        <f>IFERROR(INDEX('Company Hitlist'!$AA:$AA,MATCH(D673,'Company Hitlist'!$A:$A,0)),)</f>
        <v/>
      </c>
      <c r="O673">
        <f>IFERROR(INDEX('Company Hitlist'!$N:$N,MATCH(D673,'Company Hitlist'!$A:$A,0)),)</f>
        <v/>
      </c>
      <c r="Q673" t="inlineStr">
        <is>
          <t>todo</t>
        </is>
      </c>
    </row>
    <row r="674">
      <c r="A674" t="inlineStr">
        <is>
          <t>John Williams</t>
        </is>
      </c>
      <c r="B674" t="inlineStr">
        <is>
          <t>Attendee</t>
        </is>
      </c>
      <c r="C674" t="inlineStr">
        <is>
          <t>Distribution Network Strategy &amp; Operations</t>
        </is>
      </c>
      <c r="D674" t="inlineStr">
        <is>
          <t>Church &amp; Dwight</t>
        </is>
      </c>
      <c r="F674" t="inlineStr">
        <is>
          <t>Yes</t>
        </is>
      </c>
      <c r="G674" t="inlineStr">
        <is>
          <t>$5.9B (2024; projected $6.1B in 2025)</t>
        </is>
      </c>
      <c r="H674" t="n">
        <v>10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>
        <f>IFERROR(INDEX('Company Hitlist'!$AA:$AA,MATCH(D674,'Company Hitlist'!$A:$A,0)),)</f>
        <v/>
      </c>
      <c r="O674">
        <f>IFERROR(INDEX('Company Hitlist'!$N:$N,MATCH(D674,'Company Hitlist'!$A:$A,0)),)</f>
        <v/>
      </c>
      <c r="Q674" t="inlineStr">
        <is>
          <t>todo</t>
        </is>
      </c>
    </row>
    <row r="675">
      <c r="A675" t="inlineStr">
        <is>
          <t>Roxane Lachnicht</t>
        </is>
      </c>
      <c r="B675" t="inlineStr">
        <is>
          <t>Attendee</t>
        </is>
      </c>
      <c r="C675" t="inlineStr">
        <is>
          <t>Supply Chain Leader, CPro</t>
        </is>
      </c>
      <c r="D675" t="inlineStr">
        <is>
          <t>Clorox</t>
        </is>
      </c>
      <c r="H675" t="n">
        <v>10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>
        <f>IFERROR(INDEX('Company Hitlist'!$AA:$AA,MATCH(D675,'Company Hitlist'!$A:$A,0)),)</f>
        <v/>
      </c>
      <c r="O675">
        <f>IFERROR(INDEX('Company Hitlist'!$N:$N,MATCH(D675,'Company Hitlist'!$A:$A,0)),)</f>
        <v/>
      </c>
      <c r="Q675" t="inlineStr">
        <is>
          <t>todo</t>
        </is>
      </c>
    </row>
    <row r="676">
      <c r="A676" t="inlineStr">
        <is>
          <t>Katherine Guerrero</t>
        </is>
      </c>
      <c r="B676" t="inlineStr">
        <is>
          <t>Attendee</t>
        </is>
      </c>
      <c r="C676" t="inlineStr">
        <is>
          <t>Senior Product Manager - Supply Chain &amp; Logistics</t>
        </is>
      </c>
      <c r="D676" t="inlineStr">
        <is>
          <t>Collectors</t>
        </is>
      </c>
      <c r="H676" t="n">
        <v>10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>
        <f>IFERROR(INDEX('Company Hitlist'!$AA:$AA,MATCH(D676,'Company Hitlist'!$A:$A,0)),)</f>
        <v/>
      </c>
      <c r="O676">
        <f>IFERROR(INDEX('Company Hitlist'!$N:$N,MATCH(D676,'Company Hitlist'!$A:$A,0)),)</f>
        <v/>
      </c>
      <c r="Q676" t="inlineStr">
        <is>
          <t>todo</t>
        </is>
      </c>
    </row>
    <row r="677">
      <c r="A677" t="inlineStr">
        <is>
          <t>Sean Foster</t>
        </is>
      </c>
      <c r="B677" t="inlineStr">
        <is>
          <t>Attendee</t>
        </is>
      </c>
      <c r="C677" t="inlineStr">
        <is>
          <t>Associate Director Operations</t>
        </is>
      </c>
      <c r="D677" t="inlineStr">
        <is>
          <t>Compass SCS</t>
        </is>
      </c>
      <c r="E677" t="inlineStr">
        <is>
          <t>United States</t>
        </is>
      </c>
      <c r="H677" t="n">
        <v>10</v>
      </c>
      <c r="I677" t="b">
        <v>1</v>
      </c>
      <c r="J677" t="b">
        <v>0</v>
      </c>
      <c r="K677" t="b">
        <v>0</v>
      </c>
      <c r="L677" t="b">
        <v>0</v>
      </c>
      <c r="M677" t="b">
        <v>0</v>
      </c>
      <c r="N677">
        <f>IFERROR(INDEX('Company Hitlist'!$AA:$AA,MATCH(D677,'Company Hitlist'!$A:$A,0)),)</f>
        <v/>
      </c>
      <c r="O677">
        <f>IFERROR(INDEX('Company Hitlist'!$N:$N,MATCH(D677,'Company Hitlist'!$A:$A,0)),)</f>
        <v/>
      </c>
      <c r="Q677" t="inlineStr">
        <is>
          <t>todo</t>
        </is>
      </c>
    </row>
    <row r="678">
      <c r="A678" t="inlineStr">
        <is>
          <t>Mark Hojnicki</t>
        </is>
      </c>
      <c r="B678" t="inlineStr">
        <is>
          <t>Attendee</t>
        </is>
      </c>
      <c r="C678" t="inlineStr">
        <is>
          <t>Sr. Director, Supply Chain</t>
        </is>
      </c>
      <c r="D678" t="inlineStr">
        <is>
          <t>Conagra</t>
        </is>
      </c>
      <c r="H678" t="n">
        <v>10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>
        <f>IFERROR(INDEX('Company Hitlist'!$AA:$AA,MATCH(D678,'Company Hitlist'!$A:$A,0)),)</f>
        <v/>
      </c>
      <c r="O678">
        <f>IFERROR(INDEX('Company Hitlist'!$N:$N,MATCH(D678,'Company Hitlist'!$A:$A,0)),)</f>
        <v/>
      </c>
      <c r="Q678" t="inlineStr">
        <is>
          <t>todo</t>
        </is>
      </c>
    </row>
    <row r="679">
      <c r="A679" t="inlineStr">
        <is>
          <t>James Sites</t>
        </is>
      </c>
      <c r="B679" t="inlineStr">
        <is>
          <t>Attendee</t>
        </is>
      </c>
      <c r="C679" t="inlineStr">
        <is>
          <t>Senior Supply Chain Manager</t>
        </is>
      </c>
      <c r="D679" t="inlineStr">
        <is>
          <t>Cooper Standard Automotive</t>
        </is>
      </c>
      <c r="H679" t="n">
        <v>10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>
        <f>IFERROR(INDEX('Company Hitlist'!$AA:$AA,MATCH(D679,'Company Hitlist'!$A:$A,0)),)</f>
        <v/>
      </c>
      <c r="O679">
        <f>IFERROR(INDEX('Company Hitlist'!$N:$N,MATCH(D679,'Company Hitlist'!$A:$A,0)),)</f>
        <v/>
      </c>
      <c r="Q679" t="inlineStr">
        <is>
          <t>todo</t>
        </is>
      </c>
    </row>
    <row r="680">
      <c r="A680" t="inlineStr">
        <is>
          <t>Juan Felipe Sandoval</t>
        </is>
      </c>
      <c r="B680" t="inlineStr">
        <is>
          <t>Attendee</t>
        </is>
      </c>
      <c r="C680" t="inlineStr">
        <is>
          <t>Logistics Manager Northern Region</t>
        </is>
      </c>
      <c r="D680" t="inlineStr">
        <is>
          <t>Corona Companies</t>
        </is>
      </c>
      <c r="E680" t="inlineStr">
        <is>
          <t>Mexico</t>
        </is>
      </c>
      <c r="H680" t="n">
        <v>10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>
        <f>IFERROR(INDEX('Company Hitlist'!$AA:$AA,MATCH(D680,'Company Hitlist'!$A:$A,0)),)</f>
        <v/>
      </c>
      <c r="O680">
        <f>IFERROR(INDEX('Company Hitlist'!$N:$N,MATCH(D680,'Company Hitlist'!$A:$A,0)),)</f>
        <v/>
      </c>
      <c r="Q680" t="inlineStr">
        <is>
          <t>todo</t>
        </is>
      </c>
    </row>
    <row r="681">
      <c r="A681" t="inlineStr">
        <is>
          <t>Scott Wibert</t>
        </is>
      </c>
      <c r="B681" t="inlineStr">
        <is>
          <t>Attendee</t>
        </is>
      </c>
      <c r="C681" t="inlineStr">
        <is>
          <t>Supply Chain SA/Security</t>
        </is>
      </c>
      <c r="D681" t="inlineStr">
        <is>
          <t>Costco</t>
        </is>
      </c>
      <c r="H681" t="n">
        <v>10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>
        <f>IFERROR(INDEX('Company Hitlist'!$AA:$AA,MATCH(D681,'Company Hitlist'!$A:$A,0)),)</f>
        <v/>
      </c>
      <c r="O681">
        <f>IFERROR(INDEX('Company Hitlist'!$N:$N,MATCH(D681,'Company Hitlist'!$A:$A,0)),)</f>
        <v/>
      </c>
      <c r="Q681" t="inlineStr">
        <is>
          <t>todo</t>
        </is>
      </c>
    </row>
    <row r="682">
      <c r="A682" t="inlineStr">
        <is>
          <t>Mark Coady</t>
        </is>
      </c>
      <c r="B682" t="inlineStr">
        <is>
          <t>Attendee</t>
        </is>
      </c>
      <c r="C682" t="inlineStr">
        <is>
          <t>Director Land Transportation</t>
        </is>
      </c>
      <c r="D682" t="inlineStr">
        <is>
          <t>Crowley Logistics</t>
        </is>
      </c>
      <c r="E682" t="inlineStr">
        <is>
          <t>United States</t>
        </is>
      </c>
      <c r="F682" t="inlineStr">
        <is>
          <t>Yes</t>
        </is>
      </c>
      <c r="H682" t="n">
        <v>10</v>
      </c>
      <c r="I682" t="b">
        <v>1</v>
      </c>
      <c r="J682" t="b">
        <v>0</v>
      </c>
      <c r="K682" t="b">
        <v>0</v>
      </c>
      <c r="L682" t="b">
        <v>0</v>
      </c>
      <c r="M682" t="b">
        <v>0</v>
      </c>
      <c r="N682">
        <f>IFERROR(INDEX('Company Hitlist'!$AA:$AA,MATCH(D682,'Company Hitlist'!$A:$A,0)),)</f>
        <v/>
      </c>
      <c r="O682">
        <f>IFERROR(INDEX('Company Hitlist'!$N:$N,MATCH(D682,'Company Hitlist'!$A:$A,0)),)</f>
        <v/>
      </c>
      <c r="Q682" t="inlineStr">
        <is>
          <t>todo</t>
        </is>
      </c>
    </row>
    <row r="683">
      <c r="A683" t="inlineStr">
        <is>
          <t>Martha Galvez</t>
        </is>
      </c>
      <c r="B683" t="inlineStr">
        <is>
          <t>Attendee</t>
        </is>
      </c>
      <c r="C683" t="inlineStr">
        <is>
          <t>International Trade &amp; Logistics</t>
        </is>
      </c>
      <c r="D683" t="inlineStr">
        <is>
          <t>Crown Cork &amp; Seal</t>
        </is>
      </c>
      <c r="H683" t="n">
        <v>10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>
        <f>IFERROR(INDEX('Company Hitlist'!$AA:$AA,MATCH(D683,'Company Hitlist'!$A:$A,0)),)</f>
        <v/>
      </c>
      <c r="O683">
        <f>IFERROR(INDEX('Company Hitlist'!$N:$N,MATCH(D683,'Company Hitlist'!$A:$A,0)),)</f>
        <v/>
      </c>
      <c r="Q683" t="inlineStr">
        <is>
          <t>todo</t>
        </is>
      </c>
    </row>
    <row r="684">
      <c r="A684" t="inlineStr">
        <is>
          <t>William Murray</t>
        </is>
      </c>
      <c r="B684" t="inlineStr">
        <is>
          <t>Attendee</t>
        </is>
      </c>
      <c r="C684" t="inlineStr">
        <is>
          <t>Director of Warehouse and Transportation</t>
        </is>
      </c>
      <c r="D684" t="inlineStr">
        <is>
          <t>Crown Cork &amp; Seal</t>
        </is>
      </c>
      <c r="H684" t="n">
        <v>10</v>
      </c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>
        <f>IFERROR(INDEX('Company Hitlist'!$AA:$AA,MATCH(D684,'Company Hitlist'!$A:$A,0)),)</f>
        <v/>
      </c>
      <c r="O684">
        <f>IFERROR(INDEX('Company Hitlist'!$N:$N,MATCH(D684,'Company Hitlist'!$A:$A,0)),)</f>
        <v/>
      </c>
      <c r="Q684" t="inlineStr">
        <is>
          <t>todo</t>
        </is>
      </c>
    </row>
    <row r="685">
      <c r="A685" t="inlineStr">
        <is>
          <t>Clayton Brock</t>
        </is>
      </c>
      <c r="B685" t="inlineStr">
        <is>
          <t>Attendee</t>
        </is>
      </c>
      <c r="C685" t="inlineStr">
        <is>
          <t>V.P. Of Transportation Services</t>
        </is>
      </c>
      <c r="D685" t="inlineStr">
        <is>
          <t>Culinary Logistics</t>
        </is>
      </c>
      <c r="F685" t="inlineStr">
        <is>
          <t>Yes</t>
        </is>
      </c>
      <c r="H685" t="n">
        <v>10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>
        <f>IFERROR(INDEX('Company Hitlist'!$AA:$AA,MATCH(D685,'Company Hitlist'!$A:$A,0)),)</f>
        <v/>
      </c>
      <c r="O685">
        <f>IFERROR(INDEX('Company Hitlist'!$N:$N,MATCH(D685,'Company Hitlist'!$A:$A,0)),)</f>
        <v/>
      </c>
      <c r="Q685" t="inlineStr">
        <is>
          <t>todo</t>
        </is>
      </c>
    </row>
    <row r="686">
      <c r="A686" t="inlineStr">
        <is>
          <t>George Kelly</t>
        </is>
      </c>
      <c r="B686" t="inlineStr">
        <is>
          <t>Attendee</t>
        </is>
      </c>
      <c r="C686" t="inlineStr">
        <is>
          <t>Sr. Director Supply Chain</t>
        </is>
      </c>
      <c r="D686" t="inlineStr">
        <is>
          <t>DFA</t>
        </is>
      </c>
      <c r="H686" t="n">
        <v>10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>
        <f>IFERROR(INDEX('Company Hitlist'!$AA:$AA,MATCH(D686,'Company Hitlist'!$A:$A,0)),)</f>
        <v/>
      </c>
      <c r="O686">
        <f>IFERROR(INDEX('Company Hitlist'!$N:$N,MATCH(D686,'Company Hitlist'!$A:$A,0)),)</f>
        <v/>
      </c>
      <c r="Q686" t="inlineStr">
        <is>
          <t>todo</t>
        </is>
      </c>
    </row>
    <row r="687">
      <c r="A687" t="inlineStr">
        <is>
          <t>Scott Roberts</t>
        </is>
      </c>
      <c r="B687" t="inlineStr">
        <is>
          <t>Attendee</t>
        </is>
      </c>
      <c r="C687" t="inlineStr">
        <is>
          <t>Sr. Director of Operations</t>
        </is>
      </c>
      <c r="D687" t="inlineStr">
        <is>
          <t>DHL Supply Chain</t>
        </is>
      </c>
      <c r="E687" t="inlineStr">
        <is>
          <t>United States</t>
        </is>
      </c>
      <c r="F687" t="inlineStr">
        <is>
          <t>Yes</t>
        </is>
      </c>
      <c r="G687" t="inlineStr">
        <is>
          <t>$80B (2024; projected $82B in 2025)</t>
        </is>
      </c>
      <c r="H687" t="n">
        <v>10</v>
      </c>
      <c r="I687" t="b">
        <v>1</v>
      </c>
      <c r="J687" t="b">
        <v>0</v>
      </c>
      <c r="K687" t="b">
        <v>0</v>
      </c>
      <c r="L687" t="b">
        <v>0</v>
      </c>
      <c r="M687" t="b">
        <v>0</v>
      </c>
      <c r="N687">
        <f>IFERROR(INDEX('Company Hitlist'!$AA:$AA,MATCH(D687,'Company Hitlist'!$A:$A,0)),)</f>
        <v/>
      </c>
      <c r="O687">
        <f>IFERROR(INDEX('Company Hitlist'!$N:$N,MATCH(D687,'Company Hitlist'!$A:$A,0)),)</f>
        <v/>
      </c>
      <c r="Q687" t="inlineStr">
        <is>
          <t>todo</t>
        </is>
      </c>
    </row>
    <row r="688">
      <c r="A688" t="inlineStr">
        <is>
          <t>Daniel Bergman</t>
        </is>
      </c>
      <c r="B688" t="inlineStr">
        <is>
          <t>Attendee</t>
        </is>
      </c>
      <c r="C688" t="inlineStr">
        <is>
          <t>CCO Contract Logistics</t>
        </is>
      </c>
      <c r="D688" t="inlineStr">
        <is>
          <t>DSV</t>
        </is>
      </c>
      <c r="E688" t="inlineStr">
        <is>
          <t>United States</t>
        </is>
      </c>
      <c r="F688" t="inlineStr">
        <is>
          <t>Yes</t>
        </is>
      </c>
      <c r="H688" t="n">
        <v>10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>
        <f>IFERROR(INDEX('Company Hitlist'!$AA:$AA,MATCH(D688,'Company Hitlist'!$A:$A,0)),)</f>
        <v/>
      </c>
      <c r="O688">
        <f>IFERROR(INDEX('Company Hitlist'!$N:$N,MATCH(D688,'Company Hitlist'!$A:$A,0)),)</f>
        <v/>
      </c>
      <c r="Q688" t="inlineStr">
        <is>
          <t>todo</t>
        </is>
      </c>
    </row>
    <row r="689">
      <c r="A689" t="inlineStr">
        <is>
          <t>Brian Blough</t>
        </is>
      </c>
      <c r="B689" t="inlineStr">
        <is>
          <t>Attendee</t>
        </is>
      </c>
      <c r="C689" t="inlineStr">
        <is>
          <t>Director, Logistics Automation</t>
        </is>
      </c>
      <c r="D689" t="inlineStr">
        <is>
          <t>Dairy Famers of America</t>
        </is>
      </c>
      <c r="H689" t="n">
        <v>10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>
        <f>IFERROR(INDEX('Company Hitlist'!$AA:$AA,MATCH(D689,'Company Hitlist'!$A:$A,0)),)</f>
        <v/>
      </c>
      <c r="O689">
        <f>IFERROR(INDEX('Company Hitlist'!$N:$N,MATCH(D689,'Company Hitlist'!$A:$A,0)),)</f>
        <v/>
      </c>
      <c r="Q689" t="inlineStr">
        <is>
          <t>todo</t>
        </is>
      </c>
    </row>
    <row r="690">
      <c r="A690" t="inlineStr">
        <is>
          <t>Frank Vandy</t>
        </is>
      </c>
      <c r="B690" t="inlineStr">
        <is>
          <t>Attendee</t>
        </is>
      </c>
      <c r="C690" t="inlineStr">
        <is>
          <t>Director, Logistics</t>
        </is>
      </c>
      <c r="D690" t="inlineStr">
        <is>
          <t>Dairy Famers of America</t>
        </is>
      </c>
      <c r="H690" t="n">
        <v>10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>
        <f>IFERROR(INDEX('Company Hitlist'!$AA:$AA,MATCH(D690,'Company Hitlist'!$A:$A,0)),)</f>
        <v/>
      </c>
      <c r="O690">
        <f>IFERROR(INDEX('Company Hitlist'!$N:$N,MATCH(D690,'Company Hitlist'!$A:$A,0)),)</f>
        <v/>
      </c>
      <c r="Q690" t="inlineStr">
        <is>
          <t>todo</t>
        </is>
      </c>
    </row>
    <row r="691">
      <c r="A691" t="inlineStr">
        <is>
          <t>Matt Hogan</t>
        </is>
      </c>
      <c r="B691" t="inlineStr">
        <is>
          <t>Attendee</t>
        </is>
      </c>
      <c r="C691" t="inlineStr">
        <is>
          <t>St. Director Supply Chain</t>
        </is>
      </c>
      <c r="D691" t="inlineStr">
        <is>
          <t>Dairy Famers of America</t>
        </is>
      </c>
      <c r="H691" t="n">
        <v>10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>
        <f>IFERROR(INDEX('Company Hitlist'!$AA:$AA,MATCH(D691,'Company Hitlist'!$A:$A,0)),)</f>
        <v/>
      </c>
      <c r="O691">
        <f>IFERROR(INDEX('Company Hitlist'!$N:$N,MATCH(D691,'Company Hitlist'!$A:$A,0)),)</f>
        <v/>
      </c>
      <c r="Q691" t="inlineStr">
        <is>
          <t>todo</t>
        </is>
      </c>
    </row>
    <row r="692">
      <c r="A692" t="inlineStr">
        <is>
          <t>Toby Weir</t>
        </is>
      </c>
      <c r="B692" t="inlineStr">
        <is>
          <t>Attendee</t>
        </is>
      </c>
      <c r="C692" t="inlineStr">
        <is>
          <t>Sr. Director of Operations</t>
        </is>
      </c>
      <c r="D692" t="inlineStr">
        <is>
          <t>Danby</t>
        </is>
      </c>
      <c r="H692" t="n">
        <v>10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>
        <f>IFERROR(INDEX('Company Hitlist'!$AA:$AA,MATCH(D692,'Company Hitlist'!$A:$A,0)),)</f>
        <v/>
      </c>
      <c r="O692">
        <f>IFERROR(INDEX('Company Hitlist'!$N:$N,MATCH(D692,'Company Hitlist'!$A:$A,0)),)</f>
        <v/>
      </c>
      <c r="Q692" t="inlineStr">
        <is>
          <t>todo</t>
        </is>
      </c>
    </row>
    <row r="693">
      <c r="A693" t="inlineStr">
        <is>
          <t>Linelle Palmer</t>
        </is>
      </c>
      <c r="B693" t="inlineStr">
        <is>
          <t>Attendee</t>
        </is>
      </c>
      <c r="C693" t="inlineStr">
        <is>
          <t>Customs and Logistics Manager</t>
        </is>
      </c>
      <c r="D693" t="inlineStr">
        <is>
          <t>Danby Appliances</t>
        </is>
      </c>
      <c r="H693" t="n">
        <v>10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>
        <f>IFERROR(INDEX('Company Hitlist'!$AA:$AA,MATCH(D693,'Company Hitlist'!$A:$A,0)),)</f>
        <v/>
      </c>
      <c r="O693">
        <f>IFERROR(INDEX('Company Hitlist'!$N:$N,MATCH(D693,'Company Hitlist'!$A:$A,0)),)</f>
        <v/>
      </c>
      <c r="Q693" t="inlineStr">
        <is>
          <t>todo</t>
        </is>
      </c>
    </row>
    <row r="694">
      <c r="A694" t="inlineStr">
        <is>
          <t>Victoria Hu</t>
        </is>
      </c>
      <c r="B694" t="inlineStr">
        <is>
          <t>Attendee</t>
        </is>
      </c>
      <c r="C694" t="inlineStr">
        <is>
          <t>Operations</t>
        </is>
      </c>
      <c r="D694" t="inlineStr">
        <is>
          <t>Dandy</t>
        </is>
      </c>
      <c r="F694" t="inlineStr">
        <is>
          <t>Yes</t>
        </is>
      </c>
      <c r="H694" t="n">
        <v>10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>
        <f>IFERROR(INDEX('Company Hitlist'!$AA:$AA,MATCH(D694,'Company Hitlist'!$A:$A,0)),)</f>
        <v/>
      </c>
      <c r="O694">
        <f>IFERROR(INDEX('Company Hitlist'!$N:$N,MATCH(D694,'Company Hitlist'!$A:$A,0)),)</f>
        <v/>
      </c>
      <c r="Q694" t="inlineStr">
        <is>
          <t>todo</t>
        </is>
      </c>
    </row>
    <row r="695">
      <c r="A695" t="inlineStr">
        <is>
          <t>Lori Lammers</t>
        </is>
      </c>
      <c r="B695" t="inlineStr">
        <is>
          <t>Attendee</t>
        </is>
      </c>
      <c r="C695" t="inlineStr">
        <is>
          <t>Senior Director, Transportation and Distribution Support</t>
        </is>
      </c>
      <c r="D695" t="inlineStr">
        <is>
          <t>Dawn Foods</t>
        </is>
      </c>
      <c r="F695" t="inlineStr">
        <is>
          <t>Yes</t>
        </is>
      </c>
      <c r="H695" t="n">
        <v>10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>
        <f>IFERROR(INDEX('Company Hitlist'!$AA:$AA,MATCH(D695,'Company Hitlist'!$A:$A,0)),)</f>
        <v/>
      </c>
      <c r="O695">
        <f>IFERROR(INDEX('Company Hitlist'!$N:$N,MATCH(D695,'Company Hitlist'!$A:$A,0)),)</f>
        <v/>
      </c>
      <c r="Q695" t="inlineStr">
        <is>
          <t>todo</t>
        </is>
      </c>
    </row>
    <row r="696">
      <c r="A696" t="inlineStr">
        <is>
          <t>Arturo Guajardo</t>
        </is>
      </c>
      <c r="B696" t="inlineStr">
        <is>
          <t>Attendee</t>
        </is>
      </c>
      <c r="C696" t="inlineStr">
        <is>
          <t>Director Logistics &amp; Transportation</t>
        </is>
      </c>
      <c r="D696" t="inlineStr">
        <is>
          <t>Deacero</t>
        </is>
      </c>
      <c r="H696" t="n">
        <v>10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>
        <f>IFERROR(INDEX('Company Hitlist'!$AA:$AA,MATCH(D696,'Company Hitlist'!$A:$A,0)),)</f>
        <v/>
      </c>
      <c r="O696">
        <f>IFERROR(INDEX('Company Hitlist'!$N:$N,MATCH(D696,'Company Hitlist'!$A:$A,0)),)</f>
        <v/>
      </c>
      <c r="Q696" t="inlineStr">
        <is>
          <t>todo</t>
        </is>
      </c>
    </row>
    <row r="697">
      <c r="A697" t="inlineStr">
        <is>
          <t>Vikas Vashisht</t>
        </is>
      </c>
      <c r="B697" t="inlineStr">
        <is>
          <t>Attendee</t>
        </is>
      </c>
      <c r="C697" t="inlineStr">
        <is>
          <t>Managing Director - Supply Chain</t>
        </is>
      </c>
      <c r="D697" t="inlineStr">
        <is>
          <t>Deloitte Consulting LLC</t>
        </is>
      </c>
      <c r="E697" t="inlineStr">
        <is>
          <t>United States</t>
        </is>
      </c>
      <c r="H697" t="n">
        <v>10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>
        <f>IFERROR(INDEX('Company Hitlist'!$AA:$AA,MATCH(D697,'Company Hitlist'!$A:$A,0)),)</f>
        <v/>
      </c>
      <c r="O697">
        <f>IFERROR(INDEX('Company Hitlist'!$N:$N,MATCH(D697,'Company Hitlist'!$A:$A,0)),)</f>
        <v/>
      </c>
      <c r="Q697" t="inlineStr">
        <is>
          <t>todo</t>
        </is>
      </c>
    </row>
    <row r="698">
      <c r="A698" t="inlineStr">
        <is>
          <t>Jason Brown</t>
        </is>
      </c>
      <c r="B698" t="inlineStr">
        <is>
          <t>Attendee</t>
        </is>
      </c>
      <c r="C698" t="inlineStr">
        <is>
          <t>Director Logistics &amp; Warehousing</t>
        </is>
      </c>
      <c r="D698" t="inlineStr">
        <is>
          <t>Dermalogica</t>
        </is>
      </c>
      <c r="F698" t="inlineStr">
        <is>
          <t>Yes</t>
        </is>
      </c>
      <c r="H698" t="n">
        <v>10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>
        <f>IFERROR(INDEX('Company Hitlist'!$AA:$AA,MATCH(D698,'Company Hitlist'!$A:$A,0)),)</f>
        <v/>
      </c>
      <c r="O698">
        <f>IFERROR(INDEX('Company Hitlist'!$N:$N,MATCH(D698,'Company Hitlist'!$A:$A,0)),)</f>
        <v/>
      </c>
      <c r="Q698" t="inlineStr">
        <is>
          <t>todo</t>
        </is>
      </c>
    </row>
    <row r="699">
      <c r="A699" t="inlineStr">
        <is>
          <t>Ashley Deleonardis</t>
        </is>
      </c>
      <c r="B699" t="inlineStr">
        <is>
          <t>Attendee</t>
        </is>
      </c>
      <c r="C699" t="inlineStr">
        <is>
          <t>Supply Chain Process Architect</t>
        </is>
      </c>
      <c r="D699" t="inlineStr">
        <is>
          <t>Dermalogica</t>
        </is>
      </c>
      <c r="H699" t="n">
        <v>10</v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>
        <f>IFERROR(INDEX('Company Hitlist'!$AA:$AA,MATCH(D699,'Company Hitlist'!$A:$A,0)),)</f>
        <v/>
      </c>
      <c r="O699">
        <f>IFERROR(INDEX('Company Hitlist'!$N:$N,MATCH(D699,'Company Hitlist'!$A:$A,0)),)</f>
        <v/>
      </c>
      <c r="Q699" t="inlineStr">
        <is>
          <t>todo</t>
        </is>
      </c>
    </row>
    <row r="700">
      <c r="A700" t="inlineStr">
        <is>
          <t>Michael Ross</t>
        </is>
      </c>
      <c r="B700" t="inlineStr">
        <is>
          <t>Attendee</t>
        </is>
      </c>
      <c r="C700" t="inlineStr">
        <is>
          <t>Director Supply Chain</t>
        </is>
      </c>
      <c r="D700" t="inlineStr">
        <is>
          <t>Detroit Manufacturing Systems</t>
        </is>
      </c>
      <c r="E700" t="inlineStr">
        <is>
          <t>United States</t>
        </is>
      </c>
      <c r="H700" t="n">
        <v>10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>
        <f>IFERROR(INDEX('Company Hitlist'!$AA:$AA,MATCH(D700,'Company Hitlist'!$A:$A,0)),)</f>
        <v/>
      </c>
      <c r="O700">
        <f>IFERROR(INDEX('Company Hitlist'!$N:$N,MATCH(D700,'Company Hitlist'!$A:$A,0)),)</f>
        <v/>
      </c>
      <c r="Q700" t="inlineStr">
        <is>
          <t>todo</t>
        </is>
      </c>
    </row>
    <row r="701">
      <c r="A701" t="inlineStr">
        <is>
          <t>David Wright</t>
        </is>
      </c>
      <c r="B701" t="inlineStr">
        <is>
          <t>Attendee</t>
        </is>
      </c>
      <c r="C701" t="inlineStr">
        <is>
          <t>SUPPLY CHAIN SUPERINTENDENT</t>
        </is>
      </c>
      <c r="D701" t="inlineStr">
        <is>
          <t>Detroit Manufacturing Systems</t>
        </is>
      </c>
      <c r="H701" t="n">
        <v>10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>
        <f>IFERROR(INDEX('Company Hitlist'!$AA:$AA,MATCH(D701,'Company Hitlist'!$A:$A,0)),)</f>
        <v/>
      </c>
      <c r="O701">
        <f>IFERROR(INDEX('Company Hitlist'!$N:$N,MATCH(D701,'Company Hitlist'!$A:$A,0)),)</f>
        <v/>
      </c>
      <c r="Q701" t="inlineStr">
        <is>
          <t>todo</t>
        </is>
      </c>
    </row>
    <row r="702">
      <c r="A702" t="inlineStr">
        <is>
          <t>Jasjeet Singh</t>
        </is>
      </c>
      <c r="B702" t="inlineStr">
        <is>
          <t>Attendee</t>
        </is>
      </c>
      <c r="C702" t="inlineStr">
        <is>
          <t>Supply Chain Manager</t>
        </is>
      </c>
      <c r="D702" t="inlineStr">
        <is>
          <t>Detroit Manufacturing Systems</t>
        </is>
      </c>
      <c r="H702" t="n">
        <v>10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>
        <f>IFERROR(INDEX('Company Hitlist'!$AA:$AA,MATCH(D702,'Company Hitlist'!$A:$A,0)),)</f>
        <v/>
      </c>
      <c r="O702">
        <f>IFERROR(INDEX('Company Hitlist'!$N:$N,MATCH(D702,'Company Hitlist'!$A:$A,0)),)</f>
        <v/>
      </c>
      <c r="Q702" t="inlineStr">
        <is>
          <t>todo</t>
        </is>
      </c>
    </row>
    <row r="703">
      <c r="A703" t="inlineStr">
        <is>
          <t>Raed Slewa</t>
        </is>
      </c>
      <c r="B703" t="inlineStr">
        <is>
          <t>Attendee</t>
        </is>
      </c>
      <c r="C703" t="inlineStr">
        <is>
          <t>Supply chain Manager</t>
        </is>
      </c>
      <c r="D703" t="inlineStr">
        <is>
          <t>Detroit Manufacturing Systems</t>
        </is>
      </c>
      <c r="H703" t="n">
        <v>10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>
        <f>IFERROR(INDEX('Company Hitlist'!$AA:$AA,MATCH(D703,'Company Hitlist'!$A:$A,0)),)</f>
        <v/>
      </c>
      <c r="O703">
        <f>IFERROR(INDEX('Company Hitlist'!$N:$N,MATCH(D703,'Company Hitlist'!$A:$A,0)),)</f>
        <v/>
      </c>
      <c r="Q703" t="inlineStr">
        <is>
          <t>todo</t>
        </is>
      </c>
    </row>
    <row r="704">
      <c r="A704" t="inlineStr">
        <is>
          <t>Chad Stricklin</t>
        </is>
      </c>
      <c r="B704" t="inlineStr">
        <is>
          <t>Attendee</t>
        </is>
      </c>
      <c r="C704" t="inlineStr">
        <is>
          <t>Global Operations Optimization</t>
        </is>
      </c>
      <c r="D704" t="inlineStr">
        <is>
          <t>Disney</t>
        </is>
      </c>
      <c r="F704" t="inlineStr">
        <is>
          <t>Yes</t>
        </is>
      </c>
      <c r="H704" t="n">
        <v>10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>
        <f>IFERROR(INDEX('Company Hitlist'!$AA:$AA,MATCH(D704,'Company Hitlist'!$A:$A,0)),)</f>
        <v/>
      </c>
      <c r="O704">
        <f>IFERROR(INDEX('Company Hitlist'!$N:$N,MATCH(D704,'Company Hitlist'!$A:$A,0)),)</f>
        <v/>
      </c>
      <c r="Q704" t="inlineStr">
        <is>
          <t>todo</t>
        </is>
      </c>
    </row>
    <row r="705">
      <c r="A705" t="inlineStr">
        <is>
          <t>Tim Gramlich</t>
        </is>
      </c>
      <c r="B705" t="inlineStr">
        <is>
          <t>Attendee</t>
        </is>
      </c>
      <c r="C705" t="inlineStr">
        <is>
          <t>Director of Transportation</t>
        </is>
      </c>
      <c r="D705" t="inlineStr">
        <is>
          <t>Distribution Management</t>
        </is>
      </c>
      <c r="F705" t="inlineStr">
        <is>
          <t>Yes</t>
        </is>
      </c>
      <c r="G705" t="inlineStr">
        <is>
          <t>800000000</t>
        </is>
      </c>
      <c r="H705" t="n">
        <v>10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>
        <f>IFERROR(INDEX('Company Hitlist'!$AA:$AA,MATCH(D705,'Company Hitlist'!$A:$A,0)),)</f>
        <v/>
      </c>
      <c r="O705">
        <f>IFERROR(INDEX('Company Hitlist'!$N:$N,MATCH(D705,'Company Hitlist'!$A:$A,0)),)</f>
        <v/>
      </c>
      <c r="Q705" t="inlineStr">
        <is>
          <t>todo</t>
        </is>
      </c>
    </row>
    <row r="706">
      <c r="A706" t="inlineStr">
        <is>
          <t>Leroy Scott</t>
        </is>
      </c>
      <c r="B706" t="inlineStr">
        <is>
          <t>Attendee</t>
        </is>
      </c>
      <c r="C706" t="inlineStr">
        <is>
          <t>Operations Specialist</t>
        </is>
      </c>
      <c r="D706" t="inlineStr">
        <is>
          <t>Distributors Terminal</t>
        </is>
      </c>
      <c r="E706" t="inlineStr">
        <is>
          <t>United States</t>
        </is>
      </c>
      <c r="F706" t="inlineStr">
        <is>
          <t>Yes</t>
        </is>
      </c>
      <c r="H706" t="n">
        <v>10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>
        <f>IFERROR(INDEX('Company Hitlist'!$AA:$AA,MATCH(D706,'Company Hitlist'!$A:$A,0)),)</f>
        <v/>
      </c>
      <c r="O706">
        <f>IFERROR(INDEX('Company Hitlist'!$N:$N,MATCH(D706,'Company Hitlist'!$A:$A,0)),)</f>
        <v/>
      </c>
      <c r="Q706" t="inlineStr">
        <is>
          <t>todo</t>
        </is>
      </c>
    </row>
    <row r="707">
      <c r="A707" t="inlineStr">
        <is>
          <t>John Morgan</t>
        </is>
      </c>
      <c r="B707" t="inlineStr">
        <is>
          <t>Attendee</t>
        </is>
      </c>
      <c r="C707" t="inlineStr">
        <is>
          <t>Senior Logistics Manager</t>
        </is>
      </c>
      <c r="D707" t="inlineStr">
        <is>
          <t>Dollar General</t>
        </is>
      </c>
      <c r="E707" t="inlineStr">
        <is>
          <t>United States</t>
        </is>
      </c>
      <c r="H707" t="n">
        <v>10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>
        <f>IFERROR(INDEX('Company Hitlist'!$AA:$AA,MATCH(D707,'Company Hitlist'!$A:$A,0)),)</f>
        <v/>
      </c>
      <c r="O707">
        <f>IFERROR(INDEX('Company Hitlist'!$N:$N,MATCH(D707,'Company Hitlist'!$A:$A,0)),)</f>
        <v/>
      </c>
      <c r="Q707" t="inlineStr">
        <is>
          <t>todo</t>
        </is>
      </c>
    </row>
    <row r="708">
      <c r="A708" t="inlineStr">
        <is>
          <t>Blake Reasons</t>
        </is>
      </c>
      <c r="B708" t="inlineStr">
        <is>
          <t>Attendee</t>
        </is>
      </c>
      <c r="C708" t="inlineStr">
        <is>
          <t>Sr. Director, Domestic Inbound</t>
        </is>
      </c>
      <c r="D708" t="inlineStr">
        <is>
          <t>Dollar General Corp.</t>
        </is>
      </c>
      <c r="E708" t="inlineStr">
        <is>
          <t>United States</t>
        </is>
      </c>
      <c r="F708" t="inlineStr">
        <is>
          <t>Yes</t>
        </is>
      </c>
      <c r="H708" t="n">
        <v>10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>
        <f>IFERROR(INDEX('Company Hitlist'!$AA:$AA,MATCH(D708,'Company Hitlist'!$A:$A,0)),)</f>
        <v/>
      </c>
      <c r="O708">
        <f>IFERROR(INDEX('Company Hitlist'!$N:$N,MATCH(D708,'Company Hitlist'!$A:$A,0)),)</f>
        <v/>
      </c>
      <c r="Q708" t="inlineStr">
        <is>
          <t>todo</t>
        </is>
      </c>
    </row>
    <row r="709">
      <c r="A709" t="inlineStr">
        <is>
          <t>Paul Preston</t>
        </is>
      </c>
      <c r="B709" t="inlineStr">
        <is>
          <t>Attendee</t>
        </is>
      </c>
      <c r="C709" t="inlineStr">
        <is>
          <t>Director, NA Road Logistics</t>
        </is>
      </c>
      <c r="D709" t="inlineStr">
        <is>
          <t>Dow</t>
        </is>
      </c>
      <c r="H709" t="n">
        <v>10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>
        <f>IFERROR(INDEX('Company Hitlist'!$AA:$AA,MATCH(D709,'Company Hitlist'!$A:$A,0)),)</f>
        <v/>
      </c>
      <c r="O709">
        <f>IFERROR(INDEX('Company Hitlist'!$N:$N,MATCH(D709,'Company Hitlist'!$A:$A,0)),)</f>
        <v/>
      </c>
      <c r="Q709" t="inlineStr">
        <is>
          <t>todo</t>
        </is>
      </c>
    </row>
    <row r="710">
      <c r="A710" t="inlineStr">
        <is>
          <t>Jason Welsh</t>
        </is>
      </c>
      <c r="B710" t="inlineStr">
        <is>
          <t>Attendee</t>
        </is>
      </c>
      <c r="C710" t="inlineStr">
        <is>
          <t>Sr. Manager, DTC Fulfillment</t>
        </is>
      </c>
      <c r="D710" t="inlineStr">
        <is>
          <t>Dr. Squatch</t>
        </is>
      </c>
      <c r="E710" t="inlineStr">
        <is>
          <t>United States</t>
        </is>
      </c>
      <c r="H710" t="n">
        <v>10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>
        <f>IFERROR(INDEX('Company Hitlist'!$AA:$AA,MATCH(D710,'Company Hitlist'!$A:$A,0)),)</f>
        <v/>
      </c>
      <c r="O710">
        <f>IFERROR(INDEX('Company Hitlist'!$N:$N,MATCH(D710,'Company Hitlist'!$A:$A,0)),)</f>
        <v/>
      </c>
      <c r="Q710" t="inlineStr">
        <is>
          <t>todo</t>
        </is>
      </c>
    </row>
    <row r="711">
      <c r="A711" t="inlineStr">
        <is>
          <t>Jon Mattison</t>
        </is>
      </c>
      <c r="B711" t="inlineStr">
        <is>
          <t>Attendee</t>
        </is>
      </c>
      <c r="C711" t="inlineStr">
        <is>
          <t>Sr Manager - Operations Strategy</t>
        </is>
      </c>
      <c r="D711" t="inlineStr">
        <is>
          <t>E&amp;J Gallo Winery</t>
        </is>
      </c>
      <c r="H711" t="n">
        <v>10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>
        <f>IFERROR(INDEX('Company Hitlist'!$AA:$AA,MATCH(D711,'Company Hitlist'!$A:$A,0)),)</f>
        <v/>
      </c>
      <c r="O711">
        <f>IFERROR(INDEX('Company Hitlist'!$N:$N,MATCH(D711,'Company Hitlist'!$A:$A,0)),)</f>
        <v/>
      </c>
      <c r="Q711" t="inlineStr">
        <is>
          <t>todo</t>
        </is>
      </c>
    </row>
    <row r="712">
      <c r="A712" t="inlineStr">
        <is>
          <t>Immanuel Lanuza</t>
        </is>
      </c>
      <c r="B712" t="inlineStr">
        <is>
          <t>Attendee</t>
        </is>
      </c>
      <c r="C712" t="inlineStr">
        <is>
          <t>Logistics Operations Manager</t>
        </is>
      </c>
      <c r="D712" t="inlineStr">
        <is>
          <t>E&amp;S International Enterprises, Inc.</t>
        </is>
      </c>
      <c r="H712" t="n">
        <v>10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>
        <f>IFERROR(INDEX('Company Hitlist'!$AA:$AA,MATCH(D712,'Company Hitlist'!$A:$A,0)),)</f>
        <v/>
      </c>
      <c r="O712">
        <f>IFERROR(INDEX('Company Hitlist'!$N:$N,MATCH(D712,'Company Hitlist'!$A:$A,0)),)</f>
        <v/>
      </c>
      <c r="Q712" t="inlineStr">
        <is>
          <t>todo</t>
        </is>
      </c>
    </row>
    <row r="713">
      <c r="A713" t="inlineStr">
        <is>
          <t>Frances Holmberg</t>
        </is>
      </c>
      <c r="B713" t="inlineStr">
        <is>
          <t>Attendee</t>
        </is>
      </c>
      <c r="C713" t="inlineStr">
        <is>
          <t>Supply Chain and Logistics Manager</t>
        </is>
      </c>
      <c r="D713" t="inlineStr">
        <is>
          <t>ESI Total Fuel Management</t>
        </is>
      </c>
      <c r="E713" t="inlineStr">
        <is>
          <t>United States</t>
        </is>
      </c>
      <c r="H713" t="n">
        <v>10</v>
      </c>
      <c r="I713" t="b">
        <v>1</v>
      </c>
      <c r="J713" t="b">
        <v>0</v>
      </c>
      <c r="K713" t="b">
        <v>0</v>
      </c>
      <c r="L713" t="b">
        <v>0</v>
      </c>
      <c r="M713" t="b">
        <v>0</v>
      </c>
      <c r="N713">
        <f>IFERROR(INDEX('Company Hitlist'!$AA:$AA,MATCH(D713,'Company Hitlist'!$A:$A,0)),)</f>
        <v/>
      </c>
      <c r="O713">
        <f>IFERROR(INDEX('Company Hitlist'!$N:$N,MATCH(D713,'Company Hitlist'!$A:$A,0)),)</f>
        <v/>
      </c>
      <c r="Q713" t="inlineStr">
        <is>
          <t>todo</t>
        </is>
      </c>
    </row>
    <row r="714">
      <c r="A714" t="inlineStr">
        <is>
          <t>Destiny Franklin</t>
        </is>
      </c>
      <c r="B714" t="inlineStr">
        <is>
          <t>Attendee</t>
        </is>
      </c>
      <c r="C714" t="inlineStr">
        <is>
          <t>Sr Operations &amp; Logistics Coordinator</t>
        </is>
      </c>
      <c r="D714" t="inlineStr">
        <is>
          <t>EVA NYC</t>
        </is>
      </c>
      <c r="F714" t="inlineStr">
        <is>
          <t>Yes</t>
        </is>
      </c>
      <c r="H714" t="n">
        <v>10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>
        <f>IFERROR(INDEX('Company Hitlist'!$AA:$AA,MATCH(D714,'Company Hitlist'!$A:$A,0)),)</f>
        <v/>
      </c>
      <c r="O714">
        <f>IFERROR(INDEX('Company Hitlist'!$N:$N,MATCH(D714,'Company Hitlist'!$A:$A,0)),)</f>
        <v/>
      </c>
      <c r="Q714" t="inlineStr">
        <is>
          <t>todo</t>
        </is>
      </c>
    </row>
    <row r="715">
      <c r="A715" t="inlineStr">
        <is>
          <t>Jason Struhs</t>
        </is>
      </c>
      <c r="B715" t="inlineStr">
        <is>
          <t>Attendee</t>
        </is>
      </c>
      <c r="C715" t="inlineStr">
        <is>
          <t>Fleet Manager</t>
        </is>
      </c>
      <c r="D715" t="inlineStr">
        <is>
          <t>Eagle Eye Produce</t>
        </is>
      </c>
      <c r="H715" t="n">
        <v>10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>
        <f>IFERROR(INDEX('Company Hitlist'!$AA:$AA,MATCH(D715,'Company Hitlist'!$A:$A,0)),)</f>
        <v/>
      </c>
      <c r="O715">
        <f>IFERROR(INDEX('Company Hitlist'!$N:$N,MATCH(D715,'Company Hitlist'!$A:$A,0)),)</f>
        <v/>
      </c>
      <c r="Q715" t="inlineStr">
        <is>
          <t>todo</t>
        </is>
      </c>
    </row>
    <row r="716">
      <c r="A716" t="inlineStr">
        <is>
          <t>Tifanee Ternus</t>
        </is>
      </c>
      <c r="B716" t="inlineStr">
        <is>
          <t>Attendee</t>
        </is>
      </c>
      <c r="C716" t="inlineStr">
        <is>
          <t>Transportation Operations Manager</t>
        </is>
      </c>
      <c r="D716" t="inlineStr">
        <is>
          <t>Eagle Eye Produce</t>
        </is>
      </c>
      <c r="H716" t="n">
        <v>10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>
        <f>IFERROR(INDEX('Company Hitlist'!$AA:$AA,MATCH(D716,'Company Hitlist'!$A:$A,0)),)</f>
        <v/>
      </c>
      <c r="O716">
        <f>IFERROR(INDEX('Company Hitlist'!$N:$N,MATCH(D716,'Company Hitlist'!$A:$A,0)),)</f>
        <v/>
      </c>
      <c r="Q716" t="inlineStr">
        <is>
          <t>todo</t>
        </is>
      </c>
    </row>
    <row r="717">
      <c r="A717" t="inlineStr">
        <is>
          <t>Alex Tilton</t>
        </is>
      </c>
      <c r="B717" t="inlineStr">
        <is>
          <t>Attendee</t>
        </is>
      </c>
      <c r="C717" t="inlineStr">
        <is>
          <t>Senior Manager, Logistics Control Tower</t>
        </is>
      </c>
      <c r="D717" t="inlineStr">
        <is>
          <t>Ecolab</t>
        </is>
      </c>
      <c r="H717" t="n">
        <v>10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>
        <f>IFERROR(INDEX('Company Hitlist'!$AA:$AA,MATCH(D717,'Company Hitlist'!$A:$A,0)),)</f>
        <v/>
      </c>
      <c r="O717">
        <f>IFERROR(INDEX('Company Hitlist'!$N:$N,MATCH(D717,'Company Hitlist'!$A:$A,0)),)</f>
        <v/>
      </c>
      <c r="Q717" t="inlineStr">
        <is>
          <t>todo</t>
        </is>
      </c>
    </row>
    <row r="718">
      <c r="A718" t="inlineStr">
        <is>
          <t>Jon Jangro</t>
        </is>
      </c>
      <c r="B718" t="inlineStr">
        <is>
          <t>Attendee</t>
        </is>
      </c>
      <c r="C718" t="inlineStr">
        <is>
          <t>Director of Supply Chain</t>
        </is>
      </c>
      <c r="D718" t="inlineStr">
        <is>
          <t>Embark Veterinary</t>
        </is>
      </c>
      <c r="E718" t="inlineStr">
        <is>
          <t>United States</t>
        </is>
      </c>
      <c r="H718" t="n">
        <v>10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>
        <f>IFERROR(INDEX('Company Hitlist'!$AA:$AA,MATCH(D718,'Company Hitlist'!$A:$A,0)),)</f>
        <v/>
      </c>
      <c r="O718">
        <f>IFERROR(INDEX('Company Hitlist'!$N:$N,MATCH(D718,'Company Hitlist'!$A:$A,0)),)</f>
        <v/>
      </c>
      <c r="Q718" t="inlineStr">
        <is>
          <t>todo</t>
        </is>
      </c>
    </row>
    <row r="719">
      <c r="A719" t="inlineStr">
        <is>
          <t>Navi Sidhu</t>
        </is>
      </c>
      <c r="B719" t="inlineStr">
        <is>
          <t>Attendee</t>
        </is>
      </c>
      <c r="C719" t="inlineStr">
        <is>
          <t>Global Logistics Manager</t>
        </is>
      </c>
      <c r="D719" t="inlineStr">
        <is>
          <t>Emerson</t>
        </is>
      </c>
      <c r="H719" t="n">
        <v>10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>
        <f>IFERROR(INDEX('Company Hitlist'!$AA:$AA,MATCH(D719,'Company Hitlist'!$A:$A,0)),)</f>
        <v/>
      </c>
      <c r="O719">
        <f>IFERROR(INDEX('Company Hitlist'!$N:$N,MATCH(D719,'Company Hitlist'!$A:$A,0)),)</f>
        <v/>
      </c>
      <c r="Q719" t="inlineStr">
        <is>
          <t>todo</t>
        </is>
      </c>
    </row>
    <row r="720">
      <c r="A720" t="inlineStr">
        <is>
          <t>Jerry Glissendorf</t>
        </is>
      </c>
      <c r="B720" t="inlineStr">
        <is>
          <t>Attendee</t>
        </is>
      </c>
      <c r="C720" t="inlineStr">
        <is>
          <t>Sr. Logistics Specialist</t>
        </is>
      </c>
      <c r="D720" t="inlineStr">
        <is>
          <t>Exact Sciences</t>
        </is>
      </c>
      <c r="F720" t="inlineStr">
        <is>
          <t>Yes</t>
        </is>
      </c>
      <c r="H720" t="n">
        <v>10</v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>
        <f>IFERROR(INDEX('Company Hitlist'!$AA:$AA,MATCH(D720,'Company Hitlist'!$A:$A,0)),)</f>
        <v/>
      </c>
      <c r="O720">
        <f>IFERROR(INDEX('Company Hitlist'!$N:$N,MATCH(D720,'Company Hitlist'!$A:$A,0)),)</f>
        <v/>
      </c>
      <c r="Q720" t="inlineStr">
        <is>
          <t>todo</t>
        </is>
      </c>
    </row>
    <row r="721">
      <c r="A721" t="inlineStr">
        <is>
          <t>Casey Martin</t>
        </is>
      </c>
      <c r="B721" t="inlineStr">
        <is>
          <t>Attendee</t>
        </is>
      </c>
      <c r="C721" t="inlineStr">
        <is>
          <t>Lead Category Manager, Logistics</t>
        </is>
      </c>
      <c r="D721" t="inlineStr">
        <is>
          <t>Exact Sciences</t>
        </is>
      </c>
      <c r="H721" t="n">
        <v>10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>
        <f>IFERROR(INDEX('Company Hitlist'!$AA:$AA,MATCH(D721,'Company Hitlist'!$A:$A,0)),)</f>
        <v/>
      </c>
      <c r="O721">
        <f>IFERROR(INDEX('Company Hitlist'!$N:$N,MATCH(D721,'Company Hitlist'!$A:$A,0)),)</f>
        <v/>
      </c>
      <c r="Q721" t="inlineStr">
        <is>
          <t>todo</t>
        </is>
      </c>
    </row>
    <row r="722">
      <c r="A722" t="inlineStr">
        <is>
          <t>Astrit Salihu</t>
        </is>
      </c>
      <c r="B722" t="inlineStr">
        <is>
          <t>Attendee</t>
        </is>
      </c>
      <c r="C722" t="inlineStr">
        <is>
          <t>Director Logistics Strategy</t>
        </is>
      </c>
      <c r="D722" t="inlineStr">
        <is>
          <t>ExxonMobil</t>
        </is>
      </c>
      <c r="F722" t="inlineStr">
        <is>
          <t>Yes</t>
        </is>
      </c>
      <c r="H722" t="n">
        <v>10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>
        <f>IFERROR(INDEX('Company Hitlist'!$AA:$AA,MATCH(D722,'Company Hitlist'!$A:$A,0)),)</f>
        <v/>
      </c>
      <c r="O722">
        <f>IFERROR(INDEX('Company Hitlist'!$N:$N,MATCH(D722,'Company Hitlist'!$A:$A,0)),)</f>
        <v/>
      </c>
      <c r="Q722" t="inlineStr">
        <is>
          <t>todo</t>
        </is>
      </c>
    </row>
    <row r="723">
      <c r="A723" t="inlineStr">
        <is>
          <t>Nathan Goodrich</t>
        </is>
      </c>
      <c r="B723" t="inlineStr">
        <is>
          <t>Attendee</t>
        </is>
      </c>
      <c r="C723" t="inlineStr">
        <is>
          <t>Sr. Director of Inventory and Logistics</t>
        </is>
      </c>
      <c r="D723" t="inlineStr">
        <is>
          <t>FabFitFun</t>
        </is>
      </c>
      <c r="F723" t="inlineStr">
        <is>
          <t>Yes</t>
        </is>
      </c>
      <c r="G723" t="inlineStr">
        <is>
          <t>$300M (2024 est.; projected $320M in 2025)</t>
        </is>
      </c>
      <c r="H723" t="n">
        <v>10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>
        <f>IFERROR(INDEX('Company Hitlist'!$AA:$AA,MATCH(D723,'Company Hitlist'!$A:$A,0)),)</f>
        <v/>
      </c>
      <c r="O723">
        <f>IFERROR(INDEX('Company Hitlist'!$N:$N,MATCH(D723,'Company Hitlist'!$A:$A,0)),)</f>
        <v/>
      </c>
      <c r="Q723" t="inlineStr">
        <is>
          <t>todo</t>
        </is>
      </c>
    </row>
    <row r="724">
      <c r="A724" t="inlineStr">
        <is>
          <t>Alex Moore</t>
        </is>
      </c>
      <c r="B724" t="inlineStr">
        <is>
          <t>Attendee</t>
        </is>
      </c>
      <c r="C724" t="inlineStr">
        <is>
          <t>Senior Director Industrial Engineering, Global Fulfillment Center</t>
        </is>
      </c>
      <c r="D724" t="inlineStr">
        <is>
          <t>Fabletics</t>
        </is>
      </c>
      <c r="F724" t="inlineStr">
        <is>
          <t>Yes</t>
        </is>
      </c>
      <c r="G724" t="inlineStr">
        <is>
          <t>$500M (2024 est.; projected $550M in 2025)</t>
        </is>
      </c>
      <c r="H724" t="n">
        <v>10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>
        <f>IFERROR(INDEX('Company Hitlist'!$AA:$AA,MATCH(D724,'Company Hitlist'!$A:$A,0)),)</f>
        <v/>
      </c>
      <c r="O724">
        <f>IFERROR(INDEX('Company Hitlist'!$N:$N,MATCH(D724,'Company Hitlist'!$A:$A,0)),)</f>
        <v/>
      </c>
      <c r="Q724" t="inlineStr">
        <is>
          <t>todo</t>
        </is>
      </c>
    </row>
    <row r="725">
      <c r="A725" t="inlineStr">
        <is>
          <t>Anne Wade</t>
        </is>
      </c>
      <c r="B725" t="inlineStr">
        <is>
          <t>Attendee</t>
        </is>
      </c>
      <c r="C725" t="inlineStr">
        <is>
          <t>Director, Strategy &amp; Operations</t>
        </is>
      </c>
      <c r="D725" t="inlineStr">
        <is>
          <t>Fabletics</t>
        </is>
      </c>
      <c r="F725" t="inlineStr">
        <is>
          <t>Yes</t>
        </is>
      </c>
      <c r="G725" t="inlineStr">
        <is>
          <t>$500M (2024 est.; projected $550M in 2025)</t>
        </is>
      </c>
      <c r="H725" t="n">
        <v>10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>
        <f>IFERROR(INDEX('Company Hitlist'!$AA:$AA,MATCH(D725,'Company Hitlist'!$A:$A,0)),)</f>
        <v/>
      </c>
      <c r="O725">
        <f>IFERROR(INDEX('Company Hitlist'!$N:$N,MATCH(D725,'Company Hitlist'!$A:$A,0)),)</f>
        <v/>
      </c>
      <c r="Q725" t="inlineStr">
        <is>
          <t>todo</t>
        </is>
      </c>
    </row>
    <row r="726">
      <c r="A726" t="inlineStr">
        <is>
          <t>Josephine Lin</t>
        </is>
      </c>
      <c r="B726" t="inlineStr">
        <is>
          <t>Attendee</t>
        </is>
      </c>
      <c r="C726" t="inlineStr">
        <is>
          <t>Director, Strategy &amp; Operations</t>
        </is>
      </c>
      <c r="D726" t="inlineStr">
        <is>
          <t>Fabletics</t>
        </is>
      </c>
      <c r="F726" t="inlineStr">
        <is>
          <t>Yes</t>
        </is>
      </c>
      <c r="G726" t="inlineStr">
        <is>
          <t>$500M (2024 est.; projected $550M in 2025)</t>
        </is>
      </c>
      <c r="H726" t="n">
        <v>10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>
        <f>IFERROR(INDEX('Company Hitlist'!$AA:$AA,MATCH(D726,'Company Hitlist'!$A:$A,0)),)</f>
        <v/>
      </c>
      <c r="O726">
        <f>IFERROR(INDEX('Company Hitlist'!$N:$N,MATCH(D726,'Company Hitlist'!$A:$A,0)),)</f>
        <v/>
      </c>
      <c r="Q726" t="inlineStr">
        <is>
          <t>todo</t>
        </is>
      </c>
    </row>
    <row r="727">
      <c r="A727" t="inlineStr">
        <is>
          <t>Brian Echols</t>
        </is>
      </c>
      <c r="B727" t="inlineStr">
        <is>
          <t>Attendee</t>
        </is>
      </c>
      <c r="C727" t="inlineStr">
        <is>
          <t>Director, Digital Supply Chain</t>
        </is>
      </c>
      <c r="D727" t="inlineStr">
        <is>
          <t>Fabletics</t>
        </is>
      </c>
      <c r="E727" t="inlineStr">
        <is>
          <t>United States</t>
        </is>
      </c>
      <c r="H727" t="n">
        <v>10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>
        <f>IFERROR(INDEX('Company Hitlist'!$AA:$AA,MATCH(D727,'Company Hitlist'!$A:$A,0)),)</f>
        <v/>
      </c>
      <c r="O727">
        <f>IFERROR(INDEX('Company Hitlist'!$N:$N,MATCH(D727,'Company Hitlist'!$A:$A,0)),)</f>
        <v/>
      </c>
      <c r="Q727" t="inlineStr">
        <is>
          <t>todo</t>
        </is>
      </c>
    </row>
    <row r="728">
      <c r="A728" t="inlineStr">
        <is>
          <t>Brandon Show</t>
        </is>
      </c>
      <c r="B728" t="inlineStr">
        <is>
          <t>Attendee</t>
        </is>
      </c>
      <c r="C728" t="inlineStr">
        <is>
          <t>Director of Operations</t>
        </is>
      </c>
      <c r="D728" t="inlineStr">
        <is>
          <t>Fasteners Inc</t>
        </is>
      </c>
      <c r="F728" t="inlineStr">
        <is>
          <t>Yes</t>
        </is>
      </c>
      <c r="G728" t="inlineStr">
        <is>
          <t>$50M (2024 est.; projected $55M in 2025)</t>
        </is>
      </c>
      <c r="H728" t="n">
        <v>10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>
        <f>IFERROR(INDEX('Company Hitlist'!$AA:$AA,MATCH(D728,'Company Hitlist'!$A:$A,0)),)</f>
        <v/>
      </c>
      <c r="O728">
        <f>IFERROR(INDEX('Company Hitlist'!$N:$N,MATCH(D728,'Company Hitlist'!$A:$A,0)),)</f>
        <v/>
      </c>
      <c r="Q728" t="inlineStr">
        <is>
          <t>todo</t>
        </is>
      </c>
    </row>
    <row r="729">
      <c r="A729" t="inlineStr">
        <is>
          <t>Kyle Peeler</t>
        </is>
      </c>
      <c r="B729" t="inlineStr">
        <is>
          <t>Attendee</t>
        </is>
      </c>
      <c r="C729" t="inlineStr">
        <is>
          <t>Operations Manager</t>
        </is>
      </c>
      <c r="D729" t="inlineStr">
        <is>
          <t>Fasteners Inc</t>
        </is>
      </c>
      <c r="H729" t="n">
        <v>10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>
        <f>IFERROR(INDEX('Company Hitlist'!$AA:$AA,MATCH(D729,'Company Hitlist'!$A:$A,0)),)</f>
        <v/>
      </c>
      <c r="O729">
        <f>IFERROR(INDEX('Company Hitlist'!$N:$N,MATCH(D729,'Company Hitlist'!$A:$A,0)),)</f>
        <v/>
      </c>
      <c r="Q729" t="inlineStr">
        <is>
          <t>todo</t>
        </is>
      </c>
    </row>
    <row r="730">
      <c r="A730" t="inlineStr">
        <is>
          <t>Tony Calbrese</t>
        </is>
      </c>
      <c r="B730" t="inlineStr">
        <is>
          <t>Attendee</t>
        </is>
      </c>
      <c r="C730" t="inlineStr">
        <is>
          <t>Manager, Transportation</t>
        </is>
      </c>
      <c r="D730" t="inlineStr">
        <is>
          <t>Ferrara</t>
        </is>
      </c>
      <c r="H730" t="n">
        <v>10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>
        <f>IFERROR(INDEX('Company Hitlist'!$AA:$AA,MATCH(D730,'Company Hitlist'!$A:$A,0)),)</f>
        <v/>
      </c>
      <c r="O730">
        <f>IFERROR(INDEX('Company Hitlist'!$N:$N,MATCH(D730,'Company Hitlist'!$A:$A,0)),)</f>
        <v/>
      </c>
      <c r="Q730" t="inlineStr">
        <is>
          <t>todo</t>
        </is>
      </c>
    </row>
    <row r="731">
      <c r="A731" t="inlineStr">
        <is>
          <t>Michael Godshall</t>
        </is>
      </c>
      <c r="B731" t="inlineStr">
        <is>
          <t>Attendee</t>
        </is>
      </c>
      <c r="C731" t="inlineStr">
        <is>
          <t>Strat. Planning Leader - Mfg. Supply Chain</t>
        </is>
      </c>
      <c r="D731" t="inlineStr">
        <is>
          <t>First Quality</t>
        </is>
      </c>
      <c r="H731" t="n">
        <v>10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>
        <f>IFERROR(INDEX('Company Hitlist'!$AA:$AA,MATCH(D731,'Company Hitlist'!$A:$A,0)),)</f>
        <v/>
      </c>
      <c r="O731">
        <f>IFERROR(INDEX('Company Hitlist'!$N:$N,MATCH(D731,'Company Hitlist'!$A:$A,0)),)</f>
        <v/>
      </c>
      <c r="Q731" t="inlineStr">
        <is>
          <t>todo</t>
        </is>
      </c>
    </row>
    <row r="732">
      <c r="A732" t="inlineStr">
        <is>
          <t>Aleksandar Dimovski</t>
        </is>
      </c>
      <c r="B732" t="inlineStr">
        <is>
          <t>Attendee</t>
        </is>
      </c>
      <c r="C732" t="inlineStr">
        <is>
          <t>Supply Chain Manager</t>
        </is>
      </c>
      <c r="D732" t="inlineStr">
        <is>
          <t>Fisico</t>
        </is>
      </c>
      <c r="E732" t="inlineStr">
        <is>
          <t>United States</t>
        </is>
      </c>
      <c r="H732" t="n">
        <v>10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>
        <f>IFERROR(INDEX('Company Hitlist'!$AA:$AA,MATCH(D732,'Company Hitlist'!$A:$A,0)),)</f>
        <v/>
      </c>
      <c r="O732">
        <f>IFERROR(INDEX('Company Hitlist'!$N:$N,MATCH(D732,'Company Hitlist'!$A:$A,0)),)</f>
        <v/>
      </c>
      <c r="Q732" t="inlineStr">
        <is>
          <t>todo</t>
        </is>
      </c>
    </row>
    <row r="733">
      <c r="A733" t="inlineStr">
        <is>
          <t>Claire Zipkin</t>
        </is>
      </c>
      <c r="B733" t="inlineStr">
        <is>
          <t>Attendee</t>
        </is>
      </c>
      <c r="C733" t="inlineStr">
        <is>
          <t>Logistics Manager</t>
        </is>
      </c>
      <c r="D733" t="inlineStr">
        <is>
          <t>Five Below</t>
        </is>
      </c>
      <c r="E733" t="inlineStr">
        <is>
          <t>United States</t>
        </is>
      </c>
      <c r="H733" t="n">
        <v>10</v>
      </c>
      <c r="I733" t="b">
        <v>1</v>
      </c>
      <c r="J733" t="b">
        <v>0</v>
      </c>
      <c r="K733" t="b">
        <v>0</v>
      </c>
      <c r="L733" t="b">
        <v>0</v>
      </c>
      <c r="M733" t="b">
        <v>0</v>
      </c>
      <c r="N733">
        <f>IFERROR(INDEX('Company Hitlist'!$AA:$AA,MATCH(D733,'Company Hitlist'!$A:$A,0)),)</f>
        <v/>
      </c>
      <c r="O733">
        <f>IFERROR(INDEX('Company Hitlist'!$N:$N,MATCH(D733,'Company Hitlist'!$A:$A,0)),)</f>
        <v/>
      </c>
      <c r="Q733" t="inlineStr">
        <is>
          <t>todo</t>
        </is>
      </c>
    </row>
    <row r="734">
      <c r="A734" t="inlineStr">
        <is>
          <t>Adam Parish</t>
        </is>
      </c>
      <c r="B734" t="inlineStr">
        <is>
          <t>Sponsor</t>
        </is>
      </c>
      <c r="C734" t="inlineStr">
        <is>
          <t>Director, Trucking Procurement</t>
        </is>
      </c>
      <c r="D734" t="inlineStr">
        <is>
          <t>Flexport</t>
        </is>
      </c>
      <c r="E734" t="inlineStr">
        <is>
          <t>United States</t>
        </is>
      </c>
      <c r="F734" t="inlineStr">
        <is>
          <t>Yes</t>
        </is>
      </c>
      <c r="G734" t="inlineStr">
        <is>
          <t>$3 billion (2025)</t>
        </is>
      </c>
      <c r="H734" t="n">
        <v>10</v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>
        <f>IFERROR(INDEX('Company Hitlist'!$AA:$AA,MATCH(D734,'Company Hitlist'!$A:$A,0)),)</f>
        <v/>
      </c>
      <c r="O734">
        <f>IFERROR(INDEX('Company Hitlist'!$N:$N,MATCH(D734,'Company Hitlist'!$A:$A,0)),)</f>
        <v/>
      </c>
      <c r="Q734" t="inlineStr">
        <is>
          <t>todo</t>
        </is>
      </c>
    </row>
    <row r="735">
      <c r="A735" t="inlineStr">
        <is>
          <t>Huy Phan Hoang</t>
        </is>
      </c>
      <c r="B735" t="inlineStr">
        <is>
          <t>Sponsor</t>
        </is>
      </c>
      <c r="C735" t="inlineStr">
        <is>
          <t>Manager, Ocean Procurement</t>
        </is>
      </c>
      <c r="D735" t="inlineStr">
        <is>
          <t>Flexport</t>
        </is>
      </c>
      <c r="E735" t="inlineStr">
        <is>
          <t>United States</t>
        </is>
      </c>
      <c r="H735" t="n">
        <v>10</v>
      </c>
      <c r="I735" t="b">
        <v>0</v>
      </c>
      <c r="J735" t="b">
        <v>0</v>
      </c>
      <c r="K735" t="b">
        <v>0</v>
      </c>
      <c r="L735" t="b">
        <v>1</v>
      </c>
      <c r="M735" t="b">
        <v>0</v>
      </c>
      <c r="N735">
        <f>IFERROR(INDEX('Company Hitlist'!$AA:$AA,MATCH(D735,'Company Hitlist'!$A:$A,0)),)</f>
        <v/>
      </c>
      <c r="O735">
        <f>IFERROR(INDEX('Company Hitlist'!$N:$N,MATCH(D735,'Company Hitlist'!$A:$A,0)),)</f>
        <v/>
      </c>
      <c r="Q735" t="inlineStr">
        <is>
          <t>todo</t>
        </is>
      </c>
    </row>
    <row r="736">
      <c r="A736" t="inlineStr">
        <is>
          <t>Ian Arroyoavila</t>
        </is>
      </c>
      <c r="B736" t="inlineStr">
        <is>
          <t>Attendee</t>
        </is>
      </c>
      <c r="C736" t="inlineStr">
        <is>
          <t>Logistics Specialist/ Supply Chain</t>
        </is>
      </c>
      <c r="D736" t="inlineStr">
        <is>
          <t>Fluidmaster</t>
        </is>
      </c>
      <c r="E736" t="inlineStr">
        <is>
          <t>United States</t>
        </is>
      </c>
      <c r="H736" t="n">
        <v>10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>
        <f>IFERROR(INDEX('Company Hitlist'!$AA:$AA,MATCH(D736,'Company Hitlist'!$A:$A,0)),)</f>
        <v/>
      </c>
      <c r="O736">
        <f>IFERROR(INDEX('Company Hitlist'!$N:$N,MATCH(D736,'Company Hitlist'!$A:$A,0)),)</f>
        <v/>
      </c>
      <c r="Q736" t="inlineStr">
        <is>
          <t>todo</t>
        </is>
      </c>
    </row>
    <row r="737">
      <c r="A737" t="inlineStr">
        <is>
          <t>Paul Noble</t>
        </is>
      </c>
      <c r="B737" t="inlineStr">
        <is>
          <t>Attendee</t>
        </is>
      </c>
      <c r="C737" t="inlineStr">
        <is>
          <t>AI &amp; Supply Chain Contributor</t>
        </is>
      </c>
      <c r="D737" t="inlineStr">
        <is>
          <t>Forbes</t>
        </is>
      </c>
      <c r="H737" t="n">
        <v>10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>
        <f>IFERROR(INDEX('Company Hitlist'!$AA:$AA,MATCH(D737,'Company Hitlist'!$A:$A,0)),)</f>
        <v/>
      </c>
      <c r="O737">
        <f>IFERROR(INDEX('Company Hitlist'!$N:$N,MATCH(D737,'Company Hitlist'!$A:$A,0)),)</f>
        <v/>
      </c>
      <c r="Q737" t="inlineStr">
        <is>
          <t>todo</t>
        </is>
      </c>
    </row>
    <row r="738">
      <c r="A738" t="inlineStr">
        <is>
          <t>Aaron Bartal</t>
        </is>
      </c>
      <c r="B738" t="inlineStr">
        <is>
          <t>Attendee</t>
        </is>
      </c>
      <c r="C738" t="inlineStr">
        <is>
          <t>Import &amp; Export Transportation Manager</t>
        </is>
      </c>
      <c r="D738" t="inlineStr">
        <is>
          <t>Ford Motor Company</t>
        </is>
      </c>
      <c r="H738" t="n">
        <v>10</v>
      </c>
      <c r="I738" t="b">
        <v>1</v>
      </c>
      <c r="J738" t="b">
        <v>0</v>
      </c>
      <c r="K738" t="b">
        <v>0</v>
      </c>
      <c r="L738" t="b">
        <v>0</v>
      </c>
      <c r="M738" t="b">
        <v>0</v>
      </c>
      <c r="N738">
        <f>IFERROR(INDEX('Company Hitlist'!$AA:$AA,MATCH(D738,'Company Hitlist'!$A:$A,0)),)</f>
        <v/>
      </c>
      <c r="O738">
        <f>IFERROR(INDEX('Company Hitlist'!$N:$N,MATCH(D738,'Company Hitlist'!$A:$A,0)),)</f>
        <v/>
      </c>
      <c r="Q738" t="inlineStr">
        <is>
          <t>todo</t>
        </is>
      </c>
    </row>
    <row r="739">
      <c r="A739" t="inlineStr">
        <is>
          <t>Abigail Espinoza</t>
        </is>
      </c>
      <c r="B739" t="inlineStr">
        <is>
          <t>Attendee</t>
        </is>
      </c>
      <c r="C739" t="inlineStr">
        <is>
          <t>Indirect Transportation Leader</t>
        </is>
      </c>
      <c r="D739" t="inlineStr">
        <is>
          <t>Ford Motor Company</t>
        </is>
      </c>
      <c r="H739" t="n">
        <v>10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  <c r="N739">
        <f>IFERROR(INDEX('Company Hitlist'!$AA:$AA,MATCH(D739,'Company Hitlist'!$A:$A,0)),)</f>
        <v/>
      </c>
      <c r="O739">
        <f>IFERROR(INDEX('Company Hitlist'!$N:$N,MATCH(D739,'Company Hitlist'!$A:$A,0)),)</f>
        <v/>
      </c>
      <c r="Q739" t="inlineStr">
        <is>
          <t>todo</t>
        </is>
      </c>
    </row>
    <row r="740">
      <c r="A740" t="inlineStr">
        <is>
          <t>Derek Rafalski</t>
        </is>
      </c>
      <c r="B740" t="inlineStr">
        <is>
          <t>Attendee</t>
        </is>
      </c>
      <c r="C740" t="inlineStr">
        <is>
          <t>Replenishment &amp; Outbound Transportation Leader</t>
        </is>
      </c>
      <c r="D740" t="inlineStr">
        <is>
          <t>Ford Motor Company</t>
        </is>
      </c>
      <c r="H740" t="n">
        <v>10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>
        <f>IFERROR(INDEX('Company Hitlist'!$AA:$AA,MATCH(D740,'Company Hitlist'!$A:$A,0)),)</f>
        <v/>
      </c>
      <c r="O740">
        <f>IFERROR(INDEX('Company Hitlist'!$N:$N,MATCH(D740,'Company Hitlist'!$A:$A,0)),)</f>
        <v/>
      </c>
      <c r="Q740" t="inlineStr">
        <is>
          <t>todo</t>
        </is>
      </c>
    </row>
    <row r="741">
      <c r="A741" t="inlineStr">
        <is>
          <t>Elijah Rosenthal</t>
        </is>
      </c>
      <c r="B741" t="inlineStr">
        <is>
          <t>Attendee</t>
        </is>
      </c>
      <c r="C741" t="inlineStr">
        <is>
          <t>Network Transportation Manager</t>
        </is>
      </c>
      <c r="D741" t="inlineStr">
        <is>
          <t>Ford Motor Company</t>
        </is>
      </c>
      <c r="H741" t="n">
        <v>10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>
        <f>IFERROR(INDEX('Company Hitlist'!$AA:$AA,MATCH(D741,'Company Hitlist'!$A:$A,0)),)</f>
        <v/>
      </c>
      <c r="O741">
        <f>IFERROR(INDEX('Company Hitlist'!$N:$N,MATCH(D741,'Company Hitlist'!$A:$A,0)),)</f>
        <v/>
      </c>
      <c r="Q741" t="inlineStr">
        <is>
          <t>todo</t>
        </is>
      </c>
    </row>
    <row r="742">
      <c r="A742" t="inlineStr">
        <is>
          <t>Erhan Yengulalp</t>
        </is>
      </c>
      <c r="B742" t="inlineStr">
        <is>
          <t>Attendee</t>
        </is>
      </c>
      <c r="C742" t="inlineStr">
        <is>
          <t>Director - Distribution Logistics Americas – Dubai</t>
        </is>
      </c>
      <c r="D742" t="inlineStr">
        <is>
          <t>Ford Motor Company</t>
        </is>
      </c>
      <c r="H742" t="n">
        <v>10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>
        <f>IFERROR(INDEX('Company Hitlist'!$AA:$AA,MATCH(D742,'Company Hitlist'!$A:$A,0)),)</f>
        <v/>
      </c>
      <c r="O742">
        <f>IFERROR(INDEX('Company Hitlist'!$N:$N,MATCH(D742,'Company Hitlist'!$A:$A,0)),)</f>
        <v/>
      </c>
      <c r="Q742" t="inlineStr">
        <is>
          <t>todo</t>
        </is>
      </c>
    </row>
    <row r="743">
      <c r="A743" t="inlineStr">
        <is>
          <t>Michael Laesch</t>
        </is>
      </c>
      <c r="B743" t="inlineStr">
        <is>
          <t>Attendee</t>
        </is>
      </c>
      <c r="C743" t="inlineStr">
        <is>
          <t>Director, NA Vehicle Logistics</t>
        </is>
      </c>
      <c r="D743" t="inlineStr">
        <is>
          <t>Ford Motor Company</t>
        </is>
      </c>
      <c r="H743" t="n">
        <v>10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>
        <f>IFERROR(INDEX('Company Hitlist'!$AA:$AA,MATCH(D743,'Company Hitlist'!$A:$A,0)),)</f>
        <v/>
      </c>
      <c r="O743">
        <f>IFERROR(INDEX('Company Hitlist'!$N:$N,MATCH(D743,'Company Hitlist'!$A:$A,0)),)</f>
        <v/>
      </c>
      <c r="Q743" t="inlineStr">
        <is>
          <t>todo</t>
        </is>
      </c>
    </row>
    <row r="744">
      <c r="A744" t="inlineStr">
        <is>
          <t>Ben Smith</t>
        </is>
      </c>
      <c r="B744" t="inlineStr">
        <is>
          <t>Attendee</t>
        </is>
      </c>
      <c r="C744" t="inlineStr">
        <is>
          <t>Sr. Logistics Manager</t>
        </is>
      </c>
      <c r="D744" t="inlineStr">
        <is>
          <t>Foremost Farms USA</t>
        </is>
      </c>
      <c r="H744" t="n">
        <v>10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>
        <f>IFERROR(INDEX('Company Hitlist'!$AA:$AA,MATCH(D744,'Company Hitlist'!$A:$A,0)),)</f>
        <v/>
      </c>
      <c r="O744">
        <f>IFERROR(INDEX('Company Hitlist'!$N:$N,MATCH(D744,'Company Hitlist'!$A:$A,0)),)</f>
        <v/>
      </c>
      <c r="Q744" t="inlineStr">
        <is>
          <t>todo</t>
        </is>
      </c>
    </row>
    <row r="745">
      <c r="A745" t="inlineStr">
        <is>
          <t>Gaylen Haas</t>
        </is>
      </c>
      <c r="B745" t="inlineStr">
        <is>
          <t>Attendee</t>
        </is>
      </c>
      <c r="C745" t="inlineStr">
        <is>
          <t>Instructor of Supply Chain Solutions</t>
        </is>
      </c>
      <c r="D745" t="inlineStr">
        <is>
          <t>Fox Valley Technical College</t>
        </is>
      </c>
      <c r="E745" t="inlineStr">
        <is>
          <t>United States</t>
        </is>
      </c>
      <c r="H745" t="n">
        <v>10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>
        <f>IFERROR(INDEX('Company Hitlist'!$AA:$AA,MATCH(D745,'Company Hitlist'!$A:$A,0)),)</f>
        <v/>
      </c>
      <c r="O745">
        <f>IFERROR(INDEX('Company Hitlist'!$N:$N,MATCH(D745,'Company Hitlist'!$A:$A,0)),)</f>
        <v/>
      </c>
      <c r="Q745" t="inlineStr">
        <is>
          <t>todo</t>
        </is>
      </c>
    </row>
    <row r="746">
      <c r="A746" t="inlineStr">
        <is>
          <t>Izzie Ali</t>
        </is>
      </c>
      <c r="B746" t="inlineStr">
        <is>
          <t>Attendee</t>
        </is>
      </c>
      <c r="C746" t="inlineStr">
        <is>
          <t>Global director- logistics and fulfillment</t>
        </is>
      </c>
      <c r="D746" t="inlineStr">
        <is>
          <t>Frame Work</t>
        </is>
      </c>
      <c r="E746" t="inlineStr">
        <is>
          <t>United States</t>
        </is>
      </c>
      <c r="H746" t="n">
        <v>10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>
        <f>IFERROR(INDEX('Company Hitlist'!$AA:$AA,MATCH(D746,'Company Hitlist'!$A:$A,0)),)</f>
        <v/>
      </c>
      <c r="O746">
        <f>IFERROR(INDEX('Company Hitlist'!$N:$N,MATCH(D746,'Company Hitlist'!$A:$A,0)),)</f>
        <v/>
      </c>
      <c r="Q746" t="inlineStr">
        <is>
          <t>todo</t>
        </is>
      </c>
    </row>
    <row r="747">
      <c r="A747" t="inlineStr">
        <is>
          <t>Derek Layo</t>
        </is>
      </c>
      <c r="B747" t="inlineStr">
        <is>
          <t>Attendee</t>
        </is>
      </c>
      <c r="C747" t="inlineStr">
        <is>
          <t>Logistics Category Manager</t>
        </is>
      </c>
      <c r="D747" t="inlineStr">
        <is>
          <t>Freshpet</t>
        </is>
      </c>
      <c r="H747" t="n">
        <v>10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>
        <f>IFERROR(INDEX('Company Hitlist'!$AA:$AA,MATCH(D747,'Company Hitlist'!$A:$A,0)),)</f>
        <v/>
      </c>
      <c r="O747">
        <f>IFERROR(INDEX('Company Hitlist'!$N:$N,MATCH(D747,'Company Hitlist'!$A:$A,0)),)</f>
        <v/>
      </c>
      <c r="Q747" t="inlineStr">
        <is>
          <t>todo</t>
        </is>
      </c>
    </row>
    <row r="748">
      <c r="A748" t="inlineStr">
        <is>
          <t>Darlene Yu</t>
        </is>
      </c>
      <c r="B748" t="inlineStr">
        <is>
          <t>Attendee</t>
        </is>
      </c>
      <c r="C748" t="inlineStr">
        <is>
          <t>Director, Fulfillment &amp; Logistics</t>
        </is>
      </c>
      <c r="D748" t="inlineStr">
        <is>
          <t>From Our Place</t>
        </is>
      </c>
      <c r="E748" t="inlineStr">
        <is>
          <t>United States</t>
        </is>
      </c>
      <c r="F748" t="inlineStr">
        <is>
          <t>Yes</t>
        </is>
      </c>
      <c r="H748" t="n">
        <v>10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>
        <f>IFERROR(INDEX('Company Hitlist'!$AA:$AA,MATCH(D748,'Company Hitlist'!$A:$A,0)),)</f>
        <v/>
      </c>
      <c r="O748">
        <f>IFERROR(INDEX('Company Hitlist'!$N:$N,MATCH(D748,'Company Hitlist'!$A:$A,0)),)</f>
        <v/>
      </c>
      <c r="Q748" t="inlineStr">
        <is>
          <t>todo</t>
        </is>
      </c>
    </row>
    <row r="749">
      <c r="A749" t="inlineStr">
        <is>
          <t>Trisha Warren</t>
        </is>
      </c>
      <c r="B749" t="inlineStr">
        <is>
          <t>Attendee</t>
        </is>
      </c>
      <c r="C749" t="inlineStr">
        <is>
          <t>Associate Director, Logistics</t>
        </is>
      </c>
      <c r="D749" t="inlineStr">
        <is>
          <t>From Our Place</t>
        </is>
      </c>
      <c r="F749" t="inlineStr">
        <is>
          <t>Yes</t>
        </is>
      </c>
      <c r="H749" t="n">
        <v>10</v>
      </c>
      <c r="I749" t="b">
        <v>1</v>
      </c>
      <c r="J749" t="b">
        <v>0</v>
      </c>
      <c r="K749" t="b">
        <v>0</v>
      </c>
      <c r="L749" t="b">
        <v>0</v>
      </c>
      <c r="M749" t="b">
        <v>0</v>
      </c>
      <c r="N749">
        <f>IFERROR(INDEX('Company Hitlist'!$AA:$AA,MATCH(D749,'Company Hitlist'!$A:$A,0)),)</f>
        <v/>
      </c>
      <c r="O749">
        <f>IFERROR(INDEX('Company Hitlist'!$N:$N,MATCH(D749,'Company Hitlist'!$A:$A,0)),)</f>
        <v/>
      </c>
      <c r="Q749" t="inlineStr">
        <is>
          <t>todo</t>
        </is>
      </c>
    </row>
    <row r="750">
      <c r="A750" t="inlineStr">
        <is>
          <t>Mark Villeneueva</t>
        </is>
      </c>
      <c r="B750" t="inlineStr">
        <is>
          <t>Attendee</t>
        </is>
      </c>
      <c r="C750" t="inlineStr">
        <is>
          <t>Director North America Logistics</t>
        </is>
      </c>
      <c r="D750" t="inlineStr">
        <is>
          <t>Fujifilm</t>
        </is>
      </c>
      <c r="F750" t="inlineStr">
        <is>
          <t>Yes</t>
        </is>
      </c>
      <c r="H750" t="n">
        <v>10</v>
      </c>
      <c r="I750" t="b">
        <v>1</v>
      </c>
      <c r="J750" t="b">
        <v>0</v>
      </c>
      <c r="K750" t="b">
        <v>0</v>
      </c>
      <c r="L750" t="b">
        <v>0</v>
      </c>
      <c r="M750" t="b">
        <v>0</v>
      </c>
      <c r="N750">
        <f>IFERROR(INDEX('Company Hitlist'!$AA:$AA,MATCH(D750,'Company Hitlist'!$A:$A,0)),)</f>
        <v/>
      </c>
      <c r="O750">
        <f>IFERROR(INDEX('Company Hitlist'!$N:$N,MATCH(D750,'Company Hitlist'!$A:$A,0)),)</f>
        <v/>
      </c>
      <c r="Q750" t="inlineStr">
        <is>
          <t>todo</t>
        </is>
      </c>
    </row>
    <row r="751">
      <c r="A751" t="inlineStr">
        <is>
          <t>Jerry Knight</t>
        </is>
      </c>
      <c r="B751" t="inlineStr">
        <is>
          <t>Attendee</t>
        </is>
      </c>
      <c r="C751" t="inlineStr">
        <is>
          <t>Sr. Director Global Logistics</t>
        </is>
      </c>
      <c r="D751" t="inlineStr">
        <is>
          <t>G3</t>
        </is>
      </c>
      <c r="F751" t="inlineStr">
        <is>
          <t>Yes</t>
        </is>
      </c>
      <c r="H751" t="n">
        <v>10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>
        <f>IFERROR(INDEX('Company Hitlist'!$AA:$AA,MATCH(D751,'Company Hitlist'!$A:$A,0)),)</f>
        <v/>
      </c>
      <c r="O751">
        <f>IFERROR(INDEX('Company Hitlist'!$N:$N,MATCH(D751,'Company Hitlist'!$A:$A,0)),)</f>
        <v/>
      </c>
      <c r="Q751" t="inlineStr">
        <is>
          <t>todo</t>
        </is>
      </c>
    </row>
    <row r="752">
      <c r="A752" t="inlineStr">
        <is>
          <t>Jim Bolinger</t>
        </is>
      </c>
      <c r="B752" t="inlineStr">
        <is>
          <t>Attendee</t>
        </is>
      </c>
      <c r="C752" t="inlineStr">
        <is>
          <t>Sr. Ops Manager</t>
        </is>
      </c>
      <c r="D752" t="inlineStr">
        <is>
          <t>G3</t>
        </is>
      </c>
      <c r="H752" t="n">
        <v>10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>
        <f>IFERROR(INDEX('Company Hitlist'!$AA:$AA,MATCH(D752,'Company Hitlist'!$A:$A,0)),)</f>
        <v/>
      </c>
      <c r="O752">
        <f>IFERROR(INDEX('Company Hitlist'!$N:$N,MATCH(D752,'Company Hitlist'!$A:$A,0)),)</f>
        <v/>
      </c>
      <c r="Q752" t="inlineStr">
        <is>
          <t>todo</t>
        </is>
      </c>
    </row>
    <row r="753">
      <c r="A753" t="inlineStr">
        <is>
          <t>Nate Hunt</t>
        </is>
      </c>
      <c r="B753" t="inlineStr">
        <is>
          <t>Attendee</t>
        </is>
      </c>
      <c r="C753" t="inlineStr">
        <is>
          <t>Sr. Ops Manager</t>
        </is>
      </c>
      <c r="D753" t="inlineStr">
        <is>
          <t>G3</t>
        </is>
      </c>
      <c r="H753" t="n">
        <v>10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>
        <f>IFERROR(INDEX('Company Hitlist'!$AA:$AA,MATCH(D753,'Company Hitlist'!$A:$A,0)),)</f>
        <v/>
      </c>
      <c r="O753">
        <f>IFERROR(INDEX('Company Hitlist'!$N:$N,MATCH(D753,'Company Hitlist'!$A:$A,0)),)</f>
        <v/>
      </c>
      <c r="Q753" t="inlineStr">
        <is>
          <t>todo</t>
        </is>
      </c>
    </row>
    <row r="754">
      <c r="A754" t="inlineStr">
        <is>
          <t>Jeffrey Hickerson</t>
        </is>
      </c>
      <c r="B754" t="inlineStr">
        <is>
          <t>Attendee</t>
        </is>
      </c>
      <c r="C754" t="inlineStr">
        <is>
          <t>Director, Warehouse Management</t>
        </is>
      </c>
      <c r="D754" t="inlineStr">
        <is>
          <t>GE Appliances</t>
        </is>
      </c>
      <c r="E754" t="inlineStr">
        <is>
          <t>United States</t>
        </is>
      </c>
      <c r="H754" t="n">
        <v>10</v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>
        <f>IFERROR(INDEX('Company Hitlist'!$AA:$AA,MATCH(D754,'Company Hitlist'!$A:$A,0)),)</f>
        <v/>
      </c>
      <c r="O754">
        <f>IFERROR(INDEX('Company Hitlist'!$N:$N,MATCH(D754,'Company Hitlist'!$A:$A,0)),)</f>
        <v/>
      </c>
      <c r="Q754" t="inlineStr">
        <is>
          <t>todo</t>
        </is>
      </c>
    </row>
    <row r="755">
      <c r="A755" t="inlineStr">
        <is>
          <t>Jordan Glastein</t>
        </is>
      </c>
      <c r="B755" t="inlineStr">
        <is>
          <t>Attendee</t>
        </is>
      </c>
      <c r="C755" t="inlineStr">
        <is>
          <t>Senior Manager, Ocean Logistics &amp; Strategy</t>
        </is>
      </c>
      <c r="D755" t="inlineStr">
        <is>
          <t>GE Appliances</t>
        </is>
      </c>
      <c r="H755" t="n">
        <v>10</v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>
        <f>IFERROR(INDEX('Company Hitlist'!$AA:$AA,MATCH(D755,'Company Hitlist'!$A:$A,0)),)</f>
        <v/>
      </c>
      <c r="O755">
        <f>IFERROR(INDEX('Company Hitlist'!$N:$N,MATCH(D755,'Company Hitlist'!$A:$A,0)),)</f>
        <v/>
      </c>
      <c r="Q755" t="inlineStr">
        <is>
          <t>todo</t>
        </is>
      </c>
    </row>
    <row r="756">
      <c r="A756" t="inlineStr">
        <is>
          <t>Talha Malik</t>
        </is>
      </c>
      <c r="B756" t="inlineStr">
        <is>
          <t>Attendee</t>
        </is>
      </c>
      <c r="C756" t="inlineStr">
        <is>
          <t>Director Project Logistics Middle East - Energy &amp; Marine</t>
        </is>
      </c>
      <c r="D756" t="inlineStr">
        <is>
          <t>GEODIS Freight Forwarding</t>
        </is>
      </c>
      <c r="E756" t="inlineStr">
        <is>
          <t>United Arab Emirates</t>
        </is>
      </c>
      <c r="F756" t="inlineStr">
        <is>
          <t>Yes</t>
        </is>
      </c>
      <c r="H756" t="n">
        <v>10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>
        <f>IFERROR(INDEX('Company Hitlist'!$AA:$AA,MATCH(D756,'Company Hitlist'!$A:$A,0)),)</f>
        <v/>
      </c>
      <c r="O756">
        <f>IFERROR(INDEX('Company Hitlist'!$N:$N,MATCH(D756,'Company Hitlist'!$A:$A,0)),)</f>
        <v/>
      </c>
      <c r="Q756" t="inlineStr">
        <is>
          <t>todo</t>
        </is>
      </c>
    </row>
    <row r="757">
      <c r="A757" t="inlineStr">
        <is>
          <t>Gloria Seckler Osuna</t>
        </is>
      </c>
      <c r="B757" t="inlineStr">
        <is>
          <t>Attendee</t>
        </is>
      </c>
      <c r="C757" t="inlineStr">
        <is>
          <t>Director, Operations Data &amp; Strategy</t>
        </is>
      </c>
      <c r="D757" t="inlineStr">
        <is>
          <t>GOAT Group</t>
        </is>
      </c>
      <c r="E757" t="inlineStr">
        <is>
          <t>United States</t>
        </is>
      </c>
      <c r="F757" t="inlineStr">
        <is>
          <t>Yes</t>
        </is>
      </c>
      <c r="H757" t="n">
        <v>10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>
        <f>IFERROR(INDEX('Company Hitlist'!$AA:$AA,MATCH(D757,'Company Hitlist'!$A:$A,0)),)</f>
        <v/>
      </c>
      <c r="O757">
        <f>IFERROR(INDEX('Company Hitlist'!$N:$N,MATCH(D757,'Company Hitlist'!$A:$A,0)),)</f>
        <v/>
      </c>
      <c r="Q757" t="inlineStr">
        <is>
          <t>todo</t>
        </is>
      </c>
    </row>
    <row r="758">
      <c r="A758" t="inlineStr">
        <is>
          <t>Sam Im</t>
        </is>
      </c>
      <c r="B758" t="inlineStr">
        <is>
          <t>Attendee</t>
        </is>
      </c>
      <c r="C758" t="inlineStr">
        <is>
          <t>Senior Director, Global Fulfillment</t>
        </is>
      </c>
      <c r="D758" t="inlineStr">
        <is>
          <t>GOAT Group</t>
        </is>
      </c>
      <c r="E758" t="inlineStr">
        <is>
          <t>United States</t>
        </is>
      </c>
      <c r="F758" t="inlineStr">
        <is>
          <t>Yes</t>
        </is>
      </c>
      <c r="H758" t="n">
        <v>10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>
        <f>IFERROR(INDEX('Company Hitlist'!$AA:$AA,MATCH(D758,'Company Hitlist'!$A:$A,0)),)</f>
        <v/>
      </c>
      <c r="O758">
        <f>IFERROR(INDEX('Company Hitlist'!$N:$N,MATCH(D758,'Company Hitlist'!$A:$A,0)),)</f>
        <v/>
      </c>
      <c r="Q758" t="inlineStr">
        <is>
          <t>todo</t>
        </is>
      </c>
    </row>
    <row r="759">
      <c r="A759" t="inlineStr">
        <is>
          <t>Alex Kim</t>
        </is>
      </c>
      <c r="B759" t="inlineStr">
        <is>
          <t>Attendee</t>
        </is>
      </c>
      <c r="C759" t="inlineStr">
        <is>
          <t>Associate Director, Domestic Fulfillment</t>
        </is>
      </c>
      <c r="D759" t="inlineStr">
        <is>
          <t>GOAT Group</t>
        </is>
      </c>
      <c r="F759" t="inlineStr">
        <is>
          <t>Yes</t>
        </is>
      </c>
      <c r="H759" t="n">
        <v>10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>
        <f>IFERROR(INDEX('Company Hitlist'!$AA:$AA,MATCH(D759,'Company Hitlist'!$A:$A,0)),)</f>
        <v/>
      </c>
      <c r="O759">
        <f>IFERROR(INDEX('Company Hitlist'!$N:$N,MATCH(D759,'Company Hitlist'!$A:$A,0)),)</f>
        <v/>
      </c>
      <c r="Q759" t="inlineStr">
        <is>
          <t>todo</t>
        </is>
      </c>
    </row>
    <row r="760">
      <c r="A760" t="inlineStr">
        <is>
          <t>David Lewington</t>
        </is>
      </c>
      <c r="B760" t="inlineStr">
        <is>
          <t>Attendee</t>
        </is>
      </c>
      <c r="C760" t="inlineStr">
        <is>
          <t>Director of Global Logistics</t>
        </is>
      </c>
      <c r="D760" t="inlineStr">
        <is>
          <t>GOAT Group</t>
        </is>
      </c>
      <c r="F760" t="inlineStr">
        <is>
          <t>Yes</t>
        </is>
      </c>
      <c r="H760" t="n">
        <v>10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>
        <f>IFERROR(INDEX('Company Hitlist'!$AA:$AA,MATCH(D760,'Company Hitlist'!$A:$A,0)),)</f>
        <v/>
      </c>
      <c r="O760">
        <f>IFERROR(INDEX('Company Hitlist'!$N:$N,MATCH(D760,'Company Hitlist'!$A:$A,0)),)</f>
        <v/>
      </c>
      <c r="Q760" t="inlineStr">
        <is>
          <t>todo</t>
        </is>
      </c>
    </row>
    <row r="761">
      <c r="A761" t="inlineStr">
        <is>
          <t>Jennifer Mitchell</t>
        </is>
      </c>
      <c r="B761" t="inlineStr">
        <is>
          <t>Attendee</t>
        </is>
      </c>
      <c r="C761" t="inlineStr">
        <is>
          <t>Senior Manager, Global Logistics (Americas)</t>
        </is>
      </c>
      <c r="D761" t="inlineStr">
        <is>
          <t>GOAT Group</t>
        </is>
      </c>
      <c r="H761" t="n">
        <v>10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>
        <f>IFERROR(INDEX('Company Hitlist'!$AA:$AA,MATCH(D761,'Company Hitlist'!$A:$A,0)),)</f>
        <v/>
      </c>
      <c r="O761">
        <f>IFERROR(INDEX('Company Hitlist'!$N:$N,MATCH(D761,'Company Hitlist'!$A:$A,0)),)</f>
        <v/>
      </c>
      <c r="Q761" t="inlineStr">
        <is>
          <t>todo</t>
        </is>
      </c>
    </row>
    <row r="762">
      <c r="A762" t="inlineStr">
        <is>
          <t>Jon Santos</t>
        </is>
      </c>
      <c r="B762" t="inlineStr">
        <is>
          <t>Attendee</t>
        </is>
      </c>
      <c r="C762" t="inlineStr">
        <is>
          <t>Global Trade Compliance Manager (Logistics)</t>
        </is>
      </c>
      <c r="D762" t="inlineStr">
        <is>
          <t>GOAT Group</t>
        </is>
      </c>
      <c r="H762" t="n">
        <v>10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>
        <f>IFERROR(INDEX('Company Hitlist'!$AA:$AA,MATCH(D762,'Company Hitlist'!$A:$A,0)),)</f>
        <v/>
      </c>
      <c r="O762">
        <f>IFERROR(INDEX('Company Hitlist'!$N:$N,MATCH(D762,'Company Hitlist'!$A:$A,0)),)</f>
        <v/>
      </c>
      <c r="Q762" t="inlineStr">
        <is>
          <t>todo</t>
        </is>
      </c>
    </row>
    <row r="763">
      <c r="A763" t="inlineStr">
        <is>
          <t>Lucelena Angarita</t>
        </is>
      </c>
      <c r="B763" t="inlineStr">
        <is>
          <t>Attendee</t>
        </is>
      </c>
      <c r="C763" t="inlineStr">
        <is>
          <t>Director, Supply Chain Visibility</t>
        </is>
      </c>
      <c r="D763" t="inlineStr">
        <is>
          <t>GS1 US</t>
        </is>
      </c>
      <c r="E763" t="inlineStr">
        <is>
          <t>United States</t>
        </is>
      </c>
      <c r="H763" t="n">
        <v>10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>
        <f>IFERROR(INDEX('Company Hitlist'!$AA:$AA,MATCH(D763,'Company Hitlist'!$A:$A,0)),)</f>
        <v/>
      </c>
      <c r="O763">
        <f>IFERROR(INDEX('Company Hitlist'!$N:$N,MATCH(D763,'Company Hitlist'!$A:$A,0)),)</f>
        <v/>
      </c>
      <c r="Q763" t="inlineStr">
        <is>
          <t>todo</t>
        </is>
      </c>
    </row>
    <row r="764">
      <c r="A764" t="inlineStr">
        <is>
          <t>Joshua Hornsby</t>
        </is>
      </c>
      <c r="B764" t="inlineStr">
        <is>
          <t>Attendee</t>
        </is>
      </c>
      <c r="C764" t="inlineStr">
        <is>
          <t>Warehouse Manager</t>
        </is>
      </c>
      <c r="D764" t="inlineStr">
        <is>
          <t>GT Golf Supplies</t>
        </is>
      </c>
      <c r="H764" t="n">
        <v>10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>
        <f>IFERROR(INDEX('Company Hitlist'!$AA:$AA,MATCH(D764,'Company Hitlist'!$A:$A,0)),)</f>
        <v/>
      </c>
      <c r="O764">
        <f>IFERROR(INDEX('Company Hitlist'!$N:$N,MATCH(D764,'Company Hitlist'!$A:$A,0)),)</f>
        <v/>
      </c>
      <c r="Q764" t="inlineStr">
        <is>
          <t>todo</t>
        </is>
      </c>
    </row>
    <row r="765">
      <c r="A765" t="inlineStr">
        <is>
          <t>Dr. Jana Boerger</t>
        </is>
      </c>
      <c r="B765" t="inlineStr">
        <is>
          <t>Attendee</t>
        </is>
      </c>
      <c r="C765" t="inlineStr">
        <is>
          <t>Senior Director, Warehouse AI</t>
        </is>
      </c>
      <c r="D765" t="inlineStr">
        <is>
          <t>GXO</t>
        </is>
      </c>
      <c r="F765" t="inlineStr">
        <is>
          <t>Yes</t>
        </is>
      </c>
      <c r="G765" t="inlineStr">
        <is>
          <t>$10.4B (2024; projected $11B in 2025)</t>
        </is>
      </c>
      <c r="H765" t="n">
        <v>10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>
        <f>IFERROR(INDEX('Company Hitlist'!$AA:$AA,MATCH(D765,'Company Hitlist'!$A:$A,0)),)</f>
        <v/>
      </c>
      <c r="O765">
        <f>IFERROR(INDEX('Company Hitlist'!$N:$N,MATCH(D765,'Company Hitlist'!$A:$A,0)),)</f>
        <v/>
      </c>
      <c r="Q765" t="inlineStr">
        <is>
          <t>todo</t>
        </is>
      </c>
    </row>
    <row r="766">
      <c r="A766" t="inlineStr">
        <is>
          <t>Steve Schwietert</t>
        </is>
      </c>
      <c r="B766" t="inlineStr">
        <is>
          <t>Attendee</t>
        </is>
      </c>
      <c r="C766" t="inlineStr">
        <is>
          <t>Sr. Director GSC Logistics Engineering &amp; Maintenance</t>
        </is>
      </c>
      <c r="D766" t="inlineStr">
        <is>
          <t>Gap</t>
        </is>
      </c>
      <c r="H766" t="n">
        <v>10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>
        <f>IFERROR(INDEX('Company Hitlist'!$AA:$AA,MATCH(D766,'Company Hitlist'!$A:$A,0)),)</f>
        <v/>
      </c>
      <c r="O766">
        <f>IFERROR(INDEX('Company Hitlist'!$N:$N,MATCH(D766,'Company Hitlist'!$A:$A,0)),)</f>
        <v/>
      </c>
      <c r="Q766" t="inlineStr">
        <is>
          <t>todo</t>
        </is>
      </c>
    </row>
    <row r="767">
      <c r="A767" t="inlineStr">
        <is>
          <t>Chris Barker</t>
        </is>
      </c>
      <c r="B767" t="inlineStr">
        <is>
          <t>Attendee</t>
        </is>
      </c>
      <c r="C767" t="inlineStr">
        <is>
          <t>Parcel &amp; Asia Operations</t>
        </is>
      </c>
      <c r="D767" t="inlineStr">
        <is>
          <t>Gap Inc</t>
        </is>
      </c>
      <c r="E767" t="inlineStr">
        <is>
          <t>United States</t>
        </is>
      </c>
      <c r="F767" t="inlineStr">
        <is>
          <t>Yes</t>
        </is>
      </c>
      <c r="H767" t="n">
        <v>10</v>
      </c>
      <c r="I767" t="b">
        <v>1</v>
      </c>
      <c r="J767" t="b">
        <v>0</v>
      </c>
      <c r="K767" t="b">
        <v>0</v>
      </c>
      <c r="L767" t="b">
        <v>0</v>
      </c>
      <c r="M767" t="b">
        <v>0</v>
      </c>
      <c r="N767">
        <f>IFERROR(INDEX('Company Hitlist'!$AA:$AA,MATCH(D767,'Company Hitlist'!$A:$A,0)),)</f>
        <v/>
      </c>
      <c r="O767">
        <f>IFERROR(INDEX('Company Hitlist'!$N:$N,MATCH(D767,'Company Hitlist'!$A:$A,0)),)</f>
        <v/>
      </c>
      <c r="Q767" t="inlineStr">
        <is>
          <t>todo</t>
        </is>
      </c>
    </row>
    <row r="768">
      <c r="A768" t="inlineStr">
        <is>
          <t>Andy Baych</t>
        </is>
      </c>
      <c r="B768" t="inlineStr">
        <is>
          <t>Attendee</t>
        </is>
      </c>
      <c r="C768" t="inlineStr">
        <is>
          <t>Sr Director, Global Logistics</t>
        </is>
      </c>
      <c r="D768" t="inlineStr">
        <is>
          <t>Gap Inc</t>
        </is>
      </c>
      <c r="F768" t="inlineStr">
        <is>
          <t>Yes</t>
        </is>
      </c>
      <c r="H768" t="n">
        <v>10</v>
      </c>
      <c r="I768" t="b">
        <v>1</v>
      </c>
      <c r="J768" t="b">
        <v>0</v>
      </c>
      <c r="K768" t="b">
        <v>0</v>
      </c>
      <c r="L768" t="b">
        <v>0</v>
      </c>
      <c r="M768" t="b">
        <v>0</v>
      </c>
      <c r="N768">
        <f>IFERROR(INDEX('Company Hitlist'!$AA:$AA,MATCH(D768,'Company Hitlist'!$A:$A,0)),)</f>
        <v/>
      </c>
      <c r="O768">
        <f>IFERROR(INDEX('Company Hitlist'!$N:$N,MATCH(D768,'Company Hitlist'!$A:$A,0)),)</f>
        <v/>
      </c>
      <c r="Q768" t="inlineStr">
        <is>
          <t>todo</t>
        </is>
      </c>
    </row>
    <row r="769">
      <c r="A769" t="inlineStr">
        <is>
          <t>Chris Sampson</t>
        </is>
      </c>
      <c r="B769" t="inlineStr">
        <is>
          <t>Attendee</t>
        </is>
      </c>
      <c r="C769" t="inlineStr">
        <is>
          <t>Logistics Automation Leader</t>
        </is>
      </c>
      <c r="D769" t="inlineStr">
        <is>
          <t>Garick</t>
        </is>
      </c>
      <c r="H769" t="n">
        <v>10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>
        <f>IFERROR(INDEX('Company Hitlist'!$AA:$AA,MATCH(D769,'Company Hitlist'!$A:$A,0)),)</f>
        <v/>
      </c>
      <c r="O769">
        <f>IFERROR(INDEX('Company Hitlist'!$N:$N,MATCH(D769,'Company Hitlist'!$A:$A,0)),)</f>
        <v/>
      </c>
      <c r="Q769" t="inlineStr">
        <is>
          <t>todo</t>
        </is>
      </c>
    </row>
    <row r="770">
      <c r="A770" t="inlineStr">
        <is>
          <t>Megan Crist</t>
        </is>
      </c>
      <c r="B770" t="inlineStr">
        <is>
          <t>Attendee</t>
        </is>
      </c>
      <c r="C770" t="inlineStr">
        <is>
          <t>Supply Chain</t>
        </is>
      </c>
      <c r="D770" t="inlineStr">
        <is>
          <t>Gartner</t>
        </is>
      </c>
      <c r="E770" t="inlineStr">
        <is>
          <t>United States</t>
        </is>
      </c>
      <c r="H770" t="n">
        <v>10</v>
      </c>
      <c r="I770" t="b">
        <v>1</v>
      </c>
      <c r="J770" t="b">
        <v>0</v>
      </c>
      <c r="K770" t="b">
        <v>0</v>
      </c>
      <c r="L770" t="b">
        <v>0</v>
      </c>
      <c r="M770" t="b">
        <v>0</v>
      </c>
      <c r="N770">
        <f>IFERROR(INDEX('Company Hitlist'!$AA:$AA,MATCH(D770,'Company Hitlist'!$A:$A,0)),)</f>
        <v/>
      </c>
      <c r="O770">
        <f>IFERROR(INDEX('Company Hitlist'!$N:$N,MATCH(D770,'Company Hitlist'!$A:$A,0)),)</f>
        <v/>
      </c>
      <c r="Q770" t="inlineStr">
        <is>
          <t>todo</t>
        </is>
      </c>
    </row>
    <row r="771">
      <c r="A771" t="inlineStr">
        <is>
          <t>Antonio Acuna</t>
        </is>
      </c>
      <c r="B771" t="inlineStr">
        <is>
          <t>Attendee</t>
        </is>
      </c>
      <c r="C771" t="inlineStr">
        <is>
          <t>Regional Director of Cross Border Logistics US-MX</t>
        </is>
      </c>
      <c r="D771" t="inlineStr">
        <is>
          <t>Gebr der Weiss</t>
        </is>
      </c>
      <c r="E771" t="inlineStr">
        <is>
          <t>United States</t>
        </is>
      </c>
      <c r="H771" t="n">
        <v>10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>
        <f>IFERROR(INDEX('Company Hitlist'!$AA:$AA,MATCH(D771,'Company Hitlist'!$A:$A,0)),)</f>
        <v/>
      </c>
      <c r="O771">
        <f>IFERROR(INDEX('Company Hitlist'!$N:$N,MATCH(D771,'Company Hitlist'!$A:$A,0)),)</f>
        <v/>
      </c>
      <c r="Q771" t="inlineStr">
        <is>
          <t>todo</t>
        </is>
      </c>
    </row>
    <row r="772">
      <c r="A772" t="inlineStr">
        <is>
          <t>Kevin Sendre</t>
        </is>
      </c>
      <c r="B772" t="inlineStr">
        <is>
          <t>Attendee</t>
        </is>
      </c>
      <c r="C772" t="inlineStr">
        <is>
          <t>Director of FTL North America Road Transport</t>
        </is>
      </c>
      <c r="D772" t="inlineStr">
        <is>
          <t>Gebrüder Weiss</t>
        </is>
      </c>
      <c r="E772" t="inlineStr">
        <is>
          <t>United States</t>
        </is>
      </c>
      <c r="F772" t="inlineStr">
        <is>
          <t>Yes</t>
        </is>
      </c>
      <c r="H772" t="n">
        <v>10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>
        <f>IFERROR(INDEX('Company Hitlist'!$AA:$AA,MATCH(D772,'Company Hitlist'!$A:$A,0)),)</f>
        <v/>
      </c>
      <c r="O772">
        <f>IFERROR(INDEX('Company Hitlist'!$N:$N,MATCH(D772,'Company Hitlist'!$A:$A,0)),)</f>
        <v/>
      </c>
      <c r="Q772" t="inlineStr">
        <is>
          <t>todo</t>
        </is>
      </c>
    </row>
    <row r="773">
      <c r="A773" t="inlineStr">
        <is>
          <t>Alan Badillo</t>
        </is>
      </c>
      <c r="B773" t="inlineStr">
        <is>
          <t>Attendee</t>
        </is>
      </c>
      <c r="C773" t="inlineStr">
        <is>
          <t>Operations &amp; Logistics Director</t>
        </is>
      </c>
      <c r="D773" t="inlineStr">
        <is>
          <t>Gebrüder Weiss - Transport and Logistics</t>
        </is>
      </c>
      <c r="E773" t="inlineStr">
        <is>
          <t>United States</t>
        </is>
      </c>
      <c r="F773" t="inlineStr">
        <is>
          <t>Yes</t>
        </is>
      </c>
      <c r="G773" t="inlineStr">
        <is>
          <t>$2.7B (est. 2024)</t>
        </is>
      </c>
      <c r="H773" t="n">
        <v>10</v>
      </c>
      <c r="I773" t="b">
        <v>1</v>
      </c>
      <c r="J773" t="b">
        <v>0</v>
      </c>
      <c r="K773" t="b">
        <v>0</v>
      </c>
      <c r="L773" t="b">
        <v>0</v>
      </c>
      <c r="M773" t="b">
        <v>0</v>
      </c>
      <c r="N773">
        <f>IFERROR(INDEX('Company Hitlist'!$AA:$AA,MATCH(D773,'Company Hitlist'!$A:$A,0)),)</f>
        <v/>
      </c>
      <c r="O773">
        <f>IFERROR(INDEX('Company Hitlist'!$N:$N,MATCH(D773,'Company Hitlist'!$A:$A,0)),)</f>
        <v/>
      </c>
      <c r="Q773" t="inlineStr">
        <is>
          <t>todo</t>
        </is>
      </c>
    </row>
    <row r="774">
      <c r="A774" t="inlineStr">
        <is>
          <t>Alicia Wardell</t>
        </is>
      </c>
      <c r="B774" t="inlineStr">
        <is>
          <t>Attendee</t>
        </is>
      </c>
      <c r="C774" t="inlineStr">
        <is>
          <t>Logistics Technology Engineer</t>
        </is>
      </c>
      <c r="D774" t="inlineStr">
        <is>
          <t>General Mills</t>
        </is>
      </c>
      <c r="H774" t="n">
        <v>10</v>
      </c>
      <c r="I774" t="b">
        <v>1</v>
      </c>
      <c r="J774" t="b">
        <v>0</v>
      </c>
      <c r="K774" t="b">
        <v>0</v>
      </c>
      <c r="L774" t="b">
        <v>0</v>
      </c>
      <c r="M774" t="b">
        <v>0</v>
      </c>
      <c r="N774">
        <f>IFERROR(INDEX('Company Hitlist'!$AA:$AA,MATCH(D774,'Company Hitlist'!$A:$A,0)),)</f>
        <v/>
      </c>
      <c r="O774">
        <f>IFERROR(INDEX('Company Hitlist'!$N:$N,MATCH(D774,'Company Hitlist'!$A:$A,0)),)</f>
        <v/>
      </c>
      <c r="Q774" t="inlineStr">
        <is>
          <t>todo</t>
        </is>
      </c>
    </row>
    <row r="775">
      <c r="A775" t="inlineStr">
        <is>
          <t>Dave Jackett</t>
        </is>
      </c>
      <c r="B775" t="inlineStr">
        <is>
          <t>Attendee</t>
        </is>
      </c>
      <c r="C775" t="inlineStr">
        <is>
          <t>Sr Director of Supply Chain Transformation</t>
        </is>
      </c>
      <c r="D775" t="inlineStr">
        <is>
          <t>General Mills</t>
        </is>
      </c>
      <c r="H775" t="n">
        <v>10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>
        <f>IFERROR(INDEX('Company Hitlist'!$AA:$AA,MATCH(D775,'Company Hitlist'!$A:$A,0)),)</f>
        <v/>
      </c>
      <c r="O775">
        <f>IFERROR(INDEX('Company Hitlist'!$N:$N,MATCH(D775,'Company Hitlist'!$A:$A,0)),)</f>
        <v/>
      </c>
      <c r="Q775" t="inlineStr">
        <is>
          <t>todo</t>
        </is>
      </c>
    </row>
    <row r="776">
      <c r="A776" t="inlineStr">
        <is>
          <t>Tom Miller</t>
        </is>
      </c>
      <c r="B776" t="inlineStr">
        <is>
          <t>Attendee</t>
        </is>
      </c>
      <c r="C776" t="inlineStr">
        <is>
          <t>Packaging and Logistics Technology Solutions</t>
        </is>
      </c>
      <c r="D776" t="inlineStr">
        <is>
          <t>General Mills</t>
        </is>
      </c>
      <c r="H776" t="n">
        <v>10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>
        <f>IFERROR(INDEX('Company Hitlist'!$AA:$AA,MATCH(D776,'Company Hitlist'!$A:$A,0)),)</f>
        <v/>
      </c>
      <c r="O776">
        <f>IFERROR(INDEX('Company Hitlist'!$N:$N,MATCH(D776,'Company Hitlist'!$A:$A,0)),)</f>
        <v/>
      </c>
      <c r="Q776" t="inlineStr">
        <is>
          <t>todo</t>
        </is>
      </c>
    </row>
    <row r="777">
      <c r="A777" t="inlineStr">
        <is>
          <t>Jeff Thom</t>
        </is>
      </c>
      <c r="B777" t="inlineStr">
        <is>
          <t>Attendee</t>
        </is>
      </c>
      <c r="C777" t="inlineStr">
        <is>
          <t>Inbound Logistics Manager</t>
        </is>
      </c>
      <c r="D777" t="inlineStr">
        <is>
          <t>General Motors</t>
        </is>
      </c>
      <c r="H777" t="n">
        <v>10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>
        <f>IFERROR(INDEX('Company Hitlist'!$AA:$AA,MATCH(D777,'Company Hitlist'!$A:$A,0)),)</f>
        <v/>
      </c>
      <c r="O777">
        <f>IFERROR(INDEX('Company Hitlist'!$N:$N,MATCH(D777,'Company Hitlist'!$A:$A,0)),)</f>
        <v/>
      </c>
      <c r="Q777" t="inlineStr">
        <is>
          <t>todo</t>
        </is>
      </c>
    </row>
    <row r="778">
      <c r="A778" t="inlineStr">
        <is>
          <t>Wayne Passmore</t>
        </is>
      </c>
      <c r="B778" t="inlineStr">
        <is>
          <t>Attendee</t>
        </is>
      </c>
      <c r="C778" t="inlineStr">
        <is>
          <t>Manager Robotics &amp; Supply Chain Technology</t>
        </is>
      </c>
      <c r="D778" t="inlineStr">
        <is>
          <t>Gillespiemanners</t>
        </is>
      </c>
      <c r="E778" t="inlineStr">
        <is>
          <t>United Kingdom</t>
        </is>
      </c>
      <c r="H778" t="n">
        <v>10</v>
      </c>
      <c r="I778" t="b">
        <v>1</v>
      </c>
      <c r="J778" t="b">
        <v>0</v>
      </c>
      <c r="K778" t="b">
        <v>0</v>
      </c>
      <c r="L778" t="b">
        <v>0</v>
      </c>
      <c r="M778" t="b">
        <v>0</v>
      </c>
      <c r="N778">
        <f>IFERROR(INDEX('Company Hitlist'!$AA:$AA,MATCH(D778,'Company Hitlist'!$A:$A,0)),)</f>
        <v/>
      </c>
      <c r="O778">
        <f>IFERROR(INDEX('Company Hitlist'!$N:$N,MATCH(D778,'Company Hitlist'!$A:$A,0)),)</f>
        <v/>
      </c>
      <c r="Q778" t="inlineStr">
        <is>
          <t>todo</t>
        </is>
      </c>
    </row>
    <row r="779">
      <c r="A779" t="inlineStr">
        <is>
          <t>Shannon Mccarty</t>
        </is>
      </c>
      <c r="B779" t="inlineStr">
        <is>
          <t>Attendee</t>
        </is>
      </c>
      <c r="C779" t="inlineStr">
        <is>
          <t>Logistics Manager</t>
        </is>
      </c>
      <c r="D779" t="inlineStr">
        <is>
          <t>Globe Electric</t>
        </is>
      </c>
      <c r="E779" t="inlineStr">
        <is>
          <t>Canada</t>
        </is>
      </c>
      <c r="H779" t="n">
        <v>10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>
        <f>IFERROR(INDEX('Company Hitlist'!$AA:$AA,MATCH(D779,'Company Hitlist'!$A:$A,0)),)</f>
        <v/>
      </c>
      <c r="O779">
        <f>IFERROR(INDEX('Company Hitlist'!$N:$N,MATCH(D779,'Company Hitlist'!$A:$A,0)),)</f>
        <v/>
      </c>
      <c r="Q779" t="inlineStr">
        <is>
          <t>todo</t>
        </is>
      </c>
    </row>
    <row r="780">
      <c r="A780" t="inlineStr">
        <is>
          <t>Gizel Espino</t>
        </is>
      </c>
      <c r="B780" t="inlineStr">
        <is>
          <t>Attendee</t>
        </is>
      </c>
      <c r="C780" t="inlineStr">
        <is>
          <t>Sr. Director Supply Chain</t>
        </is>
      </c>
      <c r="D780" t="inlineStr">
        <is>
          <t>Glossier</t>
        </is>
      </c>
      <c r="E780" t="inlineStr">
        <is>
          <t>United States</t>
        </is>
      </c>
      <c r="H780" t="n">
        <v>10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>
        <f>IFERROR(INDEX('Company Hitlist'!$AA:$AA,MATCH(D780,'Company Hitlist'!$A:$A,0)),)</f>
        <v/>
      </c>
      <c r="O780">
        <f>IFERROR(INDEX('Company Hitlist'!$N:$N,MATCH(D780,'Company Hitlist'!$A:$A,0)),)</f>
        <v/>
      </c>
      <c r="Q780" t="inlineStr">
        <is>
          <t>todo</t>
        </is>
      </c>
    </row>
    <row r="781">
      <c r="A781" t="inlineStr">
        <is>
          <t>Leah Gionet</t>
        </is>
      </c>
      <c r="B781" t="inlineStr">
        <is>
          <t>Attendee</t>
        </is>
      </c>
      <c r="C781" t="inlineStr">
        <is>
          <t>Sr. Analyst, Transportation &amp; Trade Compliance</t>
        </is>
      </c>
      <c r="D781" t="inlineStr">
        <is>
          <t>GoPro</t>
        </is>
      </c>
      <c r="F781" t="inlineStr">
        <is>
          <t>Yes</t>
        </is>
      </c>
      <c r="H781" t="n">
        <v>10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>
        <f>IFERROR(INDEX('Company Hitlist'!$AA:$AA,MATCH(D781,'Company Hitlist'!$A:$A,0)),)</f>
        <v/>
      </c>
      <c r="O781">
        <f>IFERROR(INDEX('Company Hitlist'!$N:$N,MATCH(D781,'Company Hitlist'!$A:$A,0)),)</f>
        <v/>
      </c>
      <c r="Q781" t="inlineStr">
        <is>
          <t>todo</t>
        </is>
      </c>
    </row>
    <row r="782">
      <c r="A782" t="inlineStr">
        <is>
          <t>Bharat Radhakrishnan</t>
        </is>
      </c>
      <c r="B782" t="inlineStr">
        <is>
          <t>Attendee</t>
        </is>
      </c>
      <c r="C782" t="inlineStr">
        <is>
          <t>Director, Distribution &amp; Transportation</t>
        </is>
      </c>
      <c r="D782" t="inlineStr">
        <is>
          <t>GoPuff</t>
        </is>
      </c>
      <c r="F782" t="inlineStr">
        <is>
          <t>Yes</t>
        </is>
      </c>
      <c r="H782" t="n">
        <v>10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>
        <f>IFERROR(INDEX('Company Hitlist'!$AA:$AA,MATCH(D782,'Company Hitlist'!$A:$A,0)),)</f>
        <v/>
      </c>
      <c r="O782">
        <f>IFERROR(INDEX('Company Hitlist'!$N:$N,MATCH(D782,'Company Hitlist'!$A:$A,0)),)</f>
        <v/>
      </c>
      <c r="Q782" t="inlineStr">
        <is>
          <t>todo</t>
        </is>
      </c>
    </row>
    <row r="783">
      <c r="A783" t="inlineStr">
        <is>
          <t>Gabriel Corrochano</t>
        </is>
      </c>
      <c r="B783" t="inlineStr">
        <is>
          <t>Attendee</t>
        </is>
      </c>
      <c r="C783" t="inlineStr">
        <is>
          <t>Sr. Director, Supply Chain</t>
        </is>
      </c>
      <c r="D783" t="inlineStr">
        <is>
          <t>GoPuff</t>
        </is>
      </c>
      <c r="H783" t="n">
        <v>10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>
        <f>IFERROR(INDEX('Company Hitlist'!$AA:$AA,MATCH(D783,'Company Hitlist'!$A:$A,0)),)</f>
        <v/>
      </c>
      <c r="O783">
        <f>IFERROR(INDEX('Company Hitlist'!$N:$N,MATCH(D783,'Company Hitlist'!$A:$A,0)),)</f>
        <v/>
      </c>
      <c r="Q783" t="inlineStr">
        <is>
          <t>todo</t>
        </is>
      </c>
    </row>
    <row r="784">
      <c r="A784" t="inlineStr">
        <is>
          <t>Jason Regas</t>
        </is>
      </c>
      <c r="B784" t="inlineStr">
        <is>
          <t>Attendee</t>
        </is>
      </c>
      <c r="C784" t="inlineStr">
        <is>
          <t>Director, Supply Chain</t>
        </is>
      </c>
      <c r="D784" t="inlineStr">
        <is>
          <t>GoPuff</t>
        </is>
      </c>
      <c r="H784" t="n">
        <v>10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>
        <f>IFERROR(INDEX('Company Hitlist'!$AA:$AA,MATCH(D784,'Company Hitlist'!$A:$A,0)),)</f>
        <v/>
      </c>
      <c r="O784">
        <f>IFERROR(INDEX('Company Hitlist'!$N:$N,MATCH(D784,'Company Hitlist'!$A:$A,0)),)</f>
        <v/>
      </c>
      <c r="Q784" t="inlineStr">
        <is>
          <t>todo</t>
        </is>
      </c>
    </row>
    <row r="785">
      <c r="A785" t="inlineStr">
        <is>
          <t>Pat Clark</t>
        </is>
      </c>
      <c r="B785" t="inlineStr">
        <is>
          <t>Attendee</t>
        </is>
      </c>
      <c r="C785" t="inlineStr">
        <is>
          <t>Director, Supply Chain Analytics</t>
        </is>
      </c>
      <c r="D785" t="inlineStr">
        <is>
          <t>GoPuff</t>
        </is>
      </c>
      <c r="H785" t="n">
        <v>10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>
        <f>IFERROR(INDEX('Company Hitlist'!$AA:$AA,MATCH(D785,'Company Hitlist'!$A:$A,0)),)</f>
        <v/>
      </c>
      <c r="O785">
        <f>IFERROR(INDEX('Company Hitlist'!$N:$N,MATCH(D785,'Company Hitlist'!$A:$A,0)),)</f>
        <v/>
      </c>
      <c r="Q785" t="inlineStr">
        <is>
          <t>todo</t>
        </is>
      </c>
    </row>
    <row r="786">
      <c r="A786" t="inlineStr">
        <is>
          <t>Jonathan Mullis</t>
        </is>
      </c>
      <c r="B786" t="inlineStr">
        <is>
          <t>Attendee</t>
        </is>
      </c>
      <c r="C786" t="inlineStr">
        <is>
          <t>Sr Manager Domestic Logistics</t>
        </is>
      </c>
      <c r="D786" t="inlineStr">
        <is>
          <t>GoodShip</t>
        </is>
      </c>
      <c r="E786" t="inlineStr">
        <is>
          <t>United States</t>
        </is>
      </c>
      <c r="H786" t="n">
        <v>10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>
        <f>IFERROR(INDEX('Company Hitlist'!$AA:$AA,MATCH(D786,'Company Hitlist'!$A:$A,0)),)</f>
        <v/>
      </c>
      <c r="O786">
        <f>IFERROR(INDEX('Company Hitlist'!$N:$N,MATCH(D786,'Company Hitlist'!$A:$A,0)),)</f>
        <v/>
      </c>
      <c r="Q786" t="inlineStr">
        <is>
          <t>todo</t>
        </is>
      </c>
    </row>
    <row r="787">
      <c r="A787" t="inlineStr">
        <is>
          <t>Jim Carver</t>
        </is>
      </c>
      <c r="B787" t="inlineStr">
        <is>
          <t>Attendee</t>
        </is>
      </c>
      <c r="C787" t="inlineStr">
        <is>
          <t>Sr. Director of Supply Chain</t>
        </is>
      </c>
      <c r="D787" t="inlineStr">
        <is>
          <t>GoodShip</t>
        </is>
      </c>
      <c r="E787" t="inlineStr">
        <is>
          <t>United States</t>
        </is>
      </c>
      <c r="H787" t="n">
        <v>10</v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>
        <f>IFERROR(INDEX('Company Hitlist'!$AA:$AA,MATCH(D787,'Company Hitlist'!$A:$A,0)),)</f>
        <v/>
      </c>
      <c r="O787">
        <f>IFERROR(INDEX('Company Hitlist'!$N:$N,MATCH(D787,'Company Hitlist'!$A:$A,0)),)</f>
        <v/>
      </c>
      <c r="Q787" t="inlineStr">
        <is>
          <t>todo</t>
        </is>
      </c>
    </row>
    <row r="788">
      <c r="A788" t="inlineStr">
        <is>
          <t>Marisa Dempsey</t>
        </is>
      </c>
      <c r="B788" t="inlineStr">
        <is>
          <t>Attendee</t>
        </is>
      </c>
      <c r="C788" t="inlineStr">
        <is>
          <t>Supply Chain Planning Manager</t>
        </is>
      </c>
      <c r="D788" t="inlineStr">
        <is>
          <t>GoodShip</t>
        </is>
      </c>
      <c r="H788" t="n">
        <v>10</v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>
        <f>IFERROR(INDEX('Company Hitlist'!$AA:$AA,MATCH(D788,'Company Hitlist'!$A:$A,0)),)</f>
        <v/>
      </c>
      <c r="O788">
        <f>IFERROR(INDEX('Company Hitlist'!$N:$N,MATCH(D788,'Company Hitlist'!$A:$A,0)),)</f>
        <v/>
      </c>
      <c r="Q788" t="inlineStr">
        <is>
          <t>todo</t>
        </is>
      </c>
    </row>
    <row r="789">
      <c r="A789" t="inlineStr">
        <is>
          <t>Chris Sewitsky</t>
        </is>
      </c>
      <c r="B789" t="inlineStr">
        <is>
          <t>Attendee</t>
        </is>
      </c>
      <c r="C789" t="inlineStr">
        <is>
          <t>Senior Director of Operations</t>
        </is>
      </c>
      <c r="D789" t="inlineStr">
        <is>
          <t>Goodwill of Orange County</t>
        </is>
      </c>
      <c r="H789" t="n">
        <v>10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>
        <f>IFERROR(INDEX('Company Hitlist'!$AA:$AA,MATCH(D789,'Company Hitlist'!$A:$A,0)),)</f>
        <v/>
      </c>
      <c r="O789">
        <f>IFERROR(INDEX('Company Hitlist'!$N:$N,MATCH(D789,'Company Hitlist'!$A:$A,0)),)</f>
        <v/>
      </c>
      <c r="Q789" t="inlineStr">
        <is>
          <t>todo</t>
        </is>
      </c>
    </row>
    <row r="790">
      <c r="A790" t="inlineStr">
        <is>
          <t>Kevin Sproule</t>
        </is>
      </c>
      <c r="B790" t="inlineStr">
        <is>
          <t>Attendee</t>
        </is>
      </c>
      <c r="C790" t="inlineStr">
        <is>
          <t>Director of Business Operations</t>
        </is>
      </c>
      <c r="D790" t="inlineStr">
        <is>
          <t>Google</t>
        </is>
      </c>
      <c r="F790" t="inlineStr">
        <is>
          <t>Yes</t>
        </is>
      </c>
      <c r="G790" t="inlineStr">
        <is>
          <t>$281.7B (2024; projected $300B in 2025)</t>
        </is>
      </c>
      <c r="H790" t="n">
        <v>10</v>
      </c>
      <c r="I790" t="b">
        <v>1</v>
      </c>
      <c r="J790" t="b">
        <v>0</v>
      </c>
      <c r="K790" t="b">
        <v>0</v>
      </c>
      <c r="L790" t="b">
        <v>0</v>
      </c>
      <c r="M790" t="b">
        <v>0</v>
      </c>
      <c r="N790">
        <f>IFERROR(INDEX('Company Hitlist'!$AA:$AA,MATCH(D790,'Company Hitlist'!$A:$A,0)),)</f>
        <v/>
      </c>
      <c r="O790">
        <f>IFERROR(INDEX('Company Hitlist'!$N:$N,MATCH(D790,'Company Hitlist'!$A:$A,0)),)</f>
        <v/>
      </c>
      <c r="Q790" t="inlineStr">
        <is>
          <t>todo</t>
        </is>
      </c>
    </row>
    <row r="791">
      <c r="A791" t="inlineStr">
        <is>
          <t>Melissa Cava</t>
        </is>
      </c>
      <c r="B791" t="inlineStr">
        <is>
          <t>Attendee</t>
        </is>
      </c>
      <c r="C791" t="inlineStr">
        <is>
          <t>Director of Fulfillment</t>
        </is>
      </c>
      <c r="D791" t="inlineStr">
        <is>
          <t>Google</t>
        </is>
      </c>
      <c r="F791" t="inlineStr">
        <is>
          <t>Yes</t>
        </is>
      </c>
      <c r="G791" t="inlineStr">
        <is>
          <t>$281.7B (2024; projected $300B in 2025)</t>
        </is>
      </c>
      <c r="H791" t="n">
        <v>10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>
        <f>IFERROR(INDEX('Company Hitlist'!$AA:$AA,MATCH(D791,'Company Hitlist'!$A:$A,0)),)</f>
        <v/>
      </c>
      <c r="O791">
        <f>IFERROR(INDEX('Company Hitlist'!$N:$N,MATCH(D791,'Company Hitlist'!$A:$A,0)),)</f>
        <v/>
      </c>
      <c r="Q791" t="inlineStr">
        <is>
          <t>todo</t>
        </is>
      </c>
    </row>
    <row r="792">
      <c r="A792" t="inlineStr">
        <is>
          <t>Omar Molina</t>
        </is>
      </c>
      <c r="B792" t="inlineStr">
        <is>
          <t>Attendee</t>
        </is>
      </c>
      <c r="C792" t="inlineStr">
        <is>
          <t>Director of Transportation</t>
        </is>
      </c>
      <c r="D792" t="inlineStr">
        <is>
          <t>Google</t>
        </is>
      </c>
      <c r="F792" t="inlineStr">
        <is>
          <t>Yes</t>
        </is>
      </c>
      <c r="G792" t="inlineStr">
        <is>
          <t>$281.7B (2024; projected $300B in 2025)</t>
        </is>
      </c>
      <c r="H792" t="n">
        <v>10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>
        <f>IFERROR(INDEX('Company Hitlist'!$AA:$AA,MATCH(D792,'Company Hitlist'!$A:$A,0)),)</f>
        <v/>
      </c>
      <c r="O792">
        <f>IFERROR(INDEX('Company Hitlist'!$N:$N,MATCH(D792,'Company Hitlist'!$A:$A,0)),)</f>
        <v/>
      </c>
      <c r="Q792" t="inlineStr">
        <is>
          <t>todo</t>
        </is>
      </c>
    </row>
    <row r="793">
      <c r="A793" t="inlineStr">
        <is>
          <t>Addie Centeno</t>
        </is>
      </c>
      <c r="B793" t="inlineStr">
        <is>
          <t>Attendee</t>
        </is>
      </c>
      <c r="C793" t="inlineStr">
        <is>
          <t>Director, Logistics I</t>
        </is>
      </c>
      <c r="D793" t="inlineStr">
        <is>
          <t>Graphic Packaging International</t>
        </is>
      </c>
      <c r="H793" t="n">
        <v>10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>
        <f>IFERROR(INDEX('Company Hitlist'!$AA:$AA,MATCH(D793,'Company Hitlist'!$A:$A,0)),)</f>
        <v/>
      </c>
      <c r="O793">
        <f>IFERROR(INDEX('Company Hitlist'!$N:$N,MATCH(D793,'Company Hitlist'!$A:$A,0)),)</f>
        <v/>
      </c>
      <c r="Q793" t="inlineStr">
        <is>
          <t>todo</t>
        </is>
      </c>
    </row>
    <row r="794">
      <c r="A794" t="inlineStr">
        <is>
          <t>Kim Murtaugh</t>
        </is>
      </c>
      <c r="B794" t="inlineStr">
        <is>
          <t>Attendee</t>
        </is>
      </c>
      <c r="C794" t="inlineStr">
        <is>
          <t>Logistics Sr. Manager</t>
        </is>
      </c>
      <c r="D794" t="inlineStr">
        <is>
          <t>Graphic Packaging International</t>
        </is>
      </c>
      <c r="H794" t="n">
        <v>10</v>
      </c>
      <c r="I794" t="b">
        <v>1</v>
      </c>
      <c r="J794" t="b">
        <v>0</v>
      </c>
      <c r="K794" t="b">
        <v>0</v>
      </c>
      <c r="L794" t="b">
        <v>0</v>
      </c>
      <c r="M794" t="b">
        <v>0</v>
      </c>
      <c r="N794">
        <f>IFERROR(INDEX('Company Hitlist'!$AA:$AA,MATCH(D794,'Company Hitlist'!$A:$A,0)),)</f>
        <v/>
      </c>
      <c r="O794">
        <f>IFERROR(INDEX('Company Hitlist'!$N:$N,MATCH(D794,'Company Hitlist'!$A:$A,0)),)</f>
        <v/>
      </c>
      <c r="Q794" t="inlineStr">
        <is>
          <t>todo</t>
        </is>
      </c>
    </row>
    <row r="795">
      <c r="A795" t="inlineStr">
        <is>
          <t>Vijay Muralidaran</t>
        </is>
      </c>
      <c r="B795" t="inlineStr">
        <is>
          <t>Attendee</t>
        </is>
      </c>
      <c r="C795" t="inlineStr">
        <is>
          <t>Director of Operations, Supply Chain</t>
        </is>
      </c>
      <c r="D795" t="inlineStr">
        <is>
          <t>Griffith Foods</t>
        </is>
      </c>
      <c r="H795" t="n">
        <v>10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>
        <f>IFERROR(INDEX('Company Hitlist'!$AA:$AA,MATCH(D795,'Company Hitlist'!$A:$A,0)),)</f>
        <v/>
      </c>
      <c r="O795">
        <f>IFERROR(INDEX('Company Hitlist'!$N:$N,MATCH(D795,'Company Hitlist'!$A:$A,0)),)</f>
        <v/>
      </c>
      <c r="Q795" t="inlineStr">
        <is>
          <t>todo</t>
        </is>
      </c>
    </row>
    <row r="796">
      <c r="A796" t="inlineStr">
        <is>
          <t>Scott Fremont</t>
        </is>
      </c>
      <c r="B796" t="inlineStr">
        <is>
          <t>Attendee</t>
        </is>
      </c>
      <c r="C796" t="inlineStr">
        <is>
          <t>Cheif Supply Chain Officer</t>
        </is>
      </c>
      <c r="D796" t="inlineStr">
        <is>
          <t>Grocery Outlet</t>
        </is>
      </c>
      <c r="H796" t="n">
        <v>10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>
        <f>IFERROR(INDEX('Company Hitlist'!$AA:$AA,MATCH(D796,'Company Hitlist'!$A:$A,0)),)</f>
        <v/>
      </c>
      <c r="O796">
        <f>IFERROR(INDEX('Company Hitlist'!$N:$N,MATCH(D796,'Company Hitlist'!$A:$A,0)),)</f>
        <v/>
      </c>
      <c r="Q796" t="inlineStr">
        <is>
          <t>todo</t>
        </is>
      </c>
    </row>
    <row r="797">
      <c r="A797" t="inlineStr">
        <is>
          <t>Graham Magyar</t>
        </is>
      </c>
      <c r="B797" t="inlineStr">
        <is>
          <t>Attendee</t>
        </is>
      </c>
      <c r="C797" t="inlineStr">
        <is>
          <t>Logistics Manager</t>
        </is>
      </c>
      <c r="D797" t="inlineStr">
        <is>
          <t>GroupeVusion Ltée</t>
        </is>
      </c>
      <c r="E797" t="inlineStr">
        <is>
          <t>Canada</t>
        </is>
      </c>
      <c r="H797" t="n">
        <v>10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>
        <f>IFERROR(INDEX('Company Hitlist'!$AA:$AA,MATCH(D797,'Company Hitlist'!$A:$A,0)),)</f>
        <v/>
      </c>
      <c r="O797">
        <f>IFERROR(INDEX('Company Hitlist'!$N:$N,MATCH(D797,'Company Hitlist'!$A:$A,0)),)</f>
        <v/>
      </c>
      <c r="Q797" t="inlineStr">
        <is>
          <t>todo</t>
        </is>
      </c>
    </row>
    <row r="798">
      <c r="A798" t="inlineStr">
        <is>
          <t>Miguel Collado</t>
        </is>
      </c>
      <c r="B798" t="inlineStr">
        <is>
          <t>Attendee</t>
        </is>
      </c>
      <c r="C798" t="inlineStr">
        <is>
          <t>Logistics Director</t>
        </is>
      </c>
      <c r="D798" t="inlineStr">
        <is>
          <t>Grupo Herdez</t>
        </is>
      </c>
      <c r="E798" t="inlineStr">
        <is>
          <t>Mexico</t>
        </is>
      </c>
      <c r="F798" t="inlineStr">
        <is>
          <t>Yes</t>
        </is>
      </c>
      <c r="H798" t="n">
        <v>10</v>
      </c>
      <c r="I798" t="b">
        <v>1</v>
      </c>
      <c r="J798" t="b">
        <v>0</v>
      </c>
      <c r="K798" t="b">
        <v>0</v>
      </c>
      <c r="L798" t="b">
        <v>0</v>
      </c>
      <c r="M798" t="b">
        <v>0</v>
      </c>
      <c r="N798">
        <f>IFERROR(INDEX('Company Hitlist'!$AA:$AA,MATCH(D798,'Company Hitlist'!$A:$A,0)),)</f>
        <v/>
      </c>
      <c r="O798">
        <f>IFERROR(INDEX('Company Hitlist'!$N:$N,MATCH(D798,'Company Hitlist'!$A:$A,0)),)</f>
        <v/>
      </c>
      <c r="Q798" t="inlineStr">
        <is>
          <t>todo</t>
        </is>
      </c>
    </row>
    <row r="799">
      <c r="A799" t="inlineStr">
        <is>
          <t>Juan Carrasco Gutierrez</t>
        </is>
      </c>
      <c r="B799" t="inlineStr">
        <is>
          <t>Attendee</t>
        </is>
      </c>
      <c r="C799" t="inlineStr">
        <is>
          <t>Director of Supply Chain</t>
        </is>
      </c>
      <c r="D799" t="inlineStr">
        <is>
          <t>HF Foods</t>
        </is>
      </c>
      <c r="H799" t="n">
        <v>10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>
        <f>IFERROR(INDEX('Company Hitlist'!$AA:$AA,MATCH(D799,'Company Hitlist'!$A:$A,0)),)</f>
        <v/>
      </c>
      <c r="O799">
        <f>IFERROR(INDEX('Company Hitlist'!$N:$N,MATCH(D799,'Company Hitlist'!$A:$A,0)),)</f>
        <v/>
      </c>
      <c r="Q799" t="inlineStr">
        <is>
          <t>todo</t>
        </is>
      </c>
    </row>
    <row r="800">
      <c r="A800" t="inlineStr">
        <is>
          <t>Donnie Boehnke</t>
        </is>
      </c>
      <c r="B800" t="inlineStr">
        <is>
          <t>Attendee</t>
        </is>
      </c>
      <c r="C800" t="inlineStr">
        <is>
          <t>Logistics Manager</t>
        </is>
      </c>
      <c r="D800" t="inlineStr">
        <is>
          <t>HP, Inc.</t>
        </is>
      </c>
      <c r="H800" t="n">
        <v>10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>
        <f>IFERROR(INDEX('Company Hitlist'!$AA:$AA,MATCH(D800,'Company Hitlist'!$A:$A,0)),)</f>
        <v/>
      </c>
      <c r="O800">
        <f>IFERROR(INDEX('Company Hitlist'!$N:$N,MATCH(D800,'Company Hitlist'!$A:$A,0)),)</f>
        <v/>
      </c>
      <c r="Q800" t="inlineStr">
        <is>
          <t>todo</t>
        </is>
      </c>
    </row>
    <row r="801">
      <c r="A801" t="inlineStr">
        <is>
          <t>Jerry Garcia</t>
        </is>
      </c>
      <c r="B801" t="inlineStr">
        <is>
          <t>Attendee</t>
        </is>
      </c>
      <c r="C801" t="inlineStr">
        <is>
          <t>Americas Logistics Lead – MP&amp;L</t>
        </is>
      </c>
      <c r="D801" t="inlineStr">
        <is>
          <t>Hanon Systems</t>
        </is>
      </c>
      <c r="E801" t="inlineStr">
        <is>
          <t>United States</t>
        </is>
      </c>
      <c r="H801" t="n">
        <v>10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>
        <f>IFERROR(INDEX('Company Hitlist'!$AA:$AA,MATCH(D801,'Company Hitlist'!$A:$A,0)),)</f>
        <v/>
      </c>
      <c r="O801">
        <f>IFERROR(INDEX('Company Hitlist'!$N:$N,MATCH(D801,'Company Hitlist'!$A:$A,0)),)</f>
        <v/>
      </c>
      <c r="Q801" t="inlineStr">
        <is>
          <t>todo</t>
        </is>
      </c>
    </row>
    <row r="802">
      <c r="A802" t="inlineStr">
        <is>
          <t>Jeff Radford</t>
        </is>
      </c>
      <c r="B802" t="inlineStr">
        <is>
          <t>Attendee</t>
        </is>
      </c>
      <c r="C802" t="inlineStr">
        <is>
          <t>BDM - Logistics</t>
        </is>
      </c>
      <c r="D802" t="inlineStr">
        <is>
          <t>Hanwha Vision</t>
        </is>
      </c>
      <c r="E802" t="inlineStr">
        <is>
          <t>United States</t>
        </is>
      </c>
      <c r="F802" t="inlineStr">
        <is>
          <t>Yes</t>
        </is>
      </c>
      <c r="H802" t="n">
        <v>10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>
        <f>IFERROR(INDEX('Company Hitlist'!$AA:$AA,MATCH(D802,'Company Hitlist'!$A:$A,0)),)</f>
        <v/>
      </c>
      <c r="O802">
        <f>IFERROR(INDEX('Company Hitlist'!$N:$N,MATCH(D802,'Company Hitlist'!$A:$A,0)),)</f>
        <v/>
      </c>
      <c r="Q802" t="inlineStr">
        <is>
          <t>todo</t>
        </is>
      </c>
    </row>
    <row r="803">
      <c r="A803" t="inlineStr">
        <is>
          <t>Jeremy James</t>
        </is>
      </c>
      <c r="B803" t="inlineStr">
        <is>
          <t>Attendee</t>
        </is>
      </c>
      <c r="C803" t="inlineStr">
        <is>
          <t>Logistics Manager</t>
        </is>
      </c>
      <c r="D803" t="inlineStr">
        <is>
          <t>Harley-Davidson</t>
        </is>
      </c>
      <c r="E803" t="inlineStr">
        <is>
          <t>United States</t>
        </is>
      </c>
      <c r="H803" t="n">
        <v>10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>
        <f>IFERROR(INDEX('Company Hitlist'!$AA:$AA,MATCH(D803,'Company Hitlist'!$A:$A,0)),)</f>
        <v/>
      </c>
      <c r="O803">
        <f>IFERROR(INDEX('Company Hitlist'!$N:$N,MATCH(D803,'Company Hitlist'!$A:$A,0)),)</f>
        <v/>
      </c>
      <c r="Q803" t="inlineStr">
        <is>
          <t>todo</t>
        </is>
      </c>
    </row>
    <row r="804">
      <c r="A804" t="inlineStr">
        <is>
          <t>Kevin Lentz</t>
        </is>
      </c>
      <c r="B804" t="inlineStr">
        <is>
          <t>Attendee</t>
        </is>
      </c>
      <c r="C804" t="inlineStr">
        <is>
          <t>Director of Ops</t>
        </is>
      </c>
      <c r="D804" t="inlineStr">
        <is>
          <t>Hatch</t>
        </is>
      </c>
      <c r="H804" t="n">
        <v>10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>
        <f>IFERROR(INDEX('Company Hitlist'!$AA:$AA,MATCH(D804,'Company Hitlist'!$A:$A,0)),)</f>
        <v/>
      </c>
      <c r="O804">
        <f>IFERROR(INDEX('Company Hitlist'!$N:$N,MATCH(D804,'Company Hitlist'!$A:$A,0)),)</f>
        <v/>
      </c>
      <c r="Q804" t="inlineStr">
        <is>
          <t>todo</t>
        </is>
      </c>
    </row>
    <row r="805">
      <c r="A805" t="inlineStr">
        <is>
          <t>Charlie Witsil</t>
        </is>
      </c>
      <c r="B805" t="inlineStr">
        <is>
          <t>Attendee</t>
        </is>
      </c>
      <c r="C805" t="inlineStr">
        <is>
          <t>Director of Transportation</t>
        </is>
      </c>
      <c r="D805" t="inlineStr">
        <is>
          <t>Heineken N.V.</t>
        </is>
      </c>
      <c r="F805" t="inlineStr">
        <is>
          <t>Yes</t>
        </is>
      </c>
      <c r="H805" t="n">
        <v>10</v>
      </c>
      <c r="I805" t="b">
        <v>1</v>
      </c>
      <c r="J805" t="b">
        <v>0</v>
      </c>
      <c r="K805" t="b">
        <v>0</v>
      </c>
      <c r="L805" t="b">
        <v>0</v>
      </c>
      <c r="M805" t="b">
        <v>0</v>
      </c>
      <c r="N805">
        <f>IFERROR(INDEX('Company Hitlist'!$AA:$AA,MATCH(D805,'Company Hitlist'!$A:$A,0)),)</f>
        <v/>
      </c>
      <c r="O805">
        <f>IFERROR(INDEX('Company Hitlist'!$N:$N,MATCH(D805,'Company Hitlist'!$A:$A,0)),)</f>
        <v/>
      </c>
      <c r="Q805" t="inlineStr">
        <is>
          <t>todo</t>
        </is>
      </c>
    </row>
    <row r="806">
      <c r="A806" t="inlineStr">
        <is>
          <t>Naveen Nicholas</t>
        </is>
      </c>
      <c r="B806" t="inlineStr">
        <is>
          <t>Attendee</t>
        </is>
      </c>
      <c r="C806" t="inlineStr">
        <is>
          <t>Director, Transportation</t>
        </is>
      </c>
      <c r="D806" t="inlineStr">
        <is>
          <t>Heineken N.V.</t>
        </is>
      </c>
      <c r="F806" t="inlineStr">
        <is>
          <t>Yes</t>
        </is>
      </c>
      <c r="H806" t="n">
        <v>10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>
        <f>IFERROR(INDEX('Company Hitlist'!$AA:$AA,MATCH(D806,'Company Hitlist'!$A:$A,0)),)</f>
        <v/>
      </c>
      <c r="O806">
        <f>IFERROR(INDEX('Company Hitlist'!$N:$N,MATCH(D806,'Company Hitlist'!$A:$A,0)),)</f>
        <v/>
      </c>
      <c r="Q806" t="inlineStr">
        <is>
          <t>todo</t>
        </is>
      </c>
    </row>
    <row r="807">
      <c r="A807" t="inlineStr">
        <is>
          <t>Troy Delamar</t>
        </is>
      </c>
      <c r="B807" t="inlineStr">
        <is>
          <t>Attendee</t>
        </is>
      </c>
      <c r="C807" t="inlineStr">
        <is>
          <t>Logistics Supervisor</t>
        </is>
      </c>
      <c r="D807" t="inlineStr">
        <is>
          <t>HelloFresh</t>
        </is>
      </c>
      <c r="E807" t="inlineStr">
        <is>
          <t>United States</t>
        </is>
      </c>
      <c r="H807" t="n">
        <v>10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>
        <f>IFERROR(INDEX('Company Hitlist'!$AA:$AA,MATCH(D807,'Company Hitlist'!$A:$A,0)),)</f>
        <v/>
      </c>
      <c r="O807">
        <f>IFERROR(INDEX('Company Hitlist'!$N:$N,MATCH(D807,'Company Hitlist'!$A:$A,0)),)</f>
        <v/>
      </c>
      <c r="Q807" t="inlineStr">
        <is>
          <t>todo</t>
        </is>
      </c>
    </row>
    <row r="808">
      <c r="A808" t="inlineStr">
        <is>
          <t>Trisha Brandon</t>
        </is>
      </c>
      <c r="B808" t="inlineStr">
        <is>
          <t>Attendee</t>
        </is>
      </c>
      <c r="C808" t="inlineStr">
        <is>
          <t>Director of Distribution</t>
        </is>
      </c>
      <c r="D808" t="inlineStr">
        <is>
          <t>Henkel</t>
        </is>
      </c>
      <c r="E808" t="inlineStr">
        <is>
          <t>United States</t>
        </is>
      </c>
      <c r="F808" t="inlineStr">
        <is>
          <t>Yes</t>
        </is>
      </c>
      <c r="H808" t="n">
        <v>10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>
        <f>IFERROR(INDEX('Company Hitlist'!$AA:$AA,MATCH(D808,'Company Hitlist'!$A:$A,0)),)</f>
        <v/>
      </c>
      <c r="O808">
        <f>IFERROR(INDEX('Company Hitlist'!$N:$N,MATCH(D808,'Company Hitlist'!$A:$A,0)),)</f>
        <v/>
      </c>
      <c r="Q808" t="inlineStr">
        <is>
          <t>todo</t>
        </is>
      </c>
    </row>
    <row r="809">
      <c r="A809" t="inlineStr">
        <is>
          <t>Gohar Azhar</t>
        </is>
      </c>
      <c r="B809" t="inlineStr">
        <is>
          <t>Attendee</t>
        </is>
      </c>
      <c r="C809" t="inlineStr">
        <is>
          <t>Sr Mgr Logistics Excellence &amp; DA</t>
        </is>
      </c>
      <c r="D809" t="inlineStr">
        <is>
          <t>Henkel</t>
        </is>
      </c>
      <c r="F809" t="inlineStr">
        <is>
          <t>Yes</t>
        </is>
      </c>
      <c r="H809" t="n">
        <v>10</v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>
        <f>IFERROR(INDEX('Company Hitlist'!$AA:$AA,MATCH(D809,'Company Hitlist'!$A:$A,0)),)</f>
        <v/>
      </c>
      <c r="O809">
        <f>IFERROR(INDEX('Company Hitlist'!$N:$N,MATCH(D809,'Company Hitlist'!$A:$A,0)),)</f>
        <v/>
      </c>
      <c r="Q809" t="inlineStr">
        <is>
          <t>todo</t>
        </is>
      </c>
    </row>
    <row r="810">
      <c r="A810" t="inlineStr">
        <is>
          <t>R Todd Morley</t>
        </is>
      </c>
      <c r="B810" t="inlineStr">
        <is>
          <t>Attendee</t>
        </is>
      </c>
      <c r="C810" t="inlineStr">
        <is>
          <t>Leader North American Distribution Services</t>
        </is>
      </c>
      <c r="D810" t="inlineStr">
        <is>
          <t>Henkel</t>
        </is>
      </c>
      <c r="F810" t="inlineStr">
        <is>
          <t>Yes</t>
        </is>
      </c>
      <c r="H810" t="n">
        <v>10</v>
      </c>
      <c r="I810" t="b">
        <v>1</v>
      </c>
      <c r="J810" t="b">
        <v>0</v>
      </c>
      <c r="K810" t="b">
        <v>0</v>
      </c>
      <c r="L810" t="b">
        <v>0</v>
      </c>
      <c r="M810" t="b">
        <v>0</v>
      </c>
      <c r="N810">
        <f>IFERROR(INDEX('Company Hitlist'!$AA:$AA,MATCH(D810,'Company Hitlist'!$A:$A,0)),)</f>
        <v/>
      </c>
      <c r="O810">
        <f>IFERROR(INDEX('Company Hitlist'!$N:$N,MATCH(D810,'Company Hitlist'!$A:$A,0)),)</f>
        <v/>
      </c>
      <c r="Q810" t="inlineStr">
        <is>
          <t>todo</t>
        </is>
      </c>
    </row>
    <row r="811">
      <c r="A811" t="inlineStr">
        <is>
          <t>Viashen Pillay</t>
        </is>
      </c>
      <c r="B811" t="inlineStr">
        <is>
          <t>Attendee</t>
        </is>
      </c>
      <c r="C811" t="inlineStr">
        <is>
          <t>Dir Distribution, Warehousing &amp; Transport</t>
        </is>
      </c>
      <c r="D811" t="inlineStr">
        <is>
          <t>Henkel</t>
        </is>
      </c>
      <c r="F811" t="inlineStr">
        <is>
          <t>Yes</t>
        </is>
      </c>
      <c r="H811" t="n">
        <v>10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>
        <f>IFERROR(INDEX('Company Hitlist'!$AA:$AA,MATCH(D811,'Company Hitlist'!$A:$A,0)),)</f>
        <v/>
      </c>
      <c r="O811">
        <f>IFERROR(INDEX('Company Hitlist'!$N:$N,MATCH(D811,'Company Hitlist'!$A:$A,0)),)</f>
        <v/>
      </c>
      <c r="Q811" t="inlineStr">
        <is>
          <t>todo</t>
        </is>
      </c>
    </row>
    <row r="812">
      <c r="A812" t="inlineStr">
        <is>
          <t>Tim Dewald</t>
        </is>
      </c>
      <c r="B812" t="inlineStr">
        <is>
          <t>Attendee</t>
        </is>
      </c>
      <c r="C812" t="inlineStr">
        <is>
          <t>Director of Supply Chain</t>
        </is>
      </c>
      <c r="D812" t="inlineStr">
        <is>
          <t>Hercules Inc</t>
        </is>
      </c>
      <c r="H812" t="n">
        <v>10</v>
      </c>
      <c r="I812" t="b">
        <v>1</v>
      </c>
      <c r="J812" t="b">
        <v>0</v>
      </c>
      <c r="K812" t="b">
        <v>0</v>
      </c>
      <c r="L812" t="b">
        <v>0</v>
      </c>
      <c r="M812" t="b">
        <v>0</v>
      </c>
      <c r="N812">
        <f>IFERROR(INDEX('Company Hitlist'!$AA:$AA,MATCH(D812,'Company Hitlist'!$A:$A,0)),)</f>
        <v/>
      </c>
      <c r="O812">
        <f>IFERROR(INDEX('Company Hitlist'!$N:$N,MATCH(D812,'Company Hitlist'!$A:$A,0)),)</f>
        <v/>
      </c>
      <c r="Q812" t="inlineStr">
        <is>
          <t>todo</t>
        </is>
      </c>
    </row>
    <row r="813">
      <c r="A813" t="inlineStr">
        <is>
          <t>Elias Noronha</t>
        </is>
      </c>
      <c r="B813" t="inlineStr">
        <is>
          <t>Attendee</t>
        </is>
      </c>
      <c r="C813" t="inlineStr">
        <is>
          <t>Divisional Director Logistics</t>
        </is>
      </c>
      <c r="D813" t="inlineStr">
        <is>
          <t>Hills Pet Nutrition</t>
        </is>
      </c>
      <c r="E813" t="inlineStr">
        <is>
          <t>United States</t>
        </is>
      </c>
      <c r="F813" t="inlineStr">
        <is>
          <t>Yes</t>
        </is>
      </c>
      <c r="H813" t="n">
        <v>10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>
        <f>IFERROR(INDEX('Company Hitlist'!$AA:$AA,MATCH(D813,'Company Hitlist'!$A:$A,0)),)</f>
        <v/>
      </c>
      <c r="O813">
        <f>IFERROR(INDEX('Company Hitlist'!$N:$N,MATCH(D813,'Company Hitlist'!$A:$A,0)),)</f>
        <v/>
      </c>
      <c r="Q813" t="inlineStr">
        <is>
          <t>todo</t>
        </is>
      </c>
    </row>
    <row r="814">
      <c r="A814" t="inlineStr">
        <is>
          <t>Semir Basic</t>
        </is>
      </c>
      <c r="B814" t="inlineStr">
        <is>
          <t>Attendee</t>
        </is>
      </c>
      <c r="C814" t="inlineStr">
        <is>
          <t>Director of Logistics</t>
        </is>
      </c>
      <c r="D814" t="inlineStr">
        <is>
          <t>Homewerks</t>
        </is>
      </c>
      <c r="H814" t="n">
        <v>10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>
        <f>IFERROR(INDEX('Company Hitlist'!$AA:$AA,MATCH(D814,'Company Hitlist'!$A:$A,0)),)</f>
        <v/>
      </c>
      <c r="O814">
        <f>IFERROR(INDEX('Company Hitlist'!$N:$N,MATCH(D814,'Company Hitlist'!$A:$A,0)),)</f>
        <v/>
      </c>
      <c r="Q814" t="inlineStr">
        <is>
          <t>todo</t>
        </is>
      </c>
    </row>
    <row r="815">
      <c r="A815" t="inlineStr">
        <is>
          <t>Arvind Srivathsan</t>
        </is>
      </c>
      <c r="B815" t="inlineStr">
        <is>
          <t>Attendee</t>
        </is>
      </c>
      <c r="C815" t="inlineStr">
        <is>
          <t>Director of Logistics</t>
        </is>
      </c>
      <c r="D815" t="inlineStr">
        <is>
          <t>Honeywell</t>
        </is>
      </c>
      <c r="F815" t="inlineStr">
        <is>
          <t>Yes</t>
        </is>
      </c>
      <c r="H815" t="n">
        <v>10</v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>
        <f>IFERROR(INDEX('Company Hitlist'!$AA:$AA,MATCH(D815,'Company Hitlist'!$A:$A,0)),)</f>
        <v/>
      </c>
      <c r="O815">
        <f>IFERROR(INDEX('Company Hitlist'!$N:$N,MATCH(D815,'Company Hitlist'!$A:$A,0)),)</f>
        <v/>
      </c>
      <c r="Q815" t="inlineStr">
        <is>
          <t>todo</t>
        </is>
      </c>
    </row>
    <row r="816">
      <c r="A816" t="inlineStr">
        <is>
          <t>Brian Sedlak</t>
        </is>
      </c>
      <c r="B816" t="inlineStr">
        <is>
          <t>Attendee</t>
        </is>
      </c>
      <c r="C816" t="inlineStr">
        <is>
          <t>Operations &amp; Logistics Manager, US Expansion</t>
        </is>
      </c>
      <c r="D816" t="inlineStr">
        <is>
          <t>Hotel Chocolat</t>
        </is>
      </c>
      <c r="H816" t="n">
        <v>10</v>
      </c>
      <c r="I816" t="b">
        <v>1</v>
      </c>
      <c r="J816" t="b">
        <v>0</v>
      </c>
      <c r="K816" t="b">
        <v>0</v>
      </c>
      <c r="L816" t="b">
        <v>0</v>
      </c>
      <c r="M816" t="b">
        <v>0</v>
      </c>
      <c r="N816">
        <f>IFERROR(INDEX('Company Hitlist'!$AA:$AA,MATCH(D816,'Company Hitlist'!$A:$A,0)),)</f>
        <v/>
      </c>
      <c r="O816">
        <f>IFERROR(INDEX('Company Hitlist'!$N:$N,MATCH(D816,'Company Hitlist'!$A:$A,0)),)</f>
        <v/>
      </c>
      <c r="Q816" t="inlineStr">
        <is>
          <t>todo</t>
        </is>
      </c>
    </row>
    <row r="817">
      <c r="A817" t="inlineStr">
        <is>
          <t>Andrew Curtin</t>
        </is>
      </c>
      <c r="B817" t="inlineStr">
        <is>
          <t>Attendee</t>
        </is>
      </c>
      <c r="C817" t="inlineStr">
        <is>
          <t>Customer Delivery Logistics Leader</t>
        </is>
      </c>
      <c r="D817" t="inlineStr">
        <is>
          <t>Hunter Douglas</t>
        </is>
      </c>
      <c r="H817" t="n">
        <v>10</v>
      </c>
      <c r="I817" t="b">
        <v>1</v>
      </c>
      <c r="J817" t="b">
        <v>0</v>
      </c>
      <c r="K817" t="b">
        <v>0</v>
      </c>
      <c r="L817" t="b">
        <v>0</v>
      </c>
      <c r="M817" t="b">
        <v>0</v>
      </c>
      <c r="N817">
        <f>IFERROR(INDEX('Company Hitlist'!$AA:$AA,MATCH(D817,'Company Hitlist'!$A:$A,0)),)</f>
        <v/>
      </c>
      <c r="O817">
        <f>IFERROR(INDEX('Company Hitlist'!$N:$N,MATCH(D817,'Company Hitlist'!$A:$A,0)),)</f>
        <v/>
      </c>
      <c r="Q817" t="inlineStr">
        <is>
          <t>todo</t>
        </is>
      </c>
    </row>
    <row r="818">
      <c r="A818" t="inlineStr">
        <is>
          <t>Madeline Heartt</t>
        </is>
      </c>
      <c r="B818" t="inlineStr">
        <is>
          <t>Attendee</t>
        </is>
      </c>
      <c r="C818" t="inlineStr">
        <is>
          <t>Senior Director, Operations</t>
        </is>
      </c>
      <c r="D818" t="inlineStr">
        <is>
          <t>ILIA Beauty</t>
        </is>
      </c>
      <c r="F818" t="inlineStr">
        <is>
          <t>Yes</t>
        </is>
      </c>
      <c r="H818" t="n">
        <v>10</v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  <c r="N818">
        <f>IFERROR(INDEX('Company Hitlist'!$AA:$AA,MATCH(D818,'Company Hitlist'!$A:$A,0)),)</f>
        <v/>
      </c>
      <c r="O818">
        <f>IFERROR(INDEX('Company Hitlist'!$N:$N,MATCH(D818,'Company Hitlist'!$A:$A,0)),)</f>
        <v/>
      </c>
      <c r="Q818" t="inlineStr">
        <is>
          <t>todo</t>
        </is>
      </c>
    </row>
    <row r="819">
      <c r="A819" t="inlineStr">
        <is>
          <t>Justin Tayes</t>
        </is>
      </c>
      <c r="B819" t="inlineStr">
        <is>
          <t>Attendee</t>
        </is>
      </c>
      <c r="C819" t="inlineStr">
        <is>
          <t>Supply Chain Manager</t>
        </is>
      </c>
      <c r="D819" t="inlineStr">
        <is>
          <t>Identity Group</t>
        </is>
      </c>
      <c r="H819" t="n">
        <v>10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>
        <f>IFERROR(INDEX('Company Hitlist'!$AA:$AA,MATCH(D819,'Company Hitlist'!$A:$A,0)),)</f>
        <v/>
      </c>
      <c r="O819">
        <f>IFERROR(INDEX('Company Hitlist'!$N:$N,MATCH(D819,'Company Hitlist'!$A:$A,0)),)</f>
        <v/>
      </c>
      <c r="Q819" t="inlineStr">
        <is>
          <t>todo</t>
        </is>
      </c>
    </row>
    <row r="820">
      <c r="A820" t="inlineStr">
        <is>
          <t>Gina Blake</t>
        </is>
      </c>
      <c r="B820" t="inlineStr">
        <is>
          <t>Attendee</t>
        </is>
      </c>
      <c r="C820" t="inlineStr">
        <is>
          <t>Sr Corporate Transportation Specialist</t>
        </is>
      </c>
      <c r="D820" t="inlineStr">
        <is>
          <t>Idexx</t>
        </is>
      </c>
      <c r="E820" t="inlineStr">
        <is>
          <t>United States</t>
        </is>
      </c>
      <c r="H820" t="n">
        <v>10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>
        <f>IFERROR(INDEX('Company Hitlist'!$AA:$AA,MATCH(D820,'Company Hitlist'!$A:$A,0)),)</f>
        <v/>
      </c>
      <c r="O820">
        <f>IFERROR(INDEX('Company Hitlist'!$N:$N,MATCH(D820,'Company Hitlist'!$A:$A,0)),)</f>
        <v/>
      </c>
      <c r="Q820" t="inlineStr">
        <is>
          <t>todo</t>
        </is>
      </c>
    </row>
    <row r="821">
      <c r="A821" t="inlineStr">
        <is>
          <t>Shawn Neal</t>
        </is>
      </c>
      <c r="B821" t="inlineStr">
        <is>
          <t>Attendee</t>
        </is>
      </c>
      <c r="C821" t="inlineStr">
        <is>
          <t>International Transportation Manager</t>
        </is>
      </c>
      <c r="D821" t="inlineStr">
        <is>
          <t>Idexx</t>
        </is>
      </c>
      <c r="H821" t="n">
        <v>10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>
        <f>IFERROR(INDEX('Company Hitlist'!$AA:$AA,MATCH(D821,'Company Hitlist'!$A:$A,0)),)</f>
        <v/>
      </c>
      <c r="O821">
        <f>IFERROR(INDEX('Company Hitlist'!$N:$N,MATCH(D821,'Company Hitlist'!$A:$A,0)),)</f>
        <v/>
      </c>
      <c r="Q821" t="inlineStr">
        <is>
          <t>todo</t>
        </is>
      </c>
    </row>
    <row r="822">
      <c r="A822" t="inlineStr">
        <is>
          <t>Meghan Jones</t>
        </is>
      </c>
      <c r="B822" t="inlineStr">
        <is>
          <t>Attendee</t>
        </is>
      </c>
      <c r="C822" t="inlineStr">
        <is>
          <t>Operations Supervisor</t>
        </is>
      </c>
      <c r="D822" t="inlineStr">
        <is>
          <t>Illuminate USA</t>
        </is>
      </c>
      <c r="H822" t="n">
        <v>10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>
        <f>IFERROR(INDEX('Company Hitlist'!$AA:$AA,MATCH(D822,'Company Hitlist'!$A:$A,0)),)</f>
        <v/>
      </c>
      <c r="O822">
        <f>IFERROR(INDEX('Company Hitlist'!$N:$N,MATCH(D822,'Company Hitlist'!$A:$A,0)),)</f>
        <v/>
      </c>
      <c r="Q822" t="inlineStr">
        <is>
          <t>todo</t>
        </is>
      </c>
    </row>
    <row r="823">
      <c r="A823" t="inlineStr">
        <is>
          <t>Brock Garver</t>
        </is>
      </c>
      <c r="B823" t="inlineStr">
        <is>
          <t>Attendee</t>
        </is>
      </c>
      <c r="C823" t="inlineStr">
        <is>
          <t>Operations Manager</t>
        </is>
      </c>
      <c r="D823" t="inlineStr">
        <is>
          <t>Illuminate USA LLc</t>
        </is>
      </c>
      <c r="H823" t="n">
        <v>10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>
        <f>IFERROR(INDEX('Company Hitlist'!$AA:$AA,MATCH(D823,'Company Hitlist'!$A:$A,0)),)</f>
        <v/>
      </c>
      <c r="O823">
        <f>IFERROR(INDEX('Company Hitlist'!$N:$N,MATCH(D823,'Company Hitlist'!$A:$A,0)),)</f>
        <v/>
      </c>
      <c r="Q823" t="inlineStr">
        <is>
          <t>todo</t>
        </is>
      </c>
    </row>
    <row r="824">
      <c r="A824" t="inlineStr">
        <is>
          <t>Kelly Stroh</t>
        </is>
      </c>
      <c r="B824" t="inlineStr">
        <is>
          <t>Attendee</t>
        </is>
      </c>
      <c r="C824" t="inlineStr">
        <is>
          <t>Editor, Supply Chain</t>
        </is>
      </c>
      <c r="D824" t="inlineStr">
        <is>
          <t>Industry Dive</t>
        </is>
      </c>
      <c r="E824" t="inlineStr">
        <is>
          <t>United States</t>
        </is>
      </c>
      <c r="H824" t="n">
        <v>10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>
        <f>IFERROR(INDEX('Company Hitlist'!$AA:$AA,MATCH(D824,'Company Hitlist'!$A:$A,0)),)</f>
        <v/>
      </c>
      <c r="O824">
        <f>IFERROR(INDEX('Company Hitlist'!$N:$N,MATCH(D824,'Company Hitlist'!$A:$A,0)),)</f>
        <v/>
      </c>
      <c r="Q824" t="inlineStr">
        <is>
          <t>todo</t>
        </is>
      </c>
    </row>
    <row r="825">
      <c r="A825" t="inlineStr">
        <is>
          <t>Cara O'Hare</t>
        </is>
      </c>
      <c r="B825" t="inlineStr">
        <is>
          <t>Attendee</t>
        </is>
      </c>
      <c r="C825" t="inlineStr">
        <is>
          <t>Senior Director, Global Logistics and Trade Compliance</t>
        </is>
      </c>
      <c r="D825" t="inlineStr">
        <is>
          <t>Ingredion</t>
        </is>
      </c>
      <c r="F825" t="inlineStr">
        <is>
          <t>Yes</t>
        </is>
      </c>
      <c r="H825" t="n">
        <v>10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>
        <f>IFERROR(INDEX('Company Hitlist'!$AA:$AA,MATCH(D825,'Company Hitlist'!$A:$A,0)),)</f>
        <v/>
      </c>
      <c r="O825">
        <f>IFERROR(INDEX('Company Hitlist'!$N:$N,MATCH(D825,'Company Hitlist'!$A:$A,0)),)</f>
        <v/>
      </c>
      <c r="Q825" t="inlineStr">
        <is>
          <t>todo</t>
        </is>
      </c>
    </row>
    <row r="826">
      <c r="A826" t="inlineStr">
        <is>
          <t>Jake Goldberg</t>
        </is>
      </c>
      <c r="B826" t="inlineStr">
        <is>
          <t>Attendee</t>
        </is>
      </c>
      <c r="C826" t="inlineStr">
        <is>
          <t>Operations Manager</t>
        </is>
      </c>
      <c r="D826" t="inlineStr">
        <is>
          <t>Innovations Express, LLC</t>
        </is>
      </c>
      <c r="E826" t="inlineStr">
        <is>
          <t>United States</t>
        </is>
      </c>
      <c r="H826" t="n">
        <v>10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>
        <f>IFERROR(INDEX('Company Hitlist'!$AA:$AA,MATCH(D826,'Company Hitlist'!$A:$A,0)),)</f>
        <v/>
      </c>
      <c r="O826">
        <f>IFERROR(INDEX('Company Hitlist'!$N:$N,MATCH(D826,'Company Hitlist'!$A:$A,0)),)</f>
        <v/>
      </c>
      <c r="Q826" t="inlineStr">
        <is>
          <t>todo</t>
        </is>
      </c>
    </row>
    <row r="827">
      <c r="A827" t="inlineStr">
        <is>
          <t>Zachary Cho</t>
        </is>
      </c>
      <c r="B827" t="inlineStr">
        <is>
          <t>Attendee</t>
        </is>
      </c>
      <c r="C827" t="inlineStr">
        <is>
          <t>Director of Supply Chain Cost Optimization</t>
        </is>
      </c>
      <c r="D827" t="inlineStr">
        <is>
          <t>InteliTransport Agency</t>
        </is>
      </c>
      <c r="E827" t="inlineStr">
        <is>
          <t>United States</t>
        </is>
      </c>
      <c r="H827" t="n">
        <v>10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>
        <f>IFERROR(INDEX('Company Hitlist'!$AA:$AA,MATCH(D827,'Company Hitlist'!$A:$A,0)),)</f>
        <v/>
      </c>
      <c r="O827">
        <f>IFERROR(INDEX('Company Hitlist'!$N:$N,MATCH(D827,'Company Hitlist'!$A:$A,0)),)</f>
        <v/>
      </c>
      <c r="Q827" t="inlineStr">
        <is>
          <t>todo</t>
        </is>
      </c>
    </row>
    <row r="828">
      <c r="A828" t="inlineStr">
        <is>
          <t>Lirio Salvatierra</t>
        </is>
      </c>
      <c r="B828" t="inlineStr">
        <is>
          <t>Attendee</t>
        </is>
      </c>
      <c r="C828" t="inlineStr">
        <is>
          <t>Logistics / CSR Manager</t>
        </is>
      </c>
      <c r="D828" t="inlineStr">
        <is>
          <t>International Food Solutions</t>
        </is>
      </c>
      <c r="E828" t="inlineStr">
        <is>
          <t>United States</t>
        </is>
      </c>
      <c r="H828" t="n">
        <v>10</v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>
        <f>IFERROR(INDEX('Company Hitlist'!$AA:$AA,MATCH(D828,'Company Hitlist'!$A:$A,0)),)</f>
        <v/>
      </c>
      <c r="O828">
        <f>IFERROR(INDEX('Company Hitlist'!$N:$N,MATCH(D828,'Company Hitlist'!$A:$A,0)),)</f>
        <v/>
      </c>
      <c r="Q828" t="inlineStr">
        <is>
          <t>todo</t>
        </is>
      </c>
    </row>
    <row r="829">
      <c r="A829" t="inlineStr">
        <is>
          <t>Nector Riviera-Tores</t>
        </is>
      </c>
      <c r="B829" t="inlineStr">
        <is>
          <t>Attendee</t>
        </is>
      </c>
      <c r="C829" t="inlineStr">
        <is>
          <t>Director of Operations</t>
        </is>
      </c>
      <c r="D829" t="inlineStr">
        <is>
          <t>Ivocar</t>
        </is>
      </c>
      <c r="H829" t="n">
        <v>10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>
        <f>IFERROR(INDEX('Company Hitlist'!$AA:$AA,MATCH(D829,'Company Hitlist'!$A:$A,0)),)</f>
        <v/>
      </c>
      <c r="O829">
        <f>IFERROR(INDEX('Company Hitlist'!$N:$N,MATCH(D829,'Company Hitlist'!$A:$A,0)),)</f>
        <v/>
      </c>
      <c r="Q829" t="inlineStr">
        <is>
          <t>todo</t>
        </is>
      </c>
    </row>
    <row r="830">
      <c r="A830" t="inlineStr">
        <is>
          <t>Tom Pavlou</t>
        </is>
      </c>
      <c r="B830" t="inlineStr">
        <is>
          <t>Attendee</t>
        </is>
      </c>
      <c r="C830" t="inlineStr">
        <is>
          <t>Supply Chain Investment Banking</t>
        </is>
      </c>
      <c r="D830" t="inlineStr">
        <is>
          <t>J.P. Morgan</t>
        </is>
      </c>
      <c r="E830" t="inlineStr">
        <is>
          <t>United States</t>
        </is>
      </c>
      <c r="H830" t="n">
        <v>10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>
        <f>IFERROR(INDEX('Company Hitlist'!$AA:$AA,MATCH(D830,'Company Hitlist'!$A:$A,0)),)</f>
        <v/>
      </c>
      <c r="O830">
        <f>IFERROR(INDEX('Company Hitlist'!$N:$N,MATCH(D830,'Company Hitlist'!$A:$A,0)),)</f>
        <v/>
      </c>
      <c r="Q830" t="inlineStr">
        <is>
          <t>todo</t>
        </is>
      </c>
    </row>
    <row r="831">
      <c r="A831" t="inlineStr">
        <is>
          <t>Geoffrey Bailey</t>
        </is>
      </c>
      <c r="B831" t="inlineStr">
        <is>
          <t>Attendee</t>
        </is>
      </c>
      <c r="C831" t="inlineStr">
        <is>
          <t>Global Director of Operations &amp; Logistics</t>
        </is>
      </c>
      <c r="D831" t="inlineStr">
        <is>
          <t>JEM Systems</t>
        </is>
      </c>
      <c r="F831" t="inlineStr">
        <is>
          <t>Yes</t>
        </is>
      </c>
      <c r="H831" t="n">
        <v>10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>
        <f>IFERROR(INDEX('Company Hitlist'!$AA:$AA,MATCH(D831,'Company Hitlist'!$A:$A,0)),)</f>
        <v/>
      </c>
      <c r="O831">
        <f>IFERROR(INDEX('Company Hitlist'!$N:$N,MATCH(D831,'Company Hitlist'!$A:$A,0)),)</f>
        <v/>
      </c>
      <c r="Q831" t="inlineStr">
        <is>
          <t>todo</t>
        </is>
      </c>
    </row>
    <row r="832">
      <c r="A832" t="inlineStr">
        <is>
          <t>Brien Bell</t>
        </is>
      </c>
      <c r="B832" t="inlineStr">
        <is>
          <t>Attendee</t>
        </is>
      </c>
      <c r="C832" t="inlineStr">
        <is>
          <t>Director of Transportation</t>
        </is>
      </c>
      <c r="D832" t="inlineStr">
        <is>
          <t>James Group</t>
        </is>
      </c>
      <c r="F832" t="inlineStr">
        <is>
          <t>Yes</t>
        </is>
      </c>
      <c r="H832" t="n">
        <v>10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>
        <f>IFERROR(INDEX('Company Hitlist'!$AA:$AA,MATCH(D832,'Company Hitlist'!$A:$A,0)),)</f>
        <v/>
      </c>
      <c r="O832">
        <f>IFERROR(INDEX('Company Hitlist'!$N:$N,MATCH(D832,'Company Hitlist'!$A:$A,0)),)</f>
        <v/>
      </c>
      <c r="Q832" t="inlineStr">
        <is>
          <t>todo</t>
        </is>
      </c>
    </row>
    <row r="833">
      <c r="A833" t="inlineStr">
        <is>
          <t>Robert Houston</t>
        </is>
      </c>
      <c r="B833" t="inlineStr">
        <is>
          <t>Attendee</t>
        </is>
      </c>
      <c r="C833" t="inlineStr">
        <is>
          <t>Regional Director of Operations</t>
        </is>
      </c>
      <c r="D833" t="inlineStr">
        <is>
          <t>James Group Intl</t>
        </is>
      </c>
      <c r="F833" t="inlineStr">
        <is>
          <t>Yes</t>
        </is>
      </c>
      <c r="H833" t="n">
        <v>10</v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>
        <f>IFERROR(INDEX('Company Hitlist'!$AA:$AA,MATCH(D833,'Company Hitlist'!$A:$A,0)),)</f>
        <v/>
      </c>
      <c r="O833">
        <f>IFERROR(INDEX('Company Hitlist'!$N:$N,MATCH(D833,'Company Hitlist'!$A:$A,0)),)</f>
        <v/>
      </c>
      <c r="Q833" t="inlineStr">
        <is>
          <t>todo</t>
        </is>
      </c>
    </row>
    <row r="834">
      <c r="A834" t="inlineStr">
        <is>
          <t>Janice Castro</t>
        </is>
      </c>
      <c r="B834" t="inlineStr">
        <is>
          <t>Attendee</t>
        </is>
      </c>
      <c r="C834" t="inlineStr">
        <is>
          <t>Supply Chain Manager</t>
        </is>
      </c>
      <c r="D834" t="inlineStr">
        <is>
          <t>James Hardie</t>
        </is>
      </c>
      <c r="E834" t="inlineStr">
        <is>
          <t>United States</t>
        </is>
      </c>
      <c r="H834" t="n">
        <v>10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>
        <f>IFERROR(INDEX('Company Hitlist'!$AA:$AA,MATCH(D834,'Company Hitlist'!$A:$A,0)),)</f>
        <v/>
      </c>
      <c r="O834">
        <f>IFERROR(INDEX('Company Hitlist'!$N:$N,MATCH(D834,'Company Hitlist'!$A:$A,0)),)</f>
        <v/>
      </c>
      <c r="Q834" t="inlineStr">
        <is>
          <t>todo</t>
        </is>
      </c>
    </row>
    <row r="835">
      <c r="A835" t="inlineStr">
        <is>
          <t>Kevin Mitchell</t>
        </is>
      </c>
      <c r="B835" t="inlineStr">
        <is>
          <t>Attendee</t>
        </is>
      </c>
      <c r="C835" t="inlineStr">
        <is>
          <t>Director of Transportation</t>
        </is>
      </c>
      <c r="D835" t="inlineStr">
        <is>
          <t>James Hardie</t>
        </is>
      </c>
      <c r="H835" t="n">
        <v>10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>
        <f>IFERROR(INDEX('Company Hitlist'!$AA:$AA,MATCH(D835,'Company Hitlist'!$A:$A,0)),)</f>
        <v/>
      </c>
      <c r="O835">
        <f>IFERROR(INDEX('Company Hitlist'!$N:$N,MATCH(D835,'Company Hitlist'!$A:$A,0)),)</f>
        <v/>
      </c>
      <c r="Q835" t="inlineStr">
        <is>
          <t>todo</t>
        </is>
      </c>
    </row>
    <row r="836">
      <c r="A836" t="inlineStr">
        <is>
          <t>Fatima Ayyad</t>
        </is>
      </c>
      <c r="B836" t="inlineStr">
        <is>
          <t>Attendee</t>
        </is>
      </c>
      <c r="C836" t="inlineStr">
        <is>
          <t>Logistics Finance Analyst</t>
        </is>
      </c>
      <c r="D836" t="inlineStr">
        <is>
          <t>John B. Sanfilippo &amp; Son, Inc</t>
        </is>
      </c>
      <c r="E836" t="inlineStr">
        <is>
          <t>United States</t>
        </is>
      </c>
      <c r="F836" t="inlineStr">
        <is>
          <t>Yes</t>
        </is>
      </c>
      <c r="H836" t="n">
        <v>10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>
        <f>IFERROR(INDEX('Company Hitlist'!$AA:$AA,MATCH(D836,'Company Hitlist'!$A:$A,0)),)</f>
        <v/>
      </c>
      <c r="O836">
        <f>IFERROR(INDEX('Company Hitlist'!$N:$N,MATCH(D836,'Company Hitlist'!$A:$A,0)),)</f>
        <v/>
      </c>
      <c r="Q836" t="inlineStr">
        <is>
          <t>todo</t>
        </is>
      </c>
    </row>
    <row r="837">
      <c r="A837" t="inlineStr">
        <is>
          <t>Jon Fender</t>
        </is>
      </c>
      <c r="B837" t="inlineStr">
        <is>
          <t>Attendee</t>
        </is>
      </c>
      <c r="C837" t="inlineStr">
        <is>
          <t>Director of Logistics</t>
        </is>
      </c>
      <c r="D837" t="inlineStr">
        <is>
          <t>John B. Sanfilippo &amp; Son, Inc</t>
        </is>
      </c>
      <c r="E837" t="inlineStr">
        <is>
          <t>United States</t>
        </is>
      </c>
      <c r="F837" t="inlineStr">
        <is>
          <t>Yes</t>
        </is>
      </c>
      <c r="H837" t="n">
        <v>10</v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>
        <f>IFERROR(INDEX('Company Hitlist'!$AA:$AA,MATCH(D837,'Company Hitlist'!$A:$A,0)),)</f>
        <v/>
      </c>
      <c r="O837">
        <f>IFERROR(INDEX('Company Hitlist'!$N:$N,MATCH(D837,'Company Hitlist'!$A:$A,0)),)</f>
        <v/>
      </c>
      <c r="Q837" t="inlineStr">
        <is>
          <t>todo</t>
        </is>
      </c>
    </row>
    <row r="838">
      <c r="A838" t="inlineStr">
        <is>
          <t>Dave Romano</t>
        </is>
      </c>
      <c r="B838" t="inlineStr">
        <is>
          <t>Attendee</t>
        </is>
      </c>
      <c r="C838" t="inlineStr">
        <is>
          <t>Senior Logistics Manager</t>
        </is>
      </c>
      <c r="D838" t="inlineStr">
        <is>
          <t>John B. Sanfilippo &amp; Son, Inc</t>
        </is>
      </c>
      <c r="E838" t="inlineStr">
        <is>
          <t>United States</t>
        </is>
      </c>
      <c r="H838" t="n">
        <v>10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>
        <f>IFERROR(INDEX('Company Hitlist'!$AA:$AA,MATCH(D838,'Company Hitlist'!$A:$A,0)),)</f>
        <v/>
      </c>
      <c r="O838">
        <f>IFERROR(INDEX('Company Hitlist'!$N:$N,MATCH(D838,'Company Hitlist'!$A:$A,0)),)</f>
        <v/>
      </c>
      <c r="Q838" t="inlineStr">
        <is>
          <t>todo</t>
        </is>
      </c>
    </row>
    <row r="839">
      <c r="A839" t="inlineStr">
        <is>
          <t>Gabby Graninger</t>
        </is>
      </c>
      <c r="B839" t="inlineStr">
        <is>
          <t>Attendee</t>
        </is>
      </c>
      <c r="C839" t="inlineStr">
        <is>
          <t>Transportation Business Process &amp; Technology Leader</t>
        </is>
      </c>
      <c r="D839" t="inlineStr">
        <is>
          <t>Johnson &amp; Johnson</t>
        </is>
      </c>
      <c r="E839" t="inlineStr">
        <is>
          <t>United States</t>
        </is>
      </c>
      <c r="F839" t="inlineStr">
        <is>
          <t>Yes</t>
        </is>
      </c>
      <c r="G839" t="inlineStr">
        <is>
          <t>$85B (2024; projected $88B in 2025)</t>
        </is>
      </c>
      <c r="H839" t="n">
        <v>10</v>
      </c>
      <c r="I839" t="b">
        <v>1</v>
      </c>
      <c r="J839" t="b">
        <v>0</v>
      </c>
      <c r="K839" t="b">
        <v>0</v>
      </c>
      <c r="L839" t="b">
        <v>0</v>
      </c>
      <c r="M839" t="b">
        <v>0</v>
      </c>
      <c r="N839">
        <f>IFERROR(INDEX('Company Hitlist'!$AA:$AA,MATCH(D839,'Company Hitlist'!$A:$A,0)),)</f>
        <v/>
      </c>
      <c r="O839">
        <f>IFERROR(INDEX('Company Hitlist'!$N:$N,MATCH(D839,'Company Hitlist'!$A:$A,0)),)</f>
        <v/>
      </c>
      <c r="Q839" t="inlineStr">
        <is>
          <t>todo</t>
        </is>
      </c>
    </row>
    <row r="840">
      <c r="A840" t="inlineStr">
        <is>
          <t>Maria Elhafed</t>
        </is>
      </c>
      <c r="B840" t="inlineStr">
        <is>
          <t>Attendee</t>
        </is>
      </c>
      <c r="C840" t="inlineStr">
        <is>
          <t>Distribution &amp; Logistics</t>
        </is>
      </c>
      <c r="D840" t="inlineStr">
        <is>
          <t>K18</t>
        </is>
      </c>
      <c r="F840" t="inlineStr">
        <is>
          <t>Yes</t>
        </is>
      </c>
      <c r="H840" t="n">
        <v>10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>
        <f>IFERROR(INDEX('Company Hitlist'!$AA:$AA,MATCH(D840,'Company Hitlist'!$A:$A,0)),)</f>
        <v/>
      </c>
      <c r="O840">
        <f>IFERROR(INDEX('Company Hitlist'!$N:$N,MATCH(D840,'Company Hitlist'!$A:$A,0)),)</f>
        <v/>
      </c>
      <c r="Q840" t="inlineStr">
        <is>
          <t>todo</t>
        </is>
      </c>
    </row>
    <row r="841">
      <c r="A841" t="inlineStr">
        <is>
          <t>David Bennett</t>
        </is>
      </c>
      <c r="B841" t="inlineStr">
        <is>
          <t>Attendee</t>
        </is>
      </c>
      <c r="C841" t="inlineStr">
        <is>
          <t>Sr. Managing Director, International Logistics</t>
        </is>
      </c>
      <c r="D841" t="inlineStr">
        <is>
          <t>KBX</t>
        </is>
      </c>
      <c r="H841" t="n">
        <v>10</v>
      </c>
      <c r="I841" t="b">
        <v>1</v>
      </c>
      <c r="J841" t="b">
        <v>0</v>
      </c>
      <c r="K841" t="b">
        <v>0</v>
      </c>
      <c r="L841" t="b">
        <v>0</v>
      </c>
      <c r="M841" t="b">
        <v>0</v>
      </c>
      <c r="N841">
        <f>IFERROR(INDEX('Company Hitlist'!$AA:$AA,MATCH(D841,'Company Hitlist'!$A:$A,0)),)</f>
        <v/>
      </c>
      <c r="O841">
        <f>IFERROR(INDEX('Company Hitlist'!$N:$N,MATCH(D841,'Company Hitlist'!$A:$A,0)),)</f>
        <v/>
      </c>
      <c r="Q841" t="inlineStr">
        <is>
          <t>todo</t>
        </is>
      </c>
    </row>
    <row r="842">
      <c r="A842" t="inlineStr">
        <is>
          <t>Jerry Garcia</t>
        </is>
      </c>
      <c r="B842" t="inlineStr">
        <is>
          <t>Attendee</t>
        </is>
      </c>
      <c r="C842" t="inlineStr">
        <is>
          <t>Sr. Director of Transportation &amp; Logistics</t>
        </is>
      </c>
      <c r="D842" t="inlineStr">
        <is>
          <t>KGP TELECOMMUNICATIONS LLC</t>
        </is>
      </c>
      <c r="E842" t="inlineStr">
        <is>
          <t>United States</t>
        </is>
      </c>
      <c r="F842" t="inlineStr">
        <is>
          <t>Yes</t>
        </is>
      </c>
      <c r="H842" t="n">
        <v>10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>
        <f>IFERROR(INDEX('Company Hitlist'!$AA:$AA,MATCH(D842,'Company Hitlist'!$A:$A,0)),)</f>
        <v/>
      </c>
      <c r="O842">
        <f>IFERROR(INDEX('Company Hitlist'!$N:$N,MATCH(D842,'Company Hitlist'!$A:$A,0)),)</f>
        <v/>
      </c>
      <c r="Q842" t="inlineStr">
        <is>
          <t>todo</t>
        </is>
      </c>
    </row>
    <row r="843">
      <c r="A843" t="inlineStr">
        <is>
          <t>Adam Beuker</t>
        </is>
      </c>
      <c r="B843" t="inlineStr">
        <is>
          <t>Attendee</t>
        </is>
      </c>
      <c r="C843" t="inlineStr">
        <is>
          <t>Senior Director, KNA Supply Chain Service / Continuous Improvement</t>
        </is>
      </c>
      <c r="D843" t="inlineStr">
        <is>
          <t>Kellanova</t>
        </is>
      </c>
      <c r="E843" t="inlineStr">
        <is>
          <t>United States</t>
        </is>
      </c>
      <c r="H843" t="n">
        <v>10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>
        <f>IFERROR(INDEX('Company Hitlist'!$AA:$AA,MATCH(D843,'Company Hitlist'!$A:$A,0)),)</f>
        <v/>
      </c>
      <c r="O843">
        <f>IFERROR(INDEX('Company Hitlist'!$N:$N,MATCH(D843,'Company Hitlist'!$A:$A,0)),)</f>
        <v/>
      </c>
      <c r="Q843" t="inlineStr">
        <is>
          <t>todo</t>
        </is>
      </c>
    </row>
    <row r="844">
      <c r="A844" t="inlineStr">
        <is>
          <t>Todd Bucher</t>
        </is>
      </c>
      <c r="B844" t="inlineStr">
        <is>
          <t>Attendee</t>
        </is>
      </c>
      <c r="C844" t="inlineStr">
        <is>
          <t>Senior Director, Transportation Technologies</t>
        </is>
      </c>
      <c r="D844" t="inlineStr">
        <is>
          <t>Kenco</t>
        </is>
      </c>
      <c r="E844" t="inlineStr">
        <is>
          <t>United States</t>
        </is>
      </c>
      <c r="F844" t="inlineStr">
        <is>
          <t>Yes</t>
        </is>
      </c>
      <c r="G844" t="inlineStr">
        <is>
          <t>$626M (est.)</t>
        </is>
      </c>
      <c r="H844" t="n">
        <v>10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>
        <f>IFERROR(INDEX('Company Hitlist'!$AA:$AA,MATCH(D844,'Company Hitlist'!$A:$A,0)),)</f>
        <v/>
      </c>
      <c r="O844">
        <f>IFERROR(INDEX('Company Hitlist'!$N:$N,MATCH(D844,'Company Hitlist'!$A:$A,0)),)</f>
        <v/>
      </c>
      <c r="Q844" t="inlineStr">
        <is>
          <t>todo</t>
        </is>
      </c>
    </row>
    <row r="845">
      <c r="A845" t="inlineStr">
        <is>
          <t>Chris Williams</t>
        </is>
      </c>
      <c r="B845" t="inlineStr">
        <is>
          <t>Attendee</t>
        </is>
      </c>
      <c r="C845" t="inlineStr">
        <is>
          <t>Sr. Director Distribution and Transportation</t>
        </is>
      </c>
      <c r="D845" t="inlineStr">
        <is>
          <t>Kenvue</t>
        </is>
      </c>
      <c r="F845" t="inlineStr">
        <is>
          <t>Yes</t>
        </is>
      </c>
      <c r="G845" t="inlineStr">
        <is>
          <t>$15.5B (2024; projected $16B in 2025)</t>
        </is>
      </c>
      <c r="H845" t="n">
        <v>10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>
        <f>IFERROR(INDEX('Company Hitlist'!$AA:$AA,MATCH(D845,'Company Hitlist'!$A:$A,0)),)</f>
        <v/>
      </c>
      <c r="O845">
        <f>IFERROR(INDEX('Company Hitlist'!$N:$N,MATCH(D845,'Company Hitlist'!$A:$A,0)),)</f>
        <v/>
      </c>
      <c r="Q845" t="inlineStr">
        <is>
          <t>todo</t>
        </is>
      </c>
    </row>
    <row r="846">
      <c r="A846" t="inlineStr">
        <is>
          <t>Darlene Krysiak</t>
        </is>
      </c>
      <c r="B846" t="inlineStr">
        <is>
          <t>Attendee</t>
        </is>
      </c>
      <c r="C846" t="inlineStr">
        <is>
          <t>Director NA Transportation &amp; Trade Compliance</t>
        </is>
      </c>
      <c r="D846" t="inlineStr">
        <is>
          <t>Kenvue</t>
        </is>
      </c>
      <c r="F846" t="inlineStr">
        <is>
          <t>Yes</t>
        </is>
      </c>
      <c r="G846" t="inlineStr">
        <is>
          <t>$15.5B (2024; projected $16B in 2025)</t>
        </is>
      </c>
      <c r="H846" t="n">
        <v>10</v>
      </c>
      <c r="I846" t="b">
        <v>1</v>
      </c>
      <c r="J846" t="b">
        <v>0</v>
      </c>
      <c r="K846" t="b">
        <v>0</v>
      </c>
      <c r="L846" t="b">
        <v>0</v>
      </c>
      <c r="M846" t="b">
        <v>0</v>
      </c>
      <c r="N846">
        <f>IFERROR(INDEX('Company Hitlist'!$AA:$AA,MATCH(D846,'Company Hitlist'!$A:$A,0)),)</f>
        <v/>
      </c>
      <c r="O846">
        <f>IFERROR(INDEX('Company Hitlist'!$N:$N,MATCH(D846,'Company Hitlist'!$A:$A,0)),)</f>
        <v/>
      </c>
      <c r="Q846" t="inlineStr">
        <is>
          <t>todo</t>
        </is>
      </c>
    </row>
    <row r="847">
      <c r="A847" t="inlineStr">
        <is>
          <t>Angela Forrest</t>
        </is>
      </c>
      <c r="B847" t="inlineStr">
        <is>
          <t>Attendee</t>
        </is>
      </c>
      <c r="C847" t="inlineStr">
        <is>
          <t>Sr Manager, Transportation Operations</t>
        </is>
      </c>
      <c r="D847" t="inlineStr">
        <is>
          <t>Kenvue</t>
        </is>
      </c>
      <c r="H847" t="n">
        <v>10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>
        <f>IFERROR(INDEX('Company Hitlist'!$AA:$AA,MATCH(D847,'Company Hitlist'!$A:$A,0)),)</f>
        <v/>
      </c>
      <c r="O847">
        <f>IFERROR(INDEX('Company Hitlist'!$N:$N,MATCH(D847,'Company Hitlist'!$A:$A,0)),)</f>
        <v/>
      </c>
      <c r="Q847" t="inlineStr">
        <is>
          <t>todo</t>
        </is>
      </c>
    </row>
    <row r="848">
      <c r="A848" t="inlineStr">
        <is>
          <t>Matt Knob</t>
        </is>
      </c>
      <c r="B848" t="inlineStr">
        <is>
          <t>Attendee</t>
        </is>
      </c>
      <c r="C848" t="inlineStr">
        <is>
          <t>Sr. Manager, Network Standardization &amp; Reverse Distribution</t>
        </is>
      </c>
      <c r="D848" t="inlineStr">
        <is>
          <t>Kenvue</t>
        </is>
      </c>
      <c r="H848" t="n">
        <v>10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>
        <f>IFERROR(INDEX('Company Hitlist'!$AA:$AA,MATCH(D848,'Company Hitlist'!$A:$A,0)),)</f>
        <v/>
      </c>
      <c r="O848">
        <f>IFERROR(INDEX('Company Hitlist'!$N:$N,MATCH(D848,'Company Hitlist'!$A:$A,0)),)</f>
        <v/>
      </c>
      <c r="Q848" t="inlineStr">
        <is>
          <t>todo</t>
        </is>
      </c>
    </row>
    <row r="849">
      <c r="A849" t="inlineStr">
        <is>
          <t>Rohit Gupta</t>
        </is>
      </c>
      <c r="B849" t="inlineStr">
        <is>
          <t>Attendee</t>
        </is>
      </c>
      <c r="C849" t="inlineStr">
        <is>
          <t>Kenvue Distribution QA</t>
        </is>
      </c>
      <c r="D849" t="inlineStr">
        <is>
          <t>Kenvue Inc</t>
        </is>
      </c>
      <c r="F849" t="inlineStr">
        <is>
          <t>Yes</t>
        </is>
      </c>
      <c r="H849" t="n">
        <v>10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>
        <f>IFERROR(INDEX('Company Hitlist'!$AA:$AA,MATCH(D849,'Company Hitlist'!$A:$A,0)),)</f>
        <v/>
      </c>
      <c r="O849">
        <f>IFERROR(INDEX('Company Hitlist'!$N:$N,MATCH(D849,'Company Hitlist'!$A:$A,0)),)</f>
        <v/>
      </c>
      <c r="Q849" t="inlineStr">
        <is>
          <t>todo</t>
        </is>
      </c>
    </row>
    <row r="850">
      <c r="A850" t="inlineStr">
        <is>
          <t>Sebastian Blair</t>
        </is>
      </c>
      <c r="B850" t="inlineStr">
        <is>
          <t>Attendee</t>
        </is>
      </c>
      <c r="C850" t="inlineStr">
        <is>
          <t>Sr. Manager, Distribution Operations</t>
        </is>
      </c>
      <c r="D850" t="inlineStr">
        <is>
          <t>Kenvue LLC</t>
        </is>
      </c>
      <c r="H850" t="n">
        <v>10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>
        <f>IFERROR(INDEX('Company Hitlist'!$AA:$AA,MATCH(D850,'Company Hitlist'!$A:$A,0)),)</f>
        <v/>
      </c>
      <c r="O850">
        <f>IFERROR(INDEX('Company Hitlist'!$N:$N,MATCH(D850,'Company Hitlist'!$A:$A,0)),)</f>
        <v/>
      </c>
      <c r="Q850" t="inlineStr">
        <is>
          <t>todo</t>
        </is>
      </c>
    </row>
    <row r="851">
      <c r="A851" t="inlineStr">
        <is>
          <t>Berenice Harsh</t>
        </is>
      </c>
      <c r="B851" t="inlineStr">
        <is>
          <t>Attendee</t>
        </is>
      </c>
      <c r="C851" t="inlineStr">
        <is>
          <t>Transportation Manager</t>
        </is>
      </c>
      <c r="D851" t="inlineStr">
        <is>
          <t>Kerry Group</t>
        </is>
      </c>
      <c r="H851" t="n">
        <v>10</v>
      </c>
      <c r="I851" t="b">
        <v>1</v>
      </c>
      <c r="J851" t="b">
        <v>0</v>
      </c>
      <c r="K851" t="b">
        <v>0</v>
      </c>
      <c r="L851" t="b">
        <v>0</v>
      </c>
      <c r="M851" t="b">
        <v>0</v>
      </c>
      <c r="N851">
        <f>IFERROR(INDEX('Company Hitlist'!$AA:$AA,MATCH(D851,'Company Hitlist'!$A:$A,0)),)</f>
        <v/>
      </c>
      <c r="O851">
        <f>IFERROR(INDEX('Company Hitlist'!$N:$N,MATCH(D851,'Company Hitlist'!$A:$A,0)),)</f>
        <v/>
      </c>
      <c r="Q851" t="inlineStr">
        <is>
          <t>todo</t>
        </is>
      </c>
    </row>
    <row r="852">
      <c r="A852" t="inlineStr">
        <is>
          <t>Molly Poeschl</t>
        </is>
      </c>
      <c r="B852" t="inlineStr">
        <is>
          <t>Attendee</t>
        </is>
      </c>
      <c r="C852" t="inlineStr">
        <is>
          <t>Director, Supply Chain Product Management</t>
        </is>
      </c>
      <c r="D852" t="inlineStr">
        <is>
          <t>Kimberly Clark</t>
        </is>
      </c>
      <c r="H852" t="n">
        <v>10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>
        <f>IFERROR(INDEX('Company Hitlist'!$AA:$AA,MATCH(D852,'Company Hitlist'!$A:$A,0)),)</f>
        <v/>
      </c>
      <c r="O852">
        <f>IFERROR(INDEX('Company Hitlist'!$N:$N,MATCH(D852,'Company Hitlist'!$A:$A,0)),)</f>
        <v/>
      </c>
      <c r="Q852" t="inlineStr">
        <is>
          <t>todo</t>
        </is>
      </c>
    </row>
    <row r="853">
      <c r="A853" t="inlineStr">
        <is>
          <t>Beth Verboomen</t>
        </is>
      </c>
      <c r="B853" t="inlineStr">
        <is>
          <t>Attendee</t>
        </is>
      </c>
      <c r="C853" t="inlineStr">
        <is>
          <t>Director, Logistics Operations</t>
        </is>
      </c>
      <c r="D853" t="inlineStr">
        <is>
          <t>Kimberly Clark Company</t>
        </is>
      </c>
      <c r="F853" t="inlineStr">
        <is>
          <t>Yes</t>
        </is>
      </c>
      <c r="H853" t="n">
        <v>10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>
        <f>IFERROR(INDEX('Company Hitlist'!$AA:$AA,MATCH(D853,'Company Hitlist'!$A:$A,0)),)</f>
        <v/>
      </c>
      <c r="O853">
        <f>IFERROR(INDEX('Company Hitlist'!$N:$N,MATCH(D853,'Company Hitlist'!$A:$A,0)),)</f>
        <v/>
      </c>
      <c r="Q853" t="inlineStr">
        <is>
          <t>todo</t>
        </is>
      </c>
    </row>
    <row r="854">
      <c r="A854" t="inlineStr">
        <is>
          <t>Joel Shaw</t>
        </is>
      </c>
      <c r="B854" t="inlineStr">
        <is>
          <t>Attendee</t>
        </is>
      </c>
      <c r="C854" t="inlineStr">
        <is>
          <t>Sr. Director, Logistics Operations</t>
        </is>
      </c>
      <c r="D854" t="inlineStr">
        <is>
          <t>Kimberly Clark Company</t>
        </is>
      </c>
      <c r="F854" t="inlineStr">
        <is>
          <t>Yes</t>
        </is>
      </c>
      <c r="H854" t="n">
        <v>10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>
        <f>IFERROR(INDEX('Company Hitlist'!$AA:$AA,MATCH(D854,'Company Hitlist'!$A:$A,0)),)</f>
        <v/>
      </c>
      <c r="O854">
        <f>IFERROR(INDEX('Company Hitlist'!$N:$N,MATCH(D854,'Company Hitlist'!$A:$A,0)),)</f>
        <v/>
      </c>
      <c r="Q854" t="inlineStr">
        <is>
          <t>todo</t>
        </is>
      </c>
    </row>
    <row r="855">
      <c r="A855" t="inlineStr">
        <is>
          <t>David Balensiefen</t>
        </is>
      </c>
      <c r="B855" t="inlineStr">
        <is>
          <t>Attendee</t>
        </is>
      </c>
      <c r="C855" t="inlineStr">
        <is>
          <t>Supply Chain Sr. Consultant – Advanced Analytics</t>
        </is>
      </c>
      <c r="D855" t="inlineStr">
        <is>
          <t>Kimberly Clark Company</t>
        </is>
      </c>
      <c r="H855" t="n">
        <v>10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>
        <f>IFERROR(INDEX('Company Hitlist'!$AA:$AA,MATCH(D855,'Company Hitlist'!$A:$A,0)),)</f>
        <v/>
      </c>
      <c r="O855">
        <f>IFERROR(INDEX('Company Hitlist'!$N:$N,MATCH(D855,'Company Hitlist'!$A:$A,0)),)</f>
        <v/>
      </c>
      <c r="Q855" t="inlineStr">
        <is>
          <t>todo</t>
        </is>
      </c>
    </row>
    <row r="856">
      <c r="A856" t="inlineStr">
        <is>
          <t>Zach Elliott</t>
        </is>
      </c>
      <c r="B856" t="inlineStr">
        <is>
          <t>Attendee</t>
        </is>
      </c>
      <c r="C856" t="inlineStr">
        <is>
          <t>Director, KCNA SC Operations Integration</t>
        </is>
      </c>
      <c r="D856" t="inlineStr">
        <is>
          <t>Kimberly-Clark</t>
        </is>
      </c>
      <c r="F856" t="inlineStr">
        <is>
          <t>Yes</t>
        </is>
      </c>
      <c r="G856" t="inlineStr">
        <is>
          <t>$20.4B (2024; projected $21B in 2025)</t>
        </is>
      </c>
      <c r="H856" t="n">
        <v>10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>
        <f>IFERROR(INDEX('Company Hitlist'!$AA:$AA,MATCH(D856,'Company Hitlist'!$A:$A,0)),)</f>
        <v/>
      </c>
      <c r="O856">
        <f>IFERROR(INDEX('Company Hitlist'!$N:$N,MATCH(D856,'Company Hitlist'!$A:$A,0)),)</f>
        <v/>
      </c>
      <c r="Q856" t="inlineStr">
        <is>
          <t>todo</t>
        </is>
      </c>
    </row>
    <row r="857">
      <c r="A857" t="inlineStr">
        <is>
          <t>Lana Pele</t>
        </is>
      </c>
      <c r="B857" t="inlineStr">
        <is>
          <t>Attendee</t>
        </is>
      </c>
      <c r="C857" t="inlineStr">
        <is>
          <t>Senior Operations Analyst</t>
        </is>
      </c>
      <c r="D857" t="inlineStr">
        <is>
          <t>Kith</t>
        </is>
      </c>
      <c r="F857" t="inlineStr">
        <is>
          <t>Yes</t>
        </is>
      </c>
      <c r="H857" t="n">
        <v>10</v>
      </c>
      <c r="I857" t="b">
        <v>1</v>
      </c>
      <c r="J857" t="b">
        <v>0</v>
      </c>
      <c r="K857" t="b">
        <v>0</v>
      </c>
      <c r="L857" t="b">
        <v>0</v>
      </c>
      <c r="M857" t="b">
        <v>0</v>
      </c>
      <c r="N857">
        <f>IFERROR(INDEX('Company Hitlist'!$AA:$AA,MATCH(D857,'Company Hitlist'!$A:$A,0)),)</f>
        <v/>
      </c>
      <c r="O857">
        <f>IFERROR(INDEX('Company Hitlist'!$N:$N,MATCH(D857,'Company Hitlist'!$A:$A,0)),)</f>
        <v/>
      </c>
      <c r="Q857" t="inlineStr">
        <is>
          <t>todo</t>
        </is>
      </c>
    </row>
    <row r="858">
      <c r="A858" t="inlineStr">
        <is>
          <t>Dylan Young</t>
        </is>
      </c>
      <c r="B858" t="inlineStr">
        <is>
          <t>Attendee</t>
        </is>
      </c>
      <c r="C858" t="inlineStr">
        <is>
          <t>Senior Manager, Operations Strategy and Logistics</t>
        </is>
      </c>
      <c r="D858" t="inlineStr">
        <is>
          <t>Kith</t>
        </is>
      </c>
      <c r="E858" t="inlineStr">
        <is>
          <t>United States</t>
        </is>
      </c>
      <c r="H858" t="n">
        <v>10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>
        <f>IFERROR(INDEX('Company Hitlist'!$AA:$AA,MATCH(D858,'Company Hitlist'!$A:$A,0)),)</f>
        <v/>
      </c>
      <c r="O858">
        <f>IFERROR(INDEX('Company Hitlist'!$N:$N,MATCH(D858,'Company Hitlist'!$A:$A,0)),)</f>
        <v/>
      </c>
      <c r="Q858" t="inlineStr">
        <is>
          <t>todo</t>
        </is>
      </c>
    </row>
    <row r="859">
      <c r="A859" t="inlineStr">
        <is>
          <t>Stephen Martinez</t>
        </is>
      </c>
      <c r="B859" t="inlineStr">
        <is>
          <t>Attendee</t>
        </is>
      </c>
      <c r="C859" t="inlineStr">
        <is>
          <t>Operations Consultant</t>
        </is>
      </c>
      <c r="D859" t="inlineStr">
        <is>
          <t>Koala Eco</t>
        </is>
      </c>
      <c r="H859" t="n">
        <v>10</v>
      </c>
      <c r="I859" t="b">
        <v>1</v>
      </c>
      <c r="J859" t="b">
        <v>0</v>
      </c>
      <c r="K859" t="b">
        <v>0</v>
      </c>
      <c r="L859" t="b">
        <v>0</v>
      </c>
      <c r="M859" t="b">
        <v>0</v>
      </c>
      <c r="N859">
        <f>IFERROR(INDEX('Company Hitlist'!$AA:$AA,MATCH(D859,'Company Hitlist'!$A:$A,0)),)</f>
        <v/>
      </c>
      <c r="O859">
        <f>IFERROR(INDEX('Company Hitlist'!$N:$N,MATCH(D859,'Company Hitlist'!$A:$A,0)),)</f>
        <v/>
      </c>
      <c r="Q859" t="inlineStr">
        <is>
          <t>todo</t>
        </is>
      </c>
    </row>
    <row r="860">
      <c r="A860" t="inlineStr">
        <is>
          <t>Greg Young</t>
        </is>
      </c>
      <c r="B860" t="inlineStr">
        <is>
          <t>Attendee</t>
        </is>
      </c>
      <c r="C860" t="inlineStr">
        <is>
          <t>Global Logistics Manager</t>
        </is>
      </c>
      <c r="D860" t="inlineStr">
        <is>
          <t>Kodak Alaris</t>
        </is>
      </c>
      <c r="E860" t="inlineStr">
        <is>
          <t>Canada</t>
        </is>
      </c>
      <c r="H860" t="n">
        <v>10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>
        <f>IFERROR(INDEX('Company Hitlist'!$AA:$AA,MATCH(D860,'Company Hitlist'!$A:$A,0)),)</f>
        <v/>
      </c>
      <c r="O860">
        <f>IFERROR(INDEX('Company Hitlist'!$N:$N,MATCH(D860,'Company Hitlist'!$A:$A,0)),)</f>
        <v/>
      </c>
      <c r="Q860" t="inlineStr">
        <is>
          <t>todo</t>
        </is>
      </c>
    </row>
    <row r="861">
      <c r="A861" t="inlineStr">
        <is>
          <t>Vincent Leduc</t>
        </is>
      </c>
      <c r="B861" t="inlineStr">
        <is>
          <t>Attendee</t>
        </is>
      </c>
      <c r="C861" t="inlineStr">
        <is>
          <t>Regional Logistics Manager</t>
        </is>
      </c>
      <c r="D861" t="inlineStr">
        <is>
          <t>Kruger</t>
        </is>
      </c>
      <c r="E861" t="inlineStr">
        <is>
          <t>Canada</t>
        </is>
      </c>
      <c r="H861" t="n">
        <v>10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>
        <f>IFERROR(INDEX('Company Hitlist'!$AA:$AA,MATCH(D861,'Company Hitlist'!$A:$A,0)),)</f>
        <v/>
      </c>
      <c r="O861">
        <f>IFERROR(INDEX('Company Hitlist'!$N:$N,MATCH(D861,'Company Hitlist'!$A:$A,0)),)</f>
        <v/>
      </c>
      <c r="Q861" t="inlineStr">
        <is>
          <t>todo</t>
        </is>
      </c>
    </row>
    <row r="862">
      <c r="A862" t="inlineStr">
        <is>
          <t>Frank Sawinsky</t>
        </is>
      </c>
      <c r="B862" t="inlineStr">
        <is>
          <t>Attendee</t>
        </is>
      </c>
      <c r="C862" t="inlineStr">
        <is>
          <t>Supply Chain</t>
        </is>
      </c>
      <c r="D862" t="inlineStr">
        <is>
          <t>Kruger Products</t>
        </is>
      </c>
      <c r="H862" t="n">
        <v>10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>
        <f>IFERROR(INDEX('Company Hitlist'!$AA:$AA,MATCH(D862,'Company Hitlist'!$A:$A,0)),)</f>
        <v/>
      </c>
      <c r="O862">
        <f>IFERROR(INDEX('Company Hitlist'!$N:$N,MATCH(D862,'Company Hitlist'!$A:$A,0)),)</f>
        <v/>
      </c>
      <c r="Q862" t="inlineStr">
        <is>
          <t>todo</t>
        </is>
      </c>
    </row>
    <row r="863">
      <c r="A863" t="inlineStr">
        <is>
          <t>Brian Sookhai</t>
        </is>
      </c>
      <c r="B863" t="inlineStr">
        <is>
          <t>Attendee</t>
        </is>
      </c>
      <c r="C863" t="inlineStr">
        <is>
          <t>Director, Transportation &amp; Logistics</t>
        </is>
      </c>
      <c r="D863" t="inlineStr">
        <is>
          <t>Kruger Products Inc.</t>
        </is>
      </c>
      <c r="E863" t="inlineStr">
        <is>
          <t>Canada</t>
        </is>
      </c>
      <c r="H863" t="n">
        <v>10</v>
      </c>
      <c r="I863" t="b">
        <v>1</v>
      </c>
      <c r="J863" t="b">
        <v>0</v>
      </c>
      <c r="K863" t="b">
        <v>0</v>
      </c>
      <c r="L863" t="b">
        <v>0</v>
      </c>
      <c r="M863" t="b">
        <v>0</v>
      </c>
      <c r="N863">
        <f>IFERROR(INDEX('Company Hitlist'!$AA:$AA,MATCH(D863,'Company Hitlist'!$A:$A,0)),)</f>
        <v/>
      </c>
      <c r="O863">
        <f>IFERROR(INDEX('Company Hitlist'!$N:$N,MATCH(D863,'Company Hitlist'!$A:$A,0)),)</f>
        <v/>
      </c>
      <c r="Q863" t="inlineStr">
        <is>
          <t>todo</t>
        </is>
      </c>
    </row>
    <row r="864">
      <c r="A864" t="inlineStr">
        <is>
          <t>Tyler Stowers</t>
        </is>
      </c>
      <c r="B864" t="inlineStr">
        <is>
          <t>Attendee</t>
        </is>
      </c>
      <c r="C864" t="inlineStr">
        <is>
          <t>Director, Transportation</t>
        </is>
      </c>
      <c r="D864" t="inlineStr">
        <is>
          <t>Land O'Lakes</t>
        </is>
      </c>
      <c r="H864" t="n">
        <v>10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>
        <f>IFERROR(INDEX('Company Hitlist'!$AA:$AA,MATCH(D864,'Company Hitlist'!$A:$A,0)),)</f>
        <v/>
      </c>
      <c r="O864">
        <f>IFERROR(INDEX('Company Hitlist'!$N:$N,MATCH(D864,'Company Hitlist'!$A:$A,0)),)</f>
        <v/>
      </c>
      <c r="Q864" t="inlineStr">
        <is>
          <t>todo</t>
        </is>
      </c>
    </row>
    <row r="865">
      <c r="A865" t="inlineStr">
        <is>
          <t>Jack Minasyan</t>
        </is>
      </c>
      <c r="B865" t="inlineStr">
        <is>
          <t>Attendee</t>
        </is>
      </c>
      <c r="C865" t="inlineStr">
        <is>
          <t>Senior Director of Operations</t>
        </is>
      </c>
      <c r="D865" t="inlineStr">
        <is>
          <t>Legend Freight Systems</t>
        </is>
      </c>
      <c r="E865" t="inlineStr">
        <is>
          <t>United States</t>
        </is>
      </c>
      <c r="F865" t="inlineStr">
        <is>
          <t>Yes</t>
        </is>
      </c>
      <c r="H865" t="n">
        <v>10</v>
      </c>
      <c r="I865" t="b">
        <v>1</v>
      </c>
      <c r="J865" t="b">
        <v>0</v>
      </c>
      <c r="K865" t="b">
        <v>0</v>
      </c>
      <c r="L865" t="b">
        <v>0</v>
      </c>
      <c r="M865" t="b">
        <v>0</v>
      </c>
      <c r="N865">
        <f>IFERROR(INDEX('Company Hitlist'!$AA:$AA,MATCH(D865,'Company Hitlist'!$A:$A,0)),)</f>
        <v/>
      </c>
      <c r="O865">
        <f>IFERROR(INDEX('Company Hitlist'!$N:$N,MATCH(D865,'Company Hitlist'!$A:$A,0)),)</f>
        <v/>
      </c>
      <c r="Q865" t="inlineStr">
        <is>
          <t>todo</t>
        </is>
      </c>
    </row>
    <row r="866">
      <c r="A866" t="inlineStr">
        <is>
          <t>Al Pace</t>
        </is>
      </c>
      <c r="B866" t="inlineStr">
        <is>
          <t>Attendee</t>
        </is>
      </c>
      <c r="C866" t="inlineStr">
        <is>
          <t>Senior Director of Operations</t>
        </is>
      </c>
      <c r="D866" t="inlineStr">
        <is>
          <t>Lego</t>
        </is>
      </c>
      <c r="H866" t="n">
        <v>10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>
        <f>IFERROR(INDEX('Company Hitlist'!$AA:$AA,MATCH(D866,'Company Hitlist'!$A:$A,0)),)</f>
        <v/>
      </c>
      <c r="O866">
        <f>IFERROR(INDEX('Company Hitlist'!$N:$N,MATCH(D866,'Company Hitlist'!$A:$A,0)),)</f>
        <v/>
      </c>
      <c r="Q866" t="inlineStr">
        <is>
          <t>todo</t>
        </is>
      </c>
    </row>
    <row r="867">
      <c r="A867" t="inlineStr">
        <is>
          <t>Andrew Petardi</t>
        </is>
      </c>
      <c r="B867" t="inlineStr">
        <is>
          <t>Attendee</t>
        </is>
      </c>
      <c r="C867" t="inlineStr">
        <is>
          <t>Sr. Category Manager Distribution</t>
        </is>
      </c>
      <c r="D867" t="inlineStr">
        <is>
          <t>Lego</t>
        </is>
      </c>
      <c r="H867" t="n">
        <v>10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>
        <f>IFERROR(INDEX('Company Hitlist'!$AA:$AA,MATCH(D867,'Company Hitlist'!$A:$A,0)),)</f>
        <v/>
      </c>
      <c r="O867">
        <f>IFERROR(INDEX('Company Hitlist'!$N:$N,MATCH(D867,'Company Hitlist'!$A:$A,0)),)</f>
        <v/>
      </c>
      <c r="Q867" t="inlineStr">
        <is>
          <t>todo</t>
        </is>
      </c>
    </row>
    <row r="868">
      <c r="A868" t="inlineStr">
        <is>
          <t>Jeff Spengler</t>
        </is>
      </c>
      <c r="B868" t="inlineStr">
        <is>
          <t>Attendee</t>
        </is>
      </c>
      <c r="C868" t="inlineStr">
        <is>
          <t>Director, Supply Chain Optimization</t>
        </is>
      </c>
      <c r="D868" t="inlineStr">
        <is>
          <t>Lennox International</t>
        </is>
      </c>
      <c r="E868" t="inlineStr">
        <is>
          <t>United States</t>
        </is>
      </c>
      <c r="H868" t="n">
        <v>10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>
        <f>IFERROR(INDEX('Company Hitlist'!$AA:$AA,MATCH(D868,'Company Hitlist'!$A:$A,0)),)</f>
        <v/>
      </c>
      <c r="O868">
        <f>IFERROR(INDEX('Company Hitlist'!$N:$N,MATCH(D868,'Company Hitlist'!$A:$A,0)),)</f>
        <v/>
      </c>
      <c r="Q868" t="inlineStr">
        <is>
          <t>todo</t>
        </is>
      </c>
    </row>
    <row r="869">
      <c r="A869" t="inlineStr">
        <is>
          <t>Eric Eileraas</t>
        </is>
      </c>
      <c r="B869" t="inlineStr">
        <is>
          <t>Attendee</t>
        </is>
      </c>
      <c r="C869" t="inlineStr">
        <is>
          <t>Sr Director Logistics</t>
        </is>
      </c>
      <c r="D869" t="inlineStr">
        <is>
          <t>Light &amp; Wonder</t>
        </is>
      </c>
      <c r="H869" t="n">
        <v>10</v>
      </c>
      <c r="I869" t="b">
        <v>1</v>
      </c>
      <c r="J869" t="b">
        <v>0</v>
      </c>
      <c r="K869" t="b">
        <v>0</v>
      </c>
      <c r="L869" t="b">
        <v>0</v>
      </c>
      <c r="M869" t="b">
        <v>0</v>
      </c>
      <c r="N869">
        <f>IFERROR(INDEX('Company Hitlist'!$AA:$AA,MATCH(D869,'Company Hitlist'!$A:$A,0)),)</f>
        <v/>
      </c>
      <c r="O869">
        <f>IFERROR(INDEX('Company Hitlist'!$N:$N,MATCH(D869,'Company Hitlist'!$A:$A,0)),)</f>
        <v/>
      </c>
      <c r="Q869" t="inlineStr">
        <is>
          <t>todo</t>
        </is>
      </c>
    </row>
    <row r="870">
      <c r="A870" t="inlineStr">
        <is>
          <t>Rachael Leggett</t>
        </is>
      </c>
      <c r="B870" t="inlineStr">
        <is>
          <t>Attendee</t>
        </is>
      </c>
      <c r="C870" t="inlineStr">
        <is>
          <t>Sr Director, Supply Chain Strategy &amp; Demand Planning</t>
        </is>
      </c>
      <c r="D870" t="inlineStr">
        <is>
          <t>Light &amp; Wonder</t>
        </is>
      </c>
      <c r="H870" t="n">
        <v>10</v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>
        <f>IFERROR(INDEX('Company Hitlist'!$AA:$AA,MATCH(D870,'Company Hitlist'!$A:$A,0)),)</f>
        <v/>
      </c>
      <c r="O870">
        <f>IFERROR(INDEX('Company Hitlist'!$N:$N,MATCH(D870,'Company Hitlist'!$A:$A,0)),)</f>
        <v/>
      </c>
      <c r="Q870" t="inlineStr">
        <is>
          <t>todo</t>
        </is>
      </c>
    </row>
    <row r="871">
      <c r="A871" t="inlineStr">
        <is>
          <t>Amber Zehner</t>
        </is>
      </c>
      <c r="B871" t="inlineStr">
        <is>
          <t>Attendee</t>
        </is>
      </c>
      <c r="C871" t="inlineStr">
        <is>
          <t>Global Logistics</t>
        </is>
      </c>
      <c r="D871" t="inlineStr">
        <is>
          <t>Lion Energy</t>
        </is>
      </c>
      <c r="F871" t="inlineStr">
        <is>
          <t>Yes</t>
        </is>
      </c>
      <c r="H871" t="n">
        <v>10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>
        <f>IFERROR(INDEX('Company Hitlist'!$AA:$AA,MATCH(D871,'Company Hitlist'!$A:$A,0)),)</f>
        <v/>
      </c>
      <c r="O871">
        <f>IFERROR(INDEX('Company Hitlist'!$N:$N,MATCH(D871,'Company Hitlist'!$A:$A,0)),)</f>
        <v/>
      </c>
      <c r="Q871" t="inlineStr">
        <is>
          <t>todo</t>
        </is>
      </c>
    </row>
    <row r="872">
      <c r="A872" t="inlineStr">
        <is>
          <t>Jocelyn Webb</t>
        </is>
      </c>
      <c r="B872" t="inlineStr">
        <is>
          <t>Attendee</t>
        </is>
      </c>
      <c r="C872" t="inlineStr">
        <is>
          <t>Global Logistics Team</t>
        </is>
      </c>
      <c r="D872" t="inlineStr">
        <is>
          <t>Lion Energy</t>
        </is>
      </c>
      <c r="F872" t="inlineStr">
        <is>
          <t>Yes</t>
        </is>
      </c>
      <c r="H872" t="n">
        <v>10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>
        <f>IFERROR(INDEX('Company Hitlist'!$AA:$AA,MATCH(D872,'Company Hitlist'!$A:$A,0)),)</f>
        <v/>
      </c>
      <c r="O872">
        <f>IFERROR(INDEX('Company Hitlist'!$N:$N,MATCH(D872,'Company Hitlist'!$A:$A,0)),)</f>
        <v/>
      </c>
      <c r="Q872" t="inlineStr">
        <is>
          <t>todo</t>
        </is>
      </c>
    </row>
    <row r="873">
      <c r="A873" t="inlineStr">
        <is>
          <t>Jason Alto</t>
        </is>
      </c>
      <c r="B873" t="inlineStr">
        <is>
          <t>Attendee</t>
        </is>
      </c>
      <c r="C873" t="inlineStr">
        <is>
          <t>Transportation Manager</t>
        </is>
      </c>
      <c r="D873" t="inlineStr">
        <is>
          <t>Liquid Death</t>
        </is>
      </c>
      <c r="H873" t="n">
        <v>10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>
        <f>IFERROR(INDEX('Company Hitlist'!$AA:$AA,MATCH(D873,'Company Hitlist'!$A:$A,0)),)</f>
        <v/>
      </c>
      <c r="O873">
        <f>IFERROR(INDEX('Company Hitlist'!$N:$N,MATCH(D873,'Company Hitlist'!$A:$A,0)),)</f>
        <v/>
      </c>
      <c r="Q873" t="inlineStr">
        <is>
          <t>todo</t>
        </is>
      </c>
    </row>
    <row r="874">
      <c r="A874" t="inlineStr">
        <is>
          <t>Steven Kempton</t>
        </is>
      </c>
      <c r="B874" t="inlineStr">
        <is>
          <t>Attendee</t>
        </is>
      </c>
      <c r="C874" t="inlineStr">
        <is>
          <t>Senior Director Logistics &amp; Supply Chain</t>
        </is>
      </c>
      <c r="D874" t="inlineStr">
        <is>
          <t>Living Spaces Furniture</t>
        </is>
      </c>
      <c r="H874" t="n">
        <v>10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>
        <f>IFERROR(INDEX('Company Hitlist'!$AA:$AA,MATCH(D874,'Company Hitlist'!$A:$A,0)),)</f>
        <v/>
      </c>
      <c r="O874">
        <f>IFERROR(INDEX('Company Hitlist'!$N:$N,MATCH(D874,'Company Hitlist'!$A:$A,0)),)</f>
        <v/>
      </c>
      <c r="Q874" t="inlineStr">
        <is>
          <t>todo</t>
        </is>
      </c>
    </row>
    <row r="875">
      <c r="A875" t="inlineStr">
        <is>
          <t>Jasmeet Sandhu</t>
        </is>
      </c>
      <c r="B875" t="inlineStr">
        <is>
          <t>Attendee</t>
        </is>
      </c>
      <c r="C875" t="inlineStr">
        <is>
          <t>Senior Manager eCommerce Logistics</t>
        </is>
      </c>
      <c r="D875" t="inlineStr">
        <is>
          <t>Loblaw Companies</t>
        </is>
      </c>
      <c r="H875" t="n">
        <v>10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>
        <f>IFERROR(INDEX('Company Hitlist'!$AA:$AA,MATCH(D875,'Company Hitlist'!$A:$A,0)),)</f>
        <v/>
      </c>
      <c r="O875">
        <f>IFERROR(INDEX('Company Hitlist'!$N:$N,MATCH(D875,'Company Hitlist'!$A:$A,0)),)</f>
        <v/>
      </c>
      <c r="Q875" t="inlineStr">
        <is>
          <t>todo</t>
        </is>
      </c>
    </row>
    <row r="876">
      <c r="A876" t="inlineStr">
        <is>
          <t>Dan Border</t>
        </is>
      </c>
      <c r="B876" t="inlineStr">
        <is>
          <t>Attendee</t>
        </is>
      </c>
      <c r="C876" t="inlineStr">
        <is>
          <t>Sr. Manager of Supply Chain Data Science</t>
        </is>
      </c>
      <c r="D876" t="inlineStr">
        <is>
          <t>Lockheed Martin</t>
        </is>
      </c>
      <c r="E876" t="inlineStr">
        <is>
          <t>United States</t>
        </is>
      </c>
      <c r="H876" t="n">
        <v>10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>
        <f>IFERROR(INDEX('Company Hitlist'!$AA:$AA,MATCH(D876,'Company Hitlist'!$A:$A,0)),)</f>
        <v/>
      </c>
      <c r="O876">
        <f>IFERROR(INDEX('Company Hitlist'!$N:$N,MATCH(D876,'Company Hitlist'!$A:$A,0)),)</f>
        <v/>
      </c>
      <c r="Q876" t="inlineStr">
        <is>
          <t>todo</t>
        </is>
      </c>
    </row>
    <row r="877">
      <c r="A877" t="inlineStr">
        <is>
          <t>Matthew Brown</t>
        </is>
      </c>
      <c r="B877" t="inlineStr">
        <is>
          <t>Attendee</t>
        </is>
      </c>
      <c r="C877" t="inlineStr">
        <is>
          <t>Project Manager of Global Supply Chain Data Science</t>
        </is>
      </c>
      <c r="D877" t="inlineStr">
        <is>
          <t>Lockheed Martin</t>
        </is>
      </c>
      <c r="E877" t="inlineStr">
        <is>
          <t>United States</t>
        </is>
      </c>
      <c r="H877" t="n">
        <v>10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>
        <f>IFERROR(INDEX('Company Hitlist'!$AA:$AA,MATCH(D877,'Company Hitlist'!$A:$A,0)),)</f>
        <v/>
      </c>
      <c r="O877">
        <f>IFERROR(INDEX('Company Hitlist'!$N:$N,MATCH(D877,'Company Hitlist'!$A:$A,0)),)</f>
        <v/>
      </c>
      <c r="Q877" t="inlineStr">
        <is>
          <t>todo</t>
        </is>
      </c>
    </row>
    <row r="878">
      <c r="A878" t="inlineStr">
        <is>
          <t>Aaron Greenfield</t>
        </is>
      </c>
      <c r="B878" t="inlineStr">
        <is>
          <t>Attendee</t>
        </is>
      </c>
      <c r="C878" t="inlineStr">
        <is>
          <t>Logistics</t>
        </is>
      </c>
      <c r="D878" t="inlineStr">
        <is>
          <t>Logistify</t>
        </is>
      </c>
      <c r="F878" t="inlineStr">
        <is>
          <t>Yes</t>
        </is>
      </c>
      <c r="H878" t="n">
        <v>10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>
        <f>IFERROR(INDEX('Company Hitlist'!$AA:$AA,MATCH(D878,'Company Hitlist'!$A:$A,0)),)</f>
        <v/>
      </c>
      <c r="O878">
        <f>IFERROR(INDEX('Company Hitlist'!$N:$N,MATCH(D878,'Company Hitlist'!$A:$A,0)),)</f>
        <v/>
      </c>
      <c r="Q878" t="inlineStr">
        <is>
          <t>todo</t>
        </is>
      </c>
    </row>
    <row r="879">
      <c r="A879" t="inlineStr">
        <is>
          <t>Bruno Almeida</t>
        </is>
      </c>
      <c r="B879" t="inlineStr">
        <is>
          <t>Attendee</t>
        </is>
      </c>
      <c r="C879" t="inlineStr">
        <is>
          <t>Sr. Manager AMR Logistics</t>
        </is>
      </c>
      <c r="D879" t="inlineStr">
        <is>
          <t>Logitech</t>
        </is>
      </c>
      <c r="H879" t="n">
        <v>10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>
        <f>IFERROR(INDEX('Company Hitlist'!$AA:$AA,MATCH(D879,'Company Hitlist'!$A:$A,0)),)</f>
        <v/>
      </c>
      <c r="O879">
        <f>IFERROR(INDEX('Company Hitlist'!$N:$N,MATCH(D879,'Company Hitlist'!$A:$A,0)),)</f>
        <v/>
      </c>
      <c r="Q879" t="inlineStr">
        <is>
          <t>todo</t>
        </is>
      </c>
    </row>
    <row r="880">
      <c r="A880" t="inlineStr">
        <is>
          <t>Nore Balbiani</t>
        </is>
      </c>
      <c r="B880" t="inlineStr">
        <is>
          <t>Attendee</t>
        </is>
      </c>
      <c r="C880" t="inlineStr">
        <is>
          <t>AMR Logistics Manager</t>
        </is>
      </c>
      <c r="D880" t="inlineStr">
        <is>
          <t>Logitech</t>
        </is>
      </c>
      <c r="H880" t="n">
        <v>10</v>
      </c>
      <c r="I880" t="b">
        <v>1</v>
      </c>
      <c r="J880" t="b">
        <v>0</v>
      </c>
      <c r="K880" t="b">
        <v>0</v>
      </c>
      <c r="L880" t="b">
        <v>0</v>
      </c>
      <c r="M880" t="b">
        <v>0</v>
      </c>
      <c r="N880">
        <f>IFERROR(INDEX('Company Hitlist'!$AA:$AA,MATCH(D880,'Company Hitlist'!$A:$A,0)),)</f>
        <v/>
      </c>
      <c r="O880">
        <f>IFERROR(INDEX('Company Hitlist'!$N:$N,MATCH(D880,'Company Hitlist'!$A:$A,0)),)</f>
        <v/>
      </c>
      <c r="Q880" t="inlineStr">
        <is>
          <t>todo</t>
        </is>
      </c>
    </row>
    <row r="881">
      <c r="A881" t="inlineStr">
        <is>
          <t>John O'Neill</t>
        </is>
      </c>
      <c r="B881" t="inlineStr">
        <is>
          <t>Attendee</t>
        </is>
      </c>
      <c r="C881" t="inlineStr">
        <is>
          <t>Executive Director of Global Operations</t>
        </is>
      </c>
      <c r="D881" t="inlineStr">
        <is>
          <t>Logiwa</t>
        </is>
      </c>
      <c r="E881" t="inlineStr">
        <is>
          <t>Canada</t>
        </is>
      </c>
      <c r="F881" t="inlineStr">
        <is>
          <t>Yes</t>
        </is>
      </c>
      <c r="G881" t="inlineStr">
        <is>
          <t>$46.4 million (2025)</t>
        </is>
      </c>
      <c r="H881" t="n">
        <v>10</v>
      </c>
      <c r="I881" t="b">
        <v>1</v>
      </c>
      <c r="J881" t="b">
        <v>0</v>
      </c>
      <c r="K881" t="b">
        <v>0</v>
      </c>
      <c r="L881" t="b">
        <v>0</v>
      </c>
      <c r="M881" t="b">
        <v>0</v>
      </c>
      <c r="N881">
        <f>IFERROR(INDEX('Company Hitlist'!$AA:$AA,MATCH(D881,'Company Hitlist'!$A:$A,0)),)</f>
        <v/>
      </c>
      <c r="O881">
        <f>IFERROR(INDEX('Company Hitlist'!$N:$N,MATCH(D881,'Company Hitlist'!$A:$A,0)),)</f>
        <v/>
      </c>
      <c r="Q881" t="inlineStr">
        <is>
          <t>todo</t>
        </is>
      </c>
    </row>
    <row r="882">
      <c r="A882" t="inlineStr">
        <is>
          <t>Davy Dujardin</t>
        </is>
      </c>
      <c r="B882" t="inlineStr">
        <is>
          <t>Attendee</t>
        </is>
      </c>
      <c r="C882" t="inlineStr">
        <is>
          <t>Director Global Logistics &amp; Customer Operations</t>
        </is>
      </c>
      <c r="D882" t="inlineStr">
        <is>
          <t>Loop at Loop</t>
        </is>
      </c>
      <c r="E882" t="inlineStr">
        <is>
          <t>Belgium</t>
        </is>
      </c>
      <c r="F882" t="inlineStr">
        <is>
          <t>Yes</t>
        </is>
      </c>
      <c r="H882" t="n">
        <v>10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>
        <f>IFERROR(INDEX('Company Hitlist'!$AA:$AA,MATCH(D882,'Company Hitlist'!$A:$A,0)),)</f>
        <v/>
      </c>
      <c r="O882">
        <f>IFERROR(INDEX('Company Hitlist'!$N:$N,MATCH(D882,'Company Hitlist'!$A:$A,0)),)</f>
        <v/>
      </c>
      <c r="Q882" t="inlineStr">
        <is>
          <t>todo</t>
        </is>
      </c>
    </row>
    <row r="883">
      <c r="A883" t="inlineStr">
        <is>
          <t>Kailey Whitehead</t>
        </is>
      </c>
      <c r="B883" t="inlineStr">
        <is>
          <t>Attendee</t>
        </is>
      </c>
      <c r="C883" t="inlineStr">
        <is>
          <t>Logistics Manager</t>
        </is>
      </c>
      <c r="D883" t="inlineStr">
        <is>
          <t>Louisiana-Pacific</t>
        </is>
      </c>
      <c r="H883" t="n">
        <v>10</v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>
        <f>IFERROR(INDEX('Company Hitlist'!$AA:$AA,MATCH(D883,'Company Hitlist'!$A:$A,0)),)</f>
        <v/>
      </c>
      <c r="O883">
        <f>IFERROR(INDEX('Company Hitlist'!$N:$N,MATCH(D883,'Company Hitlist'!$A:$A,0)),)</f>
        <v/>
      </c>
      <c r="Q883" t="inlineStr">
        <is>
          <t>todo</t>
        </is>
      </c>
    </row>
    <row r="884">
      <c r="A884" t="inlineStr">
        <is>
          <t>John Richards</t>
        </is>
      </c>
      <c r="B884" t="inlineStr">
        <is>
          <t>Attendee</t>
        </is>
      </c>
      <c r="C884" t="inlineStr">
        <is>
          <t>Operations Manager</t>
        </is>
      </c>
      <c r="D884" t="inlineStr">
        <is>
          <t>MANN+HUMMEL</t>
        </is>
      </c>
      <c r="E884" t="inlineStr">
        <is>
          <t>United States</t>
        </is>
      </c>
      <c r="H884" t="n">
        <v>10</v>
      </c>
      <c r="I884" t="b">
        <v>1</v>
      </c>
      <c r="J884" t="b">
        <v>0</v>
      </c>
      <c r="K884" t="b">
        <v>0</v>
      </c>
      <c r="L884" t="b">
        <v>0</v>
      </c>
      <c r="M884" t="b">
        <v>0</v>
      </c>
      <c r="N884">
        <f>IFERROR(INDEX('Company Hitlist'!$AA:$AA,MATCH(D884,'Company Hitlist'!$A:$A,0)),)</f>
        <v/>
      </c>
      <c r="O884">
        <f>IFERROR(INDEX('Company Hitlist'!$N:$N,MATCH(D884,'Company Hitlist'!$A:$A,0)),)</f>
        <v/>
      </c>
      <c r="Q884" t="inlineStr">
        <is>
          <t>todo</t>
        </is>
      </c>
    </row>
    <row r="885">
      <c r="A885" t="inlineStr">
        <is>
          <t>Haley Brady</t>
        </is>
      </c>
      <c r="B885" t="inlineStr">
        <is>
          <t>Attendee</t>
        </is>
      </c>
      <c r="C885" t="inlineStr">
        <is>
          <t>Director, Brokerage Operations</t>
        </is>
      </c>
      <c r="D885" t="inlineStr">
        <is>
          <t>MLM Trans</t>
        </is>
      </c>
      <c r="F885" t="inlineStr">
        <is>
          <t>Yes</t>
        </is>
      </c>
      <c r="H885" t="n">
        <v>10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>
        <f>IFERROR(INDEX('Company Hitlist'!$AA:$AA,MATCH(D885,'Company Hitlist'!$A:$A,0)),)</f>
        <v/>
      </c>
      <c r="O885">
        <f>IFERROR(INDEX('Company Hitlist'!$N:$N,MATCH(D885,'Company Hitlist'!$A:$A,0)),)</f>
        <v/>
      </c>
      <c r="Q885" t="inlineStr">
        <is>
          <t>todo</t>
        </is>
      </c>
    </row>
    <row r="886">
      <c r="A886" t="inlineStr">
        <is>
          <t>Javier Rivera</t>
        </is>
      </c>
      <c r="B886" t="inlineStr">
        <is>
          <t>Attendee</t>
        </is>
      </c>
      <c r="C886" t="inlineStr">
        <is>
          <t>Supply Chain Operations Manager</t>
        </is>
      </c>
      <c r="D886" t="inlineStr">
        <is>
          <t>Maev</t>
        </is>
      </c>
      <c r="H886" t="n">
        <v>10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>
        <f>IFERROR(INDEX('Company Hitlist'!$AA:$AA,MATCH(D886,'Company Hitlist'!$A:$A,0)),)</f>
        <v/>
      </c>
      <c r="O886">
        <f>IFERROR(INDEX('Company Hitlist'!$N:$N,MATCH(D886,'Company Hitlist'!$A:$A,0)),)</f>
        <v/>
      </c>
      <c r="Q886" t="inlineStr">
        <is>
          <t>todo</t>
        </is>
      </c>
    </row>
    <row r="887">
      <c r="A887" t="inlineStr">
        <is>
          <t>Trevor Ivy</t>
        </is>
      </c>
      <c r="B887" t="inlineStr">
        <is>
          <t>Attendee</t>
        </is>
      </c>
      <c r="C887" t="inlineStr">
        <is>
          <t>Director of Supply Chain</t>
        </is>
      </c>
      <c r="D887" t="inlineStr">
        <is>
          <t>Maev</t>
        </is>
      </c>
      <c r="H887" t="n">
        <v>10</v>
      </c>
      <c r="I887" t="b">
        <v>1</v>
      </c>
      <c r="J887" t="b">
        <v>0</v>
      </c>
      <c r="K887" t="b">
        <v>0</v>
      </c>
      <c r="L887" t="b">
        <v>0</v>
      </c>
      <c r="M887" t="b">
        <v>0</v>
      </c>
      <c r="N887">
        <f>IFERROR(INDEX('Company Hitlist'!$AA:$AA,MATCH(D887,'Company Hitlist'!$A:$A,0)),)</f>
        <v/>
      </c>
      <c r="O887">
        <f>IFERROR(INDEX('Company Hitlist'!$N:$N,MATCH(D887,'Company Hitlist'!$A:$A,0)),)</f>
        <v/>
      </c>
      <c r="Q887" t="inlineStr">
        <is>
          <t>todo</t>
        </is>
      </c>
    </row>
    <row r="888">
      <c r="A888" t="inlineStr">
        <is>
          <t>Stephen Vane</t>
        </is>
      </c>
      <c r="B888" t="inlineStr">
        <is>
          <t>Attendee</t>
        </is>
      </c>
      <c r="C888" t="inlineStr">
        <is>
          <t>Operations Manager</t>
        </is>
      </c>
      <c r="D888" t="inlineStr">
        <is>
          <t>Mann + Hummel</t>
        </is>
      </c>
      <c r="E888" t="inlineStr">
        <is>
          <t>United States</t>
        </is>
      </c>
      <c r="H888" t="n">
        <v>10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>
        <f>IFERROR(INDEX('Company Hitlist'!$AA:$AA,MATCH(D888,'Company Hitlist'!$A:$A,0)),)</f>
        <v/>
      </c>
      <c r="O888">
        <f>IFERROR(INDEX('Company Hitlist'!$N:$N,MATCH(D888,'Company Hitlist'!$A:$A,0)),)</f>
        <v/>
      </c>
      <c r="Q888" t="inlineStr">
        <is>
          <t>todo</t>
        </is>
      </c>
    </row>
    <row r="889">
      <c r="A889" t="inlineStr">
        <is>
          <t>Meghan Charboneau</t>
        </is>
      </c>
      <c r="B889" t="inlineStr">
        <is>
          <t>Attendee</t>
        </is>
      </c>
      <c r="C889" t="inlineStr">
        <is>
          <t>Director of Transportation</t>
        </is>
      </c>
      <c r="D889" t="inlineStr">
        <is>
          <t>Mars</t>
        </is>
      </c>
      <c r="F889" t="inlineStr">
        <is>
          <t>Yes</t>
        </is>
      </c>
      <c r="G889" t="inlineStr">
        <is>
          <t>$50B (2024; projected $55B in 2025)</t>
        </is>
      </c>
      <c r="H889" t="n">
        <v>10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>
        <f>IFERROR(INDEX('Company Hitlist'!$AA:$AA,MATCH(D889,'Company Hitlist'!$A:$A,0)),)</f>
        <v/>
      </c>
      <c r="O889">
        <f>IFERROR(INDEX('Company Hitlist'!$N:$N,MATCH(D889,'Company Hitlist'!$A:$A,0)),)</f>
        <v/>
      </c>
      <c r="Q889" t="inlineStr">
        <is>
          <t>todo</t>
        </is>
      </c>
    </row>
    <row r="890">
      <c r="A890" t="inlineStr">
        <is>
          <t>Isaiah Viera</t>
        </is>
      </c>
      <c r="B890" t="inlineStr">
        <is>
          <t>Attendee</t>
        </is>
      </c>
      <c r="C890" t="inlineStr">
        <is>
          <t>Global Warehouse Operations Manager</t>
        </is>
      </c>
      <c r="D890" t="inlineStr">
        <is>
          <t>Mars</t>
        </is>
      </c>
      <c r="H890" t="n">
        <v>10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>
        <f>IFERROR(INDEX('Company Hitlist'!$AA:$AA,MATCH(D890,'Company Hitlist'!$A:$A,0)),)</f>
        <v/>
      </c>
      <c r="O890">
        <f>IFERROR(INDEX('Company Hitlist'!$N:$N,MATCH(D890,'Company Hitlist'!$A:$A,0)),)</f>
        <v/>
      </c>
      <c r="Q890" t="inlineStr">
        <is>
          <t>todo</t>
        </is>
      </c>
    </row>
    <row r="891">
      <c r="A891" t="inlineStr">
        <is>
          <t>Josh Mullis</t>
        </is>
      </c>
      <c r="B891" t="inlineStr">
        <is>
          <t>Attendee</t>
        </is>
      </c>
      <c r="C891" t="inlineStr">
        <is>
          <t>Global Supply Chain Director - Mars Retail</t>
        </is>
      </c>
      <c r="D891" t="inlineStr">
        <is>
          <t>Mars</t>
        </is>
      </c>
      <c r="H891" t="n">
        <v>10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>
        <f>IFERROR(INDEX('Company Hitlist'!$AA:$AA,MATCH(D891,'Company Hitlist'!$A:$A,0)),)</f>
        <v/>
      </c>
      <c r="O891">
        <f>IFERROR(INDEX('Company Hitlist'!$N:$N,MATCH(D891,'Company Hitlist'!$A:$A,0)),)</f>
        <v/>
      </c>
      <c r="Q891" t="inlineStr">
        <is>
          <t>todo</t>
        </is>
      </c>
    </row>
    <row r="892">
      <c r="A892" t="inlineStr">
        <is>
          <t>Kevin Vought</t>
        </is>
      </c>
      <c r="B892" t="inlineStr">
        <is>
          <t>Attendee</t>
        </is>
      </c>
      <c r="C892" t="inlineStr">
        <is>
          <t>Senior Director, Digital Supply Chain</t>
        </is>
      </c>
      <c r="D892" t="inlineStr">
        <is>
          <t>Mars</t>
        </is>
      </c>
      <c r="H892" t="n">
        <v>10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>
        <f>IFERROR(INDEX('Company Hitlist'!$AA:$AA,MATCH(D892,'Company Hitlist'!$A:$A,0)),)</f>
        <v/>
      </c>
      <c r="O892">
        <f>IFERROR(INDEX('Company Hitlist'!$N:$N,MATCH(D892,'Company Hitlist'!$A:$A,0)),)</f>
        <v/>
      </c>
      <c r="Q892" t="inlineStr">
        <is>
          <t>todo</t>
        </is>
      </c>
    </row>
    <row r="893">
      <c r="A893" t="inlineStr">
        <is>
          <t>Cathy Marksbury</t>
        </is>
      </c>
      <c r="B893" t="inlineStr">
        <is>
          <t>Attendee</t>
        </is>
      </c>
      <c r="C893" t="inlineStr">
        <is>
          <t>Director, Plant Distribution &amp; Logistics Director</t>
        </is>
      </c>
      <c r="D893" t="inlineStr">
        <is>
          <t>Mars Snacking</t>
        </is>
      </c>
      <c r="E893" t="inlineStr">
        <is>
          <t>United States</t>
        </is>
      </c>
      <c r="F893" t="inlineStr">
        <is>
          <t>Yes</t>
        </is>
      </c>
      <c r="H893" t="n">
        <v>10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>
        <f>IFERROR(INDEX('Company Hitlist'!$AA:$AA,MATCH(D893,'Company Hitlist'!$A:$A,0)),)</f>
        <v/>
      </c>
      <c r="O893">
        <f>IFERROR(INDEX('Company Hitlist'!$N:$N,MATCH(D893,'Company Hitlist'!$A:$A,0)),)</f>
        <v/>
      </c>
      <c r="Q893" t="inlineStr">
        <is>
          <t>todo</t>
        </is>
      </c>
    </row>
    <row r="894">
      <c r="A894" t="inlineStr">
        <is>
          <t>Isabella Mancarella</t>
        </is>
      </c>
      <c r="B894" t="inlineStr">
        <is>
          <t>Attendee</t>
        </is>
      </c>
      <c r="C894" t="inlineStr">
        <is>
          <t>Distribution Manager</t>
        </is>
      </c>
      <c r="D894" t="inlineStr">
        <is>
          <t>MaryRuth Organics</t>
        </is>
      </c>
      <c r="E894" t="inlineStr">
        <is>
          <t>United States</t>
        </is>
      </c>
      <c r="H894" t="n">
        <v>10</v>
      </c>
      <c r="I894" t="b">
        <v>1</v>
      </c>
      <c r="J894" t="b">
        <v>0</v>
      </c>
      <c r="K894" t="b">
        <v>0</v>
      </c>
      <c r="L894" t="b">
        <v>0</v>
      </c>
      <c r="M894" t="b">
        <v>0</v>
      </c>
      <c r="N894">
        <f>IFERROR(INDEX('Company Hitlist'!$AA:$AA,MATCH(D894,'Company Hitlist'!$A:$A,0)),)</f>
        <v/>
      </c>
      <c r="O894">
        <f>IFERROR(INDEX('Company Hitlist'!$N:$N,MATCH(D894,'Company Hitlist'!$A:$A,0)),)</f>
        <v/>
      </c>
      <c r="Q894" t="inlineStr">
        <is>
          <t>todo</t>
        </is>
      </c>
    </row>
    <row r="895">
      <c r="A895" t="inlineStr">
        <is>
          <t>Connor Szabo</t>
        </is>
      </c>
      <c r="B895" t="inlineStr">
        <is>
          <t>Attendee</t>
        </is>
      </c>
      <c r="C895" t="inlineStr">
        <is>
          <t>Operations Tech Lead</t>
        </is>
      </c>
      <c r="D895" t="inlineStr">
        <is>
          <t>Mastronardi Produce</t>
        </is>
      </c>
      <c r="H895" t="n">
        <v>10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>
        <f>IFERROR(INDEX('Company Hitlist'!$AA:$AA,MATCH(D895,'Company Hitlist'!$A:$A,0)),)</f>
        <v/>
      </c>
      <c r="O895">
        <f>IFERROR(INDEX('Company Hitlist'!$N:$N,MATCH(D895,'Company Hitlist'!$A:$A,0)),)</f>
        <v/>
      </c>
      <c r="Q895" t="inlineStr">
        <is>
          <t>todo</t>
        </is>
      </c>
    </row>
    <row r="896">
      <c r="A896" t="inlineStr">
        <is>
          <t>Scott Wilkinson</t>
        </is>
      </c>
      <c r="B896" t="inlineStr">
        <is>
          <t>Attendee</t>
        </is>
      </c>
      <c r="C896" t="inlineStr">
        <is>
          <t>Director DC Network Transformation</t>
        </is>
      </c>
      <c r="D896" t="inlineStr">
        <is>
          <t>McCain</t>
        </is>
      </c>
      <c r="F896" t="inlineStr">
        <is>
          <t>Yes</t>
        </is>
      </c>
      <c r="H896" t="n">
        <v>10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>
        <f>IFERROR(INDEX('Company Hitlist'!$AA:$AA,MATCH(D896,'Company Hitlist'!$A:$A,0)),)</f>
        <v/>
      </c>
      <c r="O896">
        <f>IFERROR(INDEX('Company Hitlist'!$N:$N,MATCH(D896,'Company Hitlist'!$A:$A,0)),)</f>
        <v/>
      </c>
      <c r="Q896" t="inlineStr">
        <is>
          <t>todo</t>
        </is>
      </c>
    </row>
    <row r="897">
      <c r="A897" t="inlineStr">
        <is>
          <t>Charles Bostick</t>
        </is>
      </c>
      <c r="B897" t="inlineStr">
        <is>
          <t>Attendee</t>
        </is>
      </c>
      <c r="C897" t="inlineStr">
        <is>
          <t>Sr Director of Operations</t>
        </is>
      </c>
      <c r="D897" t="inlineStr">
        <is>
          <t>McLane</t>
        </is>
      </c>
      <c r="F897" t="inlineStr">
        <is>
          <t>Yes</t>
        </is>
      </c>
      <c r="H897" t="n">
        <v>10</v>
      </c>
      <c r="I897" t="b">
        <v>1</v>
      </c>
      <c r="J897" t="b">
        <v>0</v>
      </c>
      <c r="K897" t="b">
        <v>0</v>
      </c>
      <c r="L897" t="b">
        <v>0</v>
      </c>
      <c r="M897" t="b">
        <v>0</v>
      </c>
      <c r="N897">
        <f>IFERROR(INDEX('Company Hitlist'!$AA:$AA,MATCH(D897,'Company Hitlist'!$A:$A,0)),)</f>
        <v/>
      </c>
      <c r="O897">
        <f>IFERROR(INDEX('Company Hitlist'!$N:$N,MATCH(D897,'Company Hitlist'!$A:$A,0)),)</f>
        <v/>
      </c>
      <c r="Q897" t="inlineStr">
        <is>
          <t>todo</t>
        </is>
      </c>
    </row>
    <row r="898">
      <c r="A898" t="inlineStr">
        <is>
          <t>Charles Bostick</t>
        </is>
      </c>
      <c r="B898" t="inlineStr">
        <is>
          <t>Attendee</t>
        </is>
      </c>
      <c r="C898" t="inlineStr">
        <is>
          <t>Senior Director of Logistics</t>
        </is>
      </c>
      <c r="D898" t="inlineStr">
        <is>
          <t>McLane Foodservice</t>
        </is>
      </c>
      <c r="F898" t="inlineStr">
        <is>
          <t>Yes</t>
        </is>
      </c>
      <c r="H898" t="n">
        <v>10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>
        <f>IFERROR(INDEX('Company Hitlist'!$AA:$AA,MATCH(D898,'Company Hitlist'!$A:$A,0)),)</f>
        <v/>
      </c>
      <c r="O898">
        <f>IFERROR(INDEX('Company Hitlist'!$N:$N,MATCH(D898,'Company Hitlist'!$A:$A,0)),)</f>
        <v/>
      </c>
      <c r="Q898" t="inlineStr">
        <is>
          <t>todo</t>
        </is>
      </c>
    </row>
    <row r="899">
      <c r="A899" t="inlineStr">
        <is>
          <t>Rochisshil Varma</t>
        </is>
      </c>
      <c r="B899" t="inlineStr">
        <is>
          <t>Attendee</t>
        </is>
      </c>
      <c r="C899" t="inlineStr">
        <is>
          <t>Supply Chain Manager</t>
        </is>
      </c>
      <c r="D899" t="inlineStr">
        <is>
          <t>Microsoft</t>
        </is>
      </c>
      <c r="H899" t="n">
        <v>10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>
        <f>IFERROR(INDEX('Company Hitlist'!$AA:$AA,MATCH(D899,'Company Hitlist'!$A:$A,0)),)</f>
        <v/>
      </c>
      <c r="O899">
        <f>IFERROR(INDEX('Company Hitlist'!$N:$N,MATCH(D899,'Company Hitlist'!$A:$A,0)),)</f>
        <v/>
      </c>
      <c r="Q899" t="inlineStr">
        <is>
          <t>todo</t>
        </is>
      </c>
    </row>
    <row r="900">
      <c r="A900" t="inlineStr">
        <is>
          <t>Regina Diaz</t>
        </is>
      </c>
      <c r="B900" t="inlineStr">
        <is>
          <t>Attendee</t>
        </is>
      </c>
      <c r="C900" t="inlineStr">
        <is>
          <t>Director of Operations</t>
        </is>
      </c>
      <c r="D900" t="inlineStr">
        <is>
          <t>Million Dollar Baby</t>
        </is>
      </c>
      <c r="F900" t="inlineStr">
        <is>
          <t>Yes</t>
        </is>
      </c>
      <c r="H900" t="n">
        <v>10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>
        <f>IFERROR(INDEX('Company Hitlist'!$AA:$AA,MATCH(D900,'Company Hitlist'!$A:$A,0)),)</f>
        <v/>
      </c>
      <c r="O900">
        <f>IFERROR(INDEX('Company Hitlist'!$N:$N,MATCH(D900,'Company Hitlist'!$A:$A,0)),)</f>
        <v/>
      </c>
      <c r="Q900" t="inlineStr">
        <is>
          <t>todo</t>
        </is>
      </c>
    </row>
    <row r="901">
      <c r="A901" t="inlineStr">
        <is>
          <t>Naian Hernandez</t>
        </is>
      </c>
      <c r="B901" t="inlineStr">
        <is>
          <t>Attendee</t>
        </is>
      </c>
      <c r="C901" t="inlineStr">
        <is>
          <t>Assistant Logistics Manager</t>
        </is>
      </c>
      <c r="D901" t="inlineStr">
        <is>
          <t>Million Dollar Baby</t>
        </is>
      </c>
      <c r="E901" t="inlineStr">
        <is>
          <t>United States</t>
        </is>
      </c>
      <c r="H901" t="n">
        <v>10</v>
      </c>
      <c r="I901" t="b">
        <v>1</v>
      </c>
      <c r="J901" t="b">
        <v>0</v>
      </c>
      <c r="K901" t="b">
        <v>0</v>
      </c>
      <c r="L901" t="b">
        <v>0</v>
      </c>
      <c r="M901" t="b">
        <v>0</v>
      </c>
      <c r="N901">
        <f>IFERROR(INDEX('Company Hitlist'!$AA:$AA,MATCH(D901,'Company Hitlist'!$A:$A,0)),)</f>
        <v/>
      </c>
      <c r="O901">
        <f>IFERROR(INDEX('Company Hitlist'!$N:$N,MATCH(D901,'Company Hitlist'!$A:$A,0)),)</f>
        <v/>
      </c>
      <c r="Q901" t="inlineStr">
        <is>
          <t>todo</t>
        </is>
      </c>
    </row>
    <row r="902">
      <c r="A902" t="inlineStr">
        <is>
          <t>Charle Le</t>
        </is>
      </c>
      <c r="B902" t="inlineStr">
        <is>
          <t>Attendee</t>
        </is>
      </c>
      <c r="C902" t="inlineStr">
        <is>
          <t>Supply Chain Manager</t>
        </is>
      </c>
      <c r="D902" t="inlineStr">
        <is>
          <t>Million Dollar Baby</t>
        </is>
      </c>
      <c r="H902" t="n">
        <v>10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>
        <f>IFERROR(INDEX('Company Hitlist'!$AA:$AA,MATCH(D902,'Company Hitlist'!$A:$A,0)),)</f>
        <v/>
      </c>
      <c r="O902">
        <f>IFERROR(INDEX('Company Hitlist'!$N:$N,MATCH(D902,'Company Hitlist'!$A:$A,0)),)</f>
        <v/>
      </c>
      <c r="Q902" t="inlineStr">
        <is>
          <t>todo</t>
        </is>
      </c>
    </row>
    <row r="903">
      <c r="A903" t="inlineStr">
        <is>
          <t>James Gutierrez</t>
        </is>
      </c>
      <c r="B903" t="inlineStr">
        <is>
          <t>Attendee</t>
        </is>
      </c>
      <c r="C903" t="inlineStr">
        <is>
          <t>Senior Warehouse Manager</t>
        </is>
      </c>
      <c r="D903" t="inlineStr">
        <is>
          <t>Million Dollar Baby Co</t>
        </is>
      </c>
      <c r="E903" t="inlineStr">
        <is>
          <t>United States</t>
        </is>
      </c>
      <c r="H903" t="n">
        <v>10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>
        <f>IFERROR(INDEX('Company Hitlist'!$AA:$AA,MATCH(D903,'Company Hitlist'!$A:$A,0)),)</f>
        <v/>
      </c>
      <c r="O903">
        <f>IFERROR(INDEX('Company Hitlist'!$N:$N,MATCH(D903,'Company Hitlist'!$A:$A,0)),)</f>
        <v/>
      </c>
      <c r="Q903" t="inlineStr">
        <is>
          <t>todo</t>
        </is>
      </c>
    </row>
    <row r="904">
      <c r="A904" t="inlineStr">
        <is>
          <t>Endrina Abreu</t>
        </is>
      </c>
      <c r="B904" t="inlineStr">
        <is>
          <t>Attendee</t>
        </is>
      </c>
      <c r="C904" t="inlineStr">
        <is>
          <t>Logistics Improvement Specialist</t>
        </is>
      </c>
      <c r="D904" t="inlineStr">
        <is>
          <t>Mitsubishi Power</t>
        </is>
      </c>
      <c r="F904" t="inlineStr">
        <is>
          <t>Yes</t>
        </is>
      </c>
      <c r="H904" t="n">
        <v>10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>
        <f>IFERROR(INDEX('Company Hitlist'!$AA:$AA,MATCH(D904,'Company Hitlist'!$A:$A,0)),)</f>
        <v/>
      </c>
      <c r="O904">
        <f>IFERROR(INDEX('Company Hitlist'!$N:$N,MATCH(D904,'Company Hitlist'!$A:$A,0)),)</f>
        <v/>
      </c>
      <c r="Q904" t="inlineStr">
        <is>
          <t>todo</t>
        </is>
      </c>
    </row>
    <row r="905">
      <c r="A905" t="inlineStr">
        <is>
          <t>Henry Moreno</t>
        </is>
      </c>
      <c r="B905" t="inlineStr">
        <is>
          <t>Attendee</t>
        </is>
      </c>
      <c r="C905" t="inlineStr">
        <is>
          <t>Commodity Manager Domestic Transportation</t>
        </is>
      </c>
      <c r="D905" t="inlineStr">
        <is>
          <t>Mitsubishi Power</t>
        </is>
      </c>
      <c r="H905" t="n">
        <v>10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>
        <f>IFERROR(INDEX('Company Hitlist'!$AA:$AA,MATCH(D905,'Company Hitlist'!$A:$A,0)),)</f>
        <v/>
      </c>
      <c r="O905">
        <f>IFERROR(INDEX('Company Hitlist'!$N:$N,MATCH(D905,'Company Hitlist'!$A:$A,0)),)</f>
        <v/>
      </c>
      <c r="Q905" t="inlineStr">
        <is>
          <t>todo</t>
        </is>
      </c>
    </row>
    <row r="906">
      <c r="A906" t="inlineStr">
        <is>
          <t>Vishal Navneet</t>
        </is>
      </c>
      <c r="B906" t="inlineStr">
        <is>
          <t>Attendee</t>
        </is>
      </c>
      <c r="C906" t="inlineStr">
        <is>
          <t>Senior Supply Chain Manager</t>
        </is>
      </c>
      <c r="D906" t="inlineStr">
        <is>
          <t>Mizkan America</t>
        </is>
      </c>
      <c r="H906" t="n">
        <v>10</v>
      </c>
      <c r="I906" t="b">
        <v>1</v>
      </c>
      <c r="J906" t="b">
        <v>0</v>
      </c>
      <c r="K906" t="b">
        <v>0</v>
      </c>
      <c r="L906" t="b">
        <v>0</v>
      </c>
      <c r="M906" t="b">
        <v>0</v>
      </c>
      <c r="N906">
        <f>IFERROR(INDEX('Company Hitlist'!$AA:$AA,MATCH(D906,'Company Hitlist'!$A:$A,0)),)</f>
        <v/>
      </c>
      <c r="O906">
        <f>IFERROR(INDEX('Company Hitlist'!$N:$N,MATCH(D906,'Company Hitlist'!$A:$A,0)),)</f>
        <v/>
      </c>
      <c r="Q906" t="inlineStr">
        <is>
          <t>todo</t>
        </is>
      </c>
    </row>
    <row r="907">
      <c r="A907" t="inlineStr">
        <is>
          <t>Nawreen Juthi</t>
        </is>
      </c>
      <c r="B907" t="inlineStr">
        <is>
          <t>Attendee</t>
        </is>
      </c>
      <c r="C907" t="inlineStr">
        <is>
          <t>Domestic Fulfillment &amp; Quality Lead</t>
        </is>
      </c>
      <c r="D907" t="inlineStr">
        <is>
          <t>Mockingbird</t>
        </is>
      </c>
      <c r="F907" t="inlineStr">
        <is>
          <t>Yes</t>
        </is>
      </c>
      <c r="H907" t="n">
        <v>10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>
        <f>IFERROR(INDEX('Company Hitlist'!$AA:$AA,MATCH(D907,'Company Hitlist'!$A:$A,0)),)</f>
        <v/>
      </c>
      <c r="O907">
        <f>IFERROR(INDEX('Company Hitlist'!$N:$N,MATCH(D907,'Company Hitlist'!$A:$A,0)),)</f>
        <v/>
      </c>
      <c r="Q907" t="inlineStr">
        <is>
          <t>todo</t>
        </is>
      </c>
    </row>
    <row r="908">
      <c r="A908" t="inlineStr">
        <is>
          <t>Mary Murphy</t>
        </is>
      </c>
      <c r="B908" t="inlineStr">
        <is>
          <t>Attendee</t>
        </is>
      </c>
      <c r="C908" t="inlineStr">
        <is>
          <t>Senior Supply Chain Manager</t>
        </is>
      </c>
      <c r="D908" t="inlineStr">
        <is>
          <t>Mockingbird</t>
        </is>
      </c>
      <c r="H908" t="n">
        <v>10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>
        <f>IFERROR(INDEX('Company Hitlist'!$AA:$AA,MATCH(D908,'Company Hitlist'!$A:$A,0)),)</f>
        <v/>
      </c>
      <c r="O908">
        <f>IFERROR(INDEX('Company Hitlist'!$N:$N,MATCH(D908,'Company Hitlist'!$A:$A,0)),)</f>
        <v/>
      </c>
      <c r="Q908" t="inlineStr">
        <is>
          <t>todo</t>
        </is>
      </c>
    </row>
    <row r="909">
      <c r="A909" t="inlineStr">
        <is>
          <t>Alex Cameron</t>
        </is>
      </c>
      <c r="B909" t="inlineStr">
        <is>
          <t>Attendee</t>
        </is>
      </c>
      <c r="C909" t="inlineStr">
        <is>
          <t>Executive Director - Transportation &amp; Logistics</t>
        </is>
      </c>
      <c r="D909" t="inlineStr">
        <is>
          <t>Moelis &amp; Company</t>
        </is>
      </c>
      <c r="E909" t="inlineStr">
        <is>
          <t>United States</t>
        </is>
      </c>
      <c r="H909" t="n">
        <v>10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>
        <f>IFERROR(INDEX('Company Hitlist'!$AA:$AA,MATCH(D909,'Company Hitlist'!$A:$A,0)),)</f>
        <v/>
      </c>
      <c r="O909">
        <f>IFERROR(INDEX('Company Hitlist'!$N:$N,MATCH(D909,'Company Hitlist'!$A:$A,0)),)</f>
        <v/>
      </c>
      <c r="Q909" t="inlineStr">
        <is>
          <t>todo</t>
        </is>
      </c>
    </row>
    <row r="910">
      <c r="A910" t="inlineStr">
        <is>
          <t>Eddie Jimenez</t>
        </is>
      </c>
      <c r="B910" t="inlineStr">
        <is>
          <t>Attendee</t>
        </is>
      </c>
      <c r="C910" t="inlineStr">
        <is>
          <t>Senior Director, Freight Management &amp; Transport (North America)</t>
        </is>
      </c>
      <c r="D910" t="inlineStr">
        <is>
          <t>Molson Coors Beverage Company</t>
        </is>
      </c>
      <c r="F910" t="inlineStr">
        <is>
          <t>Yes</t>
        </is>
      </c>
      <c r="H910" t="n">
        <v>10</v>
      </c>
      <c r="I910" t="b">
        <v>1</v>
      </c>
      <c r="J910" t="b">
        <v>0</v>
      </c>
      <c r="K910" t="b">
        <v>0</v>
      </c>
      <c r="L910" t="b">
        <v>0</v>
      </c>
      <c r="M910" t="b">
        <v>0</v>
      </c>
      <c r="N910">
        <f>IFERROR(INDEX('Company Hitlist'!$AA:$AA,MATCH(D910,'Company Hitlist'!$A:$A,0)),)</f>
        <v/>
      </c>
      <c r="O910">
        <f>IFERROR(INDEX('Company Hitlist'!$N:$N,MATCH(D910,'Company Hitlist'!$A:$A,0)),)</f>
        <v/>
      </c>
      <c r="Q910" t="inlineStr">
        <is>
          <t>todo</t>
        </is>
      </c>
    </row>
    <row r="911">
      <c r="A911" t="inlineStr">
        <is>
          <t>Helena Solarte</t>
        </is>
      </c>
      <c r="B911" t="inlineStr">
        <is>
          <t>Attendee</t>
        </is>
      </c>
      <c r="C911" t="inlineStr">
        <is>
          <t>Sr. Manager Transportation, US Network</t>
        </is>
      </c>
      <c r="D911" t="inlineStr">
        <is>
          <t>Molson Coors Beverage Company</t>
        </is>
      </c>
      <c r="H911" t="n">
        <v>10</v>
      </c>
      <c r="I911" t="b">
        <v>1</v>
      </c>
      <c r="J911" t="b">
        <v>0</v>
      </c>
      <c r="K911" t="b">
        <v>0</v>
      </c>
      <c r="L911" t="b">
        <v>0</v>
      </c>
      <c r="M911" t="b">
        <v>0</v>
      </c>
      <c r="N911">
        <f>IFERROR(INDEX('Company Hitlist'!$AA:$AA,MATCH(D911,'Company Hitlist'!$A:$A,0)),)</f>
        <v/>
      </c>
      <c r="O911">
        <f>IFERROR(INDEX('Company Hitlist'!$N:$N,MATCH(D911,'Company Hitlist'!$A:$A,0)),)</f>
        <v/>
      </c>
      <c r="Q911" t="inlineStr">
        <is>
          <t>todo</t>
        </is>
      </c>
    </row>
    <row r="912">
      <c r="A912" t="inlineStr">
        <is>
          <t>Joani Gottwik</t>
        </is>
      </c>
      <c r="B912" t="inlineStr">
        <is>
          <t>Attendee</t>
        </is>
      </c>
      <c r="C912" t="inlineStr">
        <is>
          <t>Sr. Director of Warehousing and Logistics</t>
        </is>
      </c>
      <c r="D912" t="inlineStr">
        <is>
          <t>Monin</t>
        </is>
      </c>
      <c r="F912" t="inlineStr">
        <is>
          <t>Yes</t>
        </is>
      </c>
      <c r="H912" t="n">
        <v>10</v>
      </c>
      <c r="I912" t="b">
        <v>1</v>
      </c>
      <c r="J912" t="b">
        <v>0</v>
      </c>
      <c r="K912" t="b">
        <v>0</v>
      </c>
      <c r="L912" t="b">
        <v>0</v>
      </c>
      <c r="M912" t="b">
        <v>0</v>
      </c>
      <c r="N912">
        <f>IFERROR(INDEX('Company Hitlist'!$AA:$AA,MATCH(D912,'Company Hitlist'!$A:$A,0)),)</f>
        <v/>
      </c>
      <c r="O912">
        <f>IFERROR(INDEX('Company Hitlist'!$N:$N,MATCH(D912,'Company Hitlist'!$A:$A,0)),)</f>
        <v/>
      </c>
      <c r="Q912" t="inlineStr">
        <is>
          <t>todo</t>
        </is>
      </c>
    </row>
    <row r="913">
      <c r="A913" t="inlineStr">
        <is>
          <t>Andy Howe</t>
        </is>
      </c>
      <c r="B913" t="inlineStr">
        <is>
          <t>Attendee</t>
        </is>
      </c>
      <c r="C913" t="inlineStr">
        <is>
          <t>Sr. Warehouse Manager</t>
        </is>
      </c>
      <c r="D913" t="inlineStr">
        <is>
          <t>Monin</t>
        </is>
      </c>
      <c r="H913" t="n">
        <v>10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>
        <f>IFERROR(INDEX('Company Hitlist'!$AA:$AA,MATCH(D913,'Company Hitlist'!$A:$A,0)),)</f>
        <v/>
      </c>
      <c r="O913">
        <f>IFERROR(INDEX('Company Hitlist'!$N:$N,MATCH(D913,'Company Hitlist'!$A:$A,0)),)</f>
        <v/>
      </c>
      <c r="Q913" t="inlineStr">
        <is>
          <t>todo</t>
        </is>
      </c>
    </row>
    <row r="914">
      <c r="A914" t="inlineStr">
        <is>
          <t>Giancarlo Villamar</t>
        </is>
      </c>
      <c r="B914" t="inlineStr">
        <is>
          <t>Attendee</t>
        </is>
      </c>
      <c r="C914" t="inlineStr">
        <is>
          <t>Warehouse Manager</t>
        </is>
      </c>
      <c r="D914" t="inlineStr">
        <is>
          <t>Monin</t>
        </is>
      </c>
      <c r="H914" t="n">
        <v>10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>
        <f>IFERROR(INDEX('Company Hitlist'!$AA:$AA,MATCH(D914,'Company Hitlist'!$A:$A,0)),)</f>
        <v/>
      </c>
      <c r="O914">
        <f>IFERROR(INDEX('Company Hitlist'!$N:$N,MATCH(D914,'Company Hitlist'!$A:$A,0)),)</f>
        <v/>
      </c>
      <c r="Q914" t="inlineStr">
        <is>
          <t>todo</t>
        </is>
      </c>
    </row>
    <row r="915">
      <c r="A915" t="inlineStr">
        <is>
          <t>Matt Cummings</t>
        </is>
      </c>
      <c r="B915" t="inlineStr">
        <is>
          <t>Attendee</t>
        </is>
      </c>
      <c r="C915" t="inlineStr">
        <is>
          <t>Sr. Logistics Manager</t>
        </is>
      </c>
      <c r="D915" t="inlineStr">
        <is>
          <t>Monin</t>
        </is>
      </c>
      <c r="H915" t="n">
        <v>10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>
        <f>IFERROR(INDEX('Company Hitlist'!$AA:$AA,MATCH(D915,'Company Hitlist'!$A:$A,0)),)</f>
        <v/>
      </c>
      <c r="O915">
        <f>IFERROR(INDEX('Company Hitlist'!$N:$N,MATCH(D915,'Company Hitlist'!$A:$A,0)),)</f>
        <v/>
      </c>
      <c r="Q915" t="inlineStr">
        <is>
          <t>todo</t>
        </is>
      </c>
    </row>
    <row r="916">
      <c r="A916" t="inlineStr">
        <is>
          <t>Mike McGee</t>
        </is>
      </c>
      <c r="B916" t="inlineStr">
        <is>
          <t>Attendee</t>
        </is>
      </c>
      <c r="C916" t="inlineStr">
        <is>
          <t>Director Stores &amp; Operations</t>
        </is>
      </c>
      <c r="D916" t="inlineStr">
        <is>
          <t>Mugsy</t>
        </is>
      </c>
      <c r="F916" t="inlineStr">
        <is>
          <t>Yes</t>
        </is>
      </c>
      <c r="H916" t="n">
        <v>10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>
        <f>IFERROR(INDEX('Company Hitlist'!$AA:$AA,MATCH(D916,'Company Hitlist'!$A:$A,0)),)</f>
        <v/>
      </c>
      <c r="O916">
        <f>IFERROR(INDEX('Company Hitlist'!$N:$N,MATCH(D916,'Company Hitlist'!$A:$A,0)),)</f>
        <v/>
      </c>
      <c r="Q916" t="inlineStr">
        <is>
          <t>todo</t>
        </is>
      </c>
    </row>
    <row r="917">
      <c r="A917" t="inlineStr">
        <is>
          <t>Chris Pearson</t>
        </is>
      </c>
      <c r="B917" t="inlineStr">
        <is>
          <t>Attendee</t>
        </is>
      </c>
      <c r="C917" t="inlineStr">
        <is>
          <t>Manager, Logistics</t>
        </is>
      </c>
      <c r="D917" t="inlineStr">
        <is>
          <t>Murad ( Unilever Prestige )</t>
        </is>
      </c>
      <c r="E917" t="inlineStr">
        <is>
          <t>United States</t>
        </is>
      </c>
      <c r="H917" t="n">
        <v>10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>
        <f>IFERROR(INDEX('Company Hitlist'!$AA:$AA,MATCH(D917,'Company Hitlist'!$A:$A,0)),)</f>
        <v/>
      </c>
      <c r="O917">
        <f>IFERROR(INDEX('Company Hitlist'!$N:$N,MATCH(D917,'Company Hitlist'!$A:$A,0)),)</f>
        <v/>
      </c>
      <c r="Q917" t="inlineStr">
        <is>
          <t>todo</t>
        </is>
      </c>
    </row>
    <row r="918">
      <c r="A918" t="inlineStr">
        <is>
          <t>Michael Rice</t>
        </is>
      </c>
      <c r="B918" t="inlineStr">
        <is>
          <t>Attendee</t>
        </is>
      </c>
      <c r="C918" t="inlineStr">
        <is>
          <t>Senior Manager of Logistics</t>
        </is>
      </c>
      <c r="D918" t="inlineStr">
        <is>
          <t>My Skylight</t>
        </is>
      </c>
      <c r="H918" t="n">
        <v>10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>
        <f>IFERROR(INDEX('Company Hitlist'!$AA:$AA,MATCH(D918,'Company Hitlist'!$A:$A,0)),)</f>
        <v/>
      </c>
      <c r="O918">
        <f>IFERROR(INDEX('Company Hitlist'!$N:$N,MATCH(D918,'Company Hitlist'!$A:$A,0)),)</f>
        <v/>
      </c>
      <c r="Q918" t="inlineStr">
        <is>
          <t>todo</t>
        </is>
      </c>
    </row>
    <row r="919">
      <c r="A919" t="inlineStr">
        <is>
          <t>Ryan Hranica</t>
        </is>
      </c>
      <c r="B919" t="inlineStr">
        <is>
          <t>Attendee</t>
        </is>
      </c>
      <c r="C919" t="inlineStr">
        <is>
          <t>Director of Ecommerce Logistics &amp; Financial Strategy</t>
        </is>
      </c>
      <c r="D919" t="inlineStr">
        <is>
          <t>NFI</t>
        </is>
      </c>
      <c r="E919" t="inlineStr">
        <is>
          <t>United States</t>
        </is>
      </c>
      <c r="F919" t="inlineStr">
        <is>
          <t>Yes</t>
        </is>
      </c>
      <c r="H919" t="n">
        <v>10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>
        <f>IFERROR(INDEX('Company Hitlist'!$AA:$AA,MATCH(D919,'Company Hitlist'!$A:$A,0)),)</f>
        <v/>
      </c>
      <c r="O919">
        <f>IFERROR(INDEX('Company Hitlist'!$N:$N,MATCH(D919,'Company Hitlist'!$A:$A,0)),)</f>
        <v/>
      </c>
      <c r="Q919" t="inlineStr">
        <is>
          <t>todo</t>
        </is>
      </c>
    </row>
    <row r="920">
      <c r="A920" t="inlineStr">
        <is>
          <t>Eugene Parini</t>
        </is>
      </c>
      <c r="B920" t="inlineStr">
        <is>
          <t>Attendee</t>
        </is>
      </c>
      <c r="C920" t="inlineStr">
        <is>
          <t>Senior Supply Chain Engineer</t>
        </is>
      </c>
      <c r="D920" t="inlineStr">
        <is>
          <t>NFI Distribution</t>
        </is>
      </c>
      <c r="E920" t="inlineStr">
        <is>
          <t>United States</t>
        </is>
      </c>
      <c r="H920" t="n">
        <v>10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>
        <f>IFERROR(INDEX('Company Hitlist'!$AA:$AA,MATCH(D920,'Company Hitlist'!$A:$A,0)),)</f>
        <v/>
      </c>
      <c r="O920">
        <f>IFERROR(INDEX('Company Hitlist'!$N:$N,MATCH(D920,'Company Hitlist'!$A:$A,0)),)</f>
        <v/>
      </c>
      <c r="Q920" t="inlineStr">
        <is>
          <t>todo</t>
        </is>
      </c>
    </row>
    <row r="921">
      <c r="A921" t="inlineStr">
        <is>
          <t>MOSES KWAKU ASHIGBI</t>
        </is>
      </c>
      <c r="B921" t="inlineStr">
        <is>
          <t>Attendee</t>
        </is>
      </c>
      <c r="C921" t="inlineStr">
        <is>
          <t>LOGISTICS &amp; MATERIAL COORDINATORING</t>
        </is>
      </c>
      <c r="D921" t="inlineStr">
        <is>
          <t>NOBLE VENTURER</t>
        </is>
      </c>
      <c r="E921" t="inlineStr">
        <is>
          <t>Ghana</t>
        </is>
      </c>
      <c r="H921" t="n">
        <v>10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>
        <f>IFERROR(INDEX('Company Hitlist'!$AA:$AA,MATCH(D921,'Company Hitlist'!$A:$A,0)),)</f>
        <v/>
      </c>
      <c r="O921">
        <f>IFERROR(INDEX('Company Hitlist'!$N:$N,MATCH(D921,'Company Hitlist'!$A:$A,0)),)</f>
        <v/>
      </c>
      <c r="Q921" t="inlineStr">
        <is>
          <t>todo</t>
        </is>
      </c>
    </row>
    <row r="922">
      <c r="A922" t="inlineStr">
        <is>
          <t>Peter Kow</t>
        </is>
      </c>
      <c r="B922" t="inlineStr">
        <is>
          <t>Attendee</t>
        </is>
      </c>
      <c r="C922" t="inlineStr">
        <is>
          <t>Sr. Supply Chain Operations Manager</t>
        </is>
      </c>
      <c r="D922" t="inlineStr">
        <is>
          <t>NOMAD</t>
        </is>
      </c>
      <c r="H922" t="n">
        <v>10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>
        <f>IFERROR(INDEX('Company Hitlist'!$AA:$AA,MATCH(D922,'Company Hitlist'!$A:$A,0)),)</f>
        <v/>
      </c>
      <c r="O922">
        <f>IFERROR(INDEX('Company Hitlist'!$N:$N,MATCH(D922,'Company Hitlist'!$A:$A,0)),)</f>
        <v/>
      </c>
      <c r="Q922" t="inlineStr">
        <is>
          <t>todo</t>
        </is>
      </c>
    </row>
    <row r="923">
      <c r="A923" t="inlineStr">
        <is>
          <t>Christian Klein</t>
        </is>
      </c>
      <c r="B923" t="inlineStr">
        <is>
          <t>Attendee</t>
        </is>
      </c>
      <c r="C923" t="inlineStr">
        <is>
          <t>Director of Operations Strategy</t>
        </is>
      </c>
      <c r="D923" t="inlineStr">
        <is>
          <t>NRS</t>
        </is>
      </c>
      <c r="E923" t="inlineStr">
        <is>
          <t>United States</t>
        </is>
      </c>
      <c r="F923" t="inlineStr">
        <is>
          <t>Yes</t>
        </is>
      </c>
      <c r="H923" t="n">
        <v>10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>
        <f>IFERROR(INDEX('Company Hitlist'!$AA:$AA,MATCH(D923,'Company Hitlist'!$A:$A,0)),)</f>
        <v/>
      </c>
      <c r="O923">
        <f>IFERROR(INDEX('Company Hitlist'!$N:$N,MATCH(D923,'Company Hitlist'!$A:$A,0)),)</f>
        <v/>
      </c>
      <c r="Q923" t="inlineStr">
        <is>
          <t>todo</t>
        </is>
      </c>
    </row>
    <row r="924">
      <c r="A924" t="inlineStr">
        <is>
          <t>Elaine Evans</t>
        </is>
      </c>
      <c r="B924" t="inlineStr">
        <is>
          <t>Sponsor</t>
        </is>
      </c>
      <c r="C924" t="inlineStr">
        <is>
          <t>Senior Global Procurement Manager</t>
        </is>
      </c>
      <c r="D924" t="inlineStr">
        <is>
          <t>Neovia Logistics</t>
        </is>
      </c>
      <c r="H924" t="n">
        <v>10</v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>
        <f>IFERROR(INDEX('Company Hitlist'!$AA:$AA,MATCH(D924,'Company Hitlist'!$A:$A,0)),)</f>
        <v/>
      </c>
      <c r="O924">
        <f>IFERROR(INDEX('Company Hitlist'!$N:$N,MATCH(D924,'Company Hitlist'!$A:$A,0)),)</f>
        <v/>
      </c>
      <c r="Q924" t="inlineStr">
        <is>
          <t>todo</t>
        </is>
      </c>
    </row>
    <row r="925">
      <c r="A925" t="inlineStr">
        <is>
          <t>Charle Mcgruder</t>
        </is>
      </c>
      <c r="B925" t="inlineStr">
        <is>
          <t>Attendee</t>
        </is>
      </c>
      <c r="C925" t="inlineStr">
        <is>
          <t>Senior Manager Transportation</t>
        </is>
      </c>
      <c r="D925" t="inlineStr">
        <is>
          <t>Nespresso</t>
        </is>
      </c>
      <c r="H925" t="n">
        <v>10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>
        <f>IFERROR(INDEX('Company Hitlist'!$AA:$AA,MATCH(D925,'Company Hitlist'!$A:$A,0)),)</f>
        <v/>
      </c>
      <c r="O925">
        <f>IFERROR(INDEX('Company Hitlist'!$N:$N,MATCH(D925,'Company Hitlist'!$A:$A,0)),)</f>
        <v/>
      </c>
      <c r="Q925" t="inlineStr">
        <is>
          <t>todo</t>
        </is>
      </c>
    </row>
    <row r="926">
      <c r="A926" t="inlineStr">
        <is>
          <t>Lia Jinoridze</t>
        </is>
      </c>
      <c r="B926" t="inlineStr">
        <is>
          <t>Attendee</t>
        </is>
      </c>
      <c r="C926" t="inlineStr">
        <is>
          <t>Logistics Innovation Manager</t>
        </is>
      </c>
      <c r="D926" t="inlineStr">
        <is>
          <t>Nespresson</t>
        </is>
      </c>
      <c r="E926" t="inlineStr">
        <is>
          <t>United States</t>
        </is>
      </c>
      <c r="H926" t="n">
        <v>10</v>
      </c>
      <c r="I926" t="b">
        <v>1</v>
      </c>
      <c r="J926" t="b">
        <v>0</v>
      </c>
      <c r="K926" t="b">
        <v>0</v>
      </c>
      <c r="L926" t="b">
        <v>0</v>
      </c>
      <c r="M926" t="b">
        <v>0</v>
      </c>
      <c r="N926">
        <f>IFERROR(INDEX('Company Hitlist'!$AA:$AA,MATCH(D926,'Company Hitlist'!$A:$A,0)),)</f>
        <v/>
      </c>
      <c r="O926">
        <f>IFERROR(INDEX('Company Hitlist'!$N:$N,MATCH(D926,'Company Hitlist'!$A:$A,0)),)</f>
        <v/>
      </c>
      <c r="Q926" t="inlineStr">
        <is>
          <t>todo</t>
        </is>
      </c>
    </row>
    <row r="927">
      <c r="A927" t="inlineStr">
        <is>
          <t>Caroline Korn</t>
        </is>
      </c>
      <c r="B927" t="inlineStr">
        <is>
          <t>Attendee</t>
        </is>
      </c>
      <c r="C927" t="inlineStr">
        <is>
          <t>Sr Manager International Transportation</t>
        </is>
      </c>
      <c r="D927" t="inlineStr">
        <is>
          <t>Nestle</t>
        </is>
      </c>
      <c r="H927" t="n">
        <v>10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>
        <f>IFERROR(INDEX('Company Hitlist'!$AA:$AA,MATCH(D927,'Company Hitlist'!$A:$A,0)),)</f>
        <v/>
      </c>
      <c r="O927">
        <f>IFERROR(INDEX('Company Hitlist'!$N:$N,MATCH(D927,'Company Hitlist'!$A:$A,0)),)</f>
        <v/>
      </c>
      <c r="Q927" t="inlineStr">
        <is>
          <t>todo</t>
        </is>
      </c>
    </row>
    <row r="928">
      <c r="A928" t="inlineStr">
        <is>
          <t>Jordan Srock</t>
        </is>
      </c>
      <c r="B928" t="inlineStr">
        <is>
          <t>Attendee</t>
        </is>
      </c>
      <c r="C928" t="inlineStr">
        <is>
          <t>Director of Logistics</t>
        </is>
      </c>
      <c r="D928" t="inlineStr">
        <is>
          <t>Nextera Packaging</t>
        </is>
      </c>
      <c r="E928" t="inlineStr">
        <is>
          <t>United States</t>
        </is>
      </c>
      <c r="H928" t="n">
        <v>10</v>
      </c>
      <c r="I928" t="b">
        <v>1</v>
      </c>
      <c r="J928" t="b">
        <v>0</v>
      </c>
      <c r="K928" t="b">
        <v>0</v>
      </c>
      <c r="L928" t="b">
        <v>0</v>
      </c>
      <c r="M928" t="b">
        <v>0</v>
      </c>
      <c r="N928">
        <f>IFERROR(INDEX('Company Hitlist'!$AA:$AA,MATCH(D928,'Company Hitlist'!$A:$A,0)),)</f>
        <v/>
      </c>
      <c r="O928">
        <f>IFERROR(INDEX('Company Hitlist'!$N:$N,MATCH(D928,'Company Hitlist'!$A:$A,0)),)</f>
        <v/>
      </c>
      <c r="Q928" t="inlineStr">
        <is>
          <t>todo</t>
        </is>
      </c>
    </row>
    <row r="929">
      <c r="A929" t="inlineStr">
        <is>
          <t>Vishal Arya</t>
        </is>
      </c>
      <c r="B929" t="inlineStr">
        <is>
          <t>Attendee</t>
        </is>
      </c>
      <c r="C929" t="inlineStr">
        <is>
          <t>Sr Director of Transportation and Trade</t>
        </is>
      </c>
      <c r="D929" t="inlineStr">
        <is>
          <t>Nike</t>
        </is>
      </c>
      <c r="F929" t="inlineStr">
        <is>
          <t>Yes</t>
        </is>
      </c>
      <c r="H929" t="n">
        <v>10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>
        <f>IFERROR(INDEX('Company Hitlist'!$AA:$AA,MATCH(D929,'Company Hitlist'!$A:$A,0)),)</f>
        <v/>
      </c>
      <c r="O929">
        <f>IFERROR(INDEX('Company Hitlist'!$N:$N,MATCH(D929,'Company Hitlist'!$A:$A,0)),)</f>
        <v/>
      </c>
      <c r="Q929" t="inlineStr">
        <is>
          <t>todo</t>
        </is>
      </c>
    </row>
    <row r="930">
      <c r="A930" t="inlineStr">
        <is>
          <t>Colin Hansen</t>
        </is>
      </c>
      <c r="B930" t="inlineStr">
        <is>
          <t>Attendee</t>
        </is>
      </c>
      <c r="C930" t="inlineStr">
        <is>
          <t>Project Manager - Domestic Transportation</t>
        </is>
      </c>
      <c r="D930" t="inlineStr">
        <is>
          <t>Nordstrom</t>
        </is>
      </c>
      <c r="E930" t="inlineStr">
        <is>
          <t>United States</t>
        </is>
      </c>
      <c r="H930" t="n">
        <v>10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>
        <f>IFERROR(INDEX('Company Hitlist'!$AA:$AA,MATCH(D930,'Company Hitlist'!$A:$A,0)),)</f>
        <v/>
      </c>
      <c r="O930">
        <f>IFERROR(INDEX('Company Hitlist'!$N:$N,MATCH(D930,'Company Hitlist'!$A:$A,0)),)</f>
        <v/>
      </c>
      <c r="Q930" t="inlineStr">
        <is>
          <t>todo</t>
        </is>
      </c>
    </row>
    <row r="931">
      <c r="A931" t="inlineStr">
        <is>
          <t>Brad Spokas</t>
        </is>
      </c>
      <c r="B931" t="inlineStr">
        <is>
          <t>Attendee</t>
        </is>
      </c>
      <c r="C931" t="inlineStr">
        <is>
          <t>Senior Director, Global Logistics</t>
        </is>
      </c>
      <c r="D931" t="inlineStr">
        <is>
          <t>Northern Tool + Equipment</t>
        </is>
      </c>
      <c r="E931" t="inlineStr">
        <is>
          <t>United States</t>
        </is>
      </c>
      <c r="H931" t="n">
        <v>10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>
        <f>IFERROR(INDEX('Company Hitlist'!$AA:$AA,MATCH(D931,'Company Hitlist'!$A:$A,0)),)</f>
        <v/>
      </c>
      <c r="O931">
        <f>IFERROR(INDEX('Company Hitlist'!$N:$N,MATCH(D931,'Company Hitlist'!$A:$A,0)),)</f>
        <v/>
      </c>
      <c r="Q931" t="inlineStr">
        <is>
          <t>todo</t>
        </is>
      </c>
    </row>
    <row r="932">
      <c r="A932" t="inlineStr">
        <is>
          <t>Fateem Sutton</t>
        </is>
      </c>
      <c r="B932" t="inlineStr">
        <is>
          <t>Attendee</t>
        </is>
      </c>
      <c r="C932" t="inlineStr">
        <is>
          <t>Senior Manager Logistics Operations</t>
        </is>
      </c>
      <c r="D932" t="inlineStr">
        <is>
          <t>Northern Tool + Equipment</t>
        </is>
      </c>
      <c r="H932" t="n">
        <v>10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>
        <f>IFERROR(INDEX('Company Hitlist'!$AA:$AA,MATCH(D932,'Company Hitlist'!$A:$A,0)),)</f>
        <v/>
      </c>
      <c r="O932">
        <f>IFERROR(INDEX('Company Hitlist'!$N:$N,MATCH(D932,'Company Hitlist'!$A:$A,0)),)</f>
        <v/>
      </c>
      <c r="Q932" t="inlineStr">
        <is>
          <t>todo</t>
        </is>
      </c>
    </row>
    <row r="933">
      <c r="A933" t="inlineStr">
        <is>
          <t>Sarah Peters</t>
        </is>
      </c>
      <c r="B933" t="inlineStr">
        <is>
          <t>Attendee</t>
        </is>
      </c>
      <c r="C933" t="inlineStr">
        <is>
          <t>Supply Chain Performance Engineer</t>
        </is>
      </c>
      <c r="D933" t="inlineStr">
        <is>
          <t>Northwestern Memorial Hospital</t>
        </is>
      </c>
      <c r="E933" t="inlineStr">
        <is>
          <t>United States</t>
        </is>
      </c>
      <c r="H933" t="n">
        <v>10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>
        <f>IFERROR(INDEX('Company Hitlist'!$AA:$AA,MATCH(D933,'Company Hitlist'!$A:$A,0)),)</f>
        <v/>
      </c>
      <c r="O933">
        <f>IFERROR(INDEX('Company Hitlist'!$N:$N,MATCH(D933,'Company Hitlist'!$A:$A,0)),)</f>
        <v/>
      </c>
      <c r="Q933" t="inlineStr">
        <is>
          <t>todo</t>
        </is>
      </c>
    </row>
    <row r="934">
      <c r="A934" t="inlineStr">
        <is>
          <t>Sophia Andreotti</t>
        </is>
      </c>
      <c r="B934" t="inlineStr">
        <is>
          <t>Attendee</t>
        </is>
      </c>
      <c r="C934" t="inlineStr">
        <is>
          <t>Supply Chain Performance Engineer</t>
        </is>
      </c>
      <c r="D934" t="inlineStr">
        <is>
          <t>Northwestern Memorial Hospital</t>
        </is>
      </c>
      <c r="E934" t="inlineStr">
        <is>
          <t>United States</t>
        </is>
      </c>
      <c r="H934" t="n">
        <v>10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>
        <f>IFERROR(INDEX('Company Hitlist'!$AA:$AA,MATCH(D934,'Company Hitlist'!$A:$A,0)),)</f>
        <v/>
      </c>
      <c r="O934">
        <f>IFERROR(INDEX('Company Hitlist'!$N:$N,MATCH(D934,'Company Hitlist'!$A:$A,0)),)</f>
        <v/>
      </c>
      <c r="Q934" t="inlineStr">
        <is>
          <t>todo</t>
        </is>
      </c>
    </row>
    <row r="935">
      <c r="A935" t="inlineStr">
        <is>
          <t>Jon Pruitt</t>
        </is>
      </c>
      <c r="B935" t="inlineStr">
        <is>
          <t>Attendee</t>
        </is>
      </c>
      <c r="C935" t="inlineStr">
        <is>
          <t>Operations Director</t>
        </is>
      </c>
      <c r="D935" t="inlineStr">
        <is>
          <t>Nutrabolt</t>
        </is>
      </c>
      <c r="E935" t="inlineStr">
        <is>
          <t>United States</t>
        </is>
      </c>
      <c r="F935" t="inlineStr">
        <is>
          <t>Yes</t>
        </is>
      </c>
      <c r="G935" t="inlineStr">
        <is>
          <t>$1B+ (2025 est.; on pace to exceed)</t>
        </is>
      </c>
      <c r="H935" t="n">
        <v>10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>
        <f>IFERROR(INDEX('Company Hitlist'!$AA:$AA,MATCH(D935,'Company Hitlist'!$A:$A,0)),)</f>
        <v/>
      </c>
      <c r="O935">
        <f>IFERROR(INDEX('Company Hitlist'!$N:$N,MATCH(D935,'Company Hitlist'!$A:$A,0)),)</f>
        <v/>
      </c>
      <c r="Q935" t="inlineStr">
        <is>
          <t>todo</t>
        </is>
      </c>
    </row>
    <row r="936">
      <c r="A936" t="inlineStr">
        <is>
          <t>Connor Gerding</t>
        </is>
      </c>
      <c r="B936" t="inlineStr">
        <is>
          <t>Attendee</t>
        </is>
      </c>
      <c r="C936" t="inlineStr">
        <is>
          <t>Director, Logistics Continuous Improvement &amp; COE</t>
        </is>
      </c>
      <c r="D936" t="inlineStr">
        <is>
          <t>OTIS</t>
        </is>
      </c>
      <c r="H936" t="n">
        <v>10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>
        <f>IFERROR(INDEX('Company Hitlist'!$AA:$AA,MATCH(D936,'Company Hitlist'!$A:$A,0)),)</f>
        <v/>
      </c>
      <c r="O936">
        <f>IFERROR(INDEX('Company Hitlist'!$N:$N,MATCH(D936,'Company Hitlist'!$A:$A,0)),)</f>
        <v/>
      </c>
      <c r="Q936" t="inlineStr">
        <is>
          <t>todo</t>
        </is>
      </c>
    </row>
    <row r="937">
      <c r="A937" t="inlineStr">
        <is>
          <t>Holly Pearce</t>
        </is>
      </c>
      <c r="B937" t="inlineStr">
        <is>
          <t>Attendee</t>
        </is>
      </c>
      <c r="C937" t="inlineStr">
        <is>
          <t>Director, North America Logistics &amp; Warehousing</t>
        </is>
      </c>
      <c r="D937" t="inlineStr">
        <is>
          <t>OTIS</t>
        </is>
      </c>
      <c r="H937" t="n">
        <v>10</v>
      </c>
      <c r="I937" t="b">
        <v>1</v>
      </c>
      <c r="J937" t="b">
        <v>0</v>
      </c>
      <c r="K937" t="b">
        <v>0</v>
      </c>
      <c r="L937" t="b">
        <v>0</v>
      </c>
      <c r="M937" t="b">
        <v>0</v>
      </c>
      <c r="N937">
        <f>IFERROR(INDEX('Company Hitlist'!$AA:$AA,MATCH(D937,'Company Hitlist'!$A:$A,0)),)</f>
        <v/>
      </c>
      <c r="O937">
        <f>IFERROR(INDEX('Company Hitlist'!$N:$N,MATCH(D937,'Company Hitlist'!$A:$A,0)),)</f>
        <v/>
      </c>
      <c r="Q937" t="inlineStr">
        <is>
          <t>todo</t>
        </is>
      </c>
    </row>
    <row r="938">
      <c r="A938" t="inlineStr">
        <is>
          <t>Casey Sattler</t>
        </is>
      </c>
      <c r="B938" t="inlineStr">
        <is>
          <t>Attendee</t>
        </is>
      </c>
      <c r="C938" t="inlineStr">
        <is>
          <t>Director, Supply Chain Logistics</t>
        </is>
      </c>
      <c r="D938" t="inlineStr">
        <is>
          <t>OhioHealth</t>
        </is>
      </c>
      <c r="H938" t="n">
        <v>10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>
        <f>IFERROR(INDEX('Company Hitlist'!$AA:$AA,MATCH(D938,'Company Hitlist'!$A:$A,0)),)</f>
        <v/>
      </c>
      <c r="O938">
        <f>IFERROR(INDEX('Company Hitlist'!$N:$N,MATCH(D938,'Company Hitlist'!$A:$A,0)),)</f>
        <v/>
      </c>
      <c r="Q938" t="inlineStr">
        <is>
          <t>todo</t>
        </is>
      </c>
    </row>
    <row r="939">
      <c r="A939" t="inlineStr">
        <is>
          <t>Timothy Joseph</t>
        </is>
      </c>
      <c r="B939" t="inlineStr">
        <is>
          <t>Attendee</t>
        </is>
      </c>
      <c r="C939" t="inlineStr">
        <is>
          <t>Sr. Director Operations &amp; Co-Manufacturing</t>
        </is>
      </c>
      <c r="D939" t="inlineStr">
        <is>
          <t>Olipop</t>
        </is>
      </c>
      <c r="E939" t="inlineStr">
        <is>
          <t>United States</t>
        </is>
      </c>
      <c r="F939" t="inlineStr">
        <is>
          <t>Yes</t>
        </is>
      </c>
      <c r="H939" t="n">
        <v>10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>
        <f>IFERROR(INDEX('Company Hitlist'!$AA:$AA,MATCH(D939,'Company Hitlist'!$A:$A,0)),)</f>
        <v/>
      </c>
      <c r="O939">
        <f>IFERROR(INDEX('Company Hitlist'!$N:$N,MATCH(D939,'Company Hitlist'!$A:$A,0)),)</f>
        <v/>
      </c>
      <c r="Q939" t="inlineStr">
        <is>
          <t>todo</t>
        </is>
      </c>
    </row>
    <row r="940">
      <c r="A940" t="inlineStr">
        <is>
          <t>Sonny Vongdachan</t>
        </is>
      </c>
      <c r="B940" t="inlineStr">
        <is>
          <t>Attendee</t>
        </is>
      </c>
      <c r="C940" t="inlineStr">
        <is>
          <t>Transportation Manager</t>
        </is>
      </c>
      <c r="D940" t="inlineStr">
        <is>
          <t>Olipop</t>
        </is>
      </c>
      <c r="E940" t="inlineStr">
        <is>
          <t>United States</t>
        </is>
      </c>
      <c r="H940" t="n">
        <v>10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>
        <f>IFERROR(INDEX('Company Hitlist'!$AA:$AA,MATCH(D940,'Company Hitlist'!$A:$A,0)),)</f>
        <v/>
      </c>
      <c r="O940">
        <f>IFERROR(INDEX('Company Hitlist'!$N:$N,MATCH(D940,'Company Hitlist'!$A:$A,0)),)</f>
        <v/>
      </c>
      <c r="Q940" t="inlineStr">
        <is>
          <t>todo</t>
        </is>
      </c>
    </row>
    <row r="941">
      <c r="A941" t="inlineStr">
        <is>
          <t>Dom Bubri</t>
        </is>
      </c>
      <c r="B941" t="inlineStr">
        <is>
          <t>Attendee</t>
        </is>
      </c>
      <c r="C941" t="inlineStr">
        <is>
          <t>Sr Director, FP&amp;A and Supply Chain Finance</t>
        </is>
      </c>
      <c r="D941" t="inlineStr">
        <is>
          <t>Olipop</t>
        </is>
      </c>
      <c r="E941" t="inlineStr">
        <is>
          <t>United States</t>
        </is>
      </c>
      <c r="H941" t="n">
        <v>10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>
        <f>IFERROR(INDEX('Company Hitlist'!$AA:$AA,MATCH(D941,'Company Hitlist'!$A:$A,0)),)</f>
        <v/>
      </c>
      <c r="O941">
        <f>IFERROR(INDEX('Company Hitlist'!$N:$N,MATCH(D941,'Company Hitlist'!$A:$A,0)),)</f>
        <v/>
      </c>
      <c r="Q941" t="inlineStr">
        <is>
          <t>todo</t>
        </is>
      </c>
    </row>
    <row r="942">
      <c r="A942" t="inlineStr">
        <is>
          <t>Danny Chen</t>
        </is>
      </c>
      <c r="B942" t="inlineStr">
        <is>
          <t>Attendee</t>
        </is>
      </c>
      <c r="C942" t="inlineStr">
        <is>
          <t>Sr. Manager, Supply Chain Finance</t>
        </is>
      </c>
      <c r="D942" t="inlineStr">
        <is>
          <t>Olipop</t>
        </is>
      </c>
      <c r="H942" t="n">
        <v>10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>
        <f>IFERROR(INDEX('Company Hitlist'!$AA:$AA,MATCH(D942,'Company Hitlist'!$A:$A,0)),)</f>
        <v/>
      </c>
      <c r="O942">
        <f>IFERROR(INDEX('Company Hitlist'!$N:$N,MATCH(D942,'Company Hitlist'!$A:$A,0)),)</f>
        <v/>
      </c>
      <c r="Q942" t="inlineStr">
        <is>
          <t>todo</t>
        </is>
      </c>
    </row>
    <row r="943">
      <c r="A943" t="inlineStr">
        <is>
          <t>Samantha Putošová</t>
        </is>
      </c>
      <c r="B943" t="inlineStr">
        <is>
          <t>Attendee</t>
        </is>
      </c>
      <c r="C943" t="inlineStr">
        <is>
          <t>Supply Chain Operations Manager</t>
        </is>
      </c>
      <c r="D943" t="inlineStr">
        <is>
          <t>Ombraz</t>
        </is>
      </c>
      <c r="H943" t="n">
        <v>10</v>
      </c>
      <c r="I943" t="b">
        <v>1</v>
      </c>
      <c r="J943" t="b">
        <v>0</v>
      </c>
      <c r="K943" t="b">
        <v>0</v>
      </c>
      <c r="L943" t="b">
        <v>0</v>
      </c>
      <c r="M943" t="b">
        <v>0</v>
      </c>
      <c r="N943">
        <f>IFERROR(INDEX('Company Hitlist'!$AA:$AA,MATCH(D943,'Company Hitlist'!$A:$A,0)),)</f>
        <v/>
      </c>
      <c r="O943">
        <f>IFERROR(INDEX('Company Hitlist'!$N:$N,MATCH(D943,'Company Hitlist'!$A:$A,0)),)</f>
        <v/>
      </c>
      <c r="Q943" t="inlineStr">
        <is>
          <t>todo</t>
        </is>
      </c>
    </row>
    <row r="944">
      <c r="A944" t="inlineStr">
        <is>
          <t>Brian Box</t>
        </is>
      </c>
      <c r="B944" t="inlineStr">
        <is>
          <t>Attendee</t>
        </is>
      </c>
      <c r="C944" t="inlineStr">
        <is>
          <t>Director of Logistics</t>
        </is>
      </c>
      <c r="D944" t="inlineStr">
        <is>
          <t>Omega Industrial Supply Inc</t>
        </is>
      </c>
      <c r="E944" t="inlineStr">
        <is>
          <t>United States</t>
        </is>
      </c>
      <c r="H944" t="n">
        <v>10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>
        <f>IFERROR(INDEX('Company Hitlist'!$AA:$AA,MATCH(D944,'Company Hitlist'!$A:$A,0)),)</f>
        <v/>
      </c>
      <c r="O944">
        <f>IFERROR(INDEX('Company Hitlist'!$N:$N,MATCH(D944,'Company Hitlist'!$A:$A,0)),)</f>
        <v/>
      </c>
      <c r="Q944" t="inlineStr">
        <is>
          <t>todo</t>
        </is>
      </c>
    </row>
    <row r="945">
      <c r="A945" t="inlineStr">
        <is>
          <t>Mike Heindselman</t>
        </is>
      </c>
      <c r="B945" t="inlineStr">
        <is>
          <t>Attendee</t>
        </is>
      </c>
      <c r="C945" t="inlineStr">
        <is>
          <t>Senior Director - Global Logistics</t>
        </is>
      </c>
      <c r="D945" t="inlineStr">
        <is>
          <t>Orbis Corp</t>
        </is>
      </c>
      <c r="H945" t="n">
        <v>10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>
        <f>IFERROR(INDEX('Company Hitlist'!$AA:$AA,MATCH(D945,'Company Hitlist'!$A:$A,0)),)</f>
        <v/>
      </c>
      <c r="O945">
        <f>IFERROR(INDEX('Company Hitlist'!$N:$N,MATCH(D945,'Company Hitlist'!$A:$A,0)),)</f>
        <v/>
      </c>
      <c r="Q945" t="inlineStr">
        <is>
          <t>todo</t>
        </is>
      </c>
    </row>
    <row r="946">
      <c r="A946" t="inlineStr">
        <is>
          <t>Colby Walker</t>
        </is>
      </c>
      <c r="B946" t="inlineStr">
        <is>
          <t>Attendee</t>
        </is>
      </c>
      <c r="C946" t="inlineStr">
        <is>
          <t>Associate Director, Transportation</t>
        </is>
      </c>
      <c r="D946" t="inlineStr">
        <is>
          <t>Orgain</t>
        </is>
      </c>
      <c r="F946" t="inlineStr">
        <is>
          <t>Yes</t>
        </is>
      </c>
      <c r="H946" t="n">
        <v>10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>
        <f>IFERROR(INDEX('Company Hitlist'!$AA:$AA,MATCH(D946,'Company Hitlist'!$A:$A,0)),)</f>
        <v/>
      </c>
      <c r="O946">
        <f>IFERROR(INDEX('Company Hitlist'!$N:$N,MATCH(D946,'Company Hitlist'!$A:$A,0)),)</f>
        <v/>
      </c>
      <c r="Q946" t="inlineStr">
        <is>
          <t>todo</t>
        </is>
      </c>
    </row>
    <row r="947">
      <c r="A947" t="inlineStr">
        <is>
          <t>Marc Dorau</t>
        </is>
      </c>
      <c r="B947" t="inlineStr">
        <is>
          <t>Attendee</t>
        </is>
      </c>
      <c r="C947" t="inlineStr">
        <is>
          <t>Sr. Director, Logistics &amp; Customer Fulfillment</t>
        </is>
      </c>
      <c r="D947" t="inlineStr">
        <is>
          <t>Orgain</t>
        </is>
      </c>
      <c r="F947" t="inlineStr">
        <is>
          <t>Yes</t>
        </is>
      </c>
      <c r="H947" t="n">
        <v>10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>
        <f>IFERROR(INDEX('Company Hitlist'!$AA:$AA,MATCH(D947,'Company Hitlist'!$A:$A,0)),)</f>
        <v/>
      </c>
      <c r="O947">
        <f>IFERROR(INDEX('Company Hitlist'!$N:$N,MATCH(D947,'Company Hitlist'!$A:$A,0)),)</f>
        <v/>
      </c>
      <c r="Q947" t="inlineStr">
        <is>
          <t>todo</t>
        </is>
      </c>
    </row>
    <row r="948">
      <c r="A948" t="inlineStr">
        <is>
          <t>Samuel Payson</t>
        </is>
      </c>
      <c r="B948" t="inlineStr">
        <is>
          <t>Attendee</t>
        </is>
      </c>
      <c r="C948" t="inlineStr">
        <is>
          <t>Director of Operations</t>
        </is>
      </c>
      <c r="D948" t="inlineStr">
        <is>
          <t>Outback Toys</t>
        </is>
      </c>
      <c r="E948" t="inlineStr">
        <is>
          <t>United States</t>
        </is>
      </c>
      <c r="F948" t="inlineStr">
        <is>
          <t>Yes</t>
        </is>
      </c>
      <c r="H948" t="n">
        <v>10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>
        <f>IFERROR(INDEX('Company Hitlist'!$AA:$AA,MATCH(D948,'Company Hitlist'!$A:$A,0)),)</f>
        <v/>
      </c>
      <c r="O948">
        <f>IFERROR(INDEX('Company Hitlist'!$N:$N,MATCH(D948,'Company Hitlist'!$A:$A,0)),)</f>
        <v/>
      </c>
      <c r="Q948" t="inlineStr">
        <is>
          <t>todo</t>
        </is>
      </c>
    </row>
    <row r="949">
      <c r="A949" t="inlineStr">
        <is>
          <t>Garrett Nakamura</t>
        </is>
      </c>
      <c r="B949" t="inlineStr">
        <is>
          <t>Attendee</t>
        </is>
      </c>
      <c r="C949" t="inlineStr">
        <is>
          <t>Director Transportation</t>
        </is>
      </c>
      <c r="D949" t="inlineStr">
        <is>
          <t>Outerspace</t>
        </is>
      </c>
      <c r="E949" t="inlineStr">
        <is>
          <t>United States</t>
        </is>
      </c>
      <c r="F949" t="inlineStr">
        <is>
          <t>Yes</t>
        </is>
      </c>
      <c r="H949" t="n">
        <v>10</v>
      </c>
      <c r="I949" t="b">
        <v>1</v>
      </c>
      <c r="J949" t="b">
        <v>0</v>
      </c>
      <c r="K949" t="b">
        <v>0</v>
      </c>
      <c r="L949" t="b">
        <v>0</v>
      </c>
      <c r="M949" t="b">
        <v>0</v>
      </c>
      <c r="N949">
        <f>IFERROR(INDEX('Company Hitlist'!$AA:$AA,MATCH(D949,'Company Hitlist'!$A:$A,0)),)</f>
        <v/>
      </c>
      <c r="O949">
        <f>IFERROR(INDEX('Company Hitlist'!$N:$N,MATCH(D949,'Company Hitlist'!$A:$A,0)),)</f>
        <v/>
      </c>
      <c r="Q949" t="inlineStr">
        <is>
          <t>todo</t>
        </is>
      </c>
    </row>
    <row r="950">
      <c r="A950" t="inlineStr">
        <is>
          <t>Mike Thompson</t>
        </is>
      </c>
      <c r="B950" t="inlineStr">
        <is>
          <t>Attendee</t>
        </is>
      </c>
      <c r="C950" t="inlineStr">
        <is>
          <t>Operations</t>
        </is>
      </c>
      <c r="D950" t="inlineStr">
        <is>
          <t>Ovii</t>
        </is>
      </c>
      <c r="F950" t="inlineStr">
        <is>
          <t>Yes</t>
        </is>
      </c>
      <c r="H950" t="n">
        <v>10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>
        <f>IFERROR(INDEX('Company Hitlist'!$AA:$AA,MATCH(D950,'Company Hitlist'!$A:$A,0)),)</f>
        <v/>
      </c>
      <c r="O950">
        <f>IFERROR(INDEX('Company Hitlist'!$N:$N,MATCH(D950,'Company Hitlist'!$A:$A,0)),)</f>
        <v/>
      </c>
      <c r="Q950" t="inlineStr">
        <is>
          <t>todo</t>
        </is>
      </c>
    </row>
    <row r="951">
      <c r="A951" t="inlineStr">
        <is>
          <t>Andrea Webster</t>
        </is>
      </c>
      <c r="B951" t="inlineStr">
        <is>
          <t>Attendee</t>
        </is>
      </c>
      <c r="C951" t="inlineStr">
        <is>
          <t>Distribution and Warehouse Leader</t>
        </is>
      </c>
      <c r="D951" t="inlineStr">
        <is>
          <t>Owens Corning</t>
        </is>
      </c>
      <c r="E951" t="inlineStr">
        <is>
          <t>United States</t>
        </is>
      </c>
      <c r="H951" t="n">
        <v>10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>
        <f>IFERROR(INDEX('Company Hitlist'!$AA:$AA,MATCH(D951,'Company Hitlist'!$A:$A,0)),)</f>
        <v/>
      </c>
      <c r="O951">
        <f>IFERROR(INDEX('Company Hitlist'!$N:$N,MATCH(D951,'Company Hitlist'!$A:$A,0)),)</f>
        <v/>
      </c>
      <c r="Q951" t="inlineStr">
        <is>
          <t>todo</t>
        </is>
      </c>
    </row>
    <row r="952">
      <c r="A952" t="inlineStr">
        <is>
          <t>Brandon Bielak</t>
        </is>
      </c>
      <c r="B952" t="inlineStr">
        <is>
          <t>Attendee</t>
        </is>
      </c>
      <c r="C952" t="inlineStr">
        <is>
          <t>Logistics Operations Manager</t>
        </is>
      </c>
      <c r="D952" t="inlineStr">
        <is>
          <t>PGA TOUR Superstore</t>
        </is>
      </c>
      <c r="E952" t="inlineStr">
        <is>
          <t>United States</t>
        </is>
      </c>
      <c r="H952" t="n">
        <v>10</v>
      </c>
      <c r="I952" t="b">
        <v>1</v>
      </c>
      <c r="J952" t="b">
        <v>0</v>
      </c>
      <c r="K952" t="b">
        <v>0</v>
      </c>
      <c r="L952" t="b">
        <v>0</v>
      </c>
      <c r="M952" t="b">
        <v>0</v>
      </c>
      <c r="N952">
        <f>IFERROR(INDEX('Company Hitlist'!$AA:$AA,MATCH(D952,'Company Hitlist'!$A:$A,0)),)</f>
        <v/>
      </c>
      <c r="O952">
        <f>IFERROR(INDEX('Company Hitlist'!$N:$N,MATCH(D952,'Company Hitlist'!$A:$A,0)),)</f>
        <v/>
      </c>
      <c r="Q952" t="inlineStr">
        <is>
          <t>todo</t>
        </is>
      </c>
    </row>
    <row r="953">
      <c r="A953" t="inlineStr">
        <is>
          <t>Melissa Liston</t>
        </is>
      </c>
      <c r="B953" t="inlineStr">
        <is>
          <t>Attendee</t>
        </is>
      </c>
      <c r="C953" t="inlineStr">
        <is>
          <t>Supply Chain Strategy</t>
        </is>
      </c>
      <c r="D953" t="inlineStr">
        <is>
          <t>PGA TOUR Superstore</t>
        </is>
      </c>
      <c r="E953" t="inlineStr">
        <is>
          <t>United States</t>
        </is>
      </c>
      <c r="H953" t="n">
        <v>10</v>
      </c>
      <c r="I953" t="b">
        <v>1</v>
      </c>
      <c r="J953" t="b">
        <v>0</v>
      </c>
      <c r="K953" t="b">
        <v>0</v>
      </c>
      <c r="L953" t="b">
        <v>0</v>
      </c>
      <c r="M953" t="b">
        <v>0</v>
      </c>
      <c r="N953">
        <f>IFERROR(INDEX('Company Hitlist'!$AA:$AA,MATCH(D953,'Company Hitlist'!$A:$A,0)),)</f>
        <v/>
      </c>
      <c r="O953">
        <f>IFERROR(INDEX('Company Hitlist'!$N:$N,MATCH(D953,'Company Hitlist'!$A:$A,0)),)</f>
        <v/>
      </c>
      <c r="Q953" t="inlineStr">
        <is>
          <t>todo</t>
        </is>
      </c>
    </row>
    <row r="954">
      <c r="A954" t="inlineStr">
        <is>
          <t>Michael Rice</t>
        </is>
      </c>
      <c r="B954" t="inlineStr">
        <is>
          <t>Attendee</t>
        </is>
      </c>
      <c r="C954" t="inlineStr">
        <is>
          <t>Director of Logistics and Fulfillment</t>
        </is>
      </c>
      <c r="D954" t="inlineStr">
        <is>
          <t>Pangaea Holdings, Inc</t>
        </is>
      </c>
      <c r="H954" t="n">
        <v>10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>
        <f>IFERROR(INDEX('Company Hitlist'!$AA:$AA,MATCH(D954,'Company Hitlist'!$A:$A,0)),)</f>
        <v/>
      </c>
      <c r="O954">
        <f>IFERROR(INDEX('Company Hitlist'!$N:$N,MATCH(D954,'Company Hitlist'!$A:$A,0)),)</f>
        <v/>
      </c>
      <c r="Q954" t="inlineStr">
        <is>
          <t>todo</t>
        </is>
      </c>
    </row>
    <row r="955">
      <c r="A955" t="inlineStr">
        <is>
          <t>Reed Tepper</t>
        </is>
      </c>
      <c r="B955" t="inlineStr">
        <is>
          <t>Attendee</t>
        </is>
      </c>
      <c r="C955" t="inlineStr">
        <is>
          <t>Corporate Logistics &amp; Transportation</t>
        </is>
      </c>
      <c r="D955" t="inlineStr">
        <is>
          <t>Parker Hannifin</t>
        </is>
      </c>
      <c r="H955" t="n">
        <v>10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>
        <f>IFERROR(INDEX('Company Hitlist'!$AA:$AA,MATCH(D955,'Company Hitlist'!$A:$A,0)),)</f>
        <v/>
      </c>
      <c r="O955">
        <f>IFERROR(INDEX('Company Hitlist'!$N:$N,MATCH(D955,'Company Hitlist'!$A:$A,0)),)</f>
        <v/>
      </c>
      <c r="Q955" t="inlineStr">
        <is>
          <t>todo</t>
        </is>
      </c>
    </row>
    <row r="956">
      <c r="A956" t="inlineStr">
        <is>
          <t>Gabby Zawacki</t>
        </is>
      </c>
      <c r="B956" t="inlineStr">
        <is>
          <t>Attendee</t>
        </is>
      </c>
      <c r="C956" t="inlineStr">
        <is>
          <t>East Coast Distribution Center Supervisor</t>
        </is>
      </c>
      <c r="D956" t="inlineStr">
        <is>
          <t>Patagonia</t>
        </is>
      </c>
      <c r="F956" t="inlineStr">
        <is>
          <t>Yes</t>
        </is>
      </c>
      <c r="G956" t="inlineStr">
        <is>
          <t>$1.5B (2025 est.)</t>
        </is>
      </c>
      <c r="H956" t="n">
        <v>10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>
        <f>IFERROR(INDEX('Company Hitlist'!$AA:$AA,MATCH(D956,'Company Hitlist'!$A:$A,0)),)</f>
        <v/>
      </c>
      <c r="O956">
        <f>IFERROR(INDEX('Company Hitlist'!$N:$N,MATCH(D956,'Company Hitlist'!$A:$A,0)),)</f>
        <v/>
      </c>
      <c r="Q956" t="inlineStr">
        <is>
          <t>todo</t>
        </is>
      </c>
    </row>
    <row r="957">
      <c r="A957" t="inlineStr">
        <is>
          <t>Mike Petersen</t>
        </is>
      </c>
      <c r="B957" t="inlineStr">
        <is>
          <t>Attendee</t>
        </is>
      </c>
      <c r="C957" t="inlineStr">
        <is>
          <t>Director of Warehouse Operations</t>
        </is>
      </c>
      <c r="D957" t="inlineStr">
        <is>
          <t>Patagonia</t>
        </is>
      </c>
      <c r="F957" t="inlineStr">
        <is>
          <t>Yes</t>
        </is>
      </c>
      <c r="G957" t="inlineStr">
        <is>
          <t>$1.5B (2025 est.)</t>
        </is>
      </c>
      <c r="H957" t="n">
        <v>10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>
        <f>IFERROR(INDEX('Company Hitlist'!$AA:$AA,MATCH(D957,'Company Hitlist'!$A:$A,0)),)</f>
        <v/>
      </c>
      <c r="O957">
        <f>IFERROR(INDEX('Company Hitlist'!$N:$N,MATCH(D957,'Company Hitlist'!$A:$A,0)),)</f>
        <v/>
      </c>
      <c r="Q957" t="inlineStr">
        <is>
          <t>todo</t>
        </is>
      </c>
    </row>
    <row r="958">
      <c r="A958" t="inlineStr">
        <is>
          <t>Chris Miles</t>
        </is>
      </c>
      <c r="B958" t="inlineStr">
        <is>
          <t>Attendee</t>
        </is>
      </c>
      <c r="C958" t="inlineStr">
        <is>
          <t>Operations Manager</t>
        </is>
      </c>
      <c r="D958" t="inlineStr">
        <is>
          <t>Patagonia</t>
        </is>
      </c>
      <c r="H958" t="n">
        <v>10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>
        <f>IFERROR(INDEX('Company Hitlist'!$AA:$AA,MATCH(D958,'Company Hitlist'!$A:$A,0)),)</f>
        <v/>
      </c>
      <c r="O958">
        <f>IFERROR(INDEX('Company Hitlist'!$N:$N,MATCH(D958,'Company Hitlist'!$A:$A,0)),)</f>
        <v/>
      </c>
      <c r="Q958" t="inlineStr">
        <is>
          <t>todo</t>
        </is>
      </c>
    </row>
    <row r="959">
      <c r="A959" t="inlineStr">
        <is>
          <t>Yessica Delgado</t>
        </is>
      </c>
      <c r="B959" t="inlineStr">
        <is>
          <t>Attendee</t>
        </is>
      </c>
      <c r="C959" t="inlineStr">
        <is>
          <t>Rotating Operations Manager</t>
        </is>
      </c>
      <c r="D959" t="inlineStr">
        <is>
          <t>Patagonia</t>
        </is>
      </c>
      <c r="H959" t="n">
        <v>10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>
        <f>IFERROR(INDEX('Company Hitlist'!$AA:$AA,MATCH(D959,'Company Hitlist'!$A:$A,0)),)</f>
        <v/>
      </c>
      <c r="O959">
        <f>IFERROR(INDEX('Company Hitlist'!$N:$N,MATCH(D959,'Company Hitlist'!$A:$A,0)),)</f>
        <v/>
      </c>
      <c r="Q959" t="inlineStr">
        <is>
          <t>todo</t>
        </is>
      </c>
    </row>
    <row r="960">
      <c r="A960" t="inlineStr">
        <is>
          <t>Dounia Zinbi</t>
        </is>
      </c>
      <c r="B960" t="inlineStr">
        <is>
          <t>Attendee</t>
        </is>
      </c>
      <c r="C960" t="inlineStr">
        <is>
          <t>LOGISTICS PROJECT MANAGER</t>
        </is>
      </c>
      <c r="D960" t="inlineStr">
        <is>
          <t>Paula's Choice</t>
        </is>
      </c>
      <c r="H960" t="n">
        <v>10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>
        <f>IFERROR(INDEX('Company Hitlist'!$AA:$AA,MATCH(D960,'Company Hitlist'!$A:$A,0)),)</f>
        <v/>
      </c>
      <c r="O960">
        <f>IFERROR(INDEX('Company Hitlist'!$N:$N,MATCH(D960,'Company Hitlist'!$A:$A,0)),)</f>
        <v/>
      </c>
      <c r="Q960" t="inlineStr">
        <is>
          <t>todo</t>
        </is>
      </c>
    </row>
    <row r="961">
      <c r="A961" t="inlineStr">
        <is>
          <t>Mark Schwarz</t>
        </is>
      </c>
      <c r="B961" t="inlineStr">
        <is>
          <t>Attendee</t>
        </is>
      </c>
      <c r="C961" t="inlineStr">
        <is>
          <t>Sr. Director, Transportation</t>
        </is>
      </c>
      <c r="D961" t="inlineStr">
        <is>
          <t>Pella Corp</t>
        </is>
      </c>
      <c r="H961" t="n">
        <v>10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>
        <f>IFERROR(INDEX('Company Hitlist'!$AA:$AA,MATCH(D961,'Company Hitlist'!$A:$A,0)),)</f>
        <v/>
      </c>
      <c r="O961">
        <f>IFERROR(INDEX('Company Hitlist'!$N:$N,MATCH(D961,'Company Hitlist'!$A:$A,0)),)</f>
        <v/>
      </c>
      <c r="Q961" t="inlineStr">
        <is>
          <t>todo</t>
        </is>
      </c>
    </row>
    <row r="962">
      <c r="A962" t="inlineStr">
        <is>
          <t>Martina Majstorovic</t>
        </is>
      </c>
      <c r="B962" t="inlineStr">
        <is>
          <t>Attendee</t>
        </is>
      </c>
      <c r="C962" t="inlineStr">
        <is>
          <t>Sr. Director, Global Logistics</t>
        </is>
      </c>
      <c r="D962" t="inlineStr">
        <is>
          <t>Peloton</t>
        </is>
      </c>
      <c r="F962" t="inlineStr">
        <is>
          <t>Yes</t>
        </is>
      </c>
      <c r="H962" t="n">
        <v>10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>
        <f>IFERROR(INDEX('Company Hitlist'!$AA:$AA,MATCH(D962,'Company Hitlist'!$A:$A,0)),)</f>
        <v/>
      </c>
      <c r="O962">
        <f>IFERROR(INDEX('Company Hitlist'!$N:$N,MATCH(D962,'Company Hitlist'!$A:$A,0)),)</f>
        <v/>
      </c>
      <c r="Q962" t="inlineStr">
        <is>
          <t>todo</t>
        </is>
      </c>
    </row>
    <row r="963">
      <c r="A963" t="inlineStr">
        <is>
          <t>David Beyar</t>
        </is>
      </c>
      <c r="B963" t="inlineStr">
        <is>
          <t>Attendee</t>
        </is>
      </c>
      <c r="C963" t="inlineStr">
        <is>
          <t>Sr. Manager, Transportation</t>
        </is>
      </c>
      <c r="D963" t="inlineStr">
        <is>
          <t>Peloton Interactive</t>
        </is>
      </c>
      <c r="H963" t="n">
        <v>10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>
        <f>IFERROR(INDEX('Company Hitlist'!$AA:$AA,MATCH(D963,'Company Hitlist'!$A:$A,0)),)</f>
        <v/>
      </c>
      <c r="O963">
        <f>IFERROR(INDEX('Company Hitlist'!$N:$N,MATCH(D963,'Company Hitlist'!$A:$A,0)),)</f>
        <v/>
      </c>
      <c r="Q963" t="inlineStr">
        <is>
          <t>todo</t>
        </is>
      </c>
    </row>
    <row r="964">
      <c r="A964" t="inlineStr">
        <is>
          <t>Caroline Hirner</t>
        </is>
      </c>
      <c r="B964" t="inlineStr">
        <is>
          <t>Attendee</t>
        </is>
      </c>
      <c r="C964" t="inlineStr">
        <is>
          <t>North America Fleet Sustainability Mgr</t>
        </is>
      </c>
      <c r="D964" t="inlineStr">
        <is>
          <t>PepsiCo</t>
        </is>
      </c>
      <c r="E964" t="inlineStr">
        <is>
          <t>United States</t>
        </is>
      </c>
      <c r="F964" t="inlineStr">
        <is>
          <t>Yes</t>
        </is>
      </c>
      <c r="H964" t="n">
        <v>10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>
        <f>IFERROR(INDEX('Company Hitlist'!$AA:$AA,MATCH(D964,'Company Hitlist'!$A:$A,0)),)</f>
        <v/>
      </c>
      <c r="O964">
        <f>IFERROR(INDEX('Company Hitlist'!$N:$N,MATCH(D964,'Company Hitlist'!$A:$A,0)),)</f>
        <v/>
      </c>
      <c r="Q964" t="inlineStr">
        <is>
          <t>todo</t>
        </is>
      </c>
    </row>
    <row r="965">
      <c r="A965" t="inlineStr">
        <is>
          <t>Derek Dellinger</t>
        </is>
      </c>
      <c r="B965" t="inlineStr">
        <is>
          <t>Attendee</t>
        </is>
      </c>
      <c r="C965" t="inlineStr">
        <is>
          <t>Warehouse Director</t>
        </is>
      </c>
      <c r="D965" t="inlineStr">
        <is>
          <t>PepsiCo</t>
        </is>
      </c>
      <c r="F965" t="inlineStr">
        <is>
          <t>Yes</t>
        </is>
      </c>
      <c r="H965" t="n">
        <v>10</v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>
        <f>IFERROR(INDEX('Company Hitlist'!$AA:$AA,MATCH(D965,'Company Hitlist'!$A:$A,0)),)</f>
        <v/>
      </c>
      <c r="O965">
        <f>IFERROR(INDEX('Company Hitlist'!$N:$N,MATCH(D965,'Company Hitlist'!$A:$A,0)),)</f>
        <v/>
      </c>
      <c r="Q965" t="inlineStr">
        <is>
          <t>todo</t>
        </is>
      </c>
    </row>
    <row r="966">
      <c r="A966" t="inlineStr">
        <is>
          <t>Gaston Bukasa</t>
        </is>
      </c>
      <c r="B966" t="inlineStr">
        <is>
          <t>Attendee</t>
        </is>
      </c>
      <c r="C966" t="inlineStr">
        <is>
          <t>North America Fleet Sustainability Mgr</t>
        </is>
      </c>
      <c r="D966" t="inlineStr">
        <is>
          <t>PepsiCo</t>
        </is>
      </c>
      <c r="F966" t="inlineStr">
        <is>
          <t>Yes</t>
        </is>
      </c>
      <c r="H966" t="n">
        <v>10</v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>
        <f>IFERROR(INDEX('Company Hitlist'!$AA:$AA,MATCH(D966,'Company Hitlist'!$A:$A,0)),)</f>
        <v/>
      </c>
      <c r="O966">
        <f>IFERROR(INDEX('Company Hitlist'!$N:$N,MATCH(D966,'Company Hitlist'!$A:$A,0)),)</f>
        <v/>
      </c>
      <c r="Q966" t="inlineStr">
        <is>
          <t>todo</t>
        </is>
      </c>
    </row>
    <row r="967">
      <c r="A967" t="inlineStr">
        <is>
          <t>Bob Zimmer</t>
        </is>
      </c>
      <c r="B967" t="inlineStr">
        <is>
          <t>Attendee</t>
        </is>
      </c>
      <c r="C967" t="inlineStr">
        <is>
          <t>Fleet Sr Manager</t>
        </is>
      </c>
      <c r="D967" t="inlineStr">
        <is>
          <t>PepsiCo</t>
        </is>
      </c>
      <c r="H967" t="n">
        <v>10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>
        <f>IFERROR(INDEX('Company Hitlist'!$AA:$AA,MATCH(D967,'Company Hitlist'!$A:$A,0)),)</f>
        <v/>
      </c>
      <c r="O967">
        <f>IFERROR(INDEX('Company Hitlist'!$N:$N,MATCH(D967,'Company Hitlist'!$A:$A,0)),)</f>
        <v/>
      </c>
      <c r="Q967" t="inlineStr">
        <is>
          <t>todo</t>
        </is>
      </c>
    </row>
    <row r="968">
      <c r="A968" t="inlineStr">
        <is>
          <t>Ryan Ganger</t>
        </is>
      </c>
      <c r="B968" t="inlineStr">
        <is>
          <t>Attendee</t>
        </is>
      </c>
      <c r="C968" t="inlineStr">
        <is>
          <t>Transportation Leader North America</t>
        </is>
      </c>
      <c r="D968" t="inlineStr">
        <is>
          <t>Philips</t>
        </is>
      </c>
      <c r="F968" t="inlineStr">
        <is>
          <t>Yes</t>
        </is>
      </c>
      <c r="G968" t="inlineStr">
        <is>
          <t>$19.84B (2025 est.)</t>
        </is>
      </c>
      <c r="H968" t="n">
        <v>10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>
        <f>IFERROR(INDEX('Company Hitlist'!$AA:$AA,MATCH(D968,'Company Hitlist'!$A:$A,0)),)</f>
        <v/>
      </c>
      <c r="O968">
        <f>IFERROR(INDEX('Company Hitlist'!$N:$N,MATCH(D968,'Company Hitlist'!$A:$A,0)),)</f>
        <v/>
      </c>
      <c r="Q968" t="inlineStr">
        <is>
          <t>todo</t>
        </is>
      </c>
    </row>
    <row r="969">
      <c r="A969" t="inlineStr">
        <is>
          <t>Marc Koumoundouros</t>
        </is>
      </c>
      <c r="B969" t="inlineStr">
        <is>
          <t>Attendee</t>
        </is>
      </c>
      <c r="C969" t="inlineStr">
        <is>
          <t>Supply Chain Leader Canada</t>
        </is>
      </c>
      <c r="D969" t="inlineStr">
        <is>
          <t>Philips</t>
        </is>
      </c>
      <c r="H969" t="n">
        <v>10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>
        <f>IFERROR(INDEX('Company Hitlist'!$AA:$AA,MATCH(D969,'Company Hitlist'!$A:$A,0)),)</f>
        <v/>
      </c>
      <c r="O969">
        <f>IFERROR(INDEX('Company Hitlist'!$N:$N,MATCH(D969,'Company Hitlist'!$A:$A,0)),)</f>
        <v/>
      </c>
      <c r="Q969" t="inlineStr">
        <is>
          <t>todo</t>
        </is>
      </c>
    </row>
    <row r="970">
      <c r="A970" t="inlineStr">
        <is>
          <t>Jonathan Geurkink</t>
        </is>
      </c>
      <c r="B970" t="inlineStr">
        <is>
          <t>Attendee</t>
        </is>
      </c>
      <c r="C970" t="inlineStr">
        <is>
          <t>Senior Analyst - Supply Chain and Mobility Tech</t>
        </is>
      </c>
      <c r="D970" t="inlineStr">
        <is>
          <t>Pitchbook</t>
        </is>
      </c>
      <c r="H970" t="n">
        <v>10</v>
      </c>
      <c r="I970" t="b">
        <v>1</v>
      </c>
      <c r="J970" t="b">
        <v>0</v>
      </c>
      <c r="K970" t="b">
        <v>0</v>
      </c>
      <c r="L970" t="b">
        <v>0</v>
      </c>
      <c r="M970" t="b">
        <v>0</v>
      </c>
      <c r="N970">
        <f>IFERROR(INDEX('Company Hitlist'!$AA:$AA,MATCH(D970,'Company Hitlist'!$A:$A,0)),)</f>
        <v/>
      </c>
      <c r="O970">
        <f>IFERROR(INDEX('Company Hitlist'!$N:$N,MATCH(D970,'Company Hitlist'!$A:$A,0)),)</f>
        <v/>
      </c>
      <c r="Q970" t="inlineStr">
        <is>
          <t>todo</t>
        </is>
      </c>
    </row>
    <row r="971">
      <c r="A971" t="inlineStr">
        <is>
          <t>Pluto Sui</t>
        </is>
      </c>
      <c r="B971" t="inlineStr">
        <is>
          <t>Attendee</t>
        </is>
      </c>
      <c r="C971" t="inlineStr">
        <is>
          <t>Operations Coordinator</t>
        </is>
      </c>
      <c r="D971" t="inlineStr">
        <is>
          <t>Pluto</t>
        </is>
      </c>
      <c r="F971" t="inlineStr">
        <is>
          <t>Yes</t>
        </is>
      </c>
      <c r="G971" t="inlineStr">
        <is>
          <t>$1.9M (2025 est.; &lt; $5M)</t>
        </is>
      </c>
      <c r="H971" t="n">
        <v>10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>
        <f>IFERROR(INDEX('Company Hitlist'!$AA:$AA,MATCH(D971,'Company Hitlist'!$A:$A,0)),)</f>
        <v/>
      </c>
      <c r="O971">
        <f>IFERROR(INDEX('Company Hitlist'!$N:$N,MATCH(D971,'Company Hitlist'!$A:$A,0)),)</f>
        <v/>
      </c>
      <c r="Q971" t="inlineStr">
        <is>
          <t>todo</t>
        </is>
      </c>
    </row>
    <row r="972">
      <c r="A972" t="inlineStr">
        <is>
          <t>Cullen McNeill</t>
        </is>
      </c>
      <c r="B972" t="inlineStr">
        <is>
          <t>Attendee</t>
        </is>
      </c>
      <c r="C972" t="inlineStr">
        <is>
          <t>Logistics Analyst</t>
        </is>
      </c>
      <c r="D972" t="inlineStr">
        <is>
          <t>Polaris</t>
        </is>
      </c>
      <c r="F972" t="inlineStr">
        <is>
          <t>Yes</t>
        </is>
      </c>
      <c r="H972" t="n">
        <v>10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>
        <f>IFERROR(INDEX('Company Hitlist'!$AA:$AA,MATCH(D972,'Company Hitlist'!$A:$A,0)),)</f>
        <v/>
      </c>
      <c r="O972">
        <f>IFERROR(INDEX('Company Hitlist'!$N:$N,MATCH(D972,'Company Hitlist'!$A:$A,0)),)</f>
        <v/>
      </c>
      <c r="Q972" t="inlineStr">
        <is>
          <t>todo</t>
        </is>
      </c>
    </row>
    <row r="973">
      <c r="A973" t="inlineStr">
        <is>
          <t>Troy Issacs</t>
        </is>
      </c>
      <c r="B973" t="inlineStr">
        <is>
          <t>Attendee</t>
        </is>
      </c>
      <c r="C973" t="inlineStr">
        <is>
          <t>Director, Logistics &amp; Delivery Optimization</t>
        </is>
      </c>
      <c r="D973" t="inlineStr">
        <is>
          <t>Polaris</t>
        </is>
      </c>
      <c r="F973" t="inlineStr">
        <is>
          <t>Yes</t>
        </is>
      </c>
      <c r="H973" t="n">
        <v>10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>
        <f>IFERROR(INDEX('Company Hitlist'!$AA:$AA,MATCH(D973,'Company Hitlist'!$A:$A,0)),)</f>
        <v/>
      </c>
      <c r="O973">
        <f>IFERROR(INDEX('Company Hitlist'!$N:$N,MATCH(D973,'Company Hitlist'!$A:$A,0)),)</f>
        <v/>
      </c>
      <c r="Q973" t="inlineStr">
        <is>
          <t>todo</t>
        </is>
      </c>
    </row>
    <row r="974">
      <c r="A974" t="inlineStr">
        <is>
          <t>Emma Reid</t>
        </is>
      </c>
      <c r="B974" t="inlineStr">
        <is>
          <t>Attendee</t>
        </is>
      </c>
      <c r="C974" t="inlineStr">
        <is>
          <t>Logistics Data Analyst</t>
        </is>
      </c>
      <c r="D974" t="inlineStr">
        <is>
          <t>Pop Mart</t>
        </is>
      </c>
      <c r="F974" t="inlineStr">
        <is>
          <t>Yes</t>
        </is>
      </c>
      <c r="H974" t="n">
        <v>10</v>
      </c>
      <c r="I974" t="b">
        <v>1</v>
      </c>
      <c r="J974" t="b">
        <v>0</v>
      </c>
      <c r="K974" t="b">
        <v>0</v>
      </c>
      <c r="L974" t="b">
        <v>0</v>
      </c>
      <c r="M974" t="b">
        <v>0</v>
      </c>
      <c r="N974">
        <f>IFERROR(INDEX('Company Hitlist'!$AA:$AA,MATCH(D974,'Company Hitlist'!$A:$A,0)),)</f>
        <v/>
      </c>
      <c r="O974">
        <f>IFERROR(INDEX('Company Hitlist'!$N:$N,MATCH(D974,'Company Hitlist'!$A:$A,0)),)</f>
        <v/>
      </c>
      <c r="Q974" t="inlineStr">
        <is>
          <t>todo</t>
        </is>
      </c>
    </row>
    <row r="975">
      <c r="A975" t="inlineStr">
        <is>
          <t>Tim Kreiner</t>
        </is>
      </c>
      <c r="B975" t="inlineStr">
        <is>
          <t>Attendee</t>
        </is>
      </c>
      <c r="C975" t="inlineStr">
        <is>
          <t>Logistics Roundtable Freight Efficiency Group</t>
        </is>
      </c>
      <c r="D975" t="inlineStr">
        <is>
          <t>President</t>
        </is>
      </c>
      <c r="H975" t="n">
        <v>10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>
        <f>IFERROR(INDEX('Company Hitlist'!$AA:$AA,MATCH(D975,'Company Hitlist'!$A:$A,0)),)</f>
        <v/>
      </c>
      <c r="O975">
        <f>IFERROR(INDEX('Company Hitlist'!$N:$N,MATCH(D975,'Company Hitlist'!$A:$A,0)),)</f>
        <v/>
      </c>
      <c r="Q975" t="inlineStr">
        <is>
          <t>todo</t>
        </is>
      </c>
    </row>
    <row r="976">
      <c r="A976" t="inlineStr">
        <is>
          <t>Justen Collins</t>
        </is>
      </c>
      <c r="B976" t="inlineStr">
        <is>
          <t>Attendee</t>
        </is>
      </c>
      <c r="C976" t="inlineStr">
        <is>
          <t>Director of Logistics</t>
        </is>
      </c>
      <c r="D976" t="inlineStr">
        <is>
          <t>Price Industries</t>
        </is>
      </c>
      <c r="E976" t="inlineStr">
        <is>
          <t>United States</t>
        </is>
      </c>
      <c r="H976" t="n">
        <v>10</v>
      </c>
      <c r="I976" t="b">
        <v>1</v>
      </c>
      <c r="J976" t="b">
        <v>0</v>
      </c>
      <c r="K976" t="b">
        <v>0</v>
      </c>
      <c r="L976" t="b">
        <v>0</v>
      </c>
      <c r="M976" t="b">
        <v>0</v>
      </c>
      <c r="N976">
        <f>IFERROR(INDEX('Company Hitlist'!$AA:$AA,MATCH(D976,'Company Hitlist'!$A:$A,0)),)</f>
        <v/>
      </c>
      <c r="O976">
        <f>IFERROR(INDEX('Company Hitlist'!$N:$N,MATCH(D976,'Company Hitlist'!$A:$A,0)),)</f>
        <v/>
      </c>
      <c r="Q976" t="inlineStr">
        <is>
          <t>todo</t>
        </is>
      </c>
    </row>
    <row r="977">
      <c r="A977" t="inlineStr">
        <is>
          <t>Kyle Donnelly</t>
        </is>
      </c>
      <c r="B977" t="inlineStr">
        <is>
          <t>Attendee</t>
        </is>
      </c>
      <c r="C977" t="inlineStr">
        <is>
          <t>Corporate Logistics Manager</t>
        </is>
      </c>
      <c r="D977" t="inlineStr">
        <is>
          <t>Price Industries</t>
        </is>
      </c>
      <c r="E977" t="inlineStr">
        <is>
          <t>United States</t>
        </is>
      </c>
      <c r="H977" t="n">
        <v>10</v>
      </c>
      <c r="I977" t="b">
        <v>1</v>
      </c>
      <c r="J977" t="b">
        <v>0</v>
      </c>
      <c r="K977" t="b">
        <v>0</v>
      </c>
      <c r="L977" t="b">
        <v>0</v>
      </c>
      <c r="M977" t="b">
        <v>0</v>
      </c>
      <c r="N977">
        <f>IFERROR(INDEX('Company Hitlist'!$AA:$AA,MATCH(D977,'Company Hitlist'!$A:$A,0)),)</f>
        <v/>
      </c>
      <c r="O977">
        <f>IFERROR(INDEX('Company Hitlist'!$N:$N,MATCH(D977,'Company Hitlist'!$A:$A,0)),)</f>
        <v/>
      </c>
      <c r="Q977" t="inlineStr">
        <is>
          <t>todo</t>
        </is>
      </c>
    </row>
    <row r="978">
      <c r="A978" t="inlineStr">
        <is>
          <t>Chris Bloyd</t>
        </is>
      </c>
      <c r="B978" t="inlineStr">
        <is>
          <t>Attendee</t>
        </is>
      </c>
      <c r="C978" t="inlineStr">
        <is>
          <t>Logistics Data Analyst</t>
        </is>
      </c>
      <c r="D978" t="inlineStr">
        <is>
          <t>Price Industries</t>
        </is>
      </c>
      <c r="H978" t="n">
        <v>10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>
        <f>IFERROR(INDEX('Company Hitlist'!$AA:$AA,MATCH(D978,'Company Hitlist'!$A:$A,0)),)</f>
        <v/>
      </c>
      <c r="O978">
        <f>IFERROR(INDEX('Company Hitlist'!$N:$N,MATCH(D978,'Company Hitlist'!$A:$A,0)),)</f>
        <v/>
      </c>
      <c r="Q978" t="inlineStr">
        <is>
          <t>todo</t>
        </is>
      </c>
    </row>
    <row r="979">
      <c r="A979" t="inlineStr">
        <is>
          <t>Gagant Thind</t>
        </is>
      </c>
      <c r="B979" t="inlineStr">
        <is>
          <t>Attendee</t>
        </is>
      </c>
      <c r="C979" t="inlineStr">
        <is>
          <t>Director of Trade Compliance &amp; Logistics</t>
        </is>
      </c>
      <c r="D979" t="inlineStr">
        <is>
          <t>Price Industries</t>
        </is>
      </c>
      <c r="H979" t="n">
        <v>10</v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>
        <f>IFERROR(INDEX('Company Hitlist'!$AA:$AA,MATCH(D979,'Company Hitlist'!$A:$A,0)),)</f>
        <v/>
      </c>
      <c r="O979">
        <f>IFERROR(INDEX('Company Hitlist'!$N:$N,MATCH(D979,'Company Hitlist'!$A:$A,0)),)</f>
        <v/>
      </c>
      <c r="Q979" t="inlineStr">
        <is>
          <t>todo</t>
        </is>
      </c>
    </row>
    <row r="980">
      <c r="A980" t="inlineStr">
        <is>
          <t>Vishwanath Krishnamoorthy</t>
        </is>
      </c>
      <c r="B980" t="inlineStr">
        <is>
          <t>Attendee</t>
        </is>
      </c>
      <c r="C980" t="inlineStr">
        <is>
          <t>AVP, Global Logistics, Planning, Process and Optimization</t>
        </is>
      </c>
      <c r="D980" t="inlineStr">
        <is>
          <t>Pricesmart</t>
        </is>
      </c>
      <c r="F980" t="inlineStr">
        <is>
          <t>Yes</t>
        </is>
      </c>
      <c r="H980" t="n">
        <v>10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>
        <f>IFERROR(INDEX('Company Hitlist'!$AA:$AA,MATCH(D980,'Company Hitlist'!$A:$A,0)),)</f>
        <v/>
      </c>
      <c r="O980">
        <f>IFERROR(INDEX('Company Hitlist'!$N:$N,MATCH(D980,'Company Hitlist'!$A:$A,0)),)</f>
        <v/>
      </c>
      <c r="Q980" t="inlineStr">
        <is>
          <t>todo</t>
        </is>
      </c>
    </row>
    <row r="981">
      <c r="A981" t="inlineStr">
        <is>
          <t>Ryan Harrington</t>
        </is>
      </c>
      <c r="B981" t="inlineStr">
        <is>
          <t>Attendee</t>
        </is>
      </c>
      <c r="C981" t="inlineStr">
        <is>
          <t>Director of Intermodal</t>
        </is>
      </c>
      <c r="D981" t="inlineStr">
        <is>
          <t>Prime Inc.</t>
        </is>
      </c>
      <c r="F981" t="inlineStr">
        <is>
          <t>Yes</t>
        </is>
      </c>
      <c r="H981" t="n">
        <v>10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>
        <f>IFERROR(INDEX('Company Hitlist'!$AA:$AA,MATCH(D981,'Company Hitlist'!$A:$A,0)),)</f>
        <v/>
      </c>
      <c r="O981">
        <f>IFERROR(INDEX('Company Hitlist'!$N:$N,MATCH(D981,'Company Hitlist'!$A:$A,0)),)</f>
        <v/>
      </c>
      <c r="Q981" t="inlineStr">
        <is>
          <t>todo</t>
        </is>
      </c>
    </row>
    <row r="982">
      <c r="A982" t="inlineStr">
        <is>
          <t>Chris Tesar</t>
        </is>
      </c>
      <c r="B982" t="inlineStr">
        <is>
          <t>Attendee</t>
        </is>
      </c>
      <c r="C982" t="inlineStr">
        <is>
          <t>Operations Manager</t>
        </is>
      </c>
      <c r="D982" t="inlineStr">
        <is>
          <t>Promix Nutrition</t>
        </is>
      </c>
      <c r="H982" t="n">
        <v>10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>
        <f>IFERROR(INDEX('Company Hitlist'!$AA:$AA,MATCH(D982,'Company Hitlist'!$A:$A,0)),)</f>
        <v/>
      </c>
      <c r="O982">
        <f>IFERROR(INDEX('Company Hitlist'!$N:$N,MATCH(D982,'Company Hitlist'!$A:$A,0)),)</f>
        <v/>
      </c>
      <c r="Q982" t="inlineStr">
        <is>
          <t>todo</t>
        </is>
      </c>
    </row>
    <row r="983">
      <c r="A983" t="inlineStr">
        <is>
          <t>Alicia Lingle</t>
        </is>
      </c>
      <c r="B983" t="inlineStr">
        <is>
          <t>Attendee</t>
        </is>
      </c>
      <c r="C983" t="inlineStr">
        <is>
          <t>Supply Chain Manager</t>
        </is>
      </c>
      <c r="D983" t="inlineStr">
        <is>
          <t>Puget Systems</t>
        </is>
      </c>
      <c r="H983" t="n">
        <v>10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>
        <f>IFERROR(INDEX('Company Hitlist'!$AA:$AA,MATCH(D983,'Company Hitlist'!$A:$A,0)),)</f>
        <v/>
      </c>
      <c r="O983">
        <f>IFERROR(INDEX('Company Hitlist'!$N:$N,MATCH(D983,'Company Hitlist'!$A:$A,0)),)</f>
        <v/>
      </c>
      <c r="Q983" t="inlineStr">
        <is>
          <t>todo</t>
        </is>
      </c>
    </row>
    <row r="984">
      <c r="A984" t="inlineStr">
        <is>
          <t>Gerardo Carreon</t>
        </is>
      </c>
      <c r="B984" t="inlineStr">
        <is>
          <t>Attendee</t>
        </is>
      </c>
      <c r="C984" t="inlineStr">
        <is>
          <t>Director of Distribution, Transportation and Trade Compliance</t>
        </is>
      </c>
      <c r="D984" t="inlineStr">
        <is>
          <t>Quanex</t>
        </is>
      </c>
      <c r="H984" t="n">
        <v>10</v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>
        <f>IFERROR(INDEX('Company Hitlist'!$AA:$AA,MATCH(D984,'Company Hitlist'!$A:$A,0)),)</f>
        <v/>
      </c>
      <c r="O984">
        <f>IFERROR(INDEX('Company Hitlist'!$N:$N,MATCH(D984,'Company Hitlist'!$A:$A,0)),)</f>
        <v/>
      </c>
      <c r="Q984" t="inlineStr">
        <is>
          <t>todo</t>
        </is>
      </c>
    </row>
    <row r="985">
      <c r="A985" t="inlineStr">
        <is>
          <t>Naoyuki Hasuike</t>
        </is>
      </c>
      <c r="B985" t="inlineStr">
        <is>
          <t>Attendee</t>
        </is>
      </c>
      <c r="C985" t="inlineStr">
        <is>
          <t>Sr Logistics Manager</t>
        </is>
      </c>
      <c r="D985" t="inlineStr">
        <is>
          <t>REC Americas</t>
        </is>
      </c>
      <c r="H985" t="n">
        <v>10</v>
      </c>
      <c r="I985" t="b">
        <v>1</v>
      </c>
      <c r="J985" t="b">
        <v>0</v>
      </c>
      <c r="K985" t="b">
        <v>0</v>
      </c>
      <c r="L985" t="b">
        <v>0</v>
      </c>
      <c r="M985" t="b">
        <v>0</v>
      </c>
      <c r="N985">
        <f>IFERROR(INDEX('Company Hitlist'!$AA:$AA,MATCH(D985,'Company Hitlist'!$A:$A,0)),)</f>
        <v/>
      </c>
      <c r="O985">
        <f>IFERROR(INDEX('Company Hitlist'!$N:$N,MATCH(D985,'Company Hitlist'!$A:$A,0)),)</f>
        <v/>
      </c>
      <c r="Q985" t="inlineStr">
        <is>
          <t>todo</t>
        </is>
      </c>
    </row>
    <row r="986">
      <c r="A986" t="inlineStr">
        <is>
          <t>Jennifer Kobus</t>
        </is>
      </c>
      <c r="B986" t="inlineStr">
        <is>
          <t>Attendee</t>
        </is>
      </c>
      <c r="C986" t="inlineStr">
        <is>
          <t>DVP, Supply Chain Global Logistics</t>
        </is>
      </c>
      <c r="D986" t="inlineStr">
        <is>
          <t>REI</t>
        </is>
      </c>
      <c r="H986" t="n">
        <v>10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>
        <f>IFERROR(INDEX('Company Hitlist'!$AA:$AA,MATCH(D986,'Company Hitlist'!$A:$A,0)),)</f>
        <v/>
      </c>
      <c r="O986">
        <f>IFERROR(INDEX('Company Hitlist'!$N:$N,MATCH(D986,'Company Hitlist'!$A:$A,0)),)</f>
        <v/>
      </c>
      <c r="Q986" t="inlineStr">
        <is>
          <t>todo</t>
        </is>
      </c>
    </row>
    <row r="987">
      <c r="A987" t="inlineStr">
        <is>
          <t>Kevin Valladares</t>
        </is>
      </c>
      <c r="B987" t="inlineStr">
        <is>
          <t>Attendee</t>
        </is>
      </c>
      <c r="C987" t="inlineStr">
        <is>
          <t>Director Solutions Engineering, Managed Transportation</t>
        </is>
      </c>
      <c r="D987" t="inlineStr">
        <is>
          <t>RXO</t>
        </is>
      </c>
      <c r="E987" t="inlineStr">
        <is>
          <t>United States</t>
        </is>
      </c>
      <c r="F987" t="inlineStr">
        <is>
          <t>Yes</t>
        </is>
      </c>
      <c r="H987" t="n">
        <v>10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>
        <f>IFERROR(INDEX('Company Hitlist'!$AA:$AA,MATCH(D987,'Company Hitlist'!$A:$A,0)),)</f>
        <v/>
      </c>
      <c r="O987">
        <f>IFERROR(INDEX('Company Hitlist'!$N:$N,MATCH(D987,'Company Hitlist'!$A:$A,0)),)</f>
        <v/>
      </c>
      <c r="Q987" t="inlineStr">
        <is>
          <t>todo</t>
        </is>
      </c>
    </row>
    <row r="988">
      <c r="A988" t="inlineStr">
        <is>
          <t>Daniel Vasseur</t>
        </is>
      </c>
      <c r="B988" t="inlineStr">
        <is>
          <t>Attendee</t>
        </is>
      </c>
      <c r="C988" t="inlineStr">
        <is>
          <t>Executive Director of Supply Chain Merchandising</t>
        </is>
      </c>
      <c r="D988" t="inlineStr">
        <is>
          <t>Racetrac</t>
        </is>
      </c>
      <c r="H988" t="n">
        <v>10</v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>
        <f>IFERROR(INDEX('Company Hitlist'!$AA:$AA,MATCH(D988,'Company Hitlist'!$A:$A,0)),)</f>
        <v/>
      </c>
      <c r="O988">
        <f>IFERROR(INDEX('Company Hitlist'!$N:$N,MATCH(D988,'Company Hitlist'!$A:$A,0)),)</f>
        <v/>
      </c>
      <c r="Q988" t="inlineStr">
        <is>
          <t>todo</t>
        </is>
      </c>
    </row>
    <row r="989">
      <c r="A989" t="inlineStr">
        <is>
          <t>Jim Mills</t>
        </is>
      </c>
      <c r="B989" t="inlineStr">
        <is>
          <t>Attendee</t>
        </is>
      </c>
      <c r="C989" t="inlineStr">
        <is>
          <t>Director, Transportation</t>
        </is>
      </c>
      <c r="D989" t="inlineStr">
        <is>
          <t>Raynor</t>
        </is>
      </c>
      <c r="H989" t="n">
        <v>10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>
        <f>IFERROR(INDEX('Company Hitlist'!$AA:$AA,MATCH(D989,'Company Hitlist'!$A:$A,0)),)</f>
        <v/>
      </c>
      <c r="O989">
        <f>IFERROR(INDEX('Company Hitlist'!$N:$N,MATCH(D989,'Company Hitlist'!$A:$A,0)),)</f>
        <v/>
      </c>
      <c r="Q989" t="inlineStr">
        <is>
          <t>todo</t>
        </is>
      </c>
    </row>
    <row r="990">
      <c r="A990" t="inlineStr">
        <is>
          <t>Kaitlyn Paradise</t>
        </is>
      </c>
      <c r="B990" t="inlineStr">
        <is>
          <t>Attendee</t>
        </is>
      </c>
      <c r="C990" t="inlineStr">
        <is>
          <t>Senior Supply Chain Operations Manager</t>
        </is>
      </c>
      <c r="D990" t="inlineStr">
        <is>
          <t>Rebound Returns</t>
        </is>
      </c>
      <c r="E990" t="inlineStr">
        <is>
          <t>United States</t>
        </is>
      </c>
      <c r="H990" t="n">
        <v>10</v>
      </c>
      <c r="I990" t="b">
        <v>1</v>
      </c>
      <c r="J990" t="b">
        <v>0</v>
      </c>
      <c r="K990" t="b">
        <v>0</v>
      </c>
      <c r="L990" t="b">
        <v>0</v>
      </c>
      <c r="M990" t="b">
        <v>0</v>
      </c>
      <c r="N990">
        <f>IFERROR(INDEX('Company Hitlist'!$AA:$AA,MATCH(D990,'Company Hitlist'!$A:$A,0)),)</f>
        <v/>
      </c>
      <c r="O990">
        <f>IFERROR(INDEX('Company Hitlist'!$N:$N,MATCH(D990,'Company Hitlist'!$A:$A,0)),)</f>
        <v/>
      </c>
      <c r="Q990" t="inlineStr">
        <is>
          <t>todo</t>
        </is>
      </c>
    </row>
    <row r="991">
      <c r="A991" t="inlineStr">
        <is>
          <t>Shea Nesseler</t>
        </is>
      </c>
      <c r="B991" t="inlineStr">
        <is>
          <t>Attendee</t>
        </is>
      </c>
      <c r="C991" t="inlineStr">
        <is>
          <t>Logistics Transformation Lead</t>
        </is>
      </c>
      <c r="D991" t="inlineStr">
        <is>
          <t>Reckitt</t>
        </is>
      </c>
      <c r="F991" t="inlineStr">
        <is>
          <t>Yes</t>
        </is>
      </c>
      <c r="H991" t="n">
        <v>10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>
        <f>IFERROR(INDEX('Company Hitlist'!$AA:$AA,MATCH(D991,'Company Hitlist'!$A:$A,0)),)</f>
        <v/>
      </c>
      <c r="O991">
        <f>IFERROR(INDEX('Company Hitlist'!$N:$N,MATCH(D991,'Company Hitlist'!$A:$A,0)),)</f>
        <v/>
      </c>
      <c r="Q991" t="inlineStr">
        <is>
          <t>todo</t>
        </is>
      </c>
    </row>
    <row r="992">
      <c r="A992" t="inlineStr">
        <is>
          <t>Courtney Rowan</t>
        </is>
      </c>
      <c r="B992" t="inlineStr">
        <is>
          <t>Attendee</t>
        </is>
      </c>
      <c r="C992" t="inlineStr">
        <is>
          <t>Senior Manager, Transportation</t>
        </is>
      </c>
      <c r="D992" t="inlineStr">
        <is>
          <t>Reckitt Benckiser</t>
        </is>
      </c>
      <c r="H992" t="n">
        <v>10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>
        <f>IFERROR(INDEX('Company Hitlist'!$AA:$AA,MATCH(D992,'Company Hitlist'!$A:$A,0)),)</f>
        <v/>
      </c>
      <c r="O992">
        <f>IFERROR(INDEX('Company Hitlist'!$N:$N,MATCH(D992,'Company Hitlist'!$A:$A,0)),)</f>
        <v/>
      </c>
      <c r="Q992" t="inlineStr">
        <is>
          <t>todo</t>
        </is>
      </c>
    </row>
    <row r="993">
      <c r="A993" t="inlineStr">
        <is>
          <t>Molly Reid</t>
        </is>
      </c>
      <c r="B993" t="inlineStr">
        <is>
          <t>Attendee</t>
        </is>
      </c>
      <c r="C993" t="inlineStr">
        <is>
          <t>Senior Manager, Transportation</t>
        </is>
      </c>
      <c r="D993" t="inlineStr">
        <is>
          <t>Reckitt Benckiser</t>
        </is>
      </c>
      <c r="H993" t="n">
        <v>10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  <c r="N993">
        <f>IFERROR(INDEX('Company Hitlist'!$AA:$AA,MATCH(D993,'Company Hitlist'!$A:$A,0)),)</f>
        <v/>
      </c>
      <c r="O993">
        <f>IFERROR(INDEX('Company Hitlist'!$N:$N,MATCH(D993,'Company Hitlist'!$A:$A,0)),)</f>
        <v/>
      </c>
      <c r="Q993" t="inlineStr">
        <is>
          <t>todo</t>
        </is>
      </c>
    </row>
    <row r="994">
      <c r="A994" t="inlineStr">
        <is>
          <t>Jake Wertner</t>
        </is>
      </c>
      <c r="B994" t="inlineStr">
        <is>
          <t>Attendee</t>
        </is>
      </c>
      <c r="C994" t="inlineStr">
        <is>
          <t>Dir of Logistics</t>
        </is>
      </c>
      <c r="D994" t="inlineStr">
        <is>
          <t>Redo</t>
        </is>
      </c>
      <c r="E994" t="inlineStr">
        <is>
          <t>United States</t>
        </is>
      </c>
      <c r="F994" t="inlineStr">
        <is>
          <t>Yes</t>
        </is>
      </c>
      <c r="H994" t="n">
        <v>10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>
        <f>IFERROR(INDEX('Company Hitlist'!$AA:$AA,MATCH(D994,'Company Hitlist'!$A:$A,0)),)</f>
        <v/>
      </c>
      <c r="O994">
        <f>IFERROR(INDEX('Company Hitlist'!$N:$N,MATCH(D994,'Company Hitlist'!$A:$A,0)),)</f>
        <v/>
      </c>
      <c r="Q994" t="inlineStr">
        <is>
          <t>todo</t>
        </is>
      </c>
    </row>
    <row r="995">
      <c r="A995" t="inlineStr">
        <is>
          <t>Maor Moalem</t>
        </is>
      </c>
      <c r="B995" t="inlineStr">
        <is>
          <t>Attendee</t>
        </is>
      </c>
      <c r="C995" t="inlineStr">
        <is>
          <t>Sr. Director of Operations</t>
        </is>
      </c>
      <c r="D995" t="inlineStr">
        <is>
          <t>Reformation</t>
        </is>
      </c>
      <c r="F995" t="inlineStr">
        <is>
          <t>Yes</t>
        </is>
      </c>
      <c r="H995" t="n">
        <v>10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>
        <f>IFERROR(INDEX('Company Hitlist'!$AA:$AA,MATCH(D995,'Company Hitlist'!$A:$A,0)),)</f>
        <v/>
      </c>
      <c r="O995">
        <f>IFERROR(INDEX('Company Hitlist'!$N:$N,MATCH(D995,'Company Hitlist'!$A:$A,0)),)</f>
        <v/>
      </c>
      <c r="Q995" t="inlineStr">
        <is>
          <t>todo</t>
        </is>
      </c>
    </row>
    <row r="996">
      <c r="A996" t="inlineStr">
        <is>
          <t>Felipe Santander</t>
        </is>
      </c>
      <c r="B996" t="inlineStr">
        <is>
          <t>Attendee</t>
        </is>
      </c>
      <c r="C996" t="inlineStr">
        <is>
          <t>Director, Logistics</t>
        </is>
      </c>
      <c r="D996" t="inlineStr">
        <is>
          <t>Reship Logistics Services Inc.</t>
        </is>
      </c>
      <c r="E996" t="inlineStr">
        <is>
          <t>Canada</t>
        </is>
      </c>
      <c r="F996" t="inlineStr">
        <is>
          <t>Yes</t>
        </is>
      </c>
      <c r="H996" t="n">
        <v>10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>
        <f>IFERROR(INDEX('Company Hitlist'!$AA:$AA,MATCH(D996,'Company Hitlist'!$A:$A,0)),)</f>
        <v/>
      </c>
      <c r="O996">
        <f>IFERROR(INDEX('Company Hitlist'!$N:$N,MATCH(D996,'Company Hitlist'!$A:$A,0)),)</f>
        <v/>
      </c>
      <c r="Q996" t="inlineStr">
        <is>
          <t>todo</t>
        </is>
      </c>
    </row>
    <row r="997">
      <c r="A997" t="inlineStr">
        <is>
          <t>Tony (King) Chow</t>
        </is>
      </c>
      <c r="B997" t="inlineStr">
        <is>
          <t>Attendee</t>
        </is>
      </c>
      <c r="C997" t="inlineStr">
        <is>
          <t>Sr Director of Operations</t>
        </is>
      </c>
      <c r="D997" t="inlineStr">
        <is>
          <t>Revolve</t>
        </is>
      </c>
      <c r="E997" t="inlineStr">
        <is>
          <t>United States</t>
        </is>
      </c>
      <c r="F997" t="inlineStr">
        <is>
          <t>Yes</t>
        </is>
      </c>
      <c r="G997" t="inlineStr">
        <is>
          <t>$1.19B (2025 est.)</t>
        </is>
      </c>
      <c r="H997" t="n">
        <v>10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>
        <f>IFERROR(INDEX('Company Hitlist'!$AA:$AA,MATCH(D997,'Company Hitlist'!$A:$A,0)),)</f>
        <v/>
      </c>
      <c r="O997">
        <f>IFERROR(INDEX('Company Hitlist'!$N:$N,MATCH(D997,'Company Hitlist'!$A:$A,0)),)</f>
        <v/>
      </c>
      <c r="Q997" t="inlineStr">
        <is>
          <t>todo</t>
        </is>
      </c>
    </row>
    <row r="998">
      <c r="A998" t="inlineStr">
        <is>
          <t>Brian Wnuk</t>
        </is>
      </c>
      <c r="B998" t="inlineStr">
        <is>
          <t>Attendee</t>
        </is>
      </c>
      <c r="C998" t="inlineStr">
        <is>
          <t>Director, Transportation</t>
        </is>
      </c>
      <c r="D998" t="inlineStr">
        <is>
          <t>Rise Baking</t>
        </is>
      </c>
      <c r="H998" t="n">
        <v>10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>
        <f>IFERROR(INDEX('Company Hitlist'!$AA:$AA,MATCH(D998,'Company Hitlist'!$A:$A,0)),)</f>
        <v/>
      </c>
      <c r="O998">
        <f>IFERROR(INDEX('Company Hitlist'!$N:$N,MATCH(D998,'Company Hitlist'!$A:$A,0)),)</f>
        <v/>
      </c>
      <c r="Q998" t="inlineStr">
        <is>
          <t>todo</t>
        </is>
      </c>
    </row>
    <row r="999">
      <c r="A999" t="inlineStr">
        <is>
          <t>Jeffrey Coto</t>
        </is>
      </c>
      <c r="B999" t="inlineStr">
        <is>
          <t>Attendee</t>
        </is>
      </c>
      <c r="C999" t="inlineStr">
        <is>
          <t>Sr. Director of Global Logistics</t>
        </is>
      </c>
      <c r="D999" t="inlineStr">
        <is>
          <t>Roc Skincare</t>
        </is>
      </c>
      <c r="E999" t="inlineStr">
        <is>
          <t>United States</t>
        </is>
      </c>
      <c r="F999" t="inlineStr">
        <is>
          <t>Yes</t>
        </is>
      </c>
      <c r="H999" t="n">
        <v>10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>
        <f>IFERROR(INDEX('Company Hitlist'!$AA:$AA,MATCH(D999,'Company Hitlist'!$A:$A,0)),)</f>
        <v/>
      </c>
      <c r="O999">
        <f>IFERROR(INDEX('Company Hitlist'!$N:$N,MATCH(D999,'Company Hitlist'!$A:$A,0)),)</f>
        <v/>
      </c>
      <c r="Q999" t="inlineStr">
        <is>
          <t>todo</t>
        </is>
      </c>
    </row>
    <row r="1000">
      <c r="A1000" t="inlineStr">
        <is>
          <t>Michele Elliott</t>
        </is>
      </c>
      <c r="B1000" t="inlineStr">
        <is>
          <t>Attendee</t>
        </is>
      </c>
      <c r="C1000" t="inlineStr">
        <is>
          <t>Global Fulfillment Manager</t>
        </is>
      </c>
      <c r="D1000" t="inlineStr">
        <is>
          <t>Rockwell Automation</t>
        </is>
      </c>
      <c r="H1000" t="n">
        <v>10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>
        <f>IFERROR(INDEX('Company Hitlist'!$AA:$AA,MATCH(D1000,'Company Hitlist'!$A:$A,0)),)</f>
        <v/>
      </c>
      <c r="O1000">
        <f>IFERROR(INDEX('Company Hitlist'!$N:$N,MATCH(D1000,'Company Hitlist'!$A:$A,0)),)</f>
        <v/>
      </c>
      <c r="Q1000" t="inlineStr">
        <is>
          <t>todo</t>
        </is>
      </c>
    </row>
    <row r="1001">
      <c r="A1001" t="inlineStr">
        <is>
          <t>Joe Farry</t>
        </is>
      </c>
      <c r="B1001" t="inlineStr">
        <is>
          <t>Attendee</t>
        </is>
      </c>
      <c r="C1001" t="inlineStr">
        <is>
          <t>Director of Logistics</t>
        </is>
      </c>
      <c r="D1001" t="inlineStr">
        <is>
          <t>Rue Gilt Group</t>
        </is>
      </c>
      <c r="F1001" t="inlineStr">
        <is>
          <t>Yes</t>
        </is>
      </c>
      <c r="H1001" t="n">
        <v>10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>
        <f>IFERROR(INDEX('Company Hitlist'!$AA:$AA,MATCH(D1001,'Company Hitlist'!$A:$A,0)),)</f>
        <v/>
      </c>
      <c r="O1001">
        <f>IFERROR(INDEX('Company Hitlist'!$N:$N,MATCH(D1001,'Company Hitlist'!$A:$A,0)),)</f>
        <v/>
      </c>
      <c r="Q1001" t="inlineStr">
        <is>
          <t>todo</t>
        </is>
      </c>
    </row>
    <row r="1002">
      <c r="A1002" t="inlineStr">
        <is>
          <t>Timothy Magyar</t>
        </is>
      </c>
      <c r="B1002" t="inlineStr">
        <is>
          <t>Attendee</t>
        </is>
      </c>
      <c r="C1002" t="inlineStr">
        <is>
          <t>Group Director Parcel Strategy &amp; Operations</t>
        </is>
      </c>
      <c r="D1002" t="inlineStr">
        <is>
          <t>Ryder</t>
        </is>
      </c>
      <c r="E1002" t="inlineStr">
        <is>
          <t>United States</t>
        </is>
      </c>
      <c r="F1002" t="inlineStr">
        <is>
          <t>Yes</t>
        </is>
      </c>
      <c r="H1002" t="n">
        <v>10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>
        <f>IFERROR(INDEX('Company Hitlist'!$AA:$AA,MATCH(D1002,'Company Hitlist'!$A:$A,0)),)</f>
        <v/>
      </c>
      <c r="O1002">
        <f>IFERROR(INDEX('Company Hitlist'!$N:$N,MATCH(D1002,'Company Hitlist'!$A:$A,0)),)</f>
        <v/>
      </c>
      <c r="Q1002" t="inlineStr">
        <is>
          <t>todo</t>
        </is>
      </c>
    </row>
    <row r="1003">
      <c r="A1003" t="inlineStr">
        <is>
          <t>Gabe Lopes</t>
        </is>
      </c>
      <c r="B1003" t="inlineStr">
        <is>
          <t>Attendee</t>
        </is>
      </c>
      <c r="C1003" t="inlineStr">
        <is>
          <t>Executive Director - Supply Chain</t>
        </is>
      </c>
      <c r="D1003" t="inlineStr">
        <is>
          <t>S&amp;P Global</t>
        </is>
      </c>
      <c r="E1003" t="inlineStr">
        <is>
          <t>United States</t>
        </is>
      </c>
      <c r="H1003" t="n">
        <v>10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>
        <f>IFERROR(INDEX('Company Hitlist'!$AA:$AA,MATCH(D1003,'Company Hitlist'!$A:$A,0)),)</f>
        <v/>
      </c>
      <c r="O1003">
        <f>IFERROR(INDEX('Company Hitlist'!$N:$N,MATCH(D1003,'Company Hitlist'!$A:$A,0)),)</f>
        <v/>
      </c>
      <c r="Q1003" t="inlineStr">
        <is>
          <t>todo</t>
        </is>
      </c>
    </row>
    <row r="1004">
      <c r="A1004" t="inlineStr">
        <is>
          <t>Mark Schreiner</t>
        </is>
      </c>
      <c r="B1004" t="inlineStr">
        <is>
          <t>Attendee</t>
        </is>
      </c>
      <c r="C1004" t="inlineStr">
        <is>
          <t>Director - Supply Chain</t>
        </is>
      </c>
      <c r="D1004" t="inlineStr">
        <is>
          <t>S&amp;P Global</t>
        </is>
      </c>
      <c r="E1004" t="inlineStr">
        <is>
          <t>United States</t>
        </is>
      </c>
      <c r="H1004" t="n">
        <v>10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>
        <f>IFERROR(INDEX('Company Hitlist'!$AA:$AA,MATCH(D1004,'Company Hitlist'!$A:$A,0)),)</f>
        <v/>
      </c>
      <c r="O1004">
        <f>IFERROR(INDEX('Company Hitlist'!$N:$N,MATCH(D1004,'Company Hitlist'!$A:$A,0)),)</f>
        <v/>
      </c>
      <c r="Q1004" t="inlineStr">
        <is>
          <t>todo</t>
        </is>
      </c>
    </row>
    <row r="1005">
      <c r="A1005" t="inlineStr">
        <is>
          <t>Kimberly Smith</t>
        </is>
      </c>
      <c r="B1005" t="inlineStr">
        <is>
          <t>Attendee</t>
        </is>
      </c>
      <c r="C1005" t="inlineStr">
        <is>
          <t>Sr Director, Global Customs and Transportation</t>
        </is>
      </c>
      <c r="D1005" t="inlineStr">
        <is>
          <t>S&amp;S Activewear</t>
        </is>
      </c>
      <c r="F1005" t="inlineStr">
        <is>
          <t>Yes</t>
        </is>
      </c>
      <c r="H1005" t="n">
        <v>10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>
        <f>IFERROR(INDEX('Company Hitlist'!$AA:$AA,MATCH(D1005,'Company Hitlist'!$A:$A,0)),)</f>
        <v/>
      </c>
      <c r="O1005">
        <f>IFERROR(INDEX('Company Hitlist'!$N:$N,MATCH(D1005,'Company Hitlist'!$A:$A,0)),)</f>
        <v/>
      </c>
      <c r="Q1005" t="inlineStr">
        <is>
          <t>todo</t>
        </is>
      </c>
    </row>
    <row r="1006">
      <c r="A1006" t="inlineStr">
        <is>
          <t>Michael Lucas</t>
        </is>
      </c>
      <c r="B1006" t="inlineStr">
        <is>
          <t>Attendee</t>
        </is>
      </c>
      <c r="C1006" t="inlineStr">
        <is>
          <t>Director - Logistics, North America</t>
        </is>
      </c>
      <c r="D1006" t="inlineStr">
        <is>
          <t>SC Johnson</t>
        </is>
      </c>
      <c r="E1006" t="inlineStr">
        <is>
          <t>United States</t>
        </is>
      </c>
      <c r="H1006" t="n">
        <v>10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>
        <f>IFERROR(INDEX('Company Hitlist'!$AA:$AA,MATCH(D1006,'Company Hitlist'!$A:$A,0)),)</f>
        <v/>
      </c>
      <c r="O1006">
        <f>IFERROR(INDEX('Company Hitlist'!$N:$N,MATCH(D1006,'Company Hitlist'!$A:$A,0)),)</f>
        <v/>
      </c>
      <c r="Q1006" t="inlineStr">
        <is>
          <t>todo</t>
        </is>
      </c>
    </row>
    <row r="1007">
      <c r="A1007" t="inlineStr">
        <is>
          <t>Dylan Kopischke</t>
        </is>
      </c>
      <c r="B1007" t="inlineStr">
        <is>
          <t>Attendee</t>
        </is>
      </c>
      <c r="C1007" t="inlineStr">
        <is>
          <t>Logistics Leader</t>
        </is>
      </c>
      <c r="D1007" t="inlineStr">
        <is>
          <t>SCHEELS</t>
        </is>
      </c>
      <c r="F1007" t="inlineStr">
        <is>
          <t>Yes</t>
        </is>
      </c>
      <c r="H1007" t="n">
        <v>10</v>
      </c>
      <c r="I1007" t="b">
        <v>1</v>
      </c>
      <c r="J1007" t="b">
        <v>0</v>
      </c>
      <c r="K1007" t="b">
        <v>0</v>
      </c>
      <c r="L1007" t="b">
        <v>0</v>
      </c>
      <c r="M1007" t="b">
        <v>0</v>
      </c>
      <c r="N1007">
        <f>IFERROR(INDEX('Company Hitlist'!$AA:$AA,MATCH(D1007,'Company Hitlist'!$A:$A,0)),)</f>
        <v/>
      </c>
      <c r="O1007">
        <f>IFERROR(INDEX('Company Hitlist'!$N:$N,MATCH(D1007,'Company Hitlist'!$A:$A,0)),)</f>
        <v/>
      </c>
      <c r="Q1007" t="inlineStr">
        <is>
          <t>todo</t>
        </is>
      </c>
    </row>
    <row r="1008">
      <c r="A1008" t="inlineStr">
        <is>
          <t>KARINA LEAL</t>
        </is>
      </c>
      <c r="B1008" t="inlineStr">
        <is>
          <t>Attendee</t>
        </is>
      </c>
      <c r="C1008" t="inlineStr">
        <is>
          <t>SUPPLY CHAIN TRANSFORMATION MANAGER</t>
        </is>
      </c>
      <c r="D1008" t="inlineStr">
        <is>
          <t>SIGMA ALIMENTOS</t>
        </is>
      </c>
      <c r="H1008" t="n">
        <v>10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>
        <f>IFERROR(INDEX('Company Hitlist'!$AA:$AA,MATCH(D1008,'Company Hitlist'!$A:$A,0)),)</f>
        <v/>
      </c>
      <c r="O1008">
        <f>IFERROR(INDEX('Company Hitlist'!$N:$N,MATCH(D1008,'Company Hitlist'!$A:$A,0)),)</f>
        <v/>
      </c>
      <c r="Q1008" t="inlineStr">
        <is>
          <t>todo</t>
        </is>
      </c>
    </row>
    <row r="1009">
      <c r="A1009" t="inlineStr">
        <is>
          <t>Phillip Smith</t>
        </is>
      </c>
      <c r="B1009" t="inlineStr">
        <is>
          <t>Attendee</t>
        </is>
      </c>
      <c r="C1009" t="inlineStr">
        <is>
          <t>Executive Director, Supply Chain</t>
        </is>
      </c>
      <c r="D1009" t="inlineStr">
        <is>
          <t>Saint Francis Health System</t>
        </is>
      </c>
      <c r="H1009" t="n">
        <v>10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>
        <f>IFERROR(INDEX('Company Hitlist'!$AA:$AA,MATCH(D1009,'Company Hitlist'!$A:$A,0)),)</f>
        <v/>
      </c>
      <c r="O1009">
        <f>IFERROR(INDEX('Company Hitlist'!$N:$N,MATCH(D1009,'Company Hitlist'!$A:$A,0)),)</f>
        <v/>
      </c>
      <c r="Q1009" t="inlineStr">
        <is>
          <t>todo</t>
        </is>
      </c>
    </row>
    <row r="1010">
      <c r="A1010" t="inlineStr">
        <is>
          <t>Kaarin Remmich</t>
        </is>
      </c>
      <c r="B1010" t="inlineStr">
        <is>
          <t>Attendee</t>
        </is>
      </c>
      <c r="C1010" t="inlineStr">
        <is>
          <t>Logistics Leader</t>
        </is>
      </c>
      <c r="D1010" t="inlineStr">
        <is>
          <t>Scheels</t>
        </is>
      </c>
      <c r="F1010" t="inlineStr">
        <is>
          <t>Yes</t>
        </is>
      </c>
      <c r="H1010" t="n">
        <v>10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>
        <f>IFERROR(INDEX('Company Hitlist'!$AA:$AA,MATCH(D1010,'Company Hitlist'!$A:$A,0)),)</f>
        <v/>
      </c>
      <c r="O1010">
        <f>IFERROR(INDEX('Company Hitlist'!$N:$N,MATCH(D1010,'Company Hitlist'!$A:$A,0)),)</f>
        <v/>
      </c>
      <c r="Q1010" t="inlineStr">
        <is>
          <t>todo</t>
        </is>
      </c>
    </row>
    <row r="1011">
      <c r="A1011" t="inlineStr">
        <is>
          <t>Tony Duerr</t>
        </is>
      </c>
      <c r="B1011" t="inlineStr">
        <is>
          <t>Attendee</t>
        </is>
      </c>
      <c r="C1011" t="inlineStr">
        <is>
          <t>Supply Chain Leader</t>
        </is>
      </c>
      <c r="D1011" t="inlineStr">
        <is>
          <t>Scheels</t>
        </is>
      </c>
      <c r="H1011" t="n">
        <v>10</v>
      </c>
      <c r="I1011" t="b">
        <v>1</v>
      </c>
      <c r="J1011" t="b">
        <v>0</v>
      </c>
      <c r="K1011" t="b">
        <v>0</v>
      </c>
      <c r="L1011" t="b">
        <v>0</v>
      </c>
      <c r="M1011" t="b">
        <v>0</v>
      </c>
      <c r="N1011">
        <f>IFERROR(INDEX('Company Hitlist'!$AA:$AA,MATCH(D1011,'Company Hitlist'!$A:$A,0)),)</f>
        <v/>
      </c>
      <c r="O1011">
        <f>IFERROR(INDEX('Company Hitlist'!$N:$N,MATCH(D1011,'Company Hitlist'!$A:$A,0)),)</f>
        <v/>
      </c>
      <c r="Q1011" t="inlineStr">
        <is>
          <t>todo</t>
        </is>
      </c>
    </row>
    <row r="1012">
      <c r="A1012" t="inlineStr">
        <is>
          <t>Peter Andrews</t>
        </is>
      </c>
      <c r="B1012" t="inlineStr">
        <is>
          <t>Attendee</t>
        </is>
      </c>
      <c r="C1012" t="inlineStr">
        <is>
          <t>Director of Transportation</t>
        </is>
      </c>
      <c r="D1012" t="inlineStr">
        <is>
          <t>Schreiber</t>
        </is>
      </c>
      <c r="H1012" t="n">
        <v>10</v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>
        <f>IFERROR(INDEX('Company Hitlist'!$AA:$AA,MATCH(D1012,'Company Hitlist'!$A:$A,0)),)</f>
        <v/>
      </c>
      <c r="O1012">
        <f>IFERROR(INDEX('Company Hitlist'!$N:$N,MATCH(D1012,'Company Hitlist'!$A:$A,0)),)</f>
        <v/>
      </c>
      <c r="Q1012" t="inlineStr">
        <is>
          <t>todo</t>
        </is>
      </c>
    </row>
    <row r="1013">
      <c r="A1013" t="inlineStr">
        <is>
          <t>Tony Botos</t>
        </is>
      </c>
      <c r="B1013" t="inlineStr">
        <is>
          <t>Attendee</t>
        </is>
      </c>
      <c r="C1013" t="inlineStr">
        <is>
          <t>Director, Global Logistics</t>
        </is>
      </c>
      <c r="D1013" t="inlineStr">
        <is>
          <t>Scotts</t>
        </is>
      </c>
      <c r="E1013" t="inlineStr">
        <is>
          <t>United States</t>
        </is>
      </c>
      <c r="H1013" t="n">
        <v>10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>
        <f>IFERROR(INDEX('Company Hitlist'!$AA:$AA,MATCH(D1013,'Company Hitlist'!$A:$A,0)),)</f>
        <v/>
      </c>
      <c r="O1013">
        <f>IFERROR(INDEX('Company Hitlist'!$N:$N,MATCH(D1013,'Company Hitlist'!$A:$A,0)),)</f>
        <v/>
      </c>
      <c r="Q1013" t="inlineStr">
        <is>
          <t>todo</t>
        </is>
      </c>
    </row>
    <row r="1014">
      <c r="A1014" t="inlineStr">
        <is>
          <t>DeJuan Hall</t>
        </is>
      </c>
      <c r="B1014" t="inlineStr">
        <is>
          <t>Attendee</t>
        </is>
      </c>
      <c r="C1014" t="inlineStr">
        <is>
          <t>Senior Analyst, Supply Chain</t>
        </is>
      </c>
      <c r="D1014" t="inlineStr">
        <is>
          <t>Seed Health</t>
        </is>
      </c>
      <c r="H1014" t="n">
        <v>10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>
        <f>IFERROR(INDEX('Company Hitlist'!$AA:$AA,MATCH(D1014,'Company Hitlist'!$A:$A,0)),)</f>
        <v/>
      </c>
      <c r="O1014">
        <f>IFERROR(INDEX('Company Hitlist'!$N:$N,MATCH(D1014,'Company Hitlist'!$A:$A,0)),)</f>
        <v/>
      </c>
      <c r="Q1014" t="inlineStr">
        <is>
          <t>todo</t>
        </is>
      </c>
    </row>
    <row r="1015">
      <c r="A1015" t="inlineStr">
        <is>
          <t>Katharine Deutsch</t>
        </is>
      </c>
      <c r="B1015" t="inlineStr">
        <is>
          <t>Attendee</t>
        </is>
      </c>
      <c r="C1015" t="inlineStr">
        <is>
          <t>Specialist, Operations + Supply Chain</t>
        </is>
      </c>
      <c r="D1015" t="inlineStr">
        <is>
          <t>Seed Health</t>
        </is>
      </c>
      <c r="H1015" t="n">
        <v>10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>
        <f>IFERROR(INDEX('Company Hitlist'!$AA:$AA,MATCH(D1015,'Company Hitlist'!$A:$A,0)),)</f>
        <v/>
      </c>
      <c r="O1015">
        <f>IFERROR(INDEX('Company Hitlist'!$N:$N,MATCH(D1015,'Company Hitlist'!$A:$A,0)),)</f>
        <v/>
      </c>
      <c r="Q1015" t="inlineStr">
        <is>
          <t>todo</t>
        </is>
      </c>
    </row>
    <row r="1016">
      <c r="A1016" t="inlineStr">
        <is>
          <t>Mia Pitsironis</t>
        </is>
      </c>
      <c r="B1016" t="inlineStr">
        <is>
          <t>Attendee</t>
        </is>
      </c>
      <c r="C1016" t="inlineStr">
        <is>
          <t>Senior Manager, Supply Chain</t>
        </is>
      </c>
      <c r="D1016" t="inlineStr">
        <is>
          <t>Seed Health</t>
        </is>
      </c>
      <c r="H1016" t="n">
        <v>10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>
        <f>IFERROR(INDEX('Company Hitlist'!$AA:$AA,MATCH(D1016,'Company Hitlist'!$A:$A,0)),)</f>
        <v/>
      </c>
      <c r="O1016">
        <f>IFERROR(INDEX('Company Hitlist'!$N:$N,MATCH(D1016,'Company Hitlist'!$A:$A,0)),)</f>
        <v/>
      </c>
      <c r="Q1016" t="inlineStr">
        <is>
          <t>todo</t>
        </is>
      </c>
    </row>
    <row r="1017">
      <c r="A1017" t="inlineStr">
        <is>
          <t>Majeed Peffley</t>
        </is>
      </c>
      <c r="B1017" t="inlineStr">
        <is>
          <t>Attendee</t>
        </is>
      </c>
      <c r="C1017" t="inlineStr">
        <is>
          <t>Senior Fulfillment Analyst and Consultant</t>
        </is>
      </c>
      <c r="D1017" t="inlineStr">
        <is>
          <t>Shipware</t>
        </is>
      </c>
      <c r="E1017" t="inlineStr">
        <is>
          <t>United States</t>
        </is>
      </c>
      <c r="H1017" t="n">
        <v>10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>
        <f>IFERROR(INDEX('Company Hitlist'!$AA:$AA,MATCH(D1017,'Company Hitlist'!$A:$A,0)),)</f>
        <v/>
      </c>
      <c r="O1017">
        <f>IFERROR(INDEX('Company Hitlist'!$N:$N,MATCH(D1017,'Company Hitlist'!$A:$A,0)),)</f>
        <v/>
      </c>
      <c r="Q1017" t="inlineStr">
        <is>
          <t>todo</t>
        </is>
      </c>
    </row>
    <row r="1018">
      <c r="A1018" t="inlineStr">
        <is>
          <t>Adam Napoli</t>
        </is>
      </c>
      <c r="B1018" t="inlineStr">
        <is>
          <t>Attendee</t>
        </is>
      </c>
      <c r="C1018" t="inlineStr">
        <is>
          <t>Director, Fulfillment Optimization</t>
        </is>
      </c>
      <c r="D1018" t="inlineStr">
        <is>
          <t>Shipware LLC</t>
        </is>
      </c>
      <c r="E1018" t="inlineStr">
        <is>
          <t>United States</t>
        </is>
      </c>
      <c r="H1018" t="n">
        <v>10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>
        <f>IFERROR(INDEX('Company Hitlist'!$AA:$AA,MATCH(D1018,'Company Hitlist'!$A:$A,0)),)</f>
        <v/>
      </c>
      <c r="O1018">
        <f>IFERROR(INDEX('Company Hitlist'!$N:$N,MATCH(D1018,'Company Hitlist'!$A:$A,0)),)</f>
        <v/>
      </c>
      <c r="Q1018" t="inlineStr">
        <is>
          <t>todo</t>
        </is>
      </c>
    </row>
    <row r="1019">
      <c r="A1019" t="inlineStr">
        <is>
          <t>Sergio Pozos</t>
        </is>
      </c>
      <c r="B1019" t="inlineStr">
        <is>
          <t>Attendee</t>
        </is>
      </c>
      <c r="C1019" t="inlineStr">
        <is>
          <t>Warehouse Supervisor</t>
        </is>
      </c>
      <c r="D1019" t="inlineStr">
        <is>
          <t>Shofu Dental Corporation</t>
        </is>
      </c>
      <c r="H1019" t="n">
        <v>10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>
        <f>IFERROR(INDEX('Company Hitlist'!$AA:$AA,MATCH(D1019,'Company Hitlist'!$A:$A,0)),)</f>
        <v/>
      </c>
      <c r="O1019">
        <f>IFERROR(INDEX('Company Hitlist'!$N:$N,MATCH(D1019,'Company Hitlist'!$A:$A,0)),)</f>
        <v/>
      </c>
      <c r="Q1019" t="inlineStr">
        <is>
          <t>todo</t>
        </is>
      </c>
    </row>
    <row r="1020">
      <c r="A1020" t="inlineStr">
        <is>
          <t>Craig Hollet</t>
        </is>
      </c>
      <c r="B1020" t="inlineStr">
        <is>
          <t>Attendee</t>
        </is>
      </c>
      <c r="C1020" t="inlineStr">
        <is>
          <t>Senior Director of Operations</t>
        </is>
      </c>
      <c r="D1020" t="inlineStr">
        <is>
          <t>Siffron</t>
        </is>
      </c>
      <c r="F1020" t="inlineStr">
        <is>
          <t>Yes</t>
        </is>
      </c>
      <c r="H1020" t="n">
        <v>10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>
        <f>IFERROR(INDEX('Company Hitlist'!$AA:$AA,MATCH(D1020,'Company Hitlist'!$A:$A,0)),)</f>
        <v/>
      </c>
      <c r="O1020">
        <f>IFERROR(INDEX('Company Hitlist'!$N:$N,MATCH(D1020,'Company Hitlist'!$A:$A,0)),)</f>
        <v/>
      </c>
      <c r="Q1020" t="inlineStr">
        <is>
          <t>todo</t>
        </is>
      </c>
    </row>
    <row r="1021">
      <c r="A1021" t="inlineStr">
        <is>
          <t>Nick Geary</t>
        </is>
      </c>
      <c r="B1021" t="inlineStr">
        <is>
          <t>Attendee</t>
        </is>
      </c>
      <c r="C1021" t="inlineStr">
        <is>
          <t>Director, Supply Chain</t>
        </is>
      </c>
      <c r="D1021" t="inlineStr">
        <is>
          <t>SimWell</t>
        </is>
      </c>
      <c r="E1021" t="inlineStr">
        <is>
          <t>United States</t>
        </is>
      </c>
      <c r="H1021" t="n">
        <v>10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>
        <f>IFERROR(INDEX('Company Hitlist'!$AA:$AA,MATCH(D1021,'Company Hitlist'!$A:$A,0)),)</f>
        <v/>
      </c>
      <c r="O1021">
        <f>IFERROR(INDEX('Company Hitlist'!$N:$N,MATCH(D1021,'Company Hitlist'!$A:$A,0)),)</f>
        <v/>
      </c>
      <c r="Q1021" t="inlineStr">
        <is>
          <t>todo</t>
        </is>
      </c>
    </row>
    <row r="1022">
      <c r="A1022" t="inlineStr">
        <is>
          <t>Jenni Guerin</t>
        </is>
      </c>
      <c r="B1022" t="inlineStr">
        <is>
          <t>Attendee</t>
        </is>
      </c>
      <c r="C1022" t="inlineStr">
        <is>
          <t>Manager- Last Mile Logistics</t>
        </is>
      </c>
      <c r="D1022" t="inlineStr">
        <is>
          <t>Slice</t>
        </is>
      </c>
      <c r="H1022" t="n">
        <v>10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>
        <f>IFERROR(INDEX('Company Hitlist'!$AA:$AA,MATCH(D1022,'Company Hitlist'!$A:$A,0)),)</f>
        <v/>
      </c>
      <c r="O1022">
        <f>IFERROR(INDEX('Company Hitlist'!$N:$N,MATCH(D1022,'Company Hitlist'!$A:$A,0)),)</f>
        <v/>
      </c>
      <c r="Q1022" t="inlineStr">
        <is>
          <t>todo</t>
        </is>
      </c>
    </row>
    <row r="1023">
      <c r="A1023" t="inlineStr">
        <is>
          <t>Michael Guzman</t>
        </is>
      </c>
      <c r="B1023" t="inlineStr">
        <is>
          <t>Attendee</t>
        </is>
      </c>
      <c r="C1023" t="inlineStr">
        <is>
          <t>Manager- OPS</t>
        </is>
      </c>
      <c r="D1023" t="inlineStr">
        <is>
          <t>Slice</t>
        </is>
      </c>
      <c r="H1023" t="n">
        <v>10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>
        <f>IFERROR(INDEX('Company Hitlist'!$AA:$AA,MATCH(D1023,'Company Hitlist'!$A:$A,0)),)</f>
        <v/>
      </c>
      <c r="O1023">
        <f>IFERROR(INDEX('Company Hitlist'!$N:$N,MATCH(D1023,'Company Hitlist'!$A:$A,0)),)</f>
        <v/>
      </c>
      <c r="Q1023" t="inlineStr">
        <is>
          <t>todo</t>
        </is>
      </c>
    </row>
    <row r="1024">
      <c r="A1024" t="inlineStr">
        <is>
          <t>Mike Ramirez</t>
        </is>
      </c>
      <c r="B1024" t="inlineStr">
        <is>
          <t>Attendee</t>
        </is>
      </c>
      <c r="C1024" t="inlineStr">
        <is>
          <t>Project Logistics &amp; Supply Chain Management</t>
        </is>
      </c>
      <c r="D1024" t="inlineStr">
        <is>
          <t>Sobel-Westex</t>
        </is>
      </c>
      <c r="E1024" t="inlineStr">
        <is>
          <t>United States</t>
        </is>
      </c>
      <c r="H1024" t="n">
        <v>10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  <c r="N1024">
        <f>IFERROR(INDEX('Company Hitlist'!$AA:$AA,MATCH(D1024,'Company Hitlist'!$A:$A,0)),)</f>
        <v/>
      </c>
      <c r="O1024">
        <f>IFERROR(INDEX('Company Hitlist'!$N:$N,MATCH(D1024,'Company Hitlist'!$A:$A,0)),)</f>
        <v/>
      </c>
      <c r="Q1024" t="inlineStr">
        <is>
          <t>todo</t>
        </is>
      </c>
    </row>
    <row r="1025">
      <c r="A1025" t="inlineStr">
        <is>
          <t>Larry Middleton</t>
        </is>
      </c>
      <c r="B1025" t="inlineStr">
        <is>
          <t>Attendee</t>
        </is>
      </c>
      <c r="C1025" t="inlineStr">
        <is>
          <t>Director of Logistics</t>
        </is>
      </c>
      <c r="D1025" t="inlineStr">
        <is>
          <t>Sonoco</t>
        </is>
      </c>
      <c r="E1025" t="inlineStr">
        <is>
          <t>United States</t>
        </is>
      </c>
      <c r="H1025" t="n">
        <v>10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>
        <f>IFERROR(INDEX('Company Hitlist'!$AA:$AA,MATCH(D1025,'Company Hitlist'!$A:$A,0)),)</f>
        <v/>
      </c>
      <c r="O1025">
        <f>IFERROR(INDEX('Company Hitlist'!$N:$N,MATCH(D1025,'Company Hitlist'!$A:$A,0)),)</f>
        <v/>
      </c>
      <c r="Q1025" t="inlineStr">
        <is>
          <t>todo</t>
        </is>
      </c>
    </row>
    <row r="1026">
      <c r="A1026" t="inlineStr">
        <is>
          <t>Glenn Taylor</t>
        </is>
      </c>
      <c r="B1026" t="inlineStr">
        <is>
          <t>Attendee</t>
        </is>
      </c>
      <c r="C1026" t="inlineStr">
        <is>
          <t>Logistics Editor</t>
        </is>
      </c>
      <c r="D1026" t="inlineStr">
        <is>
          <t>Sourcing Journal</t>
        </is>
      </c>
      <c r="E1026" t="inlineStr">
        <is>
          <t>United States</t>
        </is>
      </c>
      <c r="H1026" t="n">
        <v>10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>
        <f>IFERROR(INDEX('Company Hitlist'!$AA:$AA,MATCH(D1026,'Company Hitlist'!$A:$A,0)),)</f>
        <v/>
      </c>
      <c r="O1026">
        <f>IFERROR(INDEX('Company Hitlist'!$N:$N,MATCH(D1026,'Company Hitlist'!$A:$A,0)),)</f>
        <v/>
      </c>
      <c r="Q1026" t="inlineStr">
        <is>
          <t>todo</t>
        </is>
      </c>
    </row>
    <row r="1027">
      <c r="A1027" t="inlineStr">
        <is>
          <t>Douglas Hunter</t>
        </is>
      </c>
      <c r="B1027" t="inlineStr">
        <is>
          <t>Attendee</t>
        </is>
      </c>
      <c r="C1027" t="inlineStr">
        <is>
          <t>Warehouse Ops Manager</t>
        </is>
      </c>
      <c r="D1027" t="inlineStr">
        <is>
          <t>Spyderco Inc.</t>
        </is>
      </c>
      <c r="H1027" t="n">
        <v>10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>
        <f>IFERROR(INDEX('Company Hitlist'!$AA:$AA,MATCH(D1027,'Company Hitlist'!$A:$A,0)),)</f>
        <v/>
      </c>
      <c r="O1027">
        <f>IFERROR(INDEX('Company Hitlist'!$N:$N,MATCH(D1027,'Company Hitlist'!$A:$A,0)),)</f>
        <v/>
      </c>
      <c r="Q1027" t="inlineStr">
        <is>
          <t>todo</t>
        </is>
      </c>
    </row>
    <row r="1028">
      <c r="A1028" t="inlineStr">
        <is>
          <t>Joe Carlson</t>
        </is>
      </c>
      <c r="B1028" t="inlineStr">
        <is>
          <t>Attendee</t>
        </is>
      </c>
      <c r="C1028" t="inlineStr">
        <is>
          <t>Director Business Ops Solutions</t>
        </is>
      </c>
      <c r="D1028" t="inlineStr">
        <is>
          <t>Standard Holding Corp. / SECO</t>
        </is>
      </c>
      <c r="E1028" t="inlineStr">
        <is>
          <t>United States</t>
        </is>
      </c>
      <c r="H1028" t="n">
        <v>10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>
        <f>IFERROR(INDEX('Company Hitlist'!$AA:$AA,MATCH(D1028,'Company Hitlist'!$A:$A,0)),)</f>
        <v/>
      </c>
      <c r="O1028">
        <f>IFERROR(INDEX('Company Hitlist'!$N:$N,MATCH(D1028,'Company Hitlist'!$A:$A,0)),)</f>
        <v/>
      </c>
      <c r="Q1028" t="inlineStr">
        <is>
          <t>todo</t>
        </is>
      </c>
    </row>
    <row r="1029">
      <c r="A1029" t="inlineStr">
        <is>
          <t>Jon Stewart</t>
        </is>
      </c>
      <c r="B1029" t="inlineStr">
        <is>
          <t>Attendee</t>
        </is>
      </c>
      <c r="C1029" t="inlineStr">
        <is>
          <t>Sr. Director, Global Logistics &amp; Warehousing</t>
        </is>
      </c>
      <c r="D1029" t="inlineStr">
        <is>
          <t>StandardAero</t>
        </is>
      </c>
      <c r="H1029" t="n">
        <v>10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>
        <f>IFERROR(INDEX('Company Hitlist'!$AA:$AA,MATCH(D1029,'Company Hitlist'!$A:$A,0)),)</f>
        <v/>
      </c>
      <c r="O1029">
        <f>IFERROR(INDEX('Company Hitlist'!$N:$N,MATCH(D1029,'Company Hitlist'!$A:$A,0)),)</f>
        <v/>
      </c>
      <c r="Q1029" t="inlineStr">
        <is>
          <t>todo</t>
        </is>
      </c>
    </row>
    <row r="1030">
      <c r="A1030" t="inlineStr">
        <is>
          <t>Kristi Thng</t>
        </is>
      </c>
      <c r="B1030" t="inlineStr">
        <is>
          <t>Attendee</t>
        </is>
      </c>
      <c r="C1030" t="inlineStr">
        <is>
          <t>Senior Manager, Logistics and Operations</t>
        </is>
      </c>
      <c r="D1030" t="inlineStr">
        <is>
          <t>Starface World</t>
        </is>
      </c>
      <c r="H1030" t="n">
        <v>10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>
        <f>IFERROR(INDEX('Company Hitlist'!$AA:$AA,MATCH(D1030,'Company Hitlist'!$A:$A,0)),)</f>
        <v/>
      </c>
      <c r="O1030">
        <f>IFERROR(INDEX('Company Hitlist'!$N:$N,MATCH(D1030,'Company Hitlist'!$A:$A,0)),)</f>
        <v/>
      </c>
      <c r="Q1030" t="inlineStr">
        <is>
          <t>todo</t>
        </is>
      </c>
    </row>
    <row r="1031">
      <c r="A1031" t="inlineStr">
        <is>
          <t>David Sisto</t>
        </is>
      </c>
      <c r="B1031" t="inlineStr">
        <is>
          <t>Attendee</t>
        </is>
      </c>
      <c r="C1031" t="inlineStr">
        <is>
          <t>Sr. Director of Operations Strategy &amp; Planning</t>
        </is>
      </c>
      <c r="D1031" t="inlineStr">
        <is>
          <t>Stitch Fix</t>
        </is>
      </c>
      <c r="E1031" t="inlineStr">
        <is>
          <t>United States</t>
        </is>
      </c>
      <c r="F1031" t="inlineStr">
        <is>
          <t>Yes</t>
        </is>
      </c>
      <c r="H1031" t="n">
        <v>10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>
        <f>IFERROR(INDEX('Company Hitlist'!$AA:$AA,MATCH(D1031,'Company Hitlist'!$A:$A,0)),)</f>
        <v/>
      </c>
      <c r="O1031">
        <f>IFERROR(INDEX('Company Hitlist'!$N:$N,MATCH(D1031,'Company Hitlist'!$A:$A,0)),)</f>
        <v/>
      </c>
      <c r="Q1031" t="inlineStr">
        <is>
          <t>todo</t>
        </is>
      </c>
    </row>
    <row r="1032">
      <c r="A1032" t="inlineStr">
        <is>
          <t>Molly Hammond</t>
        </is>
      </c>
      <c r="B1032" t="inlineStr">
        <is>
          <t>Attendee</t>
        </is>
      </c>
      <c r="C1032" t="inlineStr">
        <is>
          <t>Operations Systems Enablement Lead</t>
        </is>
      </c>
      <c r="D1032" t="inlineStr">
        <is>
          <t>Stitch Fix</t>
        </is>
      </c>
      <c r="E1032" t="inlineStr">
        <is>
          <t>United States</t>
        </is>
      </c>
      <c r="F1032" t="inlineStr">
        <is>
          <t>Yes</t>
        </is>
      </c>
      <c r="H1032" t="n">
        <v>10</v>
      </c>
      <c r="I1032" t="b">
        <v>1</v>
      </c>
      <c r="J1032" t="b">
        <v>0</v>
      </c>
      <c r="K1032" t="b">
        <v>0</v>
      </c>
      <c r="L1032" t="b">
        <v>0</v>
      </c>
      <c r="M1032" t="b">
        <v>0</v>
      </c>
      <c r="N1032">
        <f>IFERROR(INDEX('Company Hitlist'!$AA:$AA,MATCH(D1032,'Company Hitlist'!$A:$A,0)),)</f>
        <v/>
      </c>
      <c r="O1032">
        <f>IFERROR(INDEX('Company Hitlist'!$N:$N,MATCH(D1032,'Company Hitlist'!$A:$A,0)),)</f>
        <v/>
      </c>
      <c r="Q1032" t="inlineStr">
        <is>
          <t>todo</t>
        </is>
      </c>
    </row>
    <row r="1033">
      <c r="A1033" t="inlineStr">
        <is>
          <t>Irena Salwerowicz</t>
        </is>
      </c>
      <c r="B1033" t="inlineStr">
        <is>
          <t>Attendee</t>
        </is>
      </c>
      <c r="C1033" t="inlineStr">
        <is>
          <t>Director, Operations</t>
        </is>
      </c>
      <c r="D1033" t="inlineStr">
        <is>
          <t>StockX</t>
        </is>
      </c>
      <c r="F1033" t="inlineStr">
        <is>
          <t>Yes</t>
        </is>
      </c>
      <c r="H1033" t="n">
        <v>10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>
        <f>IFERROR(INDEX('Company Hitlist'!$AA:$AA,MATCH(D1033,'Company Hitlist'!$A:$A,0)),)</f>
        <v/>
      </c>
      <c r="O1033">
        <f>IFERROR(INDEX('Company Hitlist'!$N:$N,MATCH(D1033,'Company Hitlist'!$A:$A,0)),)</f>
        <v/>
      </c>
      <c r="Q1033" t="inlineStr">
        <is>
          <t>todo</t>
        </is>
      </c>
    </row>
    <row r="1034">
      <c r="A1034" t="inlineStr">
        <is>
          <t>Tanya Spearing</t>
        </is>
      </c>
      <c r="B1034" t="inlineStr">
        <is>
          <t>Attendee</t>
        </is>
      </c>
      <c r="C1034" t="inlineStr">
        <is>
          <t>Director, Operations</t>
        </is>
      </c>
      <c r="D1034" t="inlineStr">
        <is>
          <t>StockX</t>
        </is>
      </c>
      <c r="F1034" t="inlineStr">
        <is>
          <t>Yes</t>
        </is>
      </c>
      <c r="H1034" t="n">
        <v>10</v>
      </c>
      <c r="I1034" t="b">
        <v>1</v>
      </c>
      <c r="J1034" t="b">
        <v>0</v>
      </c>
      <c r="K1034" t="b">
        <v>0</v>
      </c>
      <c r="L1034" t="b">
        <v>0</v>
      </c>
      <c r="M1034" t="b">
        <v>0</v>
      </c>
      <c r="N1034">
        <f>IFERROR(INDEX('Company Hitlist'!$AA:$AA,MATCH(D1034,'Company Hitlist'!$A:$A,0)),)</f>
        <v/>
      </c>
      <c r="O1034">
        <f>IFERROR(INDEX('Company Hitlist'!$N:$N,MATCH(D1034,'Company Hitlist'!$A:$A,0)),)</f>
        <v/>
      </c>
      <c r="Q1034" t="inlineStr">
        <is>
          <t>todo</t>
        </is>
      </c>
    </row>
    <row r="1035">
      <c r="A1035" t="inlineStr">
        <is>
          <t>Justin Coffin</t>
        </is>
      </c>
      <c r="B1035" t="inlineStr">
        <is>
          <t>Attendee</t>
        </is>
      </c>
      <c r="C1035" t="inlineStr">
        <is>
          <t>Sr. Manager, ecommerce Operations</t>
        </is>
      </c>
      <c r="D1035" t="inlineStr">
        <is>
          <t>StockX</t>
        </is>
      </c>
      <c r="H1035" t="n">
        <v>10</v>
      </c>
      <c r="I1035" t="b">
        <v>1</v>
      </c>
      <c r="J1035" t="b">
        <v>0</v>
      </c>
      <c r="K1035" t="b">
        <v>0</v>
      </c>
      <c r="L1035" t="b">
        <v>0</v>
      </c>
      <c r="M1035" t="b">
        <v>0</v>
      </c>
      <c r="N1035">
        <f>IFERROR(INDEX('Company Hitlist'!$AA:$AA,MATCH(D1035,'Company Hitlist'!$A:$A,0)),)</f>
        <v/>
      </c>
      <c r="O1035">
        <f>IFERROR(INDEX('Company Hitlist'!$N:$N,MATCH(D1035,'Company Hitlist'!$A:$A,0)),)</f>
        <v/>
      </c>
      <c r="Q1035" t="inlineStr">
        <is>
          <t>todo</t>
        </is>
      </c>
    </row>
    <row r="1036">
      <c r="A1036" t="inlineStr">
        <is>
          <t>Christian Kafoglis</t>
        </is>
      </c>
      <c r="B1036" t="inlineStr">
        <is>
          <t>Attendee</t>
        </is>
      </c>
      <c r="C1036" t="inlineStr">
        <is>
          <t>Director of Transportation</t>
        </is>
      </c>
      <c r="D1036" t="inlineStr">
        <is>
          <t>Stord</t>
        </is>
      </c>
      <c r="E1036" t="inlineStr">
        <is>
          <t>United States</t>
        </is>
      </c>
      <c r="F1036" t="inlineStr">
        <is>
          <t>Yes</t>
        </is>
      </c>
      <c r="G1036" t="inlineStr">
        <is>
          <t>$147 million (2025)</t>
        </is>
      </c>
      <c r="H1036" t="n">
        <v>10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>
        <f>IFERROR(INDEX('Company Hitlist'!$AA:$AA,MATCH(D1036,'Company Hitlist'!$A:$A,0)),)</f>
        <v/>
      </c>
      <c r="O1036">
        <f>IFERROR(INDEX('Company Hitlist'!$N:$N,MATCH(D1036,'Company Hitlist'!$A:$A,0)),)</f>
        <v/>
      </c>
      <c r="Q1036" t="inlineStr">
        <is>
          <t>todo</t>
        </is>
      </c>
    </row>
    <row r="1037">
      <c r="A1037" t="inlineStr">
        <is>
          <t>Zach Vossekuil</t>
        </is>
      </c>
      <c r="B1037" t="inlineStr">
        <is>
          <t>Attendee</t>
        </is>
      </c>
      <c r="C1037" t="inlineStr">
        <is>
          <t>Senior Transportation Manager</t>
        </is>
      </c>
      <c r="D1037" t="inlineStr">
        <is>
          <t>Strattec</t>
        </is>
      </c>
      <c r="E1037" t="inlineStr">
        <is>
          <t>United States</t>
        </is>
      </c>
      <c r="H1037" t="n">
        <v>10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>
        <f>IFERROR(INDEX('Company Hitlist'!$AA:$AA,MATCH(D1037,'Company Hitlist'!$A:$A,0)),)</f>
        <v/>
      </c>
      <c r="O1037">
        <f>IFERROR(INDEX('Company Hitlist'!$N:$N,MATCH(D1037,'Company Hitlist'!$A:$A,0)),)</f>
        <v/>
      </c>
      <c r="Q1037" t="inlineStr">
        <is>
          <t>todo</t>
        </is>
      </c>
    </row>
    <row r="1038">
      <c r="A1038" t="inlineStr">
        <is>
          <t>Ron Czerniakowski</t>
        </is>
      </c>
      <c r="B1038" t="inlineStr">
        <is>
          <t>Attendee</t>
        </is>
      </c>
      <c r="C1038" t="inlineStr">
        <is>
          <t>Director of Operations</t>
        </is>
      </c>
      <c r="D1038" t="inlineStr">
        <is>
          <t>Sysco</t>
        </is>
      </c>
      <c r="F1038" t="inlineStr">
        <is>
          <t>Yes</t>
        </is>
      </c>
      <c r="H1038" t="n">
        <v>10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>
        <f>IFERROR(INDEX('Company Hitlist'!$AA:$AA,MATCH(D1038,'Company Hitlist'!$A:$A,0)),)</f>
        <v/>
      </c>
      <c r="O1038">
        <f>IFERROR(INDEX('Company Hitlist'!$N:$N,MATCH(D1038,'Company Hitlist'!$A:$A,0)),)</f>
        <v/>
      </c>
      <c r="Q1038" t="inlineStr">
        <is>
          <t>todo</t>
        </is>
      </c>
    </row>
    <row r="1039">
      <c r="A1039" t="inlineStr">
        <is>
          <t>Tyler Jokerst</t>
        </is>
      </c>
      <c r="B1039" t="inlineStr">
        <is>
          <t>Attendee</t>
        </is>
      </c>
      <c r="C1039" t="inlineStr">
        <is>
          <t>Director of Trade Operations</t>
        </is>
      </c>
      <c r="D1039" t="inlineStr">
        <is>
          <t>T. C. Jacoby &amp; Co Inc</t>
        </is>
      </c>
      <c r="E1039" t="inlineStr">
        <is>
          <t>United States</t>
        </is>
      </c>
      <c r="H1039" t="n">
        <v>10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>
        <f>IFERROR(INDEX('Company Hitlist'!$AA:$AA,MATCH(D1039,'Company Hitlist'!$A:$A,0)),)</f>
        <v/>
      </c>
      <c r="O1039">
        <f>IFERROR(INDEX('Company Hitlist'!$N:$N,MATCH(D1039,'Company Hitlist'!$A:$A,0)),)</f>
        <v/>
      </c>
      <c r="Q1039" t="inlineStr">
        <is>
          <t>todo</t>
        </is>
      </c>
    </row>
    <row r="1040">
      <c r="A1040" t="inlineStr">
        <is>
          <t>Kathryn Williams</t>
        </is>
      </c>
      <c r="B1040" t="inlineStr">
        <is>
          <t>Attendee</t>
        </is>
      </c>
      <c r="C1040" t="inlineStr">
        <is>
          <t>Logistics Manager</t>
        </is>
      </c>
      <c r="D1040" t="inlineStr">
        <is>
          <t>TAO Clean</t>
        </is>
      </c>
      <c r="H1040" t="n">
        <v>10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>
        <f>IFERROR(INDEX('Company Hitlist'!$AA:$AA,MATCH(D1040,'Company Hitlist'!$A:$A,0)),)</f>
        <v/>
      </c>
      <c r="O1040">
        <f>IFERROR(INDEX('Company Hitlist'!$N:$N,MATCH(D1040,'Company Hitlist'!$A:$A,0)),)</f>
        <v/>
      </c>
      <c r="Q1040" t="inlineStr">
        <is>
          <t>todo</t>
        </is>
      </c>
    </row>
    <row r="1041">
      <c r="A1041" t="inlineStr">
        <is>
          <t>Melissa Martin</t>
        </is>
      </c>
      <c r="B1041" t="inlineStr">
        <is>
          <t>Attendee</t>
        </is>
      </c>
      <c r="C1041" t="inlineStr">
        <is>
          <t>Manager, Asset Recovery &amp; Logistics</t>
        </is>
      </c>
      <c r="D1041" t="inlineStr">
        <is>
          <t>TC Energy</t>
        </is>
      </c>
      <c r="E1041" t="inlineStr">
        <is>
          <t>Canada</t>
        </is>
      </c>
      <c r="H1041" t="n">
        <v>10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>
        <f>IFERROR(INDEX('Company Hitlist'!$AA:$AA,MATCH(D1041,'Company Hitlist'!$A:$A,0)),)</f>
        <v/>
      </c>
      <c r="O1041">
        <f>IFERROR(INDEX('Company Hitlist'!$N:$N,MATCH(D1041,'Company Hitlist'!$A:$A,0)),)</f>
        <v/>
      </c>
      <c r="Q1041" t="inlineStr">
        <is>
          <t>todo</t>
        </is>
      </c>
    </row>
    <row r="1042">
      <c r="A1042" t="inlineStr">
        <is>
          <t>Aaron Gao</t>
        </is>
      </c>
      <c r="B1042" t="inlineStr">
        <is>
          <t>Attendee</t>
        </is>
      </c>
      <c r="C1042" t="inlineStr">
        <is>
          <t>Director of Logistics</t>
        </is>
      </c>
      <c r="D1042" t="inlineStr">
        <is>
          <t>TEMU</t>
        </is>
      </c>
      <c r="F1042" t="inlineStr">
        <is>
          <t>Yes</t>
        </is>
      </c>
      <c r="H1042" t="n">
        <v>10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>
        <f>IFERROR(INDEX('Company Hitlist'!$AA:$AA,MATCH(D1042,'Company Hitlist'!$A:$A,0)),)</f>
        <v/>
      </c>
      <c r="O1042">
        <f>IFERROR(INDEX('Company Hitlist'!$N:$N,MATCH(D1042,'Company Hitlist'!$A:$A,0)),)</f>
        <v/>
      </c>
      <c r="Q1042" t="inlineStr">
        <is>
          <t>todo</t>
        </is>
      </c>
    </row>
    <row r="1043">
      <c r="A1043" t="inlineStr">
        <is>
          <t>Do Huyhn Ho Thu</t>
        </is>
      </c>
      <c r="B1043" t="inlineStr">
        <is>
          <t>Attendee</t>
        </is>
      </c>
      <c r="C1043" t="inlineStr">
        <is>
          <t>Operations Manager</t>
        </is>
      </c>
      <c r="D1043" t="inlineStr">
        <is>
          <t>TJJ CO. LTD</t>
        </is>
      </c>
      <c r="H1043" t="n">
        <v>10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>
        <f>IFERROR(INDEX('Company Hitlist'!$AA:$AA,MATCH(D1043,'Company Hitlist'!$A:$A,0)),)</f>
        <v/>
      </c>
      <c r="O1043">
        <f>IFERROR(INDEX('Company Hitlist'!$N:$N,MATCH(D1043,'Company Hitlist'!$A:$A,0)),)</f>
        <v/>
      </c>
      <c r="Q1043" t="inlineStr">
        <is>
          <t>todo</t>
        </is>
      </c>
    </row>
    <row r="1044">
      <c r="A1044" t="inlineStr">
        <is>
          <t>Tran Thi Kim Thao</t>
        </is>
      </c>
      <c r="B1044" t="inlineStr">
        <is>
          <t>Attendee</t>
        </is>
      </c>
      <c r="C1044" t="inlineStr">
        <is>
          <t>Logistics Manager</t>
        </is>
      </c>
      <c r="D1044" t="inlineStr">
        <is>
          <t>TJJ CO. LTD</t>
        </is>
      </c>
      <c r="H1044" t="n">
        <v>10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>
        <f>IFERROR(INDEX('Company Hitlist'!$AA:$AA,MATCH(D1044,'Company Hitlist'!$A:$A,0)),)</f>
        <v/>
      </c>
      <c r="O1044">
        <f>IFERROR(INDEX('Company Hitlist'!$N:$N,MATCH(D1044,'Company Hitlist'!$A:$A,0)),)</f>
        <v/>
      </c>
      <c r="Q1044" t="inlineStr">
        <is>
          <t>todo</t>
        </is>
      </c>
    </row>
    <row r="1045">
      <c r="A1045" t="inlineStr">
        <is>
          <t>Justin Casey</t>
        </is>
      </c>
      <c r="B1045" t="inlineStr">
        <is>
          <t>Attendee</t>
        </is>
      </c>
      <c r="C1045" t="inlineStr">
        <is>
          <t>Supply Chain Technology and Innovation Manager</t>
        </is>
      </c>
      <c r="D1045" t="inlineStr">
        <is>
          <t>TJX</t>
        </is>
      </c>
      <c r="H1045" t="n">
        <v>10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>
        <f>IFERROR(INDEX('Company Hitlist'!$AA:$AA,MATCH(D1045,'Company Hitlist'!$A:$A,0)),)</f>
        <v/>
      </c>
      <c r="O1045">
        <f>IFERROR(INDEX('Company Hitlist'!$N:$N,MATCH(D1045,'Company Hitlist'!$A:$A,0)),)</f>
        <v/>
      </c>
      <c r="Q1045" t="inlineStr">
        <is>
          <t>todo</t>
        </is>
      </c>
    </row>
    <row r="1046">
      <c r="A1046" t="inlineStr">
        <is>
          <t>Mathew Fay</t>
        </is>
      </c>
      <c r="B1046" t="inlineStr">
        <is>
          <t>Attendee</t>
        </is>
      </c>
      <c r="C1046" t="inlineStr">
        <is>
          <t>Supply Chain Technology and Innovation Manager</t>
        </is>
      </c>
      <c r="D1046" t="inlineStr">
        <is>
          <t>TJX</t>
        </is>
      </c>
      <c r="H1046" t="n">
        <v>10</v>
      </c>
      <c r="I1046" t="b">
        <v>1</v>
      </c>
      <c r="J1046" t="b">
        <v>0</v>
      </c>
      <c r="K1046" t="b">
        <v>0</v>
      </c>
      <c r="L1046" t="b">
        <v>0</v>
      </c>
      <c r="M1046" t="b">
        <v>0</v>
      </c>
      <c r="N1046">
        <f>IFERROR(INDEX('Company Hitlist'!$AA:$AA,MATCH(D1046,'Company Hitlist'!$A:$A,0)),)</f>
        <v/>
      </c>
      <c r="O1046">
        <f>IFERROR(INDEX('Company Hitlist'!$N:$N,MATCH(D1046,'Company Hitlist'!$A:$A,0)),)</f>
        <v/>
      </c>
      <c r="Q1046" t="inlineStr">
        <is>
          <t>todo</t>
        </is>
      </c>
    </row>
    <row r="1047">
      <c r="A1047" t="inlineStr">
        <is>
          <t>Theresa Cooper-Blackwood</t>
        </is>
      </c>
      <c r="B1047" t="inlineStr">
        <is>
          <t>Attendee</t>
        </is>
      </c>
      <c r="C1047" t="inlineStr">
        <is>
          <t>Manager of Integrated Supply Chain Business Systems</t>
        </is>
      </c>
      <c r="D1047" t="inlineStr">
        <is>
          <t>TJX</t>
        </is>
      </c>
      <c r="H1047" t="n">
        <v>10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>
        <f>IFERROR(INDEX('Company Hitlist'!$AA:$AA,MATCH(D1047,'Company Hitlist'!$A:$A,0)),)</f>
        <v/>
      </c>
      <c r="O1047">
        <f>IFERROR(INDEX('Company Hitlist'!$N:$N,MATCH(D1047,'Company Hitlist'!$A:$A,0)),)</f>
        <v/>
      </c>
      <c r="Q1047" t="inlineStr">
        <is>
          <t>todo</t>
        </is>
      </c>
    </row>
    <row r="1048">
      <c r="A1048" t="inlineStr">
        <is>
          <t>Andrew Melito</t>
        </is>
      </c>
      <c r="B1048" t="inlineStr">
        <is>
          <t>Attendee</t>
        </is>
      </c>
      <c r="C1048" t="inlineStr">
        <is>
          <t>AVP Inbound: Logistics Inbound Operations</t>
        </is>
      </c>
      <c r="D1048" t="inlineStr">
        <is>
          <t>TJX Canada</t>
        </is>
      </c>
      <c r="F1048" t="inlineStr">
        <is>
          <t>Yes</t>
        </is>
      </c>
      <c r="H1048" t="n">
        <v>10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>
        <f>IFERROR(INDEX('Company Hitlist'!$AA:$AA,MATCH(D1048,'Company Hitlist'!$A:$A,0)),)</f>
        <v/>
      </c>
      <c r="O1048">
        <f>IFERROR(INDEX('Company Hitlist'!$N:$N,MATCH(D1048,'Company Hitlist'!$A:$A,0)),)</f>
        <v/>
      </c>
      <c r="Q1048" t="inlineStr">
        <is>
          <t>todo</t>
        </is>
      </c>
    </row>
    <row r="1049">
      <c r="A1049" t="inlineStr">
        <is>
          <t>Doug Fox</t>
        </is>
      </c>
      <c r="B1049" t="inlineStr">
        <is>
          <t>Attendee</t>
        </is>
      </c>
      <c r="C1049" t="inlineStr">
        <is>
          <t>AVP Supply Chain Business Systems</t>
        </is>
      </c>
      <c r="D1049" t="inlineStr">
        <is>
          <t>TJX Canada</t>
        </is>
      </c>
      <c r="H1049" t="n">
        <v>10</v>
      </c>
      <c r="I1049" t="b">
        <v>1</v>
      </c>
      <c r="J1049" t="b">
        <v>0</v>
      </c>
      <c r="K1049" t="b">
        <v>0</v>
      </c>
      <c r="L1049" t="b">
        <v>0</v>
      </c>
      <c r="M1049" t="b">
        <v>0</v>
      </c>
      <c r="N1049">
        <f>IFERROR(INDEX('Company Hitlist'!$AA:$AA,MATCH(D1049,'Company Hitlist'!$A:$A,0)),)</f>
        <v/>
      </c>
      <c r="O1049">
        <f>IFERROR(INDEX('Company Hitlist'!$N:$N,MATCH(D1049,'Company Hitlist'!$A:$A,0)),)</f>
        <v/>
      </c>
      <c r="Q1049" t="inlineStr">
        <is>
          <t>todo</t>
        </is>
      </c>
    </row>
    <row r="1050">
      <c r="A1050" t="inlineStr">
        <is>
          <t>Gary Palin</t>
        </is>
      </c>
      <c r="B1050" t="inlineStr">
        <is>
          <t>Attendee</t>
        </is>
      </c>
      <c r="C1050" t="inlineStr">
        <is>
          <t>Senior Director, Transportation Solutions</t>
        </is>
      </c>
      <c r="D1050" t="inlineStr">
        <is>
          <t>TRAFFIX</t>
        </is>
      </c>
      <c r="E1050" t="inlineStr">
        <is>
          <t>United States</t>
        </is>
      </c>
      <c r="H1050" t="n">
        <v>10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>
        <f>IFERROR(INDEX('Company Hitlist'!$AA:$AA,MATCH(D1050,'Company Hitlist'!$A:$A,0)),)</f>
        <v/>
      </c>
      <c r="O1050">
        <f>IFERROR(INDEX('Company Hitlist'!$N:$N,MATCH(D1050,'Company Hitlist'!$A:$A,0)),)</f>
        <v/>
      </c>
      <c r="Q1050" t="inlineStr">
        <is>
          <t>todo</t>
        </is>
      </c>
    </row>
    <row r="1051">
      <c r="A1051" t="inlineStr">
        <is>
          <t>David Paneque</t>
        </is>
      </c>
      <c r="B1051" t="inlineStr">
        <is>
          <t>Attendee</t>
        </is>
      </c>
      <c r="C1051" t="inlineStr">
        <is>
          <t>Logistics Manager USA</t>
        </is>
      </c>
      <c r="D1051" t="inlineStr">
        <is>
          <t>TSEA ENERGIA</t>
        </is>
      </c>
      <c r="E1051" t="inlineStr">
        <is>
          <t>United States</t>
        </is>
      </c>
      <c r="H1051" t="n">
        <v>10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>
        <f>IFERROR(INDEX('Company Hitlist'!$AA:$AA,MATCH(D1051,'Company Hitlist'!$A:$A,0)),)</f>
        <v/>
      </c>
      <c r="O1051">
        <f>IFERROR(INDEX('Company Hitlist'!$N:$N,MATCH(D1051,'Company Hitlist'!$A:$A,0)),)</f>
        <v/>
      </c>
      <c r="Q1051" t="inlineStr">
        <is>
          <t>todo</t>
        </is>
      </c>
    </row>
    <row r="1052">
      <c r="A1052" t="inlineStr">
        <is>
          <t>Josie Moreira de Almedia Pfeilsticker</t>
        </is>
      </c>
      <c r="B1052" t="inlineStr">
        <is>
          <t>Attendee</t>
        </is>
      </c>
      <c r="C1052" t="inlineStr">
        <is>
          <t>Director of Supply Chain</t>
        </is>
      </c>
      <c r="D1052" t="inlineStr">
        <is>
          <t>TSEA ENERGIA</t>
        </is>
      </c>
      <c r="H1052" t="n">
        <v>10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>
        <f>IFERROR(INDEX('Company Hitlist'!$AA:$AA,MATCH(D1052,'Company Hitlist'!$A:$A,0)),)</f>
        <v/>
      </c>
      <c r="O1052">
        <f>IFERROR(INDEX('Company Hitlist'!$N:$N,MATCH(D1052,'Company Hitlist'!$A:$A,0)),)</f>
        <v/>
      </c>
      <c r="Q1052" t="inlineStr">
        <is>
          <t>todo</t>
        </is>
      </c>
    </row>
    <row r="1053">
      <c r="A1053" t="inlineStr">
        <is>
          <t>Kyle Trumble</t>
        </is>
      </c>
      <c r="B1053" t="inlineStr">
        <is>
          <t>Attendee</t>
        </is>
      </c>
      <c r="C1053" t="inlineStr">
        <is>
          <t>Senior Manager, Warehouse &amp; Distribution</t>
        </is>
      </c>
      <c r="D1053" t="inlineStr">
        <is>
          <t>Tacony Corporation</t>
        </is>
      </c>
      <c r="E1053" t="inlineStr">
        <is>
          <t>United States</t>
        </is>
      </c>
      <c r="H1053" t="n">
        <v>10</v>
      </c>
      <c r="I1053" t="b">
        <v>1</v>
      </c>
      <c r="J1053" t="b">
        <v>0</v>
      </c>
      <c r="K1053" t="b">
        <v>0</v>
      </c>
      <c r="L1053" t="b">
        <v>0</v>
      </c>
      <c r="M1053" t="b">
        <v>0</v>
      </c>
      <c r="N1053">
        <f>IFERROR(INDEX('Company Hitlist'!$AA:$AA,MATCH(D1053,'Company Hitlist'!$A:$A,0)),)</f>
        <v/>
      </c>
      <c r="O1053">
        <f>IFERROR(INDEX('Company Hitlist'!$N:$N,MATCH(D1053,'Company Hitlist'!$A:$A,0)),)</f>
        <v/>
      </c>
      <c r="Q1053" t="inlineStr">
        <is>
          <t>todo</t>
        </is>
      </c>
    </row>
    <row r="1054">
      <c r="A1054" t="inlineStr">
        <is>
          <t>Alex Ramos</t>
        </is>
      </c>
      <c r="B1054" t="inlineStr">
        <is>
          <t>Attendee</t>
        </is>
      </c>
      <c r="C1054" t="inlineStr">
        <is>
          <t>Senior Director First Mile Transportation</t>
        </is>
      </c>
      <c r="D1054" t="inlineStr">
        <is>
          <t>Target</t>
        </is>
      </c>
      <c r="F1054" t="inlineStr">
        <is>
          <t>Yes</t>
        </is>
      </c>
      <c r="G1054" t="inlineStr">
        <is>
          <t>$106.57B (2025 est.)</t>
        </is>
      </c>
      <c r="H1054" t="n">
        <v>10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>
        <f>IFERROR(INDEX('Company Hitlist'!$AA:$AA,MATCH(D1054,'Company Hitlist'!$A:$A,0)),)</f>
        <v/>
      </c>
      <c r="O1054">
        <f>IFERROR(INDEX('Company Hitlist'!$N:$N,MATCH(D1054,'Company Hitlist'!$A:$A,0)),)</f>
        <v/>
      </c>
      <c r="Q1054" t="inlineStr">
        <is>
          <t>todo</t>
        </is>
      </c>
    </row>
    <row r="1055">
      <c r="A1055" t="inlineStr">
        <is>
          <t>Ashley MacLearn</t>
        </is>
      </c>
      <c r="B1055" t="inlineStr">
        <is>
          <t>Attendee</t>
        </is>
      </c>
      <c r="C1055" t="inlineStr">
        <is>
          <t>Sr. Director of Inventory Management Operations</t>
        </is>
      </c>
      <c r="D1055" t="inlineStr">
        <is>
          <t>Target</t>
        </is>
      </c>
      <c r="F1055" t="inlineStr">
        <is>
          <t>Yes</t>
        </is>
      </c>
      <c r="G1055" t="inlineStr">
        <is>
          <t>$106.57B (2025 est.)</t>
        </is>
      </c>
      <c r="H1055" t="n">
        <v>10</v>
      </c>
      <c r="I1055" t="b">
        <v>1</v>
      </c>
      <c r="J1055" t="b">
        <v>0</v>
      </c>
      <c r="K1055" t="b">
        <v>0</v>
      </c>
      <c r="L1055" t="b">
        <v>0</v>
      </c>
      <c r="M1055" t="b">
        <v>0</v>
      </c>
      <c r="N1055">
        <f>IFERROR(INDEX('Company Hitlist'!$AA:$AA,MATCH(D1055,'Company Hitlist'!$A:$A,0)),)</f>
        <v/>
      </c>
      <c r="O1055">
        <f>IFERROR(INDEX('Company Hitlist'!$N:$N,MATCH(D1055,'Company Hitlist'!$A:$A,0)),)</f>
        <v/>
      </c>
      <c r="Q1055" t="inlineStr">
        <is>
          <t>todo</t>
        </is>
      </c>
    </row>
    <row r="1056">
      <c r="A1056" t="inlineStr">
        <is>
          <t>Michael Boegemann</t>
        </is>
      </c>
      <c r="B1056" t="inlineStr">
        <is>
          <t>Attendee</t>
        </is>
      </c>
      <c r="C1056" t="inlineStr">
        <is>
          <t>Senior Director, Operations Solution Design</t>
        </is>
      </c>
      <c r="D1056" t="inlineStr">
        <is>
          <t>Target</t>
        </is>
      </c>
      <c r="F1056" t="inlineStr">
        <is>
          <t>Yes</t>
        </is>
      </c>
      <c r="G1056" t="inlineStr">
        <is>
          <t>$106.57B (2025 est.)</t>
        </is>
      </c>
      <c r="H1056" t="n">
        <v>10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>
        <f>IFERROR(INDEX('Company Hitlist'!$AA:$AA,MATCH(D1056,'Company Hitlist'!$A:$A,0)),)</f>
        <v/>
      </c>
      <c r="O1056">
        <f>IFERROR(INDEX('Company Hitlist'!$N:$N,MATCH(D1056,'Company Hitlist'!$A:$A,0)),)</f>
        <v/>
      </c>
      <c r="Q1056" t="inlineStr">
        <is>
          <t>todo</t>
        </is>
      </c>
    </row>
    <row r="1057">
      <c r="A1057" t="inlineStr">
        <is>
          <t>Amanda Krantz</t>
        </is>
      </c>
      <c r="B1057" t="inlineStr">
        <is>
          <t>Attendee</t>
        </is>
      </c>
      <c r="C1057" t="inlineStr">
        <is>
          <t>Director of Distribution</t>
        </is>
      </c>
      <c r="D1057" t="inlineStr">
        <is>
          <t>Tatcha</t>
        </is>
      </c>
      <c r="F1057" t="inlineStr">
        <is>
          <t>Yes</t>
        </is>
      </c>
      <c r="H1057" t="n">
        <v>10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>
        <f>IFERROR(INDEX('Company Hitlist'!$AA:$AA,MATCH(D1057,'Company Hitlist'!$A:$A,0)),)</f>
        <v/>
      </c>
      <c r="O1057">
        <f>IFERROR(INDEX('Company Hitlist'!$N:$N,MATCH(D1057,'Company Hitlist'!$A:$A,0)),)</f>
        <v/>
      </c>
      <c r="Q1057" t="inlineStr">
        <is>
          <t>todo</t>
        </is>
      </c>
    </row>
    <row r="1058">
      <c r="A1058" t="inlineStr">
        <is>
          <t>Kathy Chinchilla</t>
        </is>
      </c>
      <c r="B1058" t="inlineStr">
        <is>
          <t>Attendee</t>
        </is>
      </c>
      <c r="C1058" t="inlineStr">
        <is>
          <t>Director, Logistics</t>
        </is>
      </c>
      <c r="D1058" t="inlineStr">
        <is>
          <t>TechStyleOS</t>
        </is>
      </c>
      <c r="H1058" t="n">
        <v>10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>
        <f>IFERROR(INDEX('Company Hitlist'!$AA:$AA,MATCH(D1058,'Company Hitlist'!$A:$A,0)),)</f>
        <v/>
      </c>
      <c r="O1058">
        <f>IFERROR(INDEX('Company Hitlist'!$N:$N,MATCH(D1058,'Company Hitlist'!$A:$A,0)),)</f>
        <v/>
      </c>
      <c r="Q1058" t="inlineStr">
        <is>
          <t>todo</t>
        </is>
      </c>
    </row>
    <row r="1059">
      <c r="A1059" t="inlineStr">
        <is>
          <t>Zack Li</t>
        </is>
      </c>
      <c r="B1059" t="inlineStr">
        <is>
          <t>Attendee</t>
        </is>
      </c>
      <c r="C1059" t="inlineStr">
        <is>
          <t>Director of Logistics</t>
        </is>
      </c>
      <c r="D1059" t="inlineStr">
        <is>
          <t>Temu</t>
        </is>
      </c>
      <c r="E1059" t="inlineStr">
        <is>
          <t>United States</t>
        </is>
      </c>
      <c r="F1059" t="inlineStr">
        <is>
          <t>Yes</t>
        </is>
      </c>
      <c r="H1059" t="n">
        <v>10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>
        <f>IFERROR(INDEX('Company Hitlist'!$AA:$AA,MATCH(D1059,'Company Hitlist'!$A:$A,0)),)</f>
        <v/>
      </c>
      <c r="O1059">
        <f>IFERROR(INDEX('Company Hitlist'!$N:$N,MATCH(D1059,'Company Hitlist'!$A:$A,0)),)</f>
        <v/>
      </c>
      <c r="Q1059" t="inlineStr">
        <is>
          <t>todo</t>
        </is>
      </c>
    </row>
    <row r="1060">
      <c r="A1060" t="inlineStr">
        <is>
          <t>Ximena Castanon</t>
        </is>
      </c>
      <c r="B1060" t="inlineStr">
        <is>
          <t>Attendee</t>
        </is>
      </c>
      <c r="C1060" t="inlineStr">
        <is>
          <t>Lead, Staff TPM Service Distribution Optimization</t>
        </is>
      </c>
      <c r="D1060" t="inlineStr">
        <is>
          <t>Tesla</t>
        </is>
      </c>
      <c r="E1060" t="inlineStr">
        <is>
          <t>United States</t>
        </is>
      </c>
      <c r="F1060" t="inlineStr">
        <is>
          <t>Yes</t>
        </is>
      </c>
      <c r="H1060" t="n">
        <v>10</v>
      </c>
      <c r="I1060" t="b">
        <v>1</v>
      </c>
      <c r="J1060" t="b">
        <v>0</v>
      </c>
      <c r="K1060" t="b">
        <v>0</v>
      </c>
      <c r="L1060" t="b">
        <v>0</v>
      </c>
      <c r="M1060" t="b">
        <v>0</v>
      </c>
      <c r="N1060">
        <f>IFERROR(INDEX('Company Hitlist'!$AA:$AA,MATCH(D1060,'Company Hitlist'!$A:$A,0)),)</f>
        <v/>
      </c>
      <c r="O1060">
        <f>IFERROR(INDEX('Company Hitlist'!$N:$N,MATCH(D1060,'Company Hitlist'!$A:$A,0)),)</f>
        <v/>
      </c>
      <c r="Q1060" t="inlineStr">
        <is>
          <t>todo</t>
        </is>
      </c>
    </row>
    <row r="1061">
      <c r="A1061" t="inlineStr">
        <is>
          <t>Elliot Whitt</t>
        </is>
      </c>
      <c r="B1061" t="inlineStr">
        <is>
          <t>Attendee</t>
        </is>
      </c>
      <c r="C1061" t="inlineStr">
        <is>
          <t>Associate Director, Fulfillment</t>
        </is>
      </c>
      <c r="D1061" t="inlineStr">
        <is>
          <t>The Clorox Company</t>
        </is>
      </c>
      <c r="E1061" t="inlineStr">
        <is>
          <t>United States</t>
        </is>
      </c>
      <c r="F1061" t="inlineStr">
        <is>
          <t>Yes</t>
        </is>
      </c>
      <c r="G1061" t="inlineStr">
        <is>
          <t>$7.1B (2025 est.)</t>
        </is>
      </c>
      <c r="H1061" t="n">
        <v>10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>
        <f>IFERROR(INDEX('Company Hitlist'!$AA:$AA,MATCH(D1061,'Company Hitlist'!$A:$A,0)),)</f>
        <v/>
      </c>
      <c r="O1061">
        <f>IFERROR(INDEX('Company Hitlist'!$N:$N,MATCH(D1061,'Company Hitlist'!$A:$A,0)),)</f>
        <v/>
      </c>
      <c r="Q1061" t="inlineStr">
        <is>
          <t>todo</t>
        </is>
      </c>
    </row>
    <row r="1062">
      <c r="A1062" t="inlineStr">
        <is>
          <t>Zach Gantt</t>
        </is>
      </c>
      <c r="B1062" t="inlineStr">
        <is>
          <t>Attendee</t>
        </is>
      </c>
      <c r="C1062" t="inlineStr">
        <is>
          <t>Sr. Director, Fulfillment &amp; Last Mile</t>
        </is>
      </c>
      <c r="D1062" t="inlineStr">
        <is>
          <t>The Farmer's Dog</t>
        </is>
      </c>
      <c r="E1062" t="inlineStr">
        <is>
          <t>United States</t>
        </is>
      </c>
      <c r="F1062" t="inlineStr">
        <is>
          <t>Yes</t>
        </is>
      </c>
      <c r="H1062" t="n">
        <v>10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>
        <f>IFERROR(INDEX('Company Hitlist'!$AA:$AA,MATCH(D1062,'Company Hitlist'!$A:$A,0)),)</f>
        <v/>
      </c>
      <c r="O1062">
        <f>IFERROR(INDEX('Company Hitlist'!$N:$N,MATCH(D1062,'Company Hitlist'!$A:$A,0)),)</f>
        <v/>
      </c>
      <c r="Q1062" t="inlineStr">
        <is>
          <t>todo</t>
        </is>
      </c>
    </row>
    <row r="1063">
      <c r="A1063" t="inlineStr">
        <is>
          <t>Adam Bieber</t>
        </is>
      </c>
      <c r="B1063" t="inlineStr">
        <is>
          <t>Attendee</t>
        </is>
      </c>
      <c r="C1063" t="inlineStr">
        <is>
          <t>Senior Manager Logistics</t>
        </is>
      </c>
      <c r="D1063" t="inlineStr">
        <is>
          <t>The Farmers Dog</t>
        </is>
      </c>
      <c r="E1063" t="inlineStr">
        <is>
          <t>United States</t>
        </is>
      </c>
      <c r="H1063" t="n">
        <v>10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>
        <f>IFERROR(INDEX('Company Hitlist'!$AA:$AA,MATCH(D1063,'Company Hitlist'!$A:$A,0)),)</f>
        <v/>
      </c>
      <c r="O1063">
        <f>IFERROR(INDEX('Company Hitlist'!$N:$N,MATCH(D1063,'Company Hitlist'!$A:$A,0)),)</f>
        <v/>
      </c>
      <c r="Q1063" t="inlineStr">
        <is>
          <t>todo</t>
        </is>
      </c>
    </row>
    <row r="1064">
      <c r="A1064" t="inlineStr">
        <is>
          <t>Oliver Lindsey</t>
        </is>
      </c>
      <c r="B1064" t="inlineStr">
        <is>
          <t>Attendee</t>
        </is>
      </c>
      <c r="C1064" t="inlineStr">
        <is>
          <t>Sr. Manager Transportation Operations</t>
        </is>
      </c>
      <c r="D1064" t="inlineStr">
        <is>
          <t>The Hershey Company</t>
        </is>
      </c>
      <c r="H1064" t="n">
        <v>10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>
        <f>IFERROR(INDEX('Company Hitlist'!$AA:$AA,MATCH(D1064,'Company Hitlist'!$A:$A,0)),)</f>
        <v/>
      </c>
      <c r="O1064">
        <f>IFERROR(INDEX('Company Hitlist'!$N:$N,MATCH(D1064,'Company Hitlist'!$A:$A,0)),)</f>
        <v/>
      </c>
      <c r="Q1064" t="inlineStr">
        <is>
          <t>todo</t>
        </is>
      </c>
    </row>
    <row r="1065">
      <c r="A1065" t="inlineStr">
        <is>
          <t>Stuart Kilgus</t>
        </is>
      </c>
      <c r="B1065" t="inlineStr">
        <is>
          <t>Attendee</t>
        </is>
      </c>
      <c r="C1065" t="inlineStr">
        <is>
          <t>DC Engineer, Innovation &amp; Automation</t>
        </is>
      </c>
      <c r="D1065" t="inlineStr">
        <is>
          <t>The Home Depot</t>
        </is>
      </c>
      <c r="F1065" t="inlineStr">
        <is>
          <t>Yes</t>
        </is>
      </c>
      <c r="H1065" t="n">
        <v>10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>
        <f>IFERROR(INDEX('Company Hitlist'!$AA:$AA,MATCH(D1065,'Company Hitlist'!$A:$A,0)),)</f>
        <v/>
      </c>
      <c r="O1065">
        <f>IFERROR(INDEX('Company Hitlist'!$N:$N,MATCH(D1065,'Company Hitlist'!$A:$A,0)),)</f>
        <v/>
      </c>
      <c r="Q1065" t="inlineStr">
        <is>
          <t>todo</t>
        </is>
      </c>
    </row>
    <row r="1066">
      <c r="A1066" t="inlineStr">
        <is>
          <t>Aaron Ouellette</t>
        </is>
      </c>
      <c r="B1066" t="inlineStr">
        <is>
          <t>Attendee</t>
        </is>
      </c>
      <c r="C1066" t="inlineStr">
        <is>
          <t>Manager, Port Centric Logistics</t>
        </is>
      </c>
      <c r="D1066" t="inlineStr">
        <is>
          <t>The Port of Virginia</t>
        </is>
      </c>
      <c r="E1066" t="inlineStr">
        <is>
          <t>United States</t>
        </is>
      </c>
      <c r="H1066" t="n">
        <v>10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>
        <f>IFERROR(INDEX('Company Hitlist'!$AA:$AA,MATCH(D1066,'Company Hitlist'!$A:$A,0)),)</f>
        <v/>
      </c>
      <c r="O1066">
        <f>IFERROR(INDEX('Company Hitlist'!$N:$N,MATCH(D1066,'Company Hitlist'!$A:$A,0)),)</f>
        <v/>
      </c>
      <c r="Q1066" t="inlineStr">
        <is>
          <t>todo</t>
        </is>
      </c>
    </row>
    <row r="1067">
      <c r="A1067" t="inlineStr">
        <is>
          <t>Sherbella Glasper</t>
        </is>
      </c>
      <c r="B1067" t="inlineStr">
        <is>
          <t>Attendee</t>
        </is>
      </c>
      <c r="C1067" t="inlineStr">
        <is>
          <t>NA Transportation Operations Senior Director</t>
        </is>
      </c>
      <c r="D1067" t="inlineStr">
        <is>
          <t>The Procter &amp; Gamble Company</t>
        </is>
      </c>
      <c r="E1067" t="inlineStr">
        <is>
          <t>United States</t>
        </is>
      </c>
      <c r="H1067" t="n">
        <v>10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>
        <f>IFERROR(INDEX('Company Hitlist'!$AA:$AA,MATCH(D1067,'Company Hitlist'!$A:$A,0)),)</f>
        <v/>
      </c>
      <c r="O1067">
        <f>IFERROR(INDEX('Company Hitlist'!$N:$N,MATCH(D1067,'Company Hitlist'!$A:$A,0)),)</f>
        <v/>
      </c>
      <c r="Q1067" t="inlineStr">
        <is>
          <t>todo</t>
        </is>
      </c>
    </row>
    <row r="1068">
      <c r="A1068" t="inlineStr">
        <is>
          <t>Logan Potere</t>
        </is>
      </c>
      <c r="B1068" t="inlineStr">
        <is>
          <t>Attendee</t>
        </is>
      </c>
      <c r="C1068" t="inlineStr">
        <is>
          <t>Director Supply Chain</t>
        </is>
      </c>
      <c r="D1068" t="inlineStr">
        <is>
          <t>The Scotts Miracle-Gro Company</t>
        </is>
      </c>
      <c r="H1068" t="n">
        <v>10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>
        <f>IFERROR(INDEX('Company Hitlist'!$AA:$AA,MATCH(D1068,'Company Hitlist'!$A:$A,0)),)</f>
        <v/>
      </c>
      <c r="O1068">
        <f>IFERROR(INDEX('Company Hitlist'!$N:$N,MATCH(D1068,'Company Hitlist'!$A:$A,0)),)</f>
        <v/>
      </c>
      <c r="Q1068" t="inlineStr">
        <is>
          <t>todo</t>
        </is>
      </c>
    </row>
    <row r="1069">
      <c r="A1069" t="inlineStr">
        <is>
          <t>Nelson Adrian</t>
        </is>
      </c>
      <c r="B1069" t="inlineStr">
        <is>
          <t>Attendee</t>
        </is>
      </c>
      <c r="C1069" t="inlineStr">
        <is>
          <t>Director of Distribution</t>
        </is>
      </c>
      <c r="D1069" t="inlineStr">
        <is>
          <t>The Scotts Miracle-Gro Company</t>
        </is>
      </c>
      <c r="H1069" t="n">
        <v>10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>
        <f>IFERROR(INDEX('Company Hitlist'!$AA:$AA,MATCH(D1069,'Company Hitlist'!$A:$A,0)),)</f>
        <v/>
      </c>
      <c r="O1069">
        <f>IFERROR(INDEX('Company Hitlist'!$N:$N,MATCH(D1069,'Company Hitlist'!$A:$A,0)),)</f>
        <v/>
      </c>
      <c r="Q1069" t="inlineStr">
        <is>
          <t>todo</t>
        </is>
      </c>
    </row>
    <row r="1070">
      <c r="A1070" t="inlineStr">
        <is>
          <t>Anthony Garcia</t>
        </is>
      </c>
      <c r="B1070" t="inlineStr">
        <is>
          <t>Attendee</t>
        </is>
      </c>
      <c r="C1070" t="inlineStr">
        <is>
          <t>Operations Director</t>
        </is>
      </c>
      <c r="D1070" t="inlineStr">
        <is>
          <t>The Valkin Group</t>
        </is>
      </c>
      <c r="H1070" t="n">
        <v>10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>
        <f>IFERROR(INDEX('Company Hitlist'!$AA:$AA,MATCH(D1070,'Company Hitlist'!$A:$A,0)),)</f>
        <v/>
      </c>
      <c r="O1070">
        <f>IFERROR(INDEX('Company Hitlist'!$N:$N,MATCH(D1070,'Company Hitlist'!$A:$A,0)),)</f>
        <v/>
      </c>
      <c r="Q1070" t="inlineStr">
        <is>
          <t>todo</t>
        </is>
      </c>
    </row>
    <row r="1071">
      <c r="A1071" t="inlineStr">
        <is>
          <t>Andres Andrea</t>
        </is>
      </c>
      <c r="B1071" t="inlineStr">
        <is>
          <t>Attendee</t>
        </is>
      </c>
      <c r="C1071" t="inlineStr">
        <is>
          <t>Sr Director of Operations</t>
        </is>
      </c>
      <c r="D1071" t="inlineStr">
        <is>
          <t>Third Love</t>
        </is>
      </c>
      <c r="F1071" t="inlineStr">
        <is>
          <t>Yes</t>
        </is>
      </c>
      <c r="H1071" t="n">
        <v>10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>
        <f>IFERROR(INDEX('Company Hitlist'!$AA:$AA,MATCH(D1071,'Company Hitlist'!$A:$A,0)),)</f>
        <v/>
      </c>
      <c r="O1071">
        <f>IFERROR(INDEX('Company Hitlist'!$N:$N,MATCH(D1071,'Company Hitlist'!$A:$A,0)),)</f>
        <v/>
      </c>
      <c r="Q1071" t="inlineStr">
        <is>
          <t>todo</t>
        </is>
      </c>
    </row>
    <row r="1072">
      <c r="A1072" t="inlineStr">
        <is>
          <t>Molly Mittman</t>
        </is>
      </c>
      <c r="B1072" t="inlineStr">
        <is>
          <t>Attendee</t>
        </is>
      </c>
      <c r="C1072" t="inlineStr">
        <is>
          <t>Senior Operations &amp; Logistics Analyst</t>
        </is>
      </c>
      <c r="D1072" t="inlineStr">
        <is>
          <t>Third Love</t>
        </is>
      </c>
      <c r="F1072" t="inlineStr">
        <is>
          <t>Yes</t>
        </is>
      </c>
      <c r="H1072" t="n">
        <v>10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>
        <f>IFERROR(INDEX('Company Hitlist'!$AA:$AA,MATCH(D1072,'Company Hitlist'!$A:$A,0)),)</f>
        <v/>
      </c>
      <c r="O1072">
        <f>IFERROR(INDEX('Company Hitlist'!$N:$N,MATCH(D1072,'Company Hitlist'!$A:$A,0)),)</f>
        <v/>
      </c>
      <c r="Q1072" t="inlineStr">
        <is>
          <t>todo</t>
        </is>
      </c>
    </row>
    <row r="1073">
      <c r="A1073" t="inlineStr">
        <is>
          <t>Myrna Reynoso</t>
        </is>
      </c>
      <c r="B1073" t="inlineStr">
        <is>
          <t>Attendee</t>
        </is>
      </c>
      <c r="C1073" t="inlineStr">
        <is>
          <t>Associate Director of Operations</t>
        </is>
      </c>
      <c r="D1073" t="inlineStr">
        <is>
          <t>Third Love</t>
        </is>
      </c>
      <c r="F1073" t="inlineStr">
        <is>
          <t>Yes</t>
        </is>
      </c>
      <c r="H1073" t="n">
        <v>10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>
        <f>IFERROR(INDEX('Company Hitlist'!$AA:$AA,MATCH(D1073,'Company Hitlist'!$A:$A,0)),)</f>
        <v/>
      </c>
      <c r="O1073">
        <f>IFERROR(INDEX('Company Hitlist'!$N:$N,MATCH(D1073,'Company Hitlist'!$A:$A,0)),)</f>
        <v/>
      </c>
      <c r="Q1073" t="inlineStr">
        <is>
          <t>todo</t>
        </is>
      </c>
    </row>
    <row r="1074">
      <c r="A1074" t="inlineStr">
        <is>
          <t>Richard Vallery</t>
        </is>
      </c>
      <c r="B1074" t="inlineStr">
        <is>
          <t>Attendee</t>
        </is>
      </c>
      <c r="C1074" t="inlineStr">
        <is>
          <t>Director of Logistics</t>
        </is>
      </c>
      <c r="D1074" t="inlineStr">
        <is>
          <t>Thistle</t>
        </is>
      </c>
      <c r="F1074" t="inlineStr">
        <is>
          <t>Yes</t>
        </is>
      </c>
      <c r="H1074" t="n">
        <v>10</v>
      </c>
      <c r="I1074" t="b">
        <v>1</v>
      </c>
      <c r="J1074" t="b">
        <v>0</v>
      </c>
      <c r="K1074" t="b">
        <v>0</v>
      </c>
      <c r="L1074" t="b">
        <v>0</v>
      </c>
      <c r="M1074" t="b">
        <v>0</v>
      </c>
      <c r="N1074">
        <f>IFERROR(INDEX('Company Hitlist'!$AA:$AA,MATCH(D1074,'Company Hitlist'!$A:$A,0)),)</f>
        <v/>
      </c>
      <c r="O1074">
        <f>IFERROR(INDEX('Company Hitlist'!$N:$N,MATCH(D1074,'Company Hitlist'!$A:$A,0)),)</f>
        <v/>
      </c>
      <c r="Q1074" t="inlineStr">
        <is>
          <t>todo</t>
        </is>
      </c>
    </row>
    <row r="1075">
      <c r="A1075" t="inlineStr">
        <is>
          <t>Alex Garey</t>
        </is>
      </c>
      <c r="B1075" t="inlineStr">
        <is>
          <t>Attendee</t>
        </is>
      </c>
      <c r="C1075" t="inlineStr">
        <is>
          <t>Senior Operations Manager</t>
        </is>
      </c>
      <c r="D1075" t="inlineStr">
        <is>
          <t>Thrasio</t>
        </is>
      </c>
      <c r="H1075" t="n">
        <v>10</v>
      </c>
      <c r="I1075" t="b">
        <v>1</v>
      </c>
      <c r="J1075" t="b">
        <v>0</v>
      </c>
      <c r="K1075" t="b">
        <v>0</v>
      </c>
      <c r="L1075" t="b">
        <v>0</v>
      </c>
      <c r="M1075" t="b">
        <v>0</v>
      </c>
      <c r="N1075">
        <f>IFERROR(INDEX('Company Hitlist'!$AA:$AA,MATCH(D1075,'Company Hitlist'!$A:$A,0)),)</f>
        <v/>
      </c>
      <c r="O1075">
        <f>IFERROR(INDEX('Company Hitlist'!$N:$N,MATCH(D1075,'Company Hitlist'!$A:$A,0)),)</f>
        <v/>
      </c>
      <c r="Q1075" t="inlineStr">
        <is>
          <t>todo</t>
        </is>
      </c>
    </row>
    <row r="1076">
      <c r="A1076" t="inlineStr">
        <is>
          <t>Bran King</t>
        </is>
      </c>
      <c r="B1076" t="inlineStr">
        <is>
          <t>Attendee</t>
        </is>
      </c>
      <c r="C1076" t="inlineStr">
        <is>
          <t>Sr. Director, Transportation</t>
        </is>
      </c>
      <c r="D1076" t="inlineStr">
        <is>
          <t>Thrive Market</t>
        </is>
      </c>
      <c r="F1076" t="inlineStr">
        <is>
          <t>Yes</t>
        </is>
      </c>
      <c r="G1076" t="inlineStr">
        <is>
          <t>700000000</t>
        </is>
      </c>
      <c r="H1076" t="n">
        <v>10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>
        <f>IFERROR(INDEX('Company Hitlist'!$AA:$AA,MATCH(D1076,'Company Hitlist'!$A:$A,0)),)</f>
        <v/>
      </c>
      <c r="O1076">
        <f>IFERROR(INDEX('Company Hitlist'!$N:$N,MATCH(D1076,'Company Hitlist'!$A:$A,0)),)</f>
        <v/>
      </c>
      <c r="Q1076" t="inlineStr">
        <is>
          <t>todo</t>
        </is>
      </c>
    </row>
    <row r="1077">
      <c r="A1077" t="inlineStr">
        <is>
          <t>Rob Young</t>
        </is>
      </c>
      <c r="B1077" t="inlineStr">
        <is>
          <t>Attendee</t>
        </is>
      </c>
      <c r="C1077" t="inlineStr">
        <is>
          <t>Director, Logistics Systems</t>
        </is>
      </c>
      <c r="D1077" t="inlineStr">
        <is>
          <t>Thrive Market</t>
        </is>
      </c>
      <c r="F1077" t="inlineStr">
        <is>
          <t>Yes</t>
        </is>
      </c>
      <c r="G1077" t="inlineStr">
        <is>
          <t>700000000</t>
        </is>
      </c>
      <c r="H1077" t="n">
        <v>10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>
        <f>IFERROR(INDEX('Company Hitlist'!$AA:$AA,MATCH(D1077,'Company Hitlist'!$A:$A,0)),)</f>
        <v/>
      </c>
      <c r="O1077">
        <f>IFERROR(INDEX('Company Hitlist'!$N:$N,MATCH(D1077,'Company Hitlist'!$A:$A,0)),)</f>
        <v/>
      </c>
      <c r="Q1077" t="inlineStr">
        <is>
          <t>todo</t>
        </is>
      </c>
    </row>
    <row r="1078">
      <c r="A1078" t="inlineStr">
        <is>
          <t>Sam Lacy</t>
        </is>
      </c>
      <c r="B1078" t="inlineStr">
        <is>
          <t>Attendee</t>
        </is>
      </c>
      <c r="C1078" t="inlineStr">
        <is>
          <t>Director of Outbound Logistics</t>
        </is>
      </c>
      <c r="D1078" t="inlineStr">
        <is>
          <t>Thuma</t>
        </is>
      </c>
      <c r="F1078" t="inlineStr">
        <is>
          <t>Yes</t>
        </is>
      </c>
      <c r="H1078" t="n">
        <v>10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>
        <f>IFERROR(INDEX('Company Hitlist'!$AA:$AA,MATCH(D1078,'Company Hitlist'!$A:$A,0)),)</f>
        <v/>
      </c>
      <c r="O1078">
        <f>IFERROR(INDEX('Company Hitlist'!$N:$N,MATCH(D1078,'Company Hitlist'!$A:$A,0)),)</f>
        <v/>
      </c>
      <c r="Q1078" t="inlineStr">
        <is>
          <t>todo</t>
        </is>
      </c>
    </row>
    <row r="1079">
      <c r="A1079" t="inlineStr">
        <is>
          <t>Iris Malik</t>
        </is>
      </c>
      <c r="B1079" t="inlineStr">
        <is>
          <t>Attendee</t>
        </is>
      </c>
      <c r="C1079" t="inlineStr">
        <is>
          <t>Transportation Program Manager</t>
        </is>
      </c>
      <c r="D1079" t="inlineStr">
        <is>
          <t>TikTok</t>
        </is>
      </c>
      <c r="E1079" t="inlineStr">
        <is>
          <t>United States</t>
        </is>
      </c>
      <c r="H1079" t="n">
        <v>10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>
        <f>IFERROR(INDEX('Company Hitlist'!$AA:$AA,MATCH(D1079,'Company Hitlist'!$A:$A,0)),)</f>
        <v/>
      </c>
      <c r="O1079">
        <f>IFERROR(INDEX('Company Hitlist'!$N:$N,MATCH(D1079,'Company Hitlist'!$A:$A,0)),)</f>
        <v/>
      </c>
      <c r="Q1079" t="inlineStr">
        <is>
          <t>todo</t>
        </is>
      </c>
    </row>
    <row r="1080">
      <c r="A1080" t="inlineStr">
        <is>
          <t>Lindsey Suddarth</t>
        </is>
      </c>
      <c r="B1080" t="inlineStr">
        <is>
          <t>Attendee</t>
        </is>
      </c>
      <c r="C1080" t="inlineStr">
        <is>
          <t>Director Inbound Logistics</t>
        </is>
      </c>
      <c r="D1080" t="inlineStr">
        <is>
          <t>Tractor Supply</t>
        </is>
      </c>
      <c r="H1080" t="n">
        <v>10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>
        <f>IFERROR(INDEX('Company Hitlist'!$AA:$AA,MATCH(D1080,'Company Hitlist'!$A:$A,0)),)</f>
        <v/>
      </c>
      <c r="O1080">
        <f>IFERROR(INDEX('Company Hitlist'!$N:$N,MATCH(D1080,'Company Hitlist'!$A:$A,0)),)</f>
        <v/>
      </c>
      <c r="Q1080" t="inlineStr">
        <is>
          <t>todo</t>
        </is>
      </c>
    </row>
    <row r="1081">
      <c r="A1081" t="inlineStr">
        <is>
          <t>Sean Davies</t>
        </is>
      </c>
      <c r="B1081" t="inlineStr">
        <is>
          <t>Attendee</t>
        </is>
      </c>
      <c r="C1081" t="inlineStr">
        <is>
          <t>Logistics Manager</t>
        </is>
      </c>
      <c r="D1081" t="inlineStr">
        <is>
          <t>Trident Seafoods</t>
        </is>
      </c>
      <c r="H1081" t="n">
        <v>10</v>
      </c>
      <c r="I1081" t="b">
        <v>1</v>
      </c>
      <c r="J1081" t="b">
        <v>0</v>
      </c>
      <c r="K1081" t="b">
        <v>0</v>
      </c>
      <c r="L1081" t="b">
        <v>0</v>
      </c>
      <c r="M1081" t="b">
        <v>0</v>
      </c>
      <c r="N1081">
        <f>IFERROR(INDEX('Company Hitlist'!$AA:$AA,MATCH(D1081,'Company Hitlist'!$A:$A,0)),)</f>
        <v/>
      </c>
      <c r="O1081">
        <f>IFERROR(INDEX('Company Hitlist'!$N:$N,MATCH(D1081,'Company Hitlist'!$A:$A,0)),)</f>
        <v/>
      </c>
      <c r="Q1081" t="inlineStr">
        <is>
          <t>todo</t>
        </is>
      </c>
    </row>
    <row r="1082">
      <c r="A1082" t="inlineStr">
        <is>
          <t>Lexy Malbrue</t>
        </is>
      </c>
      <c r="B1082" t="inlineStr">
        <is>
          <t>Attendee</t>
        </is>
      </c>
      <c r="C1082" t="inlineStr">
        <is>
          <t>Director of Logistics</t>
        </is>
      </c>
      <c r="D1082" t="inlineStr">
        <is>
          <t>Triple S Steel</t>
        </is>
      </c>
      <c r="H1082" t="n">
        <v>10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>
        <f>IFERROR(INDEX('Company Hitlist'!$AA:$AA,MATCH(D1082,'Company Hitlist'!$A:$A,0)),)</f>
        <v/>
      </c>
      <c r="O1082">
        <f>IFERROR(INDEX('Company Hitlist'!$N:$N,MATCH(D1082,'Company Hitlist'!$A:$A,0)),)</f>
        <v/>
      </c>
      <c r="Q1082" t="inlineStr">
        <is>
          <t>todo</t>
        </is>
      </c>
    </row>
    <row r="1083">
      <c r="A1083" t="inlineStr">
        <is>
          <t>William Carter</t>
        </is>
      </c>
      <c r="B1083" t="inlineStr">
        <is>
          <t>Attendee</t>
        </is>
      </c>
      <c r="C1083" t="inlineStr">
        <is>
          <t>AVP Operations</t>
        </is>
      </c>
      <c r="D1083" t="inlineStr">
        <is>
          <t>Tropical Shipping</t>
        </is>
      </c>
      <c r="E1083" t="inlineStr">
        <is>
          <t>United States</t>
        </is>
      </c>
      <c r="F1083" t="inlineStr">
        <is>
          <t>Yes</t>
        </is>
      </c>
      <c r="H1083" t="n">
        <v>10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>
        <f>IFERROR(INDEX('Company Hitlist'!$AA:$AA,MATCH(D1083,'Company Hitlist'!$A:$A,0)),)</f>
        <v/>
      </c>
      <c r="O1083">
        <f>IFERROR(INDEX('Company Hitlist'!$N:$N,MATCH(D1083,'Company Hitlist'!$A:$A,0)),)</f>
        <v/>
      </c>
      <c r="Q1083" t="inlineStr">
        <is>
          <t>todo</t>
        </is>
      </c>
    </row>
    <row r="1084">
      <c r="A1084" t="inlineStr">
        <is>
          <t>Kraig Lefrancois</t>
        </is>
      </c>
      <c r="B1084" t="inlineStr">
        <is>
          <t>Attendee</t>
        </is>
      </c>
      <c r="C1084" t="inlineStr">
        <is>
          <t>Director of Transportation</t>
        </is>
      </c>
      <c r="D1084" t="inlineStr">
        <is>
          <t>Tropicana</t>
        </is>
      </c>
      <c r="F1084" t="inlineStr">
        <is>
          <t>Yes</t>
        </is>
      </c>
      <c r="H1084" t="n">
        <v>10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>
        <f>IFERROR(INDEX('Company Hitlist'!$AA:$AA,MATCH(D1084,'Company Hitlist'!$A:$A,0)),)</f>
        <v/>
      </c>
      <c r="O1084">
        <f>IFERROR(INDEX('Company Hitlist'!$N:$N,MATCH(D1084,'Company Hitlist'!$A:$A,0)),)</f>
        <v/>
      </c>
      <c r="Q1084" t="inlineStr">
        <is>
          <t>todo</t>
        </is>
      </c>
    </row>
    <row r="1085">
      <c r="A1085" t="inlineStr">
        <is>
          <t>Todd Powers</t>
        </is>
      </c>
      <c r="B1085" t="inlineStr">
        <is>
          <t>Attendee</t>
        </is>
      </c>
      <c r="C1085" t="inlineStr">
        <is>
          <t>Senior Manager, Transportation</t>
        </is>
      </c>
      <c r="D1085" t="inlineStr">
        <is>
          <t>Tropicana</t>
        </is>
      </c>
      <c r="H1085" t="n">
        <v>10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>
        <f>IFERROR(INDEX('Company Hitlist'!$AA:$AA,MATCH(D1085,'Company Hitlist'!$A:$A,0)),)</f>
        <v/>
      </c>
      <c r="O1085">
        <f>IFERROR(INDEX('Company Hitlist'!$N:$N,MATCH(D1085,'Company Hitlist'!$A:$A,0)),)</f>
        <v/>
      </c>
      <c r="Q1085" t="inlineStr">
        <is>
          <t>todo</t>
        </is>
      </c>
    </row>
    <row r="1086">
      <c r="A1086" t="inlineStr">
        <is>
          <t>Bryan Plazo</t>
        </is>
      </c>
      <c r="B1086" t="inlineStr">
        <is>
          <t>Attendee</t>
        </is>
      </c>
      <c r="C1086" t="inlineStr">
        <is>
          <t>Sr Fulfillment Officer</t>
        </is>
      </c>
      <c r="D1086" t="inlineStr">
        <is>
          <t>TruConnect</t>
        </is>
      </c>
      <c r="F1086" t="inlineStr">
        <is>
          <t>Yes</t>
        </is>
      </c>
      <c r="H1086" t="n">
        <v>10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>
        <f>IFERROR(INDEX('Company Hitlist'!$AA:$AA,MATCH(D1086,'Company Hitlist'!$A:$A,0)),)</f>
        <v/>
      </c>
      <c r="O1086">
        <f>IFERROR(INDEX('Company Hitlist'!$N:$N,MATCH(D1086,'Company Hitlist'!$A:$A,0)),)</f>
        <v/>
      </c>
      <c r="Q1086" t="inlineStr">
        <is>
          <t>todo</t>
        </is>
      </c>
    </row>
    <row r="1087">
      <c r="A1087" t="inlineStr">
        <is>
          <t>David Tran</t>
        </is>
      </c>
      <c r="B1087" t="inlineStr">
        <is>
          <t>Attendee</t>
        </is>
      </c>
      <c r="C1087" t="inlineStr">
        <is>
          <t>Senior Management, Supply Chain &amp; Logistics Strategist</t>
        </is>
      </c>
      <c r="D1087" t="inlineStr">
        <is>
          <t>TruConnect</t>
        </is>
      </c>
      <c r="H1087" t="n">
        <v>10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>
        <f>IFERROR(INDEX('Company Hitlist'!$AA:$AA,MATCH(D1087,'Company Hitlist'!$A:$A,0)),)</f>
        <v/>
      </c>
      <c r="O1087">
        <f>IFERROR(INDEX('Company Hitlist'!$N:$N,MATCH(D1087,'Company Hitlist'!$A:$A,0)),)</f>
        <v/>
      </c>
      <c r="Q1087" t="inlineStr">
        <is>
          <t>todo</t>
        </is>
      </c>
    </row>
    <row r="1088">
      <c r="A1088" t="inlineStr">
        <is>
          <t>Joey DeGuzman</t>
        </is>
      </c>
      <c r="B1088" t="inlineStr">
        <is>
          <t>Attendee</t>
        </is>
      </c>
      <c r="C1088" t="inlineStr">
        <is>
          <t>Sr Supply Chain Manager</t>
        </is>
      </c>
      <c r="D1088" t="inlineStr">
        <is>
          <t>TruConnect</t>
        </is>
      </c>
      <c r="H1088" t="n">
        <v>10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>
        <f>IFERROR(INDEX('Company Hitlist'!$AA:$AA,MATCH(D1088,'Company Hitlist'!$A:$A,0)),)</f>
        <v/>
      </c>
      <c r="O1088">
        <f>IFERROR(INDEX('Company Hitlist'!$N:$N,MATCH(D1088,'Company Hitlist'!$A:$A,0)),)</f>
        <v/>
      </c>
      <c r="Q1088" t="inlineStr">
        <is>
          <t>todo</t>
        </is>
      </c>
    </row>
    <row r="1089">
      <c r="A1089" t="inlineStr">
        <is>
          <t>Victoria Jones</t>
        </is>
      </c>
      <c r="B1089" t="inlineStr">
        <is>
          <t>Attendee</t>
        </is>
      </c>
      <c r="C1089" t="inlineStr">
        <is>
          <t>Supply Chain Specialist</t>
        </is>
      </c>
      <c r="D1089" t="inlineStr">
        <is>
          <t>Tyers Foods</t>
        </is>
      </c>
      <c r="E1089" t="inlineStr">
        <is>
          <t>United States</t>
        </is>
      </c>
      <c r="H1089" t="n">
        <v>10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>
        <f>IFERROR(INDEX('Company Hitlist'!$AA:$AA,MATCH(D1089,'Company Hitlist'!$A:$A,0)),)</f>
        <v/>
      </c>
      <c r="O1089">
        <f>IFERROR(INDEX('Company Hitlist'!$N:$N,MATCH(D1089,'Company Hitlist'!$A:$A,0)),)</f>
        <v/>
      </c>
      <c r="Q1089" t="inlineStr">
        <is>
          <t>todo</t>
        </is>
      </c>
    </row>
    <row r="1090">
      <c r="A1090" t="inlineStr">
        <is>
          <t>Chris Plant</t>
        </is>
      </c>
      <c r="B1090" t="inlineStr">
        <is>
          <t>Attendee</t>
        </is>
      </c>
      <c r="C1090" t="inlineStr">
        <is>
          <t>Director of Transportation</t>
        </is>
      </c>
      <c r="D1090" t="inlineStr">
        <is>
          <t>Tyson Foods</t>
        </is>
      </c>
      <c r="H1090" t="n">
        <v>10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>
        <f>IFERROR(INDEX('Company Hitlist'!$AA:$AA,MATCH(D1090,'Company Hitlist'!$A:$A,0)),)</f>
        <v/>
      </c>
      <c r="O1090">
        <f>IFERROR(INDEX('Company Hitlist'!$N:$N,MATCH(D1090,'Company Hitlist'!$A:$A,0)),)</f>
        <v/>
      </c>
      <c r="Q1090" t="inlineStr">
        <is>
          <t>todo</t>
        </is>
      </c>
    </row>
    <row r="1091">
      <c r="A1091" t="inlineStr">
        <is>
          <t>Mike Carlisle</t>
        </is>
      </c>
      <c r="B1091" t="inlineStr">
        <is>
          <t>Attendee</t>
        </is>
      </c>
      <c r="C1091" t="inlineStr">
        <is>
          <t>Senior Director , Logistics Operations</t>
        </is>
      </c>
      <c r="D1091" t="inlineStr">
        <is>
          <t>US Cold Storage</t>
        </is>
      </c>
      <c r="H1091" t="n">
        <v>10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  <c r="N1091">
        <f>IFERROR(INDEX('Company Hitlist'!$AA:$AA,MATCH(D1091,'Company Hitlist'!$A:$A,0)),)</f>
        <v/>
      </c>
      <c r="O1091">
        <f>IFERROR(INDEX('Company Hitlist'!$N:$N,MATCH(D1091,'Company Hitlist'!$A:$A,0)),)</f>
        <v/>
      </c>
      <c r="Q1091" t="inlineStr">
        <is>
          <t>todo</t>
        </is>
      </c>
    </row>
    <row r="1092">
      <c r="A1092" t="inlineStr">
        <is>
          <t>Kyle Rubright</t>
        </is>
      </c>
      <c r="B1092" t="inlineStr">
        <is>
          <t>Attendee</t>
        </is>
      </c>
      <c r="C1092" t="inlineStr">
        <is>
          <t>Director of Logistics</t>
        </is>
      </c>
      <c r="D1092" t="inlineStr">
        <is>
          <t>US Silica</t>
        </is>
      </c>
      <c r="H1092" t="n">
        <v>10</v>
      </c>
      <c r="I1092" t="b">
        <v>1</v>
      </c>
      <c r="J1092" t="b">
        <v>0</v>
      </c>
      <c r="K1092" t="b">
        <v>0</v>
      </c>
      <c r="L1092" t="b">
        <v>0</v>
      </c>
      <c r="M1092" t="b">
        <v>0</v>
      </c>
      <c r="N1092">
        <f>IFERROR(INDEX('Company Hitlist'!$AA:$AA,MATCH(D1092,'Company Hitlist'!$A:$A,0)),)</f>
        <v/>
      </c>
      <c r="O1092">
        <f>IFERROR(INDEX('Company Hitlist'!$N:$N,MATCH(D1092,'Company Hitlist'!$A:$A,0)),)</f>
        <v/>
      </c>
      <c r="Q1092" t="inlineStr">
        <is>
          <t>todo</t>
        </is>
      </c>
    </row>
    <row r="1093">
      <c r="A1093" t="inlineStr">
        <is>
          <t>Amy Augustine</t>
        </is>
      </c>
      <c r="B1093" t="inlineStr">
        <is>
          <t>Attendee</t>
        </is>
      </c>
      <c r="C1093" t="inlineStr">
        <is>
          <t>Senior Director Network Supply Chain</t>
        </is>
      </c>
      <c r="D1093" t="inlineStr">
        <is>
          <t>UScellular</t>
        </is>
      </c>
      <c r="H1093" t="n">
        <v>10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>
        <f>IFERROR(INDEX('Company Hitlist'!$AA:$AA,MATCH(D1093,'Company Hitlist'!$A:$A,0)),)</f>
        <v/>
      </c>
      <c r="O1093">
        <f>IFERROR(INDEX('Company Hitlist'!$N:$N,MATCH(D1093,'Company Hitlist'!$A:$A,0)),)</f>
        <v/>
      </c>
      <c r="Q1093" t="inlineStr">
        <is>
          <t>todo</t>
        </is>
      </c>
    </row>
    <row r="1094">
      <c r="A1094" t="inlineStr">
        <is>
          <t>Kyle Bartko</t>
        </is>
      </c>
      <c r="B1094" t="inlineStr">
        <is>
          <t>Attendee</t>
        </is>
      </c>
      <c r="C1094" t="inlineStr">
        <is>
          <t>Director of Logistics</t>
        </is>
      </c>
      <c r="D1094" t="inlineStr">
        <is>
          <t>Uline</t>
        </is>
      </c>
      <c r="F1094" t="inlineStr">
        <is>
          <t>Yes</t>
        </is>
      </c>
      <c r="G1094" t="inlineStr">
        <is>
          <t>11000000000</t>
        </is>
      </c>
      <c r="H1094" t="n">
        <v>10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>
        <f>IFERROR(INDEX('Company Hitlist'!$AA:$AA,MATCH(D1094,'Company Hitlist'!$A:$A,0)),)</f>
        <v/>
      </c>
      <c r="O1094">
        <f>IFERROR(INDEX('Company Hitlist'!$N:$N,MATCH(D1094,'Company Hitlist'!$A:$A,0)),)</f>
        <v/>
      </c>
      <c r="Q1094" t="inlineStr">
        <is>
          <t>todo</t>
        </is>
      </c>
    </row>
    <row r="1095">
      <c r="A1095" t="inlineStr">
        <is>
          <t>Paul Ancona</t>
        </is>
      </c>
      <c r="B1095" t="inlineStr">
        <is>
          <t>Attendee</t>
        </is>
      </c>
      <c r="C1095" t="inlineStr">
        <is>
          <t>Director of Operations</t>
        </is>
      </c>
      <c r="D1095" t="inlineStr">
        <is>
          <t>Uline</t>
        </is>
      </c>
      <c r="F1095" t="inlineStr">
        <is>
          <t>Yes</t>
        </is>
      </c>
      <c r="G1095" t="inlineStr">
        <is>
          <t>11000000000</t>
        </is>
      </c>
      <c r="H1095" t="n">
        <v>10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>
        <f>IFERROR(INDEX('Company Hitlist'!$AA:$AA,MATCH(D1095,'Company Hitlist'!$A:$A,0)),)</f>
        <v/>
      </c>
      <c r="O1095">
        <f>IFERROR(INDEX('Company Hitlist'!$N:$N,MATCH(D1095,'Company Hitlist'!$A:$A,0)),)</f>
        <v/>
      </c>
      <c r="Q1095" t="inlineStr">
        <is>
          <t>todo</t>
        </is>
      </c>
    </row>
    <row r="1096">
      <c r="A1096" t="inlineStr">
        <is>
          <t>Jen Martin</t>
        </is>
      </c>
      <c r="B1096" t="inlineStr">
        <is>
          <t>Attendee</t>
        </is>
      </c>
      <c r="C1096" t="inlineStr">
        <is>
          <t>Logistics Manager</t>
        </is>
      </c>
      <c r="D1096" t="inlineStr">
        <is>
          <t>Uline</t>
        </is>
      </c>
      <c r="E1096" t="inlineStr">
        <is>
          <t>United States</t>
        </is>
      </c>
      <c r="H1096" t="n">
        <v>10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>
        <f>IFERROR(INDEX('Company Hitlist'!$AA:$AA,MATCH(D1096,'Company Hitlist'!$A:$A,0)),)</f>
        <v/>
      </c>
      <c r="O1096">
        <f>IFERROR(INDEX('Company Hitlist'!$N:$N,MATCH(D1096,'Company Hitlist'!$A:$A,0)),)</f>
        <v/>
      </c>
      <c r="Q1096" t="inlineStr">
        <is>
          <t>todo</t>
        </is>
      </c>
    </row>
    <row r="1097">
      <c r="A1097" t="inlineStr">
        <is>
          <t>Andreas Andrea</t>
        </is>
      </c>
      <c r="B1097" t="inlineStr">
        <is>
          <t>Attendee</t>
        </is>
      </c>
      <c r="C1097" t="inlineStr">
        <is>
          <t>Director, Distribution &amp; Logistics</t>
        </is>
      </c>
      <c r="D1097" t="inlineStr">
        <is>
          <t>Unilever Prestige</t>
        </is>
      </c>
      <c r="F1097" t="inlineStr">
        <is>
          <t>Yes</t>
        </is>
      </c>
      <c r="G1097" t="inlineStr">
        <is>
          <t>$686M (2025 est.; part of Unilever) (ICP match)</t>
        </is>
      </c>
      <c r="H1097" t="n">
        <v>10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>
        <f>IFERROR(INDEX('Company Hitlist'!$AA:$AA,MATCH(D1097,'Company Hitlist'!$A:$A,0)),)</f>
        <v/>
      </c>
      <c r="O1097">
        <f>IFERROR(INDEX('Company Hitlist'!$N:$N,MATCH(D1097,'Company Hitlist'!$A:$A,0)),)</f>
        <v/>
      </c>
      <c r="Q1097" t="inlineStr">
        <is>
          <t>todo</t>
        </is>
      </c>
    </row>
    <row r="1098">
      <c r="A1098" t="inlineStr">
        <is>
          <t>Joe Barber</t>
        </is>
      </c>
      <c r="B1098" t="inlineStr">
        <is>
          <t>Attendee</t>
        </is>
      </c>
      <c r="C1098" t="inlineStr">
        <is>
          <t>Logistics PM Director</t>
        </is>
      </c>
      <c r="D1098" t="inlineStr">
        <is>
          <t>Unilever Prestige</t>
        </is>
      </c>
      <c r="F1098" t="inlineStr">
        <is>
          <t>Yes</t>
        </is>
      </c>
      <c r="G1098" t="inlineStr">
        <is>
          <t>$686M (2025 est.; part of Unilever) (ICP match)</t>
        </is>
      </c>
      <c r="H1098" t="n">
        <v>10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>
        <f>IFERROR(INDEX('Company Hitlist'!$AA:$AA,MATCH(D1098,'Company Hitlist'!$A:$A,0)),)</f>
        <v/>
      </c>
      <c r="O1098">
        <f>IFERROR(INDEX('Company Hitlist'!$N:$N,MATCH(D1098,'Company Hitlist'!$A:$A,0)),)</f>
        <v/>
      </c>
      <c r="Q1098" t="inlineStr">
        <is>
          <t>todo</t>
        </is>
      </c>
    </row>
    <row r="1099">
      <c r="A1099" t="inlineStr">
        <is>
          <t>Mitch Kinney</t>
        </is>
      </c>
      <c r="B1099" t="inlineStr">
        <is>
          <t>Attendee</t>
        </is>
      </c>
      <c r="C1099" t="inlineStr">
        <is>
          <t>Director of Global Transportation</t>
        </is>
      </c>
      <c r="D1099" t="inlineStr">
        <is>
          <t>Unilever Prestige</t>
        </is>
      </c>
      <c r="F1099" t="inlineStr">
        <is>
          <t>Yes</t>
        </is>
      </c>
      <c r="G1099" t="inlineStr">
        <is>
          <t>$686M (2025 est.; part of Unilever) (ICP match)</t>
        </is>
      </c>
      <c r="H1099" t="n">
        <v>10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>
        <f>IFERROR(INDEX('Company Hitlist'!$AA:$AA,MATCH(D1099,'Company Hitlist'!$A:$A,0)),)</f>
        <v/>
      </c>
      <c r="O1099">
        <f>IFERROR(INDEX('Company Hitlist'!$N:$N,MATCH(D1099,'Company Hitlist'!$A:$A,0)),)</f>
        <v/>
      </c>
      <c r="Q1099" t="inlineStr">
        <is>
          <t>todo</t>
        </is>
      </c>
    </row>
    <row r="1100">
      <c r="A1100" t="inlineStr">
        <is>
          <t>Mindy Luong</t>
        </is>
      </c>
      <c r="B1100" t="inlineStr">
        <is>
          <t>Attendee</t>
        </is>
      </c>
      <c r="C1100" t="inlineStr">
        <is>
          <t>Senior Director, Supply Chain</t>
        </is>
      </c>
      <c r="D1100" t="inlineStr">
        <is>
          <t>Unilever Prestige - Hourglass Cosmetics</t>
        </is>
      </c>
      <c r="E1100" t="inlineStr">
        <is>
          <t>United States</t>
        </is>
      </c>
      <c r="H1100" t="n">
        <v>10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>
        <f>IFERROR(INDEX('Company Hitlist'!$AA:$AA,MATCH(D1100,'Company Hitlist'!$A:$A,0)),)</f>
        <v/>
      </c>
      <c r="O1100">
        <f>IFERROR(INDEX('Company Hitlist'!$N:$N,MATCH(D1100,'Company Hitlist'!$A:$A,0)),)</f>
        <v/>
      </c>
      <c r="Q1100" t="inlineStr">
        <is>
          <t>todo</t>
        </is>
      </c>
    </row>
    <row r="1101">
      <c r="A1101" t="inlineStr">
        <is>
          <t>Dan Curley</t>
        </is>
      </c>
      <c r="B1101" t="inlineStr">
        <is>
          <t>Attendee</t>
        </is>
      </c>
      <c r="C1101" t="inlineStr">
        <is>
          <t>Sr Analyst - Transportation</t>
        </is>
      </c>
      <c r="D1101" t="inlineStr">
        <is>
          <t>United Airlines</t>
        </is>
      </c>
      <c r="E1101" t="inlineStr">
        <is>
          <t>United States</t>
        </is>
      </c>
      <c r="H1101" t="n">
        <v>10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>
        <f>IFERROR(INDEX('Company Hitlist'!$AA:$AA,MATCH(D1101,'Company Hitlist'!$A:$A,0)),)</f>
        <v/>
      </c>
      <c r="O1101">
        <f>IFERROR(INDEX('Company Hitlist'!$N:$N,MATCH(D1101,'Company Hitlist'!$A:$A,0)),)</f>
        <v/>
      </c>
      <c r="Q1101" t="inlineStr">
        <is>
          <t>todo</t>
        </is>
      </c>
    </row>
    <row r="1102">
      <c r="A1102" t="inlineStr">
        <is>
          <t>Tammy Terranova Gomez</t>
        </is>
      </c>
      <c r="B1102" t="inlineStr">
        <is>
          <t>Attendee</t>
        </is>
      </c>
      <c r="C1102" t="inlineStr">
        <is>
          <t>Manager of Provisioning, End User Services, IMAC, Logistics and Depot</t>
        </is>
      </c>
      <c r="D1102" t="inlineStr">
        <is>
          <t>United Airlines</t>
        </is>
      </c>
      <c r="E1102" t="inlineStr">
        <is>
          <t>United States</t>
        </is>
      </c>
      <c r="H1102" t="n">
        <v>10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>
        <f>IFERROR(INDEX('Company Hitlist'!$AA:$AA,MATCH(D1102,'Company Hitlist'!$A:$A,0)),)</f>
        <v/>
      </c>
      <c r="O1102">
        <f>IFERROR(INDEX('Company Hitlist'!$N:$N,MATCH(D1102,'Company Hitlist'!$A:$A,0)),)</f>
        <v/>
      </c>
      <c r="Q1102" t="inlineStr">
        <is>
          <t>todo</t>
        </is>
      </c>
    </row>
    <row r="1103">
      <c r="A1103" t="inlineStr">
        <is>
          <t>Max Clink</t>
        </is>
      </c>
      <c r="B1103" t="inlineStr">
        <is>
          <t>Attendee</t>
        </is>
      </c>
      <c r="C1103" t="inlineStr">
        <is>
          <t>Senior Manager - Transportation &amp; Logistics</t>
        </is>
      </c>
      <c r="D1103" t="inlineStr">
        <is>
          <t>United Airlines</t>
        </is>
      </c>
      <c r="H1103" t="n">
        <v>10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>
        <f>IFERROR(INDEX('Company Hitlist'!$AA:$AA,MATCH(D1103,'Company Hitlist'!$A:$A,0)),)</f>
        <v/>
      </c>
      <c r="O1103">
        <f>IFERROR(INDEX('Company Hitlist'!$N:$N,MATCH(D1103,'Company Hitlist'!$A:$A,0)),)</f>
        <v/>
      </c>
      <c r="Q1103" t="inlineStr">
        <is>
          <t>todo</t>
        </is>
      </c>
    </row>
    <row r="1104">
      <c r="A1104" t="inlineStr">
        <is>
          <t>Jacob Johnloz</t>
        </is>
      </c>
      <c r="B1104" t="inlineStr">
        <is>
          <t>Attendee</t>
        </is>
      </c>
      <c r="C1104" t="inlineStr">
        <is>
          <t>Operations Manager</t>
        </is>
      </c>
      <c r="D1104" t="inlineStr">
        <is>
          <t>United Art &amp; Education</t>
        </is>
      </c>
      <c r="H1104" t="n">
        <v>10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>
        <f>IFERROR(INDEX('Company Hitlist'!$AA:$AA,MATCH(D1104,'Company Hitlist'!$A:$A,0)),)</f>
        <v/>
      </c>
      <c r="O1104">
        <f>IFERROR(INDEX('Company Hitlist'!$N:$N,MATCH(D1104,'Company Hitlist'!$A:$A,0)),)</f>
        <v/>
      </c>
      <c r="Q1104" t="inlineStr">
        <is>
          <t>todo</t>
        </is>
      </c>
    </row>
    <row r="1105">
      <c r="A1105" t="inlineStr">
        <is>
          <t>Matthew McClure</t>
        </is>
      </c>
      <c r="B1105" t="inlineStr">
        <is>
          <t>Attendee</t>
        </is>
      </c>
      <c r="C1105" t="inlineStr">
        <is>
          <t>Corporate Logistics Manager</t>
        </is>
      </c>
      <c r="D1105" t="inlineStr">
        <is>
          <t>United Facilities</t>
        </is>
      </c>
      <c r="E1105" t="inlineStr">
        <is>
          <t>United States</t>
        </is>
      </c>
      <c r="H1105" t="n">
        <v>10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>
        <f>IFERROR(INDEX('Company Hitlist'!$AA:$AA,MATCH(D1105,'Company Hitlist'!$A:$A,0)),)</f>
        <v/>
      </c>
      <c r="O1105">
        <f>IFERROR(INDEX('Company Hitlist'!$N:$N,MATCH(D1105,'Company Hitlist'!$A:$A,0)),)</f>
        <v/>
      </c>
      <c r="Q1105" t="inlineStr">
        <is>
          <t>todo</t>
        </is>
      </c>
    </row>
    <row r="1106">
      <c r="A1106" t="inlineStr">
        <is>
          <t>Peter Hawkins</t>
        </is>
      </c>
      <c r="B1106" t="inlineStr">
        <is>
          <t>Attendee</t>
        </is>
      </c>
      <c r="C1106" t="inlineStr">
        <is>
          <t>Senior Director of Operations</t>
        </is>
      </c>
      <c r="D1106" t="inlineStr">
        <is>
          <t>United Facilities</t>
        </is>
      </c>
      <c r="E1106" t="inlineStr">
        <is>
          <t>United States</t>
        </is>
      </c>
      <c r="H1106" t="n">
        <v>10</v>
      </c>
      <c r="I1106" t="b">
        <v>1</v>
      </c>
      <c r="J1106" t="b">
        <v>0</v>
      </c>
      <c r="K1106" t="b">
        <v>0</v>
      </c>
      <c r="L1106" t="b">
        <v>0</v>
      </c>
      <c r="M1106" t="b">
        <v>0</v>
      </c>
      <c r="N1106">
        <f>IFERROR(INDEX('Company Hitlist'!$AA:$AA,MATCH(D1106,'Company Hitlist'!$A:$A,0)),)</f>
        <v/>
      </c>
      <c r="O1106">
        <f>IFERROR(INDEX('Company Hitlist'!$N:$N,MATCH(D1106,'Company Hitlist'!$A:$A,0)),)</f>
        <v/>
      </c>
      <c r="Q1106" t="inlineStr">
        <is>
          <t>todo</t>
        </is>
      </c>
    </row>
    <row r="1107">
      <c r="A1107" t="inlineStr">
        <is>
          <t>Chad Schaefer</t>
        </is>
      </c>
      <c r="B1107" t="inlineStr">
        <is>
          <t>Attendee</t>
        </is>
      </c>
      <c r="C1107" t="inlineStr">
        <is>
          <t>Manager of Engineered Logistics Systems</t>
        </is>
      </c>
      <c r="D1107" t="inlineStr">
        <is>
          <t>United Warehouse Company</t>
        </is>
      </c>
      <c r="E1107" t="inlineStr">
        <is>
          <t>United States</t>
        </is>
      </c>
      <c r="H1107" t="n">
        <v>10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>
        <f>IFERROR(INDEX('Company Hitlist'!$AA:$AA,MATCH(D1107,'Company Hitlist'!$A:$A,0)),)</f>
        <v/>
      </c>
      <c r="O1107">
        <f>IFERROR(INDEX('Company Hitlist'!$N:$N,MATCH(D1107,'Company Hitlist'!$A:$A,0)),)</f>
        <v/>
      </c>
      <c r="Q1107" t="inlineStr">
        <is>
          <t>todo</t>
        </is>
      </c>
    </row>
    <row r="1108">
      <c r="A1108" t="inlineStr">
        <is>
          <t>Jack Shires</t>
        </is>
      </c>
      <c r="B1108" t="inlineStr">
        <is>
          <t>Attendee</t>
        </is>
      </c>
      <c r="C1108" t="inlineStr">
        <is>
          <t>Director, Transportation</t>
        </is>
      </c>
      <c r="D1108" t="inlineStr">
        <is>
          <t>Univar Solutions</t>
        </is>
      </c>
      <c r="F1108" t="inlineStr">
        <is>
          <t>Yes</t>
        </is>
      </c>
      <c r="H1108" t="n">
        <v>10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>
        <f>IFERROR(INDEX('Company Hitlist'!$AA:$AA,MATCH(D1108,'Company Hitlist'!$A:$A,0)),)</f>
        <v/>
      </c>
      <c r="O1108">
        <f>IFERROR(INDEX('Company Hitlist'!$N:$N,MATCH(D1108,'Company Hitlist'!$A:$A,0)),)</f>
        <v/>
      </c>
      <c r="Q1108" t="inlineStr">
        <is>
          <t>todo</t>
        </is>
      </c>
    </row>
    <row r="1109">
      <c r="A1109" t="inlineStr">
        <is>
          <t>Travis Vedral</t>
        </is>
      </c>
      <c r="B1109" t="inlineStr">
        <is>
          <t>Attendee</t>
        </is>
      </c>
      <c r="C1109" t="inlineStr">
        <is>
          <t>Sr. Director, Transportation Strategy</t>
        </is>
      </c>
      <c r="D1109" t="inlineStr">
        <is>
          <t>Univar Solutions</t>
        </is>
      </c>
      <c r="F1109" t="inlineStr">
        <is>
          <t>Yes</t>
        </is>
      </c>
      <c r="H1109" t="n">
        <v>10</v>
      </c>
      <c r="I1109" t="b">
        <v>1</v>
      </c>
      <c r="J1109" t="b">
        <v>0</v>
      </c>
      <c r="K1109" t="b">
        <v>0</v>
      </c>
      <c r="L1109" t="b">
        <v>0</v>
      </c>
      <c r="M1109" t="b">
        <v>0</v>
      </c>
      <c r="N1109">
        <f>IFERROR(INDEX('Company Hitlist'!$AA:$AA,MATCH(D1109,'Company Hitlist'!$A:$A,0)),)</f>
        <v/>
      </c>
      <c r="O1109">
        <f>IFERROR(INDEX('Company Hitlist'!$N:$N,MATCH(D1109,'Company Hitlist'!$A:$A,0)),)</f>
        <v/>
      </c>
      <c r="Q1109" t="inlineStr">
        <is>
          <t>todo</t>
        </is>
      </c>
    </row>
    <row r="1110">
      <c r="A1110" t="inlineStr">
        <is>
          <t>Bill Weissenberg</t>
        </is>
      </c>
      <c r="B1110" t="inlineStr">
        <is>
          <t>Attendee</t>
        </is>
      </c>
      <c r="C1110" t="inlineStr">
        <is>
          <t>Senior Manager of Supply Chain</t>
        </is>
      </c>
      <c r="D1110" t="inlineStr">
        <is>
          <t>Veridian Health Care</t>
        </is>
      </c>
      <c r="H1110" t="n">
        <v>10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>
        <f>IFERROR(INDEX('Company Hitlist'!$AA:$AA,MATCH(D1110,'Company Hitlist'!$A:$A,0)),)</f>
        <v/>
      </c>
      <c r="O1110">
        <f>IFERROR(INDEX('Company Hitlist'!$N:$N,MATCH(D1110,'Company Hitlist'!$A:$A,0)),)</f>
        <v/>
      </c>
      <c r="Q1110" t="inlineStr">
        <is>
          <t>todo</t>
        </is>
      </c>
    </row>
    <row r="1111">
      <c r="A1111" t="inlineStr">
        <is>
          <t>Justin Lu</t>
        </is>
      </c>
      <c r="B1111" t="inlineStr">
        <is>
          <t>Attendee</t>
        </is>
      </c>
      <c r="C1111" t="inlineStr">
        <is>
          <t>Operations Manager</t>
        </is>
      </c>
      <c r="D1111" t="inlineStr">
        <is>
          <t>Vesta Fitness</t>
        </is>
      </c>
      <c r="H1111" t="n">
        <v>10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>
        <f>IFERROR(INDEX('Company Hitlist'!$AA:$AA,MATCH(D1111,'Company Hitlist'!$A:$A,0)),)</f>
        <v/>
      </c>
      <c r="O1111">
        <f>IFERROR(INDEX('Company Hitlist'!$N:$N,MATCH(D1111,'Company Hitlist'!$A:$A,0)),)</f>
        <v/>
      </c>
      <c r="Q1111" t="inlineStr">
        <is>
          <t>todo</t>
        </is>
      </c>
    </row>
    <row r="1112">
      <c r="A1112" t="inlineStr">
        <is>
          <t>Femi Popoola</t>
        </is>
      </c>
      <c r="B1112" t="inlineStr">
        <is>
          <t>Attendee</t>
        </is>
      </c>
      <c r="C1112" t="inlineStr">
        <is>
          <t>Director, Transportation &amp; Logistics</t>
        </is>
      </c>
      <c r="D1112" t="inlineStr">
        <is>
          <t>Virginia Economic Development Partnership</t>
        </is>
      </c>
      <c r="E1112" t="inlineStr">
        <is>
          <t>United States</t>
        </is>
      </c>
      <c r="H1112" t="n">
        <v>10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>
        <f>IFERROR(INDEX('Company Hitlist'!$AA:$AA,MATCH(D1112,'Company Hitlist'!$A:$A,0)),)</f>
        <v/>
      </c>
      <c r="O1112">
        <f>IFERROR(INDEX('Company Hitlist'!$N:$N,MATCH(D1112,'Company Hitlist'!$A:$A,0)),)</f>
        <v/>
      </c>
      <c r="Q1112" t="inlineStr">
        <is>
          <t>todo</t>
        </is>
      </c>
    </row>
    <row r="1113">
      <c r="A1113" t="inlineStr">
        <is>
          <t>David Freston</t>
        </is>
      </c>
      <c r="B1113" t="inlineStr">
        <is>
          <t>Attendee</t>
        </is>
      </c>
      <c r="C1113" t="inlineStr">
        <is>
          <t>Sr. Logistics Specialist (Domestic)</t>
        </is>
      </c>
      <c r="D1113" t="inlineStr">
        <is>
          <t>Vivint</t>
        </is>
      </c>
      <c r="E1113" t="inlineStr">
        <is>
          <t>United States</t>
        </is>
      </c>
      <c r="F1113" t="inlineStr">
        <is>
          <t>Yes</t>
        </is>
      </c>
      <c r="H1113" t="n">
        <v>10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>
        <f>IFERROR(INDEX('Company Hitlist'!$AA:$AA,MATCH(D1113,'Company Hitlist'!$A:$A,0)),)</f>
        <v/>
      </c>
      <c r="O1113">
        <f>IFERROR(INDEX('Company Hitlist'!$N:$N,MATCH(D1113,'Company Hitlist'!$A:$A,0)),)</f>
        <v/>
      </c>
      <c r="Q1113" t="inlineStr">
        <is>
          <t>todo</t>
        </is>
      </c>
    </row>
    <row r="1114">
      <c r="A1114" t="inlineStr">
        <is>
          <t>Parker Law</t>
        </is>
      </c>
      <c r="B1114" t="inlineStr">
        <is>
          <t>Attendee</t>
        </is>
      </c>
      <c r="C1114" t="inlineStr">
        <is>
          <t>Logistics Specialist (International)</t>
        </is>
      </c>
      <c r="D1114" t="inlineStr">
        <is>
          <t>Vivint</t>
        </is>
      </c>
      <c r="E1114" t="inlineStr">
        <is>
          <t>United States</t>
        </is>
      </c>
      <c r="F1114" t="inlineStr">
        <is>
          <t>Yes</t>
        </is>
      </c>
      <c r="H1114" t="n">
        <v>10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>
        <f>IFERROR(INDEX('Company Hitlist'!$AA:$AA,MATCH(D1114,'Company Hitlist'!$A:$A,0)),)</f>
        <v/>
      </c>
      <c r="O1114">
        <f>IFERROR(INDEX('Company Hitlist'!$N:$N,MATCH(D1114,'Company Hitlist'!$A:$A,0)),)</f>
        <v/>
      </c>
      <c r="Q1114" t="inlineStr">
        <is>
          <t>todo</t>
        </is>
      </c>
    </row>
    <row r="1115">
      <c r="A1115" t="inlineStr">
        <is>
          <t>Jeff Brown</t>
        </is>
      </c>
      <c r="B1115" t="inlineStr">
        <is>
          <t>Attendee</t>
        </is>
      </c>
      <c r="C1115" t="inlineStr">
        <is>
          <t>Sr. Manager, Global Logistics</t>
        </is>
      </c>
      <c r="D1115" t="inlineStr">
        <is>
          <t>Vivint</t>
        </is>
      </c>
      <c r="E1115" t="inlineStr">
        <is>
          <t>United States</t>
        </is>
      </c>
      <c r="H1115" t="n">
        <v>10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>
        <f>IFERROR(INDEX('Company Hitlist'!$AA:$AA,MATCH(D1115,'Company Hitlist'!$A:$A,0)),)</f>
        <v/>
      </c>
      <c r="O1115">
        <f>IFERROR(INDEX('Company Hitlist'!$N:$N,MATCH(D1115,'Company Hitlist'!$A:$A,0)),)</f>
        <v/>
      </c>
      <c r="Q1115" t="inlineStr">
        <is>
          <t>todo</t>
        </is>
      </c>
    </row>
    <row r="1116">
      <c r="A1116" t="inlineStr">
        <is>
          <t>Paula Figueroa</t>
        </is>
      </c>
      <c r="B1116" t="inlineStr">
        <is>
          <t>Attendee</t>
        </is>
      </c>
      <c r="C1116" t="inlineStr">
        <is>
          <t>Logistics Manager</t>
        </is>
      </c>
      <c r="D1116" t="inlineStr">
        <is>
          <t>Vusion</t>
        </is>
      </c>
      <c r="H1116" t="n">
        <v>10</v>
      </c>
      <c r="I1116" t="b">
        <v>1</v>
      </c>
      <c r="J1116" t="b">
        <v>0</v>
      </c>
      <c r="K1116" t="b">
        <v>0</v>
      </c>
      <c r="L1116" t="b">
        <v>0</v>
      </c>
      <c r="M1116" t="b">
        <v>0</v>
      </c>
      <c r="N1116">
        <f>IFERROR(INDEX('Company Hitlist'!$AA:$AA,MATCH(D1116,'Company Hitlist'!$A:$A,0)),)</f>
        <v/>
      </c>
      <c r="O1116">
        <f>IFERROR(INDEX('Company Hitlist'!$N:$N,MATCH(D1116,'Company Hitlist'!$A:$A,0)),)</f>
        <v/>
      </c>
      <c r="Q1116" t="inlineStr">
        <is>
          <t>todo</t>
        </is>
      </c>
    </row>
    <row r="1117">
      <c r="A1117" t="inlineStr">
        <is>
          <t>Gabrielle Ford</t>
        </is>
      </c>
      <c r="B1117" t="inlineStr">
        <is>
          <t>Attendee</t>
        </is>
      </c>
      <c r="C1117" t="inlineStr">
        <is>
          <t>Logistics Coordinator</t>
        </is>
      </c>
      <c r="D1117" t="inlineStr">
        <is>
          <t>VusionGroup Inc.</t>
        </is>
      </c>
      <c r="E1117" t="inlineStr">
        <is>
          <t>United States</t>
        </is>
      </c>
      <c r="H1117" t="n">
        <v>10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>
        <f>IFERROR(INDEX('Company Hitlist'!$AA:$AA,MATCH(D1117,'Company Hitlist'!$A:$A,0)),)</f>
        <v/>
      </c>
      <c r="O1117">
        <f>IFERROR(INDEX('Company Hitlist'!$N:$N,MATCH(D1117,'Company Hitlist'!$A:$A,0)),)</f>
        <v/>
      </c>
      <c r="Q1117" t="inlineStr">
        <is>
          <t>todo</t>
        </is>
      </c>
    </row>
    <row r="1118">
      <c r="A1118" t="inlineStr">
        <is>
          <t>Jonathan Ferla</t>
        </is>
      </c>
      <c r="B1118" t="inlineStr">
        <is>
          <t>Attendee</t>
        </is>
      </c>
      <c r="C1118" t="inlineStr">
        <is>
          <t>Warehouse Technician</t>
        </is>
      </c>
      <c r="D1118" t="inlineStr">
        <is>
          <t>WECS</t>
        </is>
      </c>
      <c r="E1118" t="inlineStr">
        <is>
          <t>United States</t>
        </is>
      </c>
      <c r="H1118" t="n">
        <v>10</v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>
        <f>IFERROR(INDEX('Company Hitlist'!$AA:$AA,MATCH(D1118,'Company Hitlist'!$A:$A,0)),)</f>
        <v/>
      </c>
      <c r="O1118">
        <f>IFERROR(INDEX('Company Hitlist'!$N:$N,MATCH(D1118,'Company Hitlist'!$A:$A,0)),)</f>
        <v/>
      </c>
      <c r="Q1118" t="inlineStr">
        <is>
          <t>todo</t>
        </is>
      </c>
    </row>
    <row r="1119">
      <c r="A1119" t="inlineStr">
        <is>
          <t>Kyle Russell</t>
        </is>
      </c>
      <c r="B1119" t="inlineStr">
        <is>
          <t>Attendee</t>
        </is>
      </c>
      <c r="C1119" t="inlineStr">
        <is>
          <t>Sr Director of Distribution</t>
        </is>
      </c>
      <c r="D1119" t="inlineStr">
        <is>
          <t>WK Kellogg</t>
        </is>
      </c>
      <c r="H1119" t="n">
        <v>10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>
        <f>IFERROR(INDEX('Company Hitlist'!$AA:$AA,MATCH(D1119,'Company Hitlist'!$A:$A,0)),)</f>
        <v/>
      </c>
      <c r="O1119">
        <f>IFERROR(INDEX('Company Hitlist'!$N:$N,MATCH(D1119,'Company Hitlist'!$A:$A,0)),)</f>
        <v/>
      </c>
      <c r="Q1119" t="inlineStr">
        <is>
          <t>todo</t>
        </is>
      </c>
    </row>
    <row r="1120">
      <c r="A1120" t="inlineStr">
        <is>
          <t>Robert Morris</t>
        </is>
      </c>
      <c r="B1120" t="inlineStr">
        <is>
          <t>Attendee</t>
        </is>
      </c>
      <c r="C1120" t="inlineStr">
        <is>
          <t>Sr Director Logistics</t>
        </is>
      </c>
      <c r="D1120" t="inlineStr">
        <is>
          <t>WK Kellogg</t>
        </is>
      </c>
      <c r="H1120" t="n">
        <v>10</v>
      </c>
      <c r="I1120" t="b">
        <v>1</v>
      </c>
      <c r="J1120" t="b">
        <v>0</v>
      </c>
      <c r="K1120" t="b">
        <v>0</v>
      </c>
      <c r="L1120" t="b">
        <v>0</v>
      </c>
      <c r="M1120" t="b">
        <v>0</v>
      </c>
      <c r="N1120">
        <f>IFERROR(INDEX('Company Hitlist'!$AA:$AA,MATCH(D1120,'Company Hitlist'!$A:$A,0)),)</f>
        <v/>
      </c>
      <c r="O1120">
        <f>IFERROR(INDEX('Company Hitlist'!$N:$N,MATCH(D1120,'Company Hitlist'!$A:$A,0)),)</f>
        <v/>
      </c>
      <c r="Q1120" t="inlineStr">
        <is>
          <t>todo</t>
        </is>
      </c>
    </row>
    <row r="1121">
      <c r="A1121" t="inlineStr">
        <is>
          <t>Ben Fisher</t>
        </is>
      </c>
      <c r="B1121" t="inlineStr">
        <is>
          <t>Attendee</t>
        </is>
      </c>
      <c r="C1121" t="inlineStr">
        <is>
          <t>Sr. Transportation Manager</t>
        </is>
      </c>
      <c r="D1121" t="inlineStr">
        <is>
          <t>WW Grainger</t>
        </is>
      </c>
      <c r="H1121" t="n">
        <v>10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>
        <f>IFERROR(INDEX('Company Hitlist'!$AA:$AA,MATCH(D1121,'Company Hitlist'!$A:$A,0)),)</f>
        <v/>
      </c>
      <c r="O1121">
        <f>IFERROR(INDEX('Company Hitlist'!$N:$N,MATCH(D1121,'Company Hitlist'!$A:$A,0)),)</f>
        <v/>
      </c>
      <c r="Q1121" t="inlineStr">
        <is>
          <t>todo</t>
        </is>
      </c>
    </row>
    <row r="1122">
      <c r="A1122" t="inlineStr">
        <is>
          <t>Phil Geiger</t>
        </is>
      </c>
      <c r="B1122" t="inlineStr">
        <is>
          <t>Attendee</t>
        </is>
      </c>
      <c r="C1122" t="inlineStr">
        <is>
          <t>Sr. Manager, Transportation Operations</t>
        </is>
      </c>
      <c r="D1122" t="inlineStr">
        <is>
          <t>WW Grainger</t>
        </is>
      </c>
      <c r="H1122" t="n">
        <v>10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>
        <f>IFERROR(INDEX('Company Hitlist'!$AA:$AA,MATCH(D1122,'Company Hitlist'!$A:$A,0)),)</f>
        <v/>
      </c>
      <c r="O1122">
        <f>IFERROR(INDEX('Company Hitlist'!$N:$N,MATCH(D1122,'Company Hitlist'!$A:$A,0)),)</f>
        <v/>
      </c>
      <c r="Q1122" t="inlineStr">
        <is>
          <t>todo</t>
        </is>
      </c>
    </row>
    <row r="1123">
      <c r="A1123" t="inlineStr">
        <is>
          <t>Pat Nelke</t>
        </is>
      </c>
      <c r="B1123" t="inlineStr">
        <is>
          <t>Attendee</t>
        </is>
      </c>
      <c r="C1123" t="inlineStr">
        <is>
          <t>Director, Logistics Operations</t>
        </is>
      </c>
      <c r="D1123" t="inlineStr">
        <is>
          <t>WWT</t>
        </is>
      </c>
      <c r="E1123" t="inlineStr">
        <is>
          <t>United States</t>
        </is>
      </c>
      <c r="F1123" t="inlineStr">
        <is>
          <t>Yes</t>
        </is>
      </c>
      <c r="H1123" t="n">
        <v>10</v>
      </c>
      <c r="I1123" t="b">
        <v>1</v>
      </c>
      <c r="J1123" t="b">
        <v>0</v>
      </c>
      <c r="K1123" t="b">
        <v>0</v>
      </c>
      <c r="L1123" t="b">
        <v>0</v>
      </c>
      <c r="M1123" t="b">
        <v>0</v>
      </c>
      <c r="N1123">
        <f>IFERROR(INDEX('Company Hitlist'!$AA:$AA,MATCH(D1123,'Company Hitlist'!$A:$A,0)),)</f>
        <v/>
      </c>
      <c r="O1123">
        <f>IFERROR(INDEX('Company Hitlist'!$N:$N,MATCH(D1123,'Company Hitlist'!$A:$A,0)),)</f>
        <v/>
      </c>
      <c r="Q1123" t="inlineStr">
        <is>
          <t>todo</t>
        </is>
      </c>
    </row>
    <row r="1124">
      <c r="A1124" t="inlineStr">
        <is>
          <t>Arun Kannan</t>
        </is>
      </c>
      <c r="B1124" t="inlineStr">
        <is>
          <t>Attendee</t>
        </is>
      </c>
      <c r="C1124" t="inlineStr">
        <is>
          <t>Senior Director, Transportation Planning</t>
        </is>
      </c>
      <c r="D1124" t="inlineStr">
        <is>
          <t>Walmart</t>
        </is>
      </c>
      <c r="E1124" t="inlineStr">
        <is>
          <t>United States</t>
        </is>
      </c>
      <c r="F1124" t="inlineStr">
        <is>
          <t>Yes</t>
        </is>
      </c>
      <c r="H1124" t="n">
        <v>10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>
        <f>IFERROR(INDEX('Company Hitlist'!$AA:$AA,MATCH(D1124,'Company Hitlist'!$A:$A,0)),)</f>
        <v/>
      </c>
      <c r="O1124">
        <f>IFERROR(INDEX('Company Hitlist'!$N:$N,MATCH(D1124,'Company Hitlist'!$A:$A,0)),)</f>
        <v/>
      </c>
      <c r="Q1124" t="inlineStr">
        <is>
          <t>todo</t>
        </is>
      </c>
    </row>
    <row r="1125">
      <c r="A1125" t="inlineStr">
        <is>
          <t>Juan Gomez</t>
        </is>
      </c>
      <c r="B1125" t="inlineStr">
        <is>
          <t>Attendee</t>
        </is>
      </c>
      <c r="C1125" t="inlineStr">
        <is>
          <t>Senior Director – Transportation Optimization and Network Strategy</t>
        </is>
      </c>
      <c r="D1125" t="inlineStr">
        <is>
          <t>Walmart</t>
        </is>
      </c>
      <c r="F1125" t="inlineStr">
        <is>
          <t>Yes</t>
        </is>
      </c>
      <c r="H1125" t="n">
        <v>10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>
        <f>IFERROR(INDEX('Company Hitlist'!$AA:$AA,MATCH(D1125,'Company Hitlist'!$A:$A,0)),)</f>
        <v/>
      </c>
      <c r="O1125">
        <f>IFERROR(INDEX('Company Hitlist'!$N:$N,MATCH(D1125,'Company Hitlist'!$A:$A,0)),)</f>
        <v/>
      </c>
      <c r="Q1125" t="inlineStr">
        <is>
          <t>todo</t>
        </is>
      </c>
    </row>
    <row r="1126">
      <c r="A1126" t="inlineStr">
        <is>
          <t>Sonia Salahuddin</t>
        </is>
      </c>
      <c r="B1126" t="inlineStr">
        <is>
          <t>Attendee</t>
        </is>
      </c>
      <c r="C1126" t="inlineStr">
        <is>
          <t>Senior Director, Operations</t>
        </is>
      </c>
      <c r="D1126" t="inlineStr">
        <is>
          <t>Walmart</t>
        </is>
      </c>
      <c r="F1126" t="inlineStr">
        <is>
          <t>Yes</t>
        </is>
      </c>
      <c r="H1126" t="n">
        <v>10</v>
      </c>
      <c r="I1126" t="b">
        <v>1</v>
      </c>
      <c r="J1126" t="b">
        <v>0</v>
      </c>
      <c r="K1126" t="b">
        <v>0</v>
      </c>
      <c r="L1126" t="b">
        <v>0</v>
      </c>
      <c r="M1126" t="b">
        <v>0</v>
      </c>
      <c r="N1126">
        <f>IFERROR(INDEX('Company Hitlist'!$AA:$AA,MATCH(D1126,'Company Hitlist'!$A:$A,0)),)</f>
        <v/>
      </c>
      <c r="O1126">
        <f>IFERROR(INDEX('Company Hitlist'!$N:$N,MATCH(D1126,'Company Hitlist'!$A:$A,0)),)</f>
        <v/>
      </c>
      <c r="Q1126" t="inlineStr">
        <is>
          <t>todo</t>
        </is>
      </c>
    </row>
    <row r="1127">
      <c r="A1127" t="inlineStr">
        <is>
          <t>Jae Lee</t>
        </is>
      </c>
      <c r="B1127" t="inlineStr">
        <is>
          <t>Attendee</t>
        </is>
      </c>
      <c r="C1127" t="inlineStr">
        <is>
          <t>Manager of Transportation &amp; Final Mile Quality</t>
        </is>
      </c>
      <c r="D1127" t="inlineStr">
        <is>
          <t>Warby Parker</t>
        </is>
      </c>
      <c r="E1127" t="inlineStr">
        <is>
          <t>United States</t>
        </is>
      </c>
      <c r="H1127" t="n">
        <v>10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>
        <f>IFERROR(INDEX('Company Hitlist'!$AA:$AA,MATCH(D1127,'Company Hitlist'!$A:$A,0)),)</f>
        <v/>
      </c>
      <c r="O1127">
        <f>IFERROR(INDEX('Company Hitlist'!$N:$N,MATCH(D1127,'Company Hitlist'!$A:$A,0)),)</f>
        <v/>
      </c>
      <c r="Q1127" t="inlineStr">
        <is>
          <t>todo</t>
        </is>
      </c>
    </row>
    <row r="1128">
      <c r="A1128" t="inlineStr">
        <is>
          <t>Leslie Chen</t>
        </is>
      </c>
      <c r="B1128" t="inlineStr">
        <is>
          <t>Attendee</t>
        </is>
      </c>
      <c r="C1128" t="inlineStr">
        <is>
          <t>Sr Manager of Transportation &amp; Trade Compliance</t>
        </is>
      </c>
      <c r="D1128" t="inlineStr">
        <is>
          <t>Warby Parker</t>
        </is>
      </c>
      <c r="H1128" t="n">
        <v>10</v>
      </c>
      <c r="I1128" t="b">
        <v>1</v>
      </c>
      <c r="J1128" t="b">
        <v>0</v>
      </c>
      <c r="K1128" t="b">
        <v>0</v>
      </c>
      <c r="L1128" t="b">
        <v>0</v>
      </c>
      <c r="M1128" t="b">
        <v>0</v>
      </c>
      <c r="N1128">
        <f>IFERROR(INDEX('Company Hitlist'!$AA:$AA,MATCH(D1128,'Company Hitlist'!$A:$A,0)),)</f>
        <v/>
      </c>
      <c r="O1128">
        <f>IFERROR(INDEX('Company Hitlist'!$N:$N,MATCH(D1128,'Company Hitlist'!$A:$A,0)),)</f>
        <v/>
      </c>
      <c r="Q1128" t="inlineStr">
        <is>
          <t>todo</t>
        </is>
      </c>
    </row>
    <row r="1129">
      <c r="A1129" t="inlineStr">
        <is>
          <t>Tracy Milam</t>
        </is>
      </c>
      <c r="B1129" t="inlineStr">
        <is>
          <t>Attendee</t>
        </is>
      </c>
      <c r="C1129" t="inlineStr">
        <is>
          <t>Logistics Manager</t>
        </is>
      </c>
      <c r="D1129" t="inlineStr">
        <is>
          <t>Water Pik</t>
        </is>
      </c>
      <c r="H1129" t="n">
        <v>10</v>
      </c>
      <c r="I1129" t="b">
        <v>1</v>
      </c>
      <c r="J1129" t="b">
        <v>0</v>
      </c>
      <c r="K1129" t="b">
        <v>0</v>
      </c>
      <c r="L1129" t="b">
        <v>0</v>
      </c>
      <c r="M1129" t="b">
        <v>0</v>
      </c>
      <c r="N1129">
        <f>IFERROR(INDEX('Company Hitlist'!$AA:$AA,MATCH(D1129,'Company Hitlist'!$A:$A,0)),)</f>
        <v/>
      </c>
      <c r="O1129">
        <f>IFERROR(INDEX('Company Hitlist'!$N:$N,MATCH(D1129,'Company Hitlist'!$A:$A,0)),)</f>
        <v/>
      </c>
      <c r="Q1129" t="inlineStr">
        <is>
          <t>todo</t>
        </is>
      </c>
    </row>
    <row r="1130">
      <c r="A1130" t="inlineStr">
        <is>
          <t>Chayan Ray</t>
        </is>
      </c>
      <c r="B1130" t="inlineStr">
        <is>
          <t>Attendee</t>
        </is>
      </c>
      <c r="C1130" t="inlineStr">
        <is>
          <t>Senior Manager, Global Transportation Systems</t>
        </is>
      </c>
      <c r="D1130" t="inlineStr">
        <is>
          <t>Wayfair</t>
        </is>
      </c>
      <c r="H1130" t="n">
        <v>10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>
        <f>IFERROR(INDEX('Company Hitlist'!$AA:$AA,MATCH(D1130,'Company Hitlist'!$A:$A,0)),)</f>
        <v/>
      </c>
      <c r="O1130">
        <f>IFERROR(INDEX('Company Hitlist'!$N:$N,MATCH(D1130,'Company Hitlist'!$A:$A,0)),)</f>
        <v/>
      </c>
      <c r="Q1130" t="inlineStr">
        <is>
          <t>todo</t>
        </is>
      </c>
    </row>
    <row r="1131">
      <c r="A1131" t="inlineStr">
        <is>
          <t>Cody Byars</t>
        </is>
      </c>
      <c r="B1131" t="inlineStr">
        <is>
          <t>Attendee</t>
        </is>
      </c>
      <c r="C1131" t="inlineStr">
        <is>
          <t>Director of Logistics &amp; Development</t>
        </is>
      </c>
      <c r="D1131" t="inlineStr">
        <is>
          <t>We Can Move It Logistics LLC</t>
        </is>
      </c>
      <c r="E1131" t="inlineStr">
        <is>
          <t>United States</t>
        </is>
      </c>
      <c r="F1131" t="inlineStr">
        <is>
          <t>Yes</t>
        </is>
      </c>
      <c r="H1131" t="n">
        <v>10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>
        <f>IFERROR(INDEX('Company Hitlist'!$AA:$AA,MATCH(D1131,'Company Hitlist'!$A:$A,0)),)</f>
        <v/>
      </c>
      <c r="O1131">
        <f>IFERROR(INDEX('Company Hitlist'!$N:$N,MATCH(D1131,'Company Hitlist'!$A:$A,0)),)</f>
        <v/>
      </c>
      <c r="Q1131" t="inlineStr">
        <is>
          <t>todo</t>
        </is>
      </c>
    </row>
    <row r="1132">
      <c r="A1132" t="inlineStr">
        <is>
          <t>Rick McKinley</t>
        </is>
      </c>
      <c r="B1132" t="inlineStr">
        <is>
          <t>Attendee</t>
        </is>
      </c>
      <c r="C1132" t="inlineStr">
        <is>
          <t>NA Transportation Manager</t>
        </is>
      </c>
      <c r="D1132" t="inlineStr">
        <is>
          <t>Wella</t>
        </is>
      </c>
      <c r="H1132" t="n">
        <v>10</v>
      </c>
      <c r="I1132" t="b">
        <v>1</v>
      </c>
      <c r="J1132" t="b">
        <v>0</v>
      </c>
      <c r="K1132" t="b">
        <v>0</v>
      </c>
      <c r="L1132" t="b">
        <v>0</v>
      </c>
      <c r="M1132" t="b">
        <v>0</v>
      </c>
      <c r="N1132">
        <f>IFERROR(INDEX('Company Hitlist'!$AA:$AA,MATCH(D1132,'Company Hitlist'!$A:$A,0)),)</f>
        <v/>
      </c>
      <c r="O1132">
        <f>IFERROR(INDEX('Company Hitlist'!$N:$N,MATCH(D1132,'Company Hitlist'!$A:$A,0)),)</f>
        <v/>
      </c>
      <c r="Q1132" t="inlineStr">
        <is>
          <t>todo</t>
        </is>
      </c>
    </row>
    <row r="1133">
      <c r="A1133" t="inlineStr">
        <is>
          <t>Joe Rogers</t>
        </is>
      </c>
      <c r="B1133" t="inlineStr">
        <is>
          <t>Attendee</t>
        </is>
      </c>
      <c r="C1133" t="inlineStr">
        <is>
          <t>Director, Transportation NA</t>
        </is>
      </c>
      <c r="D1133" t="inlineStr">
        <is>
          <t>Wella Company</t>
        </is>
      </c>
      <c r="E1133" t="inlineStr">
        <is>
          <t>United States</t>
        </is>
      </c>
      <c r="F1133" t="inlineStr">
        <is>
          <t>Yes</t>
        </is>
      </c>
      <c r="H1133" t="n">
        <v>10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>
        <f>IFERROR(INDEX('Company Hitlist'!$AA:$AA,MATCH(D1133,'Company Hitlist'!$A:$A,0)),)</f>
        <v/>
      </c>
      <c r="O1133">
        <f>IFERROR(INDEX('Company Hitlist'!$N:$N,MATCH(D1133,'Company Hitlist'!$A:$A,0)),)</f>
        <v/>
      </c>
      <c r="Q1133" t="inlineStr">
        <is>
          <t>todo</t>
        </is>
      </c>
    </row>
    <row r="1134">
      <c r="A1134" t="inlineStr">
        <is>
          <t>Dave Funk</t>
        </is>
      </c>
      <c r="B1134" t="inlineStr">
        <is>
          <t>Attendee</t>
        </is>
      </c>
      <c r="C1134" t="inlineStr">
        <is>
          <t>Director of Logistics and Distribution</t>
        </is>
      </c>
      <c r="D1134" t="inlineStr">
        <is>
          <t>Western Glove Works</t>
        </is>
      </c>
      <c r="H1134" t="n">
        <v>10</v>
      </c>
      <c r="I1134" t="b">
        <v>1</v>
      </c>
      <c r="J1134" t="b">
        <v>0</v>
      </c>
      <c r="K1134" t="b">
        <v>0</v>
      </c>
      <c r="L1134" t="b">
        <v>0</v>
      </c>
      <c r="M1134" t="b">
        <v>0</v>
      </c>
      <c r="N1134">
        <f>IFERROR(INDEX('Company Hitlist'!$AA:$AA,MATCH(D1134,'Company Hitlist'!$A:$A,0)),)</f>
        <v/>
      </c>
      <c r="O1134">
        <f>IFERROR(INDEX('Company Hitlist'!$N:$N,MATCH(D1134,'Company Hitlist'!$A:$A,0)),)</f>
        <v/>
      </c>
      <c r="Q1134" t="inlineStr">
        <is>
          <t>todo</t>
        </is>
      </c>
    </row>
    <row r="1135">
      <c r="A1135" t="inlineStr">
        <is>
          <t>Ben Adams</t>
        </is>
      </c>
      <c r="B1135" t="inlineStr">
        <is>
          <t>Attendee</t>
        </is>
      </c>
      <c r="C1135" t="inlineStr">
        <is>
          <t>Director of Logistics</t>
        </is>
      </c>
      <c r="D1135" t="inlineStr">
        <is>
          <t>Westlake Corporation</t>
        </is>
      </c>
      <c r="H1135" t="n">
        <v>10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>
        <f>IFERROR(INDEX('Company Hitlist'!$AA:$AA,MATCH(D1135,'Company Hitlist'!$A:$A,0)),)</f>
        <v/>
      </c>
      <c r="O1135">
        <f>IFERROR(INDEX('Company Hitlist'!$N:$N,MATCH(D1135,'Company Hitlist'!$A:$A,0)),)</f>
        <v/>
      </c>
      <c r="Q1135" t="inlineStr">
        <is>
          <t>todo</t>
        </is>
      </c>
    </row>
    <row r="1136">
      <c r="A1136" t="inlineStr">
        <is>
          <t>Darren LaBruzzo</t>
        </is>
      </c>
      <c r="B1136" t="inlineStr">
        <is>
          <t>Attendee</t>
        </is>
      </c>
      <c r="C1136" t="inlineStr">
        <is>
          <t>Sr Manager, Logistics Services</t>
        </is>
      </c>
      <c r="D1136" t="inlineStr">
        <is>
          <t>Whataburger</t>
        </is>
      </c>
      <c r="E1136" t="inlineStr">
        <is>
          <t>United States</t>
        </is>
      </c>
      <c r="H1136" t="n">
        <v>10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>
        <f>IFERROR(INDEX('Company Hitlist'!$AA:$AA,MATCH(D1136,'Company Hitlist'!$A:$A,0)),)</f>
        <v/>
      </c>
      <c r="O1136">
        <f>IFERROR(INDEX('Company Hitlist'!$N:$N,MATCH(D1136,'Company Hitlist'!$A:$A,0)),)</f>
        <v/>
      </c>
      <c r="Q1136" t="inlineStr">
        <is>
          <t>todo</t>
        </is>
      </c>
    </row>
    <row r="1137">
      <c r="A1137" t="inlineStr">
        <is>
          <t>Matt Abernathy</t>
        </is>
      </c>
      <c r="B1137" t="inlineStr">
        <is>
          <t>Attendee</t>
        </is>
      </c>
      <c r="C1137" t="inlineStr">
        <is>
          <t>Fulfillment/GPO Manager</t>
        </is>
      </c>
      <c r="D1137" t="inlineStr">
        <is>
          <t>Whataburger</t>
        </is>
      </c>
      <c r="E1137" t="inlineStr">
        <is>
          <t>United States</t>
        </is>
      </c>
      <c r="H1137" t="n">
        <v>10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>
        <f>IFERROR(INDEX('Company Hitlist'!$AA:$AA,MATCH(D1137,'Company Hitlist'!$A:$A,0)),)</f>
        <v/>
      </c>
      <c r="O1137">
        <f>IFERROR(INDEX('Company Hitlist'!$N:$N,MATCH(D1137,'Company Hitlist'!$A:$A,0)),)</f>
        <v/>
      </c>
      <c r="Q1137" t="inlineStr">
        <is>
          <t>todo</t>
        </is>
      </c>
    </row>
    <row r="1138">
      <c r="A1138" t="inlineStr">
        <is>
          <t>Kevin Akers</t>
        </is>
      </c>
      <c r="B1138" t="inlineStr">
        <is>
          <t>Attendee</t>
        </is>
      </c>
      <c r="C1138" t="inlineStr">
        <is>
          <t>Transportation Program Manager</t>
        </is>
      </c>
      <c r="D1138" t="inlineStr">
        <is>
          <t>Winsupply</t>
        </is>
      </c>
      <c r="E1138" t="inlineStr">
        <is>
          <t>United States</t>
        </is>
      </c>
      <c r="H1138" t="n">
        <v>10</v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>
        <f>IFERROR(INDEX('Company Hitlist'!$AA:$AA,MATCH(D1138,'Company Hitlist'!$A:$A,0)),)</f>
        <v/>
      </c>
      <c r="O1138">
        <f>IFERROR(INDEX('Company Hitlist'!$N:$N,MATCH(D1138,'Company Hitlist'!$A:$A,0)),)</f>
        <v/>
      </c>
      <c r="Q1138" t="inlineStr">
        <is>
          <t>todo</t>
        </is>
      </c>
    </row>
    <row r="1139">
      <c r="A1139" t="inlineStr">
        <is>
          <t>Bryan Inman</t>
        </is>
      </c>
      <c r="B1139" t="inlineStr">
        <is>
          <t>Attendee</t>
        </is>
      </c>
      <c r="C1139" t="inlineStr">
        <is>
          <t>Logistics Manager</t>
        </is>
      </c>
      <c r="D1139" t="inlineStr">
        <is>
          <t>Winsupply</t>
        </is>
      </c>
      <c r="H1139" t="n">
        <v>10</v>
      </c>
      <c r="I1139" t="b">
        <v>1</v>
      </c>
      <c r="J1139" t="b">
        <v>0</v>
      </c>
      <c r="K1139" t="b">
        <v>0</v>
      </c>
      <c r="L1139" t="b">
        <v>0</v>
      </c>
      <c r="M1139" t="b">
        <v>0</v>
      </c>
      <c r="N1139">
        <f>IFERROR(INDEX('Company Hitlist'!$AA:$AA,MATCH(D1139,'Company Hitlist'!$A:$A,0)),)</f>
        <v/>
      </c>
      <c r="O1139">
        <f>IFERROR(INDEX('Company Hitlist'!$N:$N,MATCH(D1139,'Company Hitlist'!$A:$A,0)),)</f>
        <v/>
      </c>
      <c r="Q1139" t="inlineStr">
        <is>
          <t>todo</t>
        </is>
      </c>
    </row>
    <row r="1140">
      <c r="A1140" t="inlineStr">
        <is>
          <t>Ryan Whitney</t>
        </is>
      </c>
      <c r="B1140" t="inlineStr">
        <is>
          <t>Attendee</t>
        </is>
      </c>
      <c r="C1140" t="inlineStr">
        <is>
          <t>Director, Transportation Logistics</t>
        </is>
      </c>
      <c r="D1140" t="inlineStr">
        <is>
          <t>Winsupply Inc.</t>
        </is>
      </c>
      <c r="E1140" t="inlineStr">
        <is>
          <t>United States</t>
        </is>
      </c>
      <c r="F1140" t="inlineStr">
        <is>
          <t>Yes</t>
        </is>
      </c>
      <c r="H1140" t="n">
        <v>10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>
        <f>IFERROR(INDEX('Company Hitlist'!$AA:$AA,MATCH(D1140,'Company Hitlist'!$A:$A,0)),)</f>
        <v/>
      </c>
      <c r="O1140">
        <f>IFERROR(INDEX('Company Hitlist'!$N:$N,MATCH(D1140,'Company Hitlist'!$A:$A,0)),)</f>
        <v/>
      </c>
      <c r="Q1140" t="inlineStr">
        <is>
          <t>todo</t>
        </is>
      </c>
    </row>
    <row r="1141">
      <c r="A1141" t="inlineStr">
        <is>
          <t>Steve Halachoulis</t>
        </is>
      </c>
      <c r="B1141" t="inlineStr">
        <is>
          <t>Attendee</t>
        </is>
      </c>
      <c r="C1141" t="inlineStr">
        <is>
          <t>Lead Global Supply Chain Engineer</t>
        </is>
      </c>
      <c r="D1141" t="inlineStr">
        <is>
          <t>World Wide Technology</t>
        </is>
      </c>
      <c r="E1141" t="inlineStr">
        <is>
          <t>United States</t>
        </is>
      </c>
      <c r="H1141" t="n">
        <v>10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>
        <f>IFERROR(INDEX('Company Hitlist'!$AA:$AA,MATCH(D1141,'Company Hitlist'!$A:$A,0)),)</f>
        <v/>
      </c>
      <c r="O1141">
        <f>IFERROR(INDEX('Company Hitlist'!$N:$N,MATCH(D1141,'Company Hitlist'!$A:$A,0)),)</f>
        <v/>
      </c>
      <c r="Q1141" t="inlineStr">
        <is>
          <t>todo</t>
        </is>
      </c>
    </row>
    <row r="1142">
      <c r="A1142" t="inlineStr">
        <is>
          <t>Jen DeBlasis</t>
        </is>
      </c>
      <c r="B1142" t="inlineStr">
        <is>
          <t>Attendee</t>
        </is>
      </c>
      <c r="C1142" t="inlineStr">
        <is>
          <t>Corporate Transportation Manager</t>
        </is>
      </c>
      <c r="D1142" t="inlineStr">
        <is>
          <t>Worthington Enterprises</t>
        </is>
      </c>
      <c r="E1142" t="inlineStr">
        <is>
          <t>United States</t>
        </is>
      </c>
      <c r="H1142" t="n">
        <v>10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>
        <f>IFERROR(INDEX('Company Hitlist'!$AA:$AA,MATCH(D1142,'Company Hitlist'!$A:$A,0)),)</f>
        <v/>
      </c>
      <c r="O1142">
        <f>IFERROR(INDEX('Company Hitlist'!$N:$N,MATCH(D1142,'Company Hitlist'!$A:$A,0)),)</f>
        <v/>
      </c>
      <c r="Q1142" t="inlineStr">
        <is>
          <t>todo</t>
        </is>
      </c>
    </row>
    <row r="1143">
      <c r="A1143" t="inlineStr">
        <is>
          <t>Mike Taylor</t>
        </is>
      </c>
      <c r="B1143" t="inlineStr">
        <is>
          <t>Attendee</t>
        </is>
      </c>
      <c r="C1143" t="inlineStr">
        <is>
          <t>Transportation Analyst</t>
        </is>
      </c>
      <c r="D1143" t="inlineStr">
        <is>
          <t>Worthington Enterprises</t>
        </is>
      </c>
      <c r="E1143" t="inlineStr">
        <is>
          <t>United States</t>
        </is>
      </c>
      <c r="H1143" t="n">
        <v>10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>
        <f>IFERROR(INDEX('Company Hitlist'!$AA:$AA,MATCH(D1143,'Company Hitlist'!$A:$A,0)),)</f>
        <v/>
      </c>
      <c r="O1143">
        <f>IFERROR(INDEX('Company Hitlist'!$N:$N,MATCH(D1143,'Company Hitlist'!$A:$A,0)),)</f>
        <v/>
      </c>
      <c r="Q1143" t="inlineStr">
        <is>
          <t>todo</t>
        </is>
      </c>
    </row>
    <row r="1144">
      <c r="A1144" t="inlineStr">
        <is>
          <t>Sean Djubek</t>
        </is>
      </c>
      <c r="B1144" t="inlineStr">
        <is>
          <t>Attendee</t>
        </is>
      </c>
      <c r="C1144" t="inlineStr">
        <is>
          <t>Sr. Corporate Transportation Manager</t>
        </is>
      </c>
      <c r="D1144" t="inlineStr">
        <is>
          <t>Worthington Enterprises</t>
        </is>
      </c>
      <c r="E1144" t="inlineStr">
        <is>
          <t>United States</t>
        </is>
      </c>
      <c r="H1144" t="n">
        <v>10</v>
      </c>
      <c r="I1144" t="b">
        <v>1</v>
      </c>
      <c r="J1144" t="b">
        <v>0</v>
      </c>
      <c r="K1144" t="b">
        <v>0</v>
      </c>
      <c r="L1144" t="b">
        <v>0</v>
      </c>
      <c r="M1144" t="b">
        <v>0</v>
      </c>
      <c r="N1144">
        <f>IFERROR(INDEX('Company Hitlist'!$AA:$AA,MATCH(D1144,'Company Hitlist'!$A:$A,0)),)</f>
        <v/>
      </c>
      <c r="O1144">
        <f>IFERROR(INDEX('Company Hitlist'!$N:$N,MATCH(D1144,'Company Hitlist'!$A:$A,0)),)</f>
        <v/>
      </c>
      <c r="Q1144" t="inlineStr">
        <is>
          <t>todo</t>
        </is>
      </c>
    </row>
    <row r="1145">
      <c r="A1145" t="inlineStr">
        <is>
          <t>Travus Brummette</t>
        </is>
      </c>
      <c r="B1145" t="inlineStr">
        <is>
          <t>Attendee</t>
        </is>
      </c>
      <c r="C1145" t="inlineStr">
        <is>
          <t>Senior Manager Logistics</t>
        </is>
      </c>
      <c r="D1145" t="inlineStr">
        <is>
          <t>Yazaki North America</t>
        </is>
      </c>
      <c r="H1145" t="n">
        <v>10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>
        <f>IFERROR(INDEX('Company Hitlist'!$AA:$AA,MATCH(D1145,'Company Hitlist'!$A:$A,0)),)</f>
        <v/>
      </c>
      <c r="O1145">
        <f>IFERROR(INDEX('Company Hitlist'!$N:$N,MATCH(D1145,'Company Hitlist'!$A:$A,0)),)</f>
        <v/>
      </c>
      <c r="Q1145" t="inlineStr">
        <is>
          <t>todo</t>
        </is>
      </c>
    </row>
    <row r="1146">
      <c r="A1146" t="inlineStr">
        <is>
          <t>Alejandra Hernandez</t>
        </is>
      </c>
      <c r="B1146" t="inlineStr">
        <is>
          <t>Attendee</t>
        </is>
      </c>
      <c r="C1146" t="inlineStr">
        <is>
          <t>Senior Administrative Assistant, Logistics &amp; Fleet</t>
        </is>
      </c>
      <c r="D1146" t="inlineStr">
        <is>
          <t>Yuhaaviatam of Sam Manuel Nation</t>
        </is>
      </c>
      <c r="H1146" t="n">
        <v>10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>
        <f>IFERROR(INDEX('Company Hitlist'!$AA:$AA,MATCH(D1146,'Company Hitlist'!$A:$A,0)),)</f>
        <v/>
      </c>
      <c r="O1146">
        <f>IFERROR(INDEX('Company Hitlist'!$N:$N,MATCH(D1146,'Company Hitlist'!$A:$A,0)),)</f>
        <v/>
      </c>
      <c r="Q1146" t="inlineStr">
        <is>
          <t>todo</t>
        </is>
      </c>
    </row>
    <row r="1147">
      <c r="A1147" t="inlineStr">
        <is>
          <t>George Kam</t>
        </is>
      </c>
      <c r="B1147" t="inlineStr">
        <is>
          <t>Attendee</t>
        </is>
      </c>
      <c r="C1147" t="inlineStr">
        <is>
          <t>Logistics Manager</t>
        </is>
      </c>
      <c r="D1147" t="inlineStr">
        <is>
          <t>Yuhaaviatam of Sam Manuel Nation</t>
        </is>
      </c>
      <c r="H1147" t="n">
        <v>10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>
        <f>IFERROR(INDEX('Company Hitlist'!$AA:$AA,MATCH(D1147,'Company Hitlist'!$A:$A,0)),)</f>
        <v/>
      </c>
      <c r="O1147">
        <f>IFERROR(INDEX('Company Hitlist'!$N:$N,MATCH(D1147,'Company Hitlist'!$A:$A,0)),)</f>
        <v/>
      </c>
      <c r="Q1147" t="inlineStr">
        <is>
          <t>todo</t>
        </is>
      </c>
    </row>
    <row r="1148">
      <c r="A1148" t="inlineStr">
        <is>
          <t>Shawn McManigal</t>
        </is>
      </c>
      <c r="B1148" t="inlineStr">
        <is>
          <t>Attendee</t>
        </is>
      </c>
      <c r="C1148" t="inlineStr">
        <is>
          <t>Director of Logistic &amp; Fleet</t>
        </is>
      </c>
      <c r="D1148" t="inlineStr">
        <is>
          <t>Yuhaaviatam of San Manuel Nation</t>
        </is>
      </c>
      <c r="E1148" t="inlineStr">
        <is>
          <t>United States</t>
        </is>
      </c>
      <c r="H1148" t="n">
        <v>10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>
        <f>IFERROR(INDEX('Company Hitlist'!$AA:$AA,MATCH(D1148,'Company Hitlist'!$A:$A,0)),)</f>
        <v/>
      </c>
      <c r="O1148">
        <f>IFERROR(INDEX('Company Hitlist'!$N:$N,MATCH(D1148,'Company Hitlist'!$A:$A,0)),)</f>
        <v/>
      </c>
      <c r="Q1148" t="inlineStr">
        <is>
          <t>todo</t>
        </is>
      </c>
    </row>
    <row r="1149">
      <c r="A1149" t="inlineStr">
        <is>
          <t>Gene Stec</t>
        </is>
      </c>
      <c r="B1149" t="inlineStr">
        <is>
          <t>Attendee</t>
        </is>
      </c>
      <c r="C1149" t="inlineStr">
        <is>
          <t>Director, IT, Contract Logistics &amp; Facilities</t>
        </is>
      </c>
      <c r="D1149" t="inlineStr">
        <is>
          <t>Yusen Logistics</t>
        </is>
      </c>
      <c r="F1149" t="inlineStr">
        <is>
          <t>Yes</t>
        </is>
      </c>
      <c r="H1149" t="n">
        <v>10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>
        <f>IFERROR(INDEX('Company Hitlist'!$AA:$AA,MATCH(D1149,'Company Hitlist'!$A:$A,0)),)</f>
        <v/>
      </c>
      <c r="O1149">
        <f>IFERROR(INDEX('Company Hitlist'!$N:$N,MATCH(D1149,'Company Hitlist'!$A:$A,0)),)</f>
        <v/>
      </c>
      <c r="Q1149" t="inlineStr">
        <is>
          <t>todo</t>
        </is>
      </c>
    </row>
    <row r="1150">
      <c r="A1150" t="inlineStr">
        <is>
          <t>Jason MacFarlane</t>
        </is>
      </c>
      <c r="B1150" t="inlineStr">
        <is>
          <t>Attendee</t>
        </is>
      </c>
      <c r="C1150" t="inlineStr">
        <is>
          <t>Director, Supply Chain Solutions</t>
        </is>
      </c>
      <c r="D1150" t="inlineStr">
        <is>
          <t>Yusen Logistics</t>
        </is>
      </c>
      <c r="E1150" t="inlineStr">
        <is>
          <t>United States</t>
        </is>
      </c>
      <c r="H1150" t="n">
        <v>10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>
        <f>IFERROR(INDEX('Company Hitlist'!$AA:$AA,MATCH(D1150,'Company Hitlist'!$A:$A,0)),)</f>
        <v/>
      </c>
      <c r="O1150">
        <f>IFERROR(INDEX('Company Hitlist'!$N:$N,MATCH(D1150,'Company Hitlist'!$A:$A,0)),)</f>
        <v/>
      </c>
      <c r="Q1150" t="inlineStr">
        <is>
          <t>todo</t>
        </is>
      </c>
    </row>
    <row r="1151">
      <c r="A1151" t="inlineStr">
        <is>
          <t>Sharon Tinker</t>
        </is>
      </c>
      <c r="B1151" t="inlineStr">
        <is>
          <t>Attendee</t>
        </is>
      </c>
      <c r="C1151" t="inlineStr">
        <is>
          <t>Logistics Strategist</t>
        </is>
      </c>
      <c r="D1151" t="inlineStr">
        <is>
          <t>Zazzle</t>
        </is>
      </c>
      <c r="E1151" t="inlineStr">
        <is>
          <t>United States</t>
        </is>
      </c>
      <c r="F1151" t="inlineStr">
        <is>
          <t>Yes</t>
        </is>
      </c>
      <c r="H1151" t="n">
        <v>10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  <c r="N1151">
        <f>IFERROR(INDEX('Company Hitlist'!$AA:$AA,MATCH(D1151,'Company Hitlist'!$A:$A,0)),)</f>
        <v/>
      </c>
      <c r="O1151">
        <f>IFERROR(INDEX('Company Hitlist'!$N:$N,MATCH(D1151,'Company Hitlist'!$A:$A,0)),)</f>
        <v/>
      </c>
      <c r="Q1151" t="inlineStr">
        <is>
          <t>todo</t>
        </is>
      </c>
    </row>
    <row r="1152">
      <c r="A1152" t="inlineStr">
        <is>
          <t>Robert Guzman</t>
        </is>
      </c>
      <c r="B1152" t="inlineStr">
        <is>
          <t>Attendee</t>
        </is>
      </c>
      <c r="C1152" t="inlineStr">
        <is>
          <t>Logistics Director</t>
        </is>
      </c>
      <c r="D1152" t="inlineStr">
        <is>
          <t>Zurich Transport</t>
        </is>
      </c>
      <c r="E1152" t="inlineStr">
        <is>
          <t>United States</t>
        </is>
      </c>
      <c r="H1152" t="n">
        <v>10</v>
      </c>
      <c r="I1152" t="b">
        <v>1</v>
      </c>
      <c r="J1152" t="b">
        <v>0</v>
      </c>
      <c r="K1152" t="b">
        <v>0</v>
      </c>
      <c r="L1152" t="b">
        <v>0</v>
      </c>
      <c r="M1152" t="b">
        <v>0</v>
      </c>
      <c r="N1152">
        <f>IFERROR(INDEX('Company Hitlist'!$AA:$AA,MATCH(D1152,'Company Hitlist'!$A:$A,0)),)</f>
        <v/>
      </c>
      <c r="O1152">
        <f>IFERROR(INDEX('Company Hitlist'!$N:$N,MATCH(D1152,'Company Hitlist'!$A:$A,0)),)</f>
        <v/>
      </c>
      <c r="Q1152" t="inlineStr">
        <is>
          <t>todo</t>
        </is>
      </c>
    </row>
    <row r="1153">
      <c r="A1153" t="inlineStr">
        <is>
          <t>Will Haraldson</t>
        </is>
      </c>
      <c r="B1153" t="inlineStr">
        <is>
          <t>Attendee</t>
        </is>
      </c>
      <c r="C1153" t="inlineStr">
        <is>
          <t>Director of Warhouse Operations</t>
        </is>
      </c>
      <c r="D1153" t="inlineStr">
        <is>
          <t>goodr</t>
        </is>
      </c>
      <c r="F1153" t="inlineStr">
        <is>
          <t>Yes</t>
        </is>
      </c>
      <c r="H1153" t="n">
        <v>10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>
        <f>IFERROR(INDEX('Company Hitlist'!$AA:$AA,MATCH(D1153,'Company Hitlist'!$A:$A,0)),)</f>
        <v/>
      </c>
      <c r="O1153">
        <f>IFERROR(INDEX('Company Hitlist'!$N:$N,MATCH(D1153,'Company Hitlist'!$A:$A,0)),)</f>
        <v/>
      </c>
      <c r="Q1153" t="inlineStr">
        <is>
          <t>todo</t>
        </is>
      </c>
    </row>
    <row r="1154">
      <c r="A1154" t="inlineStr">
        <is>
          <t>Margie Medina</t>
        </is>
      </c>
      <c r="B1154" t="inlineStr">
        <is>
          <t>Attendee</t>
        </is>
      </c>
      <c r="C1154" t="inlineStr">
        <is>
          <t>Logistics Manager</t>
        </is>
      </c>
      <c r="D1154" t="inlineStr">
        <is>
          <t>goodr</t>
        </is>
      </c>
      <c r="E1154" t="inlineStr">
        <is>
          <t>United States</t>
        </is>
      </c>
      <c r="H1154" t="n">
        <v>10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>
        <f>IFERROR(INDEX('Company Hitlist'!$AA:$AA,MATCH(D1154,'Company Hitlist'!$A:$A,0)),)</f>
        <v/>
      </c>
      <c r="O1154">
        <f>IFERROR(INDEX('Company Hitlist'!$N:$N,MATCH(D1154,'Company Hitlist'!$A:$A,0)),)</f>
        <v/>
      </c>
      <c r="Q1154" t="inlineStr">
        <is>
          <t>todo</t>
        </is>
      </c>
    </row>
    <row r="1155">
      <c r="A1155" t="inlineStr">
        <is>
          <t>Mike Buttars</t>
        </is>
      </c>
      <c r="B1155" t="inlineStr">
        <is>
          <t>Attendee</t>
        </is>
      </c>
      <c r="C1155" t="inlineStr">
        <is>
          <t>Reverse Logistics</t>
        </is>
      </c>
      <c r="D1155" t="inlineStr">
        <is>
          <t>iFIT</t>
        </is>
      </c>
      <c r="F1155" t="inlineStr">
        <is>
          <t>Yes</t>
        </is>
      </c>
      <c r="H1155" t="n">
        <v>10</v>
      </c>
      <c r="I1155" t="b">
        <v>1</v>
      </c>
      <c r="J1155" t="b">
        <v>0</v>
      </c>
      <c r="K1155" t="b">
        <v>0</v>
      </c>
      <c r="L1155" t="b">
        <v>0</v>
      </c>
      <c r="M1155" t="b">
        <v>0</v>
      </c>
      <c r="N1155">
        <f>IFERROR(INDEX('Company Hitlist'!$AA:$AA,MATCH(D1155,'Company Hitlist'!$A:$A,0)),)</f>
        <v/>
      </c>
      <c r="O1155">
        <f>IFERROR(INDEX('Company Hitlist'!$N:$N,MATCH(D1155,'Company Hitlist'!$A:$A,0)),)</f>
        <v/>
      </c>
      <c r="Q1155" t="inlineStr">
        <is>
          <t>todo</t>
        </is>
      </c>
    </row>
    <row r="1156">
      <c r="A1156" t="inlineStr">
        <is>
          <t>Ron Stimson</t>
        </is>
      </c>
      <c r="B1156" t="inlineStr">
        <is>
          <t>Attendee</t>
        </is>
      </c>
      <c r="C1156" t="inlineStr">
        <is>
          <t>Director of Reverse logistics</t>
        </is>
      </c>
      <c r="D1156" t="inlineStr">
        <is>
          <t>iFIT</t>
        </is>
      </c>
      <c r="F1156" t="inlineStr">
        <is>
          <t>Yes</t>
        </is>
      </c>
      <c r="H1156" t="n">
        <v>10</v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>
        <f>IFERROR(INDEX('Company Hitlist'!$AA:$AA,MATCH(D1156,'Company Hitlist'!$A:$A,0)),)</f>
        <v/>
      </c>
      <c r="O1156">
        <f>IFERROR(INDEX('Company Hitlist'!$N:$N,MATCH(D1156,'Company Hitlist'!$A:$A,0)),)</f>
        <v/>
      </c>
      <c r="Q1156" t="inlineStr">
        <is>
          <t>todo</t>
        </is>
      </c>
    </row>
    <row r="1157">
      <c r="A1157" t="inlineStr">
        <is>
          <t>Jeff Simper</t>
        </is>
      </c>
      <c r="B1157" t="inlineStr">
        <is>
          <t>Attendee</t>
        </is>
      </c>
      <c r="C1157" t="inlineStr">
        <is>
          <t>Director of Brokerage &amp; Inbound Freight</t>
        </is>
      </c>
      <c r="D1157" t="inlineStr">
        <is>
          <t>iFit</t>
        </is>
      </c>
      <c r="F1157" t="inlineStr">
        <is>
          <t>Yes</t>
        </is>
      </c>
      <c r="H1157" t="n">
        <v>10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>
        <f>IFERROR(INDEX('Company Hitlist'!$AA:$AA,MATCH(D1157,'Company Hitlist'!$A:$A,0)),)</f>
        <v/>
      </c>
      <c r="O1157">
        <f>IFERROR(INDEX('Company Hitlist'!$N:$N,MATCH(D1157,'Company Hitlist'!$A:$A,0)),)</f>
        <v/>
      </c>
      <c r="Q1157" t="inlineStr">
        <is>
          <t>todo</t>
        </is>
      </c>
    </row>
    <row r="1158">
      <c r="A1158" t="inlineStr">
        <is>
          <t>Camden Buchanan</t>
        </is>
      </c>
      <c r="B1158" t="inlineStr">
        <is>
          <t>Attendee</t>
        </is>
      </c>
      <c r="C1158" t="inlineStr">
        <is>
          <t>Manager, Global Fulfillment Strategy</t>
        </is>
      </c>
      <c r="D1158" t="inlineStr">
        <is>
          <t>lululemon</t>
        </is>
      </c>
      <c r="E1158" t="inlineStr">
        <is>
          <t>United States</t>
        </is>
      </c>
      <c r="H1158" t="n">
        <v>10</v>
      </c>
      <c r="I1158" t="b">
        <v>1</v>
      </c>
      <c r="J1158" t="b">
        <v>0</v>
      </c>
      <c r="K1158" t="b">
        <v>0</v>
      </c>
      <c r="L1158" t="b">
        <v>0</v>
      </c>
      <c r="M1158" t="b">
        <v>0</v>
      </c>
      <c r="N1158">
        <f>IFERROR(INDEX('Company Hitlist'!$AA:$AA,MATCH(D1158,'Company Hitlist'!$A:$A,0)),)</f>
        <v/>
      </c>
      <c r="O1158">
        <f>IFERROR(INDEX('Company Hitlist'!$N:$N,MATCH(D1158,'Company Hitlist'!$A:$A,0)),)</f>
        <v/>
      </c>
      <c r="Q1158" t="inlineStr">
        <is>
          <t>todo</t>
        </is>
      </c>
    </row>
    <row r="1159">
      <c r="A1159" t="inlineStr">
        <is>
          <t>Roger Sechler</t>
        </is>
      </c>
      <c r="B1159" t="inlineStr">
        <is>
          <t>Speaker</t>
        </is>
      </c>
      <c r="C1159" t="inlineStr">
        <is>
          <t>Vice President , North America</t>
        </is>
      </c>
      <c r="D1159" t="inlineStr">
        <is>
          <t>4flow</t>
        </is>
      </c>
      <c r="F1159" t="inlineStr">
        <is>
          <t>Yes</t>
        </is>
      </c>
      <c r="G1159" t="inlineStr">
        <is>
          <t>423000000</t>
        </is>
      </c>
      <c r="H1159" t="n">
        <v>9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>
        <f>IFERROR(INDEX('Company Hitlist'!$AA:$AA,MATCH(D1159,'Company Hitlist'!$A:$A,0)),)</f>
        <v/>
      </c>
      <c r="O1159">
        <f>IFERROR(INDEX('Company Hitlist'!$N:$N,MATCH(D1159,'Company Hitlist'!$A:$A,0)),)</f>
        <v/>
      </c>
      <c r="Q1159" t="inlineStr">
        <is>
          <t>todo</t>
        </is>
      </c>
    </row>
    <row r="1160">
      <c r="A1160" t="inlineStr">
        <is>
          <t>Hakan Yaren</t>
        </is>
      </c>
      <c r="B1160" t="inlineStr">
        <is>
          <t>Speaker</t>
        </is>
      </c>
      <c r="C1160" t="inlineStr">
        <is>
          <t>CIO</t>
        </is>
      </c>
      <c r="D1160" t="inlineStr">
        <is>
          <t>APL Logistics</t>
        </is>
      </c>
      <c r="E1160" t="inlineStr">
        <is>
          <t>United States</t>
        </is>
      </c>
      <c r="F1160" t="inlineStr">
        <is>
          <t>Yes</t>
        </is>
      </c>
      <c r="G1160" t="inlineStr">
        <is>
          <t>1458000000</t>
        </is>
      </c>
      <c r="H1160" t="n">
        <v>9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  <c r="N1160">
        <f>IFERROR(INDEX('Company Hitlist'!$AA:$AA,MATCH(D1160,'Company Hitlist'!$A:$A,0)),)</f>
        <v/>
      </c>
      <c r="O1160">
        <f>IFERROR(INDEX('Company Hitlist'!$N:$N,MATCH(D1160,'Company Hitlist'!$A:$A,0)),)</f>
        <v/>
      </c>
      <c r="Q1160" t="inlineStr">
        <is>
          <t>todo</t>
        </is>
      </c>
    </row>
    <row r="1161">
      <c r="A1161" t="inlineStr">
        <is>
          <t>Deepak Anchala</t>
        </is>
      </c>
      <c r="B1161" t="inlineStr">
        <is>
          <t>Speaker</t>
        </is>
      </c>
      <c r="C1161" t="inlineStr">
        <is>
          <t>CEO &amp; Co-Founder</t>
        </is>
      </c>
      <c r="D1161" t="inlineStr">
        <is>
          <t>Adopt AI</t>
        </is>
      </c>
      <c r="F1161" t="inlineStr">
        <is>
          <t>Yes</t>
        </is>
      </c>
      <c r="H1161" t="n">
        <v>9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  <c r="N1161">
        <f>IFERROR(INDEX('Company Hitlist'!$AA:$AA,MATCH(D1161,'Company Hitlist'!$A:$A,0)),)</f>
        <v/>
      </c>
      <c r="O1161">
        <f>IFERROR(INDEX('Company Hitlist'!$N:$N,MATCH(D1161,'Company Hitlist'!$A:$A,0)),)</f>
        <v/>
      </c>
      <c r="Q1161" t="inlineStr">
        <is>
          <t>todo</t>
        </is>
      </c>
    </row>
    <row r="1162">
      <c r="A1162" t="inlineStr">
        <is>
          <t>Phil Hongwei Ding</t>
        </is>
      </c>
      <c r="B1162" t="inlineStr">
        <is>
          <t>Speaker</t>
        </is>
      </c>
      <c r="C1162" t="inlineStr">
        <is>
          <t>President</t>
        </is>
      </c>
      <c r="D1162" t="inlineStr">
        <is>
          <t>AliExpress</t>
        </is>
      </c>
      <c r="F1162" t="inlineStr">
        <is>
          <t>Yes</t>
        </is>
      </c>
      <c r="G1162" t="inlineStr">
        <is>
          <t>$120B (2024; projected $130B in 2025)</t>
        </is>
      </c>
      <c r="H1162" t="n">
        <v>9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>
        <f>IFERROR(INDEX('Company Hitlist'!$AA:$AA,MATCH(D1162,'Company Hitlist'!$A:$A,0)),)</f>
        <v/>
      </c>
      <c r="O1162">
        <f>IFERROR(INDEX('Company Hitlist'!$N:$N,MATCH(D1162,'Company Hitlist'!$A:$A,0)),)</f>
        <v/>
      </c>
      <c r="Q1162" t="inlineStr">
        <is>
          <t>todo</t>
        </is>
      </c>
    </row>
    <row r="1163">
      <c r="A1163" t="inlineStr">
        <is>
          <t>Rob Chambers</t>
        </is>
      </c>
      <c r="B1163" t="inlineStr">
        <is>
          <t>Speaker</t>
        </is>
      </c>
      <c r="C1163" t="inlineStr">
        <is>
          <t>President</t>
        </is>
      </c>
      <c r="D1163" t="inlineStr">
        <is>
          <t>Americold Logistics</t>
        </is>
      </c>
      <c r="H1163" t="n">
        <v>9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>
        <f>IFERROR(INDEX('Company Hitlist'!$AA:$AA,MATCH(D1163,'Company Hitlist'!$A:$A,0)),)</f>
        <v/>
      </c>
      <c r="O1163">
        <f>IFERROR(INDEX('Company Hitlist'!$N:$N,MATCH(D1163,'Company Hitlist'!$A:$A,0)),)</f>
        <v/>
      </c>
      <c r="Q1163" t="inlineStr">
        <is>
          <t>todo</t>
        </is>
      </c>
    </row>
    <row r="1164">
      <c r="A1164" t="inlineStr">
        <is>
          <t>Allan Dow</t>
        </is>
      </c>
      <c r="B1164" t="inlineStr">
        <is>
          <t>Speaker</t>
        </is>
      </c>
      <c r="C1164" t="inlineStr">
        <is>
          <t>EVP, GM</t>
        </is>
      </c>
      <c r="D1164" t="inlineStr">
        <is>
          <t>Aptean Supply Chain</t>
        </is>
      </c>
      <c r="F1164" t="inlineStr">
        <is>
          <t>Yes</t>
        </is>
      </c>
      <c r="G1164" t="inlineStr">
        <is>
          <t>$400M (2024 est.; projected $450M in 2025)</t>
        </is>
      </c>
      <c r="H1164" t="n">
        <v>9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  <c r="N1164">
        <f>IFERROR(INDEX('Company Hitlist'!$AA:$AA,MATCH(D1164,'Company Hitlist'!$A:$A,0)),)</f>
        <v/>
      </c>
      <c r="O1164">
        <f>IFERROR(INDEX('Company Hitlist'!$N:$N,MATCH(D1164,'Company Hitlist'!$A:$A,0)),)</f>
        <v/>
      </c>
      <c r="Q1164" t="inlineStr">
        <is>
          <t>todo</t>
        </is>
      </c>
    </row>
    <row r="1165">
      <c r="A1165" t="inlineStr">
        <is>
          <t>Mitch Lee</t>
        </is>
      </c>
      <c r="B1165" t="inlineStr">
        <is>
          <t>Speaker</t>
        </is>
      </c>
      <c r="C1165" t="inlineStr">
        <is>
          <t>CEO &amp; Co-Founder</t>
        </is>
      </c>
      <c r="D1165" t="inlineStr">
        <is>
          <t>Arc</t>
        </is>
      </c>
      <c r="F1165" t="inlineStr">
        <is>
          <t>Yes</t>
        </is>
      </c>
      <c r="G1165" t="inlineStr">
        <is>
          <t>369100000</t>
        </is>
      </c>
      <c r="H1165" t="n">
        <v>9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  <c r="N1165">
        <f>IFERROR(INDEX('Company Hitlist'!$AA:$AA,MATCH(D1165,'Company Hitlist'!$A:$A,0)),)</f>
        <v/>
      </c>
      <c r="O1165">
        <f>IFERROR(INDEX('Company Hitlist'!$N:$N,MATCH(D1165,'Company Hitlist'!$A:$A,0)),)</f>
        <v/>
      </c>
      <c r="Q1165" t="inlineStr">
        <is>
          <t>todo</t>
        </is>
      </c>
    </row>
    <row r="1166">
      <c r="A1166" t="inlineStr">
        <is>
          <t>Ben Leiken</t>
        </is>
      </c>
      <c r="B1166" t="inlineStr">
        <is>
          <t>Speaker</t>
        </is>
      </c>
      <c r="C1166" t="inlineStr">
        <is>
          <t>Chief Technology Officer</t>
        </is>
      </c>
      <c r="D1166" t="inlineStr">
        <is>
          <t>Arkestro</t>
        </is>
      </c>
      <c r="F1166" t="inlineStr">
        <is>
          <t>Yes</t>
        </is>
      </c>
      <c r="G1166" t="inlineStr">
        <is>
          <t>$12M (2024 est.; projected $15M in 2025)</t>
        </is>
      </c>
      <c r="H1166" t="n">
        <v>9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  <c r="N1166">
        <f>IFERROR(INDEX('Company Hitlist'!$AA:$AA,MATCH(D1166,'Company Hitlist'!$A:$A,0)),)</f>
        <v/>
      </c>
      <c r="O1166">
        <f>IFERROR(INDEX('Company Hitlist'!$N:$N,MATCH(D1166,'Company Hitlist'!$A:$A,0)),)</f>
        <v/>
      </c>
      <c r="Q1166" t="inlineStr">
        <is>
          <t>todo</t>
        </is>
      </c>
    </row>
    <row r="1167">
      <c r="A1167" t="inlineStr">
        <is>
          <t>Joe Wildes</t>
        </is>
      </c>
      <c r="B1167" t="inlineStr">
        <is>
          <t>Speaker</t>
        </is>
      </c>
      <c r="C1167" t="inlineStr">
        <is>
          <t>Chief Innovation Officer</t>
        </is>
      </c>
      <c r="D1167" t="inlineStr">
        <is>
          <t>Armada Supply Chain Solutions</t>
        </is>
      </c>
      <c r="F1167" t="inlineStr">
        <is>
          <t>Yes</t>
        </is>
      </c>
      <c r="G1167" t="inlineStr">
        <is>
          <t>5702000000</t>
        </is>
      </c>
      <c r="H1167" t="n">
        <v>9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>
        <f>IFERROR(INDEX('Company Hitlist'!$AA:$AA,MATCH(D1167,'Company Hitlist'!$A:$A,0)),)</f>
        <v/>
      </c>
      <c r="O1167">
        <f>IFERROR(INDEX('Company Hitlist'!$N:$N,MATCH(D1167,'Company Hitlist'!$A:$A,0)),)</f>
        <v/>
      </c>
      <c r="Q1167" t="inlineStr">
        <is>
          <t>todo</t>
        </is>
      </c>
    </row>
    <row r="1168">
      <c r="A1168" t="inlineStr">
        <is>
          <t>Hannah Sieber</t>
        </is>
      </c>
      <c r="B1168" t="inlineStr">
        <is>
          <t>Speaker</t>
        </is>
      </c>
      <c r="C1168" t="inlineStr">
        <is>
          <t>CEO &amp; Co Founder</t>
        </is>
      </c>
      <c r="D1168" t="inlineStr">
        <is>
          <t>Artyc</t>
        </is>
      </c>
      <c r="H1168" t="n">
        <v>9</v>
      </c>
      <c r="I1168" t="b">
        <v>0</v>
      </c>
      <c r="J1168" t="b">
        <v>1</v>
      </c>
      <c r="K1168" t="b">
        <v>0</v>
      </c>
      <c r="L1168" t="b">
        <v>0</v>
      </c>
      <c r="M1168" t="b">
        <v>0</v>
      </c>
      <c r="N1168">
        <f>IFERROR(INDEX('Company Hitlist'!$AA:$AA,MATCH(D1168,'Company Hitlist'!$A:$A,0)),)</f>
        <v/>
      </c>
      <c r="O1168">
        <f>IFERROR(INDEX('Company Hitlist'!$N:$N,MATCH(D1168,'Company Hitlist'!$A:$A,0)),)</f>
        <v/>
      </c>
      <c r="Q1168" t="inlineStr">
        <is>
          <t>todo</t>
        </is>
      </c>
    </row>
    <row r="1169">
      <c r="A1169" t="inlineStr">
        <is>
          <t>Nissan Levy</t>
        </is>
      </c>
      <c r="B1169" t="inlineStr">
        <is>
          <t>Speaker</t>
        </is>
      </c>
      <c r="C1169" t="inlineStr">
        <is>
          <t>CEO</t>
        </is>
      </c>
      <c r="D1169" t="inlineStr">
        <is>
          <t>Ashdod Port Company</t>
        </is>
      </c>
      <c r="F1169" t="inlineStr">
        <is>
          <t>Yes</t>
        </is>
      </c>
      <c r="G1169" t="inlineStr">
        <is>
          <t>278000000</t>
        </is>
      </c>
      <c r="H1169" t="n">
        <v>9</v>
      </c>
      <c r="I1169" t="b">
        <v>0</v>
      </c>
      <c r="J1169" t="b">
        <v>1</v>
      </c>
      <c r="K1169" t="b">
        <v>0</v>
      </c>
      <c r="L1169" t="b">
        <v>0</v>
      </c>
      <c r="M1169" t="b">
        <v>0</v>
      </c>
      <c r="N1169">
        <f>IFERROR(INDEX('Company Hitlist'!$AA:$AA,MATCH(D1169,'Company Hitlist'!$A:$A,0)),)</f>
        <v/>
      </c>
      <c r="O1169">
        <f>IFERROR(INDEX('Company Hitlist'!$N:$N,MATCH(D1169,'Company Hitlist'!$A:$A,0)),)</f>
        <v/>
      </c>
      <c r="Q1169" t="inlineStr">
        <is>
          <t>todo</t>
        </is>
      </c>
    </row>
    <row r="1170">
      <c r="A1170" t="inlineStr">
        <is>
          <t>Dave Clark</t>
        </is>
      </c>
      <c r="B1170" t="inlineStr">
        <is>
          <t>Speaker</t>
        </is>
      </c>
      <c r="C1170" t="inlineStr">
        <is>
          <t>CEO &amp; Founder</t>
        </is>
      </c>
      <c r="D1170" t="inlineStr">
        <is>
          <t>Auger</t>
        </is>
      </c>
      <c r="E1170" t="inlineStr">
        <is>
          <t>United States</t>
        </is>
      </c>
      <c r="F1170" t="inlineStr">
        <is>
          <t>Yes</t>
        </is>
      </c>
      <c r="H1170" t="n">
        <v>9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>
        <f>IFERROR(INDEX('Company Hitlist'!$AA:$AA,MATCH(D1170,'Company Hitlist'!$A:$A,0)),)</f>
        <v/>
      </c>
      <c r="O1170">
        <f>IFERROR(INDEX('Company Hitlist'!$N:$N,MATCH(D1170,'Company Hitlist'!$A:$A,0)),)</f>
        <v/>
      </c>
      <c r="Q1170" t="inlineStr">
        <is>
          <t>todo</t>
        </is>
      </c>
    </row>
    <row r="1171">
      <c r="A1171" t="inlineStr">
        <is>
          <t>Harish Abbott</t>
        </is>
      </c>
      <c r="B1171" t="inlineStr">
        <is>
          <t>Speaker</t>
        </is>
      </c>
      <c r="C1171" t="inlineStr">
        <is>
          <t>CEO &amp; Co-Founder</t>
        </is>
      </c>
      <c r="D1171" t="inlineStr">
        <is>
          <t>Augment</t>
        </is>
      </c>
      <c r="F1171" t="inlineStr">
        <is>
          <t>Yes</t>
        </is>
      </c>
      <c r="H1171" t="n">
        <v>9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>
        <f>IFERROR(INDEX('Company Hitlist'!$AA:$AA,MATCH(D1171,'Company Hitlist'!$A:$A,0)),)</f>
        <v/>
      </c>
      <c r="O1171">
        <f>IFERROR(INDEX('Company Hitlist'!$N:$N,MATCH(D1171,'Company Hitlist'!$A:$A,0)),)</f>
        <v/>
      </c>
      <c r="Q1171" t="inlineStr">
        <is>
          <t>todo</t>
        </is>
      </c>
    </row>
    <row r="1172">
      <c r="A1172" t="inlineStr">
        <is>
          <t>Eric Miller</t>
        </is>
      </c>
      <c r="B1172" t="inlineStr">
        <is>
          <t>Speaker</t>
        </is>
      </c>
      <c r="C1172" t="inlineStr">
        <is>
          <t>CEO</t>
        </is>
      </c>
      <c r="D1172" t="inlineStr">
        <is>
          <t>AutoPallet Robotics</t>
        </is>
      </c>
      <c r="E1172" t="inlineStr">
        <is>
          <t>United States</t>
        </is>
      </c>
      <c r="F1172" t="inlineStr">
        <is>
          <t>Yes</t>
        </is>
      </c>
      <c r="H1172" t="n">
        <v>9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  <c r="N1172">
        <f>IFERROR(INDEX('Company Hitlist'!$AA:$AA,MATCH(D1172,'Company Hitlist'!$A:$A,0)),)</f>
        <v/>
      </c>
      <c r="O1172">
        <f>IFERROR(INDEX('Company Hitlist'!$N:$N,MATCH(D1172,'Company Hitlist'!$A:$A,0)),)</f>
        <v/>
      </c>
      <c r="Q1172" t="inlineStr">
        <is>
          <t>todo</t>
        </is>
      </c>
    </row>
    <row r="1173">
      <c r="A1173" t="inlineStr">
        <is>
          <t>Julie Vargas</t>
        </is>
      </c>
      <c r="B1173" t="inlineStr">
        <is>
          <t>Speaker</t>
        </is>
      </c>
      <c r="C1173" t="inlineStr">
        <is>
          <t>VP &amp; GM, Identification Solutions</t>
        </is>
      </c>
      <c r="D1173" t="inlineStr">
        <is>
          <t>Avery Dennison Corporation</t>
        </is>
      </c>
      <c r="H1173" t="n">
        <v>9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>
        <f>IFERROR(INDEX('Company Hitlist'!$AA:$AA,MATCH(D1173,'Company Hitlist'!$A:$A,0)),)</f>
        <v/>
      </c>
      <c r="O1173">
        <f>IFERROR(INDEX('Company Hitlist'!$N:$N,MATCH(D1173,'Company Hitlist'!$A:$A,0)),)</f>
        <v/>
      </c>
      <c r="Q1173" t="inlineStr">
        <is>
          <t>todo</t>
        </is>
      </c>
    </row>
    <row r="1174">
      <c r="A1174" t="inlineStr">
        <is>
          <t>Ilhan Kolko</t>
        </is>
      </c>
      <c r="B1174" t="inlineStr">
        <is>
          <t>Speaker</t>
        </is>
      </c>
      <c r="C1174" t="inlineStr">
        <is>
          <t>President &amp; Managing Director</t>
        </is>
      </c>
      <c r="D1174" t="inlineStr">
        <is>
          <t>Aviro360</t>
        </is>
      </c>
      <c r="F1174" t="inlineStr">
        <is>
          <t>Yes</t>
        </is>
      </c>
      <c r="H1174" t="n">
        <v>9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  <c r="N1174">
        <f>IFERROR(INDEX('Company Hitlist'!$AA:$AA,MATCH(D1174,'Company Hitlist'!$A:$A,0)),)</f>
        <v/>
      </c>
      <c r="O1174">
        <f>IFERROR(INDEX('Company Hitlist'!$N:$N,MATCH(D1174,'Company Hitlist'!$A:$A,0)),)</f>
        <v/>
      </c>
      <c r="Q1174" t="inlineStr">
        <is>
          <t>todo</t>
        </is>
      </c>
    </row>
    <row r="1175">
      <c r="A1175" t="inlineStr">
        <is>
          <t>Will Johnson</t>
        </is>
      </c>
      <c r="B1175" t="inlineStr">
        <is>
          <t>Speaker</t>
        </is>
      </c>
      <c r="C1175" t="inlineStr">
        <is>
          <t>AVP, Chief Special Agent</t>
        </is>
      </c>
      <c r="D1175" t="inlineStr">
        <is>
          <t>BNSF</t>
        </is>
      </c>
      <c r="F1175" t="inlineStr">
        <is>
          <t>Yes</t>
        </is>
      </c>
      <c r="G1175" t="inlineStr">
        <is>
          <t>$25B (2024; projected $26B in 2025)</t>
        </is>
      </c>
      <c r="H1175" t="n">
        <v>9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>
        <f>IFERROR(INDEX('Company Hitlist'!$AA:$AA,MATCH(D1175,'Company Hitlist'!$A:$A,0)),)</f>
        <v/>
      </c>
      <c r="O1175">
        <f>IFERROR(INDEX('Company Hitlist'!$N:$N,MATCH(D1175,'Company Hitlist'!$A:$A,0)),)</f>
        <v/>
      </c>
      <c r="Q1175" t="inlineStr">
        <is>
          <t>todo</t>
        </is>
      </c>
    </row>
    <row r="1176">
      <c r="A1176" t="inlineStr">
        <is>
          <t>Jon Gabriel</t>
        </is>
      </c>
      <c r="B1176" t="inlineStr">
        <is>
          <t>Speaker</t>
        </is>
      </c>
      <c r="C1176" t="inlineStr">
        <is>
          <t>Group Vice President, Consumer Products</t>
        </is>
      </c>
      <c r="D1176" t="inlineStr">
        <is>
          <t>BNSF Railway</t>
        </is>
      </c>
      <c r="F1176" t="inlineStr">
        <is>
          <t>Yes</t>
        </is>
      </c>
      <c r="G1176" t="inlineStr">
        <is>
          <t>23350000000</t>
        </is>
      </c>
      <c r="H1176" t="n">
        <v>9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>
        <f>IFERROR(INDEX('Company Hitlist'!$AA:$AA,MATCH(D1176,'Company Hitlist'!$A:$A,0)),)</f>
        <v/>
      </c>
      <c r="O1176">
        <f>IFERROR(INDEX('Company Hitlist'!$N:$N,MATCH(D1176,'Company Hitlist'!$A:$A,0)),)</f>
        <v/>
      </c>
      <c r="Q1176" t="inlineStr">
        <is>
          <t>todo</t>
        </is>
      </c>
    </row>
    <row r="1177">
      <c r="A1177" t="inlineStr">
        <is>
          <t>Brian Smith</t>
        </is>
      </c>
      <c r="B1177" t="inlineStr">
        <is>
          <t>Speaker</t>
        </is>
      </c>
      <c r="C1177" t="inlineStr">
        <is>
          <t>CEO</t>
        </is>
      </c>
      <c r="D1177" t="inlineStr">
        <is>
          <t>Banyan</t>
        </is>
      </c>
      <c r="E1177" t="inlineStr">
        <is>
          <t>United States</t>
        </is>
      </c>
      <c r="F1177" t="inlineStr">
        <is>
          <t>Yes</t>
        </is>
      </c>
      <c r="G1177" t="inlineStr">
        <is>
          <t>$5.8M</t>
        </is>
      </c>
      <c r="H1177" t="n">
        <v>9</v>
      </c>
      <c r="I1177" t="b">
        <v>0</v>
      </c>
      <c r="J1177" t="b">
        <v>1</v>
      </c>
      <c r="K1177" t="b">
        <v>0</v>
      </c>
      <c r="L1177" t="b">
        <v>0</v>
      </c>
      <c r="M1177" t="b">
        <v>0</v>
      </c>
      <c r="N1177">
        <f>IFERROR(INDEX('Company Hitlist'!$AA:$AA,MATCH(D1177,'Company Hitlist'!$A:$A,0)),)</f>
        <v/>
      </c>
      <c r="O1177">
        <f>IFERROR(INDEX('Company Hitlist'!$N:$N,MATCH(D1177,'Company Hitlist'!$A:$A,0)),)</f>
        <v/>
      </c>
      <c r="Q1177" t="inlineStr">
        <is>
          <t>todo</t>
        </is>
      </c>
    </row>
    <row r="1178">
      <c r="A1178" t="inlineStr">
        <is>
          <t>Christian Fischer</t>
        </is>
      </c>
      <c r="B1178" t="inlineStr">
        <is>
          <t>Speaker</t>
        </is>
      </c>
      <c r="C1178" t="inlineStr">
        <is>
          <t>CEO &amp; Co-Founder</t>
        </is>
      </c>
      <c r="D1178" t="inlineStr">
        <is>
          <t>Bcomp</t>
        </is>
      </c>
      <c r="H1178" t="n">
        <v>9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>
        <f>IFERROR(INDEX('Company Hitlist'!$AA:$AA,MATCH(D1178,'Company Hitlist'!$A:$A,0)),)</f>
        <v/>
      </c>
      <c r="O1178">
        <f>IFERROR(INDEX('Company Hitlist'!$N:$N,MATCH(D1178,'Company Hitlist'!$A:$A,0)),)</f>
        <v/>
      </c>
      <c r="Q1178" t="inlineStr">
        <is>
          <t>todo</t>
        </is>
      </c>
    </row>
    <row r="1179">
      <c r="A1179" t="inlineStr">
        <is>
          <t>Stephane Levy</t>
        </is>
      </c>
      <c r="B1179" t="inlineStr">
        <is>
          <t>Speaker</t>
        </is>
      </c>
      <c r="C1179" t="inlineStr">
        <is>
          <t>CEO</t>
        </is>
      </c>
      <c r="D1179" t="inlineStr">
        <is>
          <t>Beamup</t>
        </is>
      </c>
      <c r="F1179" t="inlineStr">
        <is>
          <t>Yes</t>
        </is>
      </c>
      <c r="H1179" t="n">
        <v>9</v>
      </c>
      <c r="I1179" t="b">
        <v>0</v>
      </c>
      <c r="J1179" t="b">
        <v>1</v>
      </c>
      <c r="K1179" t="b">
        <v>0</v>
      </c>
      <c r="L1179" t="b">
        <v>0</v>
      </c>
      <c r="M1179" t="b">
        <v>0</v>
      </c>
      <c r="N1179">
        <f>IFERROR(INDEX('Company Hitlist'!$AA:$AA,MATCH(D1179,'Company Hitlist'!$A:$A,0)),)</f>
        <v/>
      </c>
      <c r="O1179">
        <f>IFERROR(INDEX('Company Hitlist'!$N:$N,MATCH(D1179,'Company Hitlist'!$A:$A,0)),)</f>
        <v/>
      </c>
      <c r="Q1179" t="inlineStr">
        <is>
          <t>todo</t>
        </is>
      </c>
    </row>
    <row r="1180">
      <c r="A1180" t="inlineStr">
        <is>
          <t>Karolina Smith</t>
        </is>
      </c>
      <c r="B1180" t="inlineStr">
        <is>
          <t>Speaker</t>
        </is>
      </c>
      <c r="C1180" t="inlineStr">
        <is>
          <t>President</t>
        </is>
      </c>
      <c r="D1180" t="inlineStr">
        <is>
          <t>Best &amp; Basic</t>
        </is>
      </c>
      <c r="H1180" t="n">
        <v>9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>
        <f>IFERROR(INDEX('Company Hitlist'!$AA:$AA,MATCH(D1180,'Company Hitlist'!$A:$A,0)),)</f>
        <v/>
      </c>
      <c r="O1180">
        <f>IFERROR(INDEX('Company Hitlist'!$N:$N,MATCH(D1180,'Company Hitlist'!$A:$A,0)),)</f>
        <v/>
      </c>
      <c r="Q1180" t="inlineStr">
        <is>
          <t>todo</t>
        </is>
      </c>
    </row>
    <row r="1181">
      <c r="A1181" t="inlineStr">
        <is>
          <t>Curtis Spencer</t>
        </is>
      </c>
      <c r="B1181" t="inlineStr">
        <is>
          <t>Speaker</t>
        </is>
      </c>
      <c r="C1181" t="inlineStr">
        <is>
          <t>CEO</t>
        </is>
      </c>
      <c r="D1181" t="inlineStr">
        <is>
          <t>Bloodhound Tracking Device</t>
        </is>
      </c>
      <c r="E1181" t="inlineStr">
        <is>
          <t>United States</t>
        </is>
      </c>
      <c r="F1181" t="inlineStr">
        <is>
          <t>Yes</t>
        </is>
      </c>
      <c r="H1181" t="n">
        <v>9</v>
      </c>
      <c r="I1181" t="b">
        <v>0</v>
      </c>
      <c r="J1181" t="b">
        <v>1</v>
      </c>
      <c r="K1181" t="b">
        <v>0</v>
      </c>
      <c r="L1181" t="b">
        <v>0</v>
      </c>
      <c r="M1181" t="b">
        <v>0</v>
      </c>
      <c r="N1181">
        <f>IFERROR(INDEX('Company Hitlist'!$AA:$AA,MATCH(D1181,'Company Hitlist'!$A:$A,0)),)</f>
        <v/>
      </c>
      <c r="O1181">
        <f>IFERROR(INDEX('Company Hitlist'!$N:$N,MATCH(D1181,'Company Hitlist'!$A:$A,0)),)</f>
        <v/>
      </c>
      <c r="Q1181" t="inlineStr">
        <is>
          <t>todo</t>
        </is>
      </c>
    </row>
    <row r="1182">
      <c r="A1182" t="inlineStr">
        <is>
          <t>Annmarie Jonkman</t>
        </is>
      </c>
      <c r="B1182" t="inlineStr">
        <is>
          <t>Speaker</t>
        </is>
      </c>
      <c r="C1182" t="inlineStr">
        <is>
          <t>Vice President, Global Industry Strategy</t>
        </is>
      </c>
      <c r="D1182" t="inlineStr">
        <is>
          <t>Blue Yonder</t>
        </is>
      </c>
      <c r="E1182" t="inlineStr">
        <is>
          <t>United States</t>
        </is>
      </c>
      <c r="F1182" t="inlineStr">
        <is>
          <t>Yes</t>
        </is>
      </c>
      <c r="G1182" t="inlineStr">
        <is>
          <t>$2.2 billion (2025)</t>
        </is>
      </c>
      <c r="H1182" t="n">
        <v>9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  <c r="N1182">
        <f>IFERROR(INDEX('Company Hitlist'!$AA:$AA,MATCH(D1182,'Company Hitlist'!$A:$A,0)),)</f>
        <v/>
      </c>
      <c r="O1182">
        <f>IFERROR(INDEX('Company Hitlist'!$N:$N,MATCH(D1182,'Company Hitlist'!$A:$A,0)),)</f>
        <v/>
      </c>
      <c r="Q1182" t="inlineStr">
        <is>
          <t>todo</t>
        </is>
      </c>
    </row>
    <row r="1183">
      <c r="A1183" t="inlineStr">
        <is>
          <t>Colin Colbourn</t>
        </is>
      </c>
      <c r="B1183" t="inlineStr">
        <is>
          <t>Speaker</t>
        </is>
      </c>
      <c r="C1183" t="inlineStr">
        <is>
          <t>Head of Product &amp; Delivery</t>
        </is>
      </c>
      <c r="D1183" t="inlineStr">
        <is>
          <t>BlueCargo</t>
        </is>
      </c>
      <c r="E1183" t="inlineStr">
        <is>
          <t>United States</t>
        </is>
      </c>
      <c r="F1183" t="inlineStr">
        <is>
          <t>Yes</t>
        </is>
      </c>
      <c r="H1183" t="n">
        <v>9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  <c r="N1183">
        <f>IFERROR(INDEX('Company Hitlist'!$AA:$AA,MATCH(D1183,'Company Hitlist'!$A:$A,0)),)</f>
        <v/>
      </c>
      <c r="O1183">
        <f>IFERROR(INDEX('Company Hitlist'!$N:$N,MATCH(D1183,'Company Hitlist'!$A:$A,0)),)</f>
        <v/>
      </c>
      <c r="Q1183" t="inlineStr">
        <is>
          <t>todo</t>
        </is>
      </c>
    </row>
    <row r="1184">
      <c r="A1184" t="inlineStr">
        <is>
          <t>Ann Carpenter</t>
        </is>
      </c>
      <c r="B1184" t="inlineStr">
        <is>
          <t>Speaker</t>
        </is>
      </c>
      <c r="C1184" t="inlineStr">
        <is>
          <t>CEO</t>
        </is>
      </c>
      <c r="D1184" t="inlineStr">
        <is>
          <t>Braid Theory</t>
        </is>
      </c>
      <c r="H1184" t="n">
        <v>9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>
        <f>IFERROR(INDEX('Company Hitlist'!$AA:$AA,MATCH(D1184,'Company Hitlist'!$A:$A,0)),)</f>
        <v/>
      </c>
      <c r="O1184">
        <f>IFERROR(INDEX('Company Hitlist'!$N:$N,MATCH(D1184,'Company Hitlist'!$A:$A,0)),)</f>
        <v/>
      </c>
      <c r="Q1184" t="inlineStr">
        <is>
          <t>todo</t>
        </is>
      </c>
    </row>
    <row r="1185">
      <c r="A1185" t="inlineStr">
        <is>
          <t>Jared Spude</t>
        </is>
      </c>
      <c r="B1185" t="inlineStr">
        <is>
          <t>Speaker</t>
        </is>
      </c>
      <c r="C1185" t="inlineStr">
        <is>
          <t>Vice President, Enterprise Solutions</t>
        </is>
      </c>
      <c r="D1185" t="inlineStr">
        <is>
          <t>Breakthrough Fuel</t>
        </is>
      </c>
      <c r="E1185" t="inlineStr">
        <is>
          <t>United States</t>
        </is>
      </c>
      <c r="F1185" t="inlineStr">
        <is>
          <t>Yes</t>
        </is>
      </c>
      <c r="G1185" t="inlineStr">
        <is>
          <t>$50M (2024 est.; projected $55M in 2025)</t>
        </is>
      </c>
      <c r="H1185" t="n">
        <v>9</v>
      </c>
      <c r="I1185" t="b">
        <v>0</v>
      </c>
      <c r="J1185" t="b">
        <v>1</v>
      </c>
      <c r="K1185" t="b">
        <v>0</v>
      </c>
      <c r="L1185" t="b">
        <v>0</v>
      </c>
      <c r="M1185" t="b">
        <v>0</v>
      </c>
      <c r="N1185">
        <f>IFERROR(INDEX('Company Hitlist'!$AA:$AA,MATCH(D1185,'Company Hitlist'!$A:$A,0)),)</f>
        <v/>
      </c>
      <c r="O1185">
        <f>IFERROR(INDEX('Company Hitlist'!$N:$N,MATCH(D1185,'Company Hitlist'!$A:$A,0)),)</f>
        <v/>
      </c>
      <c r="Q1185" t="inlineStr">
        <is>
          <t>todo</t>
        </is>
      </c>
    </row>
    <row r="1186">
      <c r="A1186" t="inlineStr">
        <is>
          <t>Rachel Levy</t>
        </is>
      </c>
      <c r="B1186" t="inlineStr">
        <is>
          <t>Speaker</t>
        </is>
      </c>
      <c r="C1186" t="inlineStr">
        <is>
          <t>COO</t>
        </is>
      </c>
      <c r="D1186" t="inlineStr">
        <is>
          <t>Brooklinen</t>
        </is>
      </c>
      <c r="F1186" t="inlineStr">
        <is>
          <t>Yes</t>
        </is>
      </c>
      <c r="G1186" t="inlineStr">
        <is>
          <t>$100M+ (2024 est.; projected $110M in 2025)</t>
        </is>
      </c>
      <c r="H1186" t="n">
        <v>9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>
        <f>IFERROR(INDEX('Company Hitlist'!$AA:$AA,MATCH(D1186,'Company Hitlist'!$A:$A,0)),)</f>
        <v/>
      </c>
      <c r="O1186">
        <f>IFERROR(INDEX('Company Hitlist'!$N:$N,MATCH(D1186,'Company Hitlist'!$A:$A,0)),)</f>
        <v/>
      </c>
      <c r="Q1186" t="inlineStr">
        <is>
          <t>todo</t>
        </is>
      </c>
    </row>
    <row r="1187">
      <c r="A1187" t="inlineStr">
        <is>
          <t>Geoffroy Willaume</t>
        </is>
      </c>
      <c r="B1187" t="inlineStr">
        <is>
          <t>Speaker</t>
        </is>
      </c>
      <c r="C1187" t="inlineStr">
        <is>
          <t>CFO &amp; Co-Founder</t>
        </is>
      </c>
      <c r="D1187" t="inlineStr">
        <is>
          <t>BuyCo</t>
        </is>
      </c>
      <c r="F1187" t="inlineStr">
        <is>
          <t>Yes</t>
        </is>
      </c>
      <c r="G1187" t="inlineStr">
        <is>
          <t>7500000</t>
        </is>
      </c>
      <c r="H1187" t="n">
        <v>9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  <c r="N1187">
        <f>IFERROR(INDEX('Company Hitlist'!$AA:$AA,MATCH(D1187,'Company Hitlist'!$A:$A,0)),)</f>
        <v/>
      </c>
      <c r="O1187">
        <f>IFERROR(INDEX('Company Hitlist'!$N:$N,MATCH(D1187,'Company Hitlist'!$A:$A,0)),)</f>
        <v/>
      </c>
      <c r="Q1187" t="inlineStr">
        <is>
          <t>todo</t>
        </is>
      </c>
    </row>
    <row r="1188">
      <c r="A1188" t="inlineStr">
        <is>
          <t>Cody Griggs</t>
        </is>
      </c>
      <c r="B1188" t="inlineStr">
        <is>
          <t>Speaker</t>
        </is>
      </c>
      <c r="C1188" t="inlineStr">
        <is>
          <t>Vice President</t>
        </is>
      </c>
      <c r="D1188" t="inlineStr">
        <is>
          <t>C.H. Robinson</t>
        </is>
      </c>
      <c r="E1188" t="inlineStr">
        <is>
          <t>United States</t>
        </is>
      </c>
      <c r="F1188" t="inlineStr">
        <is>
          <t>Yes</t>
        </is>
      </c>
      <c r="G1188" t="inlineStr">
        <is>
          <t>17724956000</t>
        </is>
      </c>
      <c r="H1188" t="n">
        <v>9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>
        <f>IFERROR(INDEX('Company Hitlist'!$AA:$AA,MATCH(D1188,'Company Hitlist'!$A:$A,0)),)</f>
        <v/>
      </c>
      <c r="O1188">
        <f>IFERROR(INDEX('Company Hitlist'!$N:$N,MATCH(D1188,'Company Hitlist'!$A:$A,0)),)</f>
        <v/>
      </c>
      <c r="Q1188" t="inlineStr">
        <is>
          <t>todo</t>
        </is>
      </c>
    </row>
    <row r="1189">
      <c r="A1189" t="inlineStr">
        <is>
          <t>Chris Cutshaw</t>
        </is>
      </c>
      <c r="B1189" t="inlineStr">
        <is>
          <t>Speaker</t>
        </is>
      </c>
      <c r="C1189" t="inlineStr">
        <is>
          <t>VP</t>
        </is>
      </c>
      <c r="D1189" t="inlineStr">
        <is>
          <t>C.H. Robinson</t>
        </is>
      </c>
      <c r="F1189" t="inlineStr">
        <is>
          <t>Yes</t>
        </is>
      </c>
      <c r="G1189" t="inlineStr">
        <is>
          <t>17724956000</t>
        </is>
      </c>
      <c r="H1189" t="n">
        <v>9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  <c r="N1189">
        <f>IFERROR(INDEX('Company Hitlist'!$AA:$AA,MATCH(D1189,'Company Hitlist'!$A:$A,0)),)</f>
        <v/>
      </c>
      <c r="O1189">
        <f>IFERROR(INDEX('Company Hitlist'!$N:$N,MATCH(D1189,'Company Hitlist'!$A:$A,0)),)</f>
        <v/>
      </c>
      <c r="Q1189" t="inlineStr">
        <is>
          <t>todo</t>
        </is>
      </c>
    </row>
    <row r="1190">
      <c r="A1190" t="inlineStr">
        <is>
          <t>Zach England</t>
        </is>
      </c>
      <c r="B1190" t="inlineStr">
        <is>
          <t>Speaker</t>
        </is>
      </c>
      <c r="C1190" t="inlineStr">
        <is>
          <t>COO</t>
        </is>
      </c>
      <c r="D1190" t="inlineStr">
        <is>
          <t>C.R. England</t>
        </is>
      </c>
      <c r="F1190" t="inlineStr">
        <is>
          <t>Yes</t>
        </is>
      </c>
      <c r="G1190" t="inlineStr">
        <is>
          <t>500000000</t>
        </is>
      </c>
      <c r="H1190" t="n">
        <v>9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>
        <f>IFERROR(INDEX('Company Hitlist'!$AA:$AA,MATCH(D1190,'Company Hitlist'!$A:$A,0)),)</f>
        <v/>
      </c>
      <c r="O1190">
        <f>IFERROR(INDEX('Company Hitlist'!$N:$N,MATCH(D1190,'Company Hitlist'!$A:$A,0)),)</f>
        <v/>
      </c>
      <c r="Q1190" t="inlineStr">
        <is>
          <t>todo</t>
        </is>
      </c>
    </row>
    <row r="1191">
      <c r="A1191" t="inlineStr">
        <is>
          <t>Yushiro Kato</t>
        </is>
      </c>
      <c r="B1191" t="inlineStr">
        <is>
          <t>Speaker</t>
        </is>
      </c>
      <c r="C1191" t="inlineStr">
        <is>
          <t>CEO &amp; Co-Founder</t>
        </is>
      </c>
      <c r="D1191" t="inlineStr">
        <is>
          <t>CADDi</t>
        </is>
      </c>
      <c r="H1191" t="n">
        <v>9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>
        <f>IFERROR(INDEX('Company Hitlist'!$AA:$AA,MATCH(D1191,'Company Hitlist'!$A:$A,0)),)</f>
        <v/>
      </c>
      <c r="O1191">
        <f>IFERROR(INDEX('Company Hitlist'!$N:$N,MATCH(D1191,'Company Hitlist'!$A:$A,0)),)</f>
        <v/>
      </c>
      <c r="Q1191" t="inlineStr">
        <is>
          <t>todo</t>
        </is>
      </c>
    </row>
    <row r="1192">
      <c r="A1192" t="inlineStr">
        <is>
          <t>James Glover</t>
        </is>
      </c>
      <c r="B1192" t="inlineStr">
        <is>
          <t>Speaker</t>
        </is>
      </c>
      <c r="C1192" t="inlineStr">
        <is>
          <t>VP Customer Experience</t>
        </is>
      </c>
      <c r="D1192" t="inlineStr">
        <is>
          <t>CHEP</t>
        </is>
      </c>
      <c r="F1192" t="inlineStr">
        <is>
          <t>Yes</t>
        </is>
      </c>
      <c r="G1192" t="inlineStr">
        <is>
          <t>$6B (2024 est.; projected $6.2B in 2025)</t>
        </is>
      </c>
      <c r="H1192" t="n">
        <v>9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  <c r="N1192">
        <f>IFERROR(INDEX('Company Hitlist'!$AA:$AA,MATCH(D1192,'Company Hitlist'!$A:$A,0)),)</f>
        <v/>
      </c>
      <c r="O1192">
        <f>IFERROR(INDEX('Company Hitlist'!$N:$N,MATCH(D1192,'Company Hitlist'!$A:$A,0)),)</f>
        <v/>
      </c>
      <c r="Q1192" t="inlineStr">
        <is>
          <t>todo</t>
        </is>
      </c>
    </row>
    <row r="1193">
      <c r="A1193" t="inlineStr">
        <is>
          <t>Sandra Leyva Martinez</t>
        </is>
      </c>
      <c r="B1193" t="inlineStr">
        <is>
          <t>Speaker</t>
        </is>
      </c>
      <c r="C1193" t="inlineStr">
        <is>
          <t>Head of Sustainability</t>
        </is>
      </c>
      <c r="D1193" t="inlineStr">
        <is>
          <t>CHEP</t>
        </is>
      </c>
      <c r="F1193" t="inlineStr">
        <is>
          <t>Yes</t>
        </is>
      </c>
      <c r="G1193" t="inlineStr">
        <is>
          <t>$6B (2024 est.; projected $6.2B in 2025)</t>
        </is>
      </c>
      <c r="H1193" t="n">
        <v>9</v>
      </c>
      <c r="I1193" t="b">
        <v>0</v>
      </c>
      <c r="J1193" t="b">
        <v>1</v>
      </c>
      <c r="K1193" t="b">
        <v>0</v>
      </c>
      <c r="L1193" t="b">
        <v>0</v>
      </c>
      <c r="M1193" t="b">
        <v>0</v>
      </c>
      <c r="N1193">
        <f>IFERROR(INDEX('Company Hitlist'!$AA:$AA,MATCH(D1193,'Company Hitlist'!$A:$A,0)),)</f>
        <v/>
      </c>
      <c r="O1193">
        <f>IFERROR(INDEX('Company Hitlist'!$N:$N,MATCH(D1193,'Company Hitlist'!$A:$A,0)),)</f>
        <v/>
      </c>
      <c r="Q1193" t="inlineStr">
        <is>
          <t>todo</t>
        </is>
      </c>
    </row>
    <row r="1194">
      <c r="A1194" t="inlineStr">
        <is>
          <t>Ben Gordon</t>
        </is>
      </c>
      <c r="B1194" t="inlineStr">
        <is>
          <t>Speaker</t>
        </is>
      </c>
      <c r="C1194" t="inlineStr">
        <is>
          <t>Managing Partner &amp; CEO</t>
        </is>
      </c>
      <c r="D1194" t="inlineStr">
        <is>
          <t>Cambridge Capital</t>
        </is>
      </c>
      <c r="E1194" t="inlineStr">
        <is>
          <t>United States</t>
        </is>
      </c>
      <c r="H1194" t="n">
        <v>9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  <c r="N1194">
        <f>IFERROR(INDEX('Company Hitlist'!$AA:$AA,MATCH(D1194,'Company Hitlist'!$A:$A,0)),)</f>
        <v/>
      </c>
      <c r="O1194">
        <f>IFERROR(INDEX('Company Hitlist'!$N:$N,MATCH(D1194,'Company Hitlist'!$A:$A,0)),)</f>
        <v/>
      </c>
      <c r="Q1194" t="inlineStr">
        <is>
          <t>todo</t>
        </is>
      </c>
    </row>
    <row r="1195">
      <c r="A1195" t="inlineStr">
        <is>
          <t>Nicole Glenn</t>
        </is>
      </c>
      <c r="B1195" t="inlineStr">
        <is>
          <t>Speaker</t>
        </is>
      </c>
      <c r="C1195" t="inlineStr">
        <is>
          <t>CEO &amp; Founder</t>
        </is>
      </c>
      <c r="D1195" t="inlineStr">
        <is>
          <t>Candor Expedite, Inc.</t>
        </is>
      </c>
      <c r="E1195" t="inlineStr">
        <is>
          <t>United States</t>
        </is>
      </c>
      <c r="F1195" t="inlineStr">
        <is>
          <t>Yes</t>
        </is>
      </c>
      <c r="H1195" t="n">
        <v>9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  <c r="N1195">
        <f>IFERROR(INDEX('Company Hitlist'!$AA:$AA,MATCH(D1195,'Company Hitlist'!$A:$A,0)),)</f>
        <v/>
      </c>
      <c r="O1195">
        <f>IFERROR(INDEX('Company Hitlist'!$N:$N,MATCH(D1195,'Company Hitlist'!$A:$A,0)),)</f>
        <v/>
      </c>
      <c r="Q1195" t="inlineStr">
        <is>
          <t>todo</t>
        </is>
      </c>
    </row>
    <row r="1196">
      <c r="A1196" t="inlineStr">
        <is>
          <t>Tushar Bhalla</t>
        </is>
      </c>
      <c r="B1196" t="inlineStr">
        <is>
          <t>Speaker</t>
        </is>
      </c>
      <c r="C1196" t="inlineStr">
        <is>
          <t>CTO</t>
        </is>
      </c>
      <c r="D1196" t="inlineStr">
        <is>
          <t>CloudPaths</t>
        </is>
      </c>
      <c r="F1196" t="inlineStr">
        <is>
          <t>Yes</t>
        </is>
      </c>
      <c r="G1196" t="inlineStr">
        <is>
          <t>27600000</t>
        </is>
      </c>
      <c r="H1196" t="n">
        <v>9</v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>
        <f>IFERROR(INDEX('Company Hitlist'!$AA:$AA,MATCH(D1196,'Company Hitlist'!$A:$A,0)),)</f>
        <v/>
      </c>
      <c r="O1196">
        <f>IFERROR(INDEX('Company Hitlist'!$N:$N,MATCH(D1196,'Company Hitlist'!$A:$A,0)),)</f>
        <v/>
      </c>
      <c r="Q1196" t="inlineStr">
        <is>
          <t>todo</t>
        </is>
      </c>
    </row>
    <row r="1197">
      <c r="A1197" t="inlineStr">
        <is>
          <t>Luke Vaccaro</t>
        </is>
      </c>
      <c r="B1197" t="inlineStr">
        <is>
          <t>Speaker</t>
        </is>
      </c>
      <c r="C1197" t="inlineStr">
        <is>
          <t>COO</t>
        </is>
      </c>
      <c r="D1197" t="inlineStr">
        <is>
          <t>ColdTrack</t>
        </is>
      </c>
      <c r="H1197" t="n">
        <v>9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>
        <f>IFERROR(INDEX('Company Hitlist'!$AA:$AA,MATCH(D1197,'Company Hitlist'!$A:$A,0)),)</f>
        <v/>
      </c>
      <c r="O1197">
        <f>IFERROR(INDEX('Company Hitlist'!$N:$N,MATCH(D1197,'Company Hitlist'!$A:$A,0)),)</f>
        <v/>
      </c>
      <c r="Q1197" t="inlineStr">
        <is>
          <t>todo</t>
        </is>
      </c>
    </row>
    <row r="1198">
      <c r="A1198" t="inlineStr">
        <is>
          <t>Jason Park</t>
        </is>
      </c>
      <c r="B1198" t="inlineStr">
        <is>
          <t>Speaker</t>
        </is>
      </c>
      <c r="C1198" t="inlineStr">
        <is>
          <t>CEO &amp; Co-Founder</t>
        </is>
      </c>
      <c r="D1198" t="inlineStr">
        <is>
          <t>Coldcart</t>
        </is>
      </c>
      <c r="E1198" t="inlineStr">
        <is>
          <t>United States</t>
        </is>
      </c>
      <c r="H1198" t="n">
        <v>9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>
        <f>IFERROR(INDEX('Company Hitlist'!$AA:$AA,MATCH(D1198,'Company Hitlist'!$A:$A,0)),)</f>
        <v/>
      </c>
      <c r="O1198">
        <f>IFERROR(INDEX('Company Hitlist'!$N:$N,MATCH(D1198,'Company Hitlist'!$A:$A,0)),)</f>
        <v/>
      </c>
      <c r="Q1198" t="inlineStr">
        <is>
          <t>todo</t>
        </is>
      </c>
    </row>
    <row r="1199">
      <c r="A1199" t="inlineStr">
        <is>
          <t>Jackie Wu</t>
        </is>
      </c>
      <c r="B1199" t="inlineStr">
        <is>
          <t>Speaker</t>
        </is>
      </c>
      <c r="C1199" t="inlineStr">
        <is>
          <t>CEO &amp; Co-Founder</t>
        </is>
      </c>
      <c r="D1199" t="inlineStr">
        <is>
          <t>Corvus Robotics</t>
        </is>
      </c>
      <c r="F1199" t="inlineStr">
        <is>
          <t>Yes</t>
        </is>
      </c>
      <c r="G1199" t="inlineStr">
        <is>
          <t>$5M (2024 est.; projected $6M in 2025)</t>
        </is>
      </c>
      <c r="H1199" t="n">
        <v>9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  <c r="N1199">
        <f>IFERROR(INDEX('Company Hitlist'!$AA:$AA,MATCH(D1199,'Company Hitlist'!$A:$A,0)),)</f>
        <v/>
      </c>
      <c r="O1199">
        <f>IFERROR(INDEX('Company Hitlist'!$N:$N,MATCH(D1199,'Company Hitlist'!$A:$A,0)),)</f>
        <v/>
      </c>
      <c r="Q1199" t="inlineStr">
        <is>
          <t>todo</t>
        </is>
      </c>
    </row>
    <row r="1200">
      <c r="A1200" t="inlineStr">
        <is>
          <t>Annie Agle</t>
        </is>
      </c>
      <c r="B1200" t="inlineStr">
        <is>
          <t>Speaker</t>
        </is>
      </c>
      <c r="C1200" t="inlineStr">
        <is>
          <t>VP of Impact and Sustainability</t>
        </is>
      </c>
      <c r="D1200" t="inlineStr">
        <is>
          <t>Cotopaxi</t>
        </is>
      </c>
      <c r="F1200" t="inlineStr">
        <is>
          <t>Yes</t>
        </is>
      </c>
      <c r="G1200" t="inlineStr">
        <is>
          <t>$100M (2024 est.; projected $110M in 2025)</t>
        </is>
      </c>
      <c r="H1200" t="n">
        <v>9</v>
      </c>
      <c r="I1200" t="b">
        <v>0</v>
      </c>
      <c r="J1200" t="b">
        <v>1</v>
      </c>
      <c r="K1200" t="b">
        <v>0</v>
      </c>
      <c r="L1200" t="b">
        <v>0</v>
      </c>
      <c r="M1200" t="b">
        <v>0</v>
      </c>
      <c r="N1200">
        <f>IFERROR(INDEX('Company Hitlist'!$AA:$AA,MATCH(D1200,'Company Hitlist'!$A:$A,0)),)</f>
        <v/>
      </c>
      <c r="O1200">
        <f>IFERROR(INDEX('Company Hitlist'!$N:$N,MATCH(D1200,'Company Hitlist'!$A:$A,0)),)</f>
        <v/>
      </c>
      <c r="Q1200" t="inlineStr">
        <is>
          <t>todo</t>
        </is>
      </c>
    </row>
    <row r="1201">
      <c r="A1201" t="inlineStr">
        <is>
          <t>Mark Schenecker</t>
        </is>
      </c>
      <c r="B1201" t="inlineStr">
        <is>
          <t>Speaker</t>
        </is>
      </c>
      <c r="C1201" t="inlineStr">
        <is>
          <t>VP, Direct Materials</t>
        </is>
      </c>
      <c r="D1201" t="inlineStr">
        <is>
          <t>Coupa</t>
        </is>
      </c>
      <c r="F1201" t="inlineStr">
        <is>
          <t>Yes</t>
        </is>
      </c>
      <c r="G1201" t="inlineStr">
        <is>
          <t>$1B (2024 est.; projected $1.1B in 2025)</t>
        </is>
      </c>
      <c r="H1201" t="n">
        <v>9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  <c r="N1201">
        <f>IFERROR(INDEX('Company Hitlist'!$AA:$AA,MATCH(D1201,'Company Hitlist'!$A:$A,0)),)</f>
        <v/>
      </c>
      <c r="O1201">
        <f>IFERROR(INDEX('Company Hitlist'!$N:$N,MATCH(D1201,'Company Hitlist'!$A:$A,0)),)</f>
        <v/>
      </c>
      <c r="Q1201" t="inlineStr">
        <is>
          <t>todo</t>
        </is>
      </c>
    </row>
    <row r="1202">
      <c r="A1202" t="inlineStr">
        <is>
          <t>Matt McLelland</t>
        </is>
      </c>
      <c r="B1202" t="inlineStr">
        <is>
          <t>Speaker</t>
        </is>
      </c>
      <c r="C1202" t="inlineStr">
        <is>
          <t>VP of Sustainability and Innovation</t>
        </is>
      </c>
      <c r="D1202" t="inlineStr">
        <is>
          <t>Covenant Logistics</t>
        </is>
      </c>
      <c r="E1202" t="inlineStr">
        <is>
          <t>United States</t>
        </is>
      </c>
      <c r="F1202" t="inlineStr">
        <is>
          <t>Yes</t>
        </is>
      </c>
      <c r="G1202" t="inlineStr">
        <is>
          <t>$1.1B (2024; projected $1.2B in 2025)</t>
        </is>
      </c>
      <c r="H1202" t="n">
        <v>9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>
        <f>IFERROR(INDEX('Company Hitlist'!$AA:$AA,MATCH(D1202,'Company Hitlist'!$A:$A,0)),)</f>
        <v/>
      </c>
      <c r="O1202">
        <f>IFERROR(INDEX('Company Hitlist'!$N:$N,MATCH(D1202,'Company Hitlist'!$A:$A,0)),)</f>
        <v/>
      </c>
      <c r="Q1202" t="inlineStr">
        <is>
          <t>todo</t>
        </is>
      </c>
    </row>
    <row r="1203">
      <c r="A1203" t="inlineStr">
        <is>
          <t>Brannon Kuykendall</t>
        </is>
      </c>
      <c r="B1203" t="inlineStr">
        <is>
          <t>Speaker</t>
        </is>
      </c>
      <c r="C1203" t="inlineStr">
        <is>
          <t>Chief Information Officer</t>
        </is>
      </c>
      <c r="D1203" t="inlineStr">
        <is>
          <t>Crane Worldwide Logistics</t>
        </is>
      </c>
      <c r="F1203" t="inlineStr">
        <is>
          <t>Yes</t>
        </is>
      </c>
      <c r="G1203" t="inlineStr">
        <is>
          <t>1000000000</t>
        </is>
      </c>
      <c r="H1203" t="n">
        <v>9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>
        <f>IFERROR(INDEX('Company Hitlist'!$AA:$AA,MATCH(D1203,'Company Hitlist'!$A:$A,0)),)</f>
        <v/>
      </c>
      <c r="O1203">
        <f>IFERROR(INDEX('Company Hitlist'!$N:$N,MATCH(D1203,'Company Hitlist'!$A:$A,0)),)</f>
        <v/>
      </c>
      <c r="Q1203" t="inlineStr">
        <is>
          <t>todo</t>
        </is>
      </c>
    </row>
    <row r="1204">
      <c r="A1204" t="inlineStr">
        <is>
          <t>Cam Myers</t>
        </is>
      </c>
      <c r="B1204" t="inlineStr">
        <is>
          <t>Speaker</t>
        </is>
      </c>
      <c r="C1204" t="inlineStr">
        <is>
          <t>CEO &amp; Founder</t>
        </is>
      </c>
      <c r="D1204" t="inlineStr">
        <is>
          <t>Create Me</t>
        </is>
      </c>
      <c r="F1204" t="inlineStr">
        <is>
          <t>Yes</t>
        </is>
      </c>
      <c r="H1204" t="n">
        <v>9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  <c r="N1204">
        <f>IFERROR(INDEX('Company Hitlist'!$AA:$AA,MATCH(D1204,'Company Hitlist'!$A:$A,0)),)</f>
        <v/>
      </c>
      <c r="O1204">
        <f>IFERROR(INDEX('Company Hitlist'!$N:$N,MATCH(D1204,'Company Hitlist'!$A:$A,0)),)</f>
        <v/>
      </c>
      <c r="Q1204" t="inlineStr">
        <is>
          <t>todo</t>
        </is>
      </c>
    </row>
    <row r="1205">
      <c r="A1205" t="inlineStr">
        <is>
          <t>Thomas Bagge</t>
        </is>
      </c>
      <c r="B1205" t="inlineStr">
        <is>
          <t>Speaker</t>
        </is>
      </c>
      <c r="C1205" t="inlineStr">
        <is>
          <t>CEO</t>
        </is>
      </c>
      <c r="D1205" t="inlineStr">
        <is>
          <t>DCSA</t>
        </is>
      </c>
      <c r="E1205" t="inlineStr">
        <is>
          <t>Netherlands</t>
        </is>
      </c>
      <c r="H1205" t="n">
        <v>9</v>
      </c>
      <c r="I1205" t="b">
        <v>0</v>
      </c>
      <c r="J1205" t="b">
        <v>1</v>
      </c>
      <c r="K1205" t="b">
        <v>0</v>
      </c>
      <c r="L1205" t="b">
        <v>0</v>
      </c>
      <c r="M1205" t="b">
        <v>0</v>
      </c>
      <c r="N1205">
        <f>IFERROR(INDEX('Company Hitlist'!$AA:$AA,MATCH(D1205,'Company Hitlist'!$A:$A,0)),)</f>
        <v/>
      </c>
      <c r="O1205">
        <f>IFERROR(INDEX('Company Hitlist'!$N:$N,MATCH(D1205,'Company Hitlist'!$A:$A,0)),)</f>
        <v/>
      </c>
      <c r="Q1205" t="inlineStr">
        <is>
          <t>todo</t>
        </is>
      </c>
    </row>
    <row r="1206">
      <c r="A1206" t="inlineStr">
        <is>
          <t>Will Heywood</t>
        </is>
      </c>
      <c r="B1206" t="inlineStr">
        <is>
          <t>Speaker</t>
        </is>
      </c>
      <c r="C1206" t="inlineStr">
        <is>
          <t>Chief Customer Officer</t>
        </is>
      </c>
      <c r="D1206" t="inlineStr">
        <is>
          <t>DHL Supply Chain</t>
        </is>
      </c>
      <c r="E1206" t="inlineStr">
        <is>
          <t>United States</t>
        </is>
      </c>
      <c r="F1206" t="inlineStr">
        <is>
          <t>Yes</t>
        </is>
      </c>
      <c r="G1206" t="inlineStr">
        <is>
          <t>$80B (2024; projected $82B in 2025)</t>
        </is>
      </c>
      <c r="H1206" t="n">
        <v>9</v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  <c r="N1206">
        <f>IFERROR(INDEX('Company Hitlist'!$AA:$AA,MATCH(D1206,'Company Hitlist'!$A:$A,0)),)</f>
        <v/>
      </c>
      <c r="O1206">
        <f>IFERROR(INDEX('Company Hitlist'!$N:$N,MATCH(D1206,'Company Hitlist'!$A:$A,0)),)</f>
        <v/>
      </c>
      <c r="Q1206" t="inlineStr">
        <is>
          <t>todo</t>
        </is>
      </c>
    </row>
    <row r="1207">
      <c r="A1207" t="inlineStr">
        <is>
          <t>Leila Jalai</t>
        </is>
      </c>
      <c r="B1207" t="inlineStr">
        <is>
          <t>Speaker</t>
        </is>
      </c>
      <c r="C1207" t="inlineStr">
        <is>
          <t>SVP Global Planning &amp; Inventory Management</t>
        </is>
      </c>
      <c r="D1207" t="inlineStr">
        <is>
          <t>David Yurman</t>
        </is>
      </c>
      <c r="F1207" t="inlineStr">
        <is>
          <t>Yes</t>
        </is>
      </c>
      <c r="G1207" t="inlineStr">
        <is>
          <t>$500M (2024 est.; projected $550M in 2025)</t>
        </is>
      </c>
      <c r="H1207" t="n">
        <v>9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  <c r="N1207">
        <f>IFERROR(INDEX('Company Hitlist'!$AA:$AA,MATCH(D1207,'Company Hitlist'!$A:$A,0)),)</f>
        <v/>
      </c>
      <c r="O1207">
        <f>IFERROR(INDEX('Company Hitlist'!$N:$N,MATCH(D1207,'Company Hitlist'!$A:$A,0)),)</f>
        <v/>
      </c>
      <c r="Q1207" t="inlineStr">
        <is>
          <t>todo</t>
        </is>
      </c>
    </row>
    <row r="1208">
      <c r="A1208" t="inlineStr">
        <is>
          <t>Josh Lett</t>
        </is>
      </c>
      <c r="B1208" t="inlineStr">
        <is>
          <t>Speaker</t>
        </is>
      </c>
      <c r="C1208" t="inlineStr">
        <is>
          <t>SVP Customer Experience</t>
        </is>
      </c>
      <c r="D1208" t="inlineStr">
        <is>
          <t>Deposco</t>
        </is>
      </c>
      <c r="E1208" t="inlineStr">
        <is>
          <t>United States</t>
        </is>
      </c>
      <c r="F1208" t="inlineStr">
        <is>
          <t>Yes</t>
        </is>
      </c>
      <c r="G1208" t="inlineStr">
        <is>
          <t>$50M (2024 est.; projected $55M in 2025)</t>
        </is>
      </c>
      <c r="H1208" t="n">
        <v>9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  <c r="N1208">
        <f>IFERROR(INDEX('Company Hitlist'!$AA:$AA,MATCH(D1208,'Company Hitlist'!$A:$A,0)),)</f>
        <v/>
      </c>
      <c r="O1208">
        <f>IFERROR(INDEX('Company Hitlist'!$N:$N,MATCH(D1208,'Company Hitlist'!$A:$A,0)),)</f>
        <v/>
      </c>
      <c r="Q1208" t="inlineStr">
        <is>
          <t>todo</t>
        </is>
      </c>
    </row>
    <row r="1209">
      <c r="A1209" t="inlineStr">
        <is>
          <t>Diego Solorzano</t>
        </is>
      </c>
      <c r="B1209" t="inlineStr">
        <is>
          <t>Speaker</t>
        </is>
      </c>
      <c r="C1209" t="inlineStr">
        <is>
          <t>CEO &amp; Co-Founder</t>
        </is>
      </c>
      <c r="D1209" t="inlineStr">
        <is>
          <t>Desteia</t>
        </is>
      </c>
      <c r="E1209" t="inlineStr">
        <is>
          <t>United States</t>
        </is>
      </c>
      <c r="F1209" t="inlineStr">
        <is>
          <t>Yes</t>
        </is>
      </c>
      <c r="H1209" t="n">
        <v>9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>
        <f>IFERROR(INDEX('Company Hitlist'!$AA:$AA,MATCH(D1209,'Company Hitlist'!$A:$A,0)),)</f>
        <v/>
      </c>
      <c r="O1209">
        <f>IFERROR(INDEX('Company Hitlist'!$N:$N,MATCH(D1209,'Company Hitlist'!$A:$A,0)),)</f>
        <v/>
      </c>
      <c r="Q1209" t="inlineStr">
        <is>
          <t>todo</t>
        </is>
      </c>
    </row>
    <row r="1210">
      <c r="A1210" t="inlineStr">
        <is>
          <t>Manthan Pawar</t>
        </is>
      </c>
      <c r="B1210" t="inlineStr">
        <is>
          <t>Speaker</t>
        </is>
      </c>
      <c r="C1210" t="inlineStr">
        <is>
          <t>CEO &amp; Founder</t>
        </is>
      </c>
      <c r="D1210" t="inlineStr">
        <is>
          <t>Destro AI</t>
        </is>
      </c>
      <c r="F1210" t="inlineStr">
        <is>
          <t>Yes</t>
        </is>
      </c>
      <c r="H1210" t="n">
        <v>9</v>
      </c>
      <c r="I1210" t="b">
        <v>0</v>
      </c>
      <c r="J1210" t="b">
        <v>1</v>
      </c>
      <c r="K1210" t="b">
        <v>0</v>
      </c>
      <c r="L1210" t="b">
        <v>0</v>
      </c>
      <c r="M1210" t="b">
        <v>0</v>
      </c>
      <c r="N1210">
        <f>IFERROR(INDEX('Company Hitlist'!$AA:$AA,MATCH(D1210,'Company Hitlist'!$A:$A,0)),)</f>
        <v/>
      </c>
      <c r="O1210">
        <f>IFERROR(INDEX('Company Hitlist'!$N:$N,MATCH(D1210,'Company Hitlist'!$A:$A,0)),)</f>
        <v/>
      </c>
      <c r="Q1210" t="inlineStr">
        <is>
          <t>todo</t>
        </is>
      </c>
    </row>
    <row r="1211">
      <c r="A1211" t="inlineStr">
        <is>
          <t>Diego Bello</t>
        </is>
      </c>
      <c r="B1211" t="inlineStr">
        <is>
          <t>Speaker</t>
        </is>
      </c>
      <c r="C1211" t="inlineStr">
        <is>
          <t>CEO</t>
        </is>
      </c>
      <c r="D1211" t="inlineStr">
        <is>
          <t>Digital Logistic and Trade</t>
        </is>
      </c>
      <c r="E1211" t="inlineStr">
        <is>
          <t>United States</t>
        </is>
      </c>
      <c r="F1211" t="inlineStr">
        <is>
          <t>Yes</t>
        </is>
      </c>
      <c r="H1211" t="n">
        <v>9</v>
      </c>
      <c r="I1211" t="b">
        <v>0</v>
      </c>
      <c r="J1211" t="b">
        <v>1</v>
      </c>
      <c r="K1211" t="b">
        <v>0</v>
      </c>
      <c r="L1211" t="b">
        <v>0</v>
      </c>
      <c r="M1211" t="b">
        <v>0</v>
      </c>
      <c r="N1211">
        <f>IFERROR(INDEX('Company Hitlist'!$AA:$AA,MATCH(D1211,'Company Hitlist'!$A:$A,0)),)</f>
        <v/>
      </c>
      <c r="O1211">
        <f>IFERROR(INDEX('Company Hitlist'!$N:$N,MATCH(D1211,'Company Hitlist'!$A:$A,0)),)</f>
        <v/>
      </c>
      <c r="Q1211" t="inlineStr">
        <is>
          <t>todo</t>
        </is>
      </c>
    </row>
    <row r="1212">
      <c r="A1212" t="inlineStr">
        <is>
          <t>Jason Salfi</t>
        </is>
      </c>
      <c r="B1212" t="inlineStr">
        <is>
          <t>Speaker</t>
        </is>
      </c>
      <c r="C1212" t="inlineStr">
        <is>
          <t>CEO</t>
        </is>
      </c>
      <c r="D1212" t="inlineStr">
        <is>
          <t>Dimensional Energy</t>
        </is>
      </c>
      <c r="H1212" t="n">
        <v>9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  <c r="N1212">
        <f>IFERROR(INDEX('Company Hitlist'!$AA:$AA,MATCH(D1212,'Company Hitlist'!$A:$A,0)),)</f>
        <v/>
      </c>
      <c r="O1212">
        <f>IFERROR(INDEX('Company Hitlist'!$N:$N,MATCH(D1212,'Company Hitlist'!$A:$A,0)),)</f>
        <v/>
      </c>
      <c r="Q1212" t="inlineStr">
        <is>
          <t>todo</t>
        </is>
      </c>
    </row>
    <row r="1213">
      <c r="A1213" t="inlineStr">
        <is>
          <t>Ed Nabrotzky</t>
        </is>
      </c>
      <c r="B1213" t="inlineStr">
        <is>
          <t>Speaker</t>
        </is>
      </c>
      <c r="C1213" t="inlineStr">
        <is>
          <t>CEO &amp; Co-Founder</t>
        </is>
      </c>
      <c r="D1213" t="inlineStr">
        <is>
          <t>Dot Ai</t>
        </is>
      </c>
      <c r="F1213" t="inlineStr">
        <is>
          <t>Yes</t>
        </is>
      </c>
      <c r="H1213" t="n">
        <v>9</v>
      </c>
      <c r="I1213" t="b">
        <v>0</v>
      </c>
      <c r="J1213" t="b">
        <v>1</v>
      </c>
      <c r="K1213" t="b">
        <v>0</v>
      </c>
      <c r="L1213" t="b">
        <v>0</v>
      </c>
      <c r="M1213" t="b">
        <v>0</v>
      </c>
      <c r="N1213">
        <f>IFERROR(INDEX('Company Hitlist'!$AA:$AA,MATCH(D1213,'Company Hitlist'!$A:$A,0)),)</f>
        <v/>
      </c>
      <c r="O1213">
        <f>IFERROR(INDEX('Company Hitlist'!$N:$N,MATCH(D1213,'Company Hitlist'!$A:$A,0)),)</f>
        <v/>
      </c>
      <c r="Q1213" t="inlineStr">
        <is>
          <t>todo</t>
        </is>
      </c>
    </row>
    <row r="1214">
      <c r="A1214" t="inlineStr">
        <is>
          <t>Anthony D’Amore</t>
        </is>
      </c>
      <c r="B1214" t="inlineStr">
        <is>
          <t>Speaker</t>
        </is>
      </c>
      <c r="C1214" t="inlineStr">
        <is>
          <t>COO &amp; CFO</t>
        </is>
      </c>
      <c r="D1214" t="inlineStr">
        <is>
          <t>EAIGLE</t>
        </is>
      </c>
      <c r="F1214" t="inlineStr">
        <is>
          <t>Yes</t>
        </is>
      </c>
      <c r="H1214" t="n">
        <v>9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  <c r="N1214">
        <f>IFERROR(INDEX('Company Hitlist'!$AA:$AA,MATCH(D1214,'Company Hitlist'!$A:$A,0)),)</f>
        <v/>
      </c>
      <c r="O1214">
        <f>IFERROR(INDEX('Company Hitlist'!$N:$N,MATCH(D1214,'Company Hitlist'!$A:$A,0)),)</f>
        <v/>
      </c>
      <c r="Q1214" t="inlineStr">
        <is>
          <t>todo</t>
        </is>
      </c>
    </row>
    <row r="1215">
      <c r="A1215" t="inlineStr">
        <is>
          <t>Sam Saad</t>
        </is>
      </c>
      <c r="B1215" t="inlineStr">
        <is>
          <t>Speaker</t>
        </is>
      </c>
      <c r="C1215" t="inlineStr">
        <is>
          <t>Chief Commercial Officer</t>
        </is>
      </c>
      <c r="D1215" t="inlineStr">
        <is>
          <t>EAIGLE</t>
        </is>
      </c>
      <c r="F1215" t="inlineStr">
        <is>
          <t>Yes</t>
        </is>
      </c>
      <c r="H1215" t="n">
        <v>9</v>
      </c>
      <c r="I1215" t="b">
        <v>0</v>
      </c>
      <c r="J1215" t="b">
        <v>1</v>
      </c>
      <c r="K1215" t="b">
        <v>0</v>
      </c>
      <c r="L1215" t="b">
        <v>0</v>
      </c>
      <c r="M1215" t="b">
        <v>0</v>
      </c>
      <c r="N1215">
        <f>IFERROR(INDEX('Company Hitlist'!$AA:$AA,MATCH(D1215,'Company Hitlist'!$A:$A,0)),)</f>
        <v/>
      </c>
      <c r="O1215">
        <f>IFERROR(INDEX('Company Hitlist'!$N:$N,MATCH(D1215,'Company Hitlist'!$A:$A,0)),)</f>
        <v/>
      </c>
      <c r="Q1215" t="inlineStr">
        <is>
          <t>todo</t>
        </is>
      </c>
    </row>
    <row r="1216">
      <c r="A1216" t="inlineStr">
        <is>
          <t>Virind Gujra</t>
        </is>
      </c>
      <c r="B1216" t="inlineStr">
        <is>
          <t>Speaker</t>
        </is>
      </c>
      <c r="C1216" t="inlineStr">
        <is>
          <t>CEO</t>
        </is>
      </c>
      <c r="D1216" t="inlineStr">
        <is>
          <t>EV Bots</t>
        </is>
      </c>
      <c r="F1216" t="inlineStr">
        <is>
          <t>Yes</t>
        </is>
      </c>
      <c r="H1216" t="n">
        <v>9</v>
      </c>
      <c r="I1216" t="b">
        <v>0</v>
      </c>
      <c r="J1216" t="b">
        <v>1</v>
      </c>
      <c r="K1216" t="b">
        <v>0</v>
      </c>
      <c r="L1216" t="b">
        <v>0</v>
      </c>
      <c r="M1216" t="b">
        <v>0</v>
      </c>
      <c r="N1216">
        <f>IFERROR(INDEX('Company Hitlist'!$AA:$AA,MATCH(D1216,'Company Hitlist'!$A:$A,0)),)</f>
        <v/>
      </c>
      <c r="O1216">
        <f>IFERROR(INDEX('Company Hitlist'!$N:$N,MATCH(D1216,'Company Hitlist'!$A:$A,0)),)</f>
        <v/>
      </c>
      <c r="Q1216" t="inlineStr">
        <is>
          <t>todo</t>
        </is>
      </c>
    </row>
    <row r="1217">
      <c r="A1217" t="inlineStr">
        <is>
          <t>Dan Keto</t>
        </is>
      </c>
      <c r="B1217" t="inlineStr">
        <is>
          <t>Speaker</t>
        </is>
      </c>
      <c r="C1217" t="inlineStr">
        <is>
          <t>President and CTO</t>
        </is>
      </c>
      <c r="D1217" t="inlineStr">
        <is>
          <t>Easy Metrics</t>
        </is>
      </c>
      <c r="F1217" t="inlineStr">
        <is>
          <t>Yes</t>
        </is>
      </c>
      <c r="G1217" t="inlineStr">
        <is>
          <t>$10M (2024 est.; projected $12M in 2025)</t>
        </is>
      </c>
      <c r="H1217" t="n">
        <v>9</v>
      </c>
      <c r="I1217" t="b">
        <v>0</v>
      </c>
      <c r="J1217" t="b">
        <v>1</v>
      </c>
      <c r="K1217" t="b">
        <v>0</v>
      </c>
      <c r="L1217" t="b">
        <v>0</v>
      </c>
      <c r="M1217" t="b">
        <v>0</v>
      </c>
      <c r="N1217">
        <f>IFERROR(INDEX('Company Hitlist'!$AA:$AA,MATCH(D1217,'Company Hitlist'!$A:$A,0)),)</f>
        <v/>
      </c>
      <c r="O1217">
        <f>IFERROR(INDEX('Company Hitlist'!$N:$N,MATCH(D1217,'Company Hitlist'!$A:$A,0)),)</f>
        <v/>
      </c>
      <c r="Q1217" t="inlineStr">
        <is>
          <t>todo</t>
        </is>
      </c>
    </row>
    <row r="1218">
      <c r="A1218" t="inlineStr">
        <is>
          <t>Lori Boyer</t>
        </is>
      </c>
      <c r="B1218" t="inlineStr">
        <is>
          <t>Speaker</t>
        </is>
      </c>
      <c r="C1218" t="inlineStr">
        <is>
          <t>Head of Content</t>
        </is>
      </c>
      <c r="D1218" t="inlineStr">
        <is>
          <t>EasyPost</t>
        </is>
      </c>
      <c r="F1218" t="inlineStr">
        <is>
          <t>Yes</t>
        </is>
      </c>
      <c r="G1218" t="inlineStr">
        <is>
          <t>$50M (2024 est.; projected $55M in 2025)</t>
        </is>
      </c>
      <c r="H1218" t="n">
        <v>9</v>
      </c>
      <c r="I1218" t="b">
        <v>0</v>
      </c>
      <c r="J1218" t="b">
        <v>1</v>
      </c>
      <c r="K1218" t="b">
        <v>0</v>
      </c>
      <c r="L1218" t="b">
        <v>0</v>
      </c>
      <c r="M1218" t="b">
        <v>0</v>
      </c>
      <c r="N1218">
        <f>IFERROR(INDEX('Company Hitlist'!$AA:$AA,MATCH(D1218,'Company Hitlist'!$A:$A,0)),)</f>
        <v/>
      </c>
      <c r="O1218">
        <f>IFERROR(INDEX('Company Hitlist'!$N:$N,MATCH(D1218,'Company Hitlist'!$A:$A,0)),)</f>
        <v/>
      </c>
      <c r="Q1218" t="inlineStr">
        <is>
          <t>todo</t>
        </is>
      </c>
    </row>
    <row r="1219">
      <c r="A1219" t="inlineStr">
        <is>
          <t>Karin Ebbinghaus</t>
        </is>
      </c>
      <c r="B1219" t="inlineStr">
        <is>
          <t>Speaker</t>
        </is>
      </c>
      <c r="C1219" t="inlineStr">
        <is>
          <t>CEO &amp; Co-Founder</t>
        </is>
      </c>
      <c r="D1219" t="inlineStr">
        <is>
          <t>Elonroad</t>
        </is>
      </c>
      <c r="F1219" t="inlineStr">
        <is>
          <t>Yes</t>
        </is>
      </c>
      <c r="G1219" t="inlineStr">
        <is>
          <t>$5M (2024 est.; projected $6M in 2025)</t>
        </is>
      </c>
      <c r="H1219" t="n">
        <v>9</v>
      </c>
      <c r="I1219" t="b">
        <v>0</v>
      </c>
      <c r="J1219" t="b">
        <v>1</v>
      </c>
      <c r="K1219" t="b">
        <v>0</v>
      </c>
      <c r="L1219" t="b">
        <v>0</v>
      </c>
      <c r="M1219" t="b">
        <v>0</v>
      </c>
      <c r="N1219">
        <f>IFERROR(INDEX('Company Hitlist'!$AA:$AA,MATCH(D1219,'Company Hitlist'!$A:$A,0)),)</f>
        <v/>
      </c>
      <c r="O1219">
        <f>IFERROR(INDEX('Company Hitlist'!$N:$N,MATCH(D1219,'Company Hitlist'!$A:$A,0)),)</f>
        <v/>
      </c>
      <c r="Q1219" t="inlineStr">
        <is>
          <t>todo</t>
        </is>
      </c>
    </row>
    <row r="1220">
      <c r="A1220" t="inlineStr">
        <is>
          <t>Brian Bejarano</t>
        </is>
      </c>
      <c r="B1220" t="inlineStr">
        <is>
          <t>Speaker</t>
        </is>
      </c>
      <c r="C1220" t="inlineStr">
        <is>
          <t>Chief Commercial Officer</t>
        </is>
      </c>
      <c r="D1220" t="inlineStr">
        <is>
          <t>Ember LifeSciences</t>
        </is>
      </c>
      <c r="E1220" t="inlineStr">
        <is>
          <t>United States</t>
        </is>
      </c>
      <c r="F1220" t="inlineStr">
        <is>
          <t>Yes</t>
        </is>
      </c>
      <c r="H1220" t="n">
        <v>9</v>
      </c>
      <c r="I1220" t="b">
        <v>0</v>
      </c>
      <c r="J1220" t="b">
        <v>1</v>
      </c>
      <c r="K1220" t="b">
        <v>0</v>
      </c>
      <c r="L1220" t="b">
        <v>0</v>
      </c>
      <c r="M1220" t="b">
        <v>0</v>
      </c>
      <c r="N1220">
        <f>IFERROR(INDEX('Company Hitlist'!$AA:$AA,MATCH(D1220,'Company Hitlist'!$A:$A,0)),)</f>
        <v/>
      </c>
      <c r="O1220">
        <f>IFERROR(INDEX('Company Hitlist'!$N:$N,MATCH(D1220,'Company Hitlist'!$A:$A,0)),)</f>
        <v/>
      </c>
      <c r="Q1220" t="inlineStr">
        <is>
          <t>todo</t>
        </is>
      </c>
    </row>
    <row r="1221">
      <c r="A1221" t="inlineStr">
        <is>
          <t>Robert Schoenberger</t>
        </is>
      </c>
      <c r="B1221" t="inlineStr">
        <is>
          <t>Speaker</t>
        </is>
      </c>
      <c r="C1221" t="inlineStr">
        <is>
          <t>VP, Content Strategy, Manufacturing &amp; Engineering Group</t>
        </is>
      </c>
      <c r="D1221" t="inlineStr">
        <is>
          <t>EndeavorB2B</t>
        </is>
      </c>
      <c r="H1221" t="n">
        <v>9</v>
      </c>
      <c r="I1221" t="b">
        <v>0</v>
      </c>
      <c r="J1221" t="b">
        <v>1</v>
      </c>
      <c r="K1221" t="b">
        <v>0</v>
      </c>
      <c r="L1221" t="b">
        <v>0</v>
      </c>
      <c r="M1221" t="b">
        <v>0</v>
      </c>
      <c r="N1221">
        <f>IFERROR(INDEX('Company Hitlist'!$AA:$AA,MATCH(D1221,'Company Hitlist'!$A:$A,0)),)</f>
        <v/>
      </c>
      <c r="O1221">
        <f>IFERROR(INDEX('Company Hitlist'!$N:$N,MATCH(D1221,'Company Hitlist'!$A:$A,0)),)</f>
        <v/>
      </c>
      <c r="Q1221" t="inlineStr">
        <is>
          <t>todo</t>
        </is>
      </c>
    </row>
    <row r="1222">
      <c r="A1222" t="inlineStr">
        <is>
          <t>Coby Nilsson</t>
        </is>
      </c>
      <c r="B1222" t="inlineStr">
        <is>
          <t>Speaker</t>
        </is>
      </c>
      <c r="C1222" t="inlineStr">
        <is>
          <t>CEO &amp; Co-Founder</t>
        </is>
      </c>
      <c r="D1222" t="inlineStr">
        <is>
          <t>Enveyo</t>
        </is>
      </c>
      <c r="F1222" t="inlineStr">
        <is>
          <t>Yes</t>
        </is>
      </c>
      <c r="H1222" t="n">
        <v>9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  <c r="N1222">
        <f>IFERROR(INDEX('Company Hitlist'!$AA:$AA,MATCH(D1222,'Company Hitlist'!$A:$A,0)),)</f>
        <v/>
      </c>
      <c r="O1222">
        <f>IFERROR(INDEX('Company Hitlist'!$N:$N,MATCH(D1222,'Company Hitlist'!$A:$A,0)),)</f>
        <v/>
      </c>
      <c r="Q1222" t="inlineStr">
        <is>
          <t>todo</t>
        </is>
      </c>
    </row>
    <row r="1223">
      <c r="A1223" t="inlineStr">
        <is>
          <t>Todd Florence</t>
        </is>
      </c>
      <c r="B1223" t="inlineStr">
        <is>
          <t>Speaker</t>
        </is>
      </c>
      <c r="C1223" t="inlineStr">
        <is>
          <t>CIO</t>
        </is>
      </c>
      <c r="D1223" t="inlineStr">
        <is>
          <t>Estes Express Lines</t>
        </is>
      </c>
      <c r="F1223" t="inlineStr">
        <is>
          <t>Yes</t>
        </is>
      </c>
      <c r="G1223" t="inlineStr">
        <is>
          <t>5100000000</t>
        </is>
      </c>
      <c r="H1223" t="n">
        <v>9</v>
      </c>
      <c r="I1223" t="b">
        <v>0</v>
      </c>
      <c r="J1223" t="b">
        <v>1</v>
      </c>
      <c r="K1223" t="b">
        <v>0</v>
      </c>
      <c r="L1223" t="b">
        <v>0</v>
      </c>
      <c r="M1223" t="b">
        <v>0</v>
      </c>
      <c r="N1223">
        <f>IFERROR(INDEX('Company Hitlist'!$AA:$AA,MATCH(D1223,'Company Hitlist'!$A:$A,0)),)</f>
        <v/>
      </c>
      <c r="O1223">
        <f>IFERROR(INDEX('Company Hitlist'!$N:$N,MATCH(D1223,'Company Hitlist'!$A:$A,0)),)</f>
        <v/>
      </c>
      <c r="Q1223" t="inlineStr">
        <is>
          <t>todo</t>
        </is>
      </c>
    </row>
    <row r="1224">
      <c r="A1224" t="inlineStr">
        <is>
          <t>Stacy Flynn</t>
        </is>
      </c>
      <c r="B1224" t="inlineStr">
        <is>
          <t>Speaker</t>
        </is>
      </c>
      <c r="C1224" t="inlineStr">
        <is>
          <t>CEO</t>
        </is>
      </c>
      <c r="D1224" t="inlineStr">
        <is>
          <t>Evrnu</t>
        </is>
      </c>
      <c r="F1224" t="inlineStr">
        <is>
          <t>Yes</t>
        </is>
      </c>
      <c r="H1224" t="n">
        <v>9</v>
      </c>
      <c r="I1224" t="b">
        <v>0</v>
      </c>
      <c r="J1224" t="b">
        <v>1</v>
      </c>
      <c r="K1224" t="b">
        <v>0</v>
      </c>
      <c r="L1224" t="b">
        <v>0</v>
      </c>
      <c r="M1224" t="b">
        <v>0</v>
      </c>
      <c r="N1224">
        <f>IFERROR(INDEX('Company Hitlist'!$AA:$AA,MATCH(D1224,'Company Hitlist'!$A:$A,0)),)</f>
        <v/>
      </c>
      <c r="O1224">
        <f>IFERROR(INDEX('Company Hitlist'!$N:$N,MATCH(D1224,'Company Hitlist'!$A:$A,0)),)</f>
        <v/>
      </c>
      <c r="Q1224" t="inlineStr">
        <is>
          <t>todo</t>
        </is>
      </c>
    </row>
    <row r="1225">
      <c r="A1225" t="inlineStr">
        <is>
          <t>Andre Kodanov</t>
        </is>
      </c>
      <c r="B1225" t="inlineStr">
        <is>
          <t>Speaker</t>
        </is>
      </c>
      <c r="C1225" t="inlineStr">
        <is>
          <t>CEO &amp; Founder</t>
        </is>
      </c>
      <c r="D1225" t="inlineStr">
        <is>
          <t>FR8BOT</t>
        </is>
      </c>
      <c r="E1225" t="inlineStr">
        <is>
          <t>United States</t>
        </is>
      </c>
      <c r="F1225" t="inlineStr">
        <is>
          <t>Yes</t>
        </is>
      </c>
      <c r="H1225" t="n">
        <v>9</v>
      </c>
      <c r="I1225" t="b">
        <v>0</v>
      </c>
      <c r="J1225" t="b">
        <v>1</v>
      </c>
      <c r="K1225" t="b">
        <v>0</v>
      </c>
      <c r="L1225" t="b">
        <v>0</v>
      </c>
      <c r="M1225" t="b">
        <v>0</v>
      </c>
      <c r="N1225">
        <f>IFERROR(INDEX('Company Hitlist'!$AA:$AA,MATCH(D1225,'Company Hitlist'!$A:$A,0)),)</f>
        <v/>
      </c>
      <c r="O1225">
        <f>IFERROR(INDEX('Company Hitlist'!$N:$N,MATCH(D1225,'Company Hitlist'!$A:$A,0)),)</f>
        <v/>
      </c>
      <c r="Q1225" t="inlineStr">
        <is>
          <t>todo</t>
        </is>
      </c>
    </row>
    <row r="1226">
      <c r="A1226" t="inlineStr">
        <is>
          <t>Stephanie Cannon</t>
        </is>
      </c>
      <c r="B1226" t="inlineStr">
        <is>
          <t>Speaker</t>
        </is>
      </c>
      <c r="C1226" t="inlineStr">
        <is>
          <t>Vice President, Global Digital IT</t>
        </is>
      </c>
      <c r="D1226" t="inlineStr">
        <is>
          <t>FedEx</t>
        </is>
      </c>
      <c r="F1226" t="inlineStr">
        <is>
          <t>Yes</t>
        </is>
      </c>
      <c r="G1226" t="inlineStr">
        <is>
          <t>$87.7B (2024; projected $88B in 2025)</t>
        </is>
      </c>
      <c r="H1226" t="n">
        <v>9</v>
      </c>
      <c r="I1226" t="b">
        <v>0</v>
      </c>
      <c r="J1226" t="b">
        <v>1</v>
      </c>
      <c r="K1226" t="b">
        <v>0</v>
      </c>
      <c r="L1226" t="b">
        <v>0</v>
      </c>
      <c r="M1226" t="b">
        <v>0</v>
      </c>
      <c r="N1226">
        <f>IFERROR(INDEX('Company Hitlist'!$AA:$AA,MATCH(D1226,'Company Hitlist'!$A:$A,0)),)</f>
        <v/>
      </c>
      <c r="O1226">
        <f>IFERROR(INDEX('Company Hitlist'!$N:$N,MATCH(D1226,'Company Hitlist'!$A:$A,0)),)</f>
        <v/>
      </c>
      <c r="Q1226" t="inlineStr">
        <is>
          <t>todo</t>
        </is>
      </c>
    </row>
    <row r="1227">
      <c r="A1227" t="inlineStr">
        <is>
          <t>Maia Benson</t>
        </is>
      </c>
      <c r="B1227" t="inlineStr">
        <is>
          <t>Speaker</t>
        </is>
      </c>
      <c r="C1227" t="inlineStr">
        <is>
          <t>Chief Business Officer</t>
        </is>
      </c>
      <c r="D1227" t="inlineStr">
        <is>
          <t>FlavorCloud</t>
        </is>
      </c>
      <c r="F1227" t="inlineStr">
        <is>
          <t>Yes</t>
        </is>
      </c>
      <c r="G1227" t="inlineStr">
        <is>
          <t>12000000</t>
        </is>
      </c>
      <c r="H1227" t="n">
        <v>9</v>
      </c>
      <c r="I1227" t="b">
        <v>0</v>
      </c>
      <c r="J1227" t="b">
        <v>1</v>
      </c>
      <c r="K1227" t="b">
        <v>0</v>
      </c>
      <c r="L1227" t="b">
        <v>0</v>
      </c>
      <c r="M1227" t="b">
        <v>0</v>
      </c>
      <c r="N1227">
        <f>IFERROR(INDEX('Company Hitlist'!$AA:$AA,MATCH(D1227,'Company Hitlist'!$A:$A,0)),)</f>
        <v/>
      </c>
      <c r="O1227">
        <f>IFERROR(INDEX('Company Hitlist'!$N:$N,MATCH(D1227,'Company Hitlist'!$A:$A,0)),)</f>
        <v/>
      </c>
      <c r="Q1227" t="inlineStr">
        <is>
          <t>todo</t>
        </is>
      </c>
    </row>
    <row r="1228">
      <c r="A1228" t="inlineStr">
        <is>
          <t>Rathna Sharad</t>
        </is>
      </c>
      <c r="B1228" t="inlineStr">
        <is>
          <t>Speaker</t>
        </is>
      </c>
      <c r="C1228" t="inlineStr">
        <is>
          <t>CEO &amp; Co-Founder</t>
        </is>
      </c>
      <c r="D1228" t="inlineStr">
        <is>
          <t>FlavorCloud</t>
        </is>
      </c>
      <c r="F1228" t="inlineStr">
        <is>
          <t>Yes</t>
        </is>
      </c>
      <c r="G1228" t="inlineStr">
        <is>
          <t>12000000</t>
        </is>
      </c>
      <c r="H1228" t="n">
        <v>9</v>
      </c>
      <c r="I1228" t="b">
        <v>0</v>
      </c>
      <c r="J1228" t="b">
        <v>1</v>
      </c>
      <c r="K1228" t="b">
        <v>0</v>
      </c>
      <c r="L1228" t="b">
        <v>0</v>
      </c>
      <c r="M1228" t="b">
        <v>0</v>
      </c>
      <c r="N1228">
        <f>IFERROR(INDEX('Company Hitlist'!$AA:$AA,MATCH(D1228,'Company Hitlist'!$A:$A,0)),)</f>
        <v/>
      </c>
      <c r="O1228">
        <f>IFERROR(INDEX('Company Hitlist'!$N:$N,MATCH(D1228,'Company Hitlist'!$A:$A,0)),)</f>
        <v/>
      </c>
      <c r="Q1228" t="inlineStr">
        <is>
          <t>todo</t>
        </is>
      </c>
    </row>
    <row r="1229">
      <c r="A1229" t="inlineStr">
        <is>
          <t>Ben Cook</t>
        </is>
      </c>
      <c r="B1229" t="inlineStr">
        <is>
          <t>Speaker</t>
        </is>
      </c>
      <c r="C1229" t="inlineStr">
        <is>
          <t>Head of Global Customer Service Strategic Transformation</t>
        </is>
      </c>
      <c r="D1229" t="inlineStr">
        <is>
          <t>Ford Motor Company</t>
        </is>
      </c>
      <c r="H1229" t="n">
        <v>9</v>
      </c>
      <c r="I1229" t="b">
        <v>0</v>
      </c>
      <c r="J1229" t="b">
        <v>1</v>
      </c>
      <c r="K1229" t="b">
        <v>0</v>
      </c>
      <c r="L1229" t="b">
        <v>0</v>
      </c>
      <c r="M1229" t="b">
        <v>0</v>
      </c>
      <c r="N1229">
        <f>IFERROR(INDEX('Company Hitlist'!$AA:$AA,MATCH(D1229,'Company Hitlist'!$A:$A,0)),)</f>
        <v/>
      </c>
      <c r="O1229">
        <f>IFERROR(INDEX('Company Hitlist'!$N:$N,MATCH(D1229,'Company Hitlist'!$A:$A,0)),)</f>
        <v/>
      </c>
      <c r="Q1229" t="inlineStr">
        <is>
          <t>todo</t>
        </is>
      </c>
    </row>
    <row r="1230">
      <c r="A1230" t="inlineStr">
        <is>
          <t>Mathew Elenjickal</t>
        </is>
      </c>
      <c r="B1230" t="inlineStr">
        <is>
          <t>Speaker</t>
        </is>
      </c>
      <c r="C1230" t="inlineStr">
        <is>
          <t>CEO &amp; Founder</t>
        </is>
      </c>
      <c r="D1230" t="inlineStr">
        <is>
          <t>FourKites</t>
        </is>
      </c>
      <c r="E1230" t="inlineStr">
        <is>
          <t>United States</t>
        </is>
      </c>
      <c r="F1230" t="inlineStr">
        <is>
          <t>Yes</t>
        </is>
      </c>
      <c r="G1230" t="inlineStr">
        <is>
          <t>$100M (2024 est.; projected $110M in 2025)</t>
        </is>
      </c>
      <c r="H1230" t="n">
        <v>9</v>
      </c>
      <c r="I1230" t="b">
        <v>0</v>
      </c>
      <c r="J1230" t="b">
        <v>1</v>
      </c>
      <c r="K1230" t="b">
        <v>0</v>
      </c>
      <c r="L1230" t="b">
        <v>0</v>
      </c>
      <c r="M1230" t="b">
        <v>0</v>
      </c>
      <c r="N1230">
        <f>IFERROR(INDEX('Company Hitlist'!$AA:$AA,MATCH(D1230,'Company Hitlist'!$A:$A,0)),)</f>
        <v/>
      </c>
      <c r="O1230">
        <f>IFERROR(INDEX('Company Hitlist'!$N:$N,MATCH(D1230,'Company Hitlist'!$A:$A,0)),)</f>
        <v/>
      </c>
      <c r="Q1230" t="inlineStr">
        <is>
          <t>todo</t>
        </is>
      </c>
    </row>
    <row r="1231">
      <c r="A1231" t="inlineStr">
        <is>
          <t>Jimmy Sebastian</t>
        </is>
      </c>
      <c r="B1231" t="inlineStr">
        <is>
          <t>Speaker</t>
        </is>
      </c>
      <c r="C1231" t="inlineStr">
        <is>
          <t>VP, AI Products</t>
        </is>
      </c>
      <c r="D1231" t="inlineStr">
        <is>
          <t>FourKites</t>
        </is>
      </c>
      <c r="F1231" t="inlineStr">
        <is>
          <t>Yes</t>
        </is>
      </c>
      <c r="G1231" t="inlineStr">
        <is>
          <t>$100M (2024 est.; projected $110M in 2025)</t>
        </is>
      </c>
      <c r="H1231" t="n">
        <v>9</v>
      </c>
      <c r="I1231" t="b">
        <v>0</v>
      </c>
      <c r="J1231" t="b">
        <v>1</v>
      </c>
      <c r="K1231" t="b">
        <v>0</v>
      </c>
      <c r="L1231" t="b">
        <v>0</v>
      </c>
      <c r="M1231" t="b">
        <v>0</v>
      </c>
      <c r="N1231">
        <f>IFERROR(INDEX('Company Hitlist'!$AA:$AA,MATCH(D1231,'Company Hitlist'!$A:$A,0)),)</f>
        <v/>
      </c>
      <c r="O1231">
        <f>IFERROR(INDEX('Company Hitlist'!$N:$N,MATCH(D1231,'Company Hitlist'!$A:$A,0)),)</f>
        <v/>
      </c>
      <c r="Q1231" t="inlineStr">
        <is>
          <t>todo</t>
        </is>
      </c>
    </row>
    <row r="1232">
      <c r="A1232" t="inlineStr">
        <is>
          <t>Sree Mangalampalli</t>
        </is>
      </c>
      <c r="B1232" t="inlineStr">
        <is>
          <t>Speaker</t>
        </is>
      </c>
      <c r="C1232" t="inlineStr">
        <is>
          <t>VP of Digital Transformation Solutions</t>
        </is>
      </c>
      <c r="D1232" t="inlineStr">
        <is>
          <t>FourKites</t>
        </is>
      </c>
      <c r="F1232" t="inlineStr">
        <is>
          <t>Yes</t>
        </is>
      </c>
      <c r="G1232" t="inlineStr">
        <is>
          <t>$100M (2024 est.; projected $110M in 2025)</t>
        </is>
      </c>
      <c r="H1232" t="n">
        <v>9</v>
      </c>
      <c r="I1232" t="b">
        <v>0</v>
      </c>
      <c r="J1232" t="b">
        <v>1</v>
      </c>
      <c r="K1232" t="b">
        <v>0</v>
      </c>
      <c r="L1232" t="b">
        <v>0</v>
      </c>
      <c r="M1232" t="b">
        <v>0</v>
      </c>
      <c r="N1232">
        <f>IFERROR(INDEX('Company Hitlist'!$AA:$AA,MATCH(D1232,'Company Hitlist'!$A:$A,0)),)</f>
        <v/>
      </c>
      <c r="O1232">
        <f>IFERROR(INDEX('Company Hitlist'!$N:$N,MATCH(D1232,'Company Hitlist'!$A:$A,0)),)</f>
        <v/>
      </c>
      <c r="Q1232" t="inlineStr">
        <is>
          <t>todo</t>
        </is>
      </c>
    </row>
    <row r="1233">
      <c r="A1233" t="inlineStr">
        <is>
          <t>Lance Hackney</t>
        </is>
      </c>
      <c r="B1233" t="inlineStr">
        <is>
          <t>Speaker</t>
        </is>
      </c>
      <c r="C1233" t="inlineStr">
        <is>
          <t>COO &amp; Co-Founder</t>
        </is>
      </c>
      <c r="D1233" t="inlineStr">
        <is>
          <t>FreshX</t>
        </is>
      </c>
      <c r="F1233" t="inlineStr">
        <is>
          <t>Yes</t>
        </is>
      </c>
      <c r="H1233" t="n">
        <v>9</v>
      </c>
      <c r="I1233" t="b">
        <v>0</v>
      </c>
      <c r="J1233" t="b">
        <v>1</v>
      </c>
      <c r="K1233" t="b">
        <v>0</v>
      </c>
      <c r="L1233" t="b">
        <v>0</v>
      </c>
      <c r="M1233" t="b">
        <v>0</v>
      </c>
      <c r="N1233">
        <f>IFERROR(INDEX('Company Hitlist'!$AA:$AA,MATCH(D1233,'Company Hitlist'!$A:$A,0)),)</f>
        <v/>
      </c>
      <c r="O1233">
        <f>IFERROR(INDEX('Company Hitlist'!$N:$N,MATCH(D1233,'Company Hitlist'!$A:$A,0)),)</f>
        <v/>
      </c>
      <c r="Q1233" t="inlineStr">
        <is>
          <t>todo</t>
        </is>
      </c>
    </row>
    <row r="1234">
      <c r="A1234" t="inlineStr">
        <is>
          <t>Lauren Fernandez</t>
        </is>
      </c>
      <c r="B1234" t="inlineStr">
        <is>
          <t>Speaker</t>
        </is>
      </c>
      <c r="C1234" t="inlineStr">
        <is>
          <t>CEO &amp; Founder</t>
        </is>
      </c>
      <c r="D1234" t="inlineStr">
        <is>
          <t>Full Course</t>
        </is>
      </c>
      <c r="E1234" t="inlineStr">
        <is>
          <t>United States</t>
        </is>
      </c>
      <c r="F1234" t="inlineStr">
        <is>
          <t>Yes</t>
        </is>
      </c>
      <c r="H1234" t="n">
        <v>9</v>
      </c>
      <c r="I1234" t="b">
        <v>0</v>
      </c>
      <c r="J1234" t="b">
        <v>1</v>
      </c>
      <c r="K1234" t="b">
        <v>0</v>
      </c>
      <c r="L1234" t="b">
        <v>0</v>
      </c>
      <c r="M1234" t="b">
        <v>0</v>
      </c>
      <c r="N1234">
        <f>IFERROR(INDEX('Company Hitlist'!$AA:$AA,MATCH(D1234,'Company Hitlist'!$A:$A,0)),)</f>
        <v/>
      </c>
      <c r="O1234">
        <f>IFERROR(INDEX('Company Hitlist'!$N:$N,MATCH(D1234,'Company Hitlist'!$A:$A,0)),)</f>
        <v/>
      </c>
      <c r="Q1234" t="inlineStr">
        <is>
          <t>todo</t>
        </is>
      </c>
    </row>
    <row r="1235">
      <c r="A1235" t="inlineStr">
        <is>
          <t>Jorge Marcos</t>
        </is>
      </c>
      <c r="B1235" t="inlineStr">
        <is>
          <t>Speaker</t>
        </is>
      </c>
      <c r="C1235" t="inlineStr">
        <is>
          <t>Head of Opentop</t>
        </is>
      </c>
      <c r="D1235" t="inlineStr">
        <is>
          <t>Fundación Valenciaport</t>
        </is>
      </c>
      <c r="H1235" t="n">
        <v>9</v>
      </c>
      <c r="I1235" t="b">
        <v>0</v>
      </c>
      <c r="J1235" t="b">
        <v>1</v>
      </c>
      <c r="K1235" t="b">
        <v>0</v>
      </c>
      <c r="L1235" t="b">
        <v>0</v>
      </c>
      <c r="M1235" t="b">
        <v>0</v>
      </c>
      <c r="N1235">
        <f>IFERROR(INDEX('Company Hitlist'!$AA:$AA,MATCH(D1235,'Company Hitlist'!$A:$A,0)),)</f>
        <v/>
      </c>
      <c r="O1235">
        <f>IFERROR(INDEX('Company Hitlist'!$N:$N,MATCH(D1235,'Company Hitlist'!$A:$A,0)),)</f>
        <v/>
      </c>
      <c r="Q1235" t="inlineStr">
        <is>
          <t>todo</t>
        </is>
      </c>
    </row>
    <row r="1236">
      <c r="A1236" t="inlineStr">
        <is>
          <t>Dan Clark</t>
        </is>
      </c>
      <c r="B1236" t="inlineStr">
        <is>
          <t>Speaker</t>
        </is>
      </c>
      <c r="C1236" t="inlineStr">
        <is>
          <t>CEO</t>
        </is>
      </c>
      <c r="D1236" t="inlineStr">
        <is>
          <t>G2Mint</t>
        </is>
      </c>
      <c r="E1236" t="inlineStr">
        <is>
          <t>United States</t>
        </is>
      </c>
      <c r="F1236" t="inlineStr">
        <is>
          <t>Yes</t>
        </is>
      </c>
      <c r="H1236" t="n">
        <v>9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>
        <f>IFERROR(INDEX('Company Hitlist'!$AA:$AA,MATCH(D1236,'Company Hitlist'!$A:$A,0)),)</f>
        <v/>
      </c>
      <c r="O1236">
        <f>IFERROR(INDEX('Company Hitlist'!$N:$N,MATCH(D1236,'Company Hitlist'!$A:$A,0)),)</f>
        <v/>
      </c>
      <c r="Q1236" t="inlineStr">
        <is>
          <t>todo</t>
        </is>
      </c>
    </row>
    <row r="1237">
      <c r="A1237" t="inlineStr">
        <is>
          <t>Mike Doyle</t>
        </is>
      </c>
      <c r="B1237" t="inlineStr">
        <is>
          <t>Speaker</t>
        </is>
      </c>
      <c r="C1237" t="inlineStr">
        <is>
          <t>COO</t>
        </is>
      </c>
      <c r="D1237" t="inlineStr">
        <is>
          <t>G2Mint</t>
        </is>
      </c>
      <c r="E1237" t="inlineStr">
        <is>
          <t>United States</t>
        </is>
      </c>
      <c r="F1237" t="inlineStr">
        <is>
          <t>Yes</t>
        </is>
      </c>
      <c r="H1237" t="n">
        <v>9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  <c r="N1237">
        <f>IFERROR(INDEX('Company Hitlist'!$AA:$AA,MATCH(D1237,'Company Hitlist'!$A:$A,0)),)</f>
        <v/>
      </c>
      <c r="O1237">
        <f>IFERROR(INDEX('Company Hitlist'!$N:$N,MATCH(D1237,'Company Hitlist'!$A:$A,0)),)</f>
        <v/>
      </c>
      <c r="Q1237" t="inlineStr">
        <is>
          <t>todo</t>
        </is>
      </c>
    </row>
    <row r="1238">
      <c r="A1238" t="inlineStr">
        <is>
          <t>Laura Ritchey</t>
        </is>
      </c>
      <c r="B1238" t="inlineStr">
        <is>
          <t>Speaker</t>
        </is>
      </c>
      <c r="C1238" t="inlineStr">
        <is>
          <t>CEO &amp; President</t>
        </is>
      </c>
      <c r="D1238" t="inlineStr">
        <is>
          <t>GEODIS Americas Region</t>
        </is>
      </c>
      <c r="F1238" t="inlineStr">
        <is>
          <t>Yes</t>
        </is>
      </c>
      <c r="G1238" t="inlineStr">
        <is>
          <t>$10B (2024 est.; projected $10.5B in 2025)</t>
        </is>
      </c>
      <c r="H1238" t="n">
        <v>9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>
        <f>IFERROR(INDEX('Company Hitlist'!$AA:$AA,MATCH(D1238,'Company Hitlist'!$A:$A,0)),)</f>
        <v/>
      </c>
      <c r="O1238">
        <f>IFERROR(INDEX('Company Hitlist'!$N:$N,MATCH(D1238,'Company Hitlist'!$A:$A,0)),)</f>
        <v/>
      </c>
      <c r="Q1238" t="inlineStr">
        <is>
          <t>todo</t>
        </is>
      </c>
    </row>
    <row r="1239">
      <c r="A1239" t="inlineStr">
        <is>
          <t>Emil Stefanutti</t>
        </is>
      </c>
      <c r="B1239" t="inlineStr">
        <is>
          <t>Speaker</t>
        </is>
      </c>
      <c r="C1239" t="inlineStr">
        <is>
          <t>CEO</t>
        </is>
      </c>
      <c r="D1239" t="inlineStr">
        <is>
          <t>Gaia Dynamics</t>
        </is>
      </c>
      <c r="F1239" t="inlineStr">
        <is>
          <t>Yes</t>
        </is>
      </c>
      <c r="H1239" t="n">
        <v>9</v>
      </c>
      <c r="I1239" t="b">
        <v>0</v>
      </c>
      <c r="J1239" t="b">
        <v>1</v>
      </c>
      <c r="K1239" t="b">
        <v>0</v>
      </c>
      <c r="L1239" t="b">
        <v>0</v>
      </c>
      <c r="M1239" t="b">
        <v>0</v>
      </c>
      <c r="N1239">
        <f>IFERROR(INDEX('Company Hitlist'!$AA:$AA,MATCH(D1239,'Company Hitlist'!$A:$A,0)),)</f>
        <v/>
      </c>
      <c r="O1239">
        <f>IFERROR(INDEX('Company Hitlist'!$N:$N,MATCH(D1239,'Company Hitlist'!$A:$A,0)),)</f>
        <v/>
      </c>
      <c r="Q1239" t="inlineStr">
        <is>
          <t>todo</t>
        </is>
      </c>
    </row>
    <row r="1240">
      <c r="A1240" t="inlineStr">
        <is>
          <t>Sankalp Arora</t>
        </is>
      </c>
      <c r="B1240" t="inlineStr">
        <is>
          <t>Speaker</t>
        </is>
      </c>
      <c r="C1240" t="inlineStr">
        <is>
          <t>CEO &amp; Co-Founder</t>
        </is>
      </c>
      <c r="D1240" t="inlineStr">
        <is>
          <t>Gather AI</t>
        </is>
      </c>
      <c r="F1240" t="inlineStr">
        <is>
          <t>Yes</t>
        </is>
      </c>
      <c r="H1240" t="n">
        <v>9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  <c r="N1240">
        <f>IFERROR(INDEX('Company Hitlist'!$AA:$AA,MATCH(D1240,'Company Hitlist'!$A:$A,0)),)</f>
        <v/>
      </c>
      <c r="O1240">
        <f>IFERROR(INDEX('Company Hitlist'!$N:$N,MATCH(D1240,'Company Hitlist'!$A:$A,0)),)</f>
        <v/>
      </c>
      <c r="Q1240" t="inlineStr">
        <is>
          <t>todo</t>
        </is>
      </c>
    </row>
    <row r="1241">
      <c r="A1241" t="inlineStr">
        <is>
          <t>Ryan Joyce</t>
        </is>
      </c>
      <c r="B1241" t="inlineStr">
        <is>
          <t>Speaker</t>
        </is>
      </c>
      <c r="C1241" t="inlineStr">
        <is>
          <t>CEO</t>
        </is>
      </c>
      <c r="D1241" t="inlineStr">
        <is>
          <t>Genlogs</t>
        </is>
      </c>
      <c r="F1241" t="inlineStr">
        <is>
          <t>Yes</t>
        </is>
      </c>
      <c r="H1241" t="n">
        <v>9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  <c r="N1241">
        <f>IFERROR(INDEX('Company Hitlist'!$AA:$AA,MATCH(D1241,'Company Hitlist'!$A:$A,0)),)</f>
        <v/>
      </c>
      <c r="O1241">
        <f>IFERROR(INDEX('Company Hitlist'!$N:$N,MATCH(D1241,'Company Hitlist'!$A:$A,0)),)</f>
        <v/>
      </c>
      <c r="Q1241" t="inlineStr">
        <is>
          <t>todo</t>
        </is>
      </c>
    </row>
    <row r="1242">
      <c r="A1242" t="inlineStr">
        <is>
          <t>Sara Stickler</t>
        </is>
      </c>
      <c r="B1242" t="inlineStr">
        <is>
          <t>Speaker</t>
        </is>
      </c>
      <c r="C1242" t="inlineStr">
        <is>
          <t>President &amp; CEO</t>
        </is>
      </c>
      <c r="D1242" t="inlineStr">
        <is>
          <t>Global Cold Chain Alliance</t>
        </is>
      </c>
      <c r="E1242" t="inlineStr">
        <is>
          <t>United States</t>
        </is>
      </c>
      <c r="H1242" t="n">
        <v>9</v>
      </c>
      <c r="I1242" t="b">
        <v>0</v>
      </c>
      <c r="J1242" t="b">
        <v>1</v>
      </c>
      <c r="K1242" t="b">
        <v>0</v>
      </c>
      <c r="L1242" t="b">
        <v>0</v>
      </c>
      <c r="M1242" t="b">
        <v>0</v>
      </c>
      <c r="N1242">
        <f>IFERROR(INDEX('Company Hitlist'!$AA:$AA,MATCH(D1242,'Company Hitlist'!$A:$A,0)),)</f>
        <v/>
      </c>
      <c r="O1242">
        <f>IFERROR(INDEX('Company Hitlist'!$N:$N,MATCH(D1242,'Company Hitlist'!$A:$A,0)),)</f>
        <v/>
      </c>
      <c r="Q1242" t="inlineStr">
        <is>
          <t>todo</t>
        </is>
      </c>
    </row>
    <row r="1243">
      <c r="A1243" t="inlineStr">
        <is>
          <t>Kevin Damoa</t>
        </is>
      </c>
      <c r="B1243" t="inlineStr">
        <is>
          <t>Speaker</t>
        </is>
      </c>
      <c r="C1243" t="inlineStr">
        <is>
          <t>CEO &amp; Founder</t>
        </is>
      </c>
      <c r="D1243" t="inlineStr">
        <is>
          <t>Glīd Technologies</t>
        </is>
      </c>
      <c r="F1243" t="inlineStr">
        <is>
          <t>Yes</t>
        </is>
      </c>
      <c r="H1243" t="n">
        <v>9</v>
      </c>
      <c r="I1243" t="b">
        <v>0</v>
      </c>
      <c r="J1243" t="b">
        <v>1</v>
      </c>
      <c r="K1243" t="b">
        <v>0</v>
      </c>
      <c r="L1243" t="b">
        <v>0</v>
      </c>
      <c r="M1243" t="b">
        <v>0</v>
      </c>
      <c r="N1243">
        <f>IFERROR(INDEX('Company Hitlist'!$AA:$AA,MATCH(D1243,'Company Hitlist'!$A:$A,0)),)</f>
        <v/>
      </c>
      <c r="O1243">
        <f>IFERROR(INDEX('Company Hitlist'!$N:$N,MATCH(D1243,'Company Hitlist'!$A:$A,0)),)</f>
        <v/>
      </c>
      <c r="Q1243" t="inlineStr">
        <is>
          <t>todo</t>
        </is>
      </c>
    </row>
    <row r="1244">
      <c r="A1244" t="inlineStr">
        <is>
          <t>Mark Ang</t>
        </is>
      </c>
      <c r="B1244" t="inlineStr">
        <is>
          <t>Speaker</t>
        </is>
      </c>
      <c r="C1244" t="inlineStr">
        <is>
          <t>CEO</t>
        </is>
      </c>
      <c r="D1244" t="inlineStr">
        <is>
          <t>GoBolt</t>
        </is>
      </c>
      <c r="F1244" t="inlineStr">
        <is>
          <t>Yes</t>
        </is>
      </c>
      <c r="G1244" t="inlineStr">
        <is>
          <t>33000000</t>
        </is>
      </c>
      <c r="H1244" t="n">
        <v>9</v>
      </c>
      <c r="I1244" t="b">
        <v>0</v>
      </c>
      <c r="J1244" t="b">
        <v>1</v>
      </c>
      <c r="K1244" t="b">
        <v>0</v>
      </c>
      <c r="L1244" t="b">
        <v>0</v>
      </c>
      <c r="M1244" t="b">
        <v>0</v>
      </c>
      <c r="N1244">
        <f>IFERROR(INDEX('Company Hitlist'!$AA:$AA,MATCH(D1244,'Company Hitlist'!$A:$A,0)),)</f>
        <v/>
      </c>
      <c r="O1244">
        <f>IFERROR(INDEX('Company Hitlist'!$N:$N,MATCH(D1244,'Company Hitlist'!$A:$A,0)),)</f>
        <v/>
      </c>
      <c r="Q1244" t="inlineStr">
        <is>
          <t>todo</t>
        </is>
      </c>
    </row>
    <row r="1245">
      <c r="A1245" t="inlineStr">
        <is>
          <t>Chitransh Sahai</t>
        </is>
      </c>
      <c r="B1245" t="inlineStr">
        <is>
          <t>Speaker</t>
        </is>
      </c>
      <c r="C1245" t="inlineStr">
        <is>
          <t>CEO &amp; Founder</t>
        </is>
      </c>
      <c r="D1245" t="inlineStr">
        <is>
          <t>GoComet</t>
        </is>
      </c>
      <c r="F1245" t="inlineStr">
        <is>
          <t>Yes</t>
        </is>
      </c>
      <c r="G1245" t="inlineStr">
        <is>
          <t>7400000</t>
        </is>
      </c>
      <c r="H1245" t="n">
        <v>9</v>
      </c>
      <c r="I1245" t="b">
        <v>0</v>
      </c>
      <c r="J1245" t="b">
        <v>1</v>
      </c>
      <c r="K1245" t="b">
        <v>0</v>
      </c>
      <c r="L1245" t="b">
        <v>0</v>
      </c>
      <c r="M1245" t="b">
        <v>0</v>
      </c>
      <c r="N1245">
        <f>IFERROR(INDEX('Company Hitlist'!$AA:$AA,MATCH(D1245,'Company Hitlist'!$A:$A,0)),)</f>
        <v/>
      </c>
      <c r="O1245">
        <f>IFERROR(INDEX('Company Hitlist'!$N:$N,MATCH(D1245,'Company Hitlist'!$A:$A,0)),)</f>
        <v/>
      </c>
      <c r="Q1245" t="inlineStr">
        <is>
          <t>todo</t>
        </is>
      </c>
    </row>
    <row r="1246">
      <c r="A1246" t="inlineStr">
        <is>
          <t>Devrim Leonard</t>
        </is>
      </c>
      <c r="B1246" t="inlineStr">
        <is>
          <t>Speaker</t>
        </is>
      </c>
      <c r="C1246" t="inlineStr">
        <is>
          <t>Global Head of Inventory and Order Management</t>
        </is>
      </c>
      <c r="D1246" t="inlineStr">
        <is>
          <t>Google</t>
        </is>
      </c>
      <c r="E1246" t="inlineStr">
        <is>
          <t>United States</t>
        </is>
      </c>
      <c r="F1246" t="inlineStr">
        <is>
          <t>Yes</t>
        </is>
      </c>
      <c r="G1246" t="inlineStr">
        <is>
          <t>$281.7B (2024; projected $300B in 2025)</t>
        </is>
      </c>
      <c r="H1246" t="n">
        <v>9</v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  <c r="N1246">
        <f>IFERROR(INDEX('Company Hitlist'!$AA:$AA,MATCH(D1246,'Company Hitlist'!$A:$A,0)),)</f>
        <v/>
      </c>
      <c r="O1246">
        <f>IFERROR(INDEX('Company Hitlist'!$N:$N,MATCH(D1246,'Company Hitlist'!$A:$A,0)),)</f>
        <v/>
      </c>
      <c r="Q1246" t="inlineStr">
        <is>
          <t>todo</t>
        </is>
      </c>
    </row>
    <row r="1247">
      <c r="A1247" t="inlineStr">
        <is>
          <t>Juan Meisel</t>
        </is>
      </c>
      <c r="B1247" t="inlineStr">
        <is>
          <t>Speaker</t>
        </is>
      </c>
      <c r="C1247" t="inlineStr">
        <is>
          <t>CEO</t>
        </is>
      </c>
      <c r="D1247" t="inlineStr">
        <is>
          <t>Grip Shipping</t>
        </is>
      </c>
      <c r="F1247" t="inlineStr">
        <is>
          <t>Yes</t>
        </is>
      </c>
      <c r="H1247" t="n">
        <v>9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>
        <f>IFERROR(INDEX('Company Hitlist'!$AA:$AA,MATCH(D1247,'Company Hitlist'!$A:$A,0)),)</f>
        <v/>
      </c>
      <c r="O1247">
        <f>IFERROR(INDEX('Company Hitlist'!$N:$N,MATCH(D1247,'Company Hitlist'!$A:$A,0)),)</f>
        <v/>
      </c>
      <c r="Q1247" t="inlineStr">
        <is>
          <t>todo</t>
        </is>
      </c>
    </row>
    <row r="1248">
      <c r="A1248" t="inlineStr">
        <is>
          <t>Louis Borders</t>
        </is>
      </c>
      <c r="B1248" t="inlineStr">
        <is>
          <t>Speaker</t>
        </is>
      </c>
      <c r="C1248" t="inlineStr">
        <is>
          <t>CEO</t>
        </is>
      </c>
      <c r="D1248" t="inlineStr">
        <is>
          <t>HDS Global</t>
        </is>
      </c>
      <c r="E1248" t="inlineStr">
        <is>
          <t>United States</t>
        </is>
      </c>
      <c r="F1248" t="inlineStr">
        <is>
          <t>Yes</t>
        </is>
      </c>
      <c r="H1248" t="n">
        <v>9</v>
      </c>
      <c r="I1248" t="b">
        <v>0</v>
      </c>
      <c r="J1248" t="b">
        <v>1</v>
      </c>
      <c r="K1248" t="b">
        <v>0</v>
      </c>
      <c r="L1248" t="b">
        <v>0</v>
      </c>
      <c r="M1248" t="b">
        <v>0</v>
      </c>
      <c r="N1248">
        <f>IFERROR(INDEX('Company Hitlist'!$AA:$AA,MATCH(D1248,'Company Hitlist'!$A:$A,0)),)</f>
        <v/>
      </c>
      <c r="O1248">
        <f>IFERROR(INDEX('Company Hitlist'!$N:$N,MATCH(D1248,'Company Hitlist'!$A:$A,0)),)</f>
        <v/>
      </c>
      <c r="Q1248" t="inlineStr">
        <is>
          <t>todo</t>
        </is>
      </c>
    </row>
    <row r="1249">
      <c r="A1249" t="inlineStr">
        <is>
          <t>Pablo Palafox</t>
        </is>
      </c>
      <c r="B1249" t="inlineStr">
        <is>
          <t>Speaker</t>
        </is>
      </c>
      <c r="C1249" t="inlineStr">
        <is>
          <t>CEO &amp; Co-Founder</t>
        </is>
      </c>
      <c r="D1249" t="inlineStr">
        <is>
          <t>HappyRobot</t>
        </is>
      </c>
      <c r="F1249" t="inlineStr">
        <is>
          <t>Yes</t>
        </is>
      </c>
      <c r="H1249" t="n">
        <v>9</v>
      </c>
      <c r="I1249" t="b">
        <v>0</v>
      </c>
      <c r="J1249" t="b">
        <v>1</v>
      </c>
      <c r="K1249" t="b">
        <v>0</v>
      </c>
      <c r="L1249" t="b">
        <v>0</v>
      </c>
      <c r="M1249" t="b">
        <v>0</v>
      </c>
      <c r="N1249">
        <f>IFERROR(INDEX('Company Hitlist'!$AA:$AA,MATCH(D1249,'Company Hitlist'!$A:$A,0)),)</f>
        <v/>
      </c>
      <c r="O1249">
        <f>IFERROR(INDEX('Company Hitlist'!$N:$N,MATCH(D1249,'Company Hitlist'!$A:$A,0)),)</f>
        <v/>
      </c>
      <c r="Q1249" t="inlineStr">
        <is>
          <t>todo</t>
        </is>
      </c>
    </row>
    <row r="1250">
      <c r="A1250" t="inlineStr">
        <is>
          <t>Nicolas Odet</t>
        </is>
      </c>
      <c r="B1250" t="inlineStr">
        <is>
          <t>Speaker</t>
        </is>
      </c>
      <c r="C1250" t="inlineStr">
        <is>
          <t>CEO</t>
        </is>
      </c>
      <c r="D1250" t="inlineStr">
        <is>
          <t>Hardis Group</t>
        </is>
      </c>
      <c r="F1250" t="inlineStr">
        <is>
          <t>Yes</t>
        </is>
      </c>
      <c r="G1250" t="inlineStr">
        <is>
          <t>$150M (2024 est.; projected $160M in 2025)</t>
        </is>
      </c>
      <c r="H1250" t="n">
        <v>9</v>
      </c>
      <c r="I1250" t="b">
        <v>0</v>
      </c>
      <c r="J1250" t="b">
        <v>1</v>
      </c>
      <c r="K1250" t="b">
        <v>0</v>
      </c>
      <c r="L1250" t="b">
        <v>0</v>
      </c>
      <c r="M1250" t="b">
        <v>0</v>
      </c>
      <c r="N1250">
        <f>IFERROR(INDEX('Company Hitlist'!$AA:$AA,MATCH(D1250,'Company Hitlist'!$A:$A,0)),)</f>
        <v/>
      </c>
      <c r="O1250">
        <f>IFERROR(INDEX('Company Hitlist'!$N:$N,MATCH(D1250,'Company Hitlist'!$A:$A,0)),)</f>
        <v/>
      </c>
      <c r="Q1250" t="inlineStr">
        <is>
          <t>todo</t>
        </is>
      </c>
    </row>
    <row r="1251">
      <c r="A1251" t="inlineStr">
        <is>
          <t>Francisco Martin-Rayo</t>
        </is>
      </c>
      <c r="B1251" t="inlineStr">
        <is>
          <t>Speaker</t>
        </is>
      </c>
      <c r="C1251" t="inlineStr">
        <is>
          <t>CEO</t>
        </is>
      </c>
      <c r="D1251" t="inlineStr">
        <is>
          <t>Helios AI</t>
        </is>
      </c>
      <c r="F1251" t="inlineStr">
        <is>
          <t>Yes</t>
        </is>
      </c>
      <c r="H1251" t="n">
        <v>9</v>
      </c>
      <c r="I1251" t="b">
        <v>0</v>
      </c>
      <c r="J1251" t="b">
        <v>1</v>
      </c>
      <c r="K1251" t="b">
        <v>0</v>
      </c>
      <c r="L1251" t="b">
        <v>0</v>
      </c>
      <c r="M1251" t="b">
        <v>0</v>
      </c>
      <c r="N1251">
        <f>IFERROR(INDEX('Company Hitlist'!$AA:$AA,MATCH(D1251,'Company Hitlist'!$A:$A,0)),)</f>
        <v/>
      </c>
      <c r="O1251">
        <f>IFERROR(INDEX('Company Hitlist'!$N:$N,MATCH(D1251,'Company Hitlist'!$A:$A,0)),)</f>
        <v/>
      </c>
      <c r="Q1251" t="inlineStr">
        <is>
          <t>todo</t>
        </is>
      </c>
    </row>
    <row r="1252">
      <c r="A1252" t="inlineStr">
        <is>
          <t>Alberto Mathia</t>
        </is>
      </c>
      <c r="B1252" t="inlineStr">
        <is>
          <t>Speaker</t>
        </is>
      </c>
      <c r="C1252" t="inlineStr">
        <is>
          <t>SVP, Regional Head of Airfreight for Americas</t>
        </is>
      </c>
      <c r="D1252" t="inlineStr">
        <is>
          <t>Hellmann Worldwide Logistics</t>
        </is>
      </c>
      <c r="F1252" t="inlineStr">
        <is>
          <t>Yes</t>
        </is>
      </c>
      <c r="G1252" t="inlineStr">
        <is>
          <t>4306000000</t>
        </is>
      </c>
      <c r="H1252" t="n">
        <v>9</v>
      </c>
      <c r="I1252" t="b">
        <v>0</v>
      </c>
      <c r="J1252" t="b">
        <v>1</v>
      </c>
      <c r="K1252" t="b">
        <v>0</v>
      </c>
      <c r="L1252" t="b">
        <v>0</v>
      </c>
      <c r="M1252" t="b">
        <v>0</v>
      </c>
      <c r="N1252">
        <f>IFERROR(INDEX('Company Hitlist'!$AA:$AA,MATCH(D1252,'Company Hitlist'!$A:$A,0)),)</f>
        <v/>
      </c>
      <c r="O1252">
        <f>IFERROR(INDEX('Company Hitlist'!$N:$N,MATCH(D1252,'Company Hitlist'!$A:$A,0)),)</f>
        <v/>
      </c>
      <c r="Q1252" t="inlineStr">
        <is>
          <t>todo</t>
        </is>
      </c>
    </row>
    <row r="1253">
      <c r="A1253" t="inlineStr">
        <is>
          <t>Michael Caney</t>
        </is>
      </c>
      <c r="B1253" t="inlineStr">
        <is>
          <t>Speaker</t>
        </is>
      </c>
      <c r="C1253" t="inlineStr">
        <is>
          <t>Chief Commercial Officer</t>
        </is>
      </c>
      <c r="D1253" t="inlineStr">
        <is>
          <t>Highway</t>
        </is>
      </c>
      <c r="F1253" t="inlineStr">
        <is>
          <t>Yes</t>
        </is>
      </c>
      <c r="G1253" t="inlineStr">
        <is>
          <t>24940000</t>
        </is>
      </c>
      <c r="H1253" t="n">
        <v>9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>
        <f>IFERROR(INDEX('Company Hitlist'!$AA:$AA,MATCH(D1253,'Company Hitlist'!$A:$A,0)),)</f>
        <v/>
      </c>
      <c r="O1253">
        <f>IFERROR(INDEX('Company Hitlist'!$N:$N,MATCH(D1253,'Company Hitlist'!$A:$A,0)),)</f>
        <v/>
      </c>
      <c r="Q1253" t="inlineStr">
        <is>
          <t>todo</t>
        </is>
      </c>
    </row>
    <row r="1254">
      <c r="A1254" t="inlineStr">
        <is>
          <t>Hidayat Hamidov</t>
        </is>
      </c>
      <c r="B1254" t="inlineStr">
        <is>
          <t>Speaker</t>
        </is>
      </c>
      <c r="C1254" t="inlineStr">
        <is>
          <t>CEO &amp; Founder</t>
        </is>
      </c>
      <c r="D1254" t="inlineStr">
        <is>
          <t>Hoist AI</t>
        </is>
      </c>
      <c r="F1254" t="inlineStr">
        <is>
          <t>Yes</t>
        </is>
      </c>
      <c r="H1254" t="n">
        <v>9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  <c r="N1254">
        <f>IFERROR(INDEX('Company Hitlist'!$AA:$AA,MATCH(D1254,'Company Hitlist'!$A:$A,0)),)</f>
        <v/>
      </c>
      <c r="O1254">
        <f>IFERROR(INDEX('Company Hitlist'!$N:$N,MATCH(D1254,'Company Hitlist'!$A:$A,0)),)</f>
        <v/>
      </c>
      <c r="Q1254" t="inlineStr">
        <is>
          <t>todo</t>
        </is>
      </c>
    </row>
    <row r="1255">
      <c r="A1255" t="inlineStr">
        <is>
          <t>Ray DeMelfi</t>
        </is>
      </c>
      <c r="B1255" t="inlineStr">
        <is>
          <t>Speaker</t>
        </is>
      </c>
      <c r="C1255" t="inlineStr">
        <is>
          <t>SVP Strategic Services</t>
        </is>
      </c>
      <c r="D1255" t="inlineStr">
        <is>
          <t>Hy-Tek Intralogistics</t>
        </is>
      </c>
      <c r="E1255" t="inlineStr">
        <is>
          <t>United States</t>
        </is>
      </c>
      <c r="F1255" t="inlineStr">
        <is>
          <t>Yes</t>
        </is>
      </c>
      <c r="G1255" t="inlineStr">
        <is>
          <t>100000000</t>
        </is>
      </c>
      <c r="H1255" t="n">
        <v>9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>
        <f>IFERROR(INDEX('Company Hitlist'!$AA:$AA,MATCH(D1255,'Company Hitlist'!$A:$A,0)),)</f>
        <v/>
      </c>
      <c r="O1255">
        <f>IFERROR(INDEX('Company Hitlist'!$N:$N,MATCH(D1255,'Company Hitlist'!$A:$A,0)),)</f>
        <v/>
      </c>
      <c r="Q1255" t="inlineStr">
        <is>
          <t>todo</t>
        </is>
      </c>
    </row>
    <row r="1256">
      <c r="A1256" t="inlineStr">
        <is>
          <t>Bryan Gillard</t>
        </is>
      </c>
      <c r="B1256" t="inlineStr">
        <is>
          <t>Speaker</t>
        </is>
      </c>
      <c r="C1256" t="inlineStr">
        <is>
          <t>SVP</t>
        </is>
      </c>
      <c r="D1256" t="inlineStr">
        <is>
          <t>Hy-Tek Intralogistics</t>
        </is>
      </c>
      <c r="F1256" t="inlineStr">
        <is>
          <t>Yes</t>
        </is>
      </c>
      <c r="G1256" t="inlineStr">
        <is>
          <t>100000000</t>
        </is>
      </c>
      <c r="H1256" t="n">
        <v>9</v>
      </c>
      <c r="I1256" t="b">
        <v>0</v>
      </c>
      <c r="J1256" t="b">
        <v>1</v>
      </c>
      <c r="K1256" t="b">
        <v>0</v>
      </c>
      <c r="L1256" t="b">
        <v>0</v>
      </c>
      <c r="M1256" t="b">
        <v>0</v>
      </c>
      <c r="N1256">
        <f>IFERROR(INDEX('Company Hitlist'!$AA:$AA,MATCH(D1256,'Company Hitlist'!$A:$A,0)),)</f>
        <v/>
      </c>
      <c r="O1256">
        <f>IFERROR(INDEX('Company Hitlist'!$N:$N,MATCH(D1256,'Company Hitlist'!$A:$A,0)),)</f>
        <v/>
      </c>
      <c r="Q1256" t="inlineStr">
        <is>
          <t>todo</t>
        </is>
      </c>
    </row>
    <row r="1257">
      <c r="A1257" t="inlineStr">
        <is>
          <t>Kenji Togasaki</t>
        </is>
      </c>
      <c r="B1257" t="inlineStr">
        <is>
          <t>Speaker</t>
        </is>
      </c>
      <c r="C1257" t="inlineStr">
        <is>
          <t>SVP</t>
        </is>
      </c>
      <c r="D1257" t="inlineStr">
        <is>
          <t>IINO LINES</t>
        </is>
      </c>
      <c r="H1257" t="n">
        <v>9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  <c r="N1257">
        <f>IFERROR(INDEX('Company Hitlist'!$AA:$AA,MATCH(D1257,'Company Hitlist'!$A:$A,0)),)</f>
        <v/>
      </c>
      <c r="O1257">
        <f>IFERROR(INDEX('Company Hitlist'!$N:$N,MATCH(D1257,'Company Hitlist'!$A:$A,0)),)</f>
        <v/>
      </c>
      <c r="Q1257" t="inlineStr">
        <is>
          <t>todo</t>
        </is>
      </c>
    </row>
    <row r="1258">
      <c r="A1258" t="inlineStr">
        <is>
          <t>Etienne Louvet</t>
        </is>
      </c>
      <c r="B1258" t="inlineStr">
        <is>
          <t>Speaker</t>
        </is>
      </c>
      <c r="C1258" t="inlineStr">
        <is>
          <t>CEO</t>
        </is>
      </c>
      <c r="D1258" t="inlineStr">
        <is>
          <t>IONADRONES</t>
        </is>
      </c>
      <c r="H1258" t="n">
        <v>9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  <c r="N1258">
        <f>IFERROR(INDEX('Company Hitlist'!$AA:$AA,MATCH(D1258,'Company Hitlist'!$A:$A,0)),)</f>
        <v/>
      </c>
      <c r="O1258">
        <f>IFERROR(INDEX('Company Hitlist'!$N:$N,MATCH(D1258,'Company Hitlist'!$A:$A,0)),)</f>
        <v/>
      </c>
      <c r="Q1258" t="inlineStr">
        <is>
          <t>todo</t>
        </is>
      </c>
    </row>
    <row r="1259">
      <c r="A1259" t="inlineStr">
        <is>
          <t>Jorge Morales</t>
        </is>
      </c>
      <c r="B1259" t="inlineStr">
        <is>
          <t>Speaker</t>
        </is>
      </c>
      <c r="C1259" t="inlineStr">
        <is>
          <t>Global COO</t>
        </is>
      </c>
      <c r="D1259" t="inlineStr">
        <is>
          <t>ISCEA</t>
        </is>
      </c>
      <c r="H1259" t="n">
        <v>9</v>
      </c>
      <c r="I1259" t="b">
        <v>0</v>
      </c>
      <c r="J1259" t="b">
        <v>1</v>
      </c>
      <c r="K1259" t="b">
        <v>0</v>
      </c>
      <c r="L1259" t="b">
        <v>0</v>
      </c>
      <c r="M1259" t="b">
        <v>0</v>
      </c>
      <c r="N1259">
        <f>IFERROR(INDEX('Company Hitlist'!$AA:$AA,MATCH(D1259,'Company Hitlist'!$A:$A,0)),)</f>
        <v/>
      </c>
      <c r="O1259">
        <f>IFERROR(INDEX('Company Hitlist'!$N:$N,MATCH(D1259,'Company Hitlist'!$A:$A,0)),)</f>
        <v/>
      </c>
      <c r="Q1259" t="inlineStr">
        <is>
          <t>todo</t>
        </is>
      </c>
    </row>
    <row r="1260">
      <c r="A1260" t="inlineStr">
        <is>
          <t>Erick Jones</t>
        </is>
      </c>
      <c r="B1260" t="inlineStr">
        <is>
          <t>Speaker</t>
        </is>
      </c>
      <c r="C1260" t="inlineStr">
        <is>
          <t>President</t>
        </is>
      </c>
      <c r="D1260" t="inlineStr">
        <is>
          <t>ISCEA International Standards Board IISB</t>
        </is>
      </c>
      <c r="E1260" t="inlineStr">
        <is>
          <t>United States</t>
        </is>
      </c>
      <c r="H1260" t="n">
        <v>9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  <c r="N1260">
        <f>IFERROR(INDEX('Company Hitlist'!$AA:$AA,MATCH(D1260,'Company Hitlist'!$A:$A,0)),)</f>
        <v/>
      </c>
      <c r="O1260">
        <f>IFERROR(INDEX('Company Hitlist'!$N:$N,MATCH(D1260,'Company Hitlist'!$A:$A,0)),)</f>
        <v/>
      </c>
      <c r="Q1260" t="inlineStr">
        <is>
          <t>todo</t>
        </is>
      </c>
    </row>
    <row r="1261">
      <c r="A1261" t="inlineStr">
        <is>
          <t>Peter Weis</t>
        </is>
      </c>
      <c r="B1261" t="inlineStr">
        <is>
          <t>Speaker</t>
        </is>
      </c>
      <c r="C1261" t="inlineStr">
        <is>
          <t>CIO</t>
        </is>
      </c>
      <c r="D1261" t="inlineStr">
        <is>
          <t>ITS Logistics</t>
        </is>
      </c>
      <c r="F1261" t="inlineStr">
        <is>
          <t>Yes</t>
        </is>
      </c>
      <c r="G1261" t="inlineStr">
        <is>
          <t>365000000</t>
        </is>
      </c>
      <c r="H1261" t="n">
        <v>9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  <c r="N1261">
        <f>IFERROR(INDEX('Company Hitlist'!$AA:$AA,MATCH(D1261,'Company Hitlist'!$A:$A,0)),)</f>
        <v/>
      </c>
      <c r="O1261">
        <f>IFERROR(INDEX('Company Hitlist'!$N:$N,MATCH(D1261,'Company Hitlist'!$A:$A,0)),)</f>
        <v/>
      </c>
      <c r="Q1261" t="inlineStr">
        <is>
          <t>todo</t>
        </is>
      </c>
    </row>
    <row r="1262">
      <c r="A1262" t="inlineStr">
        <is>
          <t>Aadil Kazmi</t>
        </is>
      </c>
      <c r="B1262" t="inlineStr">
        <is>
          <t>Speaker</t>
        </is>
      </c>
      <c r="C1262" t="inlineStr">
        <is>
          <t>VP GenAI</t>
        </is>
      </c>
      <c r="D1262" t="inlineStr">
        <is>
          <t>Infios</t>
        </is>
      </c>
      <c r="F1262" t="inlineStr">
        <is>
          <t>Yes</t>
        </is>
      </c>
      <c r="H1262" t="n">
        <v>9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>
        <f>IFERROR(INDEX('Company Hitlist'!$AA:$AA,MATCH(D1262,'Company Hitlist'!$A:$A,0)),)</f>
        <v/>
      </c>
      <c r="O1262">
        <f>IFERROR(INDEX('Company Hitlist'!$N:$N,MATCH(D1262,'Company Hitlist'!$A:$A,0)),)</f>
        <v/>
      </c>
      <c r="Q1262" t="inlineStr">
        <is>
          <t>todo</t>
        </is>
      </c>
    </row>
    <row r="1263">
      <c r="A1263" t="inlineStr">
        <is>
          <t>Sumir Meghani</t>
        </is>
      </c>
      <c r="B1263" t="inlineStr">
        <is>
          <t>Speaker</t>
        </is>
      </c>
      <c r="C1263" t="inlineStr">
        <is>
          <t>CEO &amp; Co-Founder</t>
        </is>
      </c>
      <c r="D1263" t="inlineStr">
        <is>
          <t>Instawork</t>
        </is>
      </c>
      <c r="H1263" t="n">
        <v>9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  <c r="N1263">
        <f>IFERROR(INDEX('Company Hitlist'!$AA:$AA,MATCH(D1263,'Company Hitlist'!$A:$A,0)),)</f>
        <v/>
      </c>
      <c r="O1263">
        <f>IFERROR(INDEX('Company Hitlist'!$N:$N,MATCH(D1263,'Company Hitlist'!$A:$A,0)),)</f>
        <v/>
      </c>
      <c r="Q1263" t="inlineStr">
        <is>
          <t>todo</t>
        </is>
      </c>
    </row>
    <row r="1264">
      <c r="A1264" t="inlineStr">
        <is>
          <t>Stefan Rehm</t>
        </is>
      </c>
      <c r="B1264" t="inlineStr">
        <is>
          <t>Speaker</t>
        </is>
      </c>
      <c r="C1264" t="inlineStr">
        <is>
          <t>CEO</t>
        </is>
      </c>
      <c r="D1264" t="inlineStr">
        <is>
          <t>Intelipost</t>
        </is>
      </c>
      <c r="F1264" t="inlineStr">
        <is>
          <t>Yes</t>
        </is>
      </c>
      <c r="G1264" t="inlineStr">
        <is>
          <t>$50M (2024 est.; projected $55M in 2025)</t>
        </is>
      </c>
      <c r="H1264" t="n">
        <v>9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  <c r="N1264">
        <f>IFERROR(INDEX('Company Hitlist'!$AA:$AA,MATCH(D1264,'Company Hitlist'!$A:$A,0)),)</f>
        <v/>
      </c>
      <c r="O1264">
        <f>IFERROR(INDEX('Company Hitlist'!$N:$N,MATCH(D1264,'Company Hitlist'!$A:$A,0)),)</f>
        <v/>
      </c>
      <c r="Q1264" t="inlineStr">
        <is>
          <t>todo</t>
        </is>
      </c>
    </row>
    <row r="1265">
      <c r="A1265" t="inlineStr">
        <is>
          <t>Anne Reinke</t>
        </is>
      </c>
      <c r="B1265" t="inlineStr">
        <is>
          <t>Speaker</t>
        </is>
      </c>
      <c r="C1265" t="inlineStr">
        <is>
          <t>CEO &amp; President</t>
        </is>
      </c>
      <c r="D1265" t="inlineStr">
        <is>
          <t>International Intermodal Association of North America (IANA)</t>
        </is>
      </c>
      <c r="E1265" t="inlineStr">
        <is>
          <t>United States</t>
        </is>
      </c>
      <c r="H1265" t="n">
        <v>9</v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>
        <f>IFERROR(INDEX('Company Hitlist'!$AA:$AA,MATCH(D1265,'Company Hitlist'!$A:$A,0)),)</f>
        <v/>
      </c>
      <c r="O1265">
        <f>IFERROR(INDEX('Company Hitlist'!$N:$N,MATCH(D1265,'Company Hitlist'!$A:$A,0)),)</f>
        <v/>
      </c>
      <c r="Q1265" t="inlineStr">
        <is>
          <t>todo</t>
        </is>
      </c>
    </row>
    <row r="1266">
      <c r="A1266" t="inlineStr">
        <is>
          <t>Andrew Kirkland</t>
        </is>
      </c>
      <c r="B1266" t="inlineStr">
        <is>
          <t>Speaker</t>
        </is>
      </c>
      <c r="C1266" t="inlineStr">
        <is>
          <t>GM, Recycling</t>
        </is>
      </c>
      <c r="D1266" t="inlineStr">
        <is>
          <t>International Paper</t>
        </is>
      </c>
      <c r="H1266" t="n">
        <v>9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>
        <f>IFERROR(INDEX('Company Hitlist'!$AA:$AA,MATCH(D1266,'Company Hitlist'!$A:$A,0)),)</f>
        <v/>
      </c>
      <c r="O1266">
        <f>IFERROR(INDEX('Company Hitlist'!$N:$N,MATCH(D1266,'Company Hitlist'!$A:$A,0)),)</f>
        <v/>
      </c>
      <c r="Q1266" t="inlineStr">
        <is>
          <t>todo</t>
        </is>
      </c>
    </row>
    <row r="1267">
      <c r="A1267" t="inlineStr">
        <is>
          <t>Gurhan Kok</t>
        </is>
      </c>
      <c r="B1267" t="inlineStr">
        <is>
          <t>Speaker</t>
        </is>
      </c>
      <c r="C1267" t="inlineStr">
        <is>
          <t>CEO &amp; Founder</t>
        </is>
      </c>
      <c r="D1267" t="inlineStr">
        <is>
          <t>Invent AI</t>
        </is>
      </c>
      <c r="F1267" t="inlineStr">
        <is>
          <t>Yes</t>
        </is>
      </c>
      <c r="H1267" t="n">
        <v>9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  <c r="N1267">
        <f>IFERROR(INDEX('Company Hitlist'!$AA:$AA,MATCH(D1267,'Company Hitlist'!$A:$A,0)),)</f>
        <v/>
      </c>
      <c r="O1267">
        <f>IFERROR(INDEX('Company Hitlist'!$N:$N,MATCH(D1267,'Company Hitlist'!$A:$A,0)),)</f>
        <v/>
      </c>
      <c r="Q1267" t="inlineStr">
        <is>
          <t>todo</t>
        </is>
      </c>
    </row>
    <row r="1268">
      <c r="A1268" t="inlineStr">
        <is>
          <t>Stuart Scott</t>
        </is>
      </c>
      <c r="B1268" t="inlineStr">
        <is>
          <t>Speaker</t>
        </is>
      </c>
      <c r="C1268" t="inlineStr">
        <is>
          <t>EVP &amp; CIO</t>
        </is>
      </c>
      <c r="D1268" t="inlineStr">
        <is>
          <t>J.B. Hunt</t>
        </is>
      </c>
      <c r="F1268" t="inlineStr">
        <is>
          <t>Yes</t>
        </is>
      </c>
      <c r="G1268" t="inlineStr">
        <is>
          <t>$12.5B (2024; projected $13B in 2025)</t>
        </is>
      </c>
      <c r="H1268" t="n">
        <v>9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>
        <f>IFERROR(INDEX('Company Hitlist'!$AA:$AA,MATCH(D1268,'Company Hitlist'!$A:$A,0)),)</f>
        <v/>
      </c>
      <c r="O1268">
        <f>IFERROR(INDEX('Company Hitlist'!$N:$N,MATCH(D1268,'Company Hitlist'!$A:$A,0)),)</f>
        <v/>
      </c>
      <c r="Q1268" t="inlineStr">
        <is>
          <t>todo</t>
        </is>
      </c>
    </row>
    <row r="1269">
      <c r="A1269" t="inlineStr">
        <is>
          <t>Charles Boakye</t>
        </is>
      </c>
      <c r="B1269" t="inlineStr">
        <is>
          <t>Speaker</t>
        </is>
      </c>
      <c r="C1269" t="inlineStr">
        <is>
          <t>Head of Americas Energy Transition Strategy</t>
        </is>
      </c>
      <c r="D1269" t="inlineStr">
        <is>
          <t>Jefferies</t>
        </is>
      </c>
      <c r="H1269" t="n">
        <v>9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  <c r="N1269">
        <f>IFERROR(INDEX('Company Hitlist'!$AA:$AA,MATCH(D1269,'Company Hitlist'!$A:$A,0)),)</f>
        <v/>
      </c>
      <c r="O1269">
        <f>IFERROR(INDEX('Company Hitlist'!$N:$N,MATCH(D1269,'Company Hitlist'!$A:$A,0)),)</f>
        <v/>
      </c>
      <c r="Q1269" t="inlineStr">
        <is>
          <t>todo</t>
        </is>
      </c>
    </row>
    <row r="1270">
      <c r="A1270" t="inlineStr">
        <is>
          <t>Jonathan Bland</t>
        </is>
      </c>
      <c r="B1270" t="inlineStr">
        <is>
          <t>Speaker</t>
        </is>
      </c>
      <c r="C1270" t="inlineStr">
        <is>
          <t>SVP North America</t>
        </is>
      </c>
      <c r="D1270" t="inlineStr">
        <is>
          <t>K. Hartwell</t>
        </is>
      </c>
      <c r="E1270" t="inlineStr">
        <is>
          <t>United States</t>
        </is>
      </c>
      <c r="F1270" t="inlineStr">
        <is>
          <t>Yes</t>
        </is>
      </c>
      <c r="G1270" t="inlineStr">
        <is>
          <t>$100M (2024 est.; projected $110M in 2025)</t>
        </is>
      </c>
      <c r="H1270" t="n">
        <v>9</v>
      </c>
      <c r="I1270" t="b">
        <v>0</v>
      </c>
      <c r="J1270" t="b">
        <v>1</v>
      </c>
      <c r="K1270" t="b">
        <v>0</v>
      </c>
      <c r="L1270" t="b">
        <v>0</v>
      </c>
      <c r="M1270" t="b">
        <v>0</v>
      </c>
      <c r="N1270">
        <f>IFERROR(INDEX('Company Hitlist'!$AA:$AA,MATCH(D1270,'Company Hitlist'!$A:$A,0)),)</f>
        <v/>
      </c>
      <c r="O1270">
        <f>IFERROR(INDEX('Company Hitlist'!$N:$N,MATCH(D1270,'Company Hitlist'!$A:$A,0)),)</f>
        <v/>
      </c>
      <c r="Q1270" t="inlineStr">
        <is>
          <t>todo</t>
        </is>
      </c>
    </row>
    <row r="1271">
      <c r="A1271" t="inlineStr">
        <is>
          <t>Ram Venkataraman</t>
        </is>
      </c>
      <c r="B1271" t="inlineStr">
        <is>
          <t>Speaker</t>
        </is>
      </c>
      <c r="C1271" t="inlineStr">
        <is>
          <t>CEO</t>
        </is>
      </c>
      <c r="D1271" t="inlineStr">
        <is>
          <t>KIBO</t>
        </is>
      </c>
      <c r="F1271" t="inlineStr">
        <is>
          <t>Yes</t>
        </is>
      </c>
      <c r="G1271" t="inlineStr">
        <is>
          <t>$100M (2024 est.; projected $110M in 2025)</t>
        </is>
      </c>
      <c r="H1271" t="n">
        <v>9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  <c r="N1271">
        <f>IFERROR(INDEX('Company Hitlist'!$AA:$AA,MATCH(D1271,'Company Hitlist'!$A:$A,0)),)</f>
        <v/>
      </c>
      <c r="O1271">
        <f>IFERROR(INDEX('Company Hitlist'!$N:$N,MATCH(D1271,'Company Hitlist'!$A:$A,0)),)</f>
        <v/>
      </c>
      <c r="Q1271" t="inlineStr">
        <is>
          <t>todo</t>
        </is>
      </c>
    </row>
    <row r="1272">
      <c r="A1272" t="inlineStr">
        <is>
          <t>Fab Brasca</t>
        </is>
      </c>
      <c r="B1272" t="inlineStr">
        <is>
          <t>Speaker</t>
        </is>
      </c>
      <c r="C1272" t="inlineStr">
        <is>
          <t>SVP Market Strategy</t>
        </is>
      </c>
      <c r="D1272" t="inlineStr">
        <is>
          <t>Kinaxis</t>
        </is>
      </c>
      <c r="F1272" t="inlineStr">
        <is>
          <t>Yes</t>
        </is>
      </c>
      <c r="G1272" t="inlineStr">
        <is>
          <t>$450M (2024 est.; projected $480M in 2025)</t>
        </is>
      </c>
      <c r="H1272" t="n">
        <v>9</v>
      </c>
      <c r="I1272" t="b">
        <v>0</v>
      </c>
      <c r="J1272" t="b">
        <v>1</v>
      </c>
      <c r="K1272" t="b">
        <v>0</v>
      </c>
      <c r="L1272" t="b">
        <v>0</v>
      </c>
      <c r="M1272" t="b">
        <v>0</v>
      </c>
      <c r="N1272">
        <f>IFERROR(INDEX('Company Hitlist'!$AA:$AA,MATCH(D1272,'Company Hitlist'!$A:$A,0)),)</f>
        <v/>
      </c>
      <c r="O1272">
        <f>IFERROR(INDEX('Company Hitlist'!$N:$N,MATCH(D1272,'Company Hitlist'!$A:$A,0)),)</f>
        <v/>
      </c>
      <c r="Q1272" t="inlineStr">
        <is>
          <t>todo</t>
        </is>
      </c>
    </row>
    <row r="1273">
      <c r="A1273" t="inlineStr">
        <is>
          <t>David Mccalib</t>
        </is>
      </c>
      <c r="B1273" t="inlineStr">
        <is>
          <t>Speaker</t>
        </is>
      </c>
      <c r="C1273" t="inlineStr">
        <is>
          <t>CEO</t>
        </is>
      </c>
      <c r="D1273" t="inlineStr">
        <is>
          <t>Lab0</t>
        </is>
      </c>
      <c r="F1273" t="inlineStr">
        <is>
          <t>Yes</t>
        </is>
      </c>
      <c r="H1273" t="n">
        <v>9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  <c r="N1273">
        <f>IFERROR(INDEX('Company Hitlist'!$AA:$AA,MATCH(D1273,'Company Hitlist'!$A:$A,0)),)</f>
        <v/>
      </c>
      <c r="O1273">
        <f>IFERROR(INDEX('Company Hitlist'!$N:$N,MATCH(D1273,'Company Hitlist'!$A:$A,0)),)</f>
        <v/>
      </c>
      <c r="Q1273" t="inlineStr">
        <is>
          <t>todo</t>
        </is>
      </c>
    </row>
    <row r="1274">
      <c r="A1274" t="inlineStr">
        <is>
          <t>Blaine Dirker</t>
        </is>
      </c>
      <c r="B1274" t="inlineStr">
        <is>
          <t>Speaker</t>
        </is>
      </c>
      <c r="C1274" t="inlineStr">
        <is>
          <t>CTO</t>
        </is>
      </c>
      <c r="D1274" t="inlineStr">
        <is>
          <t>Lazer Logistics</t>
        </is>
      </c>
      <c r="F1274" t="inlineStr">
        <is>
          <t>Yes</t>
        </is>
      </c>
      <c r="G1274" t="inlineStr">
        <is>
          <t>750000000</t>
        </is>
      </c>
      <c r="H1274" t="n">
        <v>9</v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  <c r="N1274">
        <f>IFERROR(INDEX('Company Hitlist'!$AA:$AA,MATCH(D1274,'Company Hitlist'!$A:$A,0)),)</f>
        <v/>
      </c>
      <c r="O1274">
        <f>IFERROR(INDEX('Company Hitlist'!$N:$N,MATCH(D1274,'Company Hitlist'!$A:$A,0)),)</f>
        <v/>
      </c>
      <c r="Q1274" t="inlineStr">
        <is>
          <t>todo</t>
        </is>
      </c>
    </row>
    <row r="1275">
      <c r="A1275" t="inlineStr">
        <is>
          <t>Will Haraway</t>
        </is>
      </c>
      <c r="B1275" t="inlineStr">
        <is>
          <t>Speaker</t>
        </is>
      </c>
      <c r="C1275" t="inlineStr">
        <is>
          <t>Chief Content Officer &amp; Co-Founder</t>
        </is>
      </c>
      <c r="D1275" t="inlineStr">
        <is>
          <t>LeadCoverage</t>
        </is>
      </c>
      <c r="H1275" t="n">
        <v>9</v>
      </c>
      <c r="I1275" t="b">
        <v>0</v>
      </c>
      <c r="J1275" t="b">
        <v>1</v>
      </c>
      <c r="K1275" t="b">
        <v>0</v>
      </c>
      <c r="L1275" t="b">
        <v>0</v>
      </c>
      <c r="M1275" t="b">
        <v>0</v>
      </c>
      <c r="N1275">
        <f>IFERROR(INDEX('Company Hitlist'!$AA:$AA,MATCH(D1275,'Company Hitlist'!$A:$A,0)),)</f>
        <v/>
      </c>
      <c r="O1275">
        <f>IFERROR(INDEX('Company Hitlist'!$N:$N,MATCH(D1275,'Company Hitlist'!$A:$A,0)),)</f>
        <v/>
      </c>
      <c r="Q1275" t="inlineStr">
        <is>
          <t>todo</t>
        </is>
      </c>
    </row>
    <row r="1276">
      <c r="A1276" t="inlineStr">
        <is>
          <t>Spencer Penn</t>
        </is>
      </c>
      <c r="B1276" t="inlineStr">
        <is>
          <t>Speaker</t>
        </is>
      </c>
      <c r="C1276" t="inlineStr">
        <is>
          <t>CEO &amp; Co-Founder</t>
        </is>
      </c>
      <c r="D1276" t="inlineStr">
        <is>
          <t>LightSource</t>
        </is>
      </c>
      <c r="F1276" t="inlineStr">
        <is>
          <t>Yes</t>
        </is>
      </c>
      <c r="H1276" t="n">
        <v>9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>
        <f>IFERROR(INDEX('Company Hitlist'!$AA:$AA,MATCH(D1276,'Company Hitlist'!$A:$A,0)),)</f>
        <v/>
      </c>
      <c r="O1276">
        <f>IFERROR(INDEX('Company Hitlist'!$N:$N,MATCH(D1276,'Company Hitlist'!$A:$A,0)),)</f>
        <v/>
      </c>
      <c r="Q1276" t="inlineStr">
        <is>
          <t>todo</t>
        </is>
      </c>
    </row>
    <row r="1277">
      <c r="A1277" t="inlineStr">
        <is>
          <t>Jeff Rivera</t>
        </is>
      </c>
      <c r="B1277" t="inlineStr">
        <is>
          <t>Speaker</t>
        </is>
      </c>
      <c r="C1277" t="inlineStr">
        <is>
          <t>Global Chief Operating Officer</t>
        </is>
      </c>
      <c r="D1277" t="inlineStr">
        <is>
          <t>Lineage</t>
        </is>
      </c>
      <c r="F1277" t="inlineStr">
        <is>
          <t>Yes</t>
        </is>
      </c>
      <c r="G1277" t="inlineStr">
        <is>
          <t>5340000000</t>
        </is>
      </c>
      <c r="H1277" t="n">
        <v>9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  <c r="N1277">
        <f>IFERROR(INDEX('Company Hitlist'!$AA:$AA,MATCH(D1277,'Company Hitlist'!$A:$A,0)),)</f>
        <v/>
      </c>
      <c r="O1277">
        <f>IFERROR(INDEX('Company Hitlist'!$N:$N,MATCH(D1277,'Company Hitlist'!$A:$A,0)),)</f>
        <v/>
      </c>
      <c r="Q1277" t="inlineStr">
        <is>
          <t>todo</t>
        </is>
      </c>
    </row>
    <row r="1278">
      <c r="A1278" t="inlineStr">
        <is>
          <t>Russell Hoppes</t>
        </is>
      </c>
      <c r="B1278" t="inlineStr">
        <is>
          <t>Speaker</t>
        </is>
      </c>
      <c r="C1278" t="inlineStr">
        <is>
          <t>VP, Solutions &amp; Delivery</t>
        </is>
      </c>
      <c r="D1278" t="inlineStr">
        <is>
          <t>Locus</t>
        </is>
      </c>
      <c r="E1278" t="inlineStr">
        <is>
          <t>United States</t>
        </is>
      </c>
      <c r="F1278" t="inlineStr">
        <is>
          <t>Yes</t>
        </is>
      </c>
      <c r="G1278" t="inlineStr">
        <is>
          <t>30000000</t>
        </is>
      </c>
      <c r="H1278" t="n">
        <v>9</v>
      </c>
      <c r="I1278" t="b">
        <v>0</v>
      </c>
      <c r="J1278" t="b">
        <v>1</v>
      </c>
      <c r="K1278" t="b">
        <v>0</v>
      </c>
      <c r="L1278" t="b">
        <v>0</v>
      </c>
      <c r="M1278" t="b">
        <v>0</v>
      </c>
      <c r="N1278">
        <f>IFERROR(INDEX('Company Hitlist'!$AA:$AA,MATCH(D1278,'Company Hitlist'!$A:$A,0)),)</f>
        <v/>
      </c>
      <c r="O1278">
        <f>IFERROR(INDEX('Company Hitlist'!$N:$N,MATCH(D1278,'Company Hitlist'!$A:$A,0)),)</f>
        <v/>
      </c>
      <c r="Q1278" t="inlineStr">
        <is>
          <t>todo</t>
        </is>
      </c>
    </row>
    <row r="1279">
      <c r="A1279" t="inlineStr">
        <is>
          <t>Gina Chung</t>
        </is>
      </c>
      <c r="B1279" t="inlineStr">
        <is>
          <t>Speaker</t>
        </is>
      </c>
      <c r="C1279" t="inlineStr">
        <is>
          <t>VP of Corporate Development</t>
        </is>
      </c>
      <c r="D1279" t="inlineStr">
        <is>
          <t>Locus Robotics</t>
        </is>
      </c>
      <c r="F1279" t="inlineStr">
        <is>
          <t>Yes</t>
        </is>
      </c>
      <c r="G1279" t="inlineStr">
        <is>
          <t>100000000</t>
        </is>
      </c>
      <c r="H1279" t="n">
        <v>9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  <c r="N1279">
        <f>IFERROR(INDEX('Company Hitlist'!$AA:$AA,MATCH(D1279,'Company Hitlist'!$A:$A,0)),)</f>
        <v/>
      </c>
      <c r="O1279">
        <f>IFERROR(INDEX('Company Hitlist'!$N:$N,MATCH(D1279,'Company Hitlist'!$A:$A,0)),)</f>
        <v/>
      </c>
      <c r="Q1279" t="inlineStr">
        <is>
          <t>todo</t>
        </is>
      </c>
    </row>
    <row r="1280">
      <c r="A1280" t="inlineStr">
        <is>
          <t>Matt McKinney</t>
        </is>
      </c>
      <c r="B1280" t="inlineStr">
        <is>
          <t>Speaker</t>
        </is>
      </c>
      <c r="C1280" t="inlineStr">
        <is>
          <t>CEO</t>
        </is>
      </c>
      <c r="D1280" t="inlineStr">
        <is>
          <t>Loop</t>
        </is>
      </c>
      <c r="F1280" t="inlineStr">
        <is>
          <t>Yes</t>
        </is>
      </c>
      <c r="H1280" t="n">
        <v>9</v>
      </c>
      <c r="I1280" t="b">
        <v>0</v>
      </c>
      <c r="J1280" t="b">
        <v>1</v>
      </c>
      <c r="K1280" t="b">
        <v>0</v>
      </c>
      <c r="L1280" t="b">
        <v>0</v>
      </c>
      <c r="M1280" t="b">
        <v>0</v>
      </c>
      <c r="N1280">
        <f>IFERROR(INDEX('Company Hitlist'!$AA:$AA,MATCH(D1280,'Company Hitlist'!$A:$A,0)),)</f>
        <v/>
      </c>
      <c r="O1280">
        <f>IFERROR(INDEX('Company Hitlist'!$N:$N,MATCH(D1280,'Company Hitlist'!$A:$A,0)),)</f>
        <v/>
      </c>
      <c r="Q1280" t="inlineStr">
        <is>
          <t>todo</t>
        </is>
      </c>
    </row>
    <row r="1281">
      <c r="A1281" t="inlineStr">
        <is>
          <t>Ganesh Ramakrishna</t>
        </is>
      </c>
      <c r="B1281" t="inlineStr">
        <is>
          <t>Speaker</t>
        </is>
      </c>
      <c r="C1281" t="inlineStr">
        <is>
          <t>CEO &amp; Founder</t>
        </is>
      </c>
      <c r="D1281" t="inlineStr">
        <is>
          <t>Lyric</t>
        </is>
      </c>
      <c r="E1281" t="inlineStr">
        <is>
          <t>United States</t>
        </is>
      </c>
      <c r="F1281" t="inlineStr">
        <is>
          <t>Yes</t>
        </is>
      </c>
      <c r="H1281" t="n">
        <v>9</v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  <c r="N1281">
        <f>IFERROR(INDEX('Company Hitlist'!$AA:$AA,MATCH(D1281,'Company Hitlist'!$A:$A,0)),)</f>
        <v/>
      </c>
      <c r="O1281">
        <f>IFERROR(INDEX('Company Hitlist'!$N:$N,MATCH(D1281,'Company Hitlist'!$A:$A,0)),)</f>
        <v/>
      </c>
      <c r="Q1281" t="inlineStr">
        <is>
          <t>todo</t>
        </is>
      </c>
    </row>
    <row r="1282">
      <c r="A1282" t="inlineStr">
        <is>
          <t>Jason Tse</t>
        </is>
      </c>
      <c r="B1282" t="inlineStr">
        <is>
          <t>Speaker</t>
        </is>
      </c>
      <c r="C1282" t="inlineStr">
        <is>
          <t>CEO</t>
        </is>
      </c>
      <c r="D1282" t="inlineStr">
        <is>
          <t>METANOMIX</t>
        </is>
      </c>
      <c r="H1282" t="n">
        <v>9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  <c r="N1282">
        <f>IFERROR(INDEX('Company Hitlist'!$AA:$AA,MATCH(D1282,'Company Hitlist'!$A:$A,0)),)</f>
        <v/>
      </c>
      <c r="O1282">
        <f>IFERROR(INDEX('Company Hitlist'!$N:$N,MATCH(D1282,'Company Hitlist'!$A:$A,0)),)</f>
        <v/>
      </c>
      <c r="Q1282" t="inlineStr">
        <is>
          <t>todo</t>
        </is>
      </c>
    </row>
    <row r="1283">
      <c r="A1283" t="inlineStr">
        <is>
          <t>Takuya Sakamoto</t>
        </is>
      </c>
      <c r="B1283" t="inlineStr">
        <is>
          <t>Speaker</t>
        </is>
      </c>
      <c r="C1283" t="inlineStr">
        <is>
          <t>CEO</t>
        </is>
      </c>
      <c r="D1283" t="inlineStr">
        <is>
          <t>MOL PLUS Co., Ltd</t>
        </is>
      </c>
      <c r="F1283" t="inlineStr">
        <is>
          <t>Yes</t>
        </is>
      </c>
      <c r="H1283" t="n">
        <v>9</v>
      </c>
      <c r="I1283" t="b">
        <v>0</v>
      </c>
      <c r="J1283" t="b">
        <v>1</v>
      </c>
      <c r="K1283" t="b">
        <v>0</v>
      </c>
      <c r="L1283" t="b">
        <v>0</v>
      </c>
      <c r="M1283" t="b">
        <v>0</v>
      </c>
      <c r="N1283">
        <f>IFERROR(INDEX('Company Hitlist'!$AA:$AA,MATCH(D1283,'Company Hitlist'!$A:$A,0)),)</f>
        <v/>
      </c>
      <c r="O1283">
        <f>IFERROR(INDEX('Company Hitlist'!$N:$N,MATCH(D1283,'Company Hitlist'!$A:$A,0)),)</f>
        <v/>
      </c>
      <c r="Q1283" t="inlineStr">
        <is>
          <t>todo</t>
        </is>
      </c>
    </row>
    <row r="1284">
      <c r="A1284" t="inlineStr">
        <is>
          <t>Courtney Muller</t>
        </is>
      </c>
      <c r="B1284" t="inlineStr">
        <is>
          <t>Speaker</t>
        </is>
      </c>
      <c r="C1284" t="inlineStr">
        <is>
          <t>President</t>
        </is>
      </c>
      <c r="D1284" t="inlineStr">
        <is>
          <t>Manifest</t>
        </is>
      </c>
      <c r="H1284" t="n">
        <v>9</v>
      </c>
      <c r="I1284" t="b">
        <v>0</v>
      </c>
      <c r="J1284" t="b">
        <v>1</v>
      </c>
      <c r="K1284" t="b">
        <v>0</v>
      </c>
      <c r="L1284" t="b">
        <v>0</v>
      </c>
      <c r="M1284" t="b">
        <v>0</v>
      </c>
      <c r="N1284">
        <f>IFERROR(INDEX('Company Hitlist'!$AA:$AA,MATCH(D1284,'Company Hitlist'!$A:$A,0)),)</f>
        <v/>
      </c>
      <c r="O1284">
        <f>IFERROR(INDEX('Company Hitlist'!$N:$N,MATCH(D1284,'Company Hitlist'!$A:$A,0)),)</f>
        <v/>
      </c>
      <c r="Q1284" t="inlineStr">
        <is>
          <t>todo</t>
        </is>
      </c>
    </row>
    <row r="1285">
      <c r="A1285" t="inlineStr">
        <is>
          <t>Tanzil Uddin</t>
        </is>
      </c>
      <c r="B1285" t="inlineStr">
        <is>
          <t>Speaker</t>
        </is>
      </c>
      <c r="C1285" t="inlineStr">
        <is>
          <t>SVP, Content &amp; Partnerships</t>
        </is>
      </c>
      <c r="D1285" t="inlineStr">
        <is>
          <t>Manifest</t>
        </is>
      </c>
      <c r="H1285" t="n">
        <v>9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  <c r="N1285">
        <f>IFERROR(INDEX('Company Hitlist'!$AA:$AA,MATCH(D1285,'Company Hitlist'!$A:$A,0)),)</f>
        <v/>
      </c>
      <c r="O1285">
        <f>IFERROR(INDEX('Company Hitlist'!$N:$N,MATCH(D1285,'Company Hitlist'!$A:$A,0)),)</f>
        <v/>
      </c>
      <c r="Q1285" t="inlineStr">
        <is>
          <t>todo</t>
        </is>
      </c>
    </row>
    <row r="1286">
      <c r="A1286" t="inlineStr">
        <is>
          <t>Pascal Ollivier</t>
        </is>
      </c>
      <c r="B1286" t="inlineStr">
        <is>
          <t>Speaker</t>
        </is>
      </c>
      <c r="C1286" t="inlineStr">
        <is>
          <t>President</t>
        </is>
      </c>
      <c r="D1286" t="inlineStr">
        <is>
          <t>Maritime Street</t>
        </is>
      </c>
      <c r="F1286" t="inlineStr">
        <is>
          <t>Yes</t>
        </is>
      </c>
      <c r="H1286" t="n">
        <v>9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  <c r="N1286">
        <f>IFERROR(INDEX('Company Hitlist'!$AA:$AA,MATCH(D1286,'Company Hitlist'!$A:$A,0)),)</f>
        <v/>
      </c>
      <c r="O1286">
        <f>IFERROR(INDEX('Company Hitlist'!$N:$N,MATCH(D1286,'Company Hitlist'!$A:$A,0)),)</f>
        <v/>
      </c>
      <c r="Q1286" t="inlineStr">
        <is>
          <t>todo</t>
        </is>
      </c>
    </row>
    <row r="1287">
      <c r="A1287" t="inlineStr">
        <is>
          <t>Kristen Daihes</t>
        </is>
      </c>
      <c r="B1287" t="inlineStr">
        <is>
          <t>Speaker</t>
        </is>
      </c>
      <c r="C1287" t="inlineStr">
        <is>
          <t>SVP of Global Analytics, Digital &amp; Data</t>
        </is>
      </c>
      <c r="D1287" t="inlineStr">
        <is>
          <t>Mars</t>
        </is>
      </c>
      <c r="F1287" t="inlineStr">
        <is>
          <t>Yes</t>
        </is>
      </c>
      <c r="G1287" t="inlineStr">
        <is>
          <t>$50B (2024; projected $55B in 2025)</t>
        </is>
      </c>
      <c r="H1287" t="n">
        <v>9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  <c r="N1287">
        <f>IFERROR(INDEX('Company Hitlist'!$AA:$AA,MATCH(D1287,'Company Hitlist'!$A:$A,0)),)</f>
        <v/>
      </c>
      <c r="O1287">
        <f>IFERROR(INDEX('Company Hitlist'!$N:$N,MATCH(D1287,'Company Hitlist'!$A:$A,0)),)</f>
        <v/>
      </c>
      <c r="Q1287" t="inlineStr">
        <is>
          <t>todo</t>
        </is>
      </c>
    </row>
    <row r="1288">
      <c r="A1288" t="inlineStr">
        <is>
          <t>Jake Miller</t>
        </is>
      </c>
      <c r="B1288" t="inlineStr">
        <is>
          <t>Speaker</t>
        </is>
      </c>
      <c r="C1288" t="inlineStr">
        <is>
          <t>CEO</t>
        </is>
      </c>
      <c r="D1288" t="inlineStr">
        <is>
          <t>Marvel Labs</t>
        </is>
      </c>
      <c r="H1288" t="n">
        <v>9</v>
      </c>
      <c r="I1288" t="b">
        <v>0</v>
      </c>
      <c r="J1288" t="b">
        <v>1</v>
      </c>
      <c r="K1288" t="b">
        <v>0</v>
      </c>
      <c r="L1288" t="b">
        <v>0</v>
      </c>
      <c r="M1288" t="b">
        <v>0</v>
      </c>
      <c r="N1288">
        <f>IFERROR(INDEX('Company Hitlist'!$AA:$AA,MATCH(D1288,'Company Hitlist'!$A:$A,0)),)</f>
        <v/>
      </c>
      <c r="O1288">
        <f>IFERROR(INDEX('Company Hitlist'!$N:$N,MATCH(D1288,'Company Hitlist'!$A:$A,0)),)</f>
        <v/>
      </c>
      <c r="Q1288" t="inlineStr">
        <is>
          <t>todo</t>
        </is>
      </c>
    </row>
    <row r="1289">
      <c r="A1289" t="inlineStr">
        <is>
          <t>Paulius Rakauskas</t>
        </is>
      </c>
      <c r="B1289" t="inlineStr">
        <is>
          <t>Speaker</t>
        </is>
      </c>
      <c r="C1289" t="inlineStr">
        <is>
          <t>CEO &amp; Co-Founder</t>
        </is>
      </c>
      <c r="D1289" t="inlineStr">
        <is>
          <t>Matom AI</t>
        </is>
      </c>
      <c r="F1289" t="inlineStr">
        <is>
          <t>Yes</t>
        </is>
      </c>
      <c r="H1289" t="n">
        <v>9</v>
      </c>
      <c r="I1289" t="b">
        <v>0</v>
      </c>
      <c r="J1289" t="b">
        <v>1</v>
      </c>
      <c r="K1289" t="b">
        <v>0</v>
      </c>
      <c r="L1289" t="b">
        <v>0</v>
      </c>
      <c r="M1289" t="b">
        <v>0</v>
      </c>
      <c r="N1289">
        <f>IFERROR(INDEX('Company Hitlist'!$AA:$AA,MATCH(D1289,'Company Hitlist'!$A:$A,0)),)</f>
        <v/>
      </c>
      <c r="O1289">
        <f>IFERROR(INDEX('Company Hitlist'!$N:$N,MATCH(D1289,'Company Hitlist'!$A:$A,0)),)</f>
        <v/>
      </c>
      <c r="Q1289" t="inlineStr">
        <is>
          <t>todo</t>
        </is>
      </c>
    </row>
    <row r="1290">
      <c r="A1290" t="inlineStr">
        <is>
          <t>Andreas Raptopoulos</t>
        </is>
      </c>
      <c r="B1290" t="inlineStr">
        <is>
          <t>Speaker</t>
        </is>
      </c>
      <c r="C1290" t="inlineStr">
        <is>
          <t>CEO</t>
        </is>
      </c>
      <c r="D1290" t="inlineStr">
        <is>
          <t>Matternet</t>
        </is>
      </c>
      <c r="F1290" t="inlineStr">
        <is>
          <t>Yes</t>
        </is>
      </c>
      <c r="G1290" t="inlineStr">
        <is>
          <t>15000000</t>
        </is>
      </c>
      <c r="H1290" t="n">
        <v>9</v>
      </c>
      <c r="I1290" t="b">
        <v>0</v>
      </c>
      <c r="J1290" t="b">
        <v>1</v>
      </c>
      <c r="K1290" t="b">
        <v>0</v>
      </c>
      <c r="L1290" t="b">
        <v>0</v>
      </c>
      <c r="M1290" t="b">
        <v>0</v>
      </c>
      <c r="N1290">
        <f>IFERROR(INDEX('Company Hitlist'!$AA:$AA,MATCH(D1290,'Company Hitlist'!$A:$A,0)),)</f>
        <v/>
      </c>
      <c r="O1290">
        <f>IFERROR(INDEX('Company Hitlist'!$N:$N,MATCH(D1290,'Company Hitlist'!$A:$A,0)),)</f>
        <v/>
      </c>
      <c r="Q1290" t="inlineStr">
        <is>
          <t>todo</t>
        </is>
      </c>
    </row>
    <row r="1291">
      <c r="A1291" t="inlineStr">
        <is>
          <t>David Zingery</t>
        </is>
      </c>
      <c r="B1291" t="inlineStr">
        <is>
          <t>Speaker</t>
        </is>
      </c>
      <c r="C1291" t="inlineStr">
        <is>
          <t>CEO</t>
        </is>
      </c>
      <c r="D1291" t="inlineStr">
        <is>
          <t>Midmo</t>
        </is>
      </c>
      <c r="F1291" t="inlineStr">
        <is>
          <t>Yes</t>
        </is>
      </c>
      <c r="H1291" t="n">
        <v>9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  <c r="N1291">
        <f>IFERROR(INDEX('Company Hitlist'!$AA:$AA,MATCH(D1291,'Company Hitlist'!$A:$A,0)),)</f>
        <v/>
      </c>
      <c r="O1291">
        <f>IFERROR(INDEX('Company Hitlist'!$N:$N,MATCH(D1291,'Company Hitlist'!$A:$A,0)),)</f>
        <v/>
      </c>
      <c r="Q1291" t="inlineStr">
        <is>
          <t>todo</t>
        </is>
      </c>
    </row>
    <row r="1292">
      <c r="A1292" t="inlineStr">
        <is>
          <t>Jo Marini</t>
        </is>
      </c>
      <c r="B1292" t="inlineStr">
        <is>
          <t>Speaker</t>
        </is>
      </c>
      <c r="C1292" t="inlineStr">
        <is>
          <t>CEO &amp; Co-Founder</t>
        </is>
      </c>
      <c r="D1292" t="inlineStr">
        <is>
          <t>Mothership Materials</t>
        </is>
      </c>
      <c r="F1292" t="inlineStr">
        <is>
          <t>Yes</t>
        </is>
      </c>
      <c r="H1292" t="n">
        <v>9</v>
      </c>
      <c r="I1292" t="b">
        <v>0</v>
      </c>
      <c r="J1292" t="b">
        <v>1</v>
      </c>
      <c r="K1292" t="b">
        <v>0</v>
      </c>
      <c r="L1292" t="b">
        <v>0</v>
      </c>
      <c r="M1292" t="b">
        <v>0</v>
      </c>
      <c r="N1292">
        <f>IFERROR(INDEX('Company Hitlist'!$AA:$AA,MATCH(D1292,'Company Hitlist'!$A:$A,0)),)</f>
        <v/>
      </c>
      <c r="O1292">
        <f>IFERROR(INDEX('Company Hitlist'!$N:$N,MATCH(D1292,'Company Hitlist'!$A:$A,0)),)</f>
        <v/>
      </c>
      <c r="Q1292" t="inlineStr">
        <is>
          <t>todo</t>
        </is>
      </c>
    </row>
    <row r="1293">
      <c r="A1293" t="inlineStr">
        <is>
          <t>Joe Ohr</t>
        </is>
      </c>
      <c r="B1293" t="inlineStr">
        <is>
          <t>Speaker</t>
        </is>
      </c>
      <c r="C1293" t="inlineStr">
        <is>
          <t>COO</t>
        </is>
      </c>
      <c r="D1293" t="inlineStr">
        <is>
          <t>NMFTA</t>
        </is>
      </c>
      <c r="H1293" t="n">
        <v>9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  <c r="N1293">
        <f>IFERROR(INDEX('Company Hitlist'!$AA:$AA,MATCH(D1293,'Company Hitlist'!$A:$A,0)),)</f>
        <v/>
      </c>
      <c r="O1293">
        <f>IFERROR(INDEX('Company Hitlist'!$N:$N,MATCH(D1293,'Company Hitlist'!$A:$A,0)),)</f>
        <v/>
      </c>
      <c r="Q1293" t="inlineStr">
        <is>
          <t>todo</t>
        </is>
      </c>
    </row>
    <row r="1294">
      <c r="A1294" t="inlineStr">
        <is>
          <t>Jason Massey</t>
        </is>
      </c>
      <c r="B1294" t="inlineStr">
        <is>
          <t>Speaker</t>
        </is>
      </c>
      <c r="C1294" t="inlineStr">
        <is>
          <t>CEO &amp; Co-Founder</t>
        </is>
      </c>
      <c r="D1294" t="inlineStr">
        <is>
          <t>Ndustrial</t>
        </is>
      </c>
      <c r="F1294" t="inlineStr">
        <is>
          <t>Yes</t>
        </is>
      </c>
      <c r="G1294" t="inlineStr">
        <is>
          <t>6500000</t>
        </is>
      </c>
      <c r="H1294" t="n">
        <v>9</v>
      </c>
      <c r="I1294" t="b">
        <v>0</v>
      </c>
      <c r="J1294" t="b">
        <v>1</v>
      </c>
      <c r="K1294" t="b">
        <v>0</v>
      </c>
      <c r="L1294" t="b">
        <v>0</v>
      </c>
      <c r="M1294" t="b">
        <v>0</v>
      </c>
      <c r="N1294">
        <f>IFERROR(INDEX('Company Hitlist'!$AA:$AA,MATCH(D1294,'Company Hitlist'!$A:$A,0)),)</f>
        <v/>
      </c>
      <c r="O1294">
        <f>IFERROR(INDEX('Company Hitlist'!$N:$N,MATCH(D1294,'Company Hitlist'!$A:$A,0)),)</f>
        <v/>
      </c>
      <c r="Q1294" t="inlineStr">
        <is>
          <t>todo</t>
        </is>
      </c>
    </row>
    <row r="1295">
      <c r="A1295" t="inlineStr">
        <is>
          <t>Alberto Villarreal</t>
        </is>
      </c>
      <c r="B1295" t="inlineStr">
        <is>
          <t>Speaker</t>
        </is>
      </c>
      <c r="C1295" t="inlineStr">
        <is>
          <t>CEO</t>
        </is>
      </c>
      <c r="D1295" t="inlineStr">
        <is>
          <t>Nepanoa</t>
        </is>
      </c>
      <c r="H1295" t="n">
        <v>9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  <c r="N1295">
        <f>IFERROR(INDEX('Company Hitlist'!$AA:$AA,MATCH(D1295,'Company Hitlist'!$A:$A,0)),)</f>
        <v/>
      </c>
      <c r="O1295">
        <f>IFERROR(INDEX('Company Hitlist'!$N:$N,MATCH(D1295,'Company Hitlist'!$A:$A,0)),)</f>
        <v/>
      </c>
      <c r="Q1295" t="inlineStr">
        <is>
          <t>todo</t>
        </is>
      </c>
    </row>
    <row r="1296">
      <c r="A1296" t="inlineStr">
        <is>
          <t>Tom Stein</t>
        </is>
      </c>
      <c r="B1296" t="inlineStr">
        <is>
          <t>Speaker</t>
        </is>
      </c>
      <c r="C1296" t="inlineStr">
        <is>
          <t>Head of the Americas</t>
        </is>
      </c>
      <c r="D1296" t="inlineStr">
        <is>
          <t>Neuropredictr AI</t>
        </is>
      </c>
      <c r="F1296" t="inlineStr">
        <is>
          <t>Yes</t>
        </is>
      </c>
      <c r="H1296" t="n">
        <v>9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>
        <f>IFERROR(INDEX('Company Hitlist'!$AA:$AA,MATCH(D1296,'Company Hitlist'!$A:$A,0)),)</f>
        <v/>
      </c>
      <c r="O1296">
        <f>IFERROR(INDEX('Company Hitlist'!$N:$N,MATCH(D1296,'Company Hitlist'!$A:$A,0)),)</f>
        <v/>
      </c>
      <c r="Q1296" t="inlineStr">
        <is>
          <t>todo</t>
        </is>
      </c>
    </row>
    <row r="1297">
      <c r="A1297" t="inlineStr">
        <is>
          <t>Dave Wheeler</t>
        </is>
      </c>
      <c r="B1297" t="inlineStr">
        <is>
          <t>Speaker</t>
        </is>
      </c>
      <c r="C1297" t="inlineStr">
        <is>
          <t>Chief Operating Officer</t>
        </is>
      </c>
      <c r="D1297" t="inlineStr">
        <is>
          <t>New Balance</t>
        </is>
      </c>
      <c r="F1297" t="inlineStr">
        <is>
          <t>Yes</t>
        </is>
      </c>
      <c r="G1297" t="inlineStr">
        <is>
          <t>7800000000</t>
        </is>
      </c>
      <c r="H1297" t="n">
        <v>9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>
        <f>IFERROR(INDEX('Company Hitlist'!$AA:$AA,MATCH(D1297,'Company Hitlist'!$A:$A,0)),)</f>
        <v/>
      </c>
      <c r="O1297">
        <f>IFERROR(INDEX('Company Hitlist'!$N:$N,MATCH(D1297,'Company Hitlist'!$A:$A,0)),)</f>
        <v/>
      </c>
      <c r="Q1297" t="inlineStr">
        <is>
          <t>todo</t>
        </is>
      </c>
    </row>
    <row r="1298">
      <c r="A1298" t="inlineStr">
        <is>
          <t>Karoline Dygas</t>
        </is>
      </c>
      <c r="B1298" t="inlineStr">
        <is>
          <t>Speaker</t>
        </is>
      </c>
      <c r="C1298" t="inlineStr">
        <is>
          <t>Vice President and CPO</t>
        </is>
      </c>
      <c r="D1298" t="inlineStr">
        <is>
          <t>Nordstrom</t>
        </is>
      </c>
      <c r="F1298" t="inlineStr">
        <is>
          <t>Yes</t>
        </is>
      </c>
      <c r="G1298" t="inlineStr">
        <is>
          <t>$15.01B (2025 est.)</t>
        </is>
      </c>
      <c r="H1298" t="n">
        <v>9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>
        <f>IFERROR(INDEX('Company Hitlist'!$AA:$AA,MATCH(D1298,'Company Hitlist'!$A:$A,0)),)</f>
        <v/>
      </c>
      <c r="O1298">
        <f>IFERROR(INDEX('Company Hitlist'!$N:$N,MATCH(D1298,'Company Hitlist'!$A:$A,0)),)</f>
        <v/>
      </c>
      <c r="Q1298" t="inlineStr">
        <is>
          <t>todo</t>
        </is>
      </c>
    </row>
    <row r="1299">
      <c r="A1299" t="inlineStr">
        <is>
          <t>Andreas Canel</t>
        </is>
      </c>
      <c r="B1299" t="inlineStr">
        <is>
          <t>Speaker</t>
        </is>
      </c>
      <c r="C1299" t="inlineStr">
        <is>
          <t>Co-Ceo &amp; Co-Founder</t>
        </is>
      </c>
      <c r="D1299" t="inlineStr">
        <is>
          <t>Northbound</t>
        </is>
      </c>
      <c r="E1299" t="inlineStr">
        <is>
          <t>Germany</t>
        </is>
      </c>
      <c r="F1299" t="inlineStr">
        <is>
          <t>Yes</t>
        </is>
      </c>
      <c r="H1299" t="n">
        <v>9</v>
      </c>
      <c r="I1299" t="b">
        <v>0</v>
      </c>
      <c r="J1299" t="b">
        <v>1</v>
      </c>
      <c r="K1299" t="b">
        <v>0</v>
      </c>
      <c r="L1299" t="b">
        <v>0</v>
      </c>
      <c r="M1299" t="b">
        <v>0</v>
      </c>
      <c r="N1299">
        <f>IFERROR(INDEX('Company Hitlist'!$AA:$AA,MATCH(D1299,'Company Hitlist'!$A:$A,0)),)</f>
        <v/>
      </c>
      <c r="O1299">
        <f>IFERROR(INDEX('Company Hitlist'!$N:$N,MATCH(D1299,'Company Hitlist'!$A:$A,0)),)</f>
        <v/>
      </c>
      <c r="Q1299" t="inlineStr">
        <is>
          <t>todo</t>
        </is>
      </c>
    </row>
    <row r="1300">
      <c r="A1300" t="inlineStr">
        <is>
          <t>Jeff Bellerud</t>
        </is>
      </c>
      <c r="B1300" t="inlineStr">
        <is>
          <t>Speaker</t>
        </is>
      </c>
      <c r="C1300" t="inlineStr">
        <is>
          <t>COO</t>
        </is>
      </c>
      <c r="D1300" t="inlineStr">
        <is>
          <t>Northwest Seaport Alliance</t>
        </is>
      </c>
      <c r="F1300" t="inlineStr">
        <is>
          <t>Yes</t>
        </is>
      </c>
      <c r="G1300" t="inlineStr">
        <is>
          <t>$206M (YTD 2025; projected ~$300M full year) (ICP match)</t>
        </is>
      </c>
      <c r="H1300" t="n">
        <v>9</v>
      </c>
      <c r="I1300" t="b">
        <v>0</v>
      </c>
      <c r="J1300" t="b">
        <v>1</v>
      </c>
      <c r="K1300" t="b">
        <v>0</v>
      </c>
      <c r="L1300" t="b">
        <v>0</v>
      </c>
      <c r="M1300" t="b">
        <v>0</v>
      </c>
      <c r="N1300">
        <f>IFERROR(INDEX('Company Hitlist'!$AA:$AA,MATCH(D1300,'Company Hitlist'!$A:$A,0)),)</f>
        <v/>
      </c>
      <c r="O1300">
        <f>IFERROR(INDEX('Company Hitlist'!$N:$N,MATCH(D1300,'Company Hitlist'!$A:$A,0)),)</f>
        <v/>
      </c>
      <c r="Q1300" t="inlineStr">
        <is>
          <t>todo</t>
        </is>
      </c>
    </row>
    <row r="1301">
      <c r="A1301" t="inlineStr">
        <is>
          <t>Hash Harshvardhan</t>
        </is>
      </c>
      <c r="B1301" t="inlineStr">
        <is>
          <t>Speaker</t>
        </is>
      </c>
      <c r="C1301" t="inlineStr">
        <is>
          <t>CEO &amp; Founder</t>
        </is>
      </c>
      <c r="D1301" t="inlineStr">
        <is>
          <t>Nutrispin</t>
        </is>
      </c>
      <c r="F1301" t="inlineStr">
        <is>
          <t>Yes</t>
        </is>
      </c>
      <c r="H1301" t="n">
        <v>9</v>
      </c>
      <c r="I1301" t="b">
        <v>0</v>
      </c>
      <c r="J1301" t="b">
        <v>1</v>
      </c>
      <c r="K1301" t="b">
        <v>0</v>
      </c>
      <c r="L1301" t="b">
        <v>0</v>
      </c>
      <c r="M1301" t="b">
        <v>0</v>
      </c>
      <c r="N1301">
        <f>IFERROR(INDEX('Company Hitlist'!$AA:$AA,MATCH(D1301,'Company Hitlist'!$A:$A,0)),)</f>
        <v/>
      </c>
      <c r="O1301">
        <f>IFERROR(INDEX('Company Hitlist'!$N:$N,MATCH(D1301,'Company Hitlist'!$A:$A,0)),)</f>
        <v/>
      </c>
      <c r="Q1301" t="inlineStr">
        <is>
          <t>todo</t>
        </is>
      </c>
    </row>
    <row r="1302">
      <c r="A1302" t="inlineStr">
        <is>
          <t>David Warrick</t>
        </is>
      </c>
      <c r="B1302" t="inlineStr">
        <is>
          <t>Speaker</t>
        </is>
      </c>
      <c r="C1302" t="inlineStr">
        <is>
          <t>EVP Enterprise</t>
        </is>
      </c>
      <c r="D1302" t="inlineStr">
        <is>
          <t>Overhaul</t>
        </is>
      </c>
      <c r="E1302" t="inlineStr">
        <is>
          <t>United States</t>
        </is>
      </c>
      <c r="F1302" t="inlineStr">
        <is>
          <t>Yes</t>
        </is>
      </c>
      <c r="G1302" t="inlineStr">
        <is>
          <t>131700000</t>
        </is>
      </c>
      <c r="H1302" t="n">
        <v>9</v>
      </c>
      <c r="I1302" t="b">
        <v>0</v>
      </c>
      <c r="J1302" t="b">
        <v>1</v>
      </c>
      <c r="K1302" t="b">
        <v>0</v>
      </c>
      <c r="L1302" t="b">
        <v>0</v>
      </c>
      <c r="M1302" t="b">
        <v>0</v>
      </c>
      <c r="N1302">
        <f>IFERROR(INDEX('Company Hitlist'!$AA:$AA,MATCH(D1302,'Company Hitlist'!$A:$A,0)),)</f>
        <v/>
      </c>
      <c r="O1302">
        <f>IFERROR(INDEX('Company Hitlist'!$N:$N,MATCH(D1302,'Company Hitlist'!$A:$A,0)),)</f>
        <v/>
      </c>
      <c r="Q1302" t="inlineStr">
        <is>
          <t>todo</t>
        </is>
      </c>
    </row>
    <row r="1303">
      <c r="A1303" t="inlineStr">
        <is>
          <t>Barry Conlon</t>
        </is>
      </c>
      <c r="B1303" t="inlineStr">
        <is>
          <t>Speaker</t>
        </is>
      </c>
      <c r="C1303" t="inlineStr">
        <is>
          <t>CEO</t>
        </is>
      </c>
      <c r="D1303" t="inlineStr">
        <is>
          <t>Overhaul</t>
        </is>
      </c>
      <c r="F1303" t="inlineStr">
        <is>
          <t>Yes</t>
        </is>
      </c>
      <c r="G1303" t="inlineStr">
        <is>
          <t>131700000</t>
        </is>
      </c>
      <c r="H1303" t="n">
        <v>9</v>
      </c>
      <c r="I1303" t="b">
        <v>0</v>
      </c>
      <c r="J1303" t="b">
        <v>1</v>
      </c>
      <c r="K1303" t="b">
        <v>0</v>
      </c>
      <c r="L1303" t="b">
        <v>0</v>
      </c>
      <c r="M1303" t="b">
        <v>0</v>
      </c>
      <c r="N1303">
        <f>IFERROR(INDEX('Company Hitlist'!$AA:$AA,MATCH(D1303,'Company Hitlist'!$A:$A,0)),)</f>
        <v/>
      </c>
      <c r="O1303">
        <f>IFERROR(INDEX('Company Hitlist'!$N:$N,MATCH(D1303,'Company Hitlist'!$A:$A,0)),)</f>
        <v/>
      </c>
      <c r="Q1303" t="inlineStr">
        <is>
          <t>todo</t>
        </is>
      </c>
    </row>
    <row r="1304">
      <c r="A1304" t="inlineStr">
        <is>
          <t>Ron Greene</t>
        </is>
      </c>
      <c r="B1304" t="inlineStr">
        <is>
          <t>Speaker</t>
        </is>
      </c>
      <c r="C1304" t="inlineStr">
        <is>
          <t>EVP Intelligence, Risk, I&amp;R</t>
        </is>
      </c>
      <c r="D1304" t="inlineStr">
        <is>
          <t>Overhaul</t>
        </is>
      </c>
      <c r="F1304" t="inlineStr">
        <is>
          <t>Yes</t>
        </is>
      </c>
      <c r="G1304" t="inlineStr">
        <is>
          <t>131700000</t>
        </is>
      </c>
      <c r="H1304" t="n">
        <v>9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  <c r="N1304">
        <f>IFERROR(INDEX('Company Hitlist'!$AA:$AA,MATCH(D1304,'Company Hitlist'!$A:$A,0)),)</f>
        <v/>
      </c>
      <c r="O1304">
        <f>IFERROR(INDEX('Company Hitlist'!$N:$N,MATCH(D1304,'Company Hitlist'!$A:$A,0)),)</f>
        <v/>
      </c>
      <c r="Q1304" t="inlineStr">
        <is>
          <t>todo</t>
        </is>
      </c>
    </row>
    <row r="1305">
      <c r="A1305" t="inlineStr">
        <is>
          <t>Tanner Green</t>
        </is>
      </c>
      <c r="B1305" t="inlineStr">
        <is>
          <t>Speaker</t>
        </is>
      </c>
      <c r="C1305" t="inlineStr">
        <is>
          <t>Chief Executive Officer</t>
        </is>
      </c>
      <c r="D1305" t="inlineStr">
        <is>
          <t>Ox</t>
        </is>
      </c>
      <c r="F1305" t="inlineStr">
        <is>
          <t>Yes</t>
        </is>
      </c>
      <c r="H1305" t="n">
        <v>9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  <c r="N1305">
        <f>IFERROR(INDEX('Company Hitlist'!$AA:$AA,MATCH(D1305,'Company Hitlist'!$A:$A,0)),)</f>
        <v/>
      </c>
      <c r="O1305">
        <f>IFERROR(INDEX('Company Hitlist'!$N:$N,MATCH(D1305,'Company Hitlist'!$A:$A,0)),)</f>
        <v/>
      </c>
      <c r="Q1305" t="inlineStr">
        <is>
          <t>todo</t>
        </is>
      </c>
    </row>
    <row r="1306">
      <c r="A1306" t="inlineStr">
        <is>
          <t>Ankur Agarwal</t>
        </is>
      </c>
      <c r="B1306" t="inlineStr">
        <is>
          <t>Speaker</t>
        </is>
      </c>
      <c r="C1306" t="inlineStr">
        <is>
          <t>Head of Ventures</t>
        </is>
      </c>
      <c r="D1306" t="inlineStr">
        <is>
          <t>PDS</t>
        </is>
      </c>
      <c r="F1306" t="inlineStr">
        <is>
          <t>Yes</t>
        </is>
      </c>
      <c r="G1306" t="inlineStr">
        <is>
          <t>$27.3M (2025 est.) (ICP match)</t>
        </is>
      </c>
      <c r="H1306" t="n">
        <v>9</v>
      </c>
      <c r="I1306" t="b">
        <v>0</v>
      </c>
      <c r="J1306" t="b">
        <v>1</v>
      </c>
      <c r="K1306" t="b">
        <v>0</v>
      </c>
      <c r="L1306" t="b">
        <v>0</v>
      </c>
      <c r="M1306" t="b">
        <v>0</v>
      </c>
      <c r="N1306">
        <f>IFERROR(INDEX('Company Hitlist'!$AA:$AA,MATCH(D1306,'Company Hitlist'!$A:$A,0)),)</f>
        <v/>
      </c>
      <c r="O1306">
        <f>IFERROR(INDEX('Company Hitlist'!$N:$N,MATCH(D1306,'Company Hitlist'!$A:$A,0)),)</f>
        <v/>
      </c>
      <c r="Q1306" t="inlineStr">
        <is>
          <t>todo</t>
        </is>
      </c>
    </row>
    <row r="1307">
      <c r="A1307" t="inlineStr">
        <is>
          <t>Farrukh Mahboob</t>
        </is>
      </c>
      <c r="B1307" t="inlineStr">
        <is>
          <t>Speaker</t>
        </is>
      </c>
      <c r="C1307" t="inlineStr">
        <is>
          <t>CEO &amp; Founder</t>
        </is>
      </c>
      <c r="D1307" t="inlineStr">
        <is>
          <t>PackageX</t>
        </is>
      </c>
      <c r="F1307" t="inlineStr">
        <is>
          <t>Yes</t>
        </is>
      </c>
      <c r="H1307" t="n">
        <v>9</v>
      </c>
      <c r="I1307" t="b">
        <v>0</v>
      </c>
      <c r="J1307" t="b">
        <v>1</v>
      </c>
      <c r="K1307" t="b">
        <v>0</v>
      </c>
      <c r="L1307" t="b">
        <v>0</v>
      </c>
      <c r="M1307" t="b">
        <v>0</v>
      </c>
      <c r="N1307">
        <f>IFERROR(INDEX('Company Hitlist'!$AA:$AA,MATCH(D1307,'Company Hitlist'!$A:$A,0)),)</f>
        <v/>
      </c>
      <c r="O1307">
        <f>IFERROR(INDEX('Company Hitlist'!$N:$N,MATCH(D1307,'Company Hitlist'!$A:$A,0)),)</f>
        <v/>
      </c>
      <c r="Q1307" t="inlineStr">
        <is>
          <t>todo</t>
        </is>
      </c>
    </row>
    <row r="1308">
      <c r="A1308" t="inlineStr">
        <is>
          <t>Nilkanth Patel</t>
        </is>
      </c>
      <c r="B1308" t="inlineStr">
        <is>
          <t>Speaker</t>
        </is>
      </c>
      <c r="C1308" t="inlineStr">
        <is>
          <t>CTO</t>
        </is>
      </c>
      <c r="D1308" t="inlineStr">
        <is>
          <t>Pallet</t>
        </is>
      </c>
      <c r="F1308" t="inlineStr">
        <is>
          <t>Yes</t>
        </is>
      </c>
      <c r="G1308" t="inlineStr">
        <is>
          <t>11251000</t>
        </is>
      </c>
      <c r="H1308" t="n">
        <v>9</v>
      </c>
      <c r="I1308" t="b">
        <v>0</v>
      </c>
      <c r="J1308" t="b">
        <v>1</v>
      </c>
      <c r="K1308" t="b">
        <v>0</v>
      </c>
      <c r="L1308" t="b">
        <v>0</v>
      </c>
      <c r="M1308" t="b">
        <v>0</v>
      </c>
      <c r="N1308">
        <f>IFERROR(INDEX('Company Hitlist'!$AA:$AA,MATCH(D1308,'Company Hitlist'!$A:$A,0)),)</f>
        <v/>
      </c>
      <c r="O1308">
        <f>IFERROR(INDEX('Company Hitlist'!$N:$N,MATCH(D1308,'Company Hitlist'!$A:$A,0)),)</f>
        <v/>
      </c>
      <c r="Q1308" t="inlineStr">
        <is>
          <t>todo</t>
        </is>
      </c>
    </row>
    <row r="1309">
      <c r="A1309" t="inlineStr">
        <is>
          <t>Nitin Jayakrishnan</t>
        </is>
      </c>
      <c r="B1309" t="inlineStr">
        <is>
          <t>Speaker</t>
        </is>
      </c>
      <c r="C1309" t="inlineStr">
        <is>
          <t>CEO &amp; Co-Founder</t>
        </is>
      </c>
      <c r="D1309" t="inlineStr">
        <is>
          <t>Pando.ai</t>
        </is>
      </c>
      <c r="F1309" t="inlineStr">
        <is>
          <t>Yes</t>
        </is>
      </c>
      <c r="G1309" t="inlineStr">
        <is>
          <t>$13.6M (2025 est.) (ICP match)</t>
        </is>
      </c>
      <c r="H1309" t="n">
        <v>9</v>
      </c>
      <c r="I1309" t="b">
        <v>0</v>
      </c>
      <c r="J1309" t="b">
        <v>1</v>
      </c>
      <c r="K1309" t="b">
        <v>0</v>
      </c>
      <c r="L1309" t="b">
        <v>0</v>
      </c>
      <c r="M1309" t="b">
        <v>0</v>
      </c>
      <c r="N1309">
        <f>IFERROR(INDEX('Company Hitlist'!$AA:$AA,MATCH(D1309,'Company Hitlist'!$A:$A,0)),)</f>
        <v/>
      </c>
      <c r="O1309">
        <f>IFERROR(INDEX('Company Hitlist'!$N:$N,MATCH(D1309,'Company Hitlist'!$A:$A,0)),)</f>
        <v/>
      </c>
      <c r="Q1309" t="inlineStr">
        <is>
          <t>todo</t>
        </is>
      </c>
    </row>
    <row r="1310">
      <c r="A1310" t="inlineStr">
        <is>
          <t>Sarah Bethel</t>
        </is>
      </c>
      <c r="B1310" t="inlineStr">
        <is>
          <t>Speaker</t>
        </is>
      </c>
      <c r="C1310" t="inlineStr">
        <is>
          <t>Chief Operating Officer</t>
        </is>
      </c>
      <c r="D1310" t="inlineStr">
        <is>
          <t>Patrick Ta Beauty</t>
        </is>
      </c>
      <c r="F1310" t="inlineStr">
        <is>
          <t>Yes</t>
        </is>
      </c>
      <c r="G1310" t="inlineStr">
        <is>
          <t>30000000</t>
        </is>
      </c>
      <c r="H1310" t="n">
        <v>9</v>
      </c>
      <c r="I1310" t="b">
        <v>0</v>
      </c>
      <c r="J1310" t="b">
        <v>1</v>
      </c>
      <c r="K1310" t="b">
        <v>0</v>
      </c>
      <c r="L1310" t="b">
        <v>0</v>
      </c>
      <c r="M1310" t="b">
        <v>0</v>
      </c>
      <c r="N1310">
        <f>IFERROR(INDEX('Company Hitlist'!$AA:$AA,MATCH(D1310,'Company Hitlist'!$A:$A,0)),)</f>
        <v/>
      </c>
      <c r="O1310">
        <f>IFERROR(INDEX('Company Hitlist'!$N:$N,MATCH(D1310,'Company Hitlist'!$A:$A,0)),)</f>
        <v/>
      </c>
      <c r="Q1310" t="inlineStr">
        <is>
          <t>todo</t>
        </is>
      </c>
    </row>
    <row r="1311">
      <c r="A1311" t="inlineStr">
        <is>
          <t>Bhavani Subramaniam</t>
        </is>
      </c>
      <c r="B1311" t="inlineStr">
        <is>
          <t>Speaker</t>
        </is>
      </c>
      <c r="C1311" t="inlineStr">
        <is>
          <t>COO</t>
        </is>
      </c>
      <c r="D1311" t="inlineStr">
        <is>
          <t>PawCo Foods</t>
        </is>
      </c>
      <c r="F1311" t="inlineStr">
        <is>
          <t>Yes</t>
        </is>
      </c>
      <c r="G1311" t="inlineStr">
        <is>
          <t>$4.7M (2025 est.) (ICP match)</t>
        </is>
      </c>
      <c r="H1311" t="n">
        <v>9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  <c r="N1311">
        <f>IFERROR(INDEX('Company Hitlist'!$AA:$AA,MATCH(D1311,'Company Hitlist'!$A:$A,0)),)</f>
        <v/>
      </c>
      <c r="O1311">
        <f>IFERROR(INDEX('Company Hitlist'!$N:$N,MATCH(D1311,'Company Hitlist'!$A:$A,0)),)</f>
        <v/>
      </c>
      <c r="Q1311" t="inlineStr">
        <is>
          <t>todo</t>
        </is>
      </c>
    </row>
    <row r="1312">
      <c r="A1312" t="inlineStr">
        <is>
          <t>LeAnne Coulter</t>
        </is>
      </c>
      <c r="B1312" t="inlineStr">
        <is>
          <t>Speaker</t>
        </is>
      </c>
      <c r="C1312" t="inlineStr">
        <is>
          <t>Former VP Freight Management</t>
        </is>
      </c>
      <c r="D1312" t="inlineStr">
        <is>
          <t>Penske Logistics</t>
        </is>
      </c>
      <c r="F1312" t="inlineStr">
        <is>
          <t>Yes</t>
        </is>
      </c>
      <c r="G1312" t="inlineStr">
        <is>
          <t>$9.9B (2025 est.)</t>
        </is>
      </c>
      <c r="H1312" t="n">
        <v>9</v>
      </c>
      <c r="I1312" t="b">
        <v>0</v>
      </c>
      <c r="J1312" t="b">
        <v>1</v>
      </c>
      <c r="K1312" t="b">
        <v>0</v>
      </c>
      <c r="L1312" t="b">
        <v>0</v>
      </c>
      <c r="M1312" t="b">
        <v>0</v>
      </c>
      <c r="N1312">
        <f>IFERROR(INDEX('Company Hitlist'!$AA:$AA,MATCH(D1312,'Company Hitlist'!$A:$A,0)),)</f>
        <v/>
      </c>
      <c r="O1312">
        <f>IFERROR(INDEX('Company Hitlist'!$N:$N,MATCH(D1312,'Company Hitlist'!$A:$A,0)),)</f>
        <v/>
      </c>
      <c r="Q1312" t="inlineStr">
        <is>
          <t>todo</t>
        </is>
      </c>
    </row>
    <row r="1313">
      <c r="A1313" t="inlineStr">
        <is>
          <t>John Monarch</t>
        </is>
      </c>
      <c r="B1313" t="inlineStr">
        <is>
          <t>Speaker</t>
        </is>
      </c>
      <c r="C1313" t="inlineStr">
        <is>
          <t>CIO</t>
        </is>
      </c>
      <c r="D1313" t="inlineStr">
        <is>
          <t>Pesti</t>
        </is>
      </c>
      <c r="H1313" t="n">
        <v>9</v>
      </c>
      <c r="I1313" t="b">
        <v>0</v>
      </c>
      <c r="J1313" t="b">
        <v>1</v>
      </c>
      <c r="K1313" t="b">
        <v>0</v>
      </c>
      <c r="L1313" t="b">
        <v>0</v>
      </c>
      <c r="M1313" t="b">
        <v>0</v>
      </c>
      <c r="N1313">
        <f>IFERROR(INDEX('Company Hitlist'!$AA:$AA,MATCH(D1313,'Company Hitlist'!$A:$A,0)),)</f>
        <v/>
      </c>
      <c r="O1313">
        <f>IFERROR(INDEX('Company Hitlist'!$N:$N,MATCH(D1313,'Company Hitlist'!$A:$A,0)),)</f>
        <v/>
      </c>
      <c r="Q1313" t="inlineStr">
        <is>
          <t>todo</t>
        </is>
      </c>
    </row>
    <row r="1314">
      <c r="A1314" t="inlineStr">
        <is>
          <t>Sidra Tufail</t>
        </is>
      </c>
      <c r="B1314" t="inlineStr">
        <is>
          <t>Speaker</t>
        </is>
      </c>
      <c r="C1314" t="inlineStr">
        <is>
          <t>Vice President</t>
        </is>
      </c>
      <c r="D1314" t="inlineStr">
        <is>
          <t>Phillip Morris</t>
        </is>
      </c>
      <c r="F1314" t="inlineStr">
        <is>
          <t>Yes</t>
        </is>
      </c>
      <c r="H1314" t="n">
        <v>9</v>
      </c>
      <c r="I1314" t="b">
        <v>0</v>
      </c>
      <c r="J1314" t="b">
        <v>1</v>
      </c>
      <c r="K1314" t="b">
        <v>0</v>
      </c>
      <c r="L1314" t="b">
        <v>0</v>
      </c>
      <c r="M1314" t="b">
        <v>0</v>
      </c>
      <c r="N1314">
        <f>IFERROR(INDEX('Company Hitlist'!$AA:$AA,MATCH(D1314,'Company Hitlist'!$A:$A,0)),)</f>
        <v/>
      </c>
      <c r="O1314">
        <f>IFERROR(INDEX('Company Hitlist'!$N:$N,MATCH(D1314,'Company Hitlist'!$A:$A,0)),)</f>
        <v/>
      </c>
      <c r="Q1314" t="inlineStr">
        <is>
          <t>todo</t>
        </is>
      </c>
    </row>
    <row r="1315">
      <c r="A1315" t="inlineStr">
        <is>
          <t>Susana Saeliu</t>
        </is>
      </c>
      <c r="B1315" t="inlineStr">
        <is>
          <t>Speaker</t>
        </is>
      </c>
      <c r="C1315" t="inlineStr">
        <is>
          <t>CEO &amp; Co-Founder</t>
        </is>
      </c>
      <c r="D1315" t="inlineStr">
        <is>
          <t>Pluto</t>
        </is>
      </c>
      <c r="F1315" t="inlineStr">
        <is>
          <t>Yes</t>
        </is>
      </c>
      <c r="G1315" t="inlineStr">
        <is>
          <t>$1.9M (2025 est.; &lt; $5M)</t>
        </is>
      </c>
      <c r="H1315" t="n">
        <v>9</v>
      </c>
      <c r="I1315" t="b">
        <v>0</v>
      </c>
      <c r="J1315" t="b">
        <v>1</v>
      </c>
      <c r="K1315" t="b">
        <v>0</v>
      </c>
      <c r="L1315" t="b">
        <v>0</v>
      </c>
      <c r="M1315" t="b">
        <v>0</v>
      </c>
      <c r="N1315">
        <f>IFERROR(INDEX('Company Hitlist'!$AA:$AA,MATCH(D1315,'Company Hitlist'!$A:$A,0)),)</f>
        <v/>
      </c>
      <c r="O1315">
        <f>IFERROR(INDEX('Company Hitlist'!$N:$N,MATCH(D1315,'Company Hitlist'!$A:$A,0)),)</f>
        <v/>
      </c>
      <c r="Q1315" t="inlineStr">
        <is>
          <t>todo</t>
        </is>
      </c>
    </row>
    <row r="1316">
      <c r="A1316" t="inlineStr">
        <is>
          <t>Craig Bell Estabrooks</t>
        </is>
      </c>
      <c r="B1316" t="inlineStr">
        <is>
          <t>Speaker</t>
        </is>
      </c>
      <c r="C1316" t="inlineStr">
        <is>
          <t>CEO</t>
        </is>
      </c>
      <c r="D1316" t="inlineStr">
        <is>
          <t>Port St John</t>
        </is>
      </c>
      <c r="F1316" t="inlineStr">
        <is>
          <t>Yes</t>
        </is>
      </c>
      <c r="H1316" t="n">
        <v>9</v>
      </c>
      <c r="I1316" t="b">
        <v>0</v>
      </c>
      <c r="J1316" t="b">
        <v>1</v>
      </c>
      <c r="K1316" t="b">
        <v>0</v>
      </c>
      <c r="L1316" t="b">
        <v>0</v>
      </c>
      <c r="M1316" t="b">
        <v>0</v>
      </c>
      <c r="N1316">
        <f>IFERROR(INDEX('Company Hitlist'!$AA:$AA,MATCH(D1316,'Company Hitlist'!$A:$A,0)),)</f>
        <v/>
      </c>
      <c r="O1316">
        <f>IFERROR(INDEX('Company Hitlist'!$N:$N,MATCH(D1316,'Company Hitlist'!$A:$A,0)),)</f>
        <v/>
      </c>
      <c r="Q1316" t="inlineStr">
        <is>
          <t>todo</t>
        </is>
      </c>
    </row>
    <row r="1317">
      <c r="A1317" t="inlineStr">
        <is>
          <t>Noel Hacegaba</t>
        </is>
      </c>
      <c r="B1317" t="inlineStr">
        <is>
          <t>Speaker</t>
        </is>
      </c>
      <c r="C1317" t="inlineStr">
        <is>
          <t>COO</t>
        </is>
      </c>
      <c r="D1317" t="inlineStr">
        <is>
          <t>Port of Long Beach</t>
        </is>
      </c>
      <c r="F1317" t="inlineStr">
        <is>
          <t>Yes</t>
        </is>
      </c>
      <c r="G1317" t="inlineStr">
        <is>
          <t>$760M (2025 budget) (ICP match)</t>
        </is>
      </c>
      <c r="H1317" t="n">
        <v>9</v>
      </c>
      <c r="I1317" t="b">
        <v>0</v>
      </c>
      <c r="J1317" t="b">
        <v>1</v>
      </c>
      <c r="K1317" t="b">
        <v>0</v>
      </c>
      <c r="L1317" t="b">
        <v>0</v>
      </c>
      <c r="M1317" t="b">
        <v>0</v>
      </c>
      <c r="N1317">
        <f>IFERROR(INDEX('Company Hitlist'!$AA:$AA,MATCH(D1317,'Company Hitlist'!$A:$A,0)),)</f>
        <v/>
      </c>
      <c r="O1317">
        <f>IFERROR(INDEX('Company Hitlist'!$N:$N,MATCH(D1317,'Company Hitlist'!$A:$A,0)),)</f>
        <v/>
      </c>
      <c r="Q1317" t="inlineStr">
        <is>
          <t>todo</t>
        </is>
      </c>
    </row>
    <row r="1318">
      <c r="A1318" t="inlineStr">
        <is>
          <t>Chris Hudtwalcker</t>
        </is>
      </c>
      <c r="B1318" t="inlineStr">
        <is>
          <t>Speaker</t>
        </is>
      </c>
      <c r="C1318" t="inlineStr">
        <is>
          <t>Head of Innovation</t>
        </is>
      </c>
      <c r="D1318" t="inlineStr">
        <is>
          <t>Port of Miami</t>
        </is>
      </c>
      <c r="E1318" t="inlineStr">
        <is>
          <t>United States</t>
        </is>
      </c>
      <c r="F1318" t="inlineStr">
        <is>
          <t>Yes</t>
        </is>
      </c>
      <c r="G1318" t="inlineStr">
        <is>
          <t>$242B (combined with MIA; port-specific ~$61B)</t>
        </is>
      </c>
      <c r="H1318" t="n">
        <v>9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  <c r="N1318">
        <f>IFERROR(INDEX('Company Hitlist'!$AA:$AA,MATCH(D1318,'Company Hitlist'!$A:$A,0)),)</f>
        <v/>
      </c>
      <c r="O1318">
        <f>IFERROR(INDEX('Company Hitlist'!$N:$N,MATCH(D1318,'Company Hitlist'!$A:$A,0)),)</f>
        <v/>
      </c>
      <c r="Q1318" t="inlineStr">
        <is>
          <t>todo</t>
        </is>
      </c>
    </row>
    <row r="1319">
      <c r="A1319" t="inlineStr">
        <is>
          <t>Gustavo Grande</t>
        </is>
      </c>
      <c r="B1319" t="inlineStr">
        <is>
          <t>Speaker</t>
        </is>
      </c>
      <c r="C1319" t="inlineStr">
        <is>
          <t>Head of Innovation</t>
        </is>
      </c>
      <c r="D1319" t="inlineStr">
        <is>
          <t>Port of Miami</t>
        </is>
      </c>
      <c r="F1319" t="inlineStr">
        <is>
          <t>Yes</t>
        </is>
      </c>
      <c r="G1319" t="inlineStr">
        <is>
          <t>$242B (combined with MIA; port-specific ~$61B)</t>
        </is>
      </c>
      <c r="H1319" t="n">
        <v>9</v>
      </c>
      <c r="I1319" t="b">
        <v>0</v>
      </c>
      <c r="J1319" t="b">
        <v>1</v>
      </c>
      <c r="K1319" t="b">
        <v>0</v>
      </c>
      <c r="L1319" t="b">
        <v>0</v>
      </c>
      <c r="M1319" t="b">
        <v>0</v>
      </c>
      <c r="N1319">
        <f>IFERROR(INDEX('Company Hitlist'!$AA:$AA,MATCH(D1319,'Company Hitlist'!$A:$A,0)),)</f>
        <v/>
      </c>
      <c r="O1319">
        <f>IFERROR(INDEX('Company Hitlist'!$N:$N,MATCH(D1319,'Company Hitlist'!$A:$A,0)),)</f>
        <v/>
      </c>
      <c r="Q1319" t="inlineStr">
        <is>
          <t>todo</t>
        </is>
      </c>
    </row>
    <row r="1320">
      <c r="A1320" t="inlineStr">
        <is>
          <t>Chris Somerville</t>
        </is>
      </c>
      <c r="B1320" t="inlineStr">
        <is>
          <t>Speaker</t>
        </is>
      </c>
      <c r="C1320" t="inlineStr">
        <is>
          <t>SVP Technology Strategy</t>
        </is>
      </c>
      <c r="D1320" t="inlineStr">
        <is>
          <t>PortCity Logistics</t>
        </is>
      </c>
      <c r="F1320" t="inlineStr">
        <is>
          <t>Yes</t>
        </is>
      </c>
      <c r="G1320" t="inlineStr">
        <is>
          <t>$147M (2025 est.) (ICP match)</t>
        </is>
      </c>
      <c r="H1320" t="n">
        <v>9</v>
      </c>
      <c r="I1320" t="b">
        <v>0</v>
      </c>
      <c r="J1320" t="b">
        <v>1</v>
      </c>
      <c r="K1320" t="b">
        <v>0</v>
      </c>
      <c r="L1320" t="b">
        <v>0</v>
      </c>
      <c r="M1320" t="b">
        <v>0</v>
      </c>
      <c r="N1320">
        <f>IFERROR(INDEX('Company Hitlist'!$AA:$AA,MATCH(D1320,'Company Hitlist'!$A:$A,0)),)</f>
        <v/>
      </c>
      <c r="O1320">
        <f>IFERROR(INDEX('Company Hitlist'!$N:$N,MATCH(D1320,'Company Hitlist'!$A:$A,0)),)</f>
        <v/>
      </c>
      <c r="Q1320" t="inlineStr">
        <is>
          <t>todo</t>
        </is>
      </c>
    </row>
    <row r="1321">
      <c r="A1321" t="inlineStr">
        <is>
          <t>Emilio Cadena</t>
        </is>
      </c>
      <c r="B1321" t="inlineStr">
        <is>
          <t>Speaker</t>
        </is>
      </c>
      <c r="C1321" t="inlineStr">
        <is>
          <t>CEO</t>
        </is>
      </c>
      <c r="D1321" t="inlineStr">
        <is>
          <t>Prodensa</t>
        </is>
      </c>
      <c r="F1321" t="inlineStr">
        <is>
          <t>Yes</t>
        </is>
      </c>
      <c r="G1321" t="inlineStr">
        <is>
          <t>$61.7M (2025 est.) (ICP match)</t>
        </is>
      </c>
      <c r="H1321" t="n">
        <v>9</v>
      </c>
      <c r="I1321" t="b">
        <v>0</v>
      </c>
      <c r="J1321" t="b">
        <v>1</v>
      </c>
      <c r="K1321" t="b">
        <v>0</v>
      </c>
      <c r="L1321" t="b">
        <v>0</v>
      </c>
      <c r="M1321" t="b">
        <v>0</v>
      </c>
      <c r="N1321">
        <f>IFERROR(INDEX('Company Hitlist'!$AA:$AA,MATCH(D1321,'Company Hitlist'!$A:$A,0)),)</f>
        <v/>
      </c>
      <c r="O1321">
        <f>IFERROR(INDEX('Company Hitlist'!$N:$N,MATCH(D1321,'Company Hitlist'!$A:$A,0)),)</f>
        <v/>
      </c>
      <c r="Q1321" t="inlineStr">
        <is>
          <t>todo</t>
        </is>
      </c>
    </row>
    <row r="1322">
      <c r="A1322" t="inlineStr">
        <is>
          <t>Jason Steinke</t>
        </is>
      </c>
      <c r="B1322" t="inlineStr">
        <is>
          <t>Speaker</t>
        </is>
      </c>
      <c r="C1322" t="inlineStr">
        <is>
          <t>EVP</t>
        </is>
      </c>
      <c r="D1322" t="inlineStr">
        <is>
          <t>RIM logistics</t>
        </is>
      </c>
      <c r="F1322" t="inlineStr">
        <is>
          <t>Yes</t>
        </is>
      </c>
      <c r="H1322" t="n">
        <v>9</v>
      </c>
      <c r="I1322" t="b">
        <v>0</v>
      </c>
      <c r="J1322" t="b">
        <v>1</v>
      </c>
      <c r="K1322" t="b">
        <v>0</v>
      </c>
      <c r="L1322" t="b">
        <v>0</v>
      </c>
      <c r="M1322" t="b">
        <v>0</v>
      </c>
      <c r="N1322">
        <f>IFERROR(INDEX('Company Hitlist'!$AA:$AA,MATCH(D1322,'Company Hitlist'!$A:$A,0)),)</f>
        <v/>
      </c>
      <c r="O1322">
        <f>IFERROR(INDEX('Company Hitlist'!$N:$N,MATCH(D1322,'Company Hitlist'!$A:$A,0)),)</f>
        <v/>
      </c>
      <c r="Q1322" t="inlineStr">
        <is>
          <t>todo</t>
        </is>
      </c>
    </row>
    <row r="1323">
      <c r="A1323" t="inlineStr">
        <is>
          <t>Marko Bjelonic</t>
        </is>
      </c>
      <c r="B1323" t="inlineStr">
        <is>
          <t>Speaker</t>
        </is>
      </c>
      <c r="C1323" t="inlineStr">
        <is>
          <t>CEO &amp; Co-Founder</t>
        </is>
      </c>
      <c r="D1323" t="inlineStr">
        <is>
          <t>RIVR</t>
        </is>
      </c>
      <c r="H1323" t="n">
        <v>9</v>
      </c>
      <c r="I1323" t="b">
        <v>0</v>
      </c>
      <c r="J1323" t="b">
        <v>1</v>
      </c>
      <c r="K1323" t="b">
        <v>0</v>
      </c>
      <c r="L1323" t="b">
        <v>0</v>
      </c>
      <c r="M1323" t="b">
        <v>0</v>
      </c>
      <c r="N1323">
        <f>IFERROR(INDEX('Company Hitlist'!$AA:$AA,MATCH(D1323,'Company Hitlist'!$A:$A,0)),)</f>
        <v/>
      </c>
      <c r="O1323">
        <f>IFERROR(INDEX('Company Hitlist'!$N:$N,MATCH(D1323,'Company Hitlist'!$A:$A,0)),)</f>
        <v/>
      </c>
      <c r="Q1323" t="inlineStr">
        <is>
          <t>todo</t>
        </is>
      </c>
    </row>
    <row r="1324">
      <c r="A1324" t="inlineStr">
        <is>
          <t>Paul Hellhake</t>
        </is>
      </c>
      <c r="B1324" t="inlineStr">
        <is>
          <t>Speaker</t>
        </is>
      </c>
      <c r="C1324" t="inlineStr">
        <is>
          <t>President &amp; CTO</t>
        </is>
      </c>
      <c r="D1324" t="inlineStr">
        <is>
          <t>Rajant</t>
        </is>
      </c>
      <c r="H1324" t="n">
        <v>9</v>
      </c>
      <c r="I1324" t="b">
        <v>0</v>
      </c>
      <c r="J1324" t="b">
        <v>1</v>
      </c>
      <c r="K1324" t="b">
        <v>0</v>
      </c>
      <c r="L1324" t="b">
        <v>0</v>
      </c>
      <c r="M1324" t="b">
        <v>0</v>
      </c>
      <c r="N1324">
        <f>IFERROR(INDEX('Company Hitlist'!$AA:$AA,MATCH(D1324,'Company Hitlist'!$A:$A,0)),)</f>
        <v/>
      </c>
      <c r="O1324">
        <f>IFERROR(INDEX('Company Hitlist'!$N:$N,MATCH(D1324,'Company Hitlist'!$A:$A,0)),)</f>
        <v/>
      </c>
      <c r="Q1324" t="inlineStr">
        <is>
          <t>todo</t>
        </is>
      </c>
    </row>
    <row r="1325">
      <c r="A1325" t="inlineStr">
        <is>
          <t>Chad Strader</t>
        </is>
      </c>
      <c r="B1325" t="inlineStr">
        <is>
          <t>Speaker</t>
        </is>
      </c>
      <c r="C1325" t="inlineStr">
        <is>
          <t>Managing Partner &amp; CO-CEO</t>
        </is>
      </c>
      <c r="D1325" t="inlineStr">
        <is>
          <t>Redarts Capital</t>
        </is>
      </c>
      <c r="H1325" t="n">
        <v>9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  <c r="N1325">
        <f>IFERROR(INDEX('Company Hitlist'!$AA:$AA,MATCH(D1325,'Company Hitlist'!$A:$A,0)),)</f>
        <v/>
      </c>
      <c r="O1325">
        <f>IFERROR(INDEX('Company Hitlist'!$N:$N,MATCH(D1325,'Company Hitlist'!$A:$A,0)),)</f>
        <v/>
      </c>
      <c r="Q1325" t="inlineStr">
        <is>
          <t>todo</t>
        </is>
      </c>
    </row>
    <row r="1326">
      <c r="A1326" t="inlineStr">
        <is>
          <t>Michael Reed</t>
        </is>
      </c>
      <c r="B1326" t="inlineStr">
        <is>
          <t>Speaker</t>
        </is>
      </c>
      <c r="C1326" t="inlineStr">
        <is>
          <t>Chief Product Officer</t>
        </is>
      </c>
      <c r="D1326" t="inlineStr">
        <is>
          <t>Redwood Logistics</t>
        </is>
      </c>
      <c r="E1326" t="inlineStr">
        <is>
          <t>United States</t>
        </is>
      </c>
      <c r="F1326" t="inlineStr">
        <is>
          <t>Yes</t>
        </is>
      </c>
      <c r="G1326" t="inlineStr">
        <is>
          <t>1300000000</t>
        </is>
      </c>
      <c r="H1326" t="n">
        <v>9</v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  <c r="N1326">
        <f>IFERROR(INDEX('Company Hitlist'!$AA:$AA,MATCH(D1326,'Company Hitlist'!$A:$A,0)),)</f>
        <v/>
      </c>
      <c r="O1326">
        <f>IFERROR(INDEX('Company Hitlist'!$N:$N,MATCH(D1326,'Company Hitlist'!$A:$A,0)),)</f>
        <v/>
      </c>
      <c r="Q1326" t="inlineStr">
        <is>
          <t>todo</t>
        </is>
      </c>
    </row>
    <row r="1327">
      <c r="A1327" t="inlineStr">
        <is>
          <t>Omar Abuhashish</t>
        </is>
      </c>
      <c r="B1327" t="inlineStr">
        <is>
          <t>Speaker</t>
        </is>
      </c>
      <c r="C1327" t="inlineStr">
        <is>
          <t>CEO &amp; Co-Founder</t>
        </is>
      </c>
      <c r="D1327" t="inlineStr">
        <is>
          <t>Reform</t>
        </is>
      </c>
      <c r="F1327" t="inlineStr">
        <is>
          <t>Yes</t>
        </is>
      </c>
      <c r="H1327" t="n">
        <v>9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  <c r="N1327">
        <f>IFERROR(INDEX('Company Hitlist'!$AA:$AA,MATCH(D1327,'Company Hitlist'!$A:$A,0)),)</f>
        <v/>
      </c>
      <c r="O1327">
        <f>IFERROR(INDEX('Company Hitlist'!$N:$N,MATCH(D1327,'Company Hitlist'!$A:$A,0)),)</f>
        <v/>
      </c>
      <c r="Q1327" t="inlineStr">
        <is>
          <t>todo</t>
        </is>
      </c>
    </row>
    <row r="1328">
      <c r="A1328" t="inlineStr">
        <is>
          <t>Yoav Naveh</t>
        </is>
      </c>
      <c r="B1328" t="inlineStr">
        <is>
          <t>Speaker</t>
        </is>
      </c>
      <c r="C1328" t="inlineStr">
        <is>
          <t>Co-Founder &amp; Co-CEO</t>
        </is>
      </c>
      <c r="D1328" t="inlineStr">
        <is>
          <t>Reindeer AI</t>
        </is>
      </c>
      <c r="F1328" t="inlineStr">
        <is>
          <t>Yes</t>
        </is>
      </c>
      <c r="H1328" t="n">
        <v>9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  <c r="N1328">
        <f>IFERROR(INDEX('Company Hitlist'!$AA:$AA,MATCH(D1328,'Company Hitlist'!$A:$A,0)),)</f>
        <v/>
      </c>
      <c r="O1328">
        <f>IFERROR(INDEX('Company Hitlist'!$N:$N,MATCH(D1328,'Company Hitlist'!$A:$A,0)),)</f>
        <v/>
      </c>
      <c r="Q1328" t="inlineStr">
        <is>
          <t>todo</t>
        </is>
      </c>
    </row>
    <row r="1329">
      <c r="A1329" t="inlineStr">
        <is>
          <t>D. Wayne McIntyre</t>
        </is>
      </c>
      <c r="B1329" t="inlineStr">
        <is>
          <t>Speaker</t>
        </is>
      </c>
      <c r="C1329" t="inlineStr">
        <is>
          <t>CEO &amp; Co-Founder</t>
        </is>
      </c>
      <c r="D1329" t="inlineStr">
        <is>
          <t>Relocalize</t>
        </is>
      </c>
      <c r="H1329" t="n">
        <v>9</v>
      </c>
      <c r="I1329" t="b">
        <v>0</v>
      </c>
      <c r="J1329" t="b">
        <v>1</v>
      </c>
      <c r="K1329" t="b">
        <v>0</v>
      </c>
      <c r="L1329" t="b">
        <v>0</v>
      </c>
      <c r="M1329" t="b">
        <v>0</v>
      </c>
      <c r="N1329">
        <f>IFERROR(INDEX('Company Hitlist'!$AA:$AA,MATCH(D1329,'Company Hitlist'!$A:$A,0)),)</f>
        <v/>
      </c>
      <c r="O1329">
        <f>IFERROR(INDEX('Company Hitlist'!$N:$N,MATCH(D1329,'Company Hitlist'!$A:$A,0)),)</f>
        <v/>
      </c>
      <c r="Q1329" t="inlineStr">
        <is>
          <t>todo</t>
        </is>
      </c>
    </row>
    <row r="1330">
      <c r="A1330" t="inlineStr">
        <is>
          <t>Maanav Iyengar</t>
        </is>
      </c>
      <c r="B1330" t="inlineStr">
        <is>
          <t>Speaker</t>
        </is>
      </c>
      <c r="C1330" t="inlineStr">
        <is>
          <t>CEO &amp; Co-Founder</t>
        </is>
      </c>
      <c r="D1330" t="inlineStr">
        <is>
          <t>Retina Robotics</t>
        </is>
      </c>
      <c r="H1330" t="n">
        <v>9</v>
      </c>
      <c r="I1330" t="b">
        <v>0</v>
      </c>
      <c r="J1330" t="b">
        <v>1</v>
      </c>
      <c r="K1330" t="b">
        <v>0</v>
      </c>
      <c r="L1330" t="b">
        <v>0</v>
      </c>
      <c r="M1330" t="b">
        <v>0</v>
      </c>
      <c r="N1330">
        <f>IFERROR(INDEX('Company Hitlist'!$AA:$AA,MATCH(D1330,'Company Hitlist'!$A:$A,0)),)</f>
        <v/>
      </c>
      <c r="O1330">
        <f>IFERROR(INDEX('Company Hitlist'!$N:$N,MATCH(D1330,'Company Hitlist'!$A:$A,0)),)</f>
        <v/>
      </c>
      <c r="Q1330" t="inlineStr">
        <is>
          <t>todo</t>
        </is>
      </c>
    </row>
    <row r="1331">
      <c r="A1331" t="inlineStr">
        <is>
          <t>Sylvia Ng</t>
        </is>
      </c>
      <c r="B1331" t="inlineStr">
        <is>
          <t>Speaker</t>
        </is>
      </c>
      <c r="C1331" t="inlineStr">
        <is>
          <t>CEO</t>
        </is>
      </c>
      <c r="D1331" t="inlineStr">
        <is>
          <t>ReturnBear</t>
        </is>
      </c>
      <c r="F1331" t="inlineStr">
        <is>
          <t>Yes</t>
        </is>
      </c>
      <c r="H1331" t="n">
        <v>9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  <c r="N1331">
        <f>IFERROR(INDEX('Company Hitlist'!$AA:$AA,MATCH(D1331,'Company Hitlist'!$A:$A,0)),)</f>
        <v/>
      </c>
      <c r="O1331">
        <f>IFERROR(INDEX('Company Hitlist'!$N:$N,MATCH(D1331,'Company Hitlist'!$A:$A,0)),)</f>
        <v/>
      </c>
      <c r="Q1331" t="inlineStr">
        <is>
          <t>todo</t>
        </is>
      </c>
    </row>
    <row r="1332">
      <c r="A1332" t="inlineStr">
        <is>
          <t>Mike Horvath</t>
        </is>
      </c>
      <c r="B1332" t="inlineStr">
        <is>
          <t>Speaker</t>
        </is>
      </c>
      <c r="C1332" t="inlineStr">
        <is>
          <t>COO</t>
        </is>
      </c>
      <c r="D1332" t="inlineStr">
        <is>
          <t>Revenova</t>
        </is>
      </c>
      <c r="F1332" t="inlineStr">
        <is>
          <t>Yes</t>
        </is>
      </c>
      <c r="H1332" t="n">
        <v>9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  <c r="N1332">
        <f>IFERROR(INDEX('Company Hitlist'!$AA:$AA,MATCH(D1332,'Company Hitlist'!$A:$A,0)),)</f>
        <v/>
      </c>
      <c r="O1332">
        <f>IFERROR(INDEX('Company Hitlist'!$N:$N,MATCH(D1332,'Company Hitlist'!$A:$A,0)),)</f>
        <v/>
      </c>
      <c r="Q1332" t="inlineStr">
        <is>
          <t>todo</t>
        </is>
      </c>
    </row>
    <row r="1333">
      <c r="A1333" t="inlineStr">
        <is>
          <t>Andres Engel</t>
        </is>
      </c>
      <c r="B1333" t="inlineStr">
        <is>
          <t>Speaker</t>
        </is>
      </c>
      <c r="C1333" t="inlineStr">
        <is>
          <t>COO</t>
        </is>
      </c>
      <c r="D1333" t="inlineStr">
        <is>
          <t>Ridge</t>
        </is>
      </c>
      <c r="F1333" t="inlineStr">
        <is>
          <t>Yes</t>
        </is>
      </c>
      <c r="H1333" t="n">
        <v>9</v>
      </c>
      <c r="I1333" t="b">
        <v>0</v>
      </c>
      <c r="J1333" t="b">
        <v>1</v>
      </c>
      <c r="K1333" t="b">
        <v>0</v>
      </c>
      <c r="L1333" t="b">
        <v>0</v>
      </c>
      <c r="M1333" t="b">
        <v>0</v>
      </c>
      <c r="N1333">
        <f>IFERROR(INDEX('Company Hitlist'!$AA:$AA,MATCH(D1333,'Company Hitlist'!$A:$A,0)),)</f>
        <v/>
      </c>
      <c r="O1333">
        <f>IFERROR(INDEX('Company Hitlist'!$N:$N,MATCH(D1333,'Company Hitlist'!$A:$A,0)),)</f>
        <v/>
      </c>
      <c r="Q1333" t="inlineStr">
        <is>
          <t>todo</t>
        </is>
      </c>
    </row>
    <row r="1334">
      <c r="A1334" t="inlineStr">
        <is>
          <t>Kameel Gaines</t>
        </is>
      </c>
      <c r="B1334" t="inlineStr">
        <is>
          <t>Speaker</t>
        </is>
      </c>
      <c r="C1334" t="inlineStr">
        <is>
          <t>CEO</t>
        </is>
      </c>
      <c r="D1334" t="inlineStr">
        <is>
          <t>Rig on Wheels Broker &amp; Recruitment Services</t>
        </is>
      </c>
      <c r="H1334" t="n">
        <v>9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  <c r="N1334">
        <f>IFERROR(INDEX('Company Hitlist'!$AA:$AA,MATCH(D1334,'Company Hitlist'!$A:$A,0)),)</f>
        <v/>
      </c>
      <c r="O1334">
        <f>IFERROR(INDEX('Company Hitlist'!$N:$N,MATCH(D1334,'Company Hitlist'!$A:$A,0)),)</f>
        <v/>
      </c>
      <c r="Q1334" t="inlineStr">
        <is>
          <t>todo</t>
        </is>
      </c>
    </row>
    <row r="1335">
      <c r="A1335" t="inlineStr">
        <is>
          <t>Seungmin Baek</t>
        </is>
      </c>
      <c r="B1335" t="inlineStr">
        <is>
          <t>Speaker</t>
        </is>
      </c>
      <c r="C1335" t="inlineStr">
        <is>
          <t>CEO &amp; Co-Founder</t>
        </is>
      </c>
      <c r="D1335" t="inlineStr">
        <is>
          <t>Riibotics</t>
        </is>
      </c>
      <c r="F1335" t="inlineStr">
        <is>
          <t>Yes</t>
        </is>
      </c>
      <c r="G1335" t="inlineStr">
        <is>
          <t>$1.822B</t>
        </is>
      </c>
      <c r="H1335" t="n">
        <v>9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  <c r="N1335">
        <f>IFERROR(INDEX('Company Hitlist'!$AA:$AA,MATCH(D1335,'Company Hitlist'!$A:$A,0)),)</f>
        <v/>
      </c>
      <c r="O1335">
        <f>IFERROR(INDEX('Company Hitlist'!$N:$N,MATCH(D1335,'Company Hitlist'!$A:$A,0)),)</f>
        <v/>
      </c>
      <c r="Q1335" t="inlineStr">
        <is>
          <t>todo</t>
        </is>
      </c>
    </row>
    <row r="1336">
      <c r="A1336" t="inlineStr">
        <is>
          <t>Bryan Wayda</t>
        </is>
      </c>
      <c r="B1336" t="inlineStr">
        <is>
          <t>Speaker</t>
        </is>
      </c>
      <c r="C1336" t="inlineStr">
        <is>
          <t>Chief Supply and Service Officer</t>
        </is>
      </c>
      <c r="D1336" t="inlineStr">
        <is>
          <t>Rodan + Fields</t>
        </is>
      </c>
      <c r="H1336" t="n">
        <v>9</v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  <c r="N1336">
        <f>IFERROR(INDEX('Company Hitlist'!$AA:$AA,MATCH(D1336,'Company Hitlist'!$A:$A,0)),)</f>
        <v/>
      </c>
      <c r="O1336">
        <f>IFERROR(INDEX('Company Hitlist'!$N:$N,MATCH(D1336,'Company Hitlist'!$A:$A,0)),)</f>
        <v/>
      </c>
      <c r="Q1336" t="inlineStr">
        <is>
          <t>todo</t>
        </is>
      </c>
    </row>
    <row r="1337">
      <c r="A1337" t="inlineStr">
        <is>
          <t>Andy Kohm</t>
        </is>
      </c>
      <c r="B1337" t="inlineStr">
        <is>
          <t>Speaker</t>
        </is>
      </c>
      <c r="C1337" t="inlineStr">
        <is>
          <t>CEO &amp; Founder</t>
        </is>
      </c>
      <c r="D1337" t="inlineStr">
        <is>
          <t>SCIP</t>
        </is>
      </c>
      <c r="F1337" t="inlineStr">
        <is>
          <t>Yes</t>
        </is>
      </c>
      <c r="H1337" t="n">
        <v>9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  <c r="N1337">
        <f>IFERROR(INDEX('Company Hitlist'!$AA:$AA,MATCH(D1337,'Company Hitlist'!$A:$A,0)),)</f>
        <v/>
      </c>
      <c r="O1337">
        <f>IFERROR(INDEX('Company Hitlist'!$N:$N,MATCH(D1337,'Company Hitlist'!$A:$A,0)),)</f>
        <v/>
      </c>
      <c r="Q1337" t="inlineStr">
        <is>
          <t>todo</t>
        </is>
      </c>
    </row>
    <row r="1338">
      <c r="A1338" t="inlineStr">
        <is>
          <t>Amit Chaturvedy</t>
        </is>
      </c>
      <c r="B1338" t="inlineStr">
        <is>
          <t>Speaker</t>
        </is>
      </c>
      <c r="C1338" t="inlineStr">
        <is>
          <t>Managing Partner &amp; Global Head</t>
        </is>
      </c>
      <c r="D1338" t="inlineStr">
        <is>
          <t>SE Ventures</t>
        </is>
      </c>
      <c r="H1338" t="n">
        <v>9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>
        <f>IFERROR(INDEX('Company Hitlist'!$AA:$AA,MATCH(D1338,'Company Hitlist'!$A:$A,0)),)</f>
        <v/>
      </c>
      <c r="O1338">
        <f>IFERROR(INDEX('Company Hitlist'!$N:$N,MATCH(D1338,'Company Hitlist'!$A:$A,0)),)</f>
        <v/>
      </c>
      <c r="Q1338" t="inlineStr">
        <is>
          <t>todo</t>
        </is>
      </c>
    </row>
    <row r="1339">
      <c r="A1339" t="inlineStr">
        <is>
          <t>Kunal Thakkar</t>
        </is>
      </c>
      <c r="B1339" t="inlineStr">
        <is>
          <t>Speaker</t>
        </is>
      </c>
      <c r="C1339" t="inlineStr">
        <is>
          <t>CEO</t>
        </is>
      </c>
      <c r="D1339" t="inlineStr">
        <is>
          <t>SEAIR Global</t>
        </is>
      </c>
      <c r="F1339" t="inlineStr">
        <is>
          <t>Yes</t>
        </is>
      </c>
      <c r="G1339" t="inlineStr">
        <is>
          <t>$67.6M (2025 est.) (ICP match)</t>
        </is>
      </c>
      <c r="H1339" t="n">
        <v>9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  <c r="N1339">
        <f>IFERROR(INDEX('Company Hitlist'!$AA:$AA,MATCH(D1339,'Company Hitlist'!$A:$A,0)),)</f>
        <v/>
      </c>
      <c r="O1339">
        <f>IFERROR(INDEX('Company Hitlist'!$N:$N,MATCH(D1339,'Company Hitlist'!$A:$A,0)),)</f>
        <v/>
      </c>
      <c r="Q1339" t="inlineStr">
        <is>
          <t>todo</t>
        </is>
      </c>
    </row>
    <row r="1340">
      <c r="A1340" t="inlineStr">
        <is>
          <t>Brian Bourke</t>
        </is>
      </c>
      <c r="B1340" t="inlineStr">
        <is>
          <t>Speaker</t>
        </is>
      </c>
      <c r="C1340" t="inlineStr">
        <is>
          <t>Chief Commerical Officer</t>
        </is>
      </c>
      <c r="D1340" t="inlineStr">
        <is>
          <t>SEKO Logistics</t>
        </is>
      </c>
      <c r="F1340" t="inlineStr">
        <is>
          <t>Yes</t>
        </is>
      </c>
      <c r="G1340" t="inlineStr">
        <is>
          <t>2000000000</t>
        </is>
      </c>
      <c r="H1340" t="n">
        <v>9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  <c r="N1340">
        <f>IFERROR(INDEX('Company Hitlist'!$AA:$AA,MATCH(D1340,'Company Hitlist'!$A:$A,0)),)</f>
        <v/>
      </c>
      <c r="O1340">
        <f>IFERROR(INDEX('Company Hitlist'!$N:$N,MATCH(D1340,'Company Hitlist'!$A:$A,0)),)</f>
        <v/>
      </c>
      <c r="Q1340" t="inlineStr">
        <is>
          <t>todo</t>
        </is>
      </c>
    </row>
    <row r="1341">
      <c r="A1341" t="inlineStr">
        <is>
          <t>Owen Nicholson</t>
        </is>
      </c>
      <c r="B1341" t="inlineStr">
        <is>
          <t>Speaker</t>
        </is>
      </c>
      <c r="C1341" t="inlineStr">
        <is>
          <t>CEO &amp; Co‑founder</t>
        </is>
      </c>
      <c r="D1341" t="inlineStr">
        <is>
          <t>SLAMCore</t>
        </is>
      </c>
      <c r="F1341" t="inlineStr">
        <is>
          <t>Yes</t>
        </is>
      </c>
      <c r="G1341" t="inlineStr">
        <is>
          <t>$5M (2025 est.) (ICP match)</t>
        </is>
      </c>
      <c r="H1341" t="n">
        <v>9</v>
      </c>
      <c r="I1341" t="b">
        <v>0</v>
      </c>
      <c r="J1341" t="b">
        <v>1</v>
      </c>
      <c r="K1341" t="b">
        <v>0</v>
      </c>
      <c r="L1341" t="b">
        <v>0</v>
      </c>
      <c r="M1341" t="b">
        <v>0</v>
      </c>
      <c r="N1341">
        <f>IFERROR(INDEX('Company Hitlist'!$AA:$AA,MATCH(D1341,'Company Hitlist'!$A:$A,0)),)</f>
        <v/>
      </c>
      <c r="O1341">
        <f>IFERROR(INDEX('Company Hitlist'!$N:$N,MATCH(D1341,'Company Hitlist'!$A:$A,0)),)</f>
        <v/>
      </c>
      <c r="Q1341" t="inlineStr">
        <is>
          <t>todo</t>
        </is>
      </c>
    </row>
    <row r="1342">
      <c r="A1342" t="inlineStr">
        <is>
          <t>Patrick Sluga</t>
        </is>
      </c>
      <c r="B1342" t="inlineStr">
        <is>
          <t>Speaker</t>
        </is>
      </c>
      <c r="C1342" t="inlineStr">
        <is>
          <t>CEO &amp; Founder</t>
        </is>
      </c>
      <c r="D1342" t="inlineStr">
        <is>
          <t>SWS Power Solutions</t>
        </is>
      </c>
      <c r="E1342" t="inlineStr">
        <is>
          <t>Austria</t>
        </is>
      </c>
      <c r="F1342" t="inlineStr">
        <is>
          <t>Yes</t>
        </is>
      </c>
      <c r="H1342" t="n">
        <v>9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>
        <f>IFERROR(INDEX('Company Hitlist'!$AA:$AA,MATCH(D1342,'Company Hitlist'!$A:$A,0)),)</f>
        <v/>
      </c>
      <c r="O1342">
        <f>IFERROR(INDEX('Company Hitlist'!$N:$N,MATCH(D1342,'Company Hitlist'!$A:$A,0)),)</f>
        <v/>
      </c>
      <c r="Q1342" t="inlineStr">
        <is>
          <t>todo</t>
        </is>
      </c>
    </row>
    <row r="1343">
      <c r="A1343" t="inlineStr">
        <is>
          <t>Dr Wolfgang Hackenberg</t>
        </is>
      </c>
      <c r="B1343" t="inlineStr">
        <is>
          <t>Speaker</t>
        </is>
      </c>
      <c r="C1343" t="inlineStr">
        <is>
          <t>CEO</t>
        </is>
      </c>
      <c r="D1343" t="inlineStr">
        <is>
          <t>SYNAOS</t>
        </is>
      </c>
      <c r="F1343" t="inlineStr">
        <is>
          <t>Yes</t>
        </is>
      </c>
      <c r="H1343" t="n">
        <v>9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  <c r="N1343">
        <f>IFERROR(INDEX('Company Hitlist'!$AA:$AA,MATCH(D1343,'Company Hitlist'!$A:$A,0)),)</f>
        <v/>
      </c>
      <c r="O1343">
        <f>IFERROR(INDEX('Company Hitlist'!$N:$N,MATCH(D1343,'Company Hitlist'!$A:$A,0)),)</f>
        <v/>
      </c>
      <c r="Q1343" t="inlineStr">
        <is>
          <t>todo</t>
        </is>
      </c>
    </row>
    <row r="1344">
      <c r="A1344" t="inlineStr">
        <is>
          <t>Alisha Fredriksson</t>
        </is>
      </c>
      <c r="B1344" t="inlineStr">
        <is>
          <t>Speaker</t>
        </is>
      </c>
      <c r="C1344" t="inlineStr">
        <is>
          <t>CEO &amp; Co-Founder</t>
        </is>
      </c>
      <c r="D1344" t="inlineStr">
        <is>
          <t>Seabound</t>
        </is>
      </c>
      <c r="F1344" t="inlineStr">
        <is>
          <t>Yes</t>
        </is>
      </c>
      <c r="H1344" t="n">
        <v>9</v>
      </c>
      <c r="I1344" t="b">
        <v>0</v>
      </c>
      <c r="J1344" t="b">
        <v>1</v>
      </c>
      <c r="K1344" t="b">
        <v>0</v>
      </c>
      <c r="L1344" t="b">
        <v>0</v>
      </c>
      <c r="M1344" t="b">
        <v>0</v>
      </c>
      <c r="N1344">
        <f>IFERROR(INDEX('Company Hitlist'!$AA:$AA,MATCH(D1344,'Company Hitlist'!$A:$A,0)),)</f>
        <v/>
      </c>
      <c r="O1344">
        <f>IFERROR(INDEX('Company Hitlist'!$N:$N,MATCH(D1344,'Company Hitlist'!$A:$A,0)),)</f>
        <v/>
      </c>
      <c r="Q1344" t="inlineStr">
        <is>
          <t>todo</t>
        </is>
      </c>
    </row>
    <row r="1345">
      <c r="A1345" t="inlineStr">
        <is>
          <t>Michele Sancricca</t>
        </is>
      </c>
      <c r="B1345" t="inlineStr">
        <is>
          <t>Speaker</t>
        </is>
      </c>
      <c r="C1345" t="inlineStr">
        <is>
          <t>CEO &amp; Co-Founder</t>
        </is>
      </c>
      <c r="D1345" t="inlineStr">
        <is>
          <t>Secro</t>
        </is>
      </c>
      <c r="F1345" t="inlineStr">
        <is>
          <t>Yes</t>
        </is>
      </c>
      <c r="H1345" t="n">
        <v>9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  <c r="N1345">
        <f>IFERROR(INDEX('Company Hitlist'!$AA:$AA,MATCH(D1345,'Company Hitlist'!$A:$A,0)),)</f>
        <v/>
      </c>
      <c r="O1345">
        <f>IFERROR(INDEX('Company Hitlist'!$N:$N,MATCH(D1345,'Company Hitlist'!$A:$A,0)),)</f>
        <v/>
      </c>
      <c r="Q1345" t="inlineStr">
        <is>
          <t>todo</t>
        </is>
      </c>
    </row>
    <row r="1346">
      <c r="A1346" t="inlineStr">
        <is>
          <t>Aviv Castro</t>
        </is>
      </c>
      <c r="B1346" t="inlineStr">
        <is>
          <t>Speaker</t>
        </is>
      </c>
      <c r="C1346" t="inlineStr">
        <is>
          <t>CEO</t>
        </is>
      </c>
      <c r="D1346" t="inlineStr">
        <is>
          <t>Sensos</t>
        </is>
      </c>
      <c r="E1346" t="inlineStr">
        <is>
          <t>Germany</t>
        </is>
      </c>
      <c r="F1346" t="inlineStr">
        <is>
          <t>Yes</t>
        </is>
      </c>
      <c r="H1346" t="n">
        <v>9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>
        <f>IFERROR(INDEX('Company Hitlist'!$AA:$AA,MATCH(D1346,'Company Hitlist'!$A:$A,0)),)</f>
        <v/>
      </c>
      <c r="O1346">
        <f>IFERROR(INDEX('Company Hitlist'!$N:$N,MATCH(D1346,'Company Hitlist'!$A:$A,0)),)</f>
        <v/>
      </c>
      <c r="Q1346" t="inlineStr">
        <is>
          <t>todo</t>
        </is>
      </c>
    </row>
    <row r="1347">
      <c r="A1347" t="inlineStr">
        <is>
          <t>David Griffiths</t>
        </is>
      </c>
      <c r="B1347" t="inlineStr">
        <is>
          <t>Speaker</t>
        </is>
      </c>
      <c r="C1347" t="inlineStr">
        <is>
          <t>VP of Product</t>
        </is>
      </c>
      <c r="D1347" t="inlineStr">
        <is>
          <t>Sensos</t>
        </is>
      </c>
      <c r="F1347" t="inlineStr">
        <is>
          <t>Yes</t>
        </is>
      </c>
      <c r="H1347" t="n">
        <v>9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>
        <f>IFERROR(INDEX('Company Hitlist'!$AA:$AA,MATCH(D1347,'Company Hitlist'!$A:$A,0)),)</f>
        <v/>
      </c>
      <c r="O1347">
        <f>IFERROR(INDEX('Company Hitlist'!$N:$N,MATCH(D1347,'Company Hitlist'!$A:$A,0)),)</f>
        <v/>
      </c>
      <c r="Q1347" t="inlineStr">
        <is>
          <t>todo</t>
        </is>
      </c>
    </row>
    <row r="1348">
      <c r="A1348" t="inlineStr">
        <is>
          <t>Ralf Gulde</t>
        </is>
      </c>
      <c r="B1348" t="inlineStr">
        <is>
          <t>Speaker</t>
        </is>
      </c>
      <c r="C1348" t="inlineStr">
        <is>
          <t>CEO &amp; Co-Founder</t>
        </is>
      </c>
      <c r="D1348" t="inlineStr">
        <is>
          <t>Sereact</t>
        </is>
      </c>
      <c r="F1348" t="inlineStr">
        <is>
          <t>Yes</t>
        </is>
      </c>
      <c r="G1348" t="inlineStr">
        <is>
          <t>$6.4M (2025 est.) (ICP match)</t>
        </is>
      </c>
      <c r="H1348" t="n">
        <v>9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>
        <f>IFERROR(INDEX('Company Hitlist'!$AA:$AA,MATCH(D1348,'Company Hitlist'!$A:$A,0)),)</f>
        <v/>
      </c>
      <c r="O1348">
        <f>IFERROR(INDEX('Company Hitlist'!$N:$N,MATCH(D1348,'Company Hitlist'!$A:$A,0)),)</f>
        <v/>
      </c>
      <c r="Q1348" t="inlineStr">
        <is>
          <t>todo</t>
        </is>
      </c>
    </row>
    <row r="1349">
      <c r="A1349" t="inlineStr">
        <is>
          <t>Divey Gulati</t>
        </is>
      </c>
      <c r="B1349" t="inlineStr">
        <is>
          <t>Speaker</t>
        </is>
      </c>
      <c r="C1349" t="inlineStr">
        <is>
          <t>COO &amp; Co- Founder</t>
        </is>
      </c>
      <c r="D1349" t="inlineStr">
        <is>
          <t>ShipBob</t>
        </is>
      </c>
      <c r="F1349" t="inlineStr">
        <is>
          <t>Yes</t>
        </is>
      </c>
      <c r="G1349" t="inlineStr">
        <is>
          <t>$500M (2025 est.) (ICP match)</t>
        </is>
      </c>
      <c r="H1349" t="n">
        <v>9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>
        <f>IFERROR(INDEX('Company Hitlist'!$AA:$AA,MATCH(D1349,'Company Hitlist'!$A:$A,0)),)</f>
        <v/>
      </c>
      <c r="O1349">
        <f>IFERROR(INDEX('Company Hitlist'!$N:$N,MATCH(D1349,'Company Hitlist'!$A:$A,0)),)</f>
        <v/>
      </c>
      <c r="Q1349" t="inlineStr">
        <is>
          <t>todo</t>
        </is>
      </c>
    </row>
    <row r="1350">
      <c r="A1350" t="inlineStr">
        <is>
          <t>Jason Murray</t>
        </is>
      </c>
      <c r="B1350" t="inlineStr">
        <is>
          <t>Speaker</t>
        </is>
      </c>
      <c r="C1350" t="inlineStr">
        <is>
          <t>CEO</t>
        </is>
      </c>
      <c r="D1350" t="inlineStr">
        <is>
          <t>Shipium</t>
        </is>
      </c>
      <c r="F1350" t="inlineStr">
        <is>
          <t>Yes</t>
        </is>
      </c>
      <c r="H1350" t="n">
        <v>9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>
        <f>IFERROR(INDEX('Company Hitlist'!$AA:$AA,MATCH(D1350,'Company Hitlist'!$A:$A,0)),)</f>
        <v/>
      </c>
      <c r="O1350">
        <f>IFERROR(INDEX('Company Hitlist'!$N:$N,MATCH(D1350,'Company Hitlist'!$A:$A,0)),)</f>
        <v/>
      </c>
      <c r="Q1350" t="inlineStr">
        <is>
          <t>todo</t>
        </is>
      </c>
    </row>
    <row r="1351">
      <c r="A1351" t="inlineStr">
        <is>
          <t>Lucien Besse</t>
        </is>
      </c>
      <c r="B1351" t="inlineStr">
        <is>
          <t>Speaker</t>
        </is>
      </c>
      <c r="C1351" t="inlineStr">
        <is>
          <t>COO &amp; Co-Founder</t>
        </is>
      </c>
      <c r="D1351" t="inlineStr">
        <is>
          <t>Shippeo</t>
        </is>
      </c>
      <c r="F1351" t="inlineStr">
        <is>
          <t>Yes</t>
        </is>
      </c>
      <c r="G1351" t="inlineStr">
        <is>
          <t>15000000</t>
        </is>
      </c>
      <c r="H1351" t="n">
        <v>9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>
        <f>IFERROR(INDEX('Company Hitlist'!$AA:$AA,MATCH(D1351,'Company Hitlist'!$A:$A,0)),)</f>
        <v/>
      </c>
      <c r="O1351">
        <f>IFERROR(INDEX('Company Hitlist'!$N:$N,MATCH(D1351,'Company Hitlist'!$A:$A,0)),)</f>
        <v/>
      </c>
      <c r="Q1351" t="inlineStr">
        <is>
          <t>todo</t>
        </is>
      </c>
    </row>
    <row r="1352">
      <c r="A1352" t="inlineStr">
        <is>
          <t>Amrita Bhasin</t>
        </is>
      </c>
      <c r="B1352" t="inlineStr">
        <is>
          <t>Speaker</t>
        </is>
      </c>
      <c r="C1352" t="inlineStr">
        <is>
          <t>CEO</t>
        </is>
      </c>
      <c r="D1352" t="inlineStr">
        <is>
          <t>Sotira</t>
        </is>
      </c>
      <c r="F1352" t="inlineStr">
        <is>
          <t>Yes</t>
        </is>
      </c>
      <c r="H1352" t="n">
        <v>9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>
        <f>IFERROR(INDEX('Company Hitlist'!$AA:$AA,MATCH(D1352,'Company Hitlist'!$A:$A,0)),)</f>
        <v/>
      </c>
      <c r="O1352">
        <f>IFERROR(INDEX('Company Hitlist'!$N:$N,MATCH(D1352,'Company Hitlist'!$A:$A,0)),)</f>
        <v/>
      </c>
      <c r="Q1352" t="inlineStr">
        <is>
          <t>todo</t>
        </is>
      </c>
    </row>
    <row r="1353">
      <c r="A1353" t="inlineStr">
        <is>
          <t>Alan Bray</t>
        </is>
      </c>
      <c r="B1353" t="inlineStr">
        <is>
          <t>Speaker</t>
        </is>
      </c>
      <c r="C1353" t="inlineStr">
        <is>
          <t>CEO</t>
        </is>
      </c>
      <c r="D1353" t="inlineStr">
        <is>
          <t>SourceIQ</t>
        </is>
      </c>
      <c r="F1353" t="inlineStr">
        <is>
          <t>Yes</t>
        </is>
      </c>
      <c r="H1353" t="n">
        <v>9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>
        <f>IFERROR(INDEX('Company Hitlist'!$AA:$AA,MATCH(D1353,'Company Hitlist'!$A:$A,0)),)</f>
        <v/>
      </c>
      <c r="O1353">
        <f>IFERROR(INDEX('Company Hitlist'!$N:$N,MATCH(D1353,'Company Hitlist'!$A:$A,0)),)</f>
        <v/>
      </c>
      <c r="Q1353" t="inlineStr">
        <is>
          <t>todo</t>
        </is>
      </c>
    </row>
    <row r="1354">
      <c r="A1354" t="inlineStr">
        <is>
          <t>Ricky Ashenfelter</t>
        </is>
      </c>
      <c r="B1354" t="inlineStr">
        <is>
          <t>Speaker</t>
        </is>
      </c>
      <c r="C1354" t="inlineStr">
        <is>
          <t>CEO</t>
        </is>
      </c>
      <c r="D1354" t="inlineStr">
        <is>
          <t>Spoiler Alert</t>
        </is>
      </c>
      <c r="F1354" t="inlineStr">
        <is>
          <t>Yes</t>
        </is>
      </c>
      <c r="H1354" t="n">
        <v>9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  <c r="N1354">
        <f>IFERROR(INDEX('Company Hitlist'!$AA:$AA,MATCH(D1354,'Company Hitlist'!$A:$A,0)),)</f>
        <v/>
      </c>
      <c r="O1354">
        <f>IFERROR(INDEX('Company Hitlist'!$N:$N,MATCH(D1354,'Company Hitlist'!$A:$A,0)),)</f>
        <v/>
      </c>
      <c r="Q1354" t="inlineStr">
        <is>
          <t>todo</t>
        </is>
      </c>
    </row>
    <row r="1355">
      <c r="A1355" t="inlineStr">
        <is>
          <t>Devin Bhushan</t>
        </is>
      </c>
      <c r="B1355" t="inlineStr">
        <is>
          <t>Speaker</t>
        </is>
      </c>
      <c r="C1355" t="inlineStr">
        <is>
          <t>CEO &amp; Founder</t>
        </is>
      </c>
      <c r="D1355" t="inlineStr">
        <is>
          <t>Squint</t>
        </is>
      </c>
      <c r="E1355" t="inlineStr">
        <is>
          <t>United States</t>
        </is>
      </c>
      <c r="H1355" t="n">
        <v>9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>
        <f>IFERROR(INDEX('Company Hitlist'!$AA:$AA,MATCH(D1355,'Company Hitlist'!$A:$A,0)),)</f>
        <v/>
      </c>
      <c r="O1355">
        <f>IFERROR(INDEX('Company Hitlist'!$N:$N,MATCH(D1355,'Company Hitlist'!$A:$A,0)),)</f>
        <v/>
      </c>
      <c r="Q1355" t="inlineStr">
        <is>
          <t>todo</t>
        </is>
      </c>
    </row>
    <row r="1356">
      <c r="A1356" t="inlineStr">
        <is>
          <t>Matt Kulp</t>
        </is>
      </c>
      <c r="B1356" t="inlineStr">
        <is>
          <t>Speaker</t>
        </is>
      </c>
      <c r="C1356" t="inlineStr">
        <is>
          <t>EVP &amp; Managing Partner</t>
        </is>
      </c>
      <c r="D1356" t="inlineStr">
        <is>
          <t>St. Onge</t>
        </is>
      </c>
      <c r="H1356" t="n">
        <v>9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  <c r="N1356">
        <f>IFERROR(INDEX('Company Hitlist'!$AA:$AA,MATCH(D1356,'Company Hitlist'!$A:$A,0)),)</f>
        <v/>
      </c>
      <c r="O1356">
        <f>IFERROR(INDEX('Company Hitlist'!$N:$N,MATCH(D1356,'Company Hitlist'!$A:$A,0)),)</f>
        <v/>
      </c>
      <c r="Q1356" t="inlineStr">
        <is>
          <t>todo</t>
        </is>
      </c>
    </row>
    <row r="1357">
      <c r="A1357" t="inlineStr">
        <is>
          <t>John Bauer</t>
        </is>
      </c>
      <c r="B1357" t="inlineStr">
        <is>
          <t>Speaker</t>
        </is>
      </c>
      <c r="C1357" t="inlineStr">
        <is>
          <t>CEO</t>
        </is>
      </c>
      <c r="D1357" t="inlineStr">
        <is>
          <t>Standard Holding Corporation</t>
        </is>
      </c>
      <c r="H1357" t="n">
        <v>9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>
        <f>IFERROR(INDEX('Company Hitlist'!$AA:$AA,MATCH(D1357,'Company Hitlist'!$A:$A,0)),)</f>
        <v/>
      </c>
      <c r="O1357">
        <f>IFERROR(INDEX('Company Hitlist'!$N:$N,MATCH(D1357,'Company Hitlist'!$A:$A,0)),)</f>
        <v/>
      </c>
      <c r="Q1357" t="inlineStr">
        <is>
          <t>todo</t>
        </is>
      </c>
    </row>
    <row r="1358">
      <c r="A1358" t="inlineStr">
        <is>
          <t>Paul Tonsager</t>
        </is>
      </c>
      <c r="B1358" t="inlineStr">
        <is>
          <t>Speaker</t>
        </is>
      </c>
      <c r="C1358" t="inlineStr">
        <is>
          <t>Executive Vice President Commercial</t>
        </is>
      </c>
      <c r="D1358" t="inlineStr">
        <is>
          <t>Stealth Company</t>
        </is>
      </c>
      <c r="E1358" t="inlineStr">
        <is>
          <t>United States</t>
        </is>
      </c>
      <c r="H1358" t="n">
        <v>9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  <c r="N1358">
        <f>IFERROR(INDEX('Company Hitlist'!$AA:$AA,MATCH(D1358,'Company Hitlist'!$A:$A,0)),)</f>
        <v/>
      </c>
      <c r="O1358">
        <f>IFERROR(INDEX('Company Hitlist'!$N:$N,MATCH(D1358,'Company Hitlist'!$A:$A,0)),)</f>
        <v/>
      </c>
      <c r="Q1358" t="inlineStr">
        <is>
          <t>todo</t>
        </is>
      </c>
    </row>
    <row r="1359">
      <c r="A1359" t="inlineStr">
        <is>
          <t>Stuart Ahlum</t>
        </is>
      </c>
      <c r="B1359" t="inlineStr">
        <is>
          <t>Speaker</t>
        </is>
      </c>
      <c r="C1359" t="inlineStr">
        <is>
          <t>COO &amp; Co-Founder</t>
        </is>
      </c>
      <c r="D1359" t="inlineStr">
        <is>
          <t>SuperCircle</t>
        </is>
      </c>
      <c r="F1359" t="inlineStr">
        <is>
          <t>Yes</t>
        </is>
      </c>
      <c r="G1359" t="inlineStr">
        <is>
          <t>6100000</t>
        </is>
      </c>
      <c r="H1359" t="n">
        <v>9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>
        <f>IFERROR(INDEX('Company Hitlist'!$AA:$AA,MATCH(D1359,'Company Hitlist'!$A:$A,0)),)</f>
        <v/>
      </c>
      <c r="O1359">
        <f>IFERROR(INDEX('Company Hitlist'!$N:$N,MATCH(D1359,'Company Hitlist'!$A:$A,0)),)</f>
        <v/>
      </c>
      <c r="Q1359" t="inlineStr">
        <is>
          <t>todo</t>
        </is>
      </c>
    </row>
    <row r="1360">
      <c r="A1360" t="inlineStr">
        <is>
          <t>Scott Luton</t>
        </is>
      </c>
      <c r="B1360" t="inlineStr">
        <is>
          <t>Speaker</t>
        </is>
      </c>
      <c r="C1360" t="inlineStr">
        <is>
          <t>CEO &amp; Host</t>
        </is>
      </c>
      <c r="D1360" t="inlineStr">
        <is>
          <t>Supply Chain Now</t>
        </is>
      </c>
      <c r="E1360" t="inlineStr">
        <is>
          <t>United States</t>
        </is>
      </c>
      <c r="H1360" t="n">
        <v>9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>
        <f>IFERROR(INDEX('Company Hitlist'!$AA:$AA,MATCH(D1360,'Company Hitlist'!$A:$A,0)),)</f>
        <v/>
      </c>
      <c r="O1360">
        <f>IFERROR(INDEX('Company Hitlist'!$N:$N,MATCH(D1360,'Company Hitlist'!$A:$A,0)),)</f>
        <v/>
      </c>
      <c r="Q1360" t="inlineStr">
        <is>
          <t>todo</t>
        </is>
      </c>
    </row>
    <row r="1361">
      <c r="A1361" t="inlineStr">
        <is>
          <t>Mike Barker</t>
        </is>
      </c>
      <c r="B1361" t="inlineStr">
        <is>
          <t>Speaker</t>
        </is>
      </c>
      <c r="C1361" t="inlineStr">
        <is>
          <t>President &amp; CEO</t>
        </is>
      </c>
      <c r="D1361" t="inlineStr">
        <is>
          <t>Swisslog Americas</t>
        </is>
      </c>
      <c r="F1361" t="inlineStr">
        <is>
          <t>Yes</t>
        </is>
      </c>
      <c r="G1361" t="inlineStr">
        <is>
          <t>$732M (2025 est.) (ICP match)</t>
        </is>
      </c>
      <c r="H1361" t="n">
        <v>9</v>
      </c>
      <c r="I1361" t="b">
        <v>0</v>
      </c>
      <c r="J1361" t="b">
        <v>1</v>
      </c>
      <c r="K1361" t="b">
        <v>0</v>
      </c>
      <c r="L1361" t="b">
        <v>0</v>
      </c>
      <c r="M1361" t="b">
        <v>0</v>
      </c>
      <c r="N1361">
        <f>IFERROR(INDEX('Company Hitlist'!$AA:$AA,MATCH(D1361,'Company Hitlist'!$A:$A,0)),)</f>
        <v/>
      </c>
      <c r="O1361">
        <f>IFERROR(INDEX('Company Hitlist'!$N:$N,MATCH(D1361,'Company Hitlist'!$A:$A,0)),)</f>
        <v/>
      </c>
      <c r="Q1361" t="inlineStr">
        <is>
          <t>todo</t>
        </is>
      </c>
    </row>
    <row r="1362">
      <c r="A1362" t="inlineStr">
        <is>
          <t>Souroush Honary</t>
        </is>
      </c>
      <c r="B1362" t="inlineStr">
        <is>
          <t>Speaker</t>
        </is>
      </c>
      <c r="C1362" t="inlineStr">
        <is>
          <t>Founder, Co-CEO</t>
        </is>
      </c>
      <c r="D1362" t="inlineStr">
        <is>
          <t>System Loco</t>
        </is>
      </c>
      <c r="F1362" t="inlineStr">
        <is>
          <t>Yes</t>
        </is>
      </c>
      <c r="H1362" t="n">
        <v>9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>
        <f>IFERROR(INDEX('Company Hitlist'!$AA:$AA,MATCH(D1362,'Company Hitlist'!$A:$A,0)),)</f>
        <v/>
      </c>
      <c r="O1362">
        <f>IFERROR(INDEX('Company Hitlist'!$N:$N,MATCH(D1362,'Company Hitlist'!$A:$A,0)),)</f>
        <v/>
      </c>
      <c r="Q1362" t="inlineStr">
        <is>
          <t>todo</t>
        </is>
      </c>
    </row>
    <row r="1363">
      <c r="A1363" t="inlineStr">
        <is>
          <t>Stephany Lapierre</t>
        </is>
      </c>
      <c r="B1363" t="inlineStr">
        <is>
          <t>Speaker</t>
        </is>
      </c>
      <c r="C1363" t="inlineStr">
        <is>
          <t>CEO &amp; Founder</t>
        </is>
      </c>
      <c r="D1363" t="inlineStr">
        <is>
          <t>Tealbook</t>
        </is>
      </c>
      <c r="F1363" t="inlineStr">
        <is>
          <t>Yes</t>
        </is>
      </c>
      <c r="G1363" t="inlineStr">
        <is>
          <t>$10.5M (2025 est.) (ICP match)</t>
        </is>
      </c>
      <c r="H1363" t="n">
        <v>9</v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  <c r="N1363">
        <f>IFERROR(INDEX('Company Hitlist'!$AA:$AA,MATCH(D1363,'Company Hitlist'!$A:$A,0)),)</f>
        <v/>
      </c>
      <c r="O1363">
        <f>IFERROR(INDEX('Company Hitlist'!$N:$N,MATCH(D1363,'Company Hitlist'!$A:$A,0)),)</f>
        <v/>
      </c>
      <c r="Q1363" t="inlineStr">
        <is>
          <t>todo</t>
        </is>
      </c>
    </row>
    <row r="1364">
      <c r="A1364" t="inlineStr">
        <is>
          <t>Peter Wells</t>
        </is>
      </c>
      <c r="B1364" t="inlineStr">
        <is>
          <t>Speaker</t>
        </is>
      </c>
      <c r="C1364" t="inlineStr">
        <is>
          <t>CEO</t>
        </is>
      </c>
      <c r="D1364" t="inlineStr">
        <is>
          <t>TemperPack</t>
        </is>
      </c>
      <c r="H1364" t="n">
        <v>9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  <c r="N1364">
        <f>IFERROR(INDEX('Company Hitlist'!$AA:$AA,MATCH(D1364,'Company Hitlist'!$A:$A,0)),)</f>
        <v/>
      </c>
      <c r="O1364">
        <f>IFERROR(INDEX('Company Hitlist'!$N:$N,MATCH(D1364,'Company Hitlist'!$A:$A,0)),)</f>
        <v/>
      </c>
      <c r="Q1364" t="inlineStr">
        <is>
          <t>todo</t>
        </is>
      </c>
    </row>
    <row r="1365">
      <c r="A1365" t="inlineStr">
        <is>
          <t>Rim Olson</t>
        </is>
      </c>
      <c r="B1365" t="inlineStr">
        <is>
          <t>Speaker</t>
        </is>
      </c>
      <c r="C1365" t="inlineStr">
        <is>
          <t>CEO &amp; Co-Founder</t>
        </is>
      </c>
      <c r="D1365" t="inlineStr">
        <is>
          <t>Tenvos</t>
        </is>
      </c>
      <c r="H1365" t="n">
        <v>9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  <c r="N1365">
        <f>IFERROR(INDEX('Company Hitlist'!$AA:$AA,MATCH(D1365,'Company Hitlist'!$A:$A,0)),)</f>
        <v/>
      </c>
      <c r="O1365">
        <f>IFERROR(INDEX('Company Hitlist'!$N:$N,MATCH(D1365,'Company Hitlist'!$A:$A,0)),)</f>
        <v/>
      </c>
      <c r="Q1365" t="inlineStr">
        <is>
          <t>todo</t>
        </is>
      </c>
    </row>
    <row r="1366">
      <c r="A1366" t="inlineStr">
        <is>
          <t>Tasia Malakasis</t>
        </is>
      </c>
      <c r="B1366" t="inlineStr">
        <is>
          <t>Speaker</t>
        </is>
      </c>
      <c r="C1366" t="inlineStr">
        <is>
          <t>CEO</t>
        </is>
      </c>
      <c r="D1366" t="inlineStr">
        <is>
          <t>The Company Lab</t>
        </is>
      </c>
      <c r="F1366" t="inlineStr">
        <is>
          <t>Yes</t>
        </is>
      </c>
      <c r="G1366" t="inlineStr">
        <is>
          <t>&lt;$5M (2025 est.; non-profit)</t>
        </is>
      </c>
      <c r="H1366" t="n">
        <v>9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>
        <f>IFERROR(INDEX('Company Hitlist'!$AA:$AA,MATCH(D1366,'Company Hitlist'!$A:$A,0)),)</f>
        <v/>
      </c>
      <c r="O1366">
        <f>IFERROR(INDEX('Company Hitlist'!$N:$N,MATCH(D1366,'Company Hitlist'!$A:$A,0)),)</f>
        <v/>
      </c>
      <c r="Q1366" t="inlineStr">
        <is>
          <t>todo</t>
        </is>
      </c>
    </row>
    <row r="1367">
      <c r="A1367" t="inlineStr">
        <is>
          <t>Daniel Johnson</t>
        </is>
      </c>
      <c r="B1367" t="inlineStr">
        <is>
          <t>Speaker</t>
        </is>
      </c>
      <c r="C1367" t="inlineStr">
        <is>
          <t>CEO &amp; Founder</t>
        </is>
      </c>
      <c r="D1367" t="inlineStr">
        <is>
          <t>The Dane Technologies</t>
        </is>
      </c>
      <c r="E1367" t="inlineStr">
        <is>
          <t>United States</t>
        </is>
      </c>
      <c r="F1367" t="inlineStr">
        <is>
          <t>Yes</t>
        </is>
      </c>
      <c r="G1367" t="inlineStr">
        <is>
          <t>$8.6M (2025 est.) (ICP match)</t>
        </is>
      </c>
      <c r="H1367" t="n">
        <v>9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  <c r="N1367">
        <f>IFERROR(INDEX('Company Hitlist'!$AA:$AA,MATCH(D1367,'Company Hitlist'!$A:$A,0)),)</f>
        <v/>
      </c>
      <c r="O1367">
        <f>IFERROR(INDEX('Company Hitlist'!$N:$N,MATCH(D1367,'Company Hitlist'!$A:$A,0)),)</f>
        <v/>
      </c>
      <c r="Q1367" t="inlineStr">
        <is>
          <t>todo</t>
        </is>
      </c>
    </row>
    <row r="1368">
      <c r="A1368" t="inlineStr">
        <is>
          <t>Joe Klecha</t>
        </is>
      </c>
      <c r="B1368" t="inlineStr">
        <is>
          <t>Speaker</t>
        </is>
      </c>
      <c r="C1368" t="inlineStr">
        <is>
          <t>Chief Nuclear Officer</t>
        </is>
      </c>
      <c r="D1368" t="inlineStr">
        <is>
          <t>The Nuclear Company</t>
        </is>
      </c>
      <c r="F1368" t="inlineStr">
        <is>
          <t>Yes</t>
        </is>
      </c>
      <c r="H1368" t="n">
        <v>9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>
        <f>IFERROR(INDEX('Company Hitlist'!$AA:$AA,MATCH(D1368,'Company Hitlist'!$A:$A,0)),)</f>
        <v/>
      </c>
      <c r="O1368">
        <f>IFERROR(INDEX('Company Hitlist'!$N:$N,MATCH(D1368,'Company Hitlist'!$A:$A,0)),)</f>
        <v/>
      </c>
      <c r="Q1368" t="inlineStr">
        <is>
          <t>todo</t>
        </is>
      </c>
    </row>
    <row r="1369">
      <c r="A1369" t="inlineStr">
        <is>
          <t>Scott Lescher</t>
        </is>
      </c>
      <c r="B1369" t="inlineStr">
        <is>
          <t>Speaker</t>
        </is>
      </c>
      <c r="C1369" t="inlineStr">
        <is>
          <t>COO</t>
        </is>
      </c>
      <c r="D1369" t="inlineStr">
        <is>
          <t>Thrive Market</t>
        </is>
      </c>
      <c r="F1369" t="inlineStr">
        <is>
          <t>Yes</t>
        </is>
      </c>
      <c r="G1369" t="inlineStr">
        <is>
          <t>700000000</t>
        </is>
      </c>
      <c r="H1369" t="n">
        <v>9</v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  <c r="N1369">
        <f>IFERROR(INDEX('Company Hitlist'!$AA:$AA,MATCH(D1369,'Company Hitlist'!$A:$A,0)),)</f>
        <v/>
      </c>
      <c r="O1369">
        <f>IFERROR(INDEX('Company Hitlist'!$N:$N,MATCH(D1369,'Company Hitlist'!$A:$A,0)),)</f>
        <v/>
      </c>
      <c r="Q1369" t="inlineStr">
        <is>
          <t>todo</t>
        </is>
      </c>
    </row>
    <row r="1370">
      <c r="A1370" t="inlineStr">
        <is>
          <t>Craig Schneider</t>
        </is>
      </c>
      <c r="B1370" t="inlineStr">
        <is>
          <t>Speaker</t>
        </is>
      </c>
      <c r="C1370" t="inlineStr">
        <is>
          <t>CEO &amp; Co-Founder</t>
        </is>
      </c>
      <c r="D1370" t="inlineStr">
        <is>
          <t>Tow4Tech</t>
        </is>
      </c>
      <c r="F1370" t="inlineStr">
        <is>
          <t>Yes</t>
        </is>
      </c>
      <c r="H1370" t="n">
        <v>9</v>
      </c>
      <c r="I1370" t="b">
        <v>0</v>
      </c>
      <c r="J1370" t="b">
        <v>1</v>
      </c>
      <c r="K1370" t="b">
        <v>0</v>
      </c>
      <c r="L1370" t="b">
        <v>0</v>
      </c>
      <c r="M1370" t="b">
        <v>0</v>
      </c>
      <c r="N1370">
        <f>IFERROR(INDEX('Company Hitlist'!$AA:$AA,MATCH(D1370,'Company Hitlist'!$A:$A,0)),)</f>
        <v/>
      </c>
      <c r="O1370">
        <f>IFERROR(INDEX('Company Hitlist'!$N:$N,MATCH(D1370,'Company Hitlist'!$A:$A,0)),)</f>
        <v/>
      </c>
      <c r="Q1370" t="inlineStr">
        <is>
          <t>todo</t>
        </is>
      </c>
    </row>
    <row r="1371">
      <c r="A1371" t="inlineStr">
        <is>
          <t>Cindy Allen</t>
        </is>
      </c>
      <c r="B1371" t="inlineStr">
        <is>
          <t>Speaker</t>
        </is>
      </c>
      <c r="C1371" t="inlineStr">
        <is>
          <t>CEO</t>
        </is>
      </c>
      <c r="D1371" t="inlineStr">
        <is>
          <t>Tradeforce Multiplier</t>
        </is>
      </c>
      <c r="F1371" t="inlineStr">
        <is>
          <t>Yes</t>
        </is>
      </c>
      <c r="H1371" t="n">
        <v>9</v>
      </c>
      <c r="I1371" t="b">
        <v>0</v>
      </c>
      <c r="J1371" t="b">
        <v>1</v>
      </c>
      <c r="K1371" t="b">
        <v>0</v>
      </c>
      <c r="L1371" t="b">
        <v>0</v>
      </c>
      <c r="M1371" t="b">
        <v>0</v>
      </c>
      <c r="N1371">
        <f>IFERROR(INDEX('Company Hitlist'!$AA:$AA,MATCH(D1371,'Company Hitlist'!$A:$A,0)),)</f>
        <v/>
      </c>
      <c r="O1371">
        <f>IFERROR(INDEX('Company Hitlist'!$N:$N,MATCH(D1371,'Company Hitlist'!$A:$A,0)),)</f>
        <v/>
      </c>
      <c r="Q1371" t="inlineStr">
        <is>
          <t>todo</t>
        </is>
      </c>
    </row>
    <row r="1372">
      <c r="A1372" t="inlineStr">
        <is>
          <t>Karyl Fowler</t>
        </is>
      </c>
      <c r="B1372" t="inlineStr">
        <is>
          <t>Speaker</t>
        </is>
      </c>
      <c r="C1372" t="inlineStr">
        <is>
          <t>Chief Policy Officer</t>
        </is>
      </c>
      <c r="D1372" t="inlineStr">
        <is>
          <t>Tradeverifyd</t>
        </is>
      </c>
      <c r="F1372" t="inlineStr">
        <is>
          <t>Yes</t>
        </is>
      </c>
      <c r="H1372" t="n">
        <v>9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  <c r="N1372">
        <f>IFERROR(INDEX('Company Hitlist'!$AA:$AA,MATCH(D1372,'Company Hitlist'!$A:$A,0)),)</f>
        <v/>
      </c>
      <c r="O1372">
        <f>IFERROR(INDEX('Company Hitlist'!$N:$N,MATCH(D1372,'Company Hitlist'!$A:$A,0)),)</f>
        <v/>
      </c>
      <c r="Q1372" t="inlineStr">
        <is>
          <t>todo</t>
        </is>
      </c>
    </row>
    <row r="1373">
      <c r="A1373" t="inlineStr">
        <is>
          <t>Nicholas Flanders</t>
        </is>
      </c>
      <c r="B1373" t="inlineStr">
        <is>
          <t>Speaker</t>
        </is>
      </c>
      <c r="C1373" t="inlineStr">
        <is>
          <t>CEO &amp; Co-Founder</t>
        </is>
      </c>
      <c r="D1373" t="inlineStr">
        <is>
          <t>Twelve</t>
        </is>
      </c>
      <c r="F1373" t="inlineStr">
        <is>
          <t>Yes</t>
        </is>
      </c>
      <c r="H1373" t="n">
        <v>9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>
        <f>IFERROR(INDEX('Company Hitlist'!$AA:$AA,MATCH(D1373,'Company Hitlist'!$A:$A,0)),)</f>
        <v/>
      </c>
      <c r="O1373">
        <f>IFERROR(INDEX('Company Hitlist'!$N:$N,MATCH(D1373,'Company Hitlist'!$A:$A,0)),)</f>
        <v/>
      </c>
      <c r="Q1373" t="inlineStr">
        <is>
          <t>todo</t>
        </is>
      </c>
    </row>
    <row r="1374">
      <c r="A1374" t="inlineStr">
        <is>
          <t>Curtis Garrett</t>
        </is>
      </c>
      <c r="B1374" t="inlineStr">
        <is>
          <t>Speaker</t>
        </is>
      </c>
      <c r="C1374" t="inlineStr">
        <is>
          <t>CEO &amp; Founder</t>
        </is>
      </c>
      <c r="D1374" t="inlineStr">
        <is>
          <t>ULTL</t>
        </is>
      </c>
      <c r="F1374" t="inlineStr">
        <is>
          <t>Yes</t>
        </is>
      </c>
      <c r="H1374" t="n">
        <v>9</v>
      </c>
      <c r="I1374" t="b">
        <v>0</v>
      </c>
      <c r="J1374" t="b">
        <v>1</v>
      </c>
      <c r="K1374" t="b">
        <v>0</v>
      </c>
      <c r="L1374" t="b">
        <v>0</v>
      </c>
      <c r="M1374" t="b">
        <v>0</v>
      </c>
      <c r="N1374">
        <f>IFERROR(INDEX('Company Hitlist'!$AA:$AA,MATCH(D1374,'Company Hitlist'!$A:$A,0)),)</f>
        <v/>
      </c>
      <c r="O1374">
        <f>IFERROR(INDEX('Company Hitlist'!$N:$N,MATCH(D1374,'Company Hitlist'!$A:$A,0)),)</f>
        <v/>
      </c>
      <c r="Q1374" t="inlineStr">
        <is>
          <t>todo</t>
        </is>
      </c>
    </row>
    <row r="1375">
      <c r="A1375" t="inlineStr">
        <is>
          <t>Joshua Hunt</t>
        </is>
      </c>
      <c r="B1375" t="inlineStr">
        <is>
          <t>Speaker</t>
        </is>
      </c>
      <c r="C1375" t="inlineStr">
        <is>
          <t>Chief, Futures &amp; Experimentation Division</t>
        </is>
      </c>
      <c r="D1375" t="inlineStr">
        <is>
          <t>USTRANSCOM</t>
        </is>
      </c>
      <c r="H1375" t="n">
        <v>9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  <c r="N1375">
        <f>IFERROR(INDEX('Company Hitlist'!$AA:$AA,MATCH(D1375,'Company Hitlist'!$A:$A,0)),)</f>
        <v/>
      </c>
      <c r="O1375">
        <f>IFERROR(INDEX('Company Hitlist'!$N:$N,MATCH(D1375,'Company Hitlist'!$A:$A,0)),)</f>
        <v/>
      </c>
      <c r="Q1375" t="inlineStr">
        <is>
          <t>todo</t>
        </is>
      </c>
    </row>
    <row r="1376">
      <c r="A1376" t="inlineStr">
        <is>
          <t>Mark Robinson</t>
        </is>
      </c>
      <c r="B1376" t="inlineStr">
        <is>
          <t>Speaker</t>
        </is>
      </c>
      <c r="C1376" t="inlineStr">
        <is>
          <t>Chief, Futures and Capabilities Branch</t>
        </is>
      </c>
      <c r="D1376" t="inlineStr">
        <is>
          <t>USTRANSCOM</t>
        </is>
      </c>
      <c r="H1376" t="n">
        <v>9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>
        <f>IFERROR(INDEX('Company Hitlist'!$AA:$AA,MATCH(D1376,'Company Hitlist'!$A:$A,0)),)</f>
        <v/>
      </c>
      <c r="O1376">
        <f>IFERROR(INDEX('Company Hitlist'!$N:$N,MATCH(D1376,'Company Hitlist'!$A:$A,0)),)</f>
        <v/>
      </c>
      <c r="Q1376" t="inlineStr">
        <is>
          <t>todo</t>
        </is>
      </c>
    </row>
    <row r="1377">
      <c r="A1377" t="inlineStr">
        <is>
          <t>Sebastian Stahl</t>
        </is>
      </c>
      <c r="B1377" t="inlineStr">
        <is>
          <t>Speaker</t>
        </is>
      </c>
      <c r="C1377" t="inlineStr">
        <is>
          <t>EVP Strategic Development</t>
        </is>
      </c>
      <c r="D1377" t="inlineStr">
        <is>
          <t>UTC Overseas Group</t>
        </is>
      </c>
      <c r="E1377" t="inlineStr">
        <is>
          <t>Germany</t>
        </is>
      </c>
      <c r="F1377" t="inlineStr">
        <is>
          <t>Yes</t>
        </is>
      </c>
      <c r="H1377" t="n">
        <v>9</v>
      </c>
      <c r="I1377" t="b">
        <v>0</v>
      </c>
      <c r="J1377" t="b">
        <v>1</v>
      </c>
      <c r="K1377" t="b">
        <v>0</v>
      </c>
      <c r="L1377" t="b">
        <v>0</v>
      </c>
      <c r="M1377" t="b">
        <v>0</v>
      </c>
      <c r="N1377">
        <f>IFERROR(INDEX('Company Hitlist'!$AA:$AA,MATCH(D1377,'Company Hitlist'!$A:$A,0)),)</f>
        <v/>
      </c>
      <c r="O1377">
        <f>IFERROR(INDEX('Company Hitlist'!$N:$N,MATCH(D1377,'Company Hitlist'!$A:$A,0)),)</f>
        <v/>
      </c>
      <c r="Q1377" t="inlineStr">
        <is>
          <t>todo</t>
        </is>
      </c>
    </row>
    <row r="1378">
      <c r="A1378" t="inlineStr">
        <is>
          <t>Ivo Petkov</t>
        </is>
      </c>
      <c r="B1378" t="inlineStr">
        <is>
          <t>Speaker</t>
        </is>
      </c>
      <c r="C1378" t="inlineStr">
        <is>
          <t>Head of Contracts Management</t>
        </is>
      </c>
      <c r="D1378" t="inlineStr">
        <is>
          <t>Vale</t>
        </is>
      </c>
      <c r="H1378" t="n">
        <v>9</v>
      </c>
      <c r="I1378" t="b">
        <v>0</v>
      </c>
      <c r="J1378" t="b">
        <v>1</v>
      </c>
      <c r="K1378" t="b">
        <v>0</v>
      </c>
      <c r="L1378" t="b">
        <v>0</v>
      </c>
      <c r="M1378" t="b">
        <v>0</v>
      </c>
      <c r="N1378">
        <f>IFERROR(INDEX('Company Hitlist'!$AA:$AA,MATCH(D1378,'Company Hitlist'!$A:$A,0)),)</f>
        <v/>
      </c>
      <c r="O1378">
        <f>IFERROR(INDEX('Company Hitlist'!$N:$N,MATCH(D1378,'Company Hitlist'!$A:$A,0)),)</f>
        <v/>
      </c>
      <c r="Q1378" t="inlineStr">
        <is>
          <t>todo</t>
        </is>
      </c>
    </row>
    <row r="1379">
      <c r="A1379" t="inlineStr">
        <is>
          <t>Antonio Goncalves</t>
        </is>
      </c>
      <c r="B1379" t="inlineStr">
        <is>
          <t>Speaker</t>
        </is>
      </c>
      <c r="C1379" t="inlineStr">
        <is>
          <t>CEO</t>
        </is>
      </c>
      <c r="D1379" t="inlineStr">
        <is>
          <t>VallorAI</t>
        </is>
      </c>
      <c r="F1379" t="inlineStr">
        <is>
          <t>Yes</t>
        </is>
      </c>
      <c r="G1379" t="inlineStr">
        <is>
          <t>&lt;$5M (2025 est.) (ICP match)</t>
        </is>
      </c>
      <c r="H1379" t="n">
        <v>9</v>
      </c>
      <c r="I1379" t="b">
        <v>0</v>
      </c>
      <c r="J1379" t="b">
        <v>1</v>
      </c>
      <c r="K1379" t="b">
        <v>0</v>
      </c>
      <c r="L1379" t="b">
        <v>0</v>
      </c>
      <c r="M1379" t="b">
        <v>0</v>
      </c>
      <c r="N1379">
        <f>IFERROR(INDEX('Company Hitlist'!$AA:$AA,MATCH(D1379,'Company Hitlist'!$A:$A,0)),)</f>
        <v/>
      </c>
      <c r="O1379">
        <f>IFERROR(INDEX('Company Hitlist'!$N:$N,MATCH(D1379,'Company Hitlist'!$A:$A,0)),)</f>
        <v/>
      </c>
      <c r="Q1379" t="inlineStr">
        <is>
          <t>todo</t>
        </is>
      </c>
    </row>
    <row r="1380">
      <c r="A1380" t="inlineStr">
        <is>
          <t>Claire Larsen</t>
        </is>
      </c>
      <c r="B1380" t="inlineStr">
        <is>
          <t>Speaker</t>
        </is>
      </c>
      <c r="C1380" t="inlineStr">
        <is>
          <t>CEO</t>
        </is>
      </c>
      <c r="D1380" t="inlineStr">
        <is>
          <t>Vamo Delivery</t>
        </is>
      </c>
      <c r="F1380" t="inlineStr">
        <is>
          <t>Yes</t>
        </is>
      </c>
      <c r="G1380" t="inlineStr">
        <is>
          <t>$31.6M (2025 est.) (ICP match)</t>
        </is>
      </c>
      <c r="H1380" t="n">
        <v>9</v>
      </c>
      <c r="I1380" t="b">
        <v>0</v>
      </c>
      <c r="J1380" t="b">
        <v>1</v>
      </c>
      <c r="K1380" t="b">
        <v>0</v>
      </c>
      <c r="L1380" t="b">
        <v>0</v>
      </c>
      <c r="M1380" t="b">
        <v>0</v>
      </c>
      <c r="N1380">
        <f>IFERROR(INDEX('Company Hitlist'!$AA:$AA,MATCH(D1380,'Company Hitlist'!$A:$A,0)),)</f>
        <v/>
      </c>
      <c r="O1380">
        <f>IFERROR(INDEX('Company Hitlist'!$N:$N,MATCH(D1380,'Company Hitlist'!$A:$A,0)),)</f>
        <v/>
      </c>
      <c r="Q1380" t="inlineStr">
        <is>
          <t>todo</t>
        </is>
      </c>
    </row>
    <row r="1381">
      <c r="A1381" t="inlineStr">
        <is>
          <t>Itamar Zur</t>
        </is>
      </c>
      <c r="B1381" t="inlineStr">
        <is>
          <t>Speaker</t>
        </is>
      </c>
      <c r="C1381" t="inlineStr">
        <is>
          <t>CEO &amp; Co-Founder</t>
        </is>
      </c>
      <c r="D1381" t="inlineStr">
        <is>
          <t>Veho</t>
        </is>
      </c>
      <c r="E1381" t="inlineStr">
        <is>
          <t>United States</t>
        </is>
      </c>
      <c r="F1381" t="inlineStr">
        <is>
          <t>Yes</t>
        </is>
      </c>
      <c r="G1381" t="inlineStr">
        <is>
          <t>$21M (2025 est.) (ICP match)</t>
        </is>
      </c>
      <c r="H1381" t="n">
        <v>9</v>
      </c>
      <c r="I1381" t="b">
        <v>0</v>
      </c>
      <c r="J1381" t="b">
        <v>1</v>
      </c>
      <c r="K1381" t="b">
        <v>0</v>
      </c>
      <c r="L1381" t="b">
        <v>0</v>
      </c>
      <c r="M1381" t="b">
        <v>0</v>
      </c>
      <c r="N1381">
        <f>IFERROR(INDEX('Company Hitlist'!$AA:$AA,MATCH(D1381,'Company Hitlist'!$A:$A,0)),)</f>
        <v/>
      </c>
      <c r="O1381">
        <f>IFERROR(INDEX('Company Hitlist'!$N:$N,MATCH(D1381,'Company Hitlist'!$A:$A,0)),)</f>
        <v/>
      </c>
      <c r="Q1381" t="inlineStr">
        <is>
          <t>todo</t>
        </is>
      </c>
    </row>
    <row r="1382">
      <c r="A1382" t="inlineStr">
        <is>
          <t>Peter Qian</t>
        </is>
      </c>
      <c r="B1382" t="inlineStr">
        <is>
          <t>Speaker</t>
        </is>
      </c>
      <c r="C1382" t="inlineStr">
        <is>
          <t>CEO &amp; Co-Founder</t>
        </is>
      </c>
      <c r="D1382" t="inlineStr">
        <is>
          <t>Ventus</t>
        </is>
      </c>
      <c r="E1382" t="inlineStr">
        <is>
          <t>United States</t>
        </is>
      </c>
      <c r="F1382" t="inlineStr">
        <is>
          <t>Yes</t>
        </is>
      </c>
      <c r="G1382" t="inlineStr">
        <is>
          <t>$4M (2025 est.) (ICP match)</t>
        </is>
      </c>
      <c r="H1382" t="n">
        <v>9</v>
      </c>
      <c r="I1382" t="b">
        <v>0</v>
      </c>
      <c r="J1382" t="b">
        <v>1</v>
      </c>
      <c r="K1382" t="b">
        <v>0</v>
      </c>
      <c r="L1382" t="b">
        <v>0</v>
      </c>
      <c r="M1382" t="b">
        <v>0</v>
      </c>
      <c r="N1382">
        <f>IFERROR(INDEX('Company Hitlist'!$AA:$AA,MATCH(D1382,'Company Hitlist'!$A:$A,0)),)</f>
        <v/>
      </c>
      <c r="O1382">
        <f>IFERROR(INDEX('Company Hitlist'!$N:$N,MATCH(D1382,'Company Hitlist'!$A:$A,0)),)</f>
        <v/>
      </c>
      <c r="Q1382" t="inlineStr">
        <is>
          <t>todo</t>
        </is>
      </c>
    </row>
    <row r="1383">
      <c r="A1383" t="inlineStr">
        <is>
          <t>Tyler Hughes</t>
        </is>
      </c>
      <c r="B1383" t="inlineStr">
        <is>
          <t>Speaker</t>
        </is>
      </c>
      <c r="C1383" t="inlineStr">
        <is>
          <t>CTO + Co-Founder</t>
        </is>
      </c>
      <c r="D1383" t="inlineStr">
        <is>
          <t>Vizion</t>
        </is>
      </c>
      <c r="E1383" t="inlineStr">
        <is>
          <t>United States</t>
        </is>
      </c>
      <c r="F1383" t="inlineStr">
        <is>
          <t>Yes</t>
        </is>
      </c>
      <c r="G1383" t="inlineStr">
        <is>
          <t>$6M (2025 est.) (ICP match)</t>
        </is>
      </c>
      <c r="H1383" t="n">
        <v>9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  <c r="N1383">
        <f>IFERROR(INDEX('Company Hitlist'!$AA:$AA,MATCH(D1383,'Company Hitlist'!$A:$A,0)),)</f>
        <v/>
      </c>
      <c r="O1383">
        <f>IFERROR(INDEX('Company Hitlist'!$N:$N,MATCH(D1383,'Company Hitlist'!$A:$A,0)),)</f>
        <v/>
      </c>
      <c r="Q1383" t="inlineStr">
        <is>
          <t>todo</t>
        </is>
      </c>
    </row>
    <row r="1384">
      <c r="A1384" t="inlineStr">
        <is>
          <t>Kyle Henderson</t>
        </is>
      </c>
      <c r="B1384" t="inlineStr">
        <is>
          <t>Speaker</t>
        </is>
      </c>
      <c r="C1384" t="inlineStr">
        <is>
          <t>CEO + Co-Founder</t>
        </is>
      </c>
      <c r="D1384" t="inlineStr">
        <is>
          <t>Vizion</t>
        </is>
      </c>
      <c r="F1384" t="inlineStr">
        <is>
          <t>Yes</t>
        </is>
      </c>
      <c r="G1384" t="inlineStr">
        <is>
          <t>$6M (2025 est.) (ICP match)</t>
        </is>
      </c>
      <c r="H1384" t="n">
        <v>9</v>
      </c>
      <c r="I1384" t="b">
        <v>0</v>
      </c>
      <c r="J1384" t="b">
        <v>1</v>
      </c>
      <c r="K1384" t="b">
        <v>0</v>
      </c>
      <c r="L1384" t="b">
        <v>0</v>
      </c>
      <c r="M1384" t="b">
        <v>0</v>
      </c>
      <c r="N1384">
        <f>IFERROR(INDEX('Company Hitlist'!$AA:$AA,MATCH(D1384,'Company Hitlist'!$A:$A,0)),)</f>
        <v/>
      </c>
      <c r="O1384">
        <f>IFERROR(INDEX('Company Hitlist'!$N:$N,MATCH(D1384,'Company Hitlist'!$A:$A,0)),)</f>
        <v/>
      </c>
      <c r="Q1384" t="inlineStr">
        <is>
          <t>todo</t>
        </is>
      </c>
    </row>
    <row r="1385">
      <c r="A1385" t="inlineStr">
        <is>
          <t>Daphna Langer</t>
        </is>
      </c>
      <c r="B1385" t="inlineStr">
        <is>
          <t>Speaker</t>
        </is>
      </c>
      <c r="C1385" t="inlineStr">
        <is>
          <t>CEO Just</t>
        </is>
      </c>
      <c r="D1385" t="inlineStr">
        <is>
          <t>Voltify</t>
        </is>
      </c>
      <c r="F1385" t="inlineStr">
        <is>
          <t>Yes</t>
        </is>
      </c>
      <c r="G1385" t="inlineStr">
        <is>
          <t>&lt;$5M (2025 est.) (ICP match)</t>
        </is>
      </c>
      <c r="H1385" t="n">
        <v>9</v>
      </c>
      <c r="I1385" t="b">
        <v>0</v>
      </c>
      <c r="J1385" t="b">
        <v>1</v>
      </c>
      <c r="K1385" t="b">
        <v>0</v>
      </c>
      <c r="L1385" t="b">
        <v>0</v>
      </c>
      <c r="M1385" t="b">
        <v>0</v>
      </c>
      <c r="N1385">
        <f>IFERROR(INDEX('Company Hitlist'!$AA:$AA,MATCH(D1385,'Company Hitlist'!$A:$A,0)),)</f>
        <v/>
      </c>
      <c r="O1385">
        <f>IFERROR(INDEX('Company Hitlist'!$N:$N,MATCH(D1385,'Company Hitlist'!$A:$A,0)),)</f>
        <v/>
      </c>
      <c r="Q1385" t="inlineStr">
        <is>
          <t>todo</t>
        </is>
      </c>
    </row>
    <row r="1386">
      <c r="A1386" t="inlineStr">
        <is>
          <t>Kevin Kassekert</t>
        </is>
      </c>
      <c r="B1386" t="inlineStr">
        <is>
          <t>Speaker</t>
        </is>
      </c>
      <c r="C1386" t="inlineStr">
        <is>
          <t>CEO</t>
        </is>
      </c>
      <c r="D1386" t="inlineStr">
        <is>
          <t>Vulcan Forms</t>
        </is>
      </c>
      <c r="H1386" t="n">
        <v>9</v>
      </c>
      <c r="I1386" t="b">
        <v>0</v>
      </c>
      <c r="J1386" t="b">
        <v>1</v>
      </c>
      <c r="K1386" t="b">
        <v>0</v>
      </c>
      <c r="L1386" t="b">
        <v>0</v>
      </c>
      <c r="M1386" t="b">
        <v>0</v>
      </c>
      <c r="N1386">
        <f>IFERROR(INDEX('Company Hitlist'!$AA:$AA,MATCH(D1386,'Company Hitlist'!$A:$A,0)),)</f>
        <v/>
      </c>
      <c r="O1386">
        <f>IFERROR(INDEX('Company Hitlist'!$N:$N,MATCH(D1386,'Company Hitlist'!$A:$A,0)),)</f>
        <v/>
      </c>
      <c r="Q1386" t="inlineStr">
        <is>
          <t>todo</t>
        </is>
      </c>
    </row>
    <row r="1387">
      <c r="A1387" t="inlineStr">
        <is>
          <t>Lewis Motion</t>
        </is>
      </c>
      <c r="B1387" t="inlineStr">
        <is>
          <t>Speaker</t>
        </is>
      </c>
      <c r="C1387" t="inlineStr">
        <is>
          <t>CEO</t>
        </is>
      </c>
      <c r="D1387" t="inlineStr">
        <is>
          <t>WEAV3D</t>
        </is>
      </c>
      <c r="H1387" t="n">
        <v>9</v>
      </c>
      <c r="I1387" t="b">
        <v>0</v>
      </c>
      <c r="J1387" t="b">
        <v>1</v>
      </c>
      <c r="K1387" t="b">
        <v>0</v>
      </c>
      <c r="L1387" t="b">
        <v>0</v>
      </c>
      <c r="M1387" t="b">
        <v>0</v>
      </c>
      <c r="N1387">
        <f>IFERROR(INDEX('Company Hitlist'!$AA:$AA,MATCH(D1387,'Company Hitlist'!$A:$A,0)),)</f>
        <v/>
      </c>
      <c r="O1387">
        <f>IFERROR(INDEX('Company Hitlist'!$N:$N,MATCH(D1387,'Company Hitlist'!$A:$A,0)),)</f>
        <v/>
      </c>
      <c r="Q1387" t="inlineStr">
        <is>
          <t>todo</t>
        </is>
      </c>
    </row>
    <row r="1388">
      <c r="A1388" t="inlineStr">
        <is>
          <t>Amir Khoshniyati</t>
        </is>
      </c>
      <c r="B1388" t="inlineStr">
        <is>
          <t>Speaker</t>
        </is>
      </c>
      <c r="C1388" t="inlineStr">
        <is>
          <t>Vice President</t>
        </is>
      </c>
      <c r="D1388" t="inlineStr">
        <is>
          <t>Wiliot</t>
        </is>
      </c>
      <c r="F1388" t="inlineStr">
        <is>
          <t>Yes</t>
        </is>
      </c>
      <c r="G1388" t="inlineStr">
        <is>
          <t>$53M (2025 est.) (ICP match)</t>
        </is>
      </c>
      <c r="H1388" t="n">
        <v>9</v>
      </c>
      <c r="I1388" t="b">
        <v>0</v>
      </c>
      <c r="J1388" t="b">
        <v>1</v>
      </c>
      <c r="K1388" t="b">
        <v>0</v>
      </c>
      <c r="L1388" t="b">
        <v>0</v>
      </c>
      <c r="M1388" t="b">
        <v>0</v>
      </c>
      <c r="N1388">
        <f>IFERROR(INDEX('Company Hitlist'!$AA:$AA,MATCH(D1388,'Company Hitlist'!$A:$A,0)),)</f>
        <v/>
      </c>
      <c r="O1388">
        <f>IFERROR(INDEX('Company Hitlist'!$N:$N,MATCH(D1388,'Company Hitlist'!$A:$A,0)),)</f>
        <v/>
      </c>
      <c r="Q1388" t="inlineStr">
        <is>
          <t>todo</t>
        </is>
      </c>
    </row>
    <row r="1389">
      <c r="A1389" t="inlineStr">
        <is>
          <t>RJ Roh</t>
        </is>
      </c>
      <c r="B1389" t="inlineStr">
        <is>
          <t>Speaker</t>
        </is>
      </c>
      <c r="C1389" t="inlineStr">
        <is>
          <t>Managing Director &amp; Chief Strategy Officer</t>
        </is>
      </c>
      <c r="D1389" t="inlineStr">
        <is>
          <t>Willog</t>
        </is>
      </c>
      <c r="F1389" t="inlineStr">
        <is>
          <t>Yes</t>
        </is>
      </c>
      <c r="H1389" t="n">
        <v>9</v>
      </c>
      <c r="I1389" t="b">
        <v>0</v>
      </c>
      <c r="J1389" t="b">
        <v>1</v>
      </c>
      <c r="K1389" t="b">
        <v>0</v>
      </c>
      <c r="L1389" t="b">
        <v>0</v>
      </c>
      <c r="M1389" t="b">
        <v>0</v>
      </c>
      <c r="N1389">
        <f>IFERROR(INDEX('Company Hitlist'!$AA:$AA,MATCH(D1389,'Company Hitlist'!$A:$A,0)),)</f>
        <v/>
      </c>
      <c r="O1389">
        <f>IFERROR(INDEX('Company Hitlist'!$N:$N,MATCH(D1389,'Company Hitlist'!$A:$A,0)),)</f>
        <v/>
      </c>
      <c r="Q1389" t="inlineStr">
        <is>
          <t>todo</t>
        </is>
      </c>
    </row>
    <row r="1390">
      <c r="A1390" t="inlineStr">
        <is>
          <t>Vlad Bilanovsky</t>
        </is>
      </c>
      <c r="B1390" t="inlineStr">
        <is>
          <t>Speaker</t>
        </is>
      </c>
      <c r="C1390" t="inlineStr">
        <is>
          <t>Chief Execution Officer (CXO)</t>
        </is>
      </c>
      <c r="D1390" t="inlineStr">
        <is>
          <t>WiseTech Global</t>
        </is>
      </c>
      <c r="F1390" t="inlineStr">
        <is>
          <t>Yes</t>
        </is>
      </c>
      <c r="G1390" t="inlineStr">
        <is>
          <t>773502000</t>
        </is>
      </c>
      <c r="H1390" t="n">
        <v>9</v>
      </c>
      <c r="I1390" t="b">
        <v>0</v>
      </c>
      <c r="J1390" t="b">
        <v>1</v>
      </c>
      <c r="K1390" t="b">
        <v>0</v>
      </c>
      <c r="L1390" t="b">
        <v>0</v>
      </c>
      <c r="M1390" t="b">
        <v>0</v>
      </c>
      <c r="N1390">
        <f>IFERROR(INDEX('Company Hitlist'!$AA:$AA,MATCH(D1390,'Company Hitlist'!$A:$A,0)),)</f>
        <v/>
      </c>
      <c r="O1390">
        <f>IFERROR(INDEX('Company Hitlist'!$N:$N,MATCH(D1390,'Company Hitlist'!$A:$A,0)),)</f>
        <v/>
      </c>
      <c r="Q1390" t="inlineStr">
        <is>
          <t>todo</t>
        </is>
      </c>
    </row>
    <row r="1391">
      <c r="A1391" t="inlineStr">
        <is>
          <t>Amanda Prochaska</t>
        </is>
      </c>
      <c r="B1391" t="inlineStr">
        <is>
          <t>Speaker</t>
        </is>
      </c>
      <c r="C1391" t="inlineStr">
        <is>
          <t>Chief Wonder Officer</t>
        </is>
      </c>
      <c r="D1391" t="inlineStr">
        <is>
          <t>Wonder Services</t>
        </is>
      </c>
      <c r="H1391" t="n">
        <v>9</v>
      </c>
      <c r="I1391" t="b">
        <v>0</v>
      </c>
      <c r="J1391" t="b">
        <v>1</v>
      </c>
      <c r="K1391" t="b">
        <v>0</v>
      </c>
      <c r="L1391" t="b">
        <v>0</v>
      </c>
      <c r="M1391" t="b">
        <v>0</v>
      </c>
      <c r="N1391">
        <f>IFERROR(INDEX('Company Hitlist'!$AA:$AA,MATCH(D1391,'Company Hitlist'!$A:$A,0)),)</f>
        <v/>
      </c>
      <c r="O1391">
        <f>IFERROR(INDEX('Company Hitlist'!$N:$N,MATCH(D1391,'Company Hitlist'!$A:$A,0)),)</f>
        <v/>
      </c>
      <c r="Q1391" t="inlineStr">
        <is>
          <t>todo</t>
        </is>
      </c>
    </row>
    <row r="1392">
      <c r="A1392" t="inlineStr">
        <is>
          <t>Fabio Brocca</t>
        </is>
      </c>
      <c r="B1392" t="inlineStr">
        <is>
          <t>Speaker</t>
        </is>
      </c>
      <c r="C1392" t="inlineStr">
        <is>
          <t>Chief Product Officer</t>
        </is>
      </c>
      <c r="D1392" t="inlineStr">
        <is>
          <t>Xeneta</t>
        </is>
      </c>
      <c r="F1392" t="inlineStr">
        <is>
          <t>Yes</t>
        </is>
      </c>
      <c r="G1392" t="inlineStr">
        <is>
          <t>5000000</t>
        </is>
      </c>
      <c r="H1392" t="n">
        <v>9</v>
      </c>
      <c r="I1392" t="b">
        <v>0</v>
      </c>
      <c r="J1392" t="b">
        <v>1</v>
      </c>
      <c r="K1392" t="b">
        <v>0</v>
      </c>
      <c r="L1392" t="b">
        <v>0</v>
      </c>
      <c r="M1392" t="b">
        <v>0</v>
      </c>
      <c r="N1392">
        <f>IFERROR(INDEX('Company Hitlist'!$AA:$AA,MATCH(D1392,'Company Hitlist'!$A:$A,0)),)</f>
        <v/>
      </c>
      <c r="O1392">
        <f>IFERROR(INDEX('Company Hitlist'!$N:$N,MATCH(D1392,'Company Hitlist'!$A:$A,0)),)</f>
        <v/>
      </c>
      <c r="Q1392" t="inlineStr">
        <is>
          <t>todo</t>
        </is>
      </c>
    </row>
    <row r="1393">
      <c r="A1393" t="inlineStr">
        <is>
          <t>Brad McBride</t>
        </is>
      </c>
      <c r="B1393" t="inlineStr">
        <is>
          <t>Speaker</t>
        </is>
      </c>
      <c r="C1393" t="inlineStr">
        <is>
          <t>CEO &amp; Founder</t>
        </is>
      </c>
      <c r="D1393" t="inlineStr">
        <is>
          <t>Zero Down Supply Chain Solutions</t>
        </is>
      </c>
      <c r="E1393" t="inlineStr">
        <is>
          <t>United States</t>
        </is>
      </c>
      <c r="F1393" t="inlineStr">
        <is>
          <t>Yes</t>
        </is>
      </c>
      <c r="G1393" t="inlineStr">
        <is>
          <t>54436000</t>
        </is>
      </c>
      <c r="H1393" t="n">
        <v>9</v>
      </c>
      <c r="I1393" t="b">
        <v>0</v>
      </c>
      <c r="J1393" t="b">
        <v>1</v>
      </c>
      <c r="K1393" t="b">
        <v>0</v>
      </c>
      <c r="L1393" t="b">
        <v>0</v>
      </c>
      <c r="M1393" t="b">
        <v>0</v>
      </c>
      <c r="N1393">
        <f>IFERROR(INDEX('Company Hitlist'!$AA:$AA,MATCH(D1393,'Company Hitlist'!$A:$A,0)),)</f>
        <v/>
      </c>
      <c r="O1393">
        <f>IFERROR(INDEX('Company Hitlist'!$N:$N,MATCH(D1393,'Company Hitlist'!$A:$A,0)),)</f>
        <v/>
      </c>
      <c r="Q1393" t="inlineStr">
        <is>
          <t>todo</t>
        </is>
      </c>
    </row>
    <row r="1394">
      <c r="A1394" t="inlineStr">
        <is>
          <t>Karin Levy</t>
        </is>
      </c>
      <c r="B1394" t="inlineStr">
        <is>
          <t>Speaker</t>
        </is>
      </c>
      <c r="C1394" t="inlineStr">
        <is>
          <t>CEO</t>
        </is>
      </c>
      <c r="D1394" t="inlineStr">
        <is>
          <t>Zimark</t>
        </is>
      </c>
      <c r="E1394" t="inlineStr">
        <is>
          <t>Israel</t>
        </is>
      </c>
      <c r="F1394" t="inlineStr">
        <is>
          <t>Yes</t>
        </is>
      </c>
      <c r="H1394" t="n">
        <v>9</v>
      </c>
      <c r="I1394" t="b">
        <v>0</v>
      </c>
      <c r="J1394" t="b">
        <v>1</v>
      </c>
      <c r="K1394" t="b">
        <v>0</v>
      </c>
      <c r="L1394" t="b">
        <v>0</v>
      </c>
      <c r="M1394" t="b">
        <v>0</v>
      </c>
      <c r="N1394">
        <f>IFERROR(INDEX('Company Hitlist'!$AA:$AA,MATCH(D1394,'Company Hitlist'!$A:$A,0)),)</f>
        <v/>
      </c>
      <c r="O1394">
        <f>IFERROR(INDEX('Company Hitlist'!$N:$N,MATCH(D1394,'Company Hitlist'!$A:$A,0)),)</f>
        <v/>
      </c>
      <c r="Q1394" t="inlineStr">
        <is>
          <t>todo</t>
        </is>
      </c>
    </row>
    <row r="1395">
      <c r="A1395" t="inlineStr">
        <is>
          <t>Clint Reid</t>
        </is>
      </c>
      <c r="B1395" t="inlineStr">
        <is>
          <t>Speaker</t>
        </is>
      </c>
      <c r="C1395" t="inlineStr">
        <is>
          <t>CEO</t>
        </is>
      </c>
      <c r="D1395" t="inlineStr">
        <is>
          <t>Zonos</t>
        </is>
      </c>
      <c r="H1395" t="n">
        <v>9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>
        <f>IFERROR(INDEX('Company Hitlist'!$AA:$AA,MATCH(D1395,'Company Hitlist'!$A:$A,0)),)</f>
        <v/>
      </c>
      <c r="O1395">
        <f>IFERROR(INDEX('Company Hitlist'!$N:$N,MATCH(D1395,'Company Hitlist'!$A:$A,0)),)</f>
        <v/>
      </c>
      <c r="Q1395" t="inlineStr">
        <is>
          <t>todo</t>
        </is>
      </c>
    </row>
    <row r="1396">
      <c r="A1396" t="inlineStr">
        <is>
          <t>Kelly Martinez</t>
        </is>
      </c>
      <c r="B1396" t="inlineStr">
        <is>
          <t>Speaker</t>
        </is>
      </c>
      <c r="C1396" t="inlineStr">
        <is>
          <t>Co-President &amp; Founder</t>
        </is>
      </c>
      <c r="D1396" t="inlineStr">
        <is>
          <t>ePost Global</t>
        </is>
      </c>
      <c r="F1396" t="inlineStr">
        <is>
          <t>Yes</t>
        </is>
      </c>
      <c r="H1396" t="n">
        <v>9</v>
      </c>
      <c r="I1396" t="b">
        <v>0</v>
      </c>
      <c r="J1396" t="b">
        <v>1</v>
      </c>
      <c r="K1396" t="b">
        <v>0</v>
      </c>
      <c r="L1396" t="b">
        <v>0</v>
      </c>
      <c r="M1396" t="b">
        <v>0</v>
      </c>
      <c r="N1396">
        <f>IFERROR(INDEX('Company Hitlist'!$AA:$AA,MATCH(D1396,'Company Hitlist'!$A:$A,0)),)</f>
        <v/>
      </c>
      <c r="O1396">
        <f>IFERROR(INDEX('Company Hitlist'!$N:$N,MATCH(D1396,'Company Hitlist'!$A:$A,0)),)</f>
        <v/>
      </c>
      <c r="Q1396" t="inlineStr">
        <is>
          <t>todo</t>
        </is>
      </c>
    </row>
    <row r="1397">
      <c r="A1397" t="inlineStr">
        <is>
          <t>Ksenia Duarte</t>
        </is>
      </c>
      <c r="B1397" t="inlineStr">
        <is>
          <t>Speaker</t>
        </is>
      </c>
      <c r="C1397" t="inlineStr">
        <is>
          <t>CEO &amp; Founder</t>
        </is>
      </c>
      <c r="D1397" t="inlineStr">
        <is>
          <t>ex9 - autonomous logistics</t>
        </is>
      </c>
      <c r="E1397" t="inlineStr">
        <is>
          <t>France</t>
        </is>
      </c>
      <c r="F1397" t="inlineStr">
        <is>
          <t>Yes</t>
        </is>
      </c>
      <c r="H1397" t="n">
        <v>9</v>
      </c>
      <c r="I1397" t="b">
        <v>0</v>
      </c>
      <c r="J1397" t="b">
        <v>1</v>
      </c>
      <c r="K1397" t="b">
        <v>0</v>
      </c>
      <c r="L1397" t="b">
        <v>0</v>
      </c>
      <c r="M1397" t="b">
        <v>0</v>
      </c>
      <c r="N1397">
        <f>IFERROR(INDEX('Company Hitlist'!$AA:$AA,MATCH(D1397,'Company Hitlist'!$A:$A,0)),)</f>
        <v/>
      </c>
      <c r="O1397">
        <f>IFERROR(INDEX('Company Hitlist'!$N:$N,MATCH(D1397,'Company Hitlist'!$A:$A,0)),)</f>
        <v/>
      </c>
      <c r="Q1397" t="inlineStr">
        <is>
          <t>todo</t>
        </is>
      </c>
    </row>
    <row r="1398">
      <c r="A1398" t="inlineStr">
        <is>
          <t>JP Wiggins</t>
        </is>
      </c>
      <c r="B1398" t="inlineStr">
        <is>
          <t>Sponsor</t>
        </is>
      </c>
      <c r="C1398" t="inlineStr">
        <is>
          <t>CEO</t>
        </is>
      </c>
      <c r="D1398" t="inlineStr">
        <is>
          <t>1Logtech</t>
        </is>
      </c>
      <c r="F1398" t="inlineStr">
        <is>
          <t>Yes</t>
        </is>
      </c>
      <c r="H1398" t="n">
        <v>8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  <c r="N1398">
        <f>IFERROR(INDEX('Company Hitlist'!$AA:$AA,MATCH(D1398,'Company Hitlist'!$A:$A,0)),)</f>
        <v/>
      </c>
      <c r="O1398">
        <f>IFERROR(INDEX('Company Hitlist'!$N:$N,MATCH(D1398,'Company Hitlist'!$A:$A,0)),)</f>
        <v/>
      </c>
      <c r="Q1398" t="inlineStr">
        <is>
          <t>todo</t>
        </is>
      </c>
    </row>
    <row r="1399">
      <c r="A1399" t="inlineStr">
        <is>
          <t>Ross Harris</t>
        </is>
      </c>
      <c r="B1399" t="inlineStr">
        <is>
          <t>Sponsor</t>
        </is>
      </c>
      <c r="C1399" t="inlineStr">
        <is>
          <t>CEO</t>
        </is>
      </c>
      <c r="D1399" t="inlineStr">
        <is>
          <t>A3 Freight Payment</t>
        </is>
      </c>
      <c r="F1399" t="inlineStr">
        <is>
          <t>Yes</t>
        </is>
      </c>
      <c r="H1399" t="n">
        <v>8</v>
      </c>
      <c r="I1399" t="b">
        <v>0</v>
      </c>
      <c r="J1399" t="b">
        <v>1</v>
      </c>
      <c r="K1399" t="b">
        <v>0</v>
      </c>
      <c r="L1399" t="b">
        <v>0</v>
      </c>
      <c r="M1399" t="b">
        <v>0</v>
      </c>
      <c r="N1399">
        <f>IFERROR(INDEX('Company Hitlist'!$AA:$AA,MATCH(D1399,'Company Hitlist'!$A:$A,0)),)</f>
        <v/>
      </c>
      <c r="O1399">
        <f>IFERROR(INDEX('Company Hitlist'!$N:$N,MATCH(D1399,'Company Hitlist'!$A:$A,0)),)</f>
        <v/>
      </c>
      <c r="Q1399" t="inlineStr">
        <is>
          <t>todo</t>
        </is>
      </c>
    </row>
    <row r="1400">
      <c r="A1400" t="inlineStr">
        <is>
          <t>Juan Duarte</t>
        </is>
      </c>
      <c r="B1400" t="inlineStr">
        <is>
          <t>Sponsor</t>
        </is>
      </c>
      <c r="C1400" t="inlineStr">
        <is>
          <t>Executive President</t>
        </is>
      </c>
      <c r="D1400" t="inlineStr">
        <is>
          <t>AAPA Latam</t>
        </is>
      </c>
      <c r="H1400" t="n">
        <v>8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  <c r="N1400">
        <f>IFERROR(INDEX('Company Hitlist'!$AA:$AA,MATCH(D1400,'Company Hitlist'!$A:$A,0)),)</f>
        <v/>
      </c>
      <c r="O1400">
        <f>IFERROR(INDEX('Company Hitlist'!$N:$N,MATCH(D1400,'Company Hitlist'!$A:$A,0)),)</f>
        <v/>
      </c>
      <c r="Q1400" t="inlineStr">
        <is>
          <t>todo</t>
        </is>
      </c>
    </row>
    <row r="1401">
      <c r="A1401" t="inlineStr">
        <is>
          <t>Kevin Changsoo Jeong</t>
        </is>
      </c>
      <c r="B1401" t="inlineStr">
        <is>
          <t>Sponsor</t>
        </is>
      </c>
      <c r="C1401" t="inlineStr">
        <is>
          <t>CEO</t>
        </is>
      </c>
      <c r="D1401" t="inlineStr">
        <is>
          <t>AIKEY Inc</t>
        </is>
      </c>
      <c r="F1401" t="inlineStr">
        <is>
          <t>Yes</t>
        </is>
      </c>
      <c r="H1401" t="n">
        <v>8</v>
      </c>
      <c r="I1401" t="b">
        <v>0</v>
      </c>
      <c r="J1401" t="b">
        <v>1</v>
      </c>
      <c r="K1401" t="b">
        <v>0</v>
      </c>
      <c r="L1401" t="b">
        <v>0</v>
      </c>
      <c r="M1401" t="b">
        <v>0</v>
      </c>
      <c r="N1401">
        <f>IFERROR(INDEX('Company Hitlist'!$AA:$AA,MATCH(D1401,'Company Hitlist'!$A:$A,0)),)</f>
        <v/>
      </c>
      <c r="O1401">
        <f>IFERROR(INDEX('Company Hitlist'!$N:$N,MATCH(D1401,'Company Hitlist'!$A:$A,0)),)</f>
        <v/>
      </c>
      <c r="Q1401" t="inlineStr">
        <is>
          <t>todo</t>
        </is>
      </c>
    </row>
    <row r="1402">
      <c r="A1402" t="inlineStr">
        <is>
          <t>Jeroen Röhner</t>
        </is>
      </c>
      <c r="B1402" t="inlineStr">
        <is>
          <t>Sponsor</t>
        </is>
      </c>
      <c r="C1402" t="inlineStr">
        <is>
          <t>Head of Customer Value</t>
        </is>
      </c>
      <c r="D1402" t="inlineStr">
        <is>
          <t>AIMMS</t>
        </is>
      </c>
      <c r="E1402" t="inlineStr">
        <is>
          <t>Netherlands</t>
        </is>
      </c>
      <c r="F1402" t="inlineStr">
        <is>
          <t>Yes</t>
        </is>
      </c>
      <c r="H1402" t="n">
        <v>8</v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  <c r="N1402">
        <f>IFERROR(INDEX('Company Hitlist'!$AA:$AA,MATCH(D1402,'Company Hitlist'!$A:$A,0)),)</f>
        <v/>
      </c>
      <c r="O1402">
        <f>IFERROR(INDEX('Company Hitlist'!$N:$N,MATCH(D1402,'Company Hitlist'!$A:$A,0)),)</f>
        <v/>
      </c>
      <c r="Q1402" t="inlineStr">
        <is>
          <t>todo</t>
        </is>
      </c>
    </row>
    <row r="1403">
      <c r="A1403" t="inlineStr">
        <is>
          <t>Guy Gemmill</t>
        </is>
      </c>
      <c r="B1403" t="inlineStr">
        <is>
          <t>Sponsor</t>
        </is>
      </c>
      <c r="C1403" t="inlineStr">
        <is>
          <t>President &amp; Co-Founder</t>
        </is>
      </c>
      <c r="D1403" t="inlineStr">
        <is>
          <t>APC Postal Logistics</t>
        </is>
      </c>
      <c r="E1403" t="inlineStr">
        <is>
          <t>United States</t>
        </is>
      </c>
      <c r="F1403" t="inlineStr">
        <is>
          <t>Yes</t>
        </is>
      </c>
      <c r="G1403" t="inlineStr">
        <is>
          <t>$29.4M</t>
        </is>
      </c>
      <c r="H1403" t="n">
        <v>8</v>
      </c>
      <c r="I1403" t="b">
        <v>0</v>
      </c>
      <c r="J1403" t="b">
        <v>1</v>
      </c>
      <c r="K1403" t="b">
        <v>0</v>
      </c>
      <c r="L1403" t="b">
        <v>0</v>
      </c>
      <c r="M1403" t="b">
        <v>0</v>
      </c>
      <c r="N1403">
        <f>IFERROR(INDEX('Company Hitlist'!$AA:$AA,MATCH(D1403,'Company Hitlist'!$A:$A,0)),)</f>
        <v/>
      </c>
      <c r="O1403">
        <f>IFERROR(INDEX('Company Hitlist'!$N:$N,MATCH(D1403,'Company Hitlist'!$A:$A,0)),)</f>
        <v/>
      </c>
      <c r="Q1403" t="inlineStr">
        <is>
          <t>todo</t>
        </is>
      </c>
    </row>
    <row r="1404">
      <c r="A1404" t="inlineStr">
        <is>
          <t>Michael Galianos</t>
        </is>
      </c>
      <c r="B1404" t="inlineStr">
        <is>
          <t>Sponsor</t>
        </is>
      </c>
      <c r="C1404" t="inlineStr">
        <is>
          <t>COO &amp; Co-Founder</t>
        </is>
      </c>
      <c r="D1404" t="inlineStr">
        <is>
          <t>APC Postal Logistics</t>
        </is>
      </c>
      <c r="E1404" t="inlineStr">
        <is>
          <t>United States</t>
        </is>
      </c>
      <c r="F1404" t="inlineStr">
        <is>
          <t>Yes</t>
        </is>
      </c>
      <c r="G1404" t="inlineStr">
        <is>
          <t>$29.4M</t>
        </is>
      </c>
      <c r="H1404" t="n">
        <v>8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>
        <f>IFERROR(INDEX('Company Hitlist'!$AA:$AA,MATCH(D1404,'Company Hitlist'!$A:$A,0)),)</f>
        <v/>
      </c>
      <c r="O1404">
        <f>IFERROR(INDEX('Company Hitlist'!$N:$N,MATCH(D1404,'Company Hitlist'!$A:$A,0)),)</f>
        <v/>
      </c>
      <c r="Q1404" t="inlineStr">
        <is>
          <t>todo</t>
        </is>
      </c>
    </row>
    <row r="1405">
      <c r="A1405" t="inlineStr">
        <is>
          <t>Phillip Dearth</t>
        </is>
      </c>
      <c r="B1405" t="inlineStr">
        <is>
          <t>Sponsor</t>
        </is>
      </c>
      <c r="C1405" t="inlineStr">
        <is>
          <t>VP, Americas</t>
        </is>
      </c>
      <c r="D1405" t="inlineStr">
        <is>
          <t>APL Logistics</t>
        </is>
      </c>
      <c r="F1405" t="inlineStr">
        <is>
          <t>Yes</t>
        </is>
      </c>
      <c r="G1405" t="inlineStr">
        <is>
          <t>1458000000</t>
        </is>
      </c>
      <c r="H1405" t="n">
        <v>8</v>
      </c>
      <c r="I1405" t="b">
        <v>0</v>
      </c>
      <c r="J1405" t="b">
        <v>1</v>
      </c>
      <c r="K1405" t="b">
        <v>0</v>
      </c>
      <c r="L1405" t="b">
        <v>0</v>
      </c>
      <c r="M1405" t="b">
        <v>0</v>
      </c>
      <c r="N1405">
        <f>IFERROR(INDEX('Company Hitlist'!$AA:$AA,MATCH(D1405,'Company Hitlist'!$A:$A,0)),)</f>
        <v/>
      </c>
      <c r="O1405">
        <f>IFERROR(INDEX('Company Hitlist'!$N:$N,MATCH(D1405,'Company Hitlist'!$A:$A,0)),)</f>
        <v/>
      </c>
      <c r="Q1405" t="inlineStr">
        <is>
          <t>todo</t>
        </is>
      </c>
    </row>
    <row r="1406">
      <c r="A1406" t="inlineStr">
        <is>
          <t>Cory Desmarais</t>
        </is>
      </c>
      <c r="B1406" t="inlineStr">
        <is>
          <t>Attendee</t>
        </is>
      </c>
      <c r="C1406" t="inlineStr">
        <is>
          <t>Sr Mgr, Global Procurement</t>
        </is>
      </c>
      <c r="D1406" t="inlineStr">
        <is>
          <t>AWS Cloud</t>
        </is>
      </c>
      <c r="F1406" t="inlineStr">
        <is>
          <t>Yes</t>
        </is>
      </c>
      <c r="H1406" t="n">
        <v>8</v>
      </c>
      <c r="I1406" t="b">
        <v>0</v>
      </c>
      <c r="J1406" t="b">
        <v>0</v>
      </c>
      <c r="K1406" t="b">
        <v>0</v>
      </c>
      <c r="L1406" t="b">
        <v>1</v>
      </c>
      <c r="M1406" t="b">
        <v>0</v>
      </c>
      <c r="N1406">
        <f>IFERROR(INDEX('Company Hitlist'!$AA:$AA,MATCH(D1406,'Company Hitlist'!$A:$A,0)),)</f>
        <v/>
      </c>
      <c r="O1406">
        <f>IFERROR(INDEX('Company Hitlist'!$N:$N,MATCH(D1406,'Company Hitlist'!$A:$A,0)),)</f>
        <v/>
      </c>
      <c r="Q1406" t="inlineStr">
        <is>
          <t>todo</t>
        </is>
      </c>
    </row>
    <row r="1407">
      <c r="A1407" t="inlineStr">
        <is>
          <t>Niloofar Fard</t>
        </is>
      </c>
      <c r="B1407" t="inlineStr">
        <is>
          <t>Attendee</t>
        </is>
      </c>
      <c r="C1407" t="inlineStr">
        <is>
          <t>Fuel Procurement</t>
        </is>
      </c>
      <c r="D1407" t="inlineStr">
        <is>
          <t>Allegiant</t>
        </is>
      </c>
      <c r="E1407" t="inlineStr">
        <is>
          <t>United States</t>
        </is>
      </c>
      <c r="F1407" t="inlineStr">
        <is>
          <t>Yes</t>
        </is>
      </c>
      <c r="H1407" t="n">
        <v>8</v>
      </c>
      <c r="I1407" t="b">
        <v>0</v>
      </c>
      <c r="J1407" t="b">
        <v>0</v>
      </c>
      <c r="K1407" t="b">
        <v>0</v>
      </c>
      <c r="L1407" t="b">
        <v>1</v>
      </c>
      <c r="M1407" t="b">
        <v>0</v>
      </c>
      <c r="N1407">
        <f>IFERROR(INDEX('Company Hitlist'!$AA:$AA,MATCH(D1407,'Company Hitlist'!$A:$A,0)),)</f>
        <v/>
      </c>
      <c r="O1407">
        <f>IFERROR(INDEX('Company Hitlist'!$N:$N,MATCH(D1407,'Company Hitlist'!$A:$A,0)),)</f>
        <v/>
      </c>
      <c r="Q1407" t="inlineStr">
        <is>
          <t>todo</t>
        </is>
      </c>
    </row>
    <row r="1408">
      <c r="A1408" t="inlineStr">
        <is>
          <t>Drazen Andreson</t>
        </is>
      </c>
      <c r="B1408" t="inlineStr">
        <is>
          <t>Attendee</t>
        </is>
      </c>
      <c r="C1408" t="inlineStr">
        <is>
          <t>Director Procurement</t>
        </is>
      </c>
      <c r="D1408" t="inlineStr">
        <is>
          <t>Allegiant</t>
        </is>
      </c>
      <c r="F1408" t="inlineStr">
        <is>
          <t>Yes</t>
        </is>
      </c>
      <c r="H1408" t="n">
        <v>8</v>
      </c>
      <c r="I1408" t="b">
        <v>0</v>
      </c>
      <c r="J1408" t="b">
        <v>0</v>
      </c>
      <c r="K1408" t="b">
        <v>0</v>
      </c>
      <c r="L1408" t="b">
        <v>1</v>
      </c>
      <c r="M1408" t="b">
        <v>0</v>
      </c>
      <c r="N1408">
        <f>IFERROR(INDEX('Company Hitlist'!$AA:$AA,MATCH(D1408,'Company Hitlist'!$A:$A,0)),)</f>
        <v/>
      </c>
      <c r="O1408">
        <f>IFERROR(INDEX('Company Hitlist'!$N:$N,MATCH(D1408,'Company Hitlist'!$A:$A,0)),)</f>
        <v/>
      </c>
      <c r="Q1408" t="inlineStr">
        <is>
          <t>todo</t>
        </is>
      </c>
    </row>
    <row r="1409">
      <c r="A1409" t="inlineStr">
        <is>
          <t>Emma Marosits</t>
        </is>
      </c>
      <c r="B1409" t="inlineStr">
        <is>
          <t>Attendee</t>
        </is>
      </c>
      <c r="C1409" t="inlineStr">
        <is>
          <t>Fuel Procurement</t>
        </is>
      </c>
      <c r="D1409" t="inlineStr">
        <is>
          <t>Allegiant</t>
        </is>
      </c>
      <c r="F1409" t="inlineStr">
        <is>
          <t>Yes</t>
        </is>
      </c>
      <c r="H1409" t="n">
        <v>8</v>
      </c>
      <c r="I1409" t="b">
        <v>0</v>
      </c>
      <c r="J1409" t="b">
        <v>0</v>
      </c>
      <c r="K1409" t="b">
        <v>0</v>
      </c>
      <c r="L1409" t="b">
        <v>1</v>
      </c>
      <c r="M1409" t="b">
        <v>0</v>
      </c>
      <c r="N1409">
        <f>IFERROR(INDEX('Company Hitlist'!$AA:$AA,MATCH(D1409,'Company Hitlist'!$A:$A,0)),)</f>
        <v/>
      </c>
      <c r="O1409">
        <f>IFERROR(INDEX('Company Hitlist'!$N:$N,MATCH(D1409,'Company Hitlist'!$A:$A,0)),)</f>
        <v/>
      </c>
      <c r="Q1409" t="inlineStr">
        <is>
          <t>todo</t>
        </is>
      </c>
    </row>
    <row r="1410">
      <c r="A1410" t="inlineStr">
        <is>
          <t>Stefanie Jachimiak</t>
        </is>
      </c>
      <c r="B1410" t="inlineStr">
        <is>
          <t>Attendee</t>
        </is>
      </c>
      <c r="C1410" t="inlineStr">
        <is>
          <t>Fuel Purchasing Manager</t>
        </is>
      </c>
      <c r="D1410" t="inlineStr">
        <is>
          <t>Allegiant</t>
        </is>
      </c>
      <c r="H1410" t="n">
        <v>8</v>
      </c>
      <c r="I1410" t="b">
        <v>0</v>
      </c>
      <c r="J1410" t="b">
        <v>0</v>
      </c>
      <c r="K1410" t="b">
        <v>0</v>
      </c>
      <c r="L1410" t="b">
        <v>1</v>
      </c>
      <c r="M1410" t="b">
        <v>0</v>
      </c>
      <c r="N1410">
        <f>IFERROR(INDEX('Company Hitlist'!$AA:$AA,MATCH(D1410,'Company Hitlist'!$A:$A,0)),)</f>
        <v/>
      </c>
      <c r="O1410">
        <f>IFERROR(INDEX('Company Hitlist'!$N:$N,MATCH(D1410,'Company Hitlist'!$A:$A,0)),)</f>
        <v/>
      </c>
      <c r="Q1410" t="inlineStr">
        <is>
          <t>todo</t>
        </is>
      </c>
    </row>
    <row r="1411">
      <c r="A1411" t="inlineStr">
        <is>
          <t>Joe Donadoni</t>
        </is>
      </c>
      <c r="B1411" t="inlineStr">
        <is>
          <t>Sponsor</t>
        </is>
      </c>
      <c r="C1411" t="inlineStr">
        <is>
          <t>Senior Vice President, Development</t>
        </is>
      </c>
      <c r="D1411" t="inlineStr">
        <is>
          <t>Alliance for Chemical Distribution</t>
        </is>
      </c>
      <c r="E1411" t="inlineStr">
        <is>
          <t>United States</t>
        </is>
      </c>
      <c r="H1411" t="n">
        <v>8</v>
      </c>
      <c r="I1411" t="b">
        <v>0</v>
      </c>
      <c r="J1411" t="b">
        <v>1</v>
      </c>
      <c r="K1411" t="b">
        <v>0</v>
      </c>
      <c r="L1411" t="b">
        <v>0</v>
      </c>
      <c r="M1411" t="b">
        <v>0</v>
      </c>
      <c r="N1411">
        <f>IFERROR(INDEX('Company Hitlist'!$AA:$AA,MATCH(D1411,'Company Hitlist'!$A:$A,0)),)</f>
        <v/>
      </c>
      <c r="O1411">
        <f>IFERROR(INDEX('Company Hitlist'!$N:$N,MATCH(D1411,'Company Hitlist'!$A:$A,0)),)</f>
        <v/>
      </c>
      <c r="Q1411" t="inlineStr">
        <is>
          <t>todo</t>
        </is>
      </c>
    </row>
    <row r="1412">
      <c r="A1412" t="inlineStr">
        <is>
          <t>Amanda Federer</t>
        </is>
      </c>
      <c r="B1412" t="inlineStr">
        <is>
          <t>Attendee</t>
        </is>
      </c>
      <c r="C1412" t="inlineStr">
        <is>
          <t>Fuel Procurement</t>
        </is>
      </c>
      <c r="D1412" t="inlineStr">
        <is>
          <t>Alligiant</t>
        </is>
      </c>
      <c r="F1412" t="inlineStr">
        <is>
          <t>Yes</t>
        </is>
      </c>
      <c r="H1412" t="n">
        <v>8</v>
      </c>
      <c r="I1412" t="b">
        <v>0</v>
      </c>
      <c r="J1412" t="b">
        <v>0</v>
      </c>
      <c r="K1412" t="b">
        <v>0</v>
      </c>
      <c r="L1412" t="b">
        <v>1</v>
      </c>
      <c r="M1412" t="b">
        <v>0</v>
      </c>
      <c r="N1412">
        <f>IFERROR(INDEX('Company Hitlist'!$AA:$AA,MATCH(D1412,'Company Hitlist'!$A:$A,0)),)</f>
        <v/>
      </c>
      <c r="O1412">
        <f>IFERROR(INDEX('Company Hitlist'!$N:$N,MATCH(D1412,'Company Hitlist'!$A:$A,0)),)</f>
        <v/>
      </c>
      <c r="Q1412" t="inlineStr">
        <is>
          <t>todo</t>
        </is>
      </c>
    </row>
    <row r="1413">
      <c r="A1413" t="inlineStr">
        <is>
          <t>David Padula</t>
        </is>
      </c>
      <c r="B1413" t="inlineStr">
        <is>
          <t>Attendee</t>
        </is>
      </c>
      <c r="C1413" t="inlineStr">
        <is>
          <t>Director of Procurement</t>
        </is>
      </c>
      <c r="D1413" t="inlineStr">
        <is>
          <t>Alo Yoga &amp; Bella+Canvas</t>
        </is>
      </c>
      <c r="F1413" t="inlineStr">
        <is>
          <t>Yes</t>
        </is>
      </c>
      <c r="H1413" t="n">
        <v>8</v>
      </c>
      <c r="I1413" t="b">
        <v>0</v>
      </c>
      <c r="J1413" t="b">
        <v>0</v>
      </c>
      <c r="K1413" t="b">
        <v>0</v>
      </c>
      <c r="L1413" t="b">
        <v>1</v>
      </c>
      <c r="M1413" t="b">
        <v>0</v>
      </c>
      <c r="N1413">
        <f>IFERROR(INDEX('Company Hitlist'!$AA:$AA,MATCH(D1413,'Company Hitlist'!$A:$A,0)),)</f>
        <v/>
      </c>
      <c r="O1413">
        <f>IFERROR(INDEX('Company Hitlist'!$N:$N,MATCH(D1413,'Company Hitlist'!$A:$A,0)),)</f>
        <v/>
      </c>
      <c r="Q1413" t="inlineStr">
        <is>
          <t>todo</t>
        </is>
      </c>
    </row>
    <row r="1414">
      <c r="A1414" t="inlineStr">
        <is>
          <t>Michael Murray</t>
        </is>
      </c>
      <c r="B1414" t="inlineStr">
        <is>
          <t>Attendee</t>
        </is>
      </c>
      <c r="C1414" t="inlineStr">
        <is>
          <t>Enterprise Procurement Manager</t>
        </is>
      </c>
      <c r="D1414" t="inlineStr">
        <is>
          <t>Amazon</t>
        </is>
      </c>
      <c r="H1414" t="n">
        <v>8</v>
      </c>
      <c r="I1414" t="b">
        <v>0</v>
      </c>
      <c r="J1414" t="b">
        <v>0</v>
      </c>
      <c r="K1414" t="b">
        <v>0</v>
      </c>
      <c r="L1414" t="b">
        <v>1</v>
      </c>
      <c r="M1414" t="b">
        <v>0</v>
      </c>
      <c r="N1414">
        <f>IFERROR(INDEX('Company Hitlist'!$AA:$AA,MATCH(D1414,'Company Hitlist'!$A:$A,0)),)</f>
        <v/>
      </c>
      <c r="O1414">
        <f>IFERROR(INDEX('Company Hitlist'!$N:$N,MATCH(D1414,'Company Hitlist'!$A:$A,0)),)</f>
        <v/>
      </c>
      <c r="Q1414" t="inlineStr">
        <is>
          <t>todo</t>
        </is>
      </c>
    </row>
    <row r="1415">
      <c r="A1415" t="inlineStr">
        <is>
          <t>Jeffrey Rueschhoff</t>
        </is>
      </c>
      <c r="B1415" t="inlineStr">
        <is>
          <t>Attendee</t>
        </is>
      </c>
      <c r="C1415" t="inlineStr">
        <is>
          <t>Sr Director Sourcing and Procurement</t>
        </is>
      </c>
      <c r="D1415" t="inlineStr">
        <is>
          <t>Americold</t>
        </is>
      </c>
      <c r="H1415" t="n">
        <v>8</v>
      </c>
      <c r="I1415" t="b">
        <v>0</v>
      </c>
      <c r="J1415" t="b">
        <v>0</v>
      </c>
      <c r="K1415" t="b">
        <v>0</v>
      </c>
      <c r="L1415" t="b">
        <v>1</v>
      </c>
      <c r="M1415" t="b">
        <v>0</v>
      </c>
      <c r="N1415">
        <f>IFERROR(INDEX('Company Hitlist'!$AA:$AA,MATCH(D1415,'Company Hitlist'!$A:$A,0)),)</f>
        <v/>
      </c>
      <c r="O1415">
        <f>IFERROR(INDEX('Company Hitlist'!$N:$N,MATCH(D1415,'Company Hitlist'!$A:$A,0)),)</f>
        <v/>
      </c>
      <c r="Q1415" t="inlineStr">
        <is>
          <t>todo</t>
        </is>
      </c>
    </row>
    <row r="1416">
      <c r="A1416" t="inlineStr">
        <is>
          <t>Zachary Kelch</t>
        </is>
      </c>
      <c r="B1416" t="inlineStr">
        <is>
          <t>Sponsor</t>
        </is>
      </c>
      <c r="C1416" t="inlineStr">
        <is>
          <t>Vice President, Smart Autonomy Business Line - Vaux</t>
        </is>
      </c>
      <c r="D1416" t="inlineStr">
        <is>
          <t>ArcBest</t>
        </is>
      </c>
      <c r="E1416" t="inlineStr">
        <is>
          <t>United States</t>
        </is>
      </c>
      <c r="F1416" t="inlineStr">
        <is>
          <t>Yes</t>
        </is>
      </c>
      <c r="G1416" t="inlineStr">
        <is>
          <t>$4.4 billion (2025)</t>
        </is>
      </c>
      <c r="H1416" t="n">
        <v>8</v>
      </c>
      <c r="I1416" t="b">
        <v>0</v>
      </c>
      <c r="J1416" t="b">
        <v>1</v>
      </c>
      <c r="K1416" t="b">
        <v>0</v>
      </c>
      <c r="L1416" t="b">
        <v>0</v>
      </c>
      <c r="M1416" t="b">
        <v>0</v>
      </c>
      <c r="N1416">
        <f>IFERROR(INDEX('Company Hitlist'!$AA:$AA,MATCH(D1416,'Company Hitlist'!$A:$A,0)),)</f>
        <v/>
      </c>
      <c r="O1416">
        <f>IFERROR(INDEX('Company Hitlist'!$N:$N,MATCH(D1416,'Company Hitlist'!$A:$A,0)),)</f>
        <v/>
      </c>
      <c r="Q1416" t="inlineStr">
        <is>
          <t>todo</t>
        </is>
      </c>
    </row>
    <row r="1417">
      <c r="A1417" t="inlineStr">
        <is>
          <t>Dennis Anderson</t>
        </is>
      </c>
      <c r="B1417" t="inlineStr">
        <is>
          <t>Sponsor</t>
        </is>
      </c>
      <c r="C1417" t="inlineStr">
        <is>
          <t>Chief Innovation Officer</t>
        </is>
      </c>
      <c r="D1417" t="inlineStr">
        <is>
          <t>ArcBest</t>
        </is>
      </c>
      <c r="F1417" t="inlineStr">
        <is>
          <t>Yes</t>
        </is>
      </c>
      <c r="G1417" t="inlineStr">
        <is>
          <t>$4.4 billion (2025)</t>
        </is>
      </c>
      <c r="H1417" t="n">
        <v>8</v>
      </c>
      <c r="I1417" t="b">
        <v>0</v>
      </c>
      <c r="J1417" t="b">
        <v>1</v>
      </c>
      <c r="K1417" t="b">
        <v>0</v>
      </c>
      <c r="L1417" t="b">
        <v>0</v>
      </c>
      <c r="M1417" t="b">
        <v>0</v>
      </c>
      <c r="N1417">
        <f>IFERROR(INDEX('Company Hitlist'!$AA:$AA,MATCH(D1417,'Company Hitlist'!$A:$A,0)),)</f>
        <v/>
      </c>
      <c r="O1417">
        <f>IFERROR(INDEX('Company Hitlist'!$N:$N,MATCH(D1417,'Company Hitlist'!$A:$A,0)),)</f>
        <v/>
      </c>
      <c r="Q1417" t="inlineStr">
        <is>
          <t>todo</t>
        </is>
      </c>
    </row>
    <row r="1418">
      <c r="A1418" t="inlineStr">
        <is>
          <t>Jared Belt</t>
        </is>
      </c>
      <c r="B1418" t="inlineStr">
        <is>
          <t>Sponsor</t>
        </is>
      </c>
      <c r="C1418" t="inlineStr">
        <is>
          <t>Vice President, Commercialization - Vaux</t>
        </is>
      </c>
      <c r="D1418" t="inlineStr">
        <is>
          <t>ArcBest</t>
        </is>
      </c>
      <c r="F1418" t="inlineStr">
        <is>
          <t>Yes</t>
        </is>
      </c>
      <c r="G1418" t="inlineStr">
        <is>
          <t>$4.4 billion (2025)</t>
        </is>
      </c>
      <c r="H1418" t="n">
        <v>8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  <c r="N1418">
        <f>IFERROR(INDEX('Company Hitlist'!$AA:$AA,MATCH(D1418,'Company Hitlist'!$A:$A,0)),)</f>
        <v/>
      </c>
      <c r="O1418">
        <f>IFERROR(INDEX('Company Hitlist'!$N:$N,MATCH(D1418,'Company Hitlist'!$A:$A,0)),)</f>
        <v/>
      </c>
      <c r="Q1418" t="inlineStr">
        <is>
          <t>todo</t>
        </is>
      </c>
    </row>
    <row r="1419">
      <c r="A1419" t="inlineStr">
        <is>
          <t>Jefferson Maldonado</t>
        </is>
      </c>
      <c r="B1419" t="inlineStr">
        <is>
          <t>Sponsor</t>
        </is>
      </c>
      <c r="C1419" t="inlineStr">
        <is>
          <t>Vice President, Smart Autonomy Engineering - Vaux</t>
        </is>
      </c>
      <c r="D1419" t="inlineStr">
        <is>
          <t>ArcBest</t>
        </is>
      </c>
      <c r="F1419" t="inlineStr">
        <is>
          <t>Yes</t>
        </is>
      </c>
      <c r="G1419" t="inlineStr">
        <is>
          <t>$4.4 billion (2025)</t>
        </is>
      </c>
      <c r="H1419" t="n">
        <v>8</v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  <c r="N1419">
        <f>IFERROR(INDEX('Company Hitlist'!$AA:$AA,MATCH(D1419,'Company Hitlist'!$A:$A,0)),)</f>
        <v/>
      </c>
      <c r="O1419">
        <f>IFERROR(INDEX('Company Hitlist'!$N:$N,MATCH(D1419,'Company Hitlist'!$A:$A,0)),)</f>
        <v/>
      </c>
      <c r="Q1419" t="inlineStr">
        <is>
          <t>todo</t>
        </is>
      </c>
    </row>
    <row r="1420">
      <c r="A1420" t="inlineStr">
        <is>
          <t>Brian Nachtigall</t>
        </is>
      </c>
      <c r="B1420" t="inlineStr">
        <is>
          <t>Sponsor</t>
        </is>
      </c>
      <c r="C1420" t="inlineStr">
        <is>
          <t>General Manager - Vaux</t>
        </is>
      </c>
      <c r="D1420" t="inlineStr">
        <is>
          <t>ArcBest</t>
        </is>
      </c>
      <c r="H1420" t="n">
        <v>8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  <c r="N1420">
        <f>IFERROR(INDEX('Company Hitlist'!$AA:$AA,MATCH(D1420,'Company Hitlist'!$A:$A,0)),)</f>
        <v/>
      </c>
      <c r="O1420">
        <f>IFERROR(INDEX('Company Hitlist'!$N:$N,MATCH(D1420,'Company Hitlist'!$A:$A,0)),)</f>
        <v/>
      </c>
      <c r="Q1420" t="inlineStr">
        <is>
          <t>todo</t>
        </is>
      </c>
    </row>
    <row r="1421">
      <c r="A1421" t="inlineStr">
        <is>
          <t>Matt Hofstetter</t>
        </is>
      </c>
      <c r="B1421" t="inlineStr">
        <is>
          <t>Attendee</t>
        </is>
      </c>
      <c r="C1421" t="inlineStr">
        <is>
          <t>Senior Strategic Sourcing Manager</t>
        </is>
      </c>
      <c r="D1421" t="inlineStr">
        <is>
          <t>Aristocrat Technologies</t>
        </is>
      </c>
      <c r="H1421" t="n">
        <v>8</v>
      </c>
      <c r="I1421" t="b">
        <v>0</v>
      </c>
      <c r="J1421" t="b">
        <v>0</v>
      </c>
      <c r="K1421" t="b">
        <v>0</v>
      </c>
      <c r="L1421" t="b">
        <v>1</v>
      </c>
      <c r="M1421" t="b">
        <v>0</v>
      </c>
      <c r="N1421">
        <f>IFERROR(INDEX('Company Hitlist'!$AA:$AA,MATCH(D1421,'Company Hitlist'!$A:$A,0)),)</f>
        <v/>
      </c>
      <c r="O1421">
        <f>IFERROR(INDEX('Company Hitlist'!$N:$N,MATCH(D1421,'Company Hitlist'!$A:$A,0)),)</f>
        <v/>
      </c>
      <c r="Q1421" t="inlineStr">
        <is>
          <t>todo</t>
        </is>
      </c>
    </row>
    <row r="1422">
      <c r="A1422" t="inlineStr">
        <is>
          <t>Lisa Carrington</t>
        </is>
      </c>
      <c r="B1422" t="inlineStr">
        <is>
          <t>Attendee</t>
        </is>
      </c>
      <c r="C1422" t="inlineStr">
        <is>
          <t>Director, Procurement</t>
        </is>
      </c>
      <c r="D1422" t="inlineStr">
        <is>
          <t>Arizona Public Service</t>
        </is>
      </c>
      <c r="E1422" t="inlineStr">
        <is>
          <t>United States</t>
        </is>
      </c>
      <c r="F1422" t="inlineStr">
        <is>
          <t>Yes</t>
        </is>
      </c>
      <c r="H1422" t="n">
        <v>8</v>
      </c>
      <c r="I1422" t="b">
        <v>0</v>
      </c>
      <c r="J1422" t="b">
        <v>0</v>
      </c>
      <c r="K1422" t="b">
        <v>0</v>
      </c>
      <c r="L1422" t="b">
        <v>1</v>
      </c>
      <c r="M1422" t="b">
        <v>0</v>
      </c>
      <c r="N1422">
        <f>IFERROR(INDEX('Company Hitlist'!$AA:$AA,MATCH(D1422,'Company Hitlist'!$A:$A,0)),)</f>
        <v/>
      </c>
      <c r="O1422">
        <f>IFERROR(INDEX('Company Hitlist'!$N:$N,MATCH(D1422,'Company Hitlist'!$A:$A,0)),)</f>
        <v/>
      </c>
      <c r="Q1422" t="inlineStr">
        <is>
          <t>todo</t>
        </is>
      </c>
    </row>
    <row r="1423">
      <c r="A1423" t="inlineStr">
        <is>
          <t>Amol Walvekar</t>
        </is>
      </c>
      <c r="B1423" t="inlineStr">
        <is>
          <t>Sponsor</t>
        </is>
      </c>
      <c r="C1423" t="inlineStr">
        <is>
          <t>General Manager - Product</t>
        </is>
      </c>
      <c r="D1423" t="inlineStr">
        <is>
          <t>AtoB</t>
        </is>
      </c>
      <c r="H1423" t="n">
        <v>8</v>
      </c>
      <c r="I1423" t="b">
        <v>0</v>
      </c>
      <c r="J1423" t="b">
        <v>1</v>
      </c>
      <c r="K1423" t="b">
        <v>0</v>
      </c>
      <c r="L1423" t="b">
        <v>0</v>
      </c>
      <c r="M1423" t="b">
        <v>0</v>
      </c>
      <c r="N1423">
        <f>IFERROR(INDEX('Company Hitlist'!$AA:$AA,MATCH(D1423,'Company Hitlist'!$A:$A,0)),)</f>
        <v/>
      </c>
      <c r="O1423">
        <f>IFERROR(INDEX('Company Hitlist'!$N:$N,MATCH(D1423,'Company Hitlist'!$A:$A,0)),)</f>
        <v/>
      </c>
      <c r="Q1423" t="inlineStr">
        <is>
          <t>todo</t>
        </is>
      </c>
    </row>
    <row r="1424">
      <c r="A1424" t="inlineStr">
        <is>
          <t>Vignan Velivela</t>
        </is>
      </c>
      <c r="B1424" t="inlineStr">
        <is>
          <t>Sponsor</t>
        </is>
      </c>
      <c r="C1424" t="inlineStr">
        <is>
          <t>CEO, Co-Founder</t>
        </is>
      </c>
      <c r="D1424" t="inlineStr">
        <is>
          <t>AtoB</t>
        </is>
      </c>
      <c r="H1424" t="n">
        <v>8</v>
      </c>
      <c r="I1424" t="b">
        <v>0</v>
      </c>
      <c r="J1424" t="b">
        <v>1</v>
      </c>
      <c r="K1424" t="b">
        <v>0</v>
      </c>
      <c r="L1424" t="b">
        <v>0</v>
      </c>
      <c r="M1424" t="b">
        <v>0</v>
      </c>
      <c r="N1424">
        <f>IFERROR(INDEX('Company Hitlist'!$AA:$AA,MATCH(D1424,'Company Hitlist'!$A:$A,0)),)</f>
        <v/>
      </c>
      <c r="O1424">
        <f>IFERROR(INDEX('Company Hitlist'!$N:$N,MATCH(D1424,'Company Hitlist'!$A:$A,0)),)</f>
        <v/>
      </c>
      <c r="Q1424" t="inlineStr">
        <is>
          <t>todo</t>
        </is>
      </c>
    </row>
    <row r="1425">
      <c r="A1425" t="inlineStr">
        <is>
          <t>Keith Moore</t>
        </is>
      </c>
      <c r="B1425" t="inlineStr">
        <is>
          <t>Sponsor</t>
        </is>
      </c>
      <c r="C1425" t="inlineStr">
        <is>
          <t>CEO</t>
        </is>
      </c>
      <c r="D1425" t="inlineStr">
        <is>
          <t>AutoScheduler.AI</t>
        </is>
      </c>
      <c r="E1425" t="inlineStr">
        <is>
          <t>United States</t>
        </is>
      </c>
      <c r="F1425" t="inlineStr">
        <is>
          <t>Yes</t>
        </is>
      </c>
      <c r="G1425" t="inlineStr">
        <is>
          <t>$9.7 million (2025)</t>
        </is>
      </c>
      <c r="H1425" t="n">
        <v>8</v>
      </c>
      <c r="I1425" t="b">
        <v>0</v>
      </c>
      <c r="J1425" t="b">
        <v>1</v>
      </c>
      <c r="K1425" t="b">
        <v>0</v>
      </c>
      <c r="L1425" t="b">
        <v>0</v>
      </c>
      <c r="M1425" t="b">
        <v>0</v>
      </c>
      <c r="N1425">
        <f>IFERROR(INDEX('Company Hitlist'!$AA:$AA,MATCH(D1425,'Company Hitlist'!$A:$A,0)),)</f>
        <v/>
      </c>
      <c r="O1425">
        <f>IFERROR(INDEX('Company Hitlist'!$N:$N,MATCH(D1425,'Company Hitlist'!$A:$A,0)),)</f>
        <v/>
      </c>
      <c r="Q1425" t="inlineStr">
        <is>
          <t>todo</t>
        </is>
      </c>
    </row>
    <row r="1426">
      <c r="A1426" t="inlineStr">
        <is>
          <t>Matan Saat</t>
        </is>
      </c>
      <c r="B1426" t="inlineStr">
        <is>
          <t>Sponsor</t>
        </is>
      </c>
      <c r="C1426" t="inlineStr">
        <is>
          <t>CEO</t>
        </is>
      </c>
      <c r="D1426" t="inlineStr">
        <is>
          <t>Azimut.ai LTD</t>
        </is>
      </c>
      <c r="E1426" t="inlineStr">
        <is>
          <t>Israel</t>
        </is>
      </c>
      <c r="F1426" t="inlineStr">
        <is>
          <t>Yes</t>
        </is>
      </c>
      <c r="H1426" t="n">
        <v>8</v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  <c r="N1426">
        <f>IFERROR(INDEX('Company Hitlist'!$AA:$AA,MATCH(D1426,'Company Hitlist'!$A:$A,0)),)</f>
        <v/>
      </c>
      <c r="O1426">
        <f>IFERROR(INDEX('Company Hitlist'!$N:$N,MATCH(D1426,'Company Hitlist'!$A:$A,0)),)</f>
        <v/>
      </c>
      <c r="Q1426" t="inlineStr">
        <is>
          <t>todo</t>
        </is>
      </c>
    </row>
    <row r="1427">
      <c r="A1427" t="inlineStr">
        <is>
          <t>Michiel Schröder</t>
        </is>
      </c>
      <c r="B1427" t="inlineStr">
        <is>
          <t>Sponsor</t>
        </is>
      </c>
      <c r="C1427" t="inlineStr">
        <is>
          <t>Vice president</t>
        </is>
      </c>
      <c r="D1427" t="inlineStr">
        <is>
          <t>BBL Black Box Logistics BV</t>
        </is>
      </c>
      <c r="E1427" t="inlineStr">
        <is>
          <t>Netherlands</t>
        </is>
      </c>
      <c r="F1427" t="inlineStr">
        <is>
          <t>Yes</t>
        </is>
      </c>
      <c r="H1427" t="n">
        <v>8</v>
      </c>
      <c r="I1427" t="b">
        <v>0</v>
      </c>
      <c r="J1427" t="b">
        <v>1</v>
      </c>
      <c r="K1427" t="b">
        <v>0</v>
      </c>
      <c r="L1427" t="b">
        <v>0</v>
      </c>
      <c r="M1427" t="b">
        <v>0</v>
      </c>
      <c r="N1427">
        <f>IFERROR(INDEX('Company Hitlist'!$AA:$AA,MATCH(D1427,'Company Hitlist'!$A:$A,0)),)</f>
        <v/>
      </c>
      <c r="O1427">
        <f>IFERROR(INDEX('Company Hitlist'!$N:$N,MATCH(D1427,'Company Hitlist'!$A:$A,0)),)</f>
        <v/>
      </c>
      <c r="Q1427" t="inlineStr">
        <is>
          <t>todo</t>
        </is>
      </c>
    </row>
    <row r="1428">
      <c r="A1428" t="inlineStr">
        <is>
          <t>Sean McCarthy</t>
        </is>
      </c>
      <c r="B1428" t="inlineStr">
        <is>
          <t>Sponsor</t>
        </is>
      </c>
      <c r="C1428" t="inlineStr">
        <is>
          <t>Co-Founder &amp; CEO</t>
        </is>
      </c>
      <c r="D1428" t="inlineStr">
        <is>
          <t>BackOps AI</t>
        </is>
      </c>
      <c r="E1428" t="inlineStr">
        <is>
          <t>United States</t>
        </is>
      </c>
      <c r="F1428" t="inlineStr">
        <is>
          <t>Yes</t>
        </is>
      </c>
      <c r="H1428" t="n">
        <v>8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  <c r="N1428">
        <f>IFERROR(INDEX('Company Hitlist'!$AA:$AA,MATCH(D1428,'Company Hitlist'!$A:$A,0)),)</f>
        <v/>
      </c>
      <c r="O1428">
        <f>IFERROR(INDEX('Company Hitlist'!$N:$N,MATCH(D1428,'Company Hitlist'!$A:$A,0)),)</f>
        <v/>
      </c>
      <c r="Q1428" t="inlineStr">
        <is>
          <t>todo</t>
        </is>
      </c>
    </row>
    <row r="1429">
      <c r="A1429" t="inlineStr">
        <is>
          <t>Cameron Pearson</t>
        </is>
      </c>
      <c r="B1429" t="inlineStr">
        <is>
          <t>Sponsor</t>
        </is>
      </c>
      <c r="C1429" t="inlineStr">
        <is>
          <t>Head of Enterprise Strategy</t>
        </is>
      </c>
      <c r="D1429" t="inlineStr">
        <is>
          <t>Beans.ai</t>
        </is>
      </c>
      <c r="E1429" t="inlineStr">
        <is>
          <t>United States</t>
        </is>
      </c>
      <c r="H1429" t="n">
        <v>8</v>
      </c>
      <c r="I1429" t="b">
        <v>0</v>
      </c>
      <c r="J1429" t="b">
        <v>1</v>
      </c>
      <c r="K1429" t="b">
        <v>0</v>
      </c>
      <c r="L1429" t="b">
        <v>0</v>
      </c>
      <c r="M1429" t="b">
        <v>0</v>
      </c>
      <c r="N1429">
        <f>IFERROR(INDEX('Company Hitlist'!$AA:$AA,MATCH(D1429,'Company Hitlist'!$A:$A,0)),)</f>
        <v/>
      </c>
      <c r="O1429">
        <f>IFERROR(INDEX('Company Hitlist'!$N:$N,MATCH(D1429,'Company Hitlist'!$A:$A,0)),)</f>
        <v/>
      </c>
      <c r="Q1429" t="inlineStr">
        <is>
          <t>todo</t>
        </is>
      </c>
    </row>
    <row r="1430">
      <c r="A1430" t="inlineStr">
        <is>
          <t>Mitch James</t>
        </is>
      </c>
      <c r="B1430" t="inlineStr">
        <is>
          <t>Attendee</t>
        </is>
      </c>
      <c r="C1430" t="inlineStr">
        <is>
          <t>Purchasing Manager</t>
        </is>
      </c>
      <c r="D1430" t="inlineStr">
        <is>
          <t>Betenbough Homes</t>
        </is>
      </c>
      <c r="H1430" t="n">
        <v>8</v>
      </c>
      <c r="I1430" t="b">
        <v>0</v>
      </c>
      <c r="J1430" t="b">
        <v>0</v>
      </c>
      <c r="K1430" t="b">
        <v>0</v>
      </c>
      <c r="L1430" t="b">
        <v>1</v>
      </c>
      <c r="M1430" t="b">
        <v>0</v>
      </c>
      <c r="N1430">
        <f>IFERROR(INDEX('Company Hitlist'!$AA:$AA,MATCH(D1430,'Company Hitlist'!$A:$A,0)),)</f>
        <v/>
      </c>
      <c r="O1430">
        <f>IFERROR(INDEX('Company Hitlist'!$N:$N,MATCH(D1430,'Company Hitlist'!$A:$A,0)),)</f>
        <v/>
      </c>
      <c r="Q1430" t="inlineStr">
        <is>
          <t>todo</t>
        </is>
      </c>
    </row>
    <row r="1431">
      <c r="A1431" t="inlineStr">
        <is>
          <t>Deema Adada</t>
        </is>
      </c>
      <c r="B1431" t="inlineStr">
        <is>
          <t>Sponsor</t>
        </is>
      </c>
      <c r="C1431" t="inlineStr">
        <is>
          <t>Co-Founder &amp; CEO</t>
        </is>
      </c>
      <c r="D1431" t="inlineStr">
        <is>
          <t>BiggerPicture</t>
        </is>
      </c>
      <c r="E1431" t="inlineStr">
        <is>
          <t>United States</t>
        </is>
      </c>
      <c r="H1431" t="n">
        <v>8</v>
      </c>
      <c r="I1431" t="b">
        <v>0</v>
      </c>
      <c r="J1431" t="b">
        <v>1</v>
      </c>
      <c r="K1431" t="b">
        <v>0</v>
      </c>
      <c r="L1431" t="b">
        <v>0</v>
      </c>
      <c r="M1431" t="b">
        <v>0</v>
      </c>
      <c r="N1431">
        <f>IFERROR(INDEX('Company Hitlist'!$AA:$AA,MATCH(D1431,'Company Hitlist'!$A:$A,0)),)</f>
        <v/>
      </c>
      <c r="O1431">
        <f>IFERROR(INDEX('Company Hitlist'!$N:$N,MATCH(D1431,'Company Hitlist'!$A:$A,0)),)</f>
        <v/>
      </c>
      <c r="Q1431" t="inlineStr">
        <is>
          <t>todo</t>
        </is>
      </c>
    </row>
    <row r="1432">
      <c r="A1432" t="inlineStr">
        <is>
          <t>Christopher Plaat</t>
        </is>
      </c>
      <c r="B1432" t="inlineStr">
        <is>
          <t>Sponsor</t>
        </is>
      </c>
      <c r="C1432" t="inlineStr">
        <is>
          <t>General Manager and Senior Vice President</t>
        </is>
      </c>
      <c r="D1432" t="inlineStr">
        <is>
          <t>BlackBerry Radar</t>
        </is>
      </c>
      <c r="E1432" t="inlineStr">
        <is>
          <t>Canada</t>
        </is>
      </c>
      <c r="H1432" t="n">
        <v>8</v>
      </c>
      <c r="I1432" t="b">
        <v>0</v>
      </c>
      <c r="J1432" t="b">
        <v>1</v>
      </c>
      <c r="K1432" t="b">
        <v>0</v>
      </c>
      <c r="L1432" t="b">
        <v>0</v>
      </c>
      <c r="M1432" t="b">
        <v>0</v>
      </c>
      <c r="N1432">
        <f>IFERROR(INDEX('Company Hitlist'!$AA:$AA,MATCH(D1432,'Company Hitlist'!$A:$A,0)),)</f>
        <v/>
      </c>
      <c r="O1432">
        <f>IFERROR(INDEX('Company Hitlist'!$N:$N,MATCH(D1432,'Company Hitlist'!$A:$A,0)),)</f>
        <v/>
      </c>
      <c r="Q1432" t="inlineStr">
        <is>
          <t>todo</t>
        </is>
      </c>
    </row>
    <row r="1433">
      <c r="A1433" t="inlineStr">
        <is>
          <t>Alexandra Griffon</t>
        </is>
      </c>
      <c r="B1433" t="inlineStr">
        <is>
          <t>Sponsor</t>
        </is>
      </c>
      <c r="C1433" t="inlineStr">
        <is>
          <t>CEO and Co-Founder</t>
        </is>
      </c>
      <c r="D1433" t="inlineStr">
        <is>
          <t>BlueCargo</t>
        </is>
      </c>
      <c r="F1433" t="inlineStr">
        <is>
          <t>Yes</t>
        </is>
      </c>
      <c r="H1433" t="n">
        <v>8</v>
      </c>
      <c r="I1433" t="b">
        <v>0</v>
      </c>
      <c r="J1433" t="b">
        <v>1</v>
      </c>
      <c r="K1433" t="b">
        <v>0</v>
      </c>
      <c r="L1433" t="b">
        <v>0</v>
      </c>
      <c r="M1433" t="b">
        <v>0</v>
      </c>
      <c r="N1433">
        <f>IFERROR(INDEX('Company Hitlist'!$AA:$AA,MATCH(D1433,'Company Hitlist'!$A:$A,0)),)</f>
        <v/>
      </c>
      <c r="O1433">
        <f>IFERROR(INDEX('Company Hitlist'!$N:$N,MATCH(D1433,'Company Hitlist'!$A:$A,0)),)</f>
        <v/>
      </c>
      <c r="Q1433" t="inlineStr">
        <is>
          <t>todo</t>
        </is>
      </c>
    </row>
    <row r="1434">
      <c r="A1434" t="inlineStr">
        <is>
          <t>Paul Lam</t>
        </is>
      </c>
      <c r="B1434" t="inlineStr">
        <is>
          <t>Sponsor</t>
        </is>
      </c>
      <c r="C1434" t="inlineStr">
        <is>
          <t>CSO &amp; Head of Finance</t>
        </is>
      </c>
      <c r="D1434" t="inlineStr">
        <is>
          <t>Bot Auto</t>
        </is>
      </c>
      <c r="E1434" t="inlineStr">
        <is>
          <t>United States</t>
        </is>
      </c>
      <c r="H1434" t="n">
        <v>8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  <c r="N1434">
        <f>IFERROR(INDEX('Company Hitlist'!$AA:$AA,MATCH(D1434,'Company Hitlist'!$A:$A,0)),)</f>
        <v/>
      </c>
      <c r="O1434">
        <f>IFERROR(INDEX('Company Hitlist'!$N:$N,MATCH(D1434,'Company Hitlist'!$A:$A,0)),)</f>
        <v/>
      </c>
      <c r="Q1434" t="inlineStr">
        <is>
          <t>todo</t>
        </is>
      </c>
    </row>
    <row r="1435">
      <c r="A1435" t="inlineStr">
        <is>
          <t>Robert Brown</t>
        </is>
      </c>
      <c r="B1435" t="inlineStr">
        <is>
          <t>Sponsor</t>
        </is>
      </c>
      <c r="C1435" t="inlineStr">
        <is>
          <t>VP of Partnerships</t>
        </is>
      </c>
      <c r="D1435" t="inlineStr">
        <is>
          <t>Bot Auto</t>
        </is>
      </c>
      <c r="E1435" t="inlineStr">
        <is>
          <t>United States</t>
        </is>
      </c>
      <c r="H1435" t="n">
        <v>8</v>
      </c>
      <c r="I1435" t="b">
        <v>0</v>
      </c>
      <c r="J1435" t="b">
        <v>1</v>
      </c>
      <c r="K1435" t="b">
        <v>0</v>
      </c>
      <c r="L1435" t="b">
        <v>0</v>
      </c>
      <c r="M1435" t="b">
        <v>0</v>
      </c>
      <c r="N1435">
        <f>IFERROR(INDEX('Company Hitlist'!$AA:$AA,MATCH(D1435,'Company Hitlist'!$A:$A,0)),)</f>
        <v/>
      </c>
      <c r="O1435">
        <f>IFERROR(INDEX('Company Hitlist'!$N:$N,MATCH(D1435,'Company Hitlist'!$A:$A,0)),)</f>
        <v/>
      </c>
      <c r="Q1435" t="inlineStr">
        <is>
          <t>todo</t>
        </is>
      </c>
    </row>
    <row r="1436">
      <c r="A1436" t="inlineStr">
        <is>
          <t>Chad Schofield</t>
        </is>
      </c>
      <c r="B1436" t="inlineStr">
        <is>
          <t>Sponsor</t>
        </is>
      </c>
      <c r="C1436" t="inlineStr">
        <is>
          <t>Chief Digital Officer</t>
        </is>
      </c>
      <c r="D1436" t="inlineStr">
        <is>
          <t>BoxC</t>
        </is>
      </c>
      <c r="E1436" t="inlineStr">
        <is>
          <t>United States</t>
        </is>
      </c>
      <c r="F1436" t="inlineStr">
        <is>
          <t>Yes</t>
        </is>
      </c>
      <c r="H1436" t="n">
        <v>8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  <c r="N1436">
        <f>IFERROR(INDEX('Company Hitlist'!$AA:$AA,MATCH(D1436,'Company Hitlist'!$A:$A,0)),)</f>
        <v/>
      </c>
      <c r="O1436">
        <f>IFERROR(INDEX('Company Hitlist'!$N:$N,MATCH(D1436,'Company Hitlist'!$A:$A,0)),)</f>
        <v/>
      </c>
      <c r="Q1436" t="inlineStr">
        <is>
          <t>todo</t>
        </is>
      </c>
    </row>
    <row r="1437">
      <c r="A1437" t="inlineStr">
        <is>
          <t>Craig Strickland</t>
        </is>
      </c>
      <c r="B1437" t="inlineStr">
        <is>
          <t>Sponsor</t>
        </is>
      </c>
      <c r="C1437" t="inlineStr">
        <is>
          <t>CSO</t>
        </is>
      </c>
      <c r="D1437" t="inlineStr">
        <is>
          <t>BoxC</t>
        </is>
      </c>
      <c r="E1437" t="inlineStr">
        <is>
          <t>United States</t>
        </is>
      </c>
      <c r="F1437" t="inlineStr">
        <is>
          <t>Yes</t>
        </is>
      </c>
      <c r="H1437" t="n">
        <v>8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>
        <f>IFERROR(INDEX('Company Hitlist'!$AA:$AA,MATCH(D1437,'Company Hitlist'!$A:$A,0)),)</f>
        <v/>
      </c>
      <c r="O1437">
        <f>IFERROR(INDEX('Company Hitlist'!$N:$N,MATCH(D1437,'Company Hitlist'!$A:$A,0)),)</f>
        <v/>
      </c>
      <c r="Q1437" t="inlineStr">
        <is>
          <t>todo</t>
        </is>
      </c>
    </row>
    <row r="1438">
      <c r="A1438" t="inlineStr">
        <is>
          <t>Tawnee Steinke</t>
        </is>
      </c>
      <c r="B1438" t="inlineStr">
        <is>
          <t>Sponsor</t>
        </is>
      </c>
      <c r="C1438" t="inlineStr">
        <is>
          <t>VP of Partnerships</t>
        </is>
      </c>
      <c r="D1438" t="inlineStr">
        <is>
          <t>BoxC</t>
        </is>
      </c>
      <c r="E1438" t="inlineStr">
        <is>
          <t>United States</t>
        </is>
      </c>
      <c r="F1438" t="inlineStr">
        <is>
          <t>Yes</t>
        </is>
      </c>
      <c r="H1438" t="n">
        <v>8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>
        <f>IFERROR(INDEX('Company Hitlist'!$AA:$AA,MATCH(D1438,'Company Hitlist'!$A:$A,0)),)</f>
        <v/>
      </c>
      <c r="O1438">
        <f>IFERROR(INDEX('Company Hitlist'!$N:$N,MATCH(D1438,'Company Hitlist'!$A:$A,0)),)</f>
        <v/>
      </c>
      <c r="Q1438" t="inlineStr">
        <is>
          <t>todo</t>
        </is>
      </c>
    </row>
    <row r="1439">
      <c r="A1439" t="inlineStr">
        <is>
          <t>Kathleen Berryman</t>
        </is>
      </c>
      <c r="B1439" t="inlineStr">
        <is>
          <t>Sponsor</t>
        </is>
      </c>
      <c r="C1439" t="inlineStr">
        <is>
          <t>Head of Client Success</t>
        </is>
      </c>
      <c r="D1439" t="inlineStr">
        <is>
          <t>Breakthrough</t>
        </is>
      </c>
      <c r="E1439" t="inlineStr">
        <is>
          <t>United States</t>
        </is>
      </c>
      <c r="F1439" t="inlineStr">
        <is>
          <t>Yes</t>
        </is>
      </c>
      <c r="G1439" t="inlineStr">
        <is>
          <t>63400000</t>
        </is>
      </c>
      <c r="H1439" t="n">
        <v>8</v>
      </c>
      <c r="I1439" t="b">
        <v>0</v>
      </c>
      <c r="J1439" t="b">
        <v>1</v>
      </c>
      <c r="K1439" t="b">
        <v>0</v>
      </c>
      <c r="L1439" t="b">
        <v>0</v>
      </c>
      <c r="M1439" t="b">
        <v>0</v>
      </c>
      <c r="N1439">
        <f>IFERROR(INDEX('Company Hitlist'!$AA:$AA,MATCH(D1439,'Company Hitlist'!$A:$A,0)),)</f>
        <v/>
      </c>
      <c r="O1439">
        <f>IFERROR(INDEX('Company Hitlist'!$N:$N,MATCH(D1439,'Company Hitlist'!$A:$A,0)),)</f>
        <v/>
      </c>
      <c r="Q1439" t="inlineStr">
        <is>
          <t>todo</t>
        </is>
      </c>
    </row>
    <row r="1440">
      <c r="A1440" t="inlineStr">
        <is>
          <t>Ryan Leigh</t>
        </is>
      </c>
      <c r="B1440" t="inlineStr">
        <is>
          <t>Sponsor</t>
        </is>
      </c>
      <c r="C1440" t="inlineStr">
        <is>
          <t>CTO</t>
        </is>
      </c>
      <c r="D1440" t="inlineStr">
        <is>
          <t>Bringg</t>
        </is>
      </c>
      <c r="E1440" t="inlineStr">
        <is>
          <t>United Kingdom</t>
        </is>
      </c>
      <c r="F1440" t="inlineStr">
        <is>
          <t>Yes</t>
        </is>
      </c>
      <c r="G1440" t="inlineStr">
        <is>
          <t>$50M (est. 2024)</t>
        </is>
      </c>
      <c r="H1440" t="n">
        <v>8</v>
      </c>
      <c r="I1440" t="b">
        <v>0</v>
      </c>
      <c r="J1440" t="b">
        <v>1</v>
      </c>
      <c r="K1440" t="b">
        <v>0</v>
      </c>
      <c r="L1440" t="b">
        <v>0</v>
      </c>
      <c r="M1440" t="b">
        <v>0</v>
      </c>
      <c r="N1440">
        <f>IFERROR(INDEX('Company Hitlist'!$AA:$AA,MATCH(D1440,'Company Hitlist'!$A:$A,0)),)</f>
        <v/>
      </c>
      <c r="O1440">
        <f>IFERROR(INDEX('Company Hitlist'!$N:$N,MATCH(D1440,'Company Hitlist'!$A:$A,0)),)</f>
        <v/>
      </c>
      <c r="Q1440" t="inlineStr">
        <is>
          <t>todo</t>
        </is>
      </c>
    </row>
    <row r="1441">
      <c r="A1441" t="inlineStr">
        <is>
          <t>Sean Quinn</t>
        </is>
      </c>
      <c r="B1441" t="inlineStr">
        <is>
          <t>Sponsor</t>
        </is>
      </c>
      <c r="C1441" t="inlineStr">
        <is>
          <t>VP of Product</t>
        </is>
      </c>
      <c r="D1441" t="inlineStr">
        <is>
          <t>Bringg</t>
        </is>
      </c>
      <c r="E1441" t="inlineStr">
        <is>
          <t>United States</t>
        </is>
      </c>
      <c r="F1441" t="inlineStr">
        <is>
          <t>Yes</t>
        </is>
      </c>
      <c r="G1441" t="inlineStr">
        <is>
          <t>$50M (est. 2024)</t>
        </is>
      </c>
      <c r="H1441" t="n">
        <v>8</v>
      </c>
      <c r="I1441" t="b">
        <v>0</v>
      </c>
      <c r="J1441" t="b">
        <v>1</v>
      </c>
      <c r="K1441" t="b">
        <v>0</v>
      </c>
      <c r="L1441" t="b">
        <v>0</v>
      </c>
      <c r="M1441" t="b">
        <v>0</v>
      </c>
      <c r="N1441">
        <f>IFERROR(INDEX('Company Hitlist'!$AA:$AA,MATCH(D1441,'Company Hitlist'!$A:$A,0)),)</f>
        <v/>
      </c>
      <c r="O1441">
        <f>IFERROR(INDEX('Company Hitlist'!$N:$N,MATCH(D1441,'Company Hitlist'!$A:$A,0)),)</f>
        <v/>
      </c>
      <c r="Q1441" t="inlineStr">
        <is>
          <t>todo</t>
        </is>
      </c>
    </row>
    <row r="1442">
      <c r="A1442" t="inlineStr">
        <is>
          <t>Dan Lindsey</t>
        </is>
      </c>
      <c r="B1442" t="inlineStr">
        <is>
          <t>Sponsor</t>
        </is>
      </c>
      <c r="C1442" t="inlineStr">
        <is>
          <t>CEO</t>
        </is>
      </c>
      <c r="D1442" t="inlineStr">
        <is>
          <t>Broker Carrier Summit</t>
        </is>
      </c>
      <c r="E1442" t="inlineStr">
        <is>
          <t>United States</t>
        </is>
      </c>
      <c r="H1442" t="n">
        <v>8</v>
      </c>
      <c r="I1442" t="b">
        <v>0</v>
      </c>
      <c r="J1442" t="b">
        <v>1</v>
      </c>
      <c r="K1442" t="b">
        <v>0</v>
      </c>
      <c r="L1442" t="b">
        <v>0</v>
      </c>
      <c r="M1442" t="b">
        <v>0</v>
      </c>
      <c r="N1442">
        <f>IFERROR(INDEX('Company Hitlist'!$AA:$AA,MATCH(D1442,'Company Hitlist'!$A:$A,0)),)</f>
        <v/>
      </c>
      <c r="O1442">
        <f>IFERROR(INDEX('Company Hitlist'!$N:$N,MATCH(D1442,'Company Hitlist'!$A:$A,0)),)</f>
        <v/>
      </c>
      <c r="Q1442" t="inlineStr">
        <is>
          <t>todo</t>
        </is>
      </c>
    </row>
    <row r="1443">
      <c r="A1443" t="inlineStr">
        <is>
          <t>Elías Gamboa</t>
        </is>
      </c>
      <c r="B1443" t="inlineStr">
        <is>
          <t>Sponsor</t>
        </is>
      </c>
      <c r="C1443" t="inlineStr">
        <is>
          <t>CEO</t>
        </is>
      </c>
      <c r="D1443" t="inlineStr">
        <is>
          <t>C12 Community</t>
        </is>
      </c>
      <c r="E1443" t="inlineStr">
        <is>
          <t>Mexico</t>
        </is>
      </c>
      <c r="H1443" t="n">
        <v>8</v>
      </c>
      <c r="I1443" t="b">
        <v>0</v>
      </c>
      <c r="J1443" t="b">
        <v>1</v>
      </c>
      <c r="K1443" t="b">
        <v>0</v>
      </c>
      <c r="L1443" t="b">
        <v>0</v>
      </c>
      <c r="M1443" t="b">
        <v>0</v>
      </c>
      <c r="N1443">
        <f>IFERROR(INDEX('Company Hitlist'!$AA:$AA,MATCH(D1443,'Company Hitlist'!$A:$A,0)),)</f>
        <v/>
      </c>
      <c r="O1443">
        <f>IFERROR(INDEX('Company Hitlist'!$N:$N,MATCH(D1443,'Company Hitlist'!$A:$A,0)),)</f>
        <v/>
      </c>
      <c r="Q1443" t="inlineStr">
        <is>
          <t>todo</t>
        </is>
      </c>
    </row>
    <row r="1444">
      <c r="A1444" t="inlineStr">
        <is>
          <t>Susan Paz</t>
        </is>
      </c>
      <c r="B1444" t="inlineStr">
        <is>
          <t>Sponsor</t>
        </is>
      </c>
      <c r="C1444" t="inlineStr">
        <is>
          <t>Head of Members</t>
        </is>
      </c>
      <c r="D1444" t="inlineStr">
        <is>
          <t>C12 Community</t>
        </is>
      </c>
      <c r="H1444" t="n">
        <v>8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  <c r="N1444">
        <f>IFERROR(INDEX('Company Hitlist'!$AA:$AA,MATCH(D1444,'Company Hitlist'!$A:$A,0)),)</f>
        <v/>
      </c>
      <c r="O1444">
        <f>IFERROR(INDEX('Company Hitlist'!$N:$N,MATCH(D1444,'Company Hitlist'!$A:$A,0)),)</f>
        <v/>
      </c>
      <c r="Q1444" t="inlineStr">
        <is>
          <t>todo</t>
        </is>
      </c>
    </row>
    <row r="1445">
      <c r="A1445" t="inlineStr">
        <is>
          <t>Matt Von der Ahe</t>
        </is>
      </c>
      <c r="B1445" t="inlineStr">
        <is>
          <t>Sponsor</t>
        </is>
      </c>
      <c r="C1445" t="inlineStr">
        <is>
          <t>Senior Vice President</t>
        </is>
      </c>
      <c r="D1445" t="inlineStr">
        <is>
          <t>CBRE</t>
        </is>
      </c>
      <c r="E1445" t="inlineStr">
        <is>
          <t>United States</t>
        </is>
      </c>
      <c r="H1445" t="n">
        <v>8</v>
      </c>
      <c r="I1445" t="b">
        <v>0</v>
      </c>
      <c r="J1445" t="b">
        <v>1</v>
      </c>
      <c r="K1445" t="b">
        <v>0</v>
      </c>
      <c r="L1445" t="b">
        <v>0</v>
      </c>
      <c r="M1445" t="b">
        <v>0</v>
      </c>
      <c r="N1445">
        <f>IFERROR(INDEX('Company Hitlist'!$AA:$AA,MATCH(D1445,'Company Hitlist'!$A:$A,0)),)</f>
        <v/>
      </c>
      <c r="O1445">
        <f>IFERROR(INDEX('Company Hitlist'!$N:$N,MATCH(D1445,'Company Hitlist'!$A:$A,0)),)</f>
        <v/>
      </c>
      <c r="Q1445" t="inlineStr">
        <is>
          <t>todo</t>
        </is>
      </c>
    </row>
    <row r="1446">
      <c r="A1446" t="inlineStr">
        <is>
          <t>Seth Ramey</t>
        </is>
      </c>
      <c r="B1446" t="inlineStr">
        <is>
          <t>Sponsor</t>
        </is>
      </c>
      <c r="C1446" t="inlineStr">
        <is>
          <t>Vice President</t>
        </is>
      </c>
      <c r="D1446" t="inlineStr">
        <is>
          <t>CBRE</t>
        </is>
      </c>
      <c r="E1446" t="inlineStr">
        <is>
          <t>United States</t>
        </is>
      </c>
      <c r="H1446" t="n">
        <v>8</v>
      </c>
      <c r="I1446" t="b">
        <v>0</v>
      </c>
      <c r="J1446" t="b">
        <v>1</v>
      </c>
      <c r="K1446" t="b">
        <v>0</v>
      </c>
      <c r="L1446" t="b">
        <v>0</v>
      </c>
      <c r="M1446" t="b">
        <v>0</v>
      </c>
      <c r="N1446">
        <f>IFERROR(INDEX('Company Hitlist'!$AA:$AA,MATCH(D1446,'Company Hitlist'!$A:$A,0)),)</f>
        <v/>
      </c>
      <c r="O1446">
        <f>IFERROR(INDEX('Company Hitlist'!$N:$N,MATCH(D1446,'Company Hitlist'!$A:$A,0)),)</f>
        <v/>
      </c>
      <c r="Q1446" t="inlineStr">
        <is>
          <t>todo</t>
        </is>
      </c>
    </row>
    <row r="1447">
      <c r="A1447" t="inlineStr">
        <is>
          <t>Anthony Curcio</t>
        </is>
      </c>
      <c r="B1447" t="inlineStr">
        <is>
          <t>Sponsor</t>
        </is>
      </c>
      <c r="C1447" t="inlineStr">
        <is>
          <t>Vice President</t>
        </is>
      </c>
      <c r="D1447" t="inlineStr">
        <is>
          <t>CDL Last Mile</t>
        </is>
      </c>
      <c r="F1447" t="inlineStr">
        <is>
          <t>Yes</t>
        </is>
      </c>
      <c r="H1447" t="n">
        <v>8</v>
      </c>
      <c r="I1447" t="b">
        <v>0</v>
      </c>
      <c r="J1447" t="b">
        <v>1</v>
      </c>
      <c r="K1447" t="b">
        <v>0</v>
      </c>
      <c r="L1447" t="b">
        <v>0</v>
      </c>
      <c r="M1447" t="b">
        <v>0</v>
      </c>
      <c r="N1447">
        <f>IFERROR(INDEX('Company Hitlist'!$AA:$AA,MATCH(D1447,'Company Hitlist'!$A:$A,0)),)</f>
        <v/>
      </c>
      <c r="O1447">
        <f>IFERROR(INDEX('Company Hitlist'!$N:$N,MATCH(D1447,'Company Hitlist'!$A:$A,0)),)</f>
        <v/>
      </c>
      <c r="Q1447" t="inlineStr">
        <is>
          <t>todo</t>
        </is>
      </c>
    </row>
    <row r="1448">
      <c r="A1448" t="inlineStr">
        <is>
          <t>WES DOWNIE</t>
        </is>
      </c>
      <c r="B1448" t="inlineStr">
        <is>
          <t>Sponsor</t>
        </is>
      </c>
      <c r="C1448" t="inlineStr">
        <is>
          <t>CEO</t>
        </is>
      </c>
      <c r="D1448" t="inlineStr">
        <is>
          <t>CIMS</t>
        </is>
      </c>
      <c r="E1448" t="inlineStr">
        <is>
          <t>United States</t>
        </is>
      </c>
      <c r="F1448" t="inlineStr">
        <is>
          <t>Yes</t>
        </is>
      </c>
      <c r="H1448" t="n">
        <v>8</v>
      </c>
      <c r="I1448" t="b">
        <v>0</v>
      </c>
      <c r="J1448" t="b">
        <v>1</v>
      </c>
      <c r="K1448" t="b">
        <v>0</v>
      </c>
      <c r="L1448" t="b">
        <v>0</v>
      </c>
      <c r="M1448" t="b">
        <v>0</v>
      </c>
      <c r="N1448">
        <f>IFERROR(INDEX('Company Hitlist'!$AA:$AA,MATCH(D1448,'Company Hitlist'!$A:$A,0)),)</f>
        <v/>
      </c>
      <c r="O1448">
        <f>IFERROR(INDEX('Company Hitlist'!$N:$N,MATCH(D1448,'Company Hitlist'!$A:$A,0)),)</f>
        <v/>
      </c>
      <c r="Q1448" t="inlineStr">
        <is>
          <t>todo</t>
        </is>
      </c>
    </row>
    <row r="1449">
      <c r="A1449" t="inlineStr">
        <is>
          <t>ERAN PEREG</t>
        </is>
      </c>
      <c r="B1449" t="inlineStr">
        <is>
          <t>Sponsor</t>
        </is>
      </c>
      <c r="C1449" t="inlineStr">
        <is>
          <t>CEO</t>
        </is>
      </c>
      <c r="D1449" t="inlineStr">
        <is>
          <t>CONBO Inc.</t>
        </is>
      </c>
      <c r="F1449" t="inlineStr">
        <is>
          <t>Yes</t>
        </is>
      </c>
      <c r="H1449" t="n">
        <v>8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  <c r="N1449">
        <f>IFERROR(INDEX('Company Hitlist'!$AA:$AA,MATCH(D1449,'Company Hitlist'!$A:$A,0)),)</f>
        <v/>
      </c>
      <c r="O1449">
        <f>IFERROR(INDEX('Company Hitlist'!$N:$N,MATCH(D1449,'Company Hitlist'!$A:$A,0)),)</f>
        <v/>
      </c>
      <c r="Q1449" t="inlineStr">
        <is>
          <t>todo</t>
        </is>
      </c>
    </row>
    <row r="1450">
      <c r="A1450" t="inlineStr">
        <is>
          <t>Jamie Roos</t>
        </is>
      </c>
      <c r="B1450" t="inlineStr">
        <is>
          <t>Sponsor</t>
        </is>
      </c>
      <c r="C1450" t="inlineStr">
        <is>
          <t>Chief Technology Officer</t>
        </is>
      </c>
      <c r="D1450" t="inlineStr">
        <is>
          <t>Canary7</t>
        </is>
      </c>
      <c r="E1450" t="inlineStr">
        <is>
          <t>United Kingdom</t>
        </is>
      </c>
      <c r="H1450" t="n">
        <v>8</v>
      </c>
      <c r="I1450" t="b">
        <v>0</v>
      </c>
      <c r="J1450" t="b">
        <v>1</v>
      </c>
      <c r="K1450" t="b">
        <v>0</v>
      </c>
      <c r="L1450" t="b">
        <v>0</v>
      </c>
      <c r="M1450" t="b">
        <v>0</v>
      </c>
      <c r="N1450">
        <f>IFERROR(INDEX('Company Hitlist'!$AA:$AA,MATCH(D1450,'Company Hitlist'!$A:$A,0)),)</f>
        <v/>
      </c>
      <c r="O1450">
        <f>IFERROR(INDEX('Company Hitlist'!$N:$N,MATCH(D1450,'Company Hitlist'!$A:$A,0)),)</f>
        <v/>
      </c>
      <c r="Q1450" t="inlineStr">
        <is>
          <t>todo</t>
        </is>
      </c>
    </row>
    <row r="1451">
      <c r="A1451" t="inlineStr">
        <is>
          <t>Eoin Conway</t>
        </is>
      </c>
      <c r="B1451" t="inlineStr">
        <is>
          <t>Sponsor</t>
        </is>
      </c>
      <c r="C1451" t="inlineStr">
        <is>
          <t>CEO</t>
        </is>
      </c>
      <c r="D1451" t="inlineStr">
        <is>
          <t>Canary7</t>
        </is>
      </c>
      <c r="H1451" t="n">
        <v>8</v>
      </c>
      <c r="I1451" t="b">
        <v>0</v>
      </c>
      <c r="J1451" t="b">
        <v>1</v>
      </c>
      <c r="K1451" t="b">
        <v>0</v>
      </c>
      <c r="L1451" t="b">
        <v>0</v>
      </c>
      <c r="M1451" t="b">
        <v>0</v>
      </c>
      <c r="N1451">
        <f>IFERROR(INDEX('Company Hitlist'!$AA:$AA,MATCH(D1451,'Company Hitlist'!$A:$A,0)),)</f>
        <v/>
      </c>
      <c r="O1451">
        <f>IFERROR(INDEX('Company Hitlist'!$N:$N,MATCH(D1451,'Company Hitlist'!$A:$A,0)),)</f>
        <v/>
      </c>
      <c r="Q1451" t="inlineStr">
        <is>
          <t>todo</t>
        </is>
      </c>
    </row>
    <row r="1452">
      <c r="A1452" t="inlineStr">
        <is>
          <t>Bradley Krusa</t>
        </is>
      </c>
      <c r="B1452" t="inlineStr">
        <is>
          <t>Attendee</t>
        </is>
      </c>
      <c r="C1452" t="inlineStr">
        <is>
          <t>Sr. Director Risk Management &amp; Sourcing</t>
        </is>
      </c>
      <c r="D1452" t="inlineStr">
        <is>
          <t>Cargill</t>
        </is>
      </c>
      <c r="H1452" t="n">
        <v>8</v>
      </c>
      <c r="I1452" t="b">
        <v>0</v>
      </c>
      <c r="J1452" t="b">
        <v>0</v>
      </c>
      <c r="K1452" t="b">
        <v>0</v>
      </c>
      <c r="L1452" t="b">
        <v>1</v>
      </c>
      <c r="M1452" t="b">
        <v>0</v>
      </c>
      <c r="N1452">
        <f>IFERROR(INDEX('Company Hitlist'!$AA:$AA,MATCH(D1452,'Company Hitlist'!$A:$A,0)),)</f>
        <v/>
      </c>
      <c r="O1452">
        <f>IFERROR(INDEX('Company Hitlist'!$N:$N,MATCH(D1452,'Company Hitlist'!$A:$A,0)),)</f>
        <v/>
      </c>
      <c r="Q1452" t="inlineStr">
        <is>
          <t>todo</t>
        </is>
      </c>
    </row>
    <row r="1453">
      <c r="A1453" t="inlineStr">
        <is>
          <t>Sunil Sharma</t>
        </is>
      </c>
      <c r="B1453" t="inlineStr">
        <is>
          <t>Sponsor</t>
        </is>
      </c>
      <c r="C1453" t="inlineStr">
        <is>
          <t>Chief Product &amp; Technology Officer</t>
        </is>
      </c>
      <c r="D1453" t="inlineStr">
        <is>
          <t>Cargomatic, Inc.</t>
        </is>
      </c>
      <c r="E1453" t="inlineStr">
        <is>
          <t>United States</t>
        </is>
      </c>
      <c r="F1453" t="inlineStr">
        <is>
          <t>Yes</t>
        </is>
      </c>
      <c r="H1453" t="n">
        <v>8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  <c r="N1453">
        <f>IFERROR(INDEX('Company Hitlist'!$AA:$AA,MATCH(D1453,'Company Hitlist'!$A:$A,0)),)</f>
        <v/>
      </c>
      <c r="O1453">
        <f>IFERROR(INDEX('Company Hitlist'!$N:$N,MATCH(D1453,'Company Hitlist'!$A:$A,0)),)</f>
        <v/>
      </c>
      <c r="Q1453" t="inlineStr">
        <is>
          <t>todo</t>
        </is>
      </c>
    </row>
    <row r="1454">
      <c r="A1454" t="inlineStr">
        <is>
          <t>John Cunningham</t>
        </is>
      </c>
      <c r="B1454" t="inlineStr">
        <is>
          <t>Sponsor</t>
        </is>
      </c>
      <c r="C1454" t="inlineStr">
        <is>
          <t>VP, Commercial</t>
        </is>
      </c>
      <c r="D1454" t="inlineStr">
        <is>
          <t>Cargomatic, Inc.</t>
        </is>
      </c>
      <c r="F1454" t="inlineStr">
        <is>
          <t>Yes</t>
        </is>
      </c>
      <c r="H1454" t="n">
        <v>8</v>
      </c>
      <c r="I1454" t="b">
        <v>0</v>
      </c>
      <c r="J1454" t="b">
        <v>1</v>
      </c>
      <c r="K1454" t="b">
        <v>0</v>
      </c>
      <c r="L1454" t="b">
        <v>0</v>
      </c>
      <c r="M1454" t="b">
        <v>0</v>
      </c>
      <c r="N1454">
        <f>IFERROR(INDEX('Company Hitlist'!$AA:$AA,MATCH(D1454,'Company Hitlist'!$A:$A,0)),)</f>
        <v/>
      </c>
      <c r="O1454">
        <f>IFERROR(INDEX('Company Hitlist'!$N:$N,MATCH(D1454,'Company Hitlist'!$A:$A,0)),)</f>
        <v/>
      </c>
      <c r="Q1454" t="inlineStr">
        <is>
          <t>todo</t>
        </is>
      </c>
    </row>
    <row r="1455">
      <c r="A1455" t="inlineStr">
        <is>
          <t>Jeremy Baksht</t>
        </is>
      </c>
      <c r="B1455" t="inlineStr">
        <is>
          <t>Sponsor</t>
        </is>
      </c>
      <c r="C1455" t="inlineStr">
        <is>
          <t>Co-Founder and CEO</t>
        </is>
      </c>
      <c r="D1455" t="inlineStr">
        <is>
          <t>Catena</t>
        </is>
      </c>
      <c r="E1455" t="inlineStr">
        <is>
          <t>United States</t>
        </is>
      </c>
      <c r="F1455" t="inlineStr">
        <is>
          <t>Yes</t>
        </is>
      </c>
      <c r="H1455" t="n">
        <v>8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>
        <f>IFERROR(INDEX('Company Hitlist'!$AA:$AA,MATCH(D1455,'Company Hitlist'!$A:$A,0)),)</f>
        <v/>
      </c>
      <c r="O1455">
        <f>IFERROR(INDEX('Company Hitlist'!$N:$N,MATCH(D1455,'Company Hitlist'!$A:$A,0)),)</f>
        <v/>
      </c>
      <c r="Q1455" t="inlineStr">
        <is>
          <t>todo</t>
        </is>
      </c>
    </row>
    <row r="1456">
      <c r="A1456" t="inlineStr">
        <is>
          <t>Mike Goynes</t>
        </is>
      </c>
      <c r="B1456" t="inlineStr">
        <is>
          <t>Sponsor</t>
        </is>
      </c>
      <c r="C1456" t="inlineStr">
        <is>
          <t>Co-Founder and CTO</t>
        </is>
      </c>
      <c r="D1456" t="inlineStr">
        <is>
          <t>Catena</t>
        </is>
      </c>
      <c r="E1456" t="inlineStr">
        <is>
          <t>United States</t>
        </is>
      </c>
      <c r="F1456" t="inlineStr">
        <is>
          <t>Yes</t>
        </is>
      </c>
      <c r="H1456" t="n">
        <v>8</v>
      </c>
      <c r="I1456" t="b">
        <v>0</v>
      </c>
      <c r="J1456" t="b">
        <v>1</v>
      </c>
      <c r="K1456" t="b">
        <v>0</v>
      </c>
      <c r="L1456" t="b">
        <v>0</v>
      </c>
      <c r="M1456" t="b">
        <v>0</v>
      </c>
      <c r="N1456">
        <f>IFERROR(INDEX('Company Hitlist'!$AA:$AA,MATCH(D1456,'Company Hitlist'!$A:$A,0)),)</f>
        <v/>
      </c>
      <c r="O1456">
        <f>IFERROR(INDEX('Company Hitlist'!$N:$N,MATCH(D1456,'Company Hitlist'!$A:$A,0)),)</f>
        <v/>
      </c>
      <c r="Q1456" t="inlineStr">
        <is>
          <t>todo</t>
        </is>
      </c>
    </row>
    <row r="1457">
      <c r="A1457" t="inlineStr">
        <is>
          <t>David Peckman</t>
        </is>
      </c>
      <c r="B1457" t="inlineStr">
        <is>
          <t>Sponsor</t>
        </is>
      </c>
      <c r="C1457" t="inlineStr">
        <is>
          <t>Chief Commercial Officer</t>
        </is>
      </c>
      <c r="D1457" t="inlineStr">
        <is>
          <t>Cloneops.ai</t>
        </is>
      </c>
      <c r="E1457" t="inlineStr">
        <is>
          <t>United States</t>
        </is>
      </c>
      <c r="F1457" t="inlineStr">
        <is>
          <t>Yes</t>
        </is>
      </c>
      <c r="H1457" t="n">
        <v>8</v>
      </c>
      <c r="I1457" t="b">
        <v>0</v>
      </c>
      <c r="J1457" t="b">
        <v>1</v>
      </c>
      <c r="K1457" t="b">
        <v>0</v>
      </c>
      <c r="L1457" t="b">
        <v>0</v>
      </c>
      <c r="M1457" t="b">
        <v>0</v>
      </c>
      <c r="N1457">
        <f>IFERROR(INDEX('Company Hitlist'!$AA:$AA,MATCH(D1457,'Company Hitlist'!$A:$A,0)),)</f>
        <v/>
      </c>
      <c r="O1457">
        <f>IFERROR(INDEX('Company Hitlist'!$N:$N,MATCH(D1457,'Company Hitlist'!$A:$A,0)),)</f>
        <v/>
      </c>
      <c r="Q1457" t="inlineStr">
        <is>
          <t>todo</t>
        </is>
      </c>
    </row>
    <row r="1458">
      <c r="A1458" t="inlineStr">
        <is>
          <t>Ravi Mishra</t>
        </is>
      </c>
      <c r="B1458" t="inlineStr">
        <is>
          <t>Sponsor</t>
        </is>
      </c>
      <c r="C1458" t="inlineStr">
        <is>
          <t>VP Technology &amp; Solutions Engineering</t>
        </is>
      </c>
      <c r="D1458" t="inlineStr">
        <is>
          <t>Cognida, Inc.</t>
        </is>
      </c>
      <c r="E1458" t="inlineStr">
        <is>
          <t>United States</t>
        </is>
      </c>
      <c r="F1458" t="inlineStr">
        <is>
          <t>Yes</t>
        </is>
      </c>
      <c r="H1458" t="n">
        <v>8</v>
      </c>
      <c r="I1458" t="b">
        <v>0</v>
      </c>
      <c r="J1458" t="b">
        <v>1</v>
      </c>
      <c r="K1458" t="b">
        <v>0</v>
      </c>
      <c r="L1458" t="b">
        <v>0</v>
      </c>
      <c r="M1458" t="b">
        <v>0</v>
      </c>
      <c r="N1458">
        <f>IFERROR(INDEX('Company Hitlist'!$AA:$AA,MATCH(D1458,'Company Hitlist'!$A:$A,0)),)</f>
        <v/>
      </c>
      <c r="O1458">
        <f>IFERROR(INDEX('Company Hitlist'!$N:$N,MATCH(D1458,'Company Hitlist'!$A:$A,0)),)</f>
        <v/>
      </c>
      <c r="Q1458" t="inlineStr">
        <is>
          <t>todo</t>
        </is>
      </c>
    </row>
    <row r="1459">
      <c r="A1459" t="inlineStr">
        <is>
          <t>David Gray</t>
        </is>
      </c>
      <c r="B1459" t="inlineStr">
        <is>
          <t>Attendee</t>
        </is>
      </c>
      <c r="C1459" t="inlineStr">
        <is>
          <t>Sr. Manager, Demand Services Procurement</t>
        </is>
      </c>
      <c r="D1459" t="inlineStr">
        <is>
          <t>Colgate-Palmolive &amp; Hill's Pet Nutrition</t>
        </is>
      </c>
      <c r="H1459" t="n">
        <v>8</v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>
        <f>IFERROR(INDEX('Company Hitlist'!$AA:$AA,MATCH(D1459,'Company Hitlist'!$A:$A,0)),)</f>
        <v/>
      </c>
      <c r="O1459">
        <f>IFERROR(INDEX('Company Hitlist'!$N:$N,MATCH(D1459,'Company Hitlist'!$A:$A,0)),)</f>
        <v/>
      </c>
      <c r="Q1459" t="inlineStr">
        <is>
          <t>todo</t>
        </is>
      </c>
    </row>
    <row r="1460">
      <c r="A1460" t="inlineStr">
        <is>
          <t>Conrad Lilleness</t>
        </is>
      </c>
      <c r="B1460" t="inlineStr">
        <is>
          <t>Sponsor</t>
        </is>
      </c>
      <c r="C1460" t="inlineStr">
        <is>
          <t>CEO</t>
        </is>
      </c>
      <c r="D1460" t="inlineStr">
        <is>
          <t>Conduit</t>
        </is>
      </c>
      <c r="E1460" t="inlineStr">
        <is>
          <t>United States</t>
        </is>
      </c>
      <c r="F1460" t="inlineStr">
        <is>
          <t>Yes</t>
        </is>
      </c>
      <c r="G1460" t="inlineStr">
        <is>
          <t>$817M (TTM 2025)</t>
        </is>
      </c>
      <c r="H1460" t="n">
        <v>8</v>
      </c>
      <c r="I1460" t="b">
        <v>0</v>
      </c>
      <c r="J1460" t="b">
        <v>1</v>
      </c>
      <c r="K1460" t="b">
        <v>0</v>
      </c>
      <c r="L1460" t="b">
        <v>0</v>
      </c>
      <c r="M1460" t="b">
        <v>0</v>
      </c>
      <c r="N1460">
        <f>IFERROR(INDEX('Company Hitlist'!$AA:$AA,MATCH(D1460,'Company Hitlist'!$A:$A,0)),)</f>
        <v/>
      </c>
      <c r="O1460">
        <f>IFERROR(INDEX('Company Hitlist'!$N:$N,MATCH(D1460,'Company Hitlist'!$A:$A,0)),)</f>
        <v/>
      </c>
      <c r="Q1460" t="inlineStr">
        <is>
          <t>todo</t>
        </is>
      </c>
    </row>
    <row r="1461">
      <c r="A1461" t="inlineStr">
        <is>
          <t>James May</t>
        </is>
      </c>
      <c r="B1461" t="inlineStr">
        <is>
          <t>Sponsor</t>
        </is>
      </c>
      <c r="C1461" t="inlineStr">
        <is>
          <t>CEO</t>
        </is>
      </c>
      <c r="D1461" t="inlineStr">
        <is>
          <t>CustomsCity</t>
        </is>
      </c>
      <c r="E1461" t="inlineStr">
        <is>
          <t>Canada</t>
        </is>
      </c>
      <c r="F1461" t="inlineStr">
        <is>
          <t>Yes</t>
        </is>
      </c>
      <c r="H1461" t="n">
        <v>8</v>
      </c>
      <c r="I1461" t="b">
        <v>0</v>
      </c>
      <c r="J1461" t="b">
        <v>1</v>
      </c>
      <c r="K1461" t="b">
        <v>0</v>
      </c>
      <c r="L1461" t="b">
        <v>0</v>
      </c>
      <c r="M1461" t="b">
        <v>0</v>
      </c>
      <c r="N1461">
        <f>IFERROR(INDEX('Company Hitlist'!$AA:$AA,MATCH(D1461,'Company Hitlist'!$A:$A,0)),)</f>
        <v/>
      </c>
      <c r="O1461">
        <f>IFERROR(INDEX('Company Hitlist'!$N:$N,MATCH(D1461,'Company Hitlist'!$A:$A,0)),)</f>
        <v/>
      </c>
      <c r="Q1461" t="inlineStr">
        <is>
          <t>todo</t>
        </is>
      </c>
    </row>
    <row r="1462">
      <c r="A1462" t="inlineStr">
        <is>
          <t>David Stephans</t>
        </is>
      </c>
      <c r="B1462" t="inlineStr">
        <is>
          <t>Sponsor</t>
        </is>
      </c>
      <c r="C1462" t="inlineStr">
        <is>
          <t>CEO</t>
        </is>
      </c>
      <c r="D1462" t="inlineStr">
        <is>
          <t>Cycle Labs</t>
        </is>
      </c>
      <c r="E1462" t="inlineStr">
        <is>
          <t>United States</t>
        </is>
      </c>
      <c r="F1462" t="inlineStr">
        <is>
          <t>Yes</t>
        </is>
      </c>
      <c r="H1462" t="n">
        <v>8</v>
      </c>
      <c r="I1462" t="b">
        <v>0</v>
      </c>
      <c r="J1462" t="b">
        <v>1</v>
      </c>
      <c r="K1462" t="b">
        <v>0</v>
      </c>
      <c r="L1462" t="b">
        <v>0</v>
      </c>
      <c r="M1462" t="b">
        <v>0</v>
      </c>
      <c r="N1462">
        <f>IFERROR(INDEX('Company Hitlist'!$AA:$AA,MATCH(D1462,'Company Hitlist'!$A:$A,0)),)</f>
        <v/>
      </c>
      <c r="O1462">
        <f>IFERROR(INDEX('Company Hitlist'!$N:$N,MATCH(D1462,'Company Hitlist'!$A:$A,0)),)</f>
        <v/>
      </c>
      <c r="Q1462" t="inlineStr">
        <is>
          <t>todo</t>
        </is>
      </c>
    </row>
    <row r="1463">
      <c r="A1463" t="inlineStr">
        <is>
          <t>Josh Owen</t>
        </is>
      </c>
      <c r="B1463" t="inlineStr">
        <is>
          <t>Sponsor</t>
        </is>
      </c>
      <c r="C1463" t="inlineStr">
        <is>
          <t>Founder, President, &amp; Executive Chairman</t>
        </is>
      </c>
      <c r="D1463" t="inlineStr">
        <is>
          <t>Cycle Labs</t>
        </is>
      </c>
      <c r="E1463" t="inlineStr">
        <is>
          <t>United States</t>
        </is>
      </c>
      <c r="F1463" t="inlineStr">
        <is>
          <t>Yes</t>
        </is>
      </c>
      <c r="H1463" t="n">
        <v>8</v>
      </c>
      <c r="I1463" t="b">
        <v>0</v>
      </c>
      <c r="J1463" t="b">
        <v>1</v>
      </c>
      <c r="K1463" t="b">
        <v>0</v>
      </c>
      <c r="L1463" t="b">
        <v>0</v>
      </c>
      <c r="M1463" t="b">
        <v>0</v>
      </c>
      <c r="N1463">
        <f>IFERROR(INDEX('Company Hitlist'!$AA:$AA,MATCH(D1463,'Company Hitlist'!$A:$A,0)),)</f>
        <v/>
      </c>
      <c r="O1463">
        <f>IFERROR(INDEX('Company Hitlist'!$N:$N,MATCH(D1463,'Company Hitlist'!$A:$A,0)),)</f>
        <v/>
      </c>
      <c r="Q1463" t="inlineStr">
        <is>
          <t>todo</t>
        </is>
      </c>
    </row>
    <row r="1464">
      <c r="A1464" t="inlineStr">
        <is>
          <t>Gary Master</t>
        </is>
      </c>
      <c r="B1464" t="inlineStr">
        <is>
          <t>Sponsor</t>
        </is>
      </c>
      <c r="C1464" t="inlineStr">
        <is>
          <t>Publisher, President, &amp; CEO</t>
        </is>
      </c>
      <c r="D1464" t="inlineStr">
        <is>
          <t>DC Velocity</t>
        </is>
      </c>
      <c r="H1464" t="n">
        <v>8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  <c r="N1464">
        <f>IFERROR(INDEX('Company Hitlist'!$AA:$AA,MATCH(D1464,'Company Hitlist'!$A:$A,0)),)</f>
        <v/>
      </c>
      <c r="O1464">
        <f>IFERROR(INDEX('Company Hitlist'!$N:$N,MATCH(D1464,'Company Hitlist'!$A:$A,0)),)</f>
        <v/>
      </c>
      <c r="Q1464" t="inlineStr">
        <is>
          <t>todo</t>
        </is>
      </c>
    </row>
    <row r="1465">
      <c r="A1465" t="inlineStr">
        <is>
          <t>Jonathan Beltrán</t>
        </is>
      </c>
      <c r="B1465" t="inlineStr">
        <is>
          <t>Sponsor</t>
        </is>
      </c>
      <c r="C1465" t="inlineStr">
        <is>
          <t>Assistant Vice President</t>
        </is>
      </c>
      <c r="D1465" t="inlineStr">
        <is>
          <t>DCLI</t>
        </is>
      </c>
      <c r="E1465" t="inlineStr">
        <is>
          <t>United States</t>
        </is>
      </c>
      <c r="F1465" t="inlineStr">
        <is>
          <t>Yes</t>
        </is>
      </c>
      <c r="G1465" t="inlineStr">
        <is>
          <t>$28B (2024)</t>
        </is>
      </c>
      <c r="H1465" t="n">
        <v>8</v>
      </c>
      <c r="I1465" t="b">
        <v>0</v>
      </c>
      <c r="J1465" t="b">
        <v>1</v>
      </c>
      <c r="K1465" t="b">
        <v>0</v>
      </c>
      <c r="L1465" t="b">
        <v>0</v>
      </c>
      <c r="M1465" t="b">
        <v>0</v>
      </c>
      <c r="N1465">
        <f>IFERROR(INDEX('Company Hitlist'!$AA:$AA,MATCH(D1465,'Company Hitlist'!$A:$A,0)),)</f>
        <v/>
      </c>
      <c r="O1465">
        <f>IFERROR(INDEX('Company Hitlist'!$N:$N,MATCH(D1465,'Company Hitlist'!$A:$A,0)),)</f>
        <v/>
      </c>
      <c r="Q1465" t="inlineStr">
        <is>
          <t>todo</t>
        </is>
      </c>
    </row>
    <row r="1466">
      <c r="A1466" t="inlineStr">
        <is>
          <t>Tim Robertson</t>
        </is>
      </c>
      <c r="B1466" t="inlineStr">
        <is>
          <t>Sponsor</t>
        </is>
      </c>
      <c r="C1466" t="inlineStr">
        <is>
          <t>EVP, Accelerated Digitalization</t>
        </is>
      </c>
      <c r="D1466" t="inlineStr">
        <is>
          <t>DHL Global Forwarding</t>
        </is>
      </c>
      <c r="E1466" t="inlineStr">
        <is>
          <t>United States</t>
        </is>
      </c>
      <c r="F1466" t="inlineStr">
        <is>
          <t>Yes</t>
        </is>
      </c>
      <c r="H1466" t="n">
        <v>8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  <c r="N1466">
        <f>IFERROR(INDEX('Company Hitlist'!$AA:$AA,MATCH(D1466,'Company Hitlist'!$A:$A,0)),)</f>
        <v/>
      </c>
      <c r="O1466">
        <f>IFERROR(INDEX('Company Hitlist'!$N:$N,MATCH(D1466,'Company Hitlist'!$A:$A,0)),)</f>
        <v/>
      </c>
      <c r="Q1466" t="inlineStr">
        <is>
          <t>todo</t>
        </is>
      </c>
    </row>
    <row r="1467">
      <c r="A1467" t="inlineStr">
        <is>
          <t>Thomas Grunau</t>
        </is>
      </c>
      <c r="B1467" t="inlineStr">
        <is>
          <t>Sponsor</t>
        </is>
      </c>
      <c r="C1467" t="inlineStr">
        <is>
          <t>SVP Global Head of Business Strategy &amp; Digitalization</t>
        </is>
      </c>
      <c r="D1467" t="inlineStr">
        <is>
          <t>DHL Global Forwarding</t>
        </is>
      </c>
      <c r="F1467" t="inlineStr">
        <is>
          <t>Yes</t>
        </is>
      </c>
      <c r="H1467" t="n">
        <v>8</v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  <c r="N1467">
        <f>IFERROR(INDEX('Company Hitlist'!$AA:$AA,MATCH(D1467,'Company Hitlist'!$A:$A,0)),)</f>
        <v/>
      </c>
      <c r="O1467">
        <f>IFERROR(INDEX('Company Hitlist'!$N:$N,MATCH(D1467,'Company Hitlist'!$A:$A,0)),)</f>
        <v/>
      </c>
      <c r="Q1467" t="inlineStr">
        <is>
          <t>todo</t>
        </is>
      </c>
    </row>
    <row r="1468">
      <c r="A1468" t="inlineStr">
        <is>
          <t>Drew Taranto</t>
        </is>
      </c>
      <c r="B1468" t="inlineStr">
        <is>
          <t>Sponsor</t>
        </is>
      </c>
      <c r="C1468" t="inlineStr">
        <is>
          <t>VP, Product Management</t>
        </is>
      </c>
      <c r="D1468" t="inlineStr">
        <is>
          <t>DHL Supply Chain</t>
        </is>
      </c>
      <c r="E1468" t="inlineStr">
        <is>
          <t>United States</t>
        </is>
      </c>
      <c r="F1468" t="inlineStr">
        <is>
          <t>Yes</t>
        </is>
      </c>
      <c r="G1468" t="inlineStr">
        <is>
          <t>$80B (2024; projected $82B in 2025)</t>
        </is>
      </c>
      <c r="H1468" t="n">
        <v>8</v>
      </c>
      <c r="I1468" t="b">
        <v>0</v>
      </c>
      <c r="J1468" t="b">
        <v>1</v>
      </c>
      <c r="K1468" t="b">
        <v>0</v>
      </c>
      <c r="L1468" t="b">
        <v>0</v>
      </c>
      <c r="M1468" t="b">
        <v>0</v>
      </c>
      <c r="N1468">
        <f>IFERROR(INDEX('Company Hitlist'!$AA:$AA,MATCH(D1468,'Company Hitlist'!$A:$A,0)),)</f>
        <v/>
      </c>
      <c r="O1468">
        <f>IFERROR(INDEX('Company Hitlist'!$N:$N,MATCH(D1468,'Company Hitlist'!$A:$A,0)),)</f>
        <v/>
      </c>
      <c r="Q1468" t="inlineStr">
        <is>
          <t>todo</t>
        </is>
      </c>
    </row>
    <row r="1469">
      <c r="A1469" t="inlineStr">
        <is>
          <t>Katy Laine</t>
        </is>
      </c>
      <c r="B1469" t="inlineStr">
        <is>
          <t>Sponsor</t>
        </is>
      </c>
      <c r="C1469" t="inlineStr">
        <is>
          <t>Head of Global Account Development, Americas</t>
        </is>
      </c>
      <c r="D1469" t="inlineStr">
        <is>
          <t>DHL Supply Chain</t>
        </is>
      </c>
      <c r="E1469" t="inlineStr">
        <is>
          <t>United States</t>
        </is>
      </c>
      <c r="F1469" t="inlineStr">
        <is>
          <t>Yes</t>
        </is>
      </c>
      <c r="G1469" t="inlineStr">
        <is>
          <t>$80B (2024; projected $82B in 2025)</t>
        </is>
      </c>
      <c r="H1469" t="n">
        <v>8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  <c r="N1469">
        <f>IFERROR(INDEX('Company Hitlist'!$AA:$AA,MATCH(D1469,'Company Hitlist'!$A:$A,0)),)</f>
        <v/>
      </c>
      <c r="O1469">
        <f>IFERROR(INDEX('Company Hitlist'!$N:$N,MATCH(D1469,'Company Hitlist'!$A:$A,0)),)</f>
        <v/>
      </c>
      <c r="Q1469" t="inlineStr">
        <is>
          <t>todo</t>
        </is>
      </c>
    </row>
    <row r="1470">
      <c r="A1470" t="inlineStr">
        <is>
          <t>Becky Ross</t>
        </is>
      </c>
      <c r="B1470" t="inlineStr">
        <is>
          <t>Sponsor</t>
        </is>
      </c>
      <c r="C1470" t="inlineStr">
        <is>
          <t>Vice President, Information Technology</t>
        </is>
      </c>
      <c r="D1470" t="inlineStr">
        <is>
          <t>DHL Supply Chain</t>
        </is>
      </c>
      <c r="F1470" t="inlineStr">
        <is>
          <t>Yes</t>
        </is>
      </c>
      <c r="G1470" t="inlineStr">
        <is>
          <t>$80B (2024; projected $82B in 2025)</t>
        </is>
      </c>
      <c r="H1470" t="n">
        <v>8</v>
      </c>
      <c r="I1470" t="b">
        <v>0</v>
      </c>
      <c r="J1470" t="b">
        <v>1</v>
      </c>
      <c r="K1470" t="b">
        <v>0</v>
      </c>
      <c r="L1470" t="b">
        <v>0</v>
      </c>
      <c r="M1470" t="b">
        <v>0</v>
      </c>
      <c r="N1470">
        <f>IFERROR(INDEX('Company Hitlist'!$AA:$AA,MATCH(D1470,'Company Hitlist'!$A:$A,0)),)</f>
        <v/>
      </c>
      <c r="O1470">
        <f>IFERROR(INDEX('Company Hitlist'!$N:$N,MATCH(D1470,'Company Hitlist'!$A:$A,0)),)</f>
        <v/>
      </c>
      <c r="Q1470" t="inlineStr">
        <is>
          <t>todo</t>
        </is>
      </c>
    </row>
    <row r="1471">
      <c r="A1471" t="inlineStr">
        <is>
          <t>Brian Gaunt</t>
        </is>
      </c>
      <c r="B1471" t="inlineStr">
        <is>
          <t>Sponsor</t>
        </is>
      </c>
      <c r="C1471" t="inlineStr">
        <is>
          <t>Vice President Digital Transformation</t>
        </is>
      </c>
      <c r="D1471" t="inlineStr">
        <is>
          <t>DHL Supply Chain</t>
        </is>
      </c>
      <c r="F1471" t="inlineStr">
        <is>
          <t>Yes</t>
        </is>
      </c>
      <c r="G1471" t="inlineStr">
        <is>
          <t>$80B (2024; projected $82B in 2025)</t>
        </is>
      </c>
      <c r="H1471" t="n">
        <v>8</v>
      </c>
      <c r="I1471" t="b">
        <v>0</v>
      </c>
      <c r="J1471" t="b">
        <v>1</v>
      </c>
      <c r="K1471" t="b">
        <v>0</v>
      </c>
      <c r="L1471" t="b">
        <v>0</v>
      </c>
      <c r="M1471" t="b">
        <v>0</v>
      </c>
      <c r="N1471">
        <f>IFERROR(INDEX('Company Hitlist'!$AA:$AA,MATCH(D1471,'Company Hitlist'!$A:$A,0)),)</f>
        <v/>
      </c>
      <c r="O1471">
        <f>IFERROR(INDEX('Company Hitlist'!$N:$N,MATCH(D1471,'Company Hitlist'!$A:$A,0)),)</f>
        <v/>
      </c>
      <c r="Q1471" t="inlineStr">
        <is>
          <t>todo</t>
        </is>
      </c>
    </row>
    <row r="1472">
      <c r="A1472" t="inlineStr">
        <is>
          <t>David Emison</t>
        </is>
      </c>
      <c r="B1472" t="inlineStr">
        <is>
          <t>Sponsor</t>
        </is>
      </c>
      <c r="C1472" t="inlineStr">
        <is>
          <t>President, SDS Rx</t>
        </is>
      </c>
      <c r="D1472" t="inlineStr">
        <is>
          <t>DHL Supply Chain</t>
        </is>
      </c>
      <c r="F1472" t="inlineStr">
        <is>
          <t>Yes</t>
        </is>
      </c>
      <c r="G1472" t="inlineStr">
        <is>
          <t>$80B (2024; projected $82B in 2025)</t>
        </is>
      </c>
      <c r="H1472" t="n">
        <v>8</v>
      </c>
      <c r="I1472" t="b">
        <v>0</v>
      </c>
      <c r="J1472" t="b">
        <v>1</v>
      </c>
      <c r="K1472" t="b">
        <v>0</v>
      </c>
      <c r="L1472" t="b">
        <v>0</v>
      </c>
      <c r="M1472" t="b">
        <v>0</v>
      </c>
      <c r="N1472">
        <f>IFERROR(INDEX('Company Hitlist'!$AA:$AA,MATCH(D1472,'Company Hitlist'!$A:$A,0)),)</f>
        <v/>
      </c>
      <c r="O1472">
        <f>IFERROR(INDEX('Company Hitlist'!$N:$N,MATCH(D1472,'Company Hitlist'!$A:$A,0)),)</f>
        <v/>
      </c>
      <c r="Q1472" t="inlineStr">
        <is>
          <t>todo</t>
        </is>
      </c>
    </row>
    <row r="1473">
      <c r="A1473" t="inlineStr">
        <is>
          <t>Erin Maggied</t>
        </is>
      </c>
      <c r="B1473" t="inlineStr">
        <is>
          <t>Sponsor</t>
        </is>
      </c>
      <c r="C1473" t="inlineStr">
        <is>
          <t>Chief of Staff</t>
        </is>
      </c>
      <c r="D1473" t="inlineStr">
        <is>
          <t>DHL Supply Chain</t>
        </is>
      </c>
      <c r="F1473" t="inlineStr">
        <is>
          <t>Yes</t>
        </is>
      </c>
      <c r="G1473" t="inlineStr">
        <is>
          <t>$80B (2024; projected $82B in 2025)</t>
        </is>
      </c>
      <c r="H1473" t="n">
        <v>8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  <c r="N1473">
        <f>IFERROR(INDEX('Company Hitlist'!$AA:$AA,MATCH(D1473,'Company Hitlist'!$A:$A,0)),)</f>
        <v/>
      </c>
      <c r="O1473">
        <f>IFERROR(INDEX('Company Hitlist'!$N:$N,MATCH(D1473,'Company Hitlist'!$A:$A,0)),)</f>
        <v/>
      </c>
      <c r="Q1473" t="inlineStr">
        <is>
          <t>todo</t>
        </is>
      </c>
    </row>
    <row r="1474">
      <c r="A1474" t="inlineStr">
        <is>
          <t>George Kanupka</t>
        </is>
      </c>
      <c r="B1474" t="inlineStr">
        <is>
          <t>Sponsor</t>
        </is>
      </c>
      <c r="C1474" t="inlineStr">
        <is>
          <t>Vice President, LLP</t>
        </is>
      </c>
      <c r="D1474" t="inlineStr">
        <is>
          <t>DHL Supply Chain</t>
        </is>
      </c>
      <c r="F1474" t="inlineStr">
        <is>
          <t>Yes</t>
        </is>
      </c>
      <c r="G1474" t="inlineStr">
        <is>
          <t>$80B (2024; projected $82B in 2025)</t>
        </is>
      </c>
      <c r="H1474" t="n">
        <v>8</v>
      </c>
      <c r="I1474" t="b">
        <v>0</v>
      </c>
      <c r="J1474" t="b">
        <v>1</v>
      </c>
      <c r="K1474" t="b">
        <v>0</v>
      </c>
      <c r="L1474" t="b">
        <v>0</v>
      </c>
      <c r="M1474" t="b">
        <v>0</v>
      </c>
      <c r="N1474">
        <f>IFERROR(INDEX('Company Hitlist'!$AA:$AA,MATCH(D1474,'Company Hitlist'!$A:$A,0)),)</f>
        <v/>
      </c>
      <c r="O1474">
        <f>IFERROR(INDEX('Company Hitlist'!$N:$N,MATCH(D1474,'Company Hitlist'!$A:$A,0)),)</f>
        <v/>
      </c>
      <c r="Q1474" t="inlineStr">
        <is>
          <t>todo</t>
        </is>
      </c>
    </row>
    <row r="1475">
      <c r="A1475" t="inlineStr">
        <is>
          <t>Michael Copeland</t>
        </is>
      </c>
      <c r="B1475" t="inlineStr">
        <is>
          <t>Sponsor</t>
        </is>
      </c>
      <c r="C1475" t="inlineStr">
        <is>
          <t>Vice President, Information Technology</t>
        </is>
      </c>
      <c r="D1475" t="inlineStr">
        <is>
          <t>DHL Supply Chain</t>
        </is>
      </c>
      <c r="F1475" t="inlineStr">
        <is>
          <t>Yes</t>
        </is>
      </c>
      <c r="G1475" t="inlineStr">
        <is>
          <t>$80B (2024; projected $82B in 2025)</t>
        </is>
      </c>
      <c r="H1475" t="n">
        <v>8</v>
      </c>
      <c r="I1475" t="b">
        <v>0</v>
      </c>
      <c r="J1475" t="b">
        <v>1</v>
      </c>
      <c r="K1475" t="b">
        <v>0</v>
      </c>
      <c r="L1475" t="b">
        <v>0</v>
      </c>
      <c r="M1475" t="b">
        <v>0</v>
      </c>
      <c r="N1475">
        <f>IFERROR(INDEX('Company Hitlist'!$AA:$AA,MATCH(D1475,'Company Hitlist'!$A:$A,0)),)</f>
        <v/>
      </c>
      <c r="O1475">
        <f>IFERROR(INDEX('Company Hitlist'!$N:$N,MATCH(D1475,'Company Hitlist'!$A:$A,0)),)</f>
        <v/>
      </c>
      <c r="Q1475" t="inlineStr">
        <is>
          <t>todo</t>
        </is>
      </c>
    </row>
    <row r="1476">
      <c r="A1476" t="inlineStr">
        <is>
          <t>Mike Kreider</t>
        </is>
      </c>
      <c r="B1476" t="inlineStr">
        <is>
          <t>Sponsor</t>
        </is>
      </c>
      <c r="C1476" t="inlineStr">
        <is>
          <t>Chief Information Officer</t>
        </is>
      </c>
      <c r="D1476" t="inlineStr">
        <is>
          <t>DHL Supply Chain</t>
        </is>
      </c>
      <c r="F1476" t="inlineStr">
        <is>
          <t>Yes</t>
        </is>
      </c>
      <c r="G1476" t="inlineStr">
        <is>
          <t>$80B (2024; projected $82B in 2025)</t>
        </is>
      </c>
      <c r="H1476" t="n">
        <v>8</v>
      </c>
      <c r="I1476" t="b">
        <v>0</v>
      </c>
      <c r="J1476" t="b">
        <v>1</v>
      </c>
      <c r="K1476" t="b">
        <v>0</v>
      </c>
      <c r="L1476" t="b">
        <v>0</v>
      </c>
      <c r="M1476" t="b">
        <v>0</v>
      </c>
      <c r="N1476">
        <f>IFERROR(INDEX('Company Hitlist'!$AA:$AA,MATCH(D1476,'Company Hitlist'!$A:$A,0)),)</f>
        <v/>
      </c>
      <c r="O1476">
        <f>IFERROR(INDEX('Company Hitlist'!$N:$N,MATCH(D1476,'Company Hitlist'!$A:$A,0)),)</f>
        <v/>
      </c>
      <c r="Q1476" t="inlineStr">
        <is>
          <t>todo</t>
        </is>
      </c>
    </row>
    <row r="1477">
      <c r="A1477" t="inlineStr">
        <is>
          <t>Rob Wright</t>
        </is>
      </c>
      <c r="B1477" t="inlineStr">
        <is>
          <t>Sponsor</t>
        </is>
      </c>
      <c r="C1477" t="inlineStr">
        <is>
          <t>VP Automation and Engineering, Accelerated Digitalization</t>
        </is>
      </c>
      <c r="D1477" t="inlineStr">
        <is>
          <t>DHL Supply Chain</t>
        </is>
      </c>
      <c r="F1477" t="inlineStr">
        <is>
          <t>Yes</t>
        </is>
      </c>
      <c r="G1477" t="inlineStr">
        <is>
          <t>$80B (2024; projected $82B in 2025)</t>
        </is>
      </c>
      <c r="H1477" t="n">
        <v>8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  <c r="N1477">
        <f>IFERROR(INDEX('Company Hitlist'!$AA:$AA,MATCH(D1477,'Company Hitlist'!$A:$A,0)),)</f>
        <v/>
      </c>
      <c r="O1477">
        <f>IFERROR(INDEX('Company Hitlist'!$N:$N,MATCH(D1477,'Company Hitlist'!$A:$A,0)),)</f>
        <v/>
      </c>
      <c r="Q1477" t="inlineStr">
        <is>
          <t>todo</t>
        </is>
      </c>
    </row>
    <row r="1478">
      <c r="A1478" t="inlineStr">
        <is>
          <t>Tim Tetzlaff</t>
        </is>
      </c>
      <c r="B1478" t="inlineStr">
        <is>
          <t>Sponsor</t>
        </is>
      </c>
      <c r="C1478" t="inlineStr">
        <is>
          <t>Global Head of Digital Transformation - Accelerated Digitalization</t>
        </is>
      </c>
      <c r="D1478" t="inlineStr">
        <is>
          <t>DHL Supply Chain</t>
        </is>
      </c>
      <c r="F1478" t="inlineStr">
        <is>
          <t>Yes</t>
        </is>
      </c>
      <c r="G1478" t="inlineStr">
        <is>
          <t>$80B (2024; projected $82B in 2025)</t>
        </is>
      </c>
      <c r="H1478" t="n">
        <v>8</v>
      </c>
      <c r="I1478" t="b">
        <v>0</v>
      </c>
      <c r="J1478" t="b">
        <v>1</v>
      </c>
      <c r="K1478" t="b">
        <v>0</v>
      </c>
      <c r="L1478" t="b">
        <v>0</v>
      </c>
      <c r="M1478" t="b">
        <v>0</v>
      </c>
      <c r="N1478">
        <f>IFERROR(INDEX('Company Hitlist'!$AA:$AA,MATCH(D1478,'Company Hitlist'!$A:$A,0)),)</f>
        <v/>
      </c>
      <c r="O1478">
        <f>IFERROR(INDEX('Company Hitlist'!$N:$N,MATCH(D1478,'Company Hitlist'!$A:$A,0)),)</f>
        <v/>
      </c>
      <c r="Q1478" t="inlineStr">
        <is>
          <t>todo</t>
        </is>
      </c>
    </row>
    <row r="1479">
      <c r="A1479" t="inlineStr">
        <is>
          <t>Dmitry Antonov</t>
        </is>
      </c>
      <c r="B1479" t="inlineStr">
        <is>
          <t>Sponsor</t>
        </is>
      </c>
      <c r="C1479" t="inlineStr">
        <is>
          <t>Chief Commercial Officer, DHL eCommerce Americas</t>
        </is>
      </c>
      <c r="D1479" t="inlineStr">
        <is>
          <t>DHL eCommerce</t>
        </is>
      </c>
      <c r="F1479" t="inlineStr">
        <is>
          <t>Yes</t>
        </is>
      </c>
      <c r="H1479" t="n">
        <v>8</v>
      </c>
      <c r="I1479" t="b">
        <v>0</v>
      </c>
      <c r="J1479" t="b">
        <v>1</v>
      </c>
      <c r="K1479" t="b">
        <v>0</v>
      </c>
      <c r="L1479" t="b">
        <v>0</v>
      </c>
      <c r="M1479" t="b">
        <v>0</v>
      </c>
      <c r="N1479">
        <f>IFERROR(INDEX('Company Hitlist'!$AA:$AA,MATCH(D1479,'Company Hitlist'!$A:$A,0)),)</f>
        <v/>
      </c>
      <c r="O1479">
        <f>IFERROR(INDEX('Company Hitlist'!$N:$N,MATCH(D1479,'Company Hitlist'!$A:$A,0)),)</f>
        <v/>
      </c>
      <c r="Q1479" t="inlineStr">
        <is>
          <t>todo</t>
        </is>
      </c>
    </row>
    <row r="1480">
      <c r="A1480" t="inlineStr">
        <is>
          <t>Scott Ashbaugh</t>
        </is>
      </c>
      <c r="B1480" t="inlineStr">
        <is>
          <t>Sponsor</t>
        </is>
      </c>
      <c r="C1480" t="inlineStr">
        <is>
          <t>Chief Executive Officer, DHL eCommerce Americas</t>
        </is>
      </c>
      <c r="D1480" t="inlineStr">
        <is>
          <t>DHL eCommerce</t>
        </is>
      </c>
      <c r="E1480" t="inlineStr">
        <is>
          <t>United States</t>
        </is>
      </c>
      <c r="F1480" t="inlineStr">
        <is>
          <t>Yes</t>
        </is>
      </c>
      <c r="H1480" t="n">
        <v>8</v>
      </c>
      <c r="I1480" t="b">
        <v>0</v>
      </c>
      <c r="J1480" t="b">
        <v>1</v>
      </c>
      <c r="K1480" t="b">
        <v>0</v>
      </c>
      <c r="L1480" t="b">
        <v>0</v>
      </c>
      <c r="M1480" t="b">
        <v>0</v>
      </c>
      <c r="N1480">
        <f>IFERROR(INDEX('Company Hitlist'!$AA:$AA,MATCH(D1480,'Company Hitlist'!$A:$A,0)),)</f>
        <v/>
      </c>
      <c r="O1480">
        <f>IFERROR(INDEX('Company Hitlist'!$N:$N,MATCH(D1480,'Company Hitlist'!$A:$A,0)),)</f>
        <v/>
      </c>
      <c r="Q1480" t="inlineStr">
        <is>
          <t>todo</t>
        </is>
      </c>
    </row>
    <row r="1481">
      <c r="A1481" t="inlineStr">
        <is>
          <t>Dan Cavanaugh</t>
        </is>
      </c>
      <c r="B1481" t="inlineStr">
        <is>
          <t>Sponsor</t>
        </is>
      </c>
      <c r="C1481" t="inlineStr">
        <is>
          <t>CEO/President</t>
        </is>
      </c>
      <c r="D1481" t="inlineStr">
        <is>
          <t>Da Vinci</t>
        </is>
      </c>
      <c r="H1481" t="n">
        <v>8</v>
      </c>
      <c r="I1481" t="b">
        <v>0</v>
      </c>
      <c r="J1481" t="b">
        <v>1</v>
      </c>
      <c r="K1481" t="b">
        <v>0</v>
      </c>
      <c r="L1481" t="b">
        <v>0</v>
      </c>
      <c r="M1481" t="b">
        <v>0</v>
      </c>
      <c r="N1481">
        <f>IFERROR(INDEX('Company Hitlist'!$AA:$AA,MATCH(D1481,'Company Hitlist'!$A:$A,0)),)</f>
        <v/>
      </c>
      <c r="O1481">
        <f>IFERROR(INDEX('Company Hitlist'!$N:$N,MATCH(D1481,'Company Hitlist'!$A:$A,0)),)</f>
        <v/>
      </c>
      <c r="Q1481" t="inlineStr">
        <is>
          <t>todo</t>
        </is>
      </c>
    </row>
    <row r="1482">
      <c r="A1482" t="inlineStr">
        <is>
          <t>Aziz Ergashev</t>
        </is>
      </c>
      <c r="B1482" t="inlineStr">
        <is>
          <t>Sponsor</t>
        </is>
      </c>
      <c r="C1482" t="inlineStr">
        <is>
          <t>CTO</t>
        </is>
      </c>
      <c r="D1482" t="inlineStr">
        <is>
          <t>Datatruck</t>
        </is>
      </c>
      <c r="E1482" t="inlineStr">
        <is>
          <t>United States</t>
        </is>
      </c>
      <c r="F1482" t="inlineStr">
        <is>
          <t>Yes</t>
        </is>
      </c>
      <c r="H1482" t="n">
        <v>8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>
        <f>IFERROR(INDEX('Company Hitlist'!$AA:$AA,MATCH(D1482,'Company Hitlist'!$A:$A,0)),)</f>
        <v/>
      </c>
      <c r="O1482">
        <f>IFERROR(INDEX('Company Hitlist'!$N:$N,MATCH(D1482,'Company Hitlist'!$A:$A,0)),)</f>
        <v/>
      </c>
      <c r="Q1482" t="inlineStr">
        <is>
          <t>todo</t>
        </is>
      </c>
    </row>
    <row r="1483">
      <c r="A1483" t="inlineStr">
        <is>
          <t>Michael Armanious</t>
        </is>
      </c>
      <c r="B1483" t="inlineStr">
        <is>
          <t>Sponsor</t>
        </is>
      </c>
      <c r="C1483" t="inlineStr">
        <is>
          <t>President &amp; CEO</t>
        </is>
      </c>
      <c r="D1483" t="inlineStr">
        <is>
          <t>Datex</t>
        </is>
      </c>
      <c r="F1483" t="inlineStr">
        <is>
          <t>Yes</t>
        </is>
      </c>
      <c r="H1483" t="n">
        <v>8</v>
      </c>
      <c r="I1483" t="b">
        <v>0</v>
      </c>
      <c r="J1483" t="b">
        <v>1</v>
      </c>
      <c r="K1483" t="b">
        <v>0</v>
      </c>
      <c r="L1483" t="b">
        <v>0</v>
      </c>
      <c r="M1483" t="b">
        <v>0</v>
      </c>
      <c r="N1483">
        <f>IFERROR(INDEX('Company Hitlist'!$AA:$AA,MATCH(D1483,'Company Hitlist'!$A:$A,0)),)</f>
        <v/>
      </c>
      <c r="O1483">
        <f>IFERROR(INDEX('Company Hitlist'!$N:$N,MATCH(D1483,'Company Hitlist'!$A:$A,0)),)</f>
        <v/>
      </c>
      <c r="Q1483" t="inlineStr">
        <is>
          <t>todo</t>
        </is>
      </c>
    </row>
    <row r="1484">
      <c r="A1484" t="inlineStr">
        <is>
          <t>Oliver Lindsay</t>
        </is>
      </c>
      <c r="B1484" t="inlineStr">
        <is>
          <t>Sponsor</t>
        </is>
      </c>
      <c r="C1484" t="inlineStr">
        <is>
          <t>President</t>
        </is>
      </c>
      <c r="D1484" t="inlineStr">
        <is>
          <t>Deliver Logistics Solutions</t>
        </is>
      </c>
      <c r="E1484" t="inlineStr">
        <is>
          <t>United States</t>
        </is>
      </c>
      <c r="F1484" t="inlineStr">
        <is>
          <t>Yes</t>
        </is>
      </c>
      <c r="H1484" t="n">
        <v>8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  <c r="N1484">
        <f>IFERROR(INDEX('Company Hitlist'!$AA:$AA,MATCH(D1484,'Company Hitlist'!$A:$A,0)),)</f>
        <v/>
      </c>
      <c r="O1484">
        <f>IFERROR(INDEX('Company Hitlist'!$N:$N,MATCH(D1484,'Company Hitlist'!$A:$A,0)),)</f>
        <v/>
      </c>
      <c r="Q1484" t="inlineStr">
        <is>
          <t>todo</t>
        </is>
      </c>
    </row>
    <row r="1485">
      <c r="A1485" t="inlineStr">
        <is>
          <t>david barker</t>
        </is>
      </c>
      <c r="B1485" t="inlineStr">
        <is>
          <t>Sponsor</t>
        </is>
      </c>
      <c r="C1485" t="inlineStr">
        <is>
          <t>Global Head of Enterprise</t>
        </is>
      </c>
      <c r="D1485" t="inlineStr">
        <is>
          <t>DemandForecast.ai</t>
        </is>
      </c>
      <c r="F1485" t="inlineStr">
        <is>
          <t>Yes</t>
        </is>
      </c>
      <c r="H1485" t="n">
        <v>8</v>
      </c>
      <c r="I1485" t="b">
        <v>0</v>
      </c>
      <c r="J1485" t="b">
        <v>1</v>
      </c>
      <c r="K1485" t="b">
        <v>0</v>
      </c>
      <c r="L1485" t="b">
        <v>0</v>
      </c>
      <c r="M1485" t="b">
        <v>0</v>
      </c>
      <c r="N1485">
        <f>IFERROR(INDEX('Company Hitlist'!$AA:$AA,MATCH(D1485,'Company Hitlist'!$A:$A,0)),)</f>
        <v/>
      </c>
      <c r="O1485">
        <f>IFERROR(INDEX('Company Hitlist'!$N:$N,MATCH(D1485,'Company Hitlist'!$A:$A,0)),)</f>
        <v/>
      </c>
      <c r="Q1485" t="inlineStr">
        <is>
          <t>todo</t>
        </is>
      </c>
    </row>
    <row r="1486">
      <c r="A1486" t="inlineStr">
        <is>
          <t>Zohar Bronfman</t>
        </is>
      </c>
      <c r="B1486" t="inlineStr">
        <is>
          <t>Sponsor</t>
        </is>
      </c>
      <c r="C1486" t="inlineStr">
        <is>
          <t>CEO</t>
        </is>
      </c>
      <c r="D1486" t="inlineStr">
        <is>
          <t>DemandForecast.ai</t>
        </is>
      </c>
      <c r="F1486" t="inlineStr">
        <is>
          <t>Yes</t>
        </is>
      </c>
      <c r="H1486" t="n">
        <v>8</v>
      </c>
      <c r="I1486" t="b">
        <v>0</v>
      </c>
      <c r="J1486" t="b">
        <v>1</v>
      </c>
      <c r="K1486" t="b">
        <v>0</v>
      </c>
      <c r="L1486" t="b">
        <v>0</v>
      </c>
      <c r="M1486" t="b">
        <v>0</v>
      </c>
      <c r="N1486">
        <f>IFERROR(INDEX('Company Hitlist'!$AA:$AA,MATCH(D1486,'Company Hitlist'!$A:$A,0)),)</f>
        <v/>
      </c>
      <c r="O1486">
        <f>IFERROR(INDEX('Company Hitlist'!$N:$N,MATCH(D1486,'Company Hitlist'!$A:$A,0)),)</f>
        <v/>
      </c>
      <c r="Q1486" t="inlineStr">
        <is>
          <t>todo</t>
        </is>
      </c>
    </row>
    <row r="1487">
      <c r="A1487" t="inlineStr">
        <is>
          <t>Adnan Nathani</t>
        </is>
      </c>
      <c r="B1487" t="inlineStr">
        <is>
          <t>Sponsor</t>
        </is>
      </c>
      <c r="C1487" t="inlineStr">
        <is>
          <t>VP, Technology &amp; Innovation</t>
        </is>
      </c>
      <c r="D1487" t="inlineStr">
        <is>
          <t>Deposco</t>
        </is>
      </c>
      <c r="E1487" t="inlineStr">
        <is>
          <t>United States</t>
        </is>
      </c>
      <c r="F1487" t="inlineStr">
        <is>
          <t>Yes</t>
        </is>
      </c>
      <c r="G1487" t="inlineStr">
        <is>
          <t>$50M (2024 est.; projected $55M in 2025)</t>
        </is>
      </c>
      <c r="H1487" t="n">
        <v>8</v>
      </c>
      <c r="I1487" t="b">
        <v>0</v>
      </c>
      <c r="J1487" t="b">
        <v>1</v>
      </c>
      <c r="K1487" t="b">
        <v>0</v>
      </c>
      <c r="L1487" t="b">
        <v>0</v>
      </c>
      <c r="M1487" t="b">
        <v>0</v>
      </c>
      <c r="N1487">
        <f>IFERROR(INDEX('Company Hitlist'!$AA:$AA,MATCH(D1487,'Company Hitlist'!$A:$A,0)),)</f>
        <v/>
      </c>
      <c r="O1487">
        <f>IFERROR(INDEX('Company Hitlist'!$N:$N,MATCH(D1487,'Company Hitlist'!$A:$A,0)),)</f>
        <v/>
      </c>
      <c r="Q1487" t="inlineStr">
        <is>
          <t>todo</t>
        </is>
      </c>
    </row>
    <row r="1488">
      <c r="A1488" t="inlineStr">
        <is>
          <t>Michael Johnson</t>
        </is>
      </c>
      <c r="B1488" t="inlineStr">
        <is>
          <t>Sponsor</t>
        </is>
      </c>
      <c r="C1488" t="inlineStr">
        <is>
          <t>Vice President, Business Consulting</t>
        </is>
      </c>
      <c r="D1488" t="inlineStr">
        <is>
          <t>Deposco</t>
        </is>
      </c>
      <c r="E1488" t="inlineStr">
        <is>
          <t>United States</t>
        </is>
      </c>
      <c r="F1488" t="inlineStr">
        <is>
          <t>Yes</t>
        </is>
      </c>
      <c r="G1488" t="inlineStr">
        <is>
          <t>$50M (2024 est.; projected $55M in 2025)</t>
        </is>
      </c>
      <c r="H1488" t="n">
        <v>8</v>
      </c>
      <c r="I1488" t="b">
        <v>0</v>
      </c>
      <c r="J1488" t="b">
        <v>1</v>
      </c>
      <c r="K1488" t="b">
        <v>0</v>
      </c>
      <c r="L1488" t="b">
        <v>0</v>
      </c>
      <c r="M1488" t="b">
        <v>0</v>
      </c>
      <c r="N1488">
        <f>IFERROR(INDEX('Company Hitlist'!$AA:$AA,MATCH(D1488,'Company Hitlist'!$A:$A,0)),)</f>
        <v/>
      </c>
      <c r="O1488">
        <f>IFERROR(INDEX('Company Hitlist'!$N:$N,MATCH(D1488,'Company Hitlist'!$A:$A,0)),)</f>
        <v/>
      </c>
      <c r="Q1488" t="inlineStr">
        <is>
          <t>todo</t>
        </is>
      </c>
    </row>
    <row r="1489">
      <c r="A1489" t="inlineStr">
        <is>
          <t>Reid Bishop</t>
        </is>
      </c>
      <c r="B1489" t="inlineStr">
        <is>
          <t>Sponsor</t>
        </is>
      </c>
      <c r="C1489" t="inlineStr">
        <is>
          <t>Vice President, Data Science</t>
        </is>
      </c>
      <c r="D1489" t="inlineStr">
        <is>
          <t>Deposco</t>
        </is>
      </c>
      <c r="F1489" t="inlineStr">
        <is>
          <t>Yes</t>
        </is>
      </c>
      <c r="G1489" t="inlineStr">
        <is>
          <t>$50M (2024 est.; projected $55M in 2025)</t>
        </is>
      </c>
      <c r="H1489" t="n">
        <v>8</v>
      </c>
      <c r="I1489" t="b">
        <v>0</v>
      </c>
      <c r="J1489" t="b">
        <v>1</v>
      </c>
      <c r="K1489" t="b">
        <v>0</v>
      </c>
      <c r="L1489" t="b">
        <v>0</v>
      </c>
      <c r="M1489" t="b">
        <v>0</v>
      </c>
      <c r="N1489">
        <f>IFERROR(INDEX('Company Hitlist'!$AA:$AA,MATCH(D1489,'Company Hitlist'!$A:$A,0)),)</f>
        <v/>
      </c>
      <c r="O1489">
        <f>IFERROR(INDEX('Company Hitlist'!$N:$N,MATCH(D1489,'Company Hitlist'!$A:$A,0)),)</f>
        <v/>
      </c>
      <c r="Q1489" t="inlineStr">
        <is>
          <t>todo</t>
        </is>
      </c>
    </row>
    <row r="1490">
      <c r="A1490" t="inlineStr">
        <is>
          <t>Adrian Negoita</t>
        </is>
      </c>
      <c r="B1490" t="inlineStr">
        <is>
          <t>Sponsor</t>
        </is>
      </c>
      <c r="C1490" t="inlineStr">
        <is>
          <t>Co-founder &amp; CTO</t>
        </is>
      </c>
      <c r="D1490" t="inlineStr">
        <is>
          <t>Dexory</t>
        </is>
      </c>
      <c r="E1490" t="inlineStr">
        <is>
          <t>United Kingdom</t>
        </is>
      </c>
      <c r="F1490" t="inlineStr">
        <is>
          <t>Yes</t>
        </is>
      </c>
      <c r="H1490" t="n">
        <v>8</v>
      </c>
      <c r="I1490" t="b">
        <v>0</v>
      </c>
      <c r="J1490" t="b">
        <v>1</v>
      </c>
      <c r="K1490" t="b">
        <v>0</v>
      </c>
      <c r="L1490" t="b">
        <v>0</v>
      </c>
      <c r="M1490" t="b">
        <v>0</v>
      </c>
      <c r="N1490">
        <f>IFERROR(INDEX('Company Hitlist'!$AA:$AA,MATCH(D1490,'Company Hitlist'!$A:$A,0)),)</f>
        <v/>
      </c>
      <c r="O1490">
        <f>IFERROR(INDEX('Company Hitlist'!$N:$N,MATCH(D1490,'Company Hitlist'!$A:$A,0)),)</f>
        <v/>
      </c>
      <c r="Q1490" t="inlineStr">
        <is>
          <t>todo</t>
        </is>
      </c>
    </row>
    <row r="1491">
      <c r="A1491" t="inlineStr">
        <is>
          <t>Richard Williams</t>
        </is>
      </c>
      <c r="B1491" t="inlineStr">
        <is>
          <t>Sponsor</t>
        </is>
      </c>
      <c r="C1491" t="inlineStr">
        <is>
          <t>Head of Electronics and Robotics</t>
        </is>
      </c>
      <c r="D1491" t="inlineStr">
        <is>
          <t>Dexory</t>
        </is>
      </c>
      <c r="E1491" t="inlineStr">
        <is>
          <t>United Kingdom</t>
        </is>
      </c>
      <c r="F1491" t="inlineStr">
        <is>
          <t>Yes</t>
        </is>
      </c>
      <c r="H1491" t="n">
        <v>8</v>
      </c>
      <c r="I1491" t="b">
        <v>0</v>
      </c>
      <c r="J1491" t="b">
        <v>1</v>
      </c>
      <c r="K1491" t="b">
        <v>0</v>
      </c>
      <c r="L1491" t="b">
        <v>0</v>
      </c>
      <c r="M1491" t="b">
        <v>0</v>
      </c>
      <c r="N1491">
        <f>IFERROR(INDEX('Company Hitlist'!$AA:$AA,MATCH(D1491,'Company Hitlist'!$A:$A,0)),)</f>
        <v/>
      </c>
      <c r="O1491">
        <f>IFERROR(INDEX('Company Hitlist'!$N:$N,MATCH(D1491,'Company Hitlist'!$A:$A,0)),)</f>
        <v/>
      </c>
      <c r="Q1491" t="inlineStr">
        <is>
          <t>todo</t>
        </is>
      </c>
    </row>
    <row r="1492">
      <c r="A1492" t="inlineStr">
        <is>
          <t>Todd Boone</t>
        </is>
      </c>
      <c r="B1492" t="inlineStr">
        <is>
          <t>Sponsor</t>
        </is>
      </c>
      <c r="C1492" t="inlineStr">
        <is>
          <t>VP North America</t>
        </is>
      </c>
      <c r="D1492" t="inlineStr">
        <is>
          <t>Dexory</t>
        </is>
      </c>
      <c r="E1492" t="inlineStr">
        <is>
          <t>United States</t>
        </is>
      </c>
      <c r="F1492" t="inlineStr">
        <is>
          <t>Yes</t>
        </is>
      </c>
      <c r="H1492" t="n">
        <v>8</v>
      </c>
      <c r="I1492" t="b">
        <v>0</v>
      </c>
      <c r="J1492" t="b">
        <v>1</v>
      </c>
      <c r="K1492" t="b">
        <v>0</v>
      </c>
      <c r="L1492" t="b">
        <v>0</v>
      </c>
      <c r="M1492" t="b">
        <v>0</v>
      </c>
      <c r="N1492">
        <f>IFERROR(INDEX('Company Hitlist'!$AA:$AA,MATCH(D1492,'Company Hitlist'!$A:$A,0)),)</f>
        <v/>
      </c>
      <c r="O1492">
        <f>IFERROR(INDEX('Company Hitlist'!$N:$N,MATCH(D1492,'Company Hitlist'!$A:$A,0)),)</f>
        <v/>
      </c>
      <c r="Q1492" t="inlineStr">
        <is>
          <t>todo</t>
        </is>
      </c>
    </row>
    <row r="1493">
      <c r="A1493" t="inlineStr">
        <is>
          <t>Andrei Danescu</t>
        </is>
      </c>
      <c r="B1493" t="inlineStr">
        <is>
          <t>Sponsor</t>
        </is>
      </c>
      <c r="C1493" t="inlineStr">
        <is>
          <t>Co-founder &amp; CEO</t>
        </is>
      </c>
      <c r="D1493" t="inlineStr">
        <is>
          <t>Dexory</t>
        </is>
      </c>
      <c r="F1493" t="inlineStr">
        <is>
          <t>Yes</t>
        </is>
      </c>
      <c r="H1493" t="n">
        <v>8</v>
      </c>
      <c r="I1493" t="b">
        <v>0</v>
      </c>
      <c r="J1493" t="b">
        <v>1</v>
      </c>
      <c r="K1493" t="b">
        <v>0</v>
      </c>
      <c r="L1493" t="b">
        <v>0</v>
      </c>
      <c r="M1493" t="b">
        <v>0</v>
      </c>
      <c r="N1493">
        <f>IFERROR(INDEX('Company Hitlist'!$AA:$AA,MATCH(D1493,'Company Hitlist'!$A:$A,0)),)</f>
        <v/>
      </c>
      <c r="O1493">
        <f>IFERROR(INDEX('Company Hitlist'!$N:$N,MATCH(D1493,'Company Hitlist'!$A:$A,0)),)</f>
        <v/>
      </c>
      <c r="Q1493" t="inlineStr">
        <is>
          <t>todo</t>
        </is>
      </c>
    </row>
    <row r="1494">
      <c r="A1494" t="inlineStr">
        <is>
          <t>Arthur Axelrad</t>
        </is>
      </c>
      <c r="B1494" t="inlineStr">
        <is>
          <t>Sponsor</t>
        </is>
      </c>
      <c r="C1494" t="inlineStr">
        <is>
          <t>CEO</t>
        </is>
      </c>
      <c r="D1494" t="inlineStr">
        <is>
          <t>Dispatch Science</t>
        </is>
      </c>
      <c r="F1494" t="inlineStr">
        <is>
          <t>Yes</t>
        </is>
      </c>
      <c r="H1494" t="n">
        <v>8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  <c r="N1494">
        <f>IFERROR(INDEX('Company Hitlist'!$AA:$AA,MATCH(D1494,'Company Hitlist'!$A:$A,0)),)</f>
        <v/>
      </c>
      <c r="O1494">
        <f>IFERROR(INDEX('Company Hitlist'!$N:$N,MATCH(D1494,'Company Hitlist'!$A:$A,0)),)</f>
        <v/>
      </c>
      <c r="Q1494" t="inlineStr">
        <is>
          <t>todo</t>
        </is>
      </c>
    </row>
    <row r="1495">
      <c r="A1495" t="inlineStr">
        <is>
          <t>Alon Podhurst</t>
        </is>
      </c>
      <c r="B1495" t="inlineStr">
        <is>
          <t>Sponsor</t>
        </is>
      </c>
      <c r="C1495" t="inlineStr">
        <is>
          <t>CEO</t>
        </is>
      </c>
      <c r="D1495" t="inlineStr">
        <is>
          <t>DriveU.auto</t>
        </is>
      </c>
      <c r="E1495" t="inlineStr">
        <is>
          <t>Israel</t>
        </is>
      </c>
      <c r="H1495" t="n">
        <v>8</v>
      </c>
      <c r="I1495" t="b">
        <v>0</v>
      </c>
      <c r="J1495" t="b">
        <v>1</v>
      </c>
      <c r="K1495" t="b">
        <v>0</v>
      </c>
      <c r="L1495" t="b">
        <v>0</v>
      </c>
      <c r="M1495" t="b">
        <v>0</v>
      </c>
      <c r="N1495">
        <f>IFERROR(INDEX('Company Hitlist'!$AA:$AA,MATCH(D1495,'Company Hitlist'!$A:$A,0)),)</f>
        <v/>
      </c>
      <c r="O1495">
        <f>IFERROR(INDEX('Company Hitlist'!$N:$N,MATCH(D1495,'Company Hitlist'!$A:$A,0)),)</f>
        <v/>
      </c>
      <c r="Q1495" t="inlineStr">
        <is>
          <t>todo</t>
        </is>
      </c>
    </row>
    <row r="1496">
      <c r="A1496" t="inlineStr">
        <is>
          <t>Anthony D'Amore</t>
        </is>
      </c>
      <c r="B1496" t="inlineStr">
        <is>
          <t>Sponsor</t>
        </is>
      </c>
      <c r="C1496" t="inlineStr">
        <is>
          <t>COO-CFO</t>
        </is>
      </c>
      <c r="D1496" t="inlineStr">
        <is>
          <t>EAIGLE</t>
        </is>
      </c>
      <c r="E1496" t="inlineStr">
        <is>
          <t>United States</t>
        </is>
      </c>
      <c r="F1496" t="inlineStr">
        <is>
          <t>Yes</t>
        </is>
      </c>
      <c r="H1496" t="n">
        <v>8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  <c r="N1496">
        <f>IFERROR(INDEX('Company Hitlist'!$AA:$AA,MATCH(D1496,'Company Hitlist'!$A:$A,0)),)</f>
        <v/>
      </c>
      <c r="O1496">
        <f>IFERROR(INDEX('Company Hitlist'!$N:$N,MATCH(D1496,'Company Hitlist'!$A:$A,0)),)</f>
        <v/>
      </c>
      <c r="Q1496" t="inlineStr">
        <is>
          <t>todo</t>
        </is>
      </c>
    </row>
    <row r="1497">
      <c r="A1497" t="inlineStr">
        <is>
          <t>Alex Alaei</t>
        </is>
      </c>
      <c r="B1497" t="inlineStr">
        <is>
          <t>Sponsor</t>
        </is>
      </c>
      <c r="C1497" t="inlineStr">
        <is>
          <t>VP</t>
        </is>
      </c>
      <c r="D1497" t="inlineStr">
        <is>
          <t>EAIGLE</t>
        </is>
      </c>
      <c r="F1497" t="inlineStr">
        <is>
          <t>Yes</t>
        </is>
      </c>
      <c r="H1497" t="n">
        <v>8</v>
      </c>
      <c r="I1497" t="b">
        <v>0</v>
      </c>
      <c r="J1497" t="b">
        <v>1</v>
      </c>
      <c r="K1497" t="b">
        <v>0</v>
      </c>
      <c r="L1497" t="b">
        <v>0</v>
      </c>
      <c r="M1497" t="b">
        <v>0</v>
      </c>
      <c r="N1497">
        <f>IFERROR(INDEX('Company Hitlist'!$AA:$AA,MATCH(D1497,'Company Hitlist'!$A:$A,0)),)</f>
        <v/>
      </c>
      <c r="O1497">
        <f>IFERROR(INDEX('Company Hitlist'!$N:$N,MATCH(D1497,'Company Hitlist'!$A:$A,0)),)</f>
        <v/>
      </c>
      <c r="Q1497" t="inlineStr">
        <is>
          <t>todo</t>
        </is>
      </c>
    </row>
    <row r="1498">
      <c r="A1498" t="inlineStr">
        <is>
          <t>Sam Saad</t>
        </is>
      </c>
      <c r="B1498" t="inlineStr">
        <is>
          <t>Sponsor</t>
        </is>
      </c>
      <c r="C1498" t="inlineStr">
        <is>
          <t>Chief Commercial Office</t>
        </is>
      </c>
      <c r="D1498" t="inlineStr">
        <is>
          <t>EAIGLE</t>
        </is>
      </c>
      <c r="F1498" t="inlineStr">
        <is>
          <t>Yes</t>
        </is>
      </c>
      <c r="H1498" t="n">
        <v>8</v>
      </c>
      <c r="I1498" t="b">
        <v>0</v>
      </c>
      <c r="J1498" t="b">
        <v>1</v>
      </c>
      <c r="K1498" t="b">
        <v>0</v>
      </c>
      <c r="L1498" t="b">
        <v>0</v>
      </c>
      <c r="M1498" t="b">
        <v>0</v>
      </c>
      <c r="N1498">
        <f>IFERROR(INDEX('Company Hitlist'!$AA:$AA,MATCH(D1498,'Company Hitlist'!$A:$A,0)),)</f>
        <v/>
      </c>
      <c r="O1498">
        <f>IFERROR(INDEX('Company Hitlist'!$N:$N,MATCH(D1498,'Company Hitlist'!$A:$A,0)),)</f>
        <v/>
      </c>
      <c r="Q1498" t="inlineStr">
        <is>
          <t>todo</t>
        </is>
      </c>
    </row>
    <row r="1499">
      <c r="A1499" t="inlineStr">
        <is>
          <t>Evan Rosen</t>
        </is>
      </c>
      <c r="B1499" t="inlineStr">
        <is>
          <t>Sponsor</t>
        </is>
      </c>
      <c r="C1499" t="inlineStr">
        <is>
          <t>President, Americas Region</t>
        </is>
      </c>
      <c r="D1499" t="inlineStr">
        <is>
          <t>EFL Global</t>
        </is>
      </c>
      <c r="E1499" t="inlineStr">
        <is>
          <t>United States</t>
        </is>
      </c>
      <c r="F1499" t="inlineStr">
        <is>
          <t>Yes</t>
        </is>
      </c>
      <c r="H1499" t="n">
        <v>8</v>
      </c>
      <c r="I1499" t="b">
        <v>0</v>
      </c>
      <c r="J1499" t="b">
        <v>1</v>
      </c>
      <c r="K1499" t="b">
        <v>0</v>
      </c>
      <c r="L1499" t="b">
        <v>0</v>
      </c>
      <c r="M1499" t="b">
        <v>0</v>
      </c>
      <c r="N1499">
        <f>IFERROR(INDEX('Company Hitlist'!$AA:$AA,MATCH(D1499,'Company Hitlist'!$A:$A,0)),)</f>
        <v/>
      </c>
      <c r="O1499">
        <f>IFERROR(INDEX('Company Hitlist'!$N:$N,MATCH(D1499,'Company Hitlist'!$A:$A,0)),)</f>
        <v/>
      </c>
      <c r="Q1499" t="inlineStr">
        <is>
          <t>todo</t>
        </is>
      </c>
    </row>
    <row r="1500">
      <c r="A1500" t="inlineStr">
        <is>
          <t>Tony Glass</t>
        </is>
      </c>
      <c r="B1500" t="inlineStr">
        <is>
          <t>Sponsor</t>
        </is>
      </c>
      <c r="C1500" t="inlineStr">
        <is>
          <t>Chief Commercial Officer, Americas Region</t>
        </is>
      </c>
      <c r="D1500" t="inlineStr">
        <is>
          <t>EFL Global</t>
        </is>
      </c>
      <c r="E1500" t="inlineStr">
        <is>
          <t>United States</t>
        </is>
      </c>
      <c r="F1500" t="inlineStr">
        <is>
          <t>Yes</t>
        </is>
      </c>
      <c r="H1500" t="n">
        <v>8</v>
      </c>
      <c r="I1500" t="b">
        <v>0</v>
      </c>
      <c r="J1500" t="b">
        <v>1</v>
      </c>
      <c r="K1500" t="b">
        <v>0</v>
      </c>
      <c r="L1500" t="b">
        <v>0</v>
      </c>
      <c r="M1500" t="b">
        <v>0</v>
      </c>
      <c r="N1500">
        <f>IFERROR(INDEX('Company Hitlist'!$AA:$AA,MATCH(D1500,'Company Hitlist'!$A:$A,0)),)</f>
        <v/>
      </c>
      <c r="O1500">
        <f>IFERROR(INDEX('Company Hitlist'!$N:$N,MATCH(D1500,'Company Hitlist'!$A:$A,0)),)</f>
        <v/>
      </c>
      <c r="Q1500" t="inlineStr">
        <is>
          <t>todo</t>
        </is>
      </c>
    </row>
    <row r="1501">
      <c r="A1501" t="inlineStr">
        <is>
          <t>Or Feldman</t>
        </is>
      </c>
      <c r="B1501" t="inlineStr">
        <is>
          <t>Sponsor</t>
        </is>
      </c>
      <c r="C1501" t="inlineStr">
        <is>
          <t>CTO</t>
        </is>
      </c>
      <c r="D1501" t="inlineStr">
        <is>
          <t>EVOLINQ</t>
        </is>
      </c>
      <c r="F1501" t="inlineStr">
        <is>
          <t>Yes</t>
        </is>
      </c>
      <c r="H1501" t="n">
        <v>8</v>
      </c>
      <c r="I1501" t="b">
        <v>0</v>
      </c>
      <c r="J1501" t="b">
        <v>1</v>
      </c>
      <c r="K1501" t="b">
        <v>0</v>
      </c>
      <c r="L1501" t="b">
        <v>0</v>
      </c>
      <c r="M1501" t="b">
        <v>0</v>
      </c>
      <c r="N1501">
        <f>IFERROR(INDEX('Company Hitlist'!$AA:$AA,MATCH(D1501,'Company Hitlist'!$A:$A,0)),)</f>
        <v/>
      </c>
      <c r="O1501">
        <f>IFERROR(INDEX('Company Hitlist'!$N:$N,MATCH(D1501,'Company Hitlist'!$A:$A,0)),)</f>
        <v/>
      </c>
      <c r="Q1501" t="inlineStr">
        <is>
          <t>todo</t>
        </is>
      </c>
    </row>
    <row r="1502">
      <c r="A1502" t="inlineStr">
        <is>
          <t>Jan Stefe</t>
        </is>
      </c>
      <c r="B1502" t="inlineStr">
        <is>
          <t>Sponsor</t>
        </is>
      </c>
      <c r="C1502" t="inlineStr">
        <is>
          <t>CEO &amp; Founder</t>
        </is>
      </c>
      <c r="D1502" t="inlineStr">
        <is>
          <t>Eurosender</t>
        </is>
      </c>
      <c r="F1502" t="inlineStr">
        <is>
          <t>Yes</t>
        </is>
      </c>
      <c r="H1502" t="n">
        <v>8</v>
      </c>
      <c r="I1502" t="b">
        <v>0</v>
      </c>
      <c r="J1502" t="b">
        <v>1</v>
      </c>
      <c r="K1502" t="b">
        <v>0</v>
      </c>
      <c r="L1502" t="b">
        <v>0</v>
      </c>
      <c r="M1502" t="b">
        <v>0</v>
      </c>
      <c r="N1502">
        <f>IFERROR(INDEX('Company Hitlist'!$AA:$AA,MATCH(D1502,'Company Hitlist'!$A:$A,0)),)</f>
        <v/>
      </c>
      <c r="O1502">
        <f>IFERROR(INDEX('Company Hitlist'!$N:$N,MATCH(D1502,'Company Hitlist'!$A:$A,0)),)</f>
        <v/>
      </c>
      <c r="Q1502" t="inlineStr">
        <is>
          <t>todo</t>
        </is>
      </c>
    </row>
    <row r="1503">
      <c r="A1503" t="inlineStr">
        <is>
          <t>Noam Shakuri</t>
        </is>
      </c>
      <c r="B1503" t="inlineStr">
        <is>
          <t>Sponsor</t>
        </is>
      </c>
      <c r="C1503" t="inlineStr">
        <is>
          <t>CEO</t>
        </is>
      </c>
      <c r="D1503" t="inlineStr">
        <is>
          <t>Evolinq</t>
        </is>
      </c>
      <c r="F1503" t="inlineStr">
        <is>
          <t>Yes</t>
        </is>
      </c>
      <c r="H1503" t="n">
        <v>8</v>
      </c>
      <c r="I1503" t="b">
        <v>0</v>
      </c>
      <c r="J1503" t="b">
        <v>1</v>
      </c>
      <c r="K1503" t="b">
        <v>0</v>
      </c>
      <c r="L1503" t="b">
        <v>0</v>
      </c>
      <c r="M1503" t="b">
        <v>0</v>
      </c>
      <c r="N1503">
        <f>IFERROR(INDEX('Company Hitlist'!$AA:$AA,MATCH(D1503,'Company Hitlist'!$A:$A,0)),)</f>
        <v/>
      </c>
      <c r="O1503">
        <f>IFERROR(INDEX('Company Hitlist'!$N:$N,MATCH(D1503,'Company Hitlist'!$A:$A,0)),)</f>
        <v/>
      </c>
      <c r="Q1503" t="inlineStr">
        <is>
          <t>todo</t>
        </is>
      </c>
    </row>
    <row r="1504">
      <c r="A1504" t="inlineStr">
        <is>
          <t>Kevin Nagel</t>
        </is>
      </c>
      <c r="B1504" t="inlineStr">
        <is>
          <t>Sponsor</t>
        </is>
      </c>
      <c r="C1504" t="inlineStr">
        <is>
          <t>Founder &amp; CEO</t>
        </is>
      </c>
      <c r="D1504" t="inlineStr">
        <is>
          <t>Export Orbital</t>
        </is>
      </c>
      <c r="E1504" t="inlineStr">
        <is>
          <t>United States</t>
        </is>
      </c>
      <c r="H1504" t="n">
        <v>8</v>
      </c>
      <c r="I1504" t="b">
        <v>0</v>
      </c>
      <c r="J1504" t="b">
        <v>1</v>
      </c>
      <c r="K1504" t="b">
        <v>0</v>
      </c>
      <c r="L1504" t="b">
        <v>0</v>
      </c>
      <c r="M1504" t="b">
        <v>0</v>
      </c>
      <c r="N1504">
        <f>IFERROR(INDEX('Company Hitlist'!$AA:$AA,MATCH(D1504,'Company Hitlist'!$A:$A,0)),)</f>
        <v/>
      </c>
      <c r="O1504">
        <f>IFERROR(INDEX('Company Hitlist'!$N:$N,MATCH(D1504,'Company Hitlist'!$A:$A,0)),)</f>
        <v/>
      </c>
      <c r="Q1504" t="inlineStr">
        <is>
          <t>todo</t>
        </is>
      </c>
    </row>
    <row r="1505">
      <c r="A1505" t="inlineStr">
        <is>
          <t>Jon Stone</t>
        </is>
      </c>
      <c r="B1505" t="inlineStr">
        <is>
          <t>Sponsor</t>
        </is>
      </c>
      <c r="C1505" t="inlineStr">
        <is>
          <t>VP - Corporate Reputation Specialist</t>
        </is>
      </c>
      <c r="D1505" t="inlineStr">
        <is>
          <t>FINN Partners</t>
        </is>
      </c>
      <c r="H1505" t="n">
        <v>8</v>
      </c>
      <c r="I1505" t="b">
        <v>0</v>
      </c>
      <c r="J1505" t="b">
        <v>1</v>
      </c>
      <c r="K1505" t="b">
        <v>0</v>
      </c>
      <c r="L1505" t="b">
        <v>0</v>
      </c>
      <c r="M1505" t="b">
        <v>0</v>
      </c>
      <c r="N1505">
        <f>IFERROR(INDEX('Company Hitlist'!$AA:$AA,MATCH(D1505,'Company Hitlist'!$A:$A,0)),)</f>
        <v/>
      </c>
      <c r="O1505">
        <f>IFERROR(INDEX('Company Hitlist'!$N:$N,MATCH(D1505,'Company Hitlist'!$A:$A,0)),)</f>
        <v/>
      </c>
      <c r="Q1505" t="inlineStr">
        <is>
          <t>todo</t>
        </is>
      </c>
    </row>
    <row r="1506">
      <c r="A1506" t="inlineStr">
        <is>
          <t>Meshach Weber</t>
        </is>
      </c>
      <c r="B1506" t="inlineStr">
        <is>
          <t>Sponsor</t>
        </is>
      </c>
      <c r="C1506" t="inlineStr">
        <is>
          <t>President &amp; Behavior Designer</t>
        </is>
      </c>
      <c r="D1506" t="inlineStr">
        <is>
          <t>Firebrand</t>
        </is>
      </c>
      <c r="F1506" t="inlineStr">
        <is>
          <t>Yes</t>
        </is>
      </c>
      <c r="H1506" t="n">
        <v>8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  <c r="N1506">
        <f>IFERROR(INDEX('Company Hitlist'!$AA:$AA,MATCH(D1506,'Company Hitlist'!$A:$A,0)),)</f>
        <v/>
      </c>
      <c r="O1506">
        <f>IFERROR(INDEX('Company Hitlist'!$N:$N,MATCH(D1506,'Company Hitlist'!$A:$A,0)),)</f>
        <v/>
      </c>
      <c r="Q1506" t="inlineStr">
        <is>
          <t>todo</t>
        </is>
      </c>
    </row>
    <row r="1507">
      <c r="A1507" t="inlineStr">
        <is>
          <t>Rathna Sharad</t>
        </is>
      </c>
      <c r="B1507" t="inlineStr">
        <is>
          <t>Sponsor</t>
        </is>
      </c>
      <c r="C1507" t="inlineStr">
        <is>
          <t>CEO</t>
        </is>
      </c>
      <c r="D1507" t="inlineStr">
        <is>
          <t>FlavorCloud</t>
        </is>
      </c>
      <c r="F1507" t="inlineStr">
        <is>
          <t>Yes</t>
        </is>
      </c>
      <c r="G1507" t="inlineStr">
        <is>
          <t>12000000</t>
        </is>
      </c>
      <c r="H1507" t="n">
        <v>8</v>
      </c>
      <c r="I1507" t="b">
        <v>0</v>
      </c>
      <c r="J1507" t="b">
        <v>1</v>
      </c>
      <c r="K1507" t="b">
        <v>0</v>
      </c>
      <c r="L1507" t="b">
        <v>0</v>
      </c>
      <c r="M1507" t="b">
        <v>0</v>
      </c>
      <c r="N1507">
        <f>IFERROR(INDEX('Company Hitlist'!$AA:$AA,MATCH(D1507,'Company Hitlist'!$A:$A,0)),)</f>
        <v/>
      </c>
      <c r="O1507">
        <f>IFERROR(INDEX('Company Hitlist'!$N:$N,MATCH(D1507,'Company Hitlist'!$A:$A,0)),)</f>
        <v/>
      </c>
      <c r="Q1507" t="inlineStr">
        <is>
          <t>todo</t>
        </is>
      </c>
    </row>
    <row r="1508">
      <c r="A1508" t="inlineStr">
        <is>
          <t>Sharad Kylasam</t>
        </is>
      </c>
      <c r="B1508" t="inlineStr">
        <is>
          <t>Sponsor</t>
        </is>
      </c>
      <c r="C1508" t="inlineStr">
        <is>
          <t>VP Product</t>
        </is>
      </c>
      <c r="D1508" t="inlineStr">
        <is>
          <t>FlavorCloud</t>
        </is>
      </c>
      <c r="F1508" t="inlineStr">
        <is>
          <t>Yes</t>
        </is>
      </c>
      <c r="G1508" t="inlineStr">
        <is>
          <t>12000000</t>
        </is>
      </c>
      <c r="H1508" t="n">
        <v>8</v>
      </c>
      <c r="I1508" t="b">
        <v>0</v>
      </c>
      <c r="J1508" t="b">
        <v>1</v>
      </c>
      <c r="K1508" t="b">
        <v>0</v>
      </c>
      <c r="L1508" t="b">
        <v>0</v>
      </c>
      <c r="M1508" t="b">
        <v>0</v>
      </c>
      <c r="N1508">
        <f>IFERROR(INDEX('Company Hitlist'!$AA:$AA,MATCH(D1508,'Company Hitlist'!$A:$A,0)),)</f>
        <v/>
      </c>
      <c r="O1508">
        <f>IFERROR(INDEX('Company Hitlist'!$N:$N,MATCH(D1508,'Company Hitlist'!$A:$A,0)),)</f>
        <v/>
      </c>
      <c r="Q1508" t="inlineStr">
        <is>
          <t>todo</t>
        </is>
      </c>
    </row>
    <row r="1509">
      <c r="A1509" t="inlineStr">
        <is>
          <t>Sherwynn Soff</t>
        </is>
      </c>
      <c r="B1509" t="inlineStr">
        <is>
          <t>Sponsor</t>
        </is>
      </c>
      <c r="C1509" t="inlineStr">
        <is>
          <t>CTO</t>
        </is>
      </c>
      <c r="D1509" t="inlineStr">
        <is>
          <t>FlavorCloud</t>
        </is>
      </c>
      <c r="F1509" t="inlineStr">
        <is>
          <t>Yes</t>
        </is>
      </c>
      <c r="G1509" t="inlineStr">
        <is>
          <t>12000000</t>
        </is>
      </c>
      <c r="H1509" t="n">
        <v>8</v>
      </c>
      <c r="I1509" t="b">
        <v>0</v>
      </c>
      <c r="J1509" t="b">
        <v>1</v>
      </c>
      <c r="K1509" t="b">
        <v>0</v>
      </c>
      <c r="L1509" t="b">
        <v>0</v>
      </c>
      <c r="M1509" t="b">
        <v>0</v>
      </c>
      <c r="N1509">
        <f>IFERROR(INDEX('Company Hitlist'!$AA:$AA,MATCH(D1509,'Company Hitlist'!$A:$A,0)),)</f>
        <v/>
      </c>
      <c r="O1509">
        <f>IFERROR(INDEX('Company Hitlist'!$N:$N,MATCH(D1509,'Company Hitlist'!$A:$A,0)),)</f>
        <v/>
      </c>
      <c r="Q1509" t="inlineStr">
        <is>
          <t>todo</t>
        </is>
      </c>
    </row>
    <row r="1510">
      <c r="A1510" t="inlineStr">
        <is>
          <t>Curt Anderson</t>
        </is>
      </c>
      <c r="B1510" t="inlineStr">
        <is>
          <t>Sponsor</t>
        </is>
      </c>
      <c r="C1510" t="inlineStr">
        <is>
          <t>CFO, COO</t>
        </is>
      </c>
      <c r="D1510" t="inlineStr">
        <is>
          <t>Flexe</t>
        </is>
      </c>
      <c r="F1510" t="inlineStr">
        <is>
          <t>Yes</t>
        </is>
      </c>
      <c r="H1510" t="n">
        <v>8</v>
      </c>
      <c r="I1510" t="b">
        <v>0</v>
      </c>
      <c r="J1510" t="b">
        <v>1</v>
      </c>
      <c r="K1510" t="b">
        <v>0</v>
      </c>
      <c r="L1510" t="b">
        <v>0</v>
      </c>
      <c r="M1510" t="b">
        <v>0</v>
      </c>
      <c r="N1510">
        <f>IFERROR(INDEX('Company Hitlist'!$AA:$AA,MATCH(D1510,'Company Hitlist'!$A:$A,0)),)</f>
        <v/>
      </c>
      <c r="O1510">
        <f>IFERROR(INDEX('Company Hitlist'!$N:$N,MATCH(D1510,'Company Hitlist'!$A:$A,0)),)</f>
        <v/>
      </c>
      <c r="Q1510" t="inlineStr">
        <is>
          <t>todo</t>
        </is>
      </c>
    </row>
    <row r="1511">
      <c r="A1511" t="inlineStr">
        <is>
          <t>Alexis Boutet</t>
        </is>
      </c>
      <c r="B1511" t="inlineStr">
        <is>
          <t>Sponsor</t>
        </is>
      </c>
      <c r="C1511" t="inlineStr">
        <is>
          <t>VP, Global Head of Airfreight</t>
        </is>
      </c>
      <c r="D1511" t="inlineStr">
        <is>
          <t>Flexport</t>
        </is>
      </c>
      <c r="E1511" t="inlineStr">
        <is>
          <t>United States</t>
        </is>
      </c>
      <c r="F1511" t="inlineStr">
        <is>
          <t>Yes</t>
        </is>
      </c>
      <c r="G1511" t="inlineStr">
        <is>
          <t>$3 billion (2025)</t>
        </is>
      </c>
      <c r="H1511" t="n">
        <v>8</v>
      </c>
      <c r="I1511" t="b">
        <v>0</v>
      </c>
      <c r="J1511" t="b">
        <v>1</v>
      </c>
      <c r="K1511" t="b">
        <v>0</v>
      </c>
      <c r="L1511" t="b">
        <v>0</v>
      </c>
      <c r="M1511" t="b">
        <v>0</v>
      </c>
      <c r="N1511">
        <f>IFERROR(INDEX('Company Hitlist'!$AA:$AA,MATCH(D1511,'Company Hitlist'!$A:$A,0)),)</f>
        <v/>
      </c>
      <c r="O1511">
        <f>IFERROR(INDEX('Company Hitlist'!$N:$N,MATCH(D1511,'Company Hitlist'!$A:$A,0)),)</f>
        <v/>
      </c>
      <c r="Q1511" t="inlineStr">
        <is>
          <t>todo</t>
        </is>
      </c>
    </row>
    <row r="1512">
      <c r="A1512" t="inlineStr">
        <is>
          <t>Ted Boeglin</t>
        </is>
      </c>
      <c r="B1512" t="inlineStr">
        <is>
          <t>Sponsor</t>
        </is>
      </c>
      <c r="C1512" t="inlineStr">
        <is>
          <t>VP, Americas</t>
        </is>
      </c>
      <c r="D1512" t="inlineStr">
        <is>
          <t>Flexport</t>
        </is>
      </c>
      <c r="E1512" t="inlineStr">
        <is>
          <t>United States</t>
        </is>
      </c>
      <c r="F1512" t="inlineStr">
        <is>
          <t>Yes</t>
        </is>
      </c>
      <c r="G1512" t="inlineStr">
        <is>
          <t>$3 billion (2025)</t>
        </is>
      </c>
      <c r="H1512" t="n">
        <v>8</v>
      </c>
      <c r="I1512" t="b">
        <v>0</v>
      </c>
      <c r="J1512" t="b">
        <v>1</v>
      </c>
      <c r="K1512" t="b">
        <v>0</v>
      </c>
      <c r="L1512" t="b">
        <v>0</v>
      </c>
      <c r="M1512" t="b">
        <v>0</v>
      </c>
      <c r="N1512">
        <f>IFERROR(INDEX('Company Hitlist'!$AA:$AA,MATCH(D1512,'Company Hitlist'!$A:$A,0)),)</f>
        <v/>
      </c>
      <c r="O1512">
        <f>IFERROR(INDEX('Company Hitlist'!$N:$N,MATCH(D1512,'Company Hitlist'!$A:$A,0)),)</f>
        <v/>
      </c>
      <c r="Q1512" t="inlineStr">
        <is>
          <t>todo</t>
        </is>
      </c>
    </row>
    <row r="1513">
      <c r="A1513" t="inlineStr">
        <is>
          <t>Ryan Petersen</t>
        </is>
      </c>
      <c r="B1513" t="inlineStr">
        <is>
          <t>Sponsor</t>
        </is>
      </c>
      <c r="C1513" t="inlineStr">
        <is>
          <t>CEO</t>
        </is>
      </c>
      <c r="D1513" t="inlineStr">
        <is>
          <t>Flexport</t>
        </is>
      </c>
      <c r="F1513" t="inlineStr">
        <is>
          <t>Yes</t>
        </is>
      </c>
      <c r="G1513" t="inlineStr">
        <is>
          <t>$3 billion (2025)</t>
        </is>
      </c>
      <c r="H1513" t="n">
        <v>8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  <c r="N1513">
        <f>IFERROR(INDEX('Company Hitlist'!$AA:$AA,MATCH(D1513,'Company Hitlist'!$A:$A,0)),)</f>
        <v/>
      </c>
      <c r="O1513">
        <f>IFERROR(INDEX('Company Hitlist'!$N:$N,MATCH(D1513,'Company Hitlist'!$A:$A,0)),)</f>
        <v/>
      </c>
      <c r="Q1513" t="inlineStr">
        <is>
          <t>todo</t>
        </is>
      </c>
    </row>
    <row r="1514">
      <c r="A1514" t="inlineStr">
        <is>
          <t>Trine Nielsen</t>
        </is>
      </c>
      <c r="B1514" t="inlineStr">
        <is>
          <t>Sponsor</t>
        </is>
      </c>
      <c r="C1514" t="inlineStr">
        <is>
          <t>VP, Global Head of Ocean Freight</t>
        </is>
      </c>
      <c r="D1514" t="inlineStr">
        <is>
          <t>Flexport</t>
        </is>
      </c>
      <c r="F1514" t="inlineStr">
        <is>
          <t>Yes</t>
        </is>
      </c>
      <c r="G1514" t="inlineStr">
        <is>
          <t>$3 billion (2025)</t>
        </is>
      </c>
      <c r="H1514" t="n">
        <v>8</v>
      </c>
      <c r="I1514" t="b">
        <v>0</v>
      </c>
      <c r="J1514" t="b">
        <v>1</v>
      </c>
      <c r="K1514" t="b">
        <v>0</v>
      </c>
      <c r="L1514" t="b">
        <v>0</v>
      </c>
      <c r="M1514" t="b">
        <v>0</v>
      </c>
      <c r="N1514">
        <f>IFERROR(INDEX('Company Hitlist'!$AA:$AA,MATCH(D1514,'Company Hitlist'!$A:$A,0)),)</f>
        <v/>
      </c>
      <c r="O1514">
        <f>IFERROR(INDEX('Company Hitlist'!$N:$N,MATCH(D1514,'Company Hitlist'!$A:$A,0)),)</f>
        <v/>
      </c>
      <c r="Q1514" t="inlineStr">
        <is>
          <t>todo</t>
        </is>
      </c>
    </row>
    <row r="1515">
      <c r="A1515" t="inlineStr">
        <is>
          <t>Kevin Keough</t>
        </is>
      </c>
      <c r="B1515" t="inlineStr">
        <is>
          <t>Sponsor</t>
        </is>
      </c>
      <c r="C1515" t="inlineStr">
        <is>
          <t>General Manager, Southcentral</t>
        </is>
      </c>
      <c r="D1515" t="inlineStr">
        <is>
          <t>Flexport</t>
        </is>
      </c>
      <c r="H1515" t="n">
        <v>8</v>
      </c>
      <c r="I1515" t="b">
        <v>0</v>
      </c>
      <c r="J1515" t="b">
        <v>1</v>
      </c>
      <c r="K1515" t="b">
        <v>0</v>
      </c>
      <c r="L1515" t="b">
        <v>0</v>
      </c>
      <c r="M1515" t="b">
        <v>0</v>
      </c>
      <c r="N1515">
        <f>IFERROR(INDEX('Company Hitlist'!$AA:$AA,MATCH(D1515,'Company Hitlist'!$A:$A,0)),)</f>
        <v/>
      </c>
      <c r="O1515">
        <f>IFERROR(INDEX('Company Hitlist'!$N:$N,MATCH(D1515,'Company Hitlist'!$A:$A,0)),)</f>
        <v/>
      </c>
      <c r="Q1515" t="inlineStr">
        <is>
          <t>todo</t>
        </is>
      </c>
    </row>
    <row r="1516">
      <c r="A1516" t="inlineStr">
        <is>
          <t>Yanwen Chen</t>
        </is>
      </c>
      <c r="B1516" t="inlineStr">
        <is>
          <t>Sponsor</t>
        </is>
      </c>
      <c r="C1516" t="inlineStr">
        <is>
          <t>CEO</t>
        </is>
      </c>
      <c r="D1516" t="inlineStr">
        <is>
          <t>Floxmind</t>
        </is>
      </c>
      <c r="F1516" t="inlineStr">
        <is>
          <t>Yes</t>
        </is>
      </c>
      <c r="H1516" t="n">
        <v>8</v>
      </c>
      <c r="I1516" t="b">
        <v>0</v>
      </c>
      <c r="J1516" t="b">
        <v>1</v>
      </c>
      <c r="K1516" t="b">
        <v>0</v>
      </c>
      <c r="L1516" t="b">
        <v>0</v>
      </c>
      <c r="M1516" t="b">
        <v>0</v>
      </c>
      <c r="N1516">
        <f>IFERROR(INDEX('Company Hitlist'!$AA:$AA,MATCH(D1516,'Company Hitlist'!$A:$A,0)),)</f>
        <v/>
      </c>
      <c r="O1516">
        <f>IFERROR(INDEX('Company Hitlist'!$N:$N,MATCH(D1516,'Company Hitlist'!$A:$A,0)),)</f>
        <v/>
      </c>
      <c r="Q1516" t="inlineStr">
        <is>
          <t>todo</t>
        </is>
      </c>
    </row>
    <row r="1517">
      <c r="A1517" t="inlineStr">
        <is>
          <t>Stakh Vozniak</t>
        </is>
      </c>
      <c r="B1517" t="inlineStr">
        <is>
          <t>Sponsor</t>
        </is>
      </c>
      <c r="C1517" t="inlineStr">
        <is>
          <t>CEO</t>
        </is>
      </c>
      <c r="D1517" t="inlineStr">
        <is>
          <t>Forward Group</t>
        </is>
      </c>
      <c r="H1517" t="n">
        <v>8</v>
      </c>
      <c r="I1517" t="b">
        <v>0</v>
      </c>
      <c r="J1517" t="b">
        <v>1</v>
      </c>
      <c r="K1517" t="b">
        <v>0</v>
      </c>
      <c r="L1517" t="b">
        <v>0</v>
      </c>
      <c r="M1517" t="b">
        <v>0</v>
      </c>
      <c r="N1517">
        <f>IFERROR(INDEX('Company Hitlist'!$AA:$AA,MATCH(D1517,'Company Hitlist'!$A:$A,0)),)</f>
        <v/>
      </c>
      <c r="O1517">
        <f>IFERROR(INDEX('Company Hitlist'!$N:$N,MATCH(D1517,'Company Hitlist'!$A:$A,0)),)</f>
        <v/>
      </c>
      <c r="Q1517" t="inlineStr">
        <is>
          <t>todo</t>
        </is>
      </c>
    </row>
    <row r="1518">
      <c r="A1518" t="inlineStr">
        <is>
          <t>Juliana Ravetto</t>
        </is>
      </c>
      <c r="B1518" t="inlineStr">
        <is>
          <t>Sponsor</t>
        </is>
      </c>
      <c r="C1518" t="inlineStr">
        <is>
          <t>VP, Global Solution Consulting</t>
        </is>
      </c>
      <c r="D1518" t="inlineStr">
        <is>
          <t>FourKites</t>
        </is>
      </c>
      <c r="E1518" t="inlineStr">
        <is>
          <t>United States</t>
        </is>
      </c>
      <c r="F1518" t="inlineStr">
        <is>
          <t>Yes</t>
        </is>
      </c>
      <c r="G1518" t="inlineStr">
        <is>
          <t>$100M (2024 est.; projected $110M in 2025)</t>
        </is>
      </c>
      <c r="H1518" t="n">
        <v>8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  <c r="N1518">
        <f>IFERROR(INDEX('Company Hitlist'!$AA:$AA,MATCH(D1518,'Company Hitlist'!$A:$A,0)),)</f>
        <v/>
      </c>
      <c r="O1518">
        <f>IFERROR(INDEX('Company Hitlist'!$N:$N,MATCH(D1518,'Company Hitlist'!$A:$A,0)),)</f>
        <v/>
      </c>
      <c r="Q1518" t="inlineStr">
        <is>
          <t>todo</t>
        </is>
      </c>
    </row>
    <row r="1519">
      <c r="A1519" t="inlineStr">
        <is>
          <t>Zahra Ladiwala</t>
        </is>
      </c>
      <c r="B1519" t="inlineStr">
        <is>
          <t>Sponsor</t>
        </is>
      </c>
      <c r="C1519" t="inlineStr">
        <is>
          <t>Head of Developer Relations</t>
        </is>
      </c>
      <c r="D1519" t="inlineStr">
        <is>
          <t>Fraction.work</t>
        </is>
      </c>
      <c r="E1519" t="inlineStr">
        <is>
          <t>United States</t>
        </is>
      </c>
      <c r="F1519" t="inlineStr">
        <is>
          <t>Yes</t>
        </is>
      </c>
      <c r="H1519" t="n">
        <v>8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  <c r="N1519">
        <f>IFERROR(INDEX('Company Hitlist'!$AA:$AA,MATCH(D1519,'Company Hitlist'!$A:$A,0)),)</f>
        <v/>
      </c>
      <c r="O1519">
        <f>IFERROR(INDEX('Company Hitlist'!$N:$N,MATCH(D1519,'Company Hitlist'!$A:$A,0)),)</f>
        <v/>
      </c>
      <c r="Q1519" t="inlineStr">
        <is>
          <t>todo</t>
        </is>
      </c>
    </row>
    <row r="1520">
      <c r="A1520" t="inlineStr">
        <is>
          <t>Mark Fierek</t>
        </is>
      </c>
      <c r="B1520" t="inlineStr">
        <is>
          <t>Sponsor</t>
        </is>
      </c>
      <c r="C1520" t="inlineStr">
        <is>
          <t>Vice President</t>
        </is>
      </c>
      <c r="D1520" t="inlineStr">
        <is>
          <t>FragilePAK</t>
        </is>
      </c>
      <c r="E1520" t="inlineStr">
        <is>
          <t>United States</t>
        </is>
      </c>
      <c r="F1520" t="inlineStr">
        <is>
          <t>Yes</t>
        </is>
      </c>
      <c r="H1520" t="n">
        <v>8</v>
      </c>
      <c r="I1520" t="b">
        <v>0</v>
      </c>
      <c r="J1520" t="b">
        <v>1</v>
      </c>
      <c r="K1520" t="b">
        <v>0</v>
      </c>
      <c r="L1520" t="b">
        <v>0</v>
      </c>
      <c r="M1520" t="b">
        <v>0</v>
      </c>
      <c r="N1520">
        <f>IFERROR(INDEX('Company Hitlist'!$AA:$AA,MATCH(D1520,'Company Hitlist'!$A:$A,0)),)</f>
        <v/>
      </c>
      <c r="O1520">
        <f>IFERROR(INDEX('Company Hitlist'!$N:$N,MATCH(D1520,'Company Hitlist'!$A:$A,0)),)</f>
        <v/>
      </c>
      <c r="Q1520" t="inlineStr">
        <is>
          <t>todo</t>
        </is>
      </c>
    </row>
    <row r="1521">
      <c r="A1521" t="inlineStr">
        <is>
          <t>Nitin Jayakrishnan</t>
        </is>
      </c>
      <c r="B1521" t="inlineStr">
        <is>
          <t>Sponsor</t>
        </is>
      </c>
      <c r="C1521" t="inlineStr">
        <is>
          <t>CEO &amp; Co-Founder</t>
        </is>
      </c>
      <c r="D1521" t="inlineStr">
        <is>
          <t>Free Hand</t>
        </is>
      </c>
      <c r="E1521" t="inlineStr">
        <is>
          <t>United States</t>
        </is>
      </c>
      <c r="F1521" t="inlineStr">
        <is>
          <t>Yes</t>
        </is>
      </c>
      <c r="H1521" t="n">
        <v>8</v>
      </c>
      <c r="I1521" t="b">
        <v>0</v>
      </c>
      <c r="J1521" t="b">
        <v>1</v>
      </c>
      <c r="K1521" t="b">
        <v>0</v>
      </c>
      <c r="L1521" t="b">
        <v>0</v>
      </c>
      <c r="M1521" t="b">
        <v>0</v>
      </c>
      <c r="N1521">
        <f>IFERROR(INDEX('Company Hitlist'!$AA:$AA,MATCH(D1521,'Company Hitlist'!$A:$A,0)),)</f>
        <v/>
      </c>
      <c r="O1521">
        <f>IFERROR(INDEX('Company Hitlist'!$N:$N,MATCH(D1521,'Company Hitlist'!$A:$A,0)),)</f>
        <v/>
      </c>
      <c r="Q1521" t="inlineStr">
        <is>
          <t>todo</t>
        </is>
      </c>
    </row>
    <row r="1522">
      <c r="A1522" t="inlineStr">
        <is>
          <t>Bryan Eichenberg</t>
        </is>
      </c>
      <c r="B1522" t="inlineStr">
        <is>
          <t>Sponsor</t>
        </is>
      </c>
      <c r="C1522" t="inlineStr">
        <is>
          <t>CTO</t>
        </is>
      </c>
      <c r="D1522" t="inlineStr">
        <is>
          <t>FreightSnap LLC</t>
        </is>
      </c>
      <c r="E1522" t="inlineStr">
        <is>
          <t>United States</t>
        </is>
      </c>
      <c r="F1522" t="inlineStr">
        <is>
          <t>Yes</t>
        </is>
      </c>
      <c r="G1522" t="inlineStr">
        <is>
          <t>$1M</t>
        </is>
      </c>
      <c r="H1522" t="n">
        <v>8</v>
      </c>
      <c r="I1522" t="b">
        <v>0</v>
      </c>
      <c r="J1522" t="b">
        <v>1</v>
      </c>
      <c r="K1522" t="b">
        <v>0</v>
      </c>
      <c r="L1522" t="b">
        <v>0</v>
      </c>
      <c r="M1522" t="b">
        <v>0</v>
      </c>
      <c r="N1522">
        <f>IFERROR(INDEX('Company Hitlist'!$AA:$AA,MATCH(D1522,'Company Hitlist'!$A:$A,0)),)</f>
        <v/>
      </c>
      <c r="O1522">
        <f>IFERROR(INDEX('Company Hitlist'!$N:$N,MATCH(D1522,'Company Hitlist'!$A:$A,0)),)</f>
        <v/>
      </c>
      <c r="Q1522" t="inlineStr">
        <is>
          <t>todo</t>
        </is>
      </c>
    </row>
    <row r="1523">
      <c r="A1523" t="inlineStr">
        <is>
          <t>Chris Cochran</t>
        </is>
      </c>
      <c r="B1523" t="inlineStr">
        <is>
          <t>Sponsor</t>
        </is>
      </c>
      <c r="C1523" t="inlineStr">
        <is>
          <t>CEO</t>
        </is>
      </c>
      <c r="D1523" t="inlineStr">
        <is>
          <t>FreightWise &amp; Kuebix</t>
        </is>
      </c>
      <c r="E1523" t="inlineStr">
        <is>
          <t>United States</t>
        </is>
      </c>
      <c r="F1523" t="inlineStr">
        <is>
          <t>Yes</t>
        </is>
      </c>
      <c r="H1523" t="n">
        <v>8</v>
      </c>
      <c r="I1523" t="b">
        <v>0</v>
      </c>
      <c r="J1523" t="b">
        <v>1</v>
      </c>
      <c r="K1523" t="b">
        <v>0</v>
      </c>
      <c r="L1523" t="b">
        <v>0</v>
      </c>
      <c r="M1523" t="b">
        <v>0</v>
      </c>
      <c r="N1523">
        <f>IFERROR(INDEX('Company Hitlist'!$AA:$AA,MATCH(D1523,'Company Hitlist'!$A:$A,0)),)</f>
        <v/>
      </c>
      <c r="O1523">
        <f>IFERROR(INDEX('Company Hitlist'!$N:$N,MATCH(D1523,'Company Hitlist'!$A:$A,0)),)</f>
        <v/>
      </c>
      <c r="Q1523" t="inlineStr">
        <is>
          <t>todo</t>
        </is>
      </c>
    </row>
    <row r="1524">
      <c r="A1524" t="inlineStr">
        <is>
          <t>Justin Nelson</t>
        </is>
      </c>
      <c r="B1524" t="inlineStr">
        <is>
          <t>Sponsor</t>
        </is>
      </c>
      <c r="C1524" t="inlineStr">
        <is>
          <t>Vice President</t>
        </is>
      </c>
      <c r="D1524" t="inlineStr">
        <is>
          <t>FreightWise &amp; Kuebix</t>
        </is>
      </c>
      <c r="E1524" t="inlineStr">
        <is>
          <t>United States</t>
        </is>
      </c>
      <c r="F1524" t="inlineStr">
        <is>
          <t>Yes</t>
        </is>
      </c>
      <c r="H1524" t="n">
        <v>8</v>
      </c>
      <c r="I1524" t="b">
        <v>0</v>
      </c>
      <c r="J1524" t="b">
        <v>1</v>
      </c>
      <c r="K1524" t="b">
        <v>0</v>
      </c>
      <c r="L1524" t="b">
        <v>0</v>
      </c>
      <c r="M1524" t="b">
        <v>0</v>
      </c>
      <c r="N1524">
        <f>IFERROR(INDEX('Company Hitlist'!$AA:$AA,MATCH(D1524,'Company Hitlist'!$A:$A,0)),)</f>
        <v/>
      </c>
      <c r="O1524">
        <f>IFERROR(INDEX('Company Hitlist'!$N:$N,MATCH(D1524,'Company Hitlist'!$A:$A,0)),)</f>
        <v/>
      </c>
      <c r="Q1524" t="inlineStr">
        <is>
          <t>todo</t>
        </is>
      </c>
    </row>
    <row r="1525">
      <c r="A1525" t="inlineStr">
        <is>
          <t>Bryan Lacaillade</t>
        </is>
      </c>
      <c r="B1525" t="inlineStr">
        <is>
          <t>Sponsor</t>
        </is>
      </c>
      <c r="C1525" t="inlineStr">
        <is>
          <t>CEO</t>
        </is>
      </c>
      <c r="D1525" t="inlineStr">
        <is>
          <t>Freightmate AI</t>
        </is>
      </c>
      <c r="E1525" t="inlineStr">
        <is>
          <t>United States</t>
        </is>
      </c>
      <c r="F1525" t="inlineStr">
        <is>
          <t>Yes</t>
        </is>
      </c>
      <c r="G1525" t="inlineStr">
        <is>
          <t>&lt;$1M</t>
        </is>
      </c>
      <c r="H1525" t="n">
        <v>8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  <c r="N1525">
        <f>IFERROR(INDEX('Company Hitlist'!$AA:$AA,MATCH(D1525,'Company Hitlist'!$A:$A,0)),)</f>
        <v/>
      </c>
      <c r="O1525">
        <f>IFERROR(INDEX('Company Hitlist'!$N:$N,MATCH(D1525,'Company Hitlist'!$A:$A,0)),)</f>
        <v/>
      </c>
      <c r="Q1525" t="inlineStr">
        <is>
          <t>todo</t>
        </is>
      </c>
    </row>
    <row r="1526">
      <c r="A1526" t="inlineStr">
        <is>
          <t>Rishab Gadroo</t>
        </is>
      </c>
      <c r="B1526" t="inlineStr">
        <is>
          <t>Sponsor</t>
        </is>
      </c>
      <c r="C1526" t="inlineStr">
        <is>
          <t>CTO</t>
        </is>
      </c>
      <c r="D1526" t="inlineStr">
        <is>
          <t>Freightmate AI</t>
        </is>
      </c>
      <c r="E1526" t="inlineStr">
        <is>
          <t>United States</t>
        </is>
      </c>
      <c r="F1526" t="inlineStr">
        <is>
          <t>Yes</t>
        </is>
      </c>
      <c r="G1526" t="inlineStr">
        <is>
          <t>&lt;$1M</t>
        </is>
      </c>
      <c r="H1526" t="n">
        <v>8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  <c r="N1526">
        <f>IFERROR(INDEX('Company Hitlist'!$AA:$AA,MATCH(D1526,'Company Hitlist'!$A:$A,0)),)</f>
        <v/>
      </c>
      <c r="O1526">
        <f>IFERROR(INDEX('Company Hitlist'!$N:$N,MATCH(D1526,'Company Hitlist'!$A:$A,0)),)</f>
        <v/>
      </c>
      <c r="Q1526" t="inlineStr">
        <is>
          <t>todo</t>
        </is>
      </c>
    </row>
    <row r="1527">
      <c r="A1527" t="inlineStr">
        <is>
          <t>Harshida Acharya</t>
        </is>
      </c>
      <c r="B1527" t="inlineStr">
        <is>
          <t>Sponsor</t>
        </is>
      </c>
      <c r="C1527" t="inlineStr">
        <is>
          <t>Partner &amp; Chief Strategy Officer | Creator &amp; Co-Host</t>
        </is>
      </c>
      <c r="D1527" t="inlineStr">
        <is>
          <t>Fulfillment IQ | eCom Logistics Podcast</t>
        </is>
      </c>
      <c r="E1527" t="inlineStr">
        <is>
          <t>Canada</t>
        </is>
      </c>
      <c r="H1527" t="n">
        <v>8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  <c r="N1527">
        <f>IFERROR(INDEX('Company Hitlist'!$AA:$AA,MATCH(D1527,'Company Hitlist'!$A:$A,0)),)</f>
        <v/>
      </c>
      <c r="O1527">
        <f>IFERROR(INDEX('Company Hitlist'!$N:$N,MATCH(D1527,'Company Hitlist'!$A:$A,0)),)</f>
        <v/>
      </c>
      <c r="Q1527" t="inlineStr">
        <is>
          <t>todo</t>
        </is>
      </c>
    </row>
    <row r="1528">
      <c r="A1528" t="inlineStr">
        <is>
          <t>Ninaad Acharya</t>
        </is>
      </c>
      <c r="B1528" t="inlineStr">
        <is>
          <t>Sponsor</t>
        </is>
      </c>
      <c r="C1528" t="inlineStr">
        <is>
          <t>Co-Founder &amp; CEO | Co-Host</t>
        </is>
      </c>
      <c r="D1528" t="inlineStr">
        <is>
          <t>Fulfillment IQ | eCom Logistics Podcast</t>
        </is>
      </c>
      <c r="E1528" t="inlineStr">
        <is>
          <t>Canada</t>
        </is>
      </c>
      <c r="H1528" t="n">
        <v>8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  <c r="N1528">
        <f>IFERROR(INDEX('Company Hitlist'!$AA:$AA,MATCH(D1528,'Company Hitlist'!$A:$A,0)),)</f>
        <v/>
      </c>
      <c r="O1528">
        <f>IFERROR(INDEX('Company Hitlist'!$N:$N,MATCH(D1528,'Company Hitlist'!$A:$A,0)),)</f>
        <v/>
      </c>
      <c r="Q1528" t="inlineStr">
        <is>
          <t>todo</t>
        </is>
      </c>
    </row>
    <row r="1529">
      <c r="A1529" t="inlineStr">
        <is>
          <t>Bailey Clark</t>
        </is>
      </c>
      <c r="B1529" t="inlineStr">
        <is>
          <t>Sponsor</t>
        </is>
      </c>
      <c r="C1529" t="inlineStr">
        <is>
          <t>Head of Global Partnerships | Media Partner Representative</t>
        </is>
      </c>
      <c r="D1529" t="inlineStr">
        <is>
          <t>Fulfillment IQ | eCom Logistics Podcast</t>
        </is>
      </c>
      <c r="E1529" t="inlineStr">
        <is>
          <t>United States</t>
        </is>
      </c>
      <c r="H1529" t="n">
        <v>8</v>
      </c>
      <c r="I1529" t="b">
        <v>0</v>
      </c>
      <c r="J1529" t="b">
        <v>1</v>
      </c>
      <c r="K1529" t="b">
        <v>0</v>
      </c>
      <c r="L1529" t="b">
        <v>0</v>
      </c>
      <c r="M1529" t="b">
        <v>0</v>
      </c>
      <c r="N1529">
        <f>IFERROR(INDEX('Company Hitlist'!$AA:$AA,MATCH(D1529,'Company Hitlist'!$A:$A,0)),)</f>
        <v/>
      </c>
      <c r="O1529">
        <f>IFERROR(INDEX('Company Hitlist'!$N:$N,MATCH(D1529,'Company Hitlist'!$A:$A,0)),)</f>
        <v/>
      </c>
      <c r="Q1529" t="inlineStr">
        <is>
          <t>todo</t>
        </is>
      </c>
    </row>
    <row r="1530">
      <c r="A1530" t="inlineStr">
        <is>
          <t>Shibu Raj</t>
        </is>
      </c>
      <c r="B1530" t="inlineStr">
        <is>
          <t>Sponsor</t>
        </is>
      </c>
      <c r="C1530" t="inlineStr">
        <is>
          <t>CIO &amp; EVP</t>
        </is>
      </c>
      <c r="D1530" t="inlineStr">
        <is>
          <t>GEODIS</t>
        </is>
      </c>
      <c r="E1530" t="inlineStr">
        <is>
          <t>United States</t>
        </is>
      </c>
      <c r="F1530" t="inlineStr">
        <is>
          <t>Yes</t>
        </is>
      </c>
      <c r="G1530" t="inlineStr">
        <is>
          <t>12114000000</t>
        </is>
      </c>
      <c r="H1530" t="n">
        <v>8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  <c r="N1530">
        <f>IFERROR(INDEX('Company Hitlist'!$AA:$AA,MATCH(D1530,'Company Hitlist'!$A:$A,0)),)</f>
        <v/>
      </c>
      <c r="O1530">
        <f>IFERROR(INDEX('Company Hitlist'!$N:$N,MATCH(D1530,'Company Hitlist'!$A:$A,0)),)</f>
        <v/>
      </c>
      <c r="Q1530" t="inlineStr">
        <is>
          <t>todo</t>
        </is>
      </c>
    </row>
    <row r="1531">
      <c r="A1531" t="inlineStr">
        <is>
          <t>Brianne Graham</t>
        </is>
      </c>
      <c r="B1531" t="inlineStr">
        <is>
          <t>Sponsor</t>
        </is>
      </c>
      <c r="C1531" t="inlineStr">
        <is>
          <t>Vice President, Account Management</t>
        </is>
      </c>
      <c r="D1531" t="inlineStr">
        <is>
          <t>GXO Logistics</t>
        </is>
      </c>
      <c r="E1531" t="inlineStr">
        <is>
          <t>United States</t>
        </is>
      </c>
      <c r="F1531" t="inlineStr">
        <is>
          <t>Yes</t>
        </is>
      </c>
      <c r="G1531" t="inlineStr">
        <is>
          <t>$9.9 billion (2025)</t>
        </is>
      </c>
      <c r="H1531" t="n">
        <v>8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  <c r="N1531">
        <f>IFERROR(INDEX('Company Hitlist'!$AA:$AA,MATCH(D1531,'Company Hitlist'!$A:$A,0)),)</f>
        <v/>
      </c>
      <c r="O1531">
        <f>IFERROR(INDEX('Company Hitlist'!$N:$N,MATCH(D1531,'Company Hitlist'!$A:$A,0)),)</f>
        <v/>
      </c>
      <c r="Q1531" t="inlineStr">
        <is>
          <t>todo</t>
        </is>
      </c>
    </row>
    <row r="1532">
      <c r="A1532" t="inlineStr">
        <is>
          <t>Tom Gould</t>
        </is>
      </c>
      <c r="B1532" t="inlineStr">
        <is>
          <t>Sponsor</t>
        </is>
      </c>
      <c r="C1532" t="inlineStr">
        <is>
          <t>Chief Strategy and Compliance Officer</t>
        </is>
      </c>
      <c r="D1532" t="inlineStr">
        <is>
          <t>Gaia Dynamics</t>
        </is>
      </c>
      <c r="E1532" t="inlineStr">
        <is>
          <t>United States</t>
        </is>
      </c>
      <c r="F1532" t="inlineStr">
        <is>
          <t>Yes</t>
        </is>
      </c>
      <c r="H1532" t="n">
        <v>8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  <c r="N1532">
        <f>IFERROR(INDEX('Company Hitlist'!$AA:$AA,MATCH(D1532,'Company Hitlist'!$A:$A,0)),)</f>
        <v/>
      </c>
      <c r="O1532">
        <f>IFERROR(INDEX('Company Hitlist'!$N:$N,MATCH(D1532,'Company Hitlist'!$A:$A,0)),)</f>
        <v/>
      </c>
      <c r="Q1532" t="inlineStr">
        <is>
          <t>todo</t>
        </is>
      </c>
    </row>
    <row r="1533">
      <c r="A1533" t="inlineStr">
        <is>
          <t>Matthew Bullock</t>
        </is>
      </c>
      <c r="B1533" t="inlineStr">
        <is>
          <t>Sponsor</t>
        </is>
      </c>
      <c r="C1533" t="inlineStr">
        <is>
          <t>CEO</t>
        </is>
      </c>
      <c r="D1533" t="inlineStr">
        <is>
          <t>Gardian Holdings, LLC</t>
        </is>
      </c>
      <c r="H1533" t="n">
        <v>8</v>
      </c>
      <c r="I1533" t="b">
        <v>0</v>
      </c>
      <c r="J1533" t="b">
        <v>1</v>
      </c>
      <c r="K1533" t="b">
        <v>0</v>
      </c>
      <c r="L1533" t="b">
        <v>0</v>
      </c>
      <c r="M1533" t="b">
        <v>0</v>
      </c>
      <c r="N1533">
        <f>IFERROR(INDEX('Company Hitlist'!$AA:$AA,MATCH(D1533,'Company Hitlist'!$A:$A,0)),)</f>
        <v/>
      </c>
      <c r="O1533">
        <f>IFERROR(INDEX('Company Hitlist'!$N:$N,MATCH(D1533,'Company Hitlist'!$A:$A,0)),)</f>
        <v/>
      </c>
      <c r="Q1533" t="inlineStr">
        <is>
          <t>todo</t>
        </is>
      </c>
    </row>
    <row r="1534">
      <c r="A1534" t="inlineStr">
        <is>
          <t>Sean Yanok</t>
        </is>
      </c>
      <c r="B1534" t="inlineStr">
        <is>
          <t>Sponsor</t>
        </is>
      </c>
      <c r="C1534" t="inlineStr">
        <is>
          <t>Vice President Regional Development</t>
        </is>
      </c>
      <c r="D1534" t="inlineStr">
        <is>
          <t>Gebrüder Weiss - Transport and Logistics</t>
        </is>
      </c>
      <c r="E1534" t="inlineStr">
        <is>
          <t>United States</t>
        </is>
      </c>
      <c r="F1534" t="inlineStr">
        <is>
          <t>Yes</t>
        </is>
      </c>
      <c r="G1534" t="inlineStr">
        <is>
          <t>$2.7B (est. 2024)</t>
        </is>
      </c>
      <c r="H1534" t="n">
        <v>8</v>
      </c>
      <c r="I1534" t="b">
        <v>0</v>
      </c>
      <c r="J1534" t="b">
        <v>1</v>
      </c>
      <c r="K1534" t="b">
        <v>0</v>
      </c>
      <c r="L1534" t="b">
        <v>0</v>
      </c>
      <c r="M1534" t="b">
        <v>0</v>
      </c>
      <c r="N1534">
        <f>IFERROR(INDEX('Company Hitlist'!$AA:$AA,MATCH(D1534,'Company Hitlist'!$A:$A,0)),)</f>
        <v/>
      </c>
      <c r="O1534">
        <f>IFERROR(INDEX('Company Hitlist'!$N:$N,MATCH(D1534,'Company Hitlist'!$A:$A,0)),)</f>
        <v/>
      </c>
      <c r="Q1534" t="inlineStr">
        <is>
          <t>todo</t>
        </is>
      </c>
    </row>
    <row r="1535">
      <c r="A1535" t="inlineStr">
        <is>
          <t>Austin McCombs</t>
        </is>
      </c>
      <c r="B1535" t="inlineStr">
        <is>
          <t>Sponsor</t>
        </is>
      </c>
      <c r="C1535" t="inlineStr">
        <is>
          <t>CEO</t>
        </is>
      </c>
      <c r="D1535" t="inlineStr">
        <is>
          <t>Gnosis Freight</t>
        </is>
      </c>
      <c r="E1535" t="inlineStr">
        <is>
          <t>United States</t>
        </is>
      </c>
      <c r="F1535" t="inlineStr">
        <is>
          <t>Yes</t>
        </is>
      </c>
      <c r="G1535" t="inlineStr">
        <is>
          <t>$5M (est. 2025)</t>
        </is>
      </c>
      <c r="H1535" t="n">
        <v>8</v>
      </c>
      <c r="I1535" t="b">
        <v>0</v>
      </c>
      <c r="J1535" t="b">
        <v>1</v>
      </c>
      <c r="K1535" t="b">
        <v>0</v>
      </c>
      <c r="L1535" t="b">
        <v>0</v>
      </c>
      <c r="M1535" t="b">
        <v>0</v>
      </c>
      <c r="N1535">
        <f>IFERROR(INDEX('Company Hitlist'!$AA:$AA,MATCH(D1535,'Company Hitlist'!$A:$A,0)),)</f>
        <v/>
      </c>
      <c r="O1535">
        <f>IFERROR(INDEX('Company Hitlist'!$N:$N,MATCH(D1535,'Company Hitlist'!$A:$A,0)),)</f>
        <v/>
      </c>
      <c r="Q1535" t="inlineStr">
        <is>
          <t>todo</t>
        </is>
      </c>
    </row>
    <row r="1536">
      <c r="A1536" t="inlineStr">
        <is>
          <t>Hudson Joyner</t>
        </is>
      </c>
      <c r="B1536" t="inlineStr">
        <is>
          <t>Sponsor</t>
        </is>
      </c>
      <c r="C1536" t="inlineStr">
        <is>
          <t>CFO</t>
        </is>
      </c>
      <c r="D1536" t="inlineStr">
        <is>
          <t>Gnosis Freight</t>
        </is>
      </c>
      <c r="E1536" t="inlineStr">
        <is>
          <t>United States</t>
        </is>
      </c>
      <c r="F1536" t="inlineStr">
        <is>
          <t>Yes</t>
        </is>
      </c>
      <c r="G1536" t="inlineStr">
        <is>
          <t>$5M (est. 2025)</t>
        </is>
      </c>
      <c r="H1536" t="n">
        <v>8</v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  <c r="N1536">
        <f>IFERROR(INDEX('Company Hitlist'!$AA:$AA,MATCH(D1536,'Company Hitlist'!$A:$A,0)),)</f>
        <v/>
      </c>
      <c r="O1536">
        <f>IFERROR(INDEX('Company Hitlist'!$N:$N,MATCH(D1536,'Company Hitlist'!$A:$A,0)),)</f>
        <v/>
      </c>
      <c r="Q1536" t="inlineStr">
        <is>
          <t>todo</t>
        </is>
      </c>
    </row>
    <row r="1537">
      <c r="A1537" t="inlineStr">
        <is>
          <t>Renae Farough</t>
        </is>
      </c>
      <c r="B1537" t="inlineStr">
        <is>
          <t>Sponsor</t>
        </is>
      </c>
      <c r="C1537" t="inlineStr">
        <is>
          <t>VP, Customer</t>
        </is>
      </c>
      <c r="D1537" t="inlineStr">
        <is>
          <t>GoBolt</t>
        </is>
      </c>
      <c r="E1537" t="inlineStr">
        <is>
          <t>Canada</t>
        </is>
      </c>
      <c r="F1537" t="inlineStr">
        <is>
          <t>Yes</t>
        </is>
      </c>
      <c r="G1537" t="inlineStr">
        <is>
          <t>33000000</t>
        </is>
      </c>
      <c r="H1537" t="n">
        <v>8</v>
      </c>
      <c r="I1537" t="b">
        <v>0</v>
      </c>
      <c r="J1537" t="b">
        <v>1</v>
      </c>
      <c r="K1537" t="b">
        <v>0</v>
      </c>
      <c r="L1537" t="b">
        <v>0</v>
      </c>
      <c r="M1537" t="b">
        <v>0</v>
      </c>
      <c r="N1537">
        <f>IFERROR(INDEX('Company Hitlist'!$AA:$AA,MATCH(D1537,'Company Hitlist'!$A:$A,0)),)</f>
        <v/>
      </c>
      <c r="O1537">
        <f>IFERROR(INDEX('Company Hitlist'!$N:$N,MATCH(D1537,'Company Hitlist'!$A:$A,0)),)</f>
        <v/>
      </c>
      <c r="Q1537" t="inlineStr">
        <is>
          <t>todo</t>
        </is>
      </c>
    </row>
    <row r="1538">
      <c r="A1538" t="inlineStr">
        <is>
          <t>Prasad Alurkar</t>
        </is>
      </c>
      <c r="B1538" t="inlineStr">
        <is>
          <t>Sponsor</t>
        </is>
      </c>
      <c r="C1538" t="inlineStr">
        <is>
          <t>Head of Global Accounts</t>
        </is>
      </c>
      <c r="D1538" t="inlineStr">
        <is>
          <t>GoComet</t>
        </is>
      </c>
      <c r="F1538" t="inlineStr">
        <is>
          <t>Yes</t>
        </is>
      </c>
      <c r="G1538" t="inlineStr">
        <is>
          <t>7400000</t>
        </is>
      </c>
      <c r="H1538" t="n">
        <v>8</v>
      </c>
      <c r="I1538" t="b">
        <v>0</v>
      </c>
      <c r="J1538" t="b">
        <v>1</v>
      </c>
      <c r="K1538" t="b">
        <v>0</v>
      </c>
      <c r="L1538" t="b">
        <v>0</v>
      </c>
      <c r="M1538" t="b">
        <v>0</v>
      </c>
      <c r="N1538">
        <f>IFERROR(INDEX('Company Hitlist'!$AA:$AA,MATCH(D1538,'Company Hitlist'!$A:$A,0)),)</f>
        <v/>
      </c>
      <c r="O1538">
        <f>IFERROR(INDEX('Company Hitlist'!$N:$N,MATCH(D1538,'Company Hitlist'!$A:$A,0)),)</f>
        <v/>
      </c>
      <c r="Q1538" t="inlineStr">
        <is>
          <t>todo</t>
        </is>
      </c>
    </row>
    <row r="1539">
      <c r="A1539" t="inlineStr">
        <is>
          <t>David Tsai</t>
        </is>
      </c>
      <c r="B1539" t="inlineStr">
        <is>
          <t>Sponsor</t>
        </is>
      </c>
      <c r="C1539" t="inlineStr">
        <is>
          <t>Co-Founder &amp; CTO</t>
        </is>
      </c>
      <c r="D1539" t="inlineStr">
        <is>
          <t>GoodShip</t>
        </is>
      </c>
      <c r="E1539" t="inlineStr">
        <is>
          <t>United States</t>
        </is>
      </c>
      <c r="F1539" t="inlineStr">
        <is>
          <t>Yes</t>
        </is>
      </c>
      <c r="G1539" t="inlineStr">
        <is>
          <t>$9.2 million (2025)</t>
        </is>
      </c>
      <c r="H1539" t="n">
        <v>8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  <c r="N1539">
        <f>IFERROR(INDEX('Company Hitlist'!$AA:$AA,MATCH(D1539,'Company Hitlist'!$A:$A,0)),)</f>
        <v/>
      </c>
      <c r="O1539">
        <f>IFERROR(INDEX('Company Hitlist'!$N:$N,MATCH(D1539,'Company Hitlist'!$A:$A,0)),)</f>
        <v/>
      </c>
      <c r="Q1539" t="inlineStr">
        <is>
          <t>todo</t>
        </is>
      </c>
    </row>
    <row r="1540">
      <c r="A1540" t="inlineStr">
        <is>
          <t>Derek Netelenbos</t>
        </is>
      </c>
      <c r="B1540" t="inlineStr">
        <is>
          <t>Sponsor</t>
        </is>
      </c>
      <c r="C1540" t="inlineStr">
        <is>
          <t>VP of Partnerships</t>
        </is>
      </c>
      <c r="D1540" t="inlineStr">
        <is>
          <t>GoodShip</t>
        </is>
      </c>
      <c r="E1540" t="inlineStr">
        <is>
          <t>United States</t>
        </is>
      </c>
      <c r="F1540" t="inlineStr">
        <is>
          <t>Yes</t>
        </is>
      </c>
      <c r="G1540" t="inlineStr">
        <is>
          <t>$9.2 million (2025)</t>
        </is>
      </c>
      <c r="H1540" t="n">
        <v>8</v>
      </c>
      <c r="I1540" t="b">
        <v>0</v>
      </c>
      <c r="J1540" t="b">
        <v>1</v>
      </c>
      <c r="K1540" t="b">
        <v>0</v>
      </c>
      <c r="L1540" t="b">
        <v>0</v>
      </c>
      <c r="M1540" t="b">
        <v>0</v>
      </c>
      <c r="N1540">
        <f>IFERROR(INDEX('Company Hitlist'!$AA:$AA,MATCH(D1540,'Company Hitlist'!$A:$A,0)),)</f>
        <v/>
      </c>
      <c r="O1540">
        <f>IFERROR(INDEX('Company Hitlist'!$N:$N,MATCH(D1540,'Company Hitlist'!$A:$A,0)),)</f>
        <v/>
      </c>
      <c r="Q1540" t="inlineStr">
        <is>
          <t>todo</t>
        </is>
      </c>
    </row>
    <row r="1541">
      <c r="A1541" t="inlineStr">
        <is>
          <t>Eric Dillion</t>
        </is>
      </c>
      <c r="B1541" t="inlineStr">
        <is>
          <t>Sponsor</t>
        </is>
      </c>
      <c r="C1541" t="inlineStr">
        <is>
          <t>VP of Engineering</t>
        </is>
      </c>
      <c r="D1541" t="inlineStr">
        <is>
          <t>GoodShip</t>
        </is>
      </c>
      <c r="E1541" t="inlineStr">
        <is>
          <t>United States</t>
        </is>
      </c>
      <c r="F1541" t="inlineStr">
        <is>
          <t>Yes</t>
        </is>
      </c>
      <c r="G1541" t="inlineStr">
        <is>
          <t>$9.2 million (2025)</t>
        </is>
      </c>
      <c r="H1541" t="n">
        <v>8</v>
      </c>
      <c r="I1541" t="b">
        <v>0</v>
      </c>
      <c r="J1541" t="b">
        <v>1</v>
      </c>
      <c r="K1541" t="b">
        <v>0</v>
      </c>
      <c r="L1541" t="b">
        <v>0</v>
      </c>
      <c r="M1541" t="b">
        <v>0</v>
      </c>
      <c r="N1541">
        <f>IFERROR(INDEX('Company Hitlist'!$AA:$AA,MATCH(D1541,'Company Hitlist'!$A:$A,0)),)</f>
        <v/>
      </c>
      <c r="O1541">
        <f>IFERROR(INDEX('Company Hitlist'!$N:$N,MATCH(D1541,'Company Hitlist'!$A:$A,0)),)</f>
        <v/>
      </c>
      <c r="Q1541" t="inlineStr">
        <is>
          <t>todo</t>
        </is>
      </c>
    </row>
    <row r="1542">
      <c r="A1542" t="inlineStr">
        <is>
          <t>Ryan Soskin</t>
        </is>
      </c>
      <c r="B1542" t="inlineStr">
        <is>
          <t>Sponsor</t>
        </is>
      </c>
      <c r="C1542" t="inlineStr">
        <is>
          <t>CEO &amp; Founder</t>
        </is>
      </c>
      <c r="D1542" t="inlineStr">
        <is>
          <t>GoodShip</t>
        </is>
      </c>
      <c r="E1542" t="inlineStr">
        <is>
          <t>United States</t>
        </is>
      </c>
      <c r="F1542" t="inlineStr">
        <is>
          <t>Yes</t>
        </is>
      </c>
      <c r="G1542" t="inlineStr">
        <is>
          <t>$9.2 million (2025)</t>
        </is>
      </c>
      <c r="H1542" t="n">
        <v>8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>
        <f>IFERROR(INDEX('Company Hitlist'!$AA:$AA,MATCH(D1542,'Company Hitlist'!$A:$A,0)),)</f>
        <v/>
      </c>
      <c r="O1542">
        <f>IFERROR(INDEX('Company Hitlist'!$N:$N,MATCH(D1542,'Company Hitlist'!$A:$A,0)),)</f>
        <v/>
      </c>
      <c r="Q1542" t="inlineStr">
        <is>
          <t>todo</t>
        </is>
      </c>
    </row>
    <row r="1543">
      <c r="A1543" t="inlineStr">
        <is>
          <t>Jeff Polonis</t>
        </is>
      </c>
      <c r="B1543" t="inlineStr">
        <is>
          <t>Sponsor</t>
        </is>
      </c>
      <c r="C1543" t="inlineStr">
        <is>
          <t>CEO</t>
        </is>
      </c>
      <c r="D1543" t="inlineStr">
        <is>
          <t>Goramp</t>
        </is>
      </c>
      <c r="F1543" t="inlineStr">
        <is>
          <t>Yes</t>
        </is>
      </c>
      <c r="H1543" t="n">
        <v>8</v>
      </c>
      <c r="I1543" t="b">
        <v>0</v>
      </c>
      <c r="J1543" t="b">
        <v>1</v>
      </c>
      <c r="K1543" t="b">
        <v>0</v>
      </c>
      <c r="L1543" t="b">
        <v>0</v>
      </c>
      <c r="M1543" t="b">
        <v>0</v>
      </c>
      <c r="N1543">
        <f>IFERROR(INDEX('Company Hitlist'!$AA:$AA,MATCH(D1543,'Company Hitlist'!$A:$A,0)),)</f>
        <v/>
      </c>
      <c r="O1543">
        <f>IFERROR(INDEX('Company Hitlist'!$N:$N,MATCH(D1543,'Company Hitlist'!$A:$A,0)),)</f>
        <v/>
      </c>
      <c r="Q1543" t="inlineStr">
        <is>
          <t>todo</t>
        </is>
      </c>
    </row>
    <row r="1544">
      <c r="A1544" t="inlineStr">
        <is>
          <t>Mike McComb</t>
        </is>
      </c>
      <c r="B1544" t="inlineStr">
        <is>
          <t>Sponsor</t>
        </is>
      </c>
      <c r="C1544" t="inlineStr">
        <is>
          <t>EVP Commercial Development</t>
        </is>
      </c>
      <c r="D1544" t="inlineStr">
        <is>
          <t>Green Mountain</t>
        </is>
      </c>
      <c r="E1544" t="inlineStr">
        <is>
          <t>United States</t>
        </is>
      </c>
      <c r="H1544" t="n">
        <v>8</v>
      </c>
      <c r="I1544" t="b">
        <v>0</v>
      </c>
      <c r="J1544" t="b">
        <v>1</v>
      </c>
      <c r="K1544" t="b">
        <v>0</v>
      </c>
      <c r="L1544" t="b">
        <v>0</v>
      </c>
      <c r="M1544" t="b">
        <v>0</v>
      </c>
      <c r="N1544">
        <f>IFERROR(INDEX('Company Hitlist'!$AA:$AA,MATCH(D1544,'Company Hitlist'!$A:$A,0)),)</f>
        <v/>
      </c>
      <c r="O1544">
        <f>IFERROR(INDEX('Company Hitlist'!$N:$N,MATCH(D1544,'Company Hitlist'!$A:$A,0)),)</f>
        <v/>
      </c>
      <c r="Q1544" t="inlineStr">
        <is>
          <t>todo</t>
        </is>
      </c>
    </row>
    <row r="1545">
      <c r="A1545" t="inlineStr">
        <is>
          <t>Brian Turner</t>
        </is>
      </c>
      <c r="B1545" t="inlineStr">
        <is>
          <t>Attendee</t>
        </is>
      </c>
      <c r="C1545" t="inlineStr">
        <is>
          <t>Senior Manager Sourcing</t>
        </is>
      </c>
      <c r="D1545" t="inlineStr">
        <is>
          <t>HD Supply</t>
        </is>
      </c>
      <c r="H1545" t="n">
        <v>8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  <c r="N1545">
        <f>IFERROR(INDEX('Company Hitlist'!$AA:$AA,MATCH(D1545,'Company Hitlist'!$A:$A,0)),)</f>
        <v/>
      </c>
      <c r="O1545">
        <f>IFERROR(INDEX('Company Hitlist'!$N:$N,MATCH(D1545,'Company Hitlist'!$A:$A,0)),)</f>
        <v/>
      </c>
      <c r="Q1545" t="inlineStr">
        <is>
          <t>todo</t>
        </is>
      </c>
    </row>
    <row r="1546">
      <c r="A1546" t="inlineStr">
        <is>
          <t>victor ramos</t>
        </is>
      </c>
      <c r="B1546" t="inlineStr">
        <is>
          <t>Attendee</t>
        </is>
      </c>
      <c r="C1546" t="inlineStr">
        <is>
          <t>PROCUREMENT</t>
        </is>
      </c>
      <c r="D1546" t="inlineStr">
        <is>
          <t>HG TRANSPORTACIONES</t>
        </is>
      </c>
      <c r="E1546" t="inlineStr">
        <is>
          <t>Mexico</t>
        </is>
      </c>
      <c r="F1546" t="inlineStr">
        <is>
          <t>Yes</t>
        </is>
      </c>
      <c r="H1546" t="n">
        <v>8</v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>
        <f>IFERROR(INDEX('Company Hitlist'!$AA:$AA,MATCH(D1546,'Company Hitlist'!$A:$A,0)),)</f>
        <v/>
      </c>
      <c r="O1546">
        <f>IFERROR(INDEX('Company Hitlist'!$N:$N,MATCH(D1546,'Company Hitlist'!$A:$A,0)),)</f>
        <v/>
      </c>
      <c r="Q1546" t="inlineStr">
        <is>
          <t>todo</t>
        </is>
      </c>
    </row>
    <row r="1547">
      <c r="A1547" t="inlineStr">
        <is>
          <t>Hidayat Hamidov</t>
        </is>
      </c>
      <c r="B1547" t="inlineStr">
        <is>
          <t>Sponsor</t>
        </is>
      </c>
      <c r="C1547" t="inlineStr">
        <is>
          <t>CEO</t>
        </is>
      </c>
      <c r="D1547" t="inlineStr">
        <is>
          <t>HOIST AI</t>
        </is>
      </c>
      <c r="E1547" t="inlineStr">
        <is>
          <t>United States</t>
        </is>
      </c>
      <c r="F1547" t="inlineStr">
        <is>
          <t>Yes</t>
        </is>
      </c>
      <c r="H1547" t="n">
        <v>8</v>
      </c>
      <c r="I1547" t="b">
        <v>0</v>
      </c>
      <c r="J1547" t="b">
        <v>1</v>
      </c>
      <c r="K1547" t="b">
        <v>0</v>
      </c>
      <c r="L1547" t="b">
        <v>0</v>
      </c>
      <c r="M1547" t="b">
        <v>0</v>
      </c>
      <c r="N1547">
        <f>IFERROR(INDEX('Company Hitlist'!$AA:$AA,MATCH(D1547,'Company Hitlist'!$A:$A,0)),)</f>
        <v/>
      </c>
      <c r="O1547">
        <f>IFERROR(INDEX('Company Hitlist'!$N:$N,MATCH(D1547,'Company Hitlist'!$A:$A,0)),)</f>
        <v/>
      </c>
      <c r="Q1547" t="inlineStr">
        <is>
          <t>todo</t>
        </is>
      </c>
    </row>
    <row r="1548">
      <c r="A1548" t="inlineStr">
        <is>
          <t>Srinivas Gunturu</t>
        </is>
      </c>
      <c r="B1548" t="inlineStr">
        <is>
          <t>Sponsor</t>
        </is>
      </c>
      <c r="C1548" t="inlineStr">
        <is>
          <t>CTO</t>
        </is>
      </c>
      <c r="D1548" t="inlineStr">
        <is>
          <t>HOIST AI</t>
        </is>
      </c>
      <c r="F1548" t="inlineStr">
        <is>
          <t>Yes</t>
        </is>
      </c>
      <c r="H1548" t="n">
        <v>8</v>
      </c>
      <c r="I1548" t="b">
        <v>0</v>
      </c>
      <c r="J1548" t="b">
        <v>1</v>
      </c>
      <c r="K1548" t="b">
        <v>0</v>
      </c>
      <c r="L1548" t="b">
        <v>0</v>
      </c>
      <c r="M1548" t="b">
        <v>0</v>
      </c>
      <c r="N1548">
        <f>IFERROR(INDEX('Company Hitlist'!$AA:$AA,MATCH(D1548,'Company Hitlist'!$A:$A,0)),)</f>
        <v/>
      </c>
      <c r="O1548">
        <f>IFERROR(INDEX('Company Hitlist'!$N:$N,MATCH(D1548,'Company Hitlist'!$A:$A,0)),)</f>
        <v/>
      </c>
      <c r="Q1548" t="inlineStr">
        <is>
          <t>todo</t>
        </is>
      </c>
    </row>
    <row r="1549">
      <c r="A1549" t="inlineStr">
        <is>
          <t>Dennis Forest</t>
        </is>
      </c>
      <c r="B1549" t="inlineStr">
        <is>
          <t>Attendee</t>
        </is>
      </c>
      <c r="C1549" t="inlineStr">
        <is>
          <t>Sr Manager of Strategic Sourcing</t>
        </is>
      </c>
      <c r="D1549" t="inlineStr">
        <is>
          <t>HP Hood</t>
        </is>
      </c>
      <c r="H1549" t="n">
        <v>8</v>
      </c>
      <c r="I1549" t="b">
        <v>0</v>
      </c>
      <c r="J1549" t="b">
        <v>0</v>
      </c>
      <c r="K1549" t="b">
        <v>0</v>
      </c>
      <c r="L1549" t="b">
        <v>1</v>
      </c>
      <c r="M1549" t="b">
        <v>0</v>
      </c>
      <c r="N1549">
        <f>IFERROR(INDEX('Company Hitlist'!$AA:$AA,MATCH(D1549,'Company Hitlist'!$A:$A,0)),)</f>
        <v/>
      </c>
      <c r="O1549">
        <f>IFERROR(INDEX('Company Hitlist'!$N:$N,MATCH(D1549,'Company Hitlist'!$A:$A,0)),)</f>
        <v/>
      </c>
      <c r="Q1549" t="inlineStr">
        <is>
          <t>todo</t>
        </is>
      </c>
    </row>
    <row r="1550">
      <c r="A1550" t="inlineStr">
        <is>
          <t>Oren Hecht</t>
        </is>
      </c>
      <c r="B1550" t="inlineStr">
        <is>
          <t>Sponsor</t>
        </is>
      </c>
      <c r="C1550" t="inlineStr">
        <is>
          <t>VP Technology</t>
        </is>
      </c>
      <c r="D1550" t="inlineStr">
        <is>
          <t>Hexight</t>
        </is>
      </c>
      <c r="E1550" t="inlineStr">
        <is>
          <t>Israel</t>
        </is>
      </c>
      <c r="H1550" t="n">
        <v>8</v>
      </c>
      <c r="I1550" t="b">
        <v>0</v>
      </c>
      <c r="J1550" t="b">
        <v>1</v>
      </c>
      <c r="K1550" t="b">
        <v>0</v>
      </c>
      <c r="L1550" t="b">
        <v>0</v>
      </c>
      <c r="M1550" t="b">
        <v>0</v>
      </c>
      <c r="N1550">
        <f>IFERROR(INDEX('Company Hitlist'!$AA:$AA,MATCH(D1550,'Company Hitlist'!$A:$A,0)),)</f>
        <v/>
      </c>
      <c r="O1550">
        <f>IFERROR(INDEX('Company Hitlist'!$N:$N,MATCH(D1550,'Company Hitlist'!$A:$A,0)),)</f>
        <v/>
      </c>
      <c r="Q1550" t="inlineStr">
        <is>
          <t>todo</t>
        </is>
      </c>
    </row>
    <row r="1551">
      <c r="A1551" t="inlineStr">
        <is>
          <t>Tamar Eeiser</t>
        </is>
      </c>
      <c r="B1551" t="inlineStr">
        <is>
          <t>Sponsor</t>
        </is>
      </c>
      <c r="C1551" t="inlineStr">
        <is>
          <t>CEO &amp; Co-Founder</t>
        </is>
      </c>
      <c r="D1551" t="inlineStr">
        <is>
          <t>Hexight</t>
        </is>
      </c>
      <c r="E1551" t="inlineStr">
        <is>
          <t>Israel</t>
        </is>
      </c>
      <c r="H1551" t="n">
        <v>8</v>
      </c>
      <c r="I1551" t="b">
        <v>0</v>
      </c>
      <c r="J1551" t="b">
        <v>1</v>
      </c>
      <c r="K1551" t="b">
        <v>0</v>
      </c>
      <c r="L1551" t="b">
        <v>0</v>
      </c>
      <c r="M1551" t="b">
        <v>0</v>
      </c>
      <c r="N1551">
        <f>IFERROR(INDEX('Company Hitlist'!$AA:$AA,MATCH(D1551,'Company Hitlist'!$A:$A,0)),)</f>
        <v/>
      </c>
      <c r="O1551">
        <f>IFERROR(INDEX('Company Hitlist'!$N:$N,MATCH(D1551,'Company Hitlist'!$A:$A,0)),)</f>
        <v/>
      </c>
      <c r="Q1551" t="inlineStr">
        <is>
          <t>todo</t>
        </is>
      </c>
    </row>
    <row r="1552">
      <c r="A1552" t="inlineStr">
        <is>
          <t>Jennifer Hoff</t>
        </is>
      </c>
      <c r="B1552" t="inlineStr">
        <is>
          <t>Sponsor</t>
        </is>
      </c>
      <c r="C1552" t="inlineStr">
        <is>
          <t>President</t>
        </is>
      </c>
      <c r="D1552" t="inlineStr">
        <is>
          <t>High Performance Expo (HPX)</t>
        </is>
      </c>
      <c r="E1552" t="inlineStr">
        <is>
          <t>United States</t>
        </is>
      </c>
      <c r="H1552" t="n">
        <v>8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>
        <f>IFERROR(INDEX('Company Hitlist'!$AA:$AA,MATCH(D1552,'Company Hitlist'!$A:$A,0)),)</f>
        <v/>
      </c>
      <c r="O1552">
        <f>IFERROR(INDEX('Company Hitlist'!$N:$N,MATCH(D1552,'Company Hitlist'!$A:$A,0)),)</f>
        <v/>
      </c>
      <c r="Q1552" t="inlineStr">
        <is>
          <t>todo</t>
        </is>
      </c>
    </row>
    <row r="1553">
      <c r="A1553" t="inlineStr">
        <is>
          <t>Brien Downie</t>
        </is>
      </c>
      <c r="B1553" t="inlineStr">
        <is>
          <t>Sponsor</t>
        </is>
      </c>
      <c r="C1553" t="inlineStr">
        <is>
          <t>CEO</t>
        </is>
      </c>
      <c r="D1553" t="inlineStr">
        <is>
          <t>Holman Logistics</t>
        </is>
      </c>
      <c r="E1553" t="inlineStr">
        <is>
          <t>United States</t>
        </is>
      </c>
      <c r="F1553" t="inlineStr">
        <is>
          <t>Yes</t>
        </is>
      </c>
      <c r="G1553" t="inlineStr">
        <is>
          <t>$457M (est.)</t>
        </is>
      </c>
      <c r="H1553" t="n">
        <v>8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  <c r="N1553">
        <f>IFERROR(INDEX('Company Hitlist'!$AA:$AA,MATCH(D1553,'Company Hitlist'!$A:$A,0)),)</f>
        <v/>
      </c>
      <c r="O1553">
        <f>IFERROR(INDEX('Company Hitlist'!$N:$N,MATCH(D1553,'Company Hitlist'!$A:$A,0)),)</f>
        <v/>
      </c>
      <c r="Q1553" t="inlineStr">
        <is>
          <t>todo</t>
        </is>
      </c>
    </row>
    <row r="1554">
      <c r="A1554" t="inlineStr">
        <is>
          <t>Grayson DeGraff</t>
        </is>
      </c>
      <c r="B1554" t="inlineStr">
        <is>
          <t>Attendee</t>
        </is>
      </c>
      <c r="C1554" t="inlineStr">
        <is>
          <t>Senior Manager, Global Sourcing</t>
        </is>
      </c>
      <c r="D1554" t="inlineStr">
        <is>
          <t>Hologic</t>
        </is>
      </c>
      <c r="H1554" t="n">
        <v>8</v>
      </c>
      <c r="I1554" t="b">
        <v>0</v>
      </c>
      <c r="J1554" t="b">
        <v>0</v>
      </c>
      <c r="K1554" t="b">
        <v>0</v>
      </c>
      <c r="L1554" t="b">
        <v>1</v>
      </c>
      <c r="M1554" t="b">
        <v>0</v>
      </c>
      <c r="N1554">
        <f>IFERROR(INDEX('Company Hitlist'!$AA:$AA,MATCH(D1554,'Company Hitlist'!$A:$A,0)),)</f>
        <v/>
      </c>
      <c r="O1554">
        <f>IFERROR(INDEX('Company Hitlist'!$N:$N,MATCH(D1554,'Company Hitlist'!$A:$A,0)),)</f>
        <v/>
      </c>
      <c r="Q1554" t="inlineStr">
        <is>
          <t>todo</t>
        </is>
      </c>
    </row>
    <row r="1555">
      <c r="A1555" t="inlineStr">
        <is>
          <t>Ty Hayut</t>
        </is>
      </c>
      <c r="B1555" t="inlineStr">
        <is>
          <t>Sponsor</t>
        </is>
      </c>
      <c r="C1555" t="inlineStr">
        <is>
          <t>Co-founder &amp; CEO</t>
        </is>
      </c>
      <c r="D1555" t="inlineStr">
        <is>
          <t>Hoopo</t>
        </is>
      </c>
      <c r="E1555" t="inlineStr">
        <is>
          <t>United States</t>
        </is>
      </c>
      <c r="F1555" t="inlineStr">
        <is>
          <t>Yes</t>
        </is>
      </c>
      <c r="H1555" t="n">
        <v>8</v>
      </c>
      <c r="I1555" t="b">
        <v>0</v>
      </c>
      <c r="J1555" t="b">
        <v>1</v>
      </c>
      <c r="K1555" t="b">
        <v>0</v>
      </c>
      <c r="L1555" t="b">
        <v>0</v>
      </c>
      <c r="M1555" t="b">
        <v>0</v>
      </c>
      <c r="N1555">
        <f>IFERROR(INDEX('Company Hitlist'!$AA:$AA,MATCH(D1555,'Company Hitlist'!$A:$A,0)),)</f>
        <v/>
      </c>
      <c r="O1555">
        <f>IFERROR(INDEX('Company Hitlist'!$N:$N,MATCH(D1555,'Company Hitlist'!$A:$A,0)),)</f>
        <v/>
      </c>
      <c r="Q1555" t="inlineStr">
        <is>
          <t>todo</t>
        </is>
      </c>
    </row>
    <row r="1556">
      <c r="A1556" t="inlineStr">
        <is>
          <t>Christian Schaffner</t>
        </is>
      </c>
      <c r="B1556" t="inlineStr">
        <is>
          <t>Attendee</t>
        </is>
      </c>
      <c r="C1556" t="inlineStr">
        <is>
          <t>Global Category Director - Freight &amp; Packaging Procurement</t>
        </is>
      </c>
      <c r="D1556" t="inlineStr">
        <is>
          <t>Hunter Douglas</t>
        </is>
      </c>
      <c r="H1556" t="n">
        <v>8</v>
      </c>
      <c r="I1556" t="b">
        <v>0</v>
      </c>
      <c r="J1556" t="b">
        <v>0</v>
      </c>
      <c r="K1556" t="b">
        <v>0</v>
      </c>
      <c r="L1556" t="b">
        <v>1</v>
      </c>
      <c r="M1556" t="b">
        <v>0</v>
      </c>
      <c r="N1556">
        <f>IFERROR(INDEX('Company Hitlist'!$AA:$AA,MATCH(D1556,'Company Hitlist'!$A:$A,0)),)</f>
        <v/>
      </c>
      <c r="O1556">
        <f>IFERROR(INDEX('Company Hitlist'!$N:$N,MATCH(D1556,'Company Hitlist'!$A:$A,0)),)</f>
        <v/>
      </c>
      <c r="Q1556" t="inlineStr">
        <is>
          <t>todo</t>
        </is>
      </c>
    </row>
    <row r="1557">
      <c r="A1557" t="inlineStr">
        <is>
          <t>Bo DellaMaria</t>
        </is>
      </c>
      <c r="B1557" t="inlineStr">
        <is>
          <t>Sponsor</t>
        </is>
      </c>
      <c r="C1557" t="inlineStr">
        <is>
          <t>CEO</t>
        </is>
      </c>
      <c r="D1557" t="inlineStr">
        <is>
          <t>Hyperscale Systems, Inc.</t>
        </is>
      </c>
      <c r="F1557" t="inlineStr">
        <is>
          <t>Yes</t>
        </is>
      </c>
      <c r="H1557" t="n">
        <v>8</v>
      </c>
      <c r="I1557" t="b">
        <v>0</v>
      </c>
      <c r="J1557" t="b">
        <v>1</v>
      </c>
      <c r="K1557" t="b">
        <v>0</v>
      </c>
      <c r="L1557" t="b">
        <v>0</v>
      </c>
      <c r="M1557" t="b">
        <v>0</v>
      </c>
      <c r="N1557">
        <f>IFERROR(INDEX('Company Hitlist'!$AA:$AA,MATCH(D1557,'Company Hitlist'!$A:$A,0)),)</f>
        <v/>
      </c>
      <c r="O1557">
        <f>IFERROR(INDEX('Company Hitlist'!$N:$N,MATCH(D1557,'Company Hitlist'!$A:$A,0)),)</f>
        <v/>
      </c>
      <c r="Q1557" t="inlineStr">
        <is>
          <t>todo</t>
        </is>
      </c>
    </row>
    <row r="1558">
      <c r="A1558" t="inlineStr">
        <is>
          <t>Prabhakaran Chelladurai</t>
        </is>
      </c>
      <c r="B1558" t="inlineStr">
        <is>
          <t>Sponsor</t>
        </is>
      </c>
      <c r="C1558" t="inlineStr">
        <is>
          <t>Vice President, Customer Technology &amp; Transformation Partnerships</t>
        </is>
      </c>
      <c r="D1558" t="inlineStr">
        <is>
          <t>ITOrizon Inc.</t>
        </is>
      </c>
      <c r="E1558" t="inlineStr">
        <is>
          <t>United States</t>
        </is>
      </c>
      <c r="H1558" t="n">
        <v>8</v>
      </c>
      <c r="I1558" t="b">
        <v>0</v>
      </c>
      <c r="J1558" t="b">
        <v>1</v>
      </c>
      <c r="K1558" t="b">
        <v>0</v>
      </c>
      <c r="L1558" t="b">
        <v>0</v>
      </c>
      <c r="M1558" t="b">
        <v>0</v>
      </c>
      <c r="N1558">
        <f>IFERROR(INDEX('Company Hitlist'!$AA:$AA,MATCH(D1558,'Company Hitlist'!$A:$A,0)),)</f>
        <v/>
      </c>
      <c r="O1558">
        <f>IFERROR(INDEX('Company Hitlist'!$N:$N,MATCH(D1558,'Company Hitlist'!$A:$A,0)),)</f>
        <v/>
      </c>
      <c r="Q1558" t="inlineStr">
        <is>
          <t>todo</t>
        </is>
      </c>
    </row>
    <row r="1559">
      <c r="A1559" t="inlineStr">
        <is>
          <t>Senthil Murugaiyan</t>
        </is>
      </c>
      <c r="B1559" t="inlineStr">
        <is>
          <t>Sponsor</t>
        </is>
      </c>
      <c r="C1559" t="inlineStr">
        <is>
          <t>Senior Vice President - Manhattan Services</t>
        </is>
      </c>
      <c r="D1559" t="inlineStr">
        <is>
          <t>ITOrizon Inc.</t>
        </is>
      </c>
      <c r="E1559" t="inlineStr">
        <is>
          <t>United States</t>
        </is>
      </c>
      <c r="H1559" t="n">
        <v>8</v>
      </c>
      <c r="I1559" t="b">
        <v>0</v>
      </c>
      <c r="J1559" t="b">
        <v>1</v>
      </c>
      <c r="K1559" t="b">
        <v>0</v>
      </c>
      <c r="L1559" t="b">
        <v>0</v>
      </c>
      <c r="M1559" t="b">
        <v>0</v>
      </c>
      <c r="N1559">
        <f>IFERROR(INDEX('Company Hitlist'!$AA:$AA,MATCH(D1559,'Company Hitlist'!$A:$A,0)),)</f>
        <v/>
      </c>
      <c r="O1559">
        <f>IFERROR(INDEX('Company Hitlist'!$N:$N,MATCH(D1559,'Company Hitlist'!$A:$A,0)),)</f>
        <v/>
      </c>
      <c r="Q1559" t="inlineStr">
        <is>
          <t>todo</t>
        </is>
      </c>
    </row>
    <row r="1560">
      <c r="A1560" t="inlineStr">
        <is>
          <t>Jameson Goforth</t>
        </is>
      </c>
      <c r="B1560" t="inlineStr">
        <is>
          <t>Sponsor</t>
        </is>
      </c>
      <c r="C1560" t="inlineStr">
        <is>
          <t>Vice President - Final Mile</t>
        </is>
      </c>
      <c r="D1560" t="inlineStr">
        <is>
          <t>ITS Logistics</t>
        </is>
      </c>
      <c r="E1560" t="inlineStr">
        <is>
          <t>United States</t>
        </is>
      </c>
      <c r="F1560" t="inlineStr">
        <is>
          <t>Yes</t>
        </is>
      </c>
      <c r="G1560" t="inlineStr">
        <is>
          <t>365000000</t>
        </is>
      </c>
      <c r="H1560" t="n">
        <v>8</v>
      </c>
      <c r="I1560" t="b">
        <v>0</v>
      </c>
      <c r="J1560" t="b">
        <v>1</v>
      </c>
      <c r="K1560" t="b">
        <v>0</v>
      </c>
      <c r="L1560" t="b">
        <v>0</v>
      </c>
      <c r="M1560" t="b">
        <v>0</v>
      </c>
      <c r="N1560">
        <f>IFERROR(INDEX('Company Hitlist'!$AA:$AA,MATCH(D1560,'Company Hitlist'!$A:$A,0)),)</f>
        <v/>
      </c>
      <c r="O1560">
        <f>IFERROR(INDEX('Company Hitlist'!$N:$N,MATCH(D1560,'Company Hitlist'!$A:$A,0)),)</f>
        <v/>
      </c>
      <c r="Q1560" t="inlineStr">
        <is>
          <t>todo</t>
        </is>
      </c>
    </row>
    <row r="1561">
      <c r="A1561" t="inlineStr">
        <is>
          <t>Kevin Liang</t>
        </is>
      </c>
      <c r="B1561" t="inlineStr">
        <is>
          <t>Sponsor</t>
        </is>
      </c>
      <c r="C1561" t="inlineStr">
        <is>
          <t>Head of Technology</t>
        </is>
      </c>
      <c r="D1561" t="inlineStr">
        <is>
          <t>Infinity Loop Technologies Inc (Infinity Loop)</t>
        </is>
      </c>
      <c r="F1561" t="inlineStr">
        <is>
          <t>Yes</t>
        </is>
      </c>
      <c r="H1561" t="n">
        <v>8</v>
      </c>
      <c r="I1561" t="b">
        <v>0</v>
      </c>
      <c r="J1561" t="b">
        <v>1</v>
      </c>
      <c r="K1561" t="b">
        <v>0</v>
      </c>
      <c r="L1561" t="b">
        <v>0</v>
      </c>
      <c r="M1561" t="b">
        <v>0</v>
      </c>
      <c r="N1561">
        <f>IFERROR(INDEX('Company Hitlist'!$AA:$AA,MATCH(D1561,'Company Hitlist'!$A:$A,0)),)</f>
        <v/>
      </c>
      <c r="O1561">
        <f>IFERROR(INDEX('Company Hitlist'!$N:$N,MATCH(D1561,'Company Hitlist'!$A:$A,0)),)</f>
        <v/>
      </c>
      <c r="Q1561" t="inlineStr">
        <is>
          <t>todo</t>
        </is>
      </c>
    </row>
    <row r="1562">
      <c r="A1562" t="inlineStr">
        <is>
          <t>Jeff Englund</t>
        </is>
      </c>
      <c r="B1562" t="inlineStr">
        <is>
          <t>Sponsor</t>
        </is>
      </c>
      <c r="C1562" t="inlineStr">
        <is>
          <t>VP, Professional Services</t>
        </is>
      </c>
      <c r="D1562" t="inlineStr">
        <is>
          <t>Infios</t>
        </is>
      </c>
      <c r="F1562" t="inlineStr">
        <is>
          <t>Yes</t>
        </is>
      </c>
      <c r="H1562" t="n">
        <v>8</v>
      </c>
      <c r="I1562" t="b">
        <v>0</v>
      </c>
      <c r="J1562" t="b">
        <v>1</v>
      </c>
      <c r="K1562" t="b">
        <v>0</v>
      </c>
      <c r="L1562" t="b">
        <v>0</v>
      </c>
      <c r="M1562" t="b">
        <v>0</v>
      </c>
      <c r="N1562">
        <f>IFERROR(INDEX('Company Hitlist'!$AA:$AA,MATCH(D1562,'Company Hitlist'!$A:$A,0)),)</f>
        <v/>
      </c>
      <c r="O1562">
        <f>IFERROR(INDEX('Company Hitlist'!$N:$N,MATCH(D1562,'Company Hitlist'!$A:$A,0)),)</f>
        <v/>
      </c>
      <c r="Q1562" t="inlineStr">
        <is>
          <t>todo</t>
        </is>
      </c>
    </row>
    <row r="1563">
      <c r="A1563" t="inlineStr">
        <is>
          <t>Doug Zahour</t>
        </is>
      </c>
      <c r="B1563" t="inlineStr">
        <is>
          <t>Sponsor</t>
        </is>
      </c>
      <c r="C1563" t="inlineStr">
        <is>
          <t>VP, Infor Nexus</t>
        </is>
      </c>
      <c r="D1563" t="inlineStr">
        <is>
          <t>Infor</t>
        </is>
      </c>
      <c r="E1563" t="inlineStr">
        <is>
          <t>United States</t>
        </is>
      </c>
      <c r="F1563" t="inlineStr">
        <is>
          <t>Yes</t>
        </is>
      </c>
      <c r="G1563" t="inlineStr">
        <is>
          <t>$3.4B (2024; projected $3.5B in 2025)</t>
        </is>
      </c>
      <c r="H1563" t="n">
        <v>8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  <c r="N1563">
        <f>IFERROR(INDEX('Company Hitlist'!$AA:$AA,MATCH(D1563,'Company Hitlist'!$A:$A,0)),)</f>
        <v/>
      </c>
      <c r="O1563">
        <f>IFERROR(INDEX('Company Hitlist'!$N:$N,MATCH(D1563,'Company Hitlist'!$A:$A,0)),)</f>
        <v/>
      </c>
      <c r="Q1563" t="inlineStr">
        <is>
          <t>todo</t>
        </is>
      </c>
    </row>
    <row r="1564">
      <c r="A1564" t="inlineStr">
        <is>
          <t>Jason Simcox</t>
        </is>
      </c>
      <c r="B1564" t="inlineStr">
        <is>
          <t>Sponsor</t>
        </is>
      </c>
      <c r="C1564" t="inlineStr">
        <is>
          <t>VP, Infor Nexus</t>
        </is>
      </c>
      <c r="D1564" t="inlineStr">
        <is>
          <t>Infor</t>
        </is>
      </c>
      <c r="F1564" t="inlineStr">
        <is>
          <t>Yes</t>
        </is>
      </c>
      <c r="G1564" t="inlineStr">
        <is>
          <t>$3.4B (2024; projected $3.5B in 2025)</t>
        </is>
      </c>
      <c r="H1564" t="n">
        <v>8</v>
      </c>
      <c r="I1564" t="b">
        <v>0</v>
      </c>
      <c r="J1564" t="b">
        <v>1</v>
      </c>
      <c r="K1564" t="b">
        <v>0</v>
      </c>
      <c r="L1564" t="b">
        <v>0</v>
      </c>
      <c r="M1564" t="b">
        <v>0</v>
      </c>
      <c r="N1564">
        <f>IFERROR(INDEX('Company Hitlist'!$AA:$AA,MATCH(D1564,'Company Hitlist'!$A:$A,0)),)</f>
        <v/>
      </c>
      <c r="O1564">
        <f>IFERROR(INDEX('Company Hitlist'!$N:$N,MATCH(D1564,'Company Hitlist'!$A:$A,0)),)</f>
        <v/>
      </c>
      <c r="Q1564" t="inlineStr">
        <is>
          <t>todo</t>
        </is>
      </c>
    </row>
    <row r="1565">
      <c r="A1565" t="inlineStr">
        <is>
          <t>Delon Rashid</t>
        </is>
      </c>
      <c r="B1565" t="inlineStr">
        <is>
          <t>Sponsor</t>
        </is>
      </c>
      <c r="C1565" t="inlineStr">
        <is>
          <t>President</t>
        </is>
      </c>
      <c r="D1565" t="inlineStr">
        <is>
          <t>Inside Logistics Magazine</t>
        </is>
      </c>
      <c r="F1565" t="inlineStr">
        <is>
          <t>Yes</t>
        </is>
      </c>
      <c r="H1565" t="n">
        <v>8</v>
      </c>
      <c r="I1565" t="b">
        <v>0</v>
      </c>
      <c r="J1565" t="b">
        <v>1</v>
      </c>
      <c r="K1565" t="b">
        <v>0</v>
      </c>
      <c r="L1565" t="b">
        <v>0</v>
      </c>
      <c r="M1565" t="b">
        <v>0</v>
      </c>
      <c r="N1565">
        <f>IFERROR(INDEX('Company Hitlist'!$AA:$AA,MATCH(D1565,'Company Hitlist'!$A:$A,0)),)</f>
        <v/>
      </c>
      <c r="O1565">
        <f>IFERROR(INDEX('Company Hitlist'!$N:$N,MATCH(D1565,'Company Hitlist'!$A:$A,0)),)</f>
        <v/>
      </c>
      <c r="Q1565" t="inlineStr">
        <is>
          <t>todo</t>
        </is>
      </c>
    </row>
    <row r="1566">
      <c r="A1566" t="inlineStr">
        <is>
          <t>Serghio Munoz</t>
        </is>
      </c>
      <c r="B1566" t="inlineStr">
        <is>
          <t>Sponsor</t>
        </is>
      </c>
      <c r="C1566" t="inlineStr">
        <is>
          <t>Head of Strategic Account Management</t>
        </is>
      </c>
      <c r="D1566" t="inlineStr">
        <is>
          <t>Instawork</t>
        </is>
      </c>
      <c r="E1566" t="inlineStr">
        <is>
          <t>United States</t>
        </is>
      </c>
      <c r="H1566" t="n">
        <v>8</v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  <c r="N1566">
        <f>IFERROR(INDEX('Company Hitlist'!$AA:$AA,MATCH(D1566,'Company Hitlist'!$A:$A,0)),)</f>
        <v/>
      </c>
      <c r="O1566">
        <f>IFERROR(INDEX('Company Hitlist'!$N:$N,MATCH(D1566,'Company Hitlist'!$A:$A,0)),)</f>
        <v/>
      </c>
      <c r="Q1566" t="inlineStr">
        <is>
          <t>todo</t>
        </is>
      </c>
    </row>
    <row r="1567">
      <c r="A1567" t="inlineStr">
        <is>
          <t>Chad Raube</t>
        </is>
      </c>
      <c r="B1567" t="inlineStr">
        <is>
          <t>Sponsor</t>
        </is>
      </c>
      <c r="C1567" t="inlineStr">
        <is>
          <t>CEO</t>
        </is>
      </c>
      <c r="D1567" t="inlineStr">
        <is>
          <t>IntelliTrans</t>
        </is>
      </c>
      <c r="E1567" t="inlineStr">
        <is>
          <t>United States</t>
        </is>
      </c>
      <c r="F1567" t="inlineStr">
        <is>
          <t>Yes</t>
        </is>
      </c>
      <c r="G1567" t="inlineStr">
        <is>
          <t>$27.8 million (2025)</t>
        </is>
      </c>
      <c r="H1567" t="n">
        <v>8</v>
      </c>
      <c r="I1567" t="b">
        <v>0</v>
      </c>
      <c r="J1567" t="b">
        <v>1</v>
      </c>
      <c r="K1567" t="b">
        <v>0</v>
      </c>
      <c r="L1567" t="b">
        <v>0</v>
      </c>
      <c r="M1567" t="b">
        <v>0</v>
      </c>
      <c r="N1567">
        <f>IFERROR(INDEX('Company Hitlist'!$AA:$AA,MATCH(D1567,'Company Hitlist'!$A:$A,0)),)</f>
        <v/>
      </c>
      <c r="O1567">
        <f>IFERROR(INDEX('Company Hitlist'!$N:$N,MATCH(D1567,'Company Hitlist'!$A:$A,0)),)</f>
        <v/>
      </c>
      <c r="Q1567" t="inlineStr">
        <is>
          <t>todo</t>
        </is>
      </c>
    </row>
    <row r="1568">
      <c r="A1568" t="inlineStr">
        <is>
          <t>David Garofalo</t>
        </is>
      </c>
      <c r="B1568" t="inlineStr">
        <is>
          <t>Sponsor</t>
        </is>
      </c>
      <c r="C1568" t="inlineStr">
        <is>
          <t>Assistant Vice President, Membership &amp; Communications</t>
        </is>
      </c>
      <c r="D1568" t="inlineStr">
        <is>
          <t>Intermodal Association of North America</t>
        </is>
      </c>
      <c r="E1568" t="inlineStr">
        <is>
          <t>United States</t>
        </is>
      </c>
      <c r="F1568" t="inlineStr">
        <is>
          <t>Yes</t>
        </is>
      </c>
      <c r="G1568" t="inlineStr">
        <is>
          <t>10000000</t>
        </is>
      </c>
      <c r="H1568" t="n">
        <v>8</v>
      </c>
      <c r="I1568" t="b">
        <v>0</v>
      </c>
      <c r="J1568" t="b">
        <v>1</v>
      </c>
      <c r="K1568" t="b">
        <v>0</v>
      </c>
      <c r="L1568" t="b">
        <v>0</v>
      </c>
      <c r="M1568" t="b">
        <v>0</v>
      </c>
      <c r="N1568">
        <f>IFERROR(INDEX('Company Hitlist'!$AA:$AA,MATCH(D1568,'Company Hitlist'!$A:$A,0)),)</f>
        <v/>
      </c>
      <c r="O1568">
        <f>IFERROR(INDEX('Company Hitlist'!$N:$N,MATCH(D1568,'Company Hitlist'!$A:$A,0)),)</f>
        <v/>
      </c>
      <c r="Q1568" t="inlineStr">
        <is>
          <t>todo</t>
        </is>
      </c>
    </row>
    <row r="1569">
      <c r="A1569" t="inlineStr">
        <is>
          <t>Robin Troy</t>
        </is>
      </c>
      <c r="B1569" t="inlineStr">
        <is>
          <t>Sponsor</t>
        </is>
      </c>
      <c r="C1569" t="inlineStr">
        <is>
          <t>Assistant Vice President, Events and Partnerships</t>
        </is>
      </c>
      <c r="D1569" t="inlineStr">
        <is>
          <t>Intermodal Association of North America</t>
        </is>
      </c>
      <c r="E1569" t="inlineStr">
        <is>
          <t>United States</t>
        </is>
      </c>
      <c r="F1569" t="inlineStr">
        <is>
          <t>Yes</t>
        </is>
      </c>
      <c r="G1569" t="inlineStr">
        <is>
          <t>10000000</t>
        </is>
      </c>
      <c r="H1569" t="n">
        <v>8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  <c r="N1569">
        <f>IFERROR(INDEX('Company Hitlist'!$AA:$AA,MATCH(D1569,'Company Hitlist'!$A:$A,0)),)</f>
        <v/>
      </c>
      <c r="O1569">
        <f>IFERROR(INDEX('Company Hitlist'!$N:$N,MATCH(D1569,'Company Hitlist'!$A:$A,0)),)</f>
        <v/>
      </c>
      <c r="Q1569" t="inlineStr">
        <is>
          <t>todo</t>
        </is>
      </c>
    </row>
    <row r="1570">
      <c r="A1570" t="inlineStr">
        <is>
          <t>Paul Dygert</t>
        </is>
      </c>
      <c r="B1570" t="inlineStr">
        <is>
          <t>Attendee</t>
        </is>
      </c>
      <c r="C1570" t="inlineStr">
        <is>
          <t>Executive Director Of Purchasing</t>
        </is>
      </c>
      <c r="D1570" t="inlineStr">
        <is>
          <t>JTEKT North America Corporation</t>
        </is>
      </c>
      <c r="H1570" t="n">
        <v>8</v>
      </c>
      <c r="I1570" t="b">
        <v>0</v>
      </c>
      <c r="J1570" t="b">
        <v>0</v>
      </c>
      <c r="K1570" t="b">
        <v>0</v>
      </c>
      <c r="L1570" t="b">
        <v>1</v>
      </c>
      <c r="M1570" t="b">
        <v>0</v>
      </c>
      <c r="N1570">
        <f>IFERROR(INDEX('Company Hitlist'!$AA:$AA,MATCH(D1570,'Company Hitlist'!$A:$A,0)),)</f>
        <v/>
      </c>
      <c r="O1570">
        <f>IFERROR(INDEX('Company Hitlist'!$N:$N,MATCH(D1570,'Company Hitlist'!$A:$A,0)),)</f>
        <v/>
      </c>
      <c r="Q1570" t="inlineStr">
        <is>
          <t>todo</t>
        </is>
      </c>
    </row>
    <row r="1571">
      <c r="A1571" t="inlineStr">
        <is>
          <t>Adam Bryant</t>
        </is>
      </c>
      <c r="B1571" t="inlineStr">
        <is>
          <t>Sponsor</t>
        </is>
      </c>
      <c r="C1571" t="inlineStr">
        <is>
          <t>CEO</t>
        </is>
      </c>
      <c r="D1571" t="inlineStr">
        <is>
          <t>Jitsu</t>
        </is>
      </c>
      <c r="E1571" t="inlineStr">
        <is>
          <t>United States</t>
        </is>
      </c>
      <c r="F1571" t="inlineStr">
        <is>
          <t>Yes</t>
        </is>
      </c>
      <c r="H1571" t="n">
        <v>8</v>
      </c>
      <c r="I1571" t="b">
        <v>0</v>
      </c>
      <c r="J1571" t="b">
        <v>1</v>
      </c>
      <c r="K1571" t="b">
        <v>0</v>
      </c>
      <c r="L1571" t="b">
        <v>0</v>
      </c>
      <c r="M1571" t="b">
        <v>0</v>
      </c>
      <c r="N1571">
        <f>IFERROR(INDEX('Company Hitlist'!$AA:$AA,MATCH(D1571,'Company Hitlist'!$A:$A,0)),)</f>
        <v/>
      </c>
      <c r="O1571">
        <f>IFERROR(INDEX('Company Hitlist'!$N:$N,MATCH(D1571,'Company Hitlist'!$A:$A,0)),)</f>
        <v/>
      </c>
      <c r="Q1571" t="inlineStr">
        <is>
          <t>todo</t>
        </is>
      </c>
    </row>
    <row r="1572">
      <c r="A1572" t="inlineStr">
        <is>
          <t>Jay Knafel</t>
        </is>
      </c>
      <c r="B1572" t="inlineStr">
        <is>
          <t>Sponsor</t>
        </is>
      </c>
      <c r="C1572" t="inlineStr">
        <is>
          <t>CFO</t>
        </is>
      </c>
      <c r="D1572" t="inlineStr">
        <is>
          <t>Jitsu</t>
        </is>
      </c>
      <c r="E1572" t="inlineStr">
        <is>
          <t>United States</t>
        </is>
      </c>
      <c r="F1572" t="inlineStr">
        <is>
          <t>Yes</t>
        </is>
      </c>
      <c r="H1572" t="n">
        <v>8</v>
      </c>
      <c r="I1572" t="b">
        <v>0</v>
      </c>
      <c r="J1572" t="b">
        <v>1</v>
      </c>
      <c r="K1572" t="b">
        <v>0</v>
      </c>
      <c r="L1572" t="b">
        <v>0</v>
      </c>
      <c r="M1572" t="b">
        <v>0</v>
      </c>
      <c r="N1572">
        <f>IFERROR(INDEX('Company Hitlist'!$AA:$AA,MATCH(D1572,'Company Hitlist'!$A:$A,0)),)</f>
        <v/>
      </c>
      <c r="O1572">
        <f>IFERROR(INDEX('Company Hitlist'!$N:$N,MATCH(D1572,'Company Hitlist'!$A:$A,0)),)</f>
        <v/>
      </c>
      <c r="Q1572" t="inlineStr">
        <is>
          <t>todo</t>
        </is>
      </c>
    </row>
    <row r="1573">
      <c r="A1573" t="inlineStr">
        <is>
          <t>Julien Govaert</t>
        </is>
      </c>
      <c r="B1573" t="inlineStr">
        <is>
          <t>Sponsor</t>
        </is>
      </c>
      <c r="C1573" t="inlineStr">
        <is>
          <t>Head of Business Line Consumer Electronics</t>
        </is>
      </c>
      <c r="D1573" t="inlineStr">
        <is>
          <t>Katoen Natie</t>
        </is>
      </c>
      <c r="E1573" t="inlineStr">
        <is>
          <t>Belgium</t>
        </is>
      </c>
      <c r="F1573" t="inlineStr">
        <is>
          <t>Yes</t>
        </is>
      </c>
      <c r="H1573" t="n">
        <v>8</v>
      </c>
      <c r="I1573" t="b">
        <v>0</v>
      </c>
      <c r="J1573" t="b">
        <v>1</v>
      </c>
      <c r="K1573" t="b">
        <v>0</v>
      </c>
      <c r="L1573" t="b">
        <v>0</v>
      </c>
      <c r="M1573" t="b">
        <v>0</v>
      </c>
      <c r="N1573">
        <f>IFERROR(INDEX('Company Hitlist'!$AA:$AA,MATCH(D1573,'Company Hitlist'!$A:$A,0)),)</f>
        <v/>
      </c>
      <c r="O1573">
        <f>IFERROR(INDEX('Company Hitlist'!$N:$N,MATCH(D1573,'Company Hitlist'!$A:$A,0)),)</f>
        <v/>
      </c>
      <c r="Q1573" t="inlineStr">
        <is>
          <t>todo</t>
        </is>
      </c>
    </row>
    <row r="1574">
      <c r="A1574" t="inlineStr">
        <is>
          <t>Dylan Alperin</t>
        </is>
      </c>
      <c r="B1574" t="inlineStr">
        <is>
          <t>Sponsor</t>
        </is>
      </c>
      <c r="C1574" t="inlineStr">
        <is>
          <t>Chief Customer Officer</t>
        </is>
      </c>
      <c r="D1574" t="inlineStr">
        <is>
          <t>Keelvar</t>
        </is>
      </c>
      <c r="E1574" t="inlineStr">
        <is>
          <t>United States</t>
        </is>
      </c>
      <c r="F1574" t="inlineStr">
        <is>
          <t>Yes</t>
        </is>
      </c>
      <c r="G1574" t="inlineStr">
        <is>
          <t>$8.4 million (2025)</t>
        </is>
      </c>
      <c r="H1574" t="n">
        <v>8</v>
      </c>
      <c r="I1574" t="b">
        <v>0</v>
      </c>
      <c r="J1574" t="b">
        <v>1</v>
      </c>
      <c r="K1574" t="b">
        <v>0</v>
      </c>
      <c r="L1574" t="b">
        <v>0</v>
      </c>
      <c r="M1574" t="b">
        <v>0</v>
      </c>
      <c r="N1574">
        <f>IFERROR(INDEX('Company Hitlist'!$AA:$AA,MATCH(D1574,'Company Hitlist'!$A:$A,0)),)</f>
        <v/>
      </c>
      <c r="O1574">
        <f>IFERROR(INDEX('Company Hitlist'!$N:$N,MATCH(D1574,'Company Hitlist'!$A:$A,0)),)</f>
        <v/>
      </c>
      <c r="Q1574" t="inlineStr">
        <is>
          <t>todo</t>
        </is>
      </c>
    </row>
    <row r="1575">
      <c r="A1575" t="inlineStr">
        <is>
          <t>Troy Stevenson</t>
        </is>
      </c>
      <c r="B1575" t="inlineStr">
        <is>
          <t>Attendee</t>
        </is>
      </c>
      <c r="C1575" t="inlineStr">
        <is>
          <t>Director, Logisitcs Procurement</t>
        </is>
      </c>
      <c r="D1575" t="inlineStr">
        <is>
          <t>Kerry Inc</t>
        </is>
      </c>
      <c r="F1575" t="inlineStr">
        <is>
          <t>Yes</t>
        </is>
      </c>
      <c r="H1575" t="n">
        <v>8</v>
      </c>
      <c r="I1575" t="b">
        <v>0</v>
      </c>
      <c r="J1575" t="b">
        <v>0</v>
      </c>
      <c r="K1575" t="b">
        <v>0</v>
      </c>
      <c r="L1575" t="b">
        <v>1</v>
      </c>
      <c r="M1575" t="b">
        <v>0</v>
      </c>
      <c r="N1575">
        <f>IFERROR(INDEX('Company Hitlist'!$AA:$AA,MATCH(D1575,'Company Hitlist'!$A:$A,0)),)</f>
        <v/>
      </c>
      <c r="O1575">
        <f>IFERROR(INDEX('Company Hitlist'!$N:$N,MATCH(D1575,'Company Hitlist'!$A:$A,0)),)</f>
        <v/>
      </c>
      <c r="Q1575" t="inlineStr">
        <is>
          <t>todo</t>
        </is>
      </c>
    </row>
    <row r="1576">
      <c r="A1576" t="inlineStr">
        <is>
          <t>Francisco Atucha</t>
        </is>
      </c>
      <c r="B1576" t="inlineStr">
        <is>
          <t>Sponsor</t>
        </is>
      </c>
      <c r="C1576" t="inlineStr">
        <is>
          <t>Chief Delivery Officer</t>
        </is>
      </c>
      <c r="D1576" t="inlineStr">
        <is>
          <t>Kovix</t>
        </is>
      </c>
      <c r="E1576" t="inlineStr">
        <is>
          <t>Argentina</t>
        </is>
      </c>
      <c r="F1576" t="inlineStr">
        <is>
          <t>Yes</t>
        </is>
      </c>
      <c r="H1576" t="n">
        <v>8</v>
      </c>
      <c r="I1576" t="b">
        <v>0</v>
      </c>
      <c r="J1576" t="b">
        <v>1</v>
      </c>
      <c r="K1576" t="b">
        <v>0</v>
      </c>
      <c r="L1576" t="b">
        <v>0</v>
      </c>
      <c r="M1576" t="b">
        <v>0</v>
      </c>
      <c r="N1576">
        <f>IFERROR(INDEX('Company Hitlist'!$AA:$AA,MATCH(D1576,'Company Hitlist'!$A:$A,0)),)</f>
        <v/>
      </c>
      <c r="O1576">
        <f>IFERROR(INDEX('Company Hitlist'!$N:$N,MATCH(D1576,'Company Hitlist'!$A:$A,0)),)</f>
        <v/>
      </c>
      <c r="Q1576" t="inlineStr">
        <is>
          <t>todo</t>
        </is>
      </c>
    </row>
    <row r="1577">
      <c r="A1577" t="inlineStr">
        <is>
          <t>Nicolas Kovalsky</t>
        </is>
      </c>
      <c r="B1577" t="inlineStr">
        <is>
          <t>Sponsor</t>
        </is>
      </c>
      <c r="C1577" t="inlineStr">
        <is>
          <t>CEO</t>
        </is>
      </c>
      <c r="D1577" t="inlineStr">
        <is>
          <t>Kovix</t>
        </is>
      </c>
      <c r="E1577" t="inlineStr">
        <is>
          <t>United States</t>
        </is>
      </c>
      <c r="F1577" t="inlineStr">
        <is>
          <t>Yes</t>
        </is>
      </c>
      <c r="H1577" t="n">
        <v>8</v>
      </c>
      <c r="I1577" t="b">
        <v>0</v>
      </c>
      <c r="J1577" t="b">
        <v>1</v>
      </c>
      <c r="K1577" t="b">
        <v>0</v>
      </c>
      <c r="L1577" t="b">
        <v>0</v>
      </c>
      <c r="M1577" t="b">
        <v>0</v>
      </c>
      <c r="N1577">
        <f>IFERROR(INDEX('Company Hitlist'!$AA:$AA,MATCH(D1577,'Company Hitlist'!$A:$A,0)),)</f>
        <v/>
      </c>
      <c r="O1577">
        <f>IFERROR(INDEX('Company Hitlist'!$N:$N,MATCH(D1577,'Company Hitlist'!$A:$A,0)),)</f>
        <v/>
      </c>
      <c r="Q1577" t="inlineStr">
        <is>
          <t>todo</t>
        </is>
      </c>
    </row>
    <row r="1578">
      <c r="A1578" t="inlineStr">
        <is>
          <t>Ken Wood</t>
        </is>
      </c>
      <c r="B1578" t="inlineStr">
        <is>
          <t>Sponsor</t>
        </is>
      </c>
      <c r="C1578" t="inlineStr">
        <is>
          <t>CEO</t>
        </is>
      </c>
      <c r="D1578" t="inlineStr">
        <is>
          <t>LJM</t>
        </is>
      </c>
      <c r="H1578" t="n">
        <v>8</v>
      </c>
      <c r="I1578" t="b">
        <v>0</v>
      </c>
      <c r="J1578" t="b">
        <v>1</v>
      </c>
      <c r="K1578" t="b">
        <v>0</v>
      </c>
      <c r="L1578" t="b">
        <v>0</v>
      </c>
      <c r="M1578" t="b">
        <v>0</v>
      </c>
      <c r="N1578">
        <f>IFERROR(INDEX('Company Hitlist'!$AA:$AA,MATCH(D1578,'Company Hitlist'!$A:$A,0)),)</f>
        <v/>
      </c>
      <c r="O1578">
        <f>IFERROR(INDEX('Company Hitlist'!$N:$N,MATCH(D1578,'Company Hitlist'!$A:$A,0)),)</f>
        <v/>
      </c>
      <c r="Q1578" t="inlineStr">
        <is>
          <t>todo</t>
        </is>
      </c>
    </row>
    <row r="1579">
      <c r="A1579" t="inlineStr">
        <is>
          <t>Alfonso Quijano</t>
        </is>
      </c>
      <c r="B1579" t="inlineStr">
        <is>
          <t>Sponsor</t>
        </is>
      </c>
      <c r="C1579" t="inlineStr">
        <is>
          <t>CTO</t>
        </is>
      </c>
      <c r="D1579" t="inlineStr">
        <is>
          <t>Lean Solutions Group</t>
        </is>
      </c>
      <c r="E1579" t="inlineStr">
        <is>
          <t>United States</t>
        </is>
      </c>
      <c r="H1579" t="n">
        <v>8</v>
      </c>
      <c r="I1579" t="b">
        <v>0</v>
      </c>
      <c r="J1579" t="b">
        <v>1</v>
      </c>
      <c r="K1579" t="b">
        <v>0</v>
      </c>
      <c r="L1579" t="b">
        <v>0</v>
      </c>
      <c r="M1579" t="b">
        <v>0</v>
      </c>
      <c r="N1579">
        <f>IFERROR(INDEX('Company Hitlist'!$AA:$AA,MATCH(D1579,'Company Hitlist'!$A:$A,0)),)</f>
        <v/>
      </c>
      <c r="O1579">
        <f>IFERROR(INDEX('Company Hitlist'!$N:$N,MATCH(D1579,'Company Hitlist'!$A:$A,0)),)</f>
        <v/>
      </c>
      <c r="Q1579" t="inlineStr">
        <is>
          <t>todo</t>
        </is>
      </c>
    </row>
    <row r="1580">
      <c r="A1580" t="inlineStr">
        <is>
          <t>Nick Strober</t>
        </is>
      </c>
      <c r="B1580" t="inlineStr">
        <is>
          <t>Sponsor</t>
        </is>
      </c>
      <c r="C1580" t="inlineStr">
        <is>
          <t>VP of Account Development</t>
        </is>
      </c>
      <c r="D1580" t="inlineStr">
        <is>
          <t>Lean Solutions Group</t>
        </is>
      </c>
      <c r="E1580" t="inlineStr">
        <is>
          <t>United States</t>
        </is>
      </c>
      <c r="H1580" t="n">
        <v>8</v>
      </c>
      <c r="I1580" t="b">
        <v>0</v>
      </c>
      <c r="J1580" t="b">
        <v>1</v>
      </c>
      <c r="K1580" t="b">
        <v>0</v>
      </c>
      <c r="L1580" t="b">
        <v>0</v>
      </c>
      <c r="M1580" t="b">
        <v>0</v>
      </c>
      <c r="N1580">
        <f>IFERROR(INDEX('Company Hitlist'!$AA:$AA,MATCH(D1580,'Company Hitlist'!$A:$A,0)),)</f>
        <v/>
      </c>
      <c r="O1580">
        <f>IFERROR(INDEX('Company Hitlist'!$N:$N,MATCH(D1580,'Company Hitlist'!$A:$A,0)),)</f>
        <v/>
      </c>
      <c r="Q1580" t="inlineStr">
        <is>
          <t>todo</t>
        </is>
      </c>
    </row>
    <row r="1581">
      <c r="A1581" t="inlineStr">
        <is>
          <t>Harold Ishebabi</t>
        </is>
      </c>
      <c r="B1581" t="inlineStr">
        <is>
          <t>Sponsor</t>
        </is>
      </c>
      <c r="C1581" t="inlineStr">
        <is>
          <t>Co-Founder &amp; CEO</t>
        </is>
      </c>
      <c r="D1581" t="inlineStr">
        <is>
          <t>Level5Fleet Corp</t>
        </is>
      </c>
      <c r="E1581" t="inlineStr">
        <is>
          <t>Canada</t>
        </is>
      </c>
      <c r="F1581" t="inlineStr">
        <is>
          <t>Yes</t>
        </is>
      </c>
      <c r="H1581" t="n">
        <v>8</v>
      </c>
      <c r="I1581" t="b">
        <v>0</v>
      </c>
      <c r="J1581" t="b">
        <v>1</v>
      </c>
      <c r="K1581" t="b">
        <v>0</v>
      </c>
      <c r="L1581" t="b">
        <v>0</v>
      </c>
      <c r="M1581" t="b">
        <v>0</v>
      </c>
      <c r="N1581">
        <f>IFERROR(INDEX('Company Hitlist'!$AA:$AA,MATCH(D1581,'Company Hitlist'!$A:$A,0)),)</f>
        <v/>
      </c>
      <c r="O1581">
        <f>IFERROR(INDEX('Company Hitlist'!$N:$N,MATCH(D1581,'Company Hitlist'!$A:$A,0)),)</f>
        <v/>
      </c>
      <c r="Q1581" t="inlineStr">
        <is>
          <t>todo</t>
        </is>
      </c>
    </row>
    <row r="1582">
      <c r="A1582" t="inlineStr">
        <is>
          <t>Peter Stroud</t>
        </is>
      </c>
      <c r="B1582" t="inlineStr">
        <is>
          <t>Sponsor</t>
        </is>
      </c>
      <c r="C1582" t="inlineStr">
        <is>
          <t>COO</t>
        </is>
      </c>
      <c r="D1582" t="inlineStr">
        <is>
          <t>Level5Fleet Corp</t>
        </is>
      </c>
      <c r="F1582" t="inlineStr">
        <is>
          <t>Yes</t>
        </is>
      </c>
      <c r="H1582" t="n">
        <v>8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>
        <f>IFERROR(INDEX('Company Hitlist'!$AA:$AA,MATCH(D1582,'Company Hitlist'!$A:$A,0)),)</f>
        <v/>
      </c>
      <c r="O1582">
        <f>IFERROR(INDEX('Company Hitlist'!$N:$N,MATCH(D1582,'Company Hitlist'!$A:$A,0)),)</f>
        <v/>
      </c>
      <c r="Q1582" t="inlineStr">
        <is>
          <t>todo</t>
        </is>
      </c>
    </row>
    <row r="1583">
      <c r="A1583" t="inlineStr">
        <is>
          <t>Deb Withers</t>
        </is>
      </c>
      <c r="B1583" t="inlineStr">
        <is>
          <t>Attendee</t>
        </is>
      </c>
      <c r="C1583" t="inlineStr">
        <is>
          <t>Sr Manager, Purchasing</t>
        </is>
      </c>
      <c r="D1583" t="inlineStr">
        <is>
          <t>Light &amp; Wonder</t>
        </is>
      </c>
      <c r="H1583" t="n">
        <v>8</v>
      </c>
      <c r="I1583" t="b">
        <v>0</v>
      </c>
      <c r="J1583" t="b">
        <v>0</v>
      </c>
      <c r="K1583" t="b">
        <v>0</v>
      </c>
      <c r="L1583" t="b">
        <v>1</v>
      </c>
      <c r="M1583" t="b">
        <v>0</v>
      </c>
      <c r="N1583">
        <f>IFERROR(INDEX('Company Hitlist'!$AA:$AA,MATCH(D1583,'Company Hitlist'!$A:$A,0)),)</f>
        <v/>
      </c>
      <c r="O1583">
        <f>IFERROR(INDEX('Company Hitlist'!$N:$N,MATCH(D1583,'Company Hitlist'!$A:$A,0)),)</f>
        <v/>
      </c>
      <c r="Q1583" t="inlineStr">
        <is>
          <t>todo</t>
        </is>
      </c>
    </row>
    <row r="1584">
      <c r="A1584" t="inlineStr">
        <is>
          <t>Eric Sill</t>
        </is>
      </c>
      <c r="B1584" t="inlineStr">
        <is>
          <t>Attendee</t>
        </is>
      </c>
      <c r="C1584" t="inlineStr">
        <is>
          <t>Director, Supply Planning &amp; Purchasing</t>
        </is>
      </c>
      <c r="D1584" t="inlineStr">
        <is>
          <t>Light &amp; Wonder</t>
        </is>
      </c>
      <c r="H1584" t="n">
        <v>8</v>
      </c>
      <c r="I1584" t="b">
        <v>0</v>
      </c>
      <c r="J1584" t="b">
        <v>0</v>
      </c>
      <c r="K1584" t="b">
        <v>0</v>
      </c>
      <c r="L1584" t="b">
        <v>1</v>
      </c>
      <c r="M1584" t="b">
        <v>0</v>
      </c>
      <c r="N1584">
        <f>IFERROR(INDEX('Company Hitlist'!$AA:$AA,MATCH(D1584,'Company Hitlist'!$A:$A,0)),)</f>
        <v/>
      </c>
      <c r="O1584">
        <f>IFERROR(INDEX('Company Hitlist'!$N:$N,MATCH(D1584,'Company Hitlist'!$A:$A,0)),)</f>
        <v/>
      </c>
      <c r="Q1584" t="inlineStr">
        <is>
          <t>todo</t>
        </is>
      </c>
    </row>
    <row r="1585">
      <c r="A1585" t="inlineStr">
        <is>
          <t>Mike Sutton</t>
        </is>
      </c>
      <c r="B1585" t="inlineStr">
        <is>
          <t>Attendee</t>
        </is>
      </c>
      <c r="C1585" t="inlineStr">
        <is>
          <t>Sr Director, Supply Planning &amp; Purchasing</t>
        </is>
      </c>
      <c r="D1585" t="inlineStr">
        <is>
          <t>Light &amp; Wonder</t>
        </is>
      </c>
      <c r="H1585" t="n">
        <v>8</v>
      </c>
      <c r="I1585" t="b">
        <v>0</v>
      </c>
      <c r="J1585" t="b">
        <v>0</v>
      </c>
      <c r="K1585" t="b">
        <v>0</v>
      </c>
      <c r="L1585" t="b">
        <v>1</v>
      </c>
      <c r="M1585" t="b">
        <v>0</v>
      </c>
      <c r="N1585">
        <f>IFERROR(INDEX('Company Hitlist'!$AA:$AA,MATCH(D1585,'Company Hitlist'!$A:$A,0)),)</f>
        <v/>
      </c>
      <c r="O1585">
        <f>IFERROR(INDEX('Company Hitlist'!$N:$N,MATCH(D1585,'Company Hitlist'!$A:$A,0)),)</f>
        <v/>
      </c>
      <c r="Q1585" t="inlineStr">
        <is>
          <t>todo</t>
        </is>
      </c>
    </row>
    <row r="1586">
      <c r="A1586" t="inlineStr">
        <is>
          <t>Partho Mukherjee</t>
        </is>
      </c>
      <c r="B1586" t="inlineStr">
        <is>
          <t>Attendee</t>
        </is>
      </c>
      <c r="C1586" t="inlineStr">
        <is>
          <t>Director, Supply Planning &amp; Purchasing</t>
        </is>
      </c>
      <c r="D1586" t="inlineStr">
        <is>
          <t>Light &amp; Wonder</t>
        </is>
      </c>
      <c r="H1586" t="n">
        <v>8</v>
      </c>
      <c r="I1586" t="b">
        <v>0</v>
      </c>
      <c r="J1586" t="b">
        <v>0</v>
      </c>
      <c r="K1586" t="b">
        <v>0</v>
      </c>
      <c r="L1586" t="b">
        <v>1</v>
      </c>
      <c r="M1586" t="b">
        <v>0</v>
      </c>
      <c r="N1586">
        <f>IFERROR(INDEX('Company Hitlist'!$AA:$AA,MATCH(D1586,'Company Hitlist'!$A:$A,0)),)</f>
        <v/>
      </c>
      <c r="O1586">
        <f>IFERROR(INDEX('Company Hitlist'!$N:$N,MATCH(D1586,'Company Hitlist'!$A:$A,0)),)</f>
        <v/>
      </c>
      <c r="Q1586" t="inlineStr">
        <is>
          <t>todo</t>
        </is>
      </c>
    </row>
    <row r="1587">
      <c r="A1587" t="inlineStr">
        <is>
          <t>Tony Lombardo</t>
        </is>
      </c>
      <c r="B1587" t="inlineStr">
        <is>
          <t>Attendee</t>
        </is>
      </c>
      <c r="C1587" t="inlineStr">
        <is>
          <t>Sr Manager, Purchasing</t>
        </is>
      </c>
      <c r="D1587" t="inlineStr">
        <is>
          <t>Light &amp; Wonder</t>
        </is>
      </c>
      <c r="H1587" t="n">
        <v>8</v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  <c r="N1587">
        <f>IFERROR(INDEX('Company Hitlist'!$AA:$AA,MATCH(D1587,'Company Hitlist'!$A:$A,0)),)</f>
        <v/>
      </c>
      <c r="O1587">
        <f>IFERROR(INDEX('Company Hitlist'!$N:$N,MATCH(D1587,'Company Hitlist'!$A:$A,0)),)</f>
        <v/>
      </c>
      <c r="Q1587" t="inlineStr">
        <is>
          <t>todo</t>
        </is>
      </c>
    </row>
    <row r="1588">
      <c r="A1588" t="inlineStr">
        <is>
          <t>Pedro Prado</t>
        </is>
      </c>
      <c r="B1588" t="inlineStr">
        <is>
          <t>Sponsor</t>
        </is>
      </c>
      <c r="C1588" t="inlineStr">
        <is>
          <t>CEO &amp; Founder</t>
        </is>
      </c>
      <c r="D1588" t="inlineStr">
        <is>
          <t>LogShare</t>
        </is>
      </c>
      <c r="E1588" t="inlineStr">
        <is>
          <t>Brazil</t>
        </is>
      </c>
      <c r="F1588" t="inlineStr">
        <is>
          <t>Yes</t>
        </is>
      </c>
      <c r="H1588" t="n">
        <v>8</v>
      </c>
      <c r="I1588" t="b">
        <v>0</v>
      </c>
      <c r="J1588" t="b">
        <v>1</v>
      </c>
      <c r="K1588" t="b">
        <v>0</v>
      </c>
      <c r="L1588" t="b">
        <v>0</v>
      </c>
      <c r="M1588" t="b">
        <v>0</v>
      </c>
      <c r="N1588">
        <f>IFERROR(INDEX('Company Hitlist'!$AA:$AA,MATCH(D1588,'Company Hitlist'!$A:$A,0)),)</f>
        <v/>
      </c>
      <c r="O1588">
        <f>IFERROR(INDEX('Company Hitlist'!$N:$N,MATCH(D1588,'Company Hitlist'!$A:$A,0)),)</f>
        <v/>
      </c>
      <c r="Q1588" t="inlineStr">
        <is>
          <t>todo</t>
        </is>
      </c>
    </row>
    <row r="1589">
      <c r="A1589" t="inlineStr">
        <is>
          <t>Eduardo Souza</t>
        </is>
      </c>
      <c r="B1589" t="inlineStr">
        <is>
          <t>Sponsor</t>
        </is>
      </c>
      <c r="C1589" t="inlineStr">
        <is>
          <t>CTO &amp; Founder</t>
        </is>
      </c>
      <c r="D1589" t="inlineStr">
        <is>
          <t>LogShare - Collaborative Logistics</t>
        </is>
      </c>
      <c r="F1589" t="inlineStr">
        <is>
          <t>Yes</t>
        </is>
      </c>
      <c r="H1589" t="n">
        <v>8</v>
      </c>
      <c r="I1589" t="b">
        <v>0</v>
      </c>
      <c r="J1589" t="b">
        <v>1</v>
      </c>
      <c r="K1589" t="b">
        <v>0</v>
      </c>
      <c r="L1589" t="b">
        <v>0</v>
      </c>
      <c r="M1589" t="b">
        <v>0</v>
      </c>
      <c r="N1589">
        <f>IFERROR(INDEX('Company Hitlist'!$AA:$AA,MATCH(D1589,'Company Hitlist'!$A:$A,0)),)</f>
        <v/>
      </c>
      <c r="O1589">
        <f>IFERROR(INDEX('Company Hitlist'!$N:$N,MATCH(D1589,'Company Hitlist'!$A:$A,0)),)</f>
        <v/>
      </c>
      <c r="Q1589" t="inlineStr">
        <is>
          <t>todo</t>
        </is>
      </c>
    </row>
    <row r="1590">
      <c r="A1590" t="inlineStr">
        <is>
          <t>Ron Bester</t>
        </is>
      </c>
      <c r="B1590" t="inlineStr">
        <is>
          <t>Sponsor</t>
        </is>
      </c>
      <c r="C1590" t="inlineStr">
        <is>
          <t>CEO</t>
        </is>
      </c>
      <c r="D1590" t="inlineStr">
        <is>
          <t>LogiVeo</t>
        </is>
      </c>
      <c r="E1590" t="inlineStr">
        <is>
          <t>United States</t>
        </is>
      </c>
      <c r="F1590" t="inlineStr">
        <is>
          <t>Yes</t>
        </is>
      </c>
      <c r="G1590" t="inlineStr">
        <is>
          <t>$5.2 million (2025)</t>
        </is>
      </c>
      <c r="H1590" t="n">
        <v>8</v>
      </c>
      <c r="I1590" t="b">
        <v>0</v>
      </c>
      <c r="J1590" t="b">
        <v>1</v>
      </c>
      <c r="K1590" t="b">
        <v>0</v>
      </c>
      <c r="L1590" t="b">
        <v>0</v>
      </c>
      <c r="M1590" t="b">
        <v>0</v>
      </c>
      <c r="N1590">
        <f>IFERROR(INDEX('Company Hitlist'!$AA:$AA,MATCH(D1590,'Company Hitlist'!$A:$A,0)),)</f>
        <v/>
      </c>
      <c r="O1590">
        <f>IFERROR(INDEX('Company Hitlist'!$N:$N,MATCH(D1590,'Company Hitlist'!$A:$A,0)),)</f>
        <v/>
      </c>
      <c r="Q1590" t="inlineStr">
        <is>
          <t>todo</t>
        </is>
      </c>
    </row>
    <row r="1591">
      <c r="A1591" t="inlineStr">
        <is>
          <t>Scott Kaufman</t>
        </is>
      </c>
      <c r="B1591" t="inlineStr">
        <is>
          <t>Sponsor</t>
        </is>
      </c>
      <c r="C1591" t="inlineStr">
        <is>
          <t>CEO</t>
        </is>
      </c>
      <c r="D1591" t="inlineStr">
        <is>
          <t>LogicPath Logistics, LLC</t>
        </is>
      </c>
      <c r="E1591" t="inlineStr">
        <is>
          <t>United States</t>
        </is>
      </c>
      <c r="F1591" t="inlineStr">
        <is>
          <t>Yes</t>
        </is>
      </c>
      <c r="H1591" t="n">
        <v>8</v>
      </c>
      <c r="I1591" t="b">
        <v>0</v>
      </c>
      <c r="J1591" t="b">
        <v>1</v>
      </c>
      <c r="K1591" t="b">
        <v>0</v>
      </c>
      <c r="L1591" t="b">
        <v>0</v>
      </c>
      <c r="M1591" t="b">
        <v>0</v>
      </c>
      <c r="N1591">
        <f>IFERROR(INDEX('Company Hitlist'!$AA:$AA,MATCH(D1591,'Company Hitlist'!$A:$A,0)),)</f>
        <v/>
      </c>
      <c r="O1591">
        <f>IFERROR(INDEX('Company Hitlist'!$N:$N,MATCH(D1591,'Company Hitlist'!$A:$A,0)),)</f>
        <v/>
      </c>
      <c r="Q1591" t="inlineStr">
        <is>
          <t>todo</t>
        </is>
      </c>
    </row>
    <row r="1592">
      <c r="A1592" t="inlineStr">
        <is>
          <t>Erhan Musaoglu</t>
        </is>
      </c>
      <c r="B1592" t="inlineStr">
        <is>
          <t>Sponsor</t>
        </is>
      </c>
      <c r="C1592" t="inlineStr">
        <is>
          <t>CEO</t>
        </is>
      </c>
      <c r="D1592" t="inlineStr">
        <is>
          <t>Logiwa</t>
        </is>
      </c>
      <c r="F1592" t="inlineStr">
        <is>
          <t>Yes</t>
        </is>
      </c>
      <c r="G1592" t="inlineStr">
        <is>
          <t>$46.4 million (2025)</t>
        </is>
      </c>
      <c r="H1592" t="n">
        <v>8</v>
      </c>
      <c r="I1592" t="b">
        <v>0</v>
      </c>
      <c r="J1592" t="b">
        <v>1</v>
      </c>
      <c r="K1592" t="b">
        <v>0</v>
      </c>
      <c r="L1592" t="b">
        <v>0</v>
      </c>
      <c r="M1592" t="b">
        <v>0</v>
      </c>
      <c r="N1592">
        <f>IFERROR(INDEX('Company Hitlist'!$AA:$AA,MATCH(D1592,'Company Hitlist'!$A:$A,0)),)</f>
        <v/>
      </c>
      <c r="O1592">
        <f>IFERROR(INDEX('Company Hitlist'!$N:$N,MATCH(D1592,'Company Hitlist'!$A:$A,0)),)</f>
        <v/>
      </c>
      <c r="Q1592" t="inlineStr">
        <is>
          <t>todo</t>
        </is>
      </c>
    </row>
    <row r="1593">
      <c r="A1593" t="inlineStr">
        <is>
          <t>Sorabh Mishra</t>
        </is>
      </c>
      <c r="B1593" t="inlineStr">
        <is>
          <t>Sponsor</t>
        </is>
      </c>
      <c r="C1593" t="inlineStr">
        <is>
          <t>CEO`</t>
        </is>
      </c>
      <c r="D1593" t="inlineStr">
        <is>
          <t>MBIS</t>
        </is>
      </c>
      <c r="E1593" t="inlineStr">
        <is>
          <t>Canada</t>
        </is>
      </c>
      <c r="F1593" t="inlineStr">
        <is>
          <t>Yes</t>
        </is>
      </c>
      <c r="H1593" t="n">
        <v>8</v>
      </c>
      <c r="I1593" t="b">
        <v>0</v>
      </c>
      <c r="J1593" t="b">
        <v>1</v>
      </c>
      <c r="K1593" t="b">
        <v>0</v>
      </c>
      <c r="L1593" t="b">
        <v>0</v>
      </c>
      <c r="M1593" t="b">
        <v>0</v>
      </c>
      <c r="N1593">
        <f>IFERROR(INDEX('Company Hitlist'!$AA:$AA,MATCH(D1593,'Company Hitlist'!$A:$A,0)),)</f>
        <v/>
      </c>
      <c r="O1593">
        <f>IFERROR(INDEX('Company Hitlist'!$N:$N,MATCH(D1593,'Company Hitlist'!$A:$A,0)),)</f>
        <v/>
      </c>
      <c r="Q1593" t="inlineStr">
        <is>
          <t>todo</t>
        </is>
      </c>
    </row>
    <row r="1594">
      <c r="A1594" t="inlineStr">
        <is>
          <t>Jason Roberts</t>
        </is>
      </c>
      <c r="B1594" t="inlineStr">
        <is>
          <t>Sponsor</t>
        </is>
      </c>
      <c r="C1594" t="inlineStr">
        <is>
          <t>SVP, Digital Enablement</t>
        </is>
      </c>
      <c r="D1594" t="inlineStr">
        <is>
          <t>MODE Global</t>
        </is>
      </c>
      <c r="E1594" t="inlineStr">
        <is>
          <t>United States</t>
        </is>
      </c>
      <c r="H1594" t="n">
        <v>8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  <c r="N1594">
        <f>IFERROR(INDEX('Company Hitlist'!$AA:$AA,MATCH(D1594,'Company Hitlist'!$A:$A,0)),)</f>
        <v/>
      </c>
      <c r="O1594">
        <f>IFERROR(INDEX('Company Hitlist'!$N:$N,MATCH(D1594,'Company Hitlist'!$A:$A,0)),)</f>
        <v/>
      </c>
      <c r="Q1594" t="inlineStr">
        <is>
          <t>todo</t>
        </is>
      </c>
    </row>
    <row r="1595">
      <c r="A1595" t="inlineStr">
        <is>
          <t>Lance Malesh</t>
        </is>
      </c>
      <c r="B1595" t="inlineStr">
        <is>
          <t>Sponsor</t>
        </is>
      </c>
      <c r="C1595" t="inlineStr">
        <is>
          <t>President &amp; CEO</t>
        </is>
      </c>
      <c r="D1595" t="inlineStr">
        <is>
          <t>MODE Global</t>
        </is>
      </c>
      <c r="E1595" t="inlineStr">
        <is>
          <t>United States</t>
        </is>
      </c>
      <c r="H1595" t="n">
        <v>8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  <c r="N1595">
        <f>IFERROR(INDEX('Company Hitlist'!$AA:$AA,MATCH(D1595,'Company Hitlist'!$A:$A,0)),)</f>
        <v/>
      </c>
      <c r="O1595">
        <f>IFERROR(INDEX('Company Hitlist'!$N:$N,MATCH(D1595,'Company Hitlist'!$A:$A,0)),)</f>
        <v/>
      </c>
      <c r="Q1595" t="inlineStr">
        <is>
          <t>todo</t>
        </is>
      </c>
    </row>
    <row r="1596">
      <c r="A1596" t="inlineStr">
        <is>
          <t>Normand Frigon</t>
        </is>
      </c>
      <c r="B1596" t="inlineStr">
        <is>
          <t>Sponsor</t>
        </is>
      </c>
      <c r="C1596" t="inlineStr">
        <is>
          <t>Chief Operating Officer</t>
        </is>
      </c>
      <c r="D1596" t="inlineStr">
        <is>
          <t>MODE Global</t>
        </is>
      </c>
      <c r="E1596" t="inlineStr">
        <is>
          <t>United States</t>
        </is>
      </c>
      <c r="H1596" t="n">
        <v>8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  <c r="N1596">
        <f>IFERROR(INDEX('Company Hitlist'!$AA:$AA,MATCH(D1596,'Company Hitlist'!$A:$A,0)),)</f>
        <v/>
      </c>
      <c r="O1596">
        <f>IFERROR(INDEX('Company Hitlist'!$N:$N,MATCH(D1596,'Company Hitlist'!$A:$A,0)),)</f>
        <v/>
      </c>
      <c r="Q1596" t="inlineStr">
        <is>
          <t>todo</t>
        </is>
      </c>
    </row>
    <row r="1597">
      <c r="A1597" t="inlineStr">
        <is>
          <t>Duff Davidson</t>
        </is>
      </c>
      <c r="B1597" t="inlineStr">
        <is>
          <t>Sponsor</t>
        </is>
      </c>
      <c r="C1597" t="inlineStr">
        <is>
          <t>Chief Executive Officer</t>
        </is>
      </c>
      <c r="D1597" t="inlineStr">
        <is>
          <t>Made4net</t>
        </is>
      </c>
      <c r="E1597" t="inlineStr">
        <is>
          <t>United States</t>
        </is>
      </c>
      <c r="F1597" t="inlineStr">
        <is>
          <t>Yes</t>
        </is>
      </c>
      <c r="G1597" t="inlineStr">
        <is>
          <t>$31.9 million (2025)</t>
        </is>
      </c>
      <c r="H1597" t="n">
        <v>8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  <c r="N1597">
        <f>IFERROR(INDEX('Company Hitlist'!$AA:$AA,MATCH(D1597,'Company Hitlist'!$A:$A,0)),)</f>
        <v/>
      </c>
      <c r="O1597">
        <f>IFERROR(INDEX('Company Hitlist'!$N:$N,MATCH(D1597,'Company Hitlist'!$A:$A,0)),)</f>
        <v/>
      </c>
      <c r="Q1597" t="inlineStr">
        <is>
          <t>todo</t>
        </is>
      </c>
    </row>
    <row r="1598">
      <c r="A1598" t="inlineStr">
        <is>
          <t>Ernesto Solis</t>
        </is>
      </c>
      <c r="B1598" t="inlineStr">
        <is>
          <t>Sponsor</t>
        </is>
      </c>
      <c r="C1598" t="inlineStr">
        <is>
          <t>Head of Parcel Solution Design</t>
        </is>
      </c>
      <c r="D1598" t="inlineStr">
        <is>
          <t>Maersk E-Commerce</t>
        </is>
      </c>
      <c r="E1598" t="inlineStr">
        <is>
          <t>United States</t>
        </is>
      </c>
      <c r="F1598" t="inlineStr">
        <is>
          <t>Yes</t>
        </is>
      </c>
      <c r="H1598" t="n">
        <v>8</v>
      </c>
      <c r="I1598" t="b">
        <v>0</v>
      </c>
      <c r="J1598" t="b">
        <v>1</v>
      </c>
      <c r="K1598" t="b">
        <v>0</v>
      </c>
      <c r="L1598" t="b">
        <v>0</v>
      </c>
      <c r="M1598" t="b">
        <v>0</v>
      </c>
      <c r="N1598">
        <f>IFERROR(INDEX('Company Hitlist'!$AA:$AA,MATCH(D1598,'Company Hitlist'!$A:$A,0)),)</f>
        <v/>
      </c>
      <c r="O1598">
        <f>IFERROR(INDEX('Company Hitlist'!$N:$N,MATCH(D1598,'Company Hitlist'!$A:$A,0)),)</f>
        <v/>
      </c>
      <c r="Q1598" t="inlineStr">
        <is>
          <t>todo</t>
        </is>
      </c>
    </row>
    <row r="1599">
      <c r="A1599" t="inlineStr">
        <is>
          <t>Scott Fairley</t>
        </is>
      </c>
      <c r="B1599" t="inlineStr">
        <is>
          <t>Sponsor</t>
        </is>
      </c>
      <c r="C1599" t="inlineStr">
        <is>
          <t>Head of Digital and Automation Innovation</t>
        </is>
      </c>
      <c r="D1599" t="inlineStr">
        <is>
          <t>Maersk E-Commerce</t>
        </is>
      </c>
      <c r="E1599" t="inlineStr">
        <is>
          <t>United States</t>
        </is>
      </c>
      <c r="F1599" t="inlineStr">
        <is>
          <t>Yes</t>
        </is>
      </c>
      <c r="H1599" t="n">
        <v>8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  <c r="N1599">
        <f>IFERROR(INDEX('Company Hitlist'!$AA:$AA,MATCH(D1599,'Company Hitlist'!$A:$A,0)),)</f>
        <v/>
      </c>
      <c r="O1599">
        <f>IFERROR(INDEX('Company Hitlist'!$N:$N,MATCH(D1599,'Company Hitlist'!$A:$A,0)),)</f>
        <v/>
      </c>
      <c r="Q1599" t="inlineStr">
        <is>
          <t>todo</t>
        </is>
      </c>
    </row>
    <row r="1600">
      <c r="A1600" t="inlineStr">
        <is>
          <t>Vanessa Whittaker</t>
        </is>
      </c>
      <c r="B1600" t="inlineStr">
        <is>
          <t>Sponsor</t>
        </is>
      </c>
      <c r="C1600" t="inlineStr">
        <is>
          <t>Head of Technology - Strategic Clients</t>
        </is>
      </c>
      <c r="D1600" t="inlineStr">
        <is>
          <t>Maersk E-Commerce</t>
        </is>
      </c>
      <c r="E1600" t="inlineStr">
        <is>
          <t>United States</t>
        </is>
      </c>
      <c r="F1600" t="inlineStr">
        <is>
          <t>Yes</t>
        </is>
      </c>
      <c r="H1600" t="n">
        <v>8</v>
      </c>
      <c r="I1600" t="b">
        <v>0</v>
      </c>
      <c r="J1600" t="b">
        <v>1</v>
      </c>
      <c r="K1600" t="b">
        <v>0</v>
      </c>
      <c r="L1600" t="b">
        <v>0</v>
      </c>
      <c r="M1600" t="b">
        <v>0</v>
      </c>
      <c r="N1600">
        <f>IFERROR(INDEX('Company Hitlist'!$AA:$AA,MATCH(D1600,'Company Hitlist'!$A:$A,0)),)</f>
        <v/>
      </c>
      <c r="O1600">
        <f>IFERROR(INDEX('Company Hitlist'!$N:$N,MATCH(D1600,'Company Hitlist'!$A:$A,0)),)</f>
        <v/>
      </c>
      <c r="Q1600" t="inlineStr">
        <is>
          <t>todo</t>
        </is>
      </c>
    </row>
    <row r="1601">
      <c r="A1601" t="inlineStr">
        <is>
          <t>Joseph Johnson</t>
        </is>
      </c>
      <c r="B1601" t="inlineStr">
        <is>
          <t>Sponsor</t>
        </is>
      </c>
      <c r="C1601" t="inlineStr">
        <is>
          <t>Head of Performance Management &amp; Pricing</t>
        </is>
      </c>
      <c r="D1601" t="inlineStr">
        <is>
          <t>Maersk E-Commerce</t>
        </is>
      </c>
      <c r="F1601" t="inlineStr">
        <is>
          <t>Yes</t>
        </is>
      </c>
      <c r="H1601" t="n">
        <v>8</v>
      </c>
      <c r="I1601" t="b">
        <v>0</v>
      </c>
      <c r="J1601" t="b">
        <v>1</v>
      </c>
      <c r="K1601" t="b">
        <v>0</v>
      </c>
      <c r="L1601" t="b">
        <v>0</v>
      </c>
      <c r="M1601" t="b">
        <v>0</v>
      </c>
      <c r="N1601">
        <f>IFERROR(INDEX('Company Hitlist'!$AA:$AA,MATCH(D1601,'Company Hitlist'!$A:$A,0)),)</f>
        <v/>
      </c>
      <c r="O1601">
        <f>IFERROR(INDEX('Company Hitlist'!$N:$N,MATCH(D1601,'Company Hitlist'!$A:$A,0)),)</f>
        <v/>
      </c>
      <c r="Q1601" t="inlineStr">
        <is>
          <t>todo</t>
        </is>
      </c>
    </row>
    <row r="1602">
      <c r="A1602" t="inlineStr">
        <is>
          <t>Yujie Su</t>
        </is>
      </c>
      <c r="B1602" t="inlineStr">
        <is>
          <t>Sponsor</t>
        </is>
      </c>
      <c r="C1602" t="inlineStr">
        <is>
          <t>Head of Product Innovation</t>
        </is>
      </c>
      <c r="D1602" t="inlineStr">
        <is>
          <t>Maersk LnS Global Innovation</t>
        </is>
      </c>
      <c r="F1602" t="inlineStr">
        <is>
          <t>Yes</t>
        </is>
      </c>
      <c r="H1602" t="n">
        <v>8</v>
      </c>
      <c r="I1602" t="b">
        <v>0</v>
      </c>
      <c r="J1602" t="b">
        <v>1</v>
      </c>
      <c r="K1602" t="b">
        <v>0</v>
      </c>
      <c r="L1602" t="b">
        <v>0</v>
      </c>
      <c r="M1602" t="b">
        <v>0</v>
      </c>
      <c r="N1602">
        <f>IFERROR(INDEX('Company Hitlist'!$AA:$AA,MATCH(D1602,'Company Hitlist'!$A:$A,0)),)</f>
        <v/>
      </c>
      <c r="O1602">
        <f>IFERROR(INDEX('Company Hitlist'!$N:$N,MATCH(D1602,'Company Hitlist'!$A:$A,0)),)</f>
        <v/>
      </c>
      <c r="Q1602" t="inlineStr">
        <is>
          <t>todo</t>
        </is>
      </c>
    </row>
    <row r="1603">
      <c r="A1603" t="inlineStr">
        <is>
          <t>Ujjwal Basnet</t>
        </is>
      </c>
      <c r="B1603" t="inlineStr">
        <is>
          <t>Attendee</t>
        </is>
      </c>
      <c r="C1603" t="inlineStr">
        <is>
          <t>Procurement Officer</t>
        </is>
      </c>
      <c r="D1603" t="inlineStr">
        <is>
          <t>Mahavir Shree International Pvt. Ltd.</t>
        </is>
      </c>
      <c r="H1603" t="n">
        <v>8</v>
      </c>
      <c r="I1603" t="b">
        <v>0</v>
      </c>
      <c r="J1603" t="b">
        <v>0</v>
      </c>
      <c r="K1603" t="b">
        <v>0</v>
      </c>
      <c r="L1603" t="b">
        <v>1</v>
      </c>
      <c r="M1603" t="b">
        <v>0</v>
      </c>
      <c r="N1603">
        <f>IFERROR(INDEX('Company Hitlist'!$AA:$AA,MATCH(D1603,'Company Hitlist'!$A:$A,0)),)</f>
        <v/>
      </c>
      <c r="O1603">
        <f>IFERROR(INDEX('Company Hitlist'!$N:$N,MATCH(D1603,'Company Hitlist'!$A:$A,0)),)</f>
        <v/>
      </c>
      <c r="Q1603" t="inlineStr">
        <is>
          <t>todo</t>
        </is>
      </c>
    </row>
    <row r="1604">
      <c r="A1604" t="inlineStr">
        <is>
          <t>Kevin Good</t>
        </is>
      </c>
      <c r="B1604" t="inlineStr">
        <is>
          <t>Sponsor</t>
        </is>
      </c>
      <c r="C1604" t="inlineStr">
        <is>
          <t>CEO</t>
        </is>
      </c>
      <c r="D1604" t="inlineStr">
        <is>
          <t>MetaLearner</t>
        </is>
      </c>
      <c r="F1604" t="inlineStr">
        <is>
          <t>Yes</t>
        </is>
      </c>
      <c r="H1604" t="n">
        <v>8</v>
      </c>
      <c r="I1604" t="b">
        <v>0</v>
      </c>
      <c r="J1604" t="b">
        <v>1</v>
      </c>
      <c r="K1604" t="b">
        <v>0</v>
      </c>
      <c r="L1604" t="b">
        <v>0</v>
      </c>
      <c r="M1604" t="b">
        <v>0</v>
      </c>
      <c r="N1604">
        <f>IFERROR(INDEX('Company Hitlist'!$AA:$AA,MATCH(D1604,'Company Hitlist'!$A:$A,0)),)</f>
        <v/>
      </c>
      <c r="O1604">
        <f>IFERROR(INDEX('Company Hitlist'!$N:$N,MATCH(D1604,'Company Hitlist'!$A:$A,0)),)</f>
        <v/>
      </c>
      <c r="Q1604" t="inlineStr">
        <is>
          <t>todo</t>
        </is>
      </c>
    </row>
    <row r="1605">
      <c r="A1605" t="inlineStr">
        <is>
          <t>Gelika Bücker</t>
        </is>
      </c>
      <c r="B1605" t="inlineStr">
        <is>
          <t>Sponsor</t>
        </is>
      </c>
      <c r="C1605" t="inlineStr">
        <is>
          <t>Head of Partnerships</t>
        </is>
      </c>
      <c r="D1605" t="inlineStr">
        <is>
          <t>Midmo Inc</t>
        </is>
      </c>
      <c r="E1605" t="inlineStr">
        <is>
          <t>United States</t>
        </is>
      </c>
      <c r="F1605" t="inlineStr">
        <is>
          <t>Yes</t>
        </is>
      </c>
      <c r="H1605" t="n">
        <v>8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  <c r="N1605">
        <f>IFERROR(INDEX('Company Hitlist'!$AA:$AA,MATCH(D1605,'Company Hitlist'!$A:$A,0)),)</f>
        <v/>
      </c>
      <c r="O1605">
        <f>IFERROR(INDEX('Company Hitlist'!$N:$N,MATCH(D1605,'Company Hitlist'!$A:$A,0)),)</f>
        <v/>
      </c>
      <c r="Q1605" t="inlineStr">
        <is>
          <t>todo</t>
        </is>
      </c>
    </row>
    <row r="1606">
      <c r="A1606" t="inlineStr">
        <is>
          <t>Dushyant Saran</t>
        </is>
      </c>
      <c r="B1606" t="inlineStr">
        <is>
          <t>Sponsor</t>
        </is>
      </c>
      <c r="C1606" t="inlineStr">
        <is>
          <t>Vice President - AI Labs, North America</t>
        </is>
      </c>
      <c r="D1606" t="inlineStr">
        <is>
          <t>Moative AI Labs</t>
        </is>
      </c>
      <c r="F1606" t="inlineStr">
        <is>
          <t>Yes</t>
        </is>
      </c>
      <c r="H1606" t="n">
        <v>8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>
        <f>IFERROR(INDEX('Company Hitlist'!$AA:$AA,MATCH(D1606,'Company Hitlist'!$A:$A,0)),)</f>
        <v/>
      </c>
      <c r="O1606">
        <f>IFERROR(INDEX('Company Hitlist'!$N:$N,MATCH(D1606,'Company Hitlist'!$A:$A,0)),)</f>
        <v/>
      </c>
      <c r="Q1606" t="inlineStr">
        <is>
          <t>todo</t>
        </is>
      </c>
    </row>
    <row r="1607">
      <c r="A1607" t="inlineStr">
        <is>
          <t>David Marshall</t>
        </is>
      </c>
      <c r="B1607" t="inlineStr">
        <is>
          <t>Sponsor</t>
        </is>
      </c>
      <c r="C1607" t="inlineStr">
        <is>
          <t>COO</t>
        </is>
      </c>
      <c r="D1607" t="inlineStr">
        <is>
          <t>Moddule</t>
        </is>
      </c>
      <c r="F1607" t="inlineStr">
        <is>
          <t>Yes</t>
        </is>
      </c>
      <c r="H1607" t="n">
        <v>8</v>
      </c>
      <c r="I1607" t="b">
        <v>0</v>
      </c>
      <c r="J1607" t="b">
        <v>1</v>
      </c>
      <c r="K1607" t="b">
        <v>0</v>
      </c>
      <c r="L1607" t="b">
        <v>0</v>
      </c>
      <c r="M1607" t="b">
        <v>0</v>
      </c>
      <c r="N1607">
        <f>IFERROR(INDEX('Company Hitlist'!$AA:$AA,MATCH(D1607,'Company Hitlist'!$A:$A,0)),)</f>
        <v/>
      </c>
      <c r="O1607">
        <f>IFERROR(INDEX('Company Hitlist'!$N:$N,MATCH(D1607,'Company Hitlist'!$A:$A,0)),)</f>
        <v/>
      </c>
      <c r="Q1607" t="inlineStr">
        <is>
          <t>todo</t>
        </is>
      </c>
    </row>
    <row r="1608">
      <c r="A1608" t="inlineStr">
        <is>
          <t>Hans Elmegaard</t>
        </is>
      </c>
      <c r="B1608" t="inlineStr">
        <is>
          <t>Sponsor</t>
        </is>
      </c>
      <c r="C1608" t="inlineStr">
        <is>
          <t>CEO &amp; Co-founder</t>
        </is>
      </c>
      <c r="D1608" t="inlineStr">
        <is>
          <t>Moddule</t>
        </is>
      </c>
      <c r="F1608" t="inlineStr">
        <is>
          <t>Yes</t>
        </is>
      </c>
      <c r="H1608" t="n">
        <v>8</v>
      </c>
      <c r="I1608" t="b">
        <v>0</v>
      </c>
      <c r="J1608" t="b">
        <v>1</v>
      </c>
      <c r="K1608" t="b">
        <v>0</v>
      </c>
      <c r="L1608" t="b">
        <v>0</v>
      </c>
      <c r="M1608" t="b">
        <v>0</v>
      </c>
      <c r="N1608">
        <f>IFERROR(INDEX('Company Hitlist'!$AA:$AA,MATCH(D1608,'Company Hitlist'!$A:$A,0)),)</f>
        <v/>
      </c>
      <c r="O1608">
        <f>IFERROR(INDEX('Company Hitlist'!$N:$N,MATCH(D1608,'Company Hitlist'!$A:$A,0)),)</f>
        <v/>
      </c>
      <c r="Q1608" t="inlineStr">
        <is>
          <t>todo</t>
        </is>
      </c>
    </row>
    <row r="1609">
      <c r="A1609" t="inlineStr">
        <is>
          <t>Kristy Ryan</t>
        </is>
      </c>
      <c r="B1609" t="inlineStr">
        <is>
          <t>Sponsor</t>
        </is>
      </c>
      <c r="C1609" t="inlineStr">
        <is>
          <t>COO</t>
        </is>
      </c>
      <c r="D1609" t="inlineStr">
        <is>
          <t>Move For Hunger, Inc</t>
        </is>
      </c>
      <c r="H1609" t="n">
        <v>8</v>
      </c>
      <c r="I1609" t="b">
        <v>0</v>
      </c>
      <c r="J1609" t="b">
        <v>1</v>
      </c>
      <c r="K1609" t="b">
        <v>0</v>
      </c>
      <c r="L1609" t="b">
        <v>0</v>
      </c>
      <c r="M1609" t="b">
        <v>0</v>
      </c>
      <c r="N1609">
        <f>IFERROR(INDEX('Company Hitlist'!$AA:$AA,MATCH(D1609,'Company Hitlist'!$A:$A,0)),)</f>
        <v/>
      </c>
      <c r="O1609">
        <f>IFERROR(INDEX('Company Hitlist'!$N:$N,MATCH(D1609,'Company Hitlist'!$A:$A,0)),)</f>
        <v/>
      </c>
      <c r="Q1609" t="inlineStr">
        <is>
          <t>todo</t>
        </is>
      </c>
    </row>
    <row r="1610">
      <c r="A1610" t="inlineStr">
        <is>
          <t>Andrew Lockwood</t>
        </is>
      </c>
      <c r="B1610" t="inlineStr">
        <is>
          <t>Sponsor</t>
        </is>
      </c>
      <c r="C1610" t="inlineStr">
        <is>
          <t>Vice President, Client Development</t>
        </is>
      </c>
      <c r="D1610" t="inlineStr">
        <is>
          <t>NXTPoint Logistics</t>
        </is>
      </c>
      <c r="E1610" t="inlineStr">
        <is>
          <t>United States</t>
        </is>
      </c>
      <c r="F1610" t="inlineStr">
        <is>
          <t>Yes</t>
        </is>
      </c>
      <c r="G1610" t="inlineStr">
        <is>
          <t>$736M</t>
        </is>
      </c>
      <c r="H1610" t="n">
        <v>8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  <c r="N1610">
        <f>IFERROR(INDEX('Company Hitlist'!$AA:$AA,MATCH(D1610,'Company Hitlist'!$A:$A,0)),)</f>
        <v/>
      </c>
      <c r="O1610">
        <f>IFERROR(INDEX('Company Hitlist'!$N:$N,MATCH(D1610,'Company Hitlist'!$A:$A,0)),)</f>
        <v/>
      </c>
      <c r="Q1610" t="inlineStr">
        <is>
          <t>todo</t>
        </is>
      </c>
    </row>
    <row r="1611">
      <c r="A1611" t="inlineStr">
        <is>
          <t>Michelle Bailey</t>
        </is>
      </c>
      <c r="B1611" t="inlineStr">
        <is>
          <t>Sponsor</t>
        </is>
      </c>
      <c r="C1611" t="inlineStr">
        <is>
          <t>COO, Home Delivery</t>
        </is>
      </c>
      <c r="D1611" t="inlineStr">
        <is>
          <t>NXTPoint Logistics</t>
        </is>
      </c>
      <c r="E1611" t="inlineStr">
        <is>
          <t>United States</t>
        </is>
      </c>
      <c r="F1611" t="inlineStr">
        <is>
          <t>Yes</t>
        </is>
      </c>
      <c r="G1611" t="inlineStr">
        <is>
          <t>$736M</t>
        </is>
      </c>
      <c r="H1611" t="n">
        <v>8</v>
      </c>
      <c r="I1611" t="b">
        <v>0</v>
      </c>
      <c r="J1611" t="b">
        <v>1</v>
      </c>
      <c r="K1611" t="b">
        <v>0</v>
      </c>
      <c r="L1611" t="b">
        <v>0</v>
      </c>
      <c r="M1611" t="b">
        <v>0</v>
      </c>
      <c r="N1611">
        <f>IFERROR(INDEX('Company Hitlist'!$AA:$AA,MATCH(D1611,'Company Hitlist'!$A:$A,0)),)</f>
        <v/>
      </c>
      <c r="O1611">
        <f>IFERROR(INDEX('Company Hitlist'!$N:$N,MATCH(D1611,'Company Hitlist'!$A:$A,0)),)</f>
        <v/>
      </c>
      <c r="Q1611" t="inlineStr">
        <is>
          <t>todo</t>
        </is>
      </c>
    </row>
    <row r="1612">
      <c r="A1612" t="inlineStr">
        <is>
          <t>Mark Frazier</t>
        </is>
      </c>
      <c r="B1612" t="inlineStr">
        <is>
          <t>Sponsor</t>
        </is>
      </c>
      <c r="C1612" t="inlineStr">
        <is>
          <t>Chief Commercial Officer</t>
        </is>
      </c>
      <c r="D1612" t="inlineStr">
        <is>
          <t>NXTPoint Logistics</t>
        </is>
      </c>
      <c r="F1612" t="inlineStr">
        <is>
          <t>Yes</t>
        </is>
      </c>
      <c r="G1612" t="inlineStr">
        <is>
          <t>$736M</t>
        </is>
      </c>
      <c r="H1612" t="n">
        <v>8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  <c r="N1612">
        <f>IFERROR(INDEX('Company Hitlist'!$AA:$AA,MATCH(D1612,'Company Hitlist'!$A:$A,0)),)</f>
        <v/>
      </c>
      <c r="O1612">
        <f>IFERROR(INDEX('Company Hitlist'!$N:$N,MATCH(D1612,'Company Hitlist'!$A:$A,0)),)</f>
        <v/>
      </c>
      <c r="Q1612" t="inlineStr">
        <is>
          <t>todo</t>
        </is>
      </c>
    </row>
    <row r="1613">
      <c r="A1613" t="inlineStr">
        <is>
          <t>Rafael Santiago</t>
        </is>
      </c>
      <c r="B1613" t="inlineStr">
        <is>
          <t>Sponsor</t>
        </is>
      </c>
      <c r="C1613" t="inlineStr">
        <is>
          <t>COO</t>
        </is>
      </c>
      <c r="D1613" t="inlineStr">
        <is>
          <t>Nauta</t>
        </is>
      </c>
      <c r="F1613" t="inlineStr">
        <is>
          <t>Yes</t>
        </is>
      </c>
      <c r="H1613" t="n">
        <v>8</v>
      </c>
      <c r="I1613" t="b">
        <v>0</v>
      </c>
      <c r="J1613" t="b">
        <v>1</v>
      </c>
      <c r="K1613" t="b">
        <v>0</v>
      </c>
      <c r="L1613" t="b">
        <v>0</v>
      </c>
      <c r="M1613" t="b">
        <v>0</v>
      </c>
      <c r="N1613">
        <f>IFERROR(INDEX('Company Hitlist'!$AA:$AA,MATCH(D1613,'Company Hitlist'!$A:$A,0)),)</f>
        <v/>
      </c>
      <c r="O1613">
        <f>IFERROR(INDEX('Company Hitlist'!$N:$N,MATCH(D1613,'Company Hitlist'!$A:$A,0)),)</f>
        <v/>
      </c>
      <c r="Q1613" t="inlineStr">
        <is>
          <t>todo</t>
        </is>
      </c>
    </row>
    <row r="1614">
      <c r="A1614" t="inlineStr">
        <is>
          <t>Valentina Jordan</t>
        </is>
      </c>
      <c r="B1614" t="inlineStr">
        <is>
          <t>Sponsor</t>
        </is>
      </c>
      <c r="C1614" t="inlineStr">
        <is>
          <t>CEO</t>
        </is>
      </c>
      <c r="D1614" t="inlineStr">
        <is>
          <t>Nauta</t>
        </is>
      </c>
      <c r="F1614" t="inlineStr">
        <is>
          <t>Yes</t>
        </is>
      </c>
      <c r="H1614" t="n">
        <v>8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>
        <f>IFERROR(INDEX('Company Hitlist'!$AA:$AA,MATCH(D1614,'Company Hitlist'!$A:$A,0)),)</f>
        <v/>
      </c>
      <c r="O1614">
        <f>IFERROR(INDEX('Company Hitlist'!$N:$N,MATCH(D1614,'Company Hitlist'!$A:$A,0)),)</f>
        <v/>
      </c>
      <c r="Q1614" t="inlineStr">
        <is>
          <t>todo</t>
        </is>
      </c>
    </row>
    <row r="1615">
      <c r="A1615" t="inlineStr">
        <is>
          <t>Juan Manuel DeAbreu</t>
        </is>
      </c>
      <c r="B1615" t="inlineStr">
        <is>
          <t>Attendee</t>
        </is>
      </c>
      <c r="C1615" t="inlineStr">
        <is>
          <t>Procurement Manager</t>
        </is>
      </c>
      <c r="D1615" t="inlineStr">
        <is>
          <t>Nespresso</t>
        </is>
      </c>
      <c r="H1615" t="n">
        <v>8</v>
      </c>
      <c r="I1615" t="b">
        <v>0</v>
      </c>
      <c r="J1615" t="b">
        <v>0</v>
      </c>
      <c r="K1615" t="b">
        <v>0</v>
      </c>
      <c r="L1615" t="b">
        <v>1</v>
      </c>
      <c r="M1615" t="b">
        <v>0</v>
      </c>
      <c r="N1615">
        <f>IFERROR(INDEX('Company Hitlist'!$AA:$AA,MATCH(D1615,'Company Hitlist'!$A:$A,0)),)</f>
        <v/>
      </c>
      <c r="O1615">
        <f>IFERROR(INDEX('Company Hitlist'!$N:$N,MATCH(D1615,'Company Hitlist'!$A:$A,0)),)</f>
        <v/>
      </c>
      <c r="Q1615" t="inlineStr">
        <is>
          <t>todo</t>
        </is>
      </c>
    </row>
    <row r="1616">
      <c r="A1616" t="inlineStr">
        <is>
          <t>Fabio Baldassari</t>
        </is>
      </c>
      <c r="B1616" t="inlineStr">
        <is>
          <t>Attendee</t>
        </is>
      </c>
      <c r="C1616" t="inlineStr">
        <is>
          <t>Sr Director of Procurement</t>
        </is>
      </c>
      <c r="D1616" t="inlineStr">
        <is>
          <t>Niagara Bottling</t>
        </is>
      </c>
      <c r="H1616" t="n">
        <v>8</v>
      </c>
      <c r="I1616" t="b">
        <v>0</v>
      </c>
      <c r="J1616" t="b">
        <v>0</v>
      </c>
      <c r="K1616" t="b">
        <v>0</v>
      </c>
      <c r="L1616" t="b">
        <v>1</v>
      </c>
      <c r="M1616" t="b">
        <v>0</v>
      </c>
      <c r="N1616">
        <f>IFERROR(INDEX('Company Hitlist'!$AA:$AA,MATCH(D1616,'Company Hitlist'!$A:$A,0)),)</f>
        <v/>
      </c>
      <c r="O1616">
        <f>IFERROR(INDEX('Company Hitlist'!$N:$N,MATCH(D1616,'Company Hitlist'!$A:$A,0)),)</f>
        <v/>
      </c>
      <c r="Q1616" t="inlineStr">
        <is>
          <t>todo</t>
        </is>
      </c>
    </row>
    <row r="1617">
      <c r="A1617" t="inlineStr">
        <is>
          <t>Jose Gutierrez</t>
        </is>
      </c>
      <c r="B1617" t="inlineStr">
        <is>
          <t>Attendee</t>
        </is>
      </c>
      <c r="C1617" t="inlineStr">
        <is>
          <t>Sr Manager of Procurement</t>
        </is>
      </c>
      <c r="D1617" t="inlineStr">
        <is>
          <t>Niagara Bottling</t>
        </is>
      </c>
      <c r="H1617" t="n">
        <v>8</v>
      </c>
      <c r="I1617" t="b">
        <v>0</v>
      </c>
      <c r="J1617" t="b">
        <v>0</v>
      </c>
      <c r="K1617" t="b">
        <v>0</v>
      </c>
      <c r="L1617" t="b">
        <v>1</v>
      </c>
      <c r="M1617" t="b">
        <v>0</v>
      </c>
      <c r="N1617">
        <f>IFERROR(INDEX('Company Hitlist'!$AA:$AA,MATCH(D1617,'Company Hitlist'!$A:$A,0)),)</f>
        <v/>
      </c>
      <c r="O1617">
        <f>IFERROR(INDEX('Company Hitlist'!$N:$N,MATCH(D1617,'Company Hitlist'!$A:$A,0)),)</f>
        <v/>
      </c>
      <c r="Q1617" t="inlineStr">
        <is>
          <t>todo</t>
        </is>
      </c>
    </row>
    <row r="1618">
      <c r="A1618" t="inlineStr">
        <is>
          <t>Paul Estrada</t>
        </is>
      </c>
      <c r="B1618" t="inlineStr">
        <is>
          <t>Attendee</t>
        </is>
      </c>
      <c r="C1618" t="inlineStr">
        <is>
          <t>Director of Procurement</t>
        </is>
      </c>
      <c r="D1618" t="inlineStr">
        <is>
          <t>Niagra Bottling</t>
        </is>
      </c>
      <c r="H1618" t="n">
        <v>8</v>
      </c>
      <c r="I1618" t="b">
        <v>0</v>
      </c>
      <c r="J1618" t="b">
        <v>0</v>
      </c>
      <c r="K1618" t="b">
        <v>0</v>
      </c>
      <c r="L1618" t="b">
        <v>1</v>
      </c>
      <c r="M1618" t="b">
        <v>0</v>
      </c>
      <c r="N1618">
        <f>IFERROR(INDEX('Company Hitlist'!$AA:$AA,MATCH(D1618,'Company Hitlist'!$A:$A,0)),)</f>
        <v/>
      </c>
      <c r="O1618">
        <f>IFERROR(INDEX('Company Hitlist'!$N:$N,MATCH(D1618,'Company Hitlist'!$A:$A,0)),)</f>
        <v/>
      </c>
      <c r="Q1618" t="inlineStr">
        <is>
          <t>todo</t>
        </is>
      </c>
    </row>
    <row r="1619">
      <c r="A1619" t="inlineStr">
        <is>
          <t>Kirk Simons</t>
        </is>
      </c>
      <c r="B1619" t="inlineStr">
        <is>
          <t>Attendee</t>
        </is>
      </c>
      <c r="C1619" t="inlineStr">
        <is>
          <t>Director of Procurement - Strategic Sourcing</t>
        </is>
      </c>
      <c r="D1619" t="inlineStr">
        <is>
          <t>Nordstrom</t>
        </is>
      </c>
      <c r="F1619" t="inlineStr">
        <is>
          <t>Yes</t>
        </is>
      </c>
      <c r="G1619" t="inlineStr">
        <is>
          <t>$15.01B (2025 est.)</t>
        </is>
      </c>
      <c r="H1619" t="n">
        <v>8</v>
      </c>
      <c r="I1619" t="b">
        <v>0</v>
      </c>
      <c r="J1619" t="b">
        <v>0</v>
      </c>
      <c r="K1619" t="b">
        <v>0</v>
      </c>
      <c r="L1619" t="b">
        <v>1</v>
      </c>
      <c r="M1619" t="b">
        <v>0</v>
      </c>
      <c r="N1619">
        <f>IFERROR(INDEX('Company Hitlist'!$AA:$AA,MATCH(D1619,'Company Hitlist'!$A:$A,0)),)</f>
        <v/>
      </c>
      <c r="O1619">
        <f>IFERROR(INDEX('Company Hitlist'!$N:$N,MATCH(D1619,'Company Hitlist'!$A:$A,0)),)</f>
        <v/>
      </c>
      <c r="Q1619" t="inlineStr">
        <is>
          <t>todo</t>
        </is>
      </c>
    </row>
    <row r="1620">
      <c r="A1620" t="inlineStr">
        <is>
          <t>Sarah Woods</t>
        </is>
      </c>
      <c r="B1620" t="inlineStr">
        <is>
          <t>Attendee</t>
        </is>
      </c>
      <c r="C1620" t="inlineStr">
        <is>
          <t>Sr. Manager, Strategic Sourcing</t>
        </is>
      </c>
      <c r="D1620" t="inlineStr">
        <is>
          <t>Nordstrom</t>
        </is>
      </c>
      <c r="H1620" t="n">
        <v>8</v>
      </c>
      <c r="I1620" t="b">
        <v>0</v>
      </c>
      <c r="J1620" t="b">
        <v>0</v>
      </c>
      <c r="K1620" t="b">
        <v>0</v>
      </c>
      <c r="L1620" t="b">
        <v>1</v>
      </c>
      <c r="M1620" t="b">
        <v>0</v>
      </c>
      <c r="N1620">
        <f>IFERROR(INDEX('Company Hitlist'!$AA:$AA,MATCH(D1620,'Company Hitlist'!$A:$A,0)),)</f>
        <v/>
      </c>
      <c r="O1620">
        <f>IFERROR(INDEX('Company Hitlist'!$N:$N,MATCH(D1620,'Company Hitlist'!$A:$A,0)),)</f>
        <v/>
      </c>
      <c r="Q1620" t="inlineStr">
        <is>
          <t>todo</t>
        </is>
      </c>
    </row>
    <row r="1621">
      <c r="A1621" t="inlineStr">
        <is>
          <t>Angela Blain</t>
        </is>
      </c>
      <c r="B1621" t="inlineStr">
        <is>
          <t>Attendee</t>
        </is>
      </c>
      <c r="C1621" t="inlineStr">
        <is>
          <t>Director, Sourcing Solutions</t>
        </is>
      </c>
      <c r="D1621" t="inlineStr">
        <is>
          <t>NuSource</t>
        </is>
      </c>
      <c r="H1621" t="n">
        <v>8</v>
      </c>
      <c r="I1621" t="b">
        <v>0</v>
      </c>
      <c r="J1621" t="b">
        <v>0</v>
      </c>
      <c r="K1621" t="b">
        <v>0</v>
      </c>
      <c r="L1621" t="b">
        <v>1</v>
      </c>
      <c r="M1621" t="b">
        <v>0</v>
      </c>
      <c r="N1621">
        <f>IFERROR(INDEX('Company Hitlist'!$AA:$AA,MATCH(D1621,'Company Hitlist'!$A:$A,0)),)</f>
        <v/>
      </c>
      <c r="O1621">
        <f>IFERROR(INDEX('Company Hitlist'!$N:$N,MATCH(D1621,'Company Hitlist'!$A:$A,0)),)</f>
        <v/>
      </c>
      <c r="Q1621" t="inlineStr">
        <is>
          <t>todo</t>
        </is>
      </c>
    </row>
    <row r="1622">
      <c r="A1622" t="inlineStr">
        <is>
          <t>Dave Wood</t>
        </is>
      </c>
      <c r="B1622" t="inlineStr">
        <is>
          <t>Sponsor</t>
        </is>
      </c>
      <c r="C1622" t="inlineStr">
        <is>
          <t>VP Special Projects</t>
        </is>
      </c>
      <c r="D1622" t="inlineStr">
        <is>
          <t>Ocado Intelligent Automation</t>
        </is>
      </c>
      <c r="H1622" t="n">
        <v>8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  <c r="N1622">
        <f>IFERROR(INDEX('Company Hitlist'!$AA:$AA,MATCH(D1622,'Company Hitlist'!$A:$A,0)),)</f>
        <v/>
      </c>
      <c r="O1622">
        <f>IFERROR(INDEX('Company Hitlist'!$N:$N,MATCH(D1622,'Company Hitlist'!$A:$A,0)),)</f>
        <v/>
      </c>
      <c r="Q1622" t="inlineStr">
        <is>
          <t>todo</t>
        </is>
      </c>
    </row>
    <row r="1623">
      <c r="A1623" t="inlineStr">
        <is>
          <t>Mark Bentley</t>
        </is>
      </c>
      <c r="B1623" t="inlineStr">
        <is>
          <t>Sponsor</t>
        </is>
      </c>
      <c r="C1623" t="inlineStr">
        <is>
          <t>President Americas - Ocado Solutions</t>
        </is>
      </c>
      <c r="D1623" t="inlineStr">
        <is>
          <t>Ocado Intelligent Automation</t>
        </is>
      </c>
      <c r="H1623" t="n">
        <v>8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  <c r="N1623">
        <f>IFERROR(INDEX('Company Hitlist'!$AA:$AA,MATCH(D1623,'Company Hitlist'!$A:$A,0)),)</f>
        <v/>
      </c>
      <c r="O1623">
        <f>IFERROR(INDEX('Company Hitlist'!$N:$N,MATCH(D1623,'Company Hitlist'!$A:$A,0)),)</f>
        <v/>
      </c>
      <c r="Q1623" t="inlineStr">
        <is>
          <t>todo</t>
        </is>
      </c>
    </row>
    <row r="1624">
      <c r="A1624" t="inlineStr">
        <is>
          <t>Alon Partuk</t>
        </is>
      </c>
      <c r="B1624" t="inlineStr">
        <is>
          <t>Sponsor</t>
        </is>
      </c>
      <c r="C1624" t="inlineStr">
        <is>
          <t>CEO &amp; Founder</t>
        </is>
      </c>
      <c r="D1624" t="inlineStr">
        <is>
          <t>Octup</t>
        </is>
      </c>
      <c r="F1624" t="inlineStr">
        <is>
          <t>Yes</t>
        </is>
      </c>
      <c r="H1624" t="n">
        <v>8</v>
      </c>
      <c r="I1624" t="b">
        <v>0</v>
      </c>
      <c r="J1624" t="b">
        <v>1</v>
      </c>
      <c r="K1624" t="b">
        <v>0</v>
      </c>
      <c r="L1624" t="b">
        <v>0</v>
      </c>
      <c r="M1624" t="b">
        <v>0</v>
      </c>
      <c r="N1624">
        <f>IFERROR(INDEX('Company Hitlist'!$AA:$AA,MATCH(D1624,'Company Hitlist'!$A:$A,0)),)</f>
        <v/>
      </c>
      <c r="O1624">
        <f>IFERROR(INDEX('Company Hitlist'!$N:$N,MATCH(D1624,'Company Hitlist'!$A:$A,0)),)</f>
        <v/>
      </c>
      <c r="Q1624" t="inlineStr">
        <is>
          <t>todo</t>
        </is>
      </c>
    </row>
    <row r="1625">
      <c r="A1625" t="inlineStr">
        <is>
          <t>Bill Catania</t>
        </is>
      </c>
      <c r="B1625" t="inlineStr">
        <is>
          <t>Sponsor</t>
        </is>
      </c>
      <c r="C1625" t="inlineStr">
        <is>
          <t>CEO &amp; Founder</t>
        </is>
      </c>
      <c r="D1625" t="inlineStr">
        <is>
          <t>OneRail</t>
        </is>
      </c>
      <c r="E1625" t="inlineStr">
        <is>
          <t>United States</t>
        </is>
      </c>
      <c r="F1625" t="inlineStr">
        <is>
          <t>Yes</t>
        </is>
      </c>
      <c r="G1625" t="inlineStr">
        <is>
          <t>$31.5 million (2025)</t>
        </is>
      </c>
      <c r="H1625" t="n">
        <v>8</v>
      </c>
      <c r="I1625" t="b">
        <v>0</v>
      </c>
      <c r="J1625" t="b">
        <v>1</v>
      </c>
      <c r="K1625" t="b">
        <v>0</v>
      </c>
      <c r="L1625" t="b">
        <v>0</v>
      </c>
      <c r="M1625" t="b">
        <v>0</v>
      </c>
      <c r="N1625">
        <f>IFERROR(INDEX('Company Hitlist'!$AA:$AA,MATCH(D1625,'Company Hitlist'!$A:$A,0)),)</f>
        <v/>
      </c>
      <c r="O1625">
        <f>IFERROR(INDEX('Company Hitlist'!$N:$N,MATCH(D1625,'Company Hitlist'!$A:$A,0)),)</f>
        <v/>
      </c>
      <c r="Q1625" t="inlineStr">
        <is>
          <t>todo</t>
        </is>
      </c>
    </row>
    <row r="1626">
      <c r="A1626" t="inlineStr">
        <is>
          <t>Jason McAndrew</t>
        </is>
      </c>
      <c r="B1626" t="inlineStr">
        <is>
          <t>Sponsor</t>
        </is>
      </c>
      <c r="C1626" t="inlineStr">
        <is>
          <t>Chief Commercial Officer</t>
        </is>
      </c>
      <c r="D1626" t="inlineStr">
        <is>
          <t>OneRail</t>
        </is>
      </c>
      <c r="F1626" t="inlineStr">
        <is>
          <t>Yes</t>
        </is>
      </c>
      <c r="G1626" t="inlineStr">
        <is>
          <t>$31.5 million (2025)</t>
        </is>
      </c>
      <c r="H1626" t="n">
        <v>8</v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  <c r="N1626">
        <f>IFERROR(INDEX('Company Hitlist'!$AA:$AA,MATCH(D1626,'Company Hitlist'!$A:$A,0)),)</f>
        <v/>
      </c>
      <c r="O1626">
        <f>IFERROR(INDEX('Company Hitlist'!$N:$N,MATCH(D1626,'Company Hitlist'!$A:$A,0)),)</f>
        <v/>
      </c>
      <c r="Q1626" t="inlineStr">
        <is>
          <t>todo</t>
        </is>
      </c>
    </row>
    <row r="1627">
      <c r="A1627" t="inlineStr">
        <is>
          <t>Brian Nacci</t>
        </is>
      </c>
      <c r="B1627" t="inlineStr">
        <is>
          <t>Sponsor</t>
        </is>
      </c>
      <c r="C1627" t="inlineStr">
        <is>
          <t>Commercial Vice President</t>
        </is>
      </c>
      <c r="D1627" t="inlineStr">
        <is>
          <t>OpenTrack Inc.</t>
        </is>
      </c>
      <c r="F1627" t="inlineStr">
        <is>
          <t>Yes</t>
        </is>
      </c>
      <c r="H1627" t="n">
        <v>8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  <c r="N1627">
        <f>IFERROR(INDEX('Company Hitlist'!$AA:$AA,MATCH(D1627,'Company Hitlist'!$A:$A,0)),)</f>
        <v/>
      </c>
      <c r="O1627">
        <f>IFERROR(INDEX('Company Hitlist'!$N:$N,MATCH(D1627,'Company Hitlist'!$A:$A,0)),)</f>
        <v/>
      </c>
      <c r="Q1627" t="inlineStr">
        <is>
          <t>todo</t>
        </is>
      </c>
    </row>
    <row r="1628">
      <c r="A1628" t="inlineStr">
        <is>
          <t>Kevin Valsi</t>
        </is>
      </c>
      <c r="B1628" t="inlineStr">
        <is>
          <t>Sponsor</t>
        </is>
      </c>
      <c r="C1628" t="inlineStr">
        <is>
          <t>Co-Founder, CEO</t>
        </is>
      </c>
      <c r="D1628" t="inlineStr">
        <is>
          <t>OpenTrack Inc.</t>
        </is>
      </c>
      <c r="F1628" t="inlineStr">
        <is>
          <t>Yes</t>
        </is>
      </c>
      <c r="H1628" t="n">
        <v>8</v>
      </c>
      <c r="I1628" t="b">
        <v>0</v>
      </c>
      <c r="J1628" t="b">
        <v>1</v>
      </c>
      <c r="K1628" t="b">
        <v>0</v>
      </c>
      <c r="L1628" t="b">
        <v>0</v>
      </c>
      <c r="M1628" t="b">
        <v>0</v>
      </c>
      <c r="N1628">
        <f>IFERROR(INDEX('Company Hitlist'!$AA:$AA,MATCH(D1628,'Company Hitlist'!$A:$A,0)),)</f>
        <v/>
      </c>
      <c r="O1628">
        <f>IFERROR(INDEX('Company Hitlist'!$N:$N,MATCH(D1628,'Company Hitlist'!$A:$A,0)),)</f>
        <v/>
      </c>
      <c r="Q1628" t="inlineStr">
        <is>
          <t>todo</t>
        </is>
      </c>
    </row>
    <row r="1629">
      <c r="A1629" t="inlineStr">
        <is>
          <t>Gaurav Mogra</t>
        </is>
      </c>
      <c r="B1629" t="inlineStr">
        <is>
          <t>Sponsor</t>
        </is>
      </c>
      <c r="C1629" t="inlineStr">
        <is>
          <t>Founder &amp; CEO</t>
        </is>
      </c>
      <c r="D1629" t="inlineStr">
        <is>
          <t>Optiflow</t>
        </is>
      </c>
      <c r="H1629" t="n">
        <v>8</v>
      </c>
      <c r="I1629" t="b">
        <v>0</v>
      </c>
      <c r="J1629" t="b">
        <v>1</v>
      </c>
      <c r="K1629" t="b">
        <v>0</v>
      </c>
      <c r="L1629" t="b">
        <v>0</v>
      </c>
      <c r="M1629" t="b">
        <v>0</v>
      </c>
      <c r="N1629">
        <f>IFERROR(INDEX('Company Hitlist'!$AA:$AA,MATCH(D1629,'Company Hitlist'!$A:$A,0)),)</f>
        <v/>
      </c>
      <c r="O1629">
        <f>IFERROR(INDEX('Company Hitlist'!$N:$N,MATCH(D1629,'Company Hitlist'!$A:$A,0)),)</f>
        <v/>
      </c>
      <c r="Q1629" t="inlineStr">
        <is>
          <t>todo</t>
        </is>
      </c>
    </row>
    <row r="1630">
      <c r="A1630" t="inlineStr">
        <is>
          <t>Kenzi Klein</t>
        </is>
      </c>
      <c r="B1630" t="inlineStr">
        <is>
          <t>Sponsor</t>
        </is>
      </c>
      <c r="C1630" t="inlineStr">
        <is>
          <t>Chief of Staff</t>
        </is>
      </c>
      <c r="D1630" t="inlineStr">
        <is>
          <t>Optimal Dynamics</t>
        </is>
      </c>
      <c r="F1630" t="inlineStr">
        <is>
          <t>Yes</t>
        </is>
      </c>
      <c r="H1630" t="n">
        <v>8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>
        <f>IFERROR(INDEX('Company Hitlist'!$AA:$AA,MATCH(D1630,'Company Hitlist'!$A:$A,0)),)</f>
        <v/>
      </c>
      <c r="O1630">
        <f>IFERROR(INDEX('Company Hitlist'!$N:$N,MATCH(D1630,'Company Hitlist'!$A:$A,0)),)</f>
        <v/>
      </c>
      <c r="Q1630" t="inlineStr">
        <is>
          <t>todo</t>
        </is>
      </c>
    </row>
    <row r="1631">
      <c r="A1631" t="inlineStr">
        <is>
          <t>Scott Kenerly</t>
        </is>
      </c>
      <c r="B1631" t="inlineStr">
        <is>
          <t>Sponsor</t>
        </is>
      </c>
      <c r="C1631" t="inlineStr">
        <is>
          <t>CFO/COO</t>
        </is>
      </c>
      <c r="D1631" t="inlineStr">
        <is>
          <t>Optimal Dynamics</t>
        </is>
      </c>
      <c r="F1631" t="inlineStr">
        <is>
          <t>Yes</t>
        </is>
      </c>
      <c r="H1631" t="n">
        <v>8</v>
      </c>
      <c r="I1631" t="b">
        <v>0</v>
      </c>
      <c r="J1631" t="b">
        <v>1</v>
      </c>
      <c r="K1631" t="b">
        <v>0</v>
      </c>
      <c r="L1631" t="b">
        <v>0</v>
      </c>
      <c r="M1631" t="b">
        <v>0</v>
      </c>
      <c r="N1631">
        <f>IFERROR(INDEX('Company Hitlist'!$AA:$AA,MATCH(D1631,'Company Hitlist'!$A:$A,0)),)</f>
        <v/>
      </c>
      <c r="O1631">
        <f>IFERROR(INDEX('Company Hitlist'!$N:$N,MATCH(D1631,'Company Hitlist'!$A:$A,0)),)</f>
        <v/>
      </c>
      <c r="Q1631" t="inlineStr">
        <is>
          <t>todo</t>
        </is>
      </c>
    </row>
    <row r="1632">
      <c r="A1632" t="inlineStr">
        <is>
          <t>Szymon Gomula</t>
        </is>
      </c>
      <c r="B1632" t="inlineStr">
        <is>
          <t>Sponsor</t>
        </is>
      </c>
      <c r="C1632" t="inlineStr">
        <is>
          <t>CEO</t>
        </is>
      </c>
      <c r="D1632" t="inlineStr">
        <is>
          <t>Optimologic</t>
        </is>
      </c>
      <c r="E1632" t="inlineStr">
        <is>
          <t>United States</t>
        </is>
      </c>
      <c r="F1632" t="inlineStr">
        <is>
          <t>Yes</t>
        </is>
      </c>
      <c r="H1632" t="n">
        <v>8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>
        <f>IFERROR(INDEX('Company Hitlist'!$AA:$AA,MATCH(D1632,'Company Hitlist'!$A:$A,0)),)</f>
        <v/>
      </c>
      <c r="O1632">
        <f>IFERROR(INDEX('Company Hitlist'!$N:$N,MATCH(D1632,'Company Hitlist'!$A:$A,0)),)</f>
        <v/>
      </c>
      <c r="Q1632" t="inlineStr">
        <is>
          <t>todo</t>
        </is>
      </c>
    </row>
    <row r="1633">
      <c r="A1633" t="inlineStr">
        <is>
          <t>Kurt Neutgens</t>
        </is>
      </c>
      <c r="B1633" t="inlineStr">
        <is>
          <t>Sponsor</t>
        </is>
      </c>
      <c r="C1633" t="inlineStr">
        <is>
          <t>President and CTO</t>
        </is>
      </c>
      <c r="D1633" t="inlineStr">
        <is>
          <t>Orange EV</t>
        </is>
      </c>
      <c r="F1633" t="inlineStr">
        <is>
          <t>Yes</t>
        </is>
      </c>
      <c r="H1633" t="n">
        <v>8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>
        <f>IFERROR(INDEX('Company Hitlist'!$AA:$AA,MATCH(D1633,'Company Hitlist'!$A:$A,0)),)</f>
        <v/>
      </c>
      <c r="O1633">
        <f>IFERROR(INDEX('Company Hitlist'!$N:$N,MATCH(D1633,'Company Hitlist'!$A:$A,0)),)</f>
        <v/>
      </c>
      <c r="Q1633" t="inlineStr">
        <is>
          <t>todo</t>
        </is>
      </c>
    </row>
    <row r="1634">
      <c r="A1634" t="inlineStr">
        <is>
          <t>Jonathan Ryan</t>
        </is>
      </c>
      <c r="B1634" t="inlineStr">
        <is>
          <t>Sponsor</t>
        </is>
      </c>
      <c r="C1634" t="inlineStr">
        <is>
          <t>Chief Product &amp; Technology Officer</t>
        </is>
      </c>
      <c r="D1634" t="inlineStr">
        <is>
          <t>Overhaul</t>
        </is>
      </c>
      <c r="E1634" t="inlineStr">
        <is>
          <t>United States</t>
        </is>
      </c>
      <c r="F1634" t="inlineStr">
        <is>
          <t>Yes</t>
        </is>
      </c>
      <c r="G1634" t="inlineStr">
        <is>
          <t>131700000</t>
        </is>
      </c>
      <c r="H1634" t="n">
        <v>8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  <c r="N1634">
        <f>IFERROR(INDEX('Company Hitlist'!$AA:$AA,MATCH(D1634,'Company Hitlist'!$A:$A,0)),)</f>
        <v/>
      </c>
      <c r="O1634">
        <f>IFERROR(INDEX('Company Hitlist'!$N:$N,MATCH(D1634,'Company Hitlist'!$A:$A,0)),)</f>
        <v/>
      </c>
      <c r="Q1634" t="inlineStr">
        <is>
          <t>todo</t>
        </is>
      </c>
    </row>
    <row r="1635">
      <c r="A1635" t="inlineStr">
        <is>
          <t>Sergio Garcia</t>
        </is>
      </c>
      <c r="B1635" t="inlineStr">
        <is>
          <t>Attendee</t>
        </is>
      </c>
      <c r="C1635" t="inlineStr">
        <is>
          <t>Purchasing Director</t>
        </is>
      </c>
      <c r="D1635" t="inlineStr">
        <is>
          <t>P&amp;G</t>
        </is>
      </c>
      <c r="E1635" t="inlineStr">
        <is>
          <t>United States</t>
        </is>
      </c>
      <c r="F1635" t="inlineStr">
        <is>
          <t>Yes</t>
        </is>
      </c>
      <c r="H1635" t="n">
        <v>8</v>
      </c>
      <c r="I1635" t="b">
        <v>0</v>
      </c>
      <c r="J1635" t="b">
        <v>0</v>
      </c>
      <c r="K1635" t="b">
        <v>0</v>
      </c>
      <c r="L1635" t="b">
        <v>1</v>
      </c>
      <c r="M1635" t="b">
        <v>0</v>
      </c>
      <c r="N1635">
        <f>IFERROR(INDEX('Company Hitlist'!$AA:$AA,MATCH(D1635,'Company Hitlist'!$A:$A,0)),)</f>
        <v/>
      </c>
      <c r="O1635">
        <f>IFERROR(INDEX('Company Hitlist'!$N:$N,MATCH(D1635,'Company Hitlist'!$A:$A,0)),)</f>
        <v/>
      </c>
      <c r="Q1635" t="inlineStr">
        <is>
          <t>todo</t>
        </is>
      </c>
    </row>
    <row r="1636">
      <c r="A1636" t="inlineStr">
        <is>
          <t>Paul Driegen</t>
        </is>
      </c>
      <c r="B1636" t="inlineStr">
        <is>
          <t>Sponsor</t>
        </is>
      </c>
      <c r="C1636" t="inlineStr">
        <is>
          <t>Founder &amp; Co-CEO</t>
        </is>
      </c>
      <c r="D1636" t="inlineStr">
        <is>
          <t>PHD Solutions Inc.</t>
        </is>
      </c>
      <c r="E1636" t="inlineStr">
        <is>
          <t>Canada</t>
        </is>
      </c>
      <c r="H1636" t="n">
        <v>8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>
        <f>IFERROR(INDEX('Company Hitlist'!$AA:$AA,MATCH(D1636,'Company Hitlist'!$A:$A,0)),)</f>
        <v/>
      </c>
      <c r="O1636">
        <f>IFERROR(INDEX('Company Hitlist'!$N:$N,MATCH(D1636,'Company Hitlist'!$A:$A,0)),)</f>
        <v/>
      </c>
      <c r="Q1636" t="inlineStr">
        <is>
          <t>todo</t>
        </is>
      </c>
    </row>
    <row r="1637">
      <c r="A1637" t="inlineStr">
        <is>
          <t>Tim Morse</t>
        </is>
      </c>
      <c r="B1637" t="inlineStr">
        <is>
          <t>Sponsor</t>
        </is>
      </c>
      <c r="C1637" t="inlineStr">
        <is>
          <t>VP of Partnerships</t>
        </is>
      </c>
      <c r="D1637" t="inlineStr">
        <is>
          <t>PIPE17 - Order Operations Solutions for 3PLs</t>
        </is>
      </c>
      <c r="F1637" t="inlineStr">
        <is>
          <t>Yes</t>
        </is>
      </c>
      <c r="H1637" t="n">
        <v>8</v>
      </c>
      <c r="I1637" t="b">
        <v>0</v>
      </c>
      <c r="J1637" t="b">
        <v>1</v>
      </c>
      <c r="K1637" t="b">
        <v>0</v>
      </c>
      <c r="L1637" t="b">
        <v>0</v>
      </c>
      <c r="M1637" t="b">
        <v>0</v>
      </c>
      <c r="N1637">
        <f>IFERROR(INDEX('Company Hitlist'!$AA:$AA,MATCH(D1637,'Company Hitlist'!$A:$A,0)),)</f>
        <v/>
      </c>
      <c r="O1637">
        <f>IFERROR(INDEX('Company Hitlist'!$N:$N,MATCH(D1637,'Company Hitlist'!$A:$A,0)),)</f>
        <v/>
      </c>
      <c r="Q1637" t="inlineStr">
        <is>
          <t>todo</t>
        </is>
      </c>
    </row>
    <row r="1638">
      <c r="A1638" t="inlineStr">
        <is>
          <t>Tony Villanova</t>
        </is>
      </c>
      <c r="B1638" t="inlineStr">
        <is>
          <t>Sponsor</t>
        </is>
      </c>
      <c r="C1638" t="inlineStr">
        <is>
          <t>Vice President of Technology Partnerships</t>
        </is>
      </c>
      <c r="D1638" t="inlineStr">
        <is>
          <t>Paccurate</t>
        </is>
      </c>
      <c r="E1638" t="inlineStr">
        <is>
          <t>United States</t>
        </is>
      </c>
      <c r="F1638" t="inlineStr">
        <is>
          <t>Yes</t>
        </is>
      </c>
      <c r="G1638" t="inlineStr">
        <is>
          <t>&lt;$5 million (2025)</t>
        </is>
      </c>
      <c r="H1638" t="n">
        <v>8</v>
      </c>
      <c r="I1638" t="b">
        <v>0</v>
      </c>
      <c r="J1638" t="b">
        <v>1</v>
      </c>
      <c r="K1638" t="b">
        <v>0</v>
      </c>
      <c r="L1638" t="b">
        <v>0</v>
      </c>
      <c r="M1638" t="b">
        <v>0</v>
      </c>
      <c r="N1638">
        <f>IFERROR(INDEX('Company Hitlist'!$AA:$AA,MATCH(D1638,'Company Hitlist'!$A:$A,0)),)</f>
        <v/>
      </c>
      <c r="O1638">
        <f>IFERROR(INDEX('Company Hitlist'!$N:$N,MATCH(D1638,'Company Hitlist'!$A:$A,0)),)</f>
        <v/>
      </c>
      <c r="Q1638" t="inlineStr">
        <is>
          <t>todo</t>
        </is>
      </c>
    </row>
    <row r="1639">
      <c r="A1639" t="inlineStr">
        <is>
          <t>Val Panyushenko</t>
        </is>
      </c>
      <c r="B1639" t="inlineStr">
        <is>
          <t>Sponsor</t>
        </is>
      </c>
      <c r="C1639" t="inlineStr">
        <is>
          <t>Head of Product</t>
        </is>
      </c>
      <c r="D1639" t="inlineStr">
        <is>
          <t>PackageX</t>
        </is>
      </c>
      <c r="F1639" t="inlineStr">
        <is>
          <t>Yes</t>
        </is>
      </c>
      <c r="H1639" t="n">
        <v>8</v>
      </c>
      <c r="I1639" t="b">
        <v>0</v>
      </c>
      <c r="J1639" t="b">
        <v>1</v>
      </c>
      <c r="K1639" t="b">
        <v>0</v>
      </c>
      <c r="L1639" t="b">
        <v>0</v>
      </c>
      <c r="M1639" t="b">
        <v>0</v>
      </c>
      <c r="N1639">
        <f>IFERROR(INDEX('Company Hitlist'!$AA:$AA,MATCH(D1639,'Company Hitlist'!$A:$A,0)),)</f>
        <v/>
      </c>
      <c r="O1639">
        <f>IFERROR(INDEX('Company Hitlist'!$N:$N,MATCH(D1639,'Company Hitlist'!$A:$A,0)),)</f>
        <v/>
      </c>
      <c r="Q1639" t="inlineStr">
        <is>
          <t>todo</t>
        </is>
      </c>
    </row>
    <row r="1640">
      <c r="A1640" t="inlineStr">
        <is>
          <t>Jessica Dzugan</t>
        </is>
      </c>
      <c r="B1640" t="inlineStr">
        <is>
          <t>Sponsor</t>
        </is>
      </c>
      <c r="C1640" t="inlineStr">
        <is>
          <t>VP of Technology</t>
        </is>
      </c>
      <c r="D1640" t="inlineStr">
        <is>
          <t>PalletTrader</t>
        </is>
      </c>
      <c r="E1640" t="inlineStr">
        <is>
          <t>United States</t>
        </is>
      </c>
      <c r="F1640" t="inlineStr">
        <is>
          <t>Yes</t>
        </is>
      </c>
      <c r="H1640" t="n">
        <v>8</v>
      </c>
      <c r="I1640" t="b">
        <v>0</v>
      </c>
      <c r="J1640" t="b">
        <v>1</v>
      </c>
      <c r="K1640" t="b">
        <v>0</v>
      </c>
      <c r="L1640" t="b">
        <v>0</v>
      </c>
      <c r="M1640" t="b">
        <v>0</v>
      </c>
      <c r="N1640">
        <f>IFERROR(INDEX('Company Hitlist'!$AA:$AA,MATCH(D1640,'Company Hitlist'!$A:$A,0)),)</f>
        <v/>
      </c>
      <c r="O1640">
        <f>IFERROR(INDEX('Company Hitlist'!$N:$N,MATCH(D1640,'Company Hitlist'!$A:$A,0)),)</f>
        <v/>
      </c>
      <c r="Q1640" t="inlineStr">
        <is>
          <t>todo</t>
        </is>
      </c>
    </row>
    <row r="1641">
      <c r="A1641" t="inlineStr">
        <is>
          <t>Walter Heil</t>
        </is>
      </c>
      <c r="B1641" t="inlineStr">
        <is>
          <t>Sponsor</t>
        </is>
      </c>
      <c r="C1641" t="inlineStr">
        <is>
          <t>SVP, Americas</t>
        </is>
      </c>
      <c r="D1641" t="inlineStr">
        <is>
          <t>Parcel Perform</t>
        </is>
      </c>
      <c r="E1641" t="inlineStr">
        <is>
          <t>United States</t>
        </is>
      </c>
      <c r="F1641" t="inlineStr">
        <is>
          <t>Yes</t>
        </is>
      </c>
      <c r="H1641" t="n">
        <v>8</v>
      </c>
      <c r="I1641" t="b">
        <v>0</v>
      </c>
      <c r="J1641" t="b">
        <v>1</v>
      </c>
      <c r="K1641" t="b">
        <v>0</v>
      </c>
      <c r="L1641" t="b">
        <v>0</v>
      </c>
      <c r="M1641" t="b">
        <v>0</v>
      </c>
      <c r="N1641">
        <f>IFERROR(INDEX('Company Hitlist'!$AA:$AA,MATCH(D1641,'Company Hitlist'!$A:$A,0)),)</f>
        <v/>
      </c>
      <c r="O1641">
        <f>IFERROR(INDEX('Company Hitlist'!$N:$N,MATCH(D1641,'Company Hitlist'!$A:$A,0)),)</f>
        <v/>
      </c>
      <c r="Q1641" t="inlineStr">
        <is>
          <t>todo</t>
        </is>
      </c>
    </row>
    <row r="1642">
      <c r="A1642" t="inlineStr">
        <is>
          <t>David Field</t>
        </is>
      </c>
      <c r="B1642" t="inlineStr">
        <is>
          <t>Sponsor</t>
        </is>
      </c>
      <c r="C1642" t="inlineStr">
        <is>
          <t>Head of Strategic Partnerships</t>
        </is>
      </c>
      <c r="D1642" t="inlineStr">
        <is>
          <t>Passport</t>
        </is>
      </c>
      <c r="E1642" t="inlineStr">
        <is>
          <t>United States</t>
        </is>
      </c>
      <c r="H1642" t="n">
        <v>8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  <c r="N1642">
        <f>IFERROR(INDEX('Company Hitlist'!$AA:$AA,MATCH(D1642,'Company Hitlist'!$A:$A,0)),)</f>
        <v/>
      </c>
      <c r="O1642">
        <f>IFERROR(INDEX('Company Hitlist'!$N:$N,MATCH(D1642,'Company Hitlist'!$A:$A,0)),)</f>
        <v/>
      </c>
      <c r="Q1642" t="inlineStr">
        <is>
          <t>todo</t>
        </is>
      </c>
    </row>
    <row r="1643">
      <c r="A1643" t="inlineStr">
        <is>
          <t>Brian Ceraolo</t>
        </is>
      </c>
      <c r="B1643" t="inlineStr">
        <is>
          <t>Sponsor</t>
        </is>
      </c>
      <c r="C1643" t="inlineStr">
        <is>
          <t>President/CEO</t>
        </is>
      </c>
      <c r="D1643" t="inlineStr">
        <is>
          <t>Peerless Media</t>
        </is>
      </c>
      <c r="H1643" t="n">
        <v>8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>
        <f>IFERROR(INDEX('Company Hitlist'!$AA:$AA,MATCH(D1643,'Company Hitlist'!$A:$A,0)),)</f>
        <v/>
      </c>
      <c r="O1643">
        <f>IFERROR(INDEX('Company Hitlist'!$N:$N,MATCH(D1643,'Company Hitlist'!$A:$A,0)),)</f>
        <v/>
      </c>
      <c r="Q1643" t="inlineStr">
        <is>
          <t>todo</t>
        </is>
      </c>
    </row>
    <row r="1644">
      <c r="A1644" t="inlineStr">
        <is>
          <t>Angad Gadhok</t>
        </is>
      </c>
      <c r="B1644" t="inlineStr">
        <is>
          <t>Attendee</t>
        </is>
      </c>
      <c r="C1644" t="inlineStr">
        <is>
          <t>Senior Manager, Procurement</t>
        </is>
      </c>
      <c r="D1644" t="inlineStr">
        <is>
          <t>Peloton Interactive</t>
        </is>
      </c>
      <c r="H1644" t="n">
        <v>8</v>
      </c>
      <c r="I1644" t="b">
        <v>0</v>
      </c>
      <c r="J1644" t="b">
        <v>0</v>
      </c>
      <c r="K1644" t="b">
        <v>0</v>
      </c>
      <c r="L1644" t="b">
        <v>1</v>
      </c>
      <c r="M1644" t="b">
        <v>0</v>
      </c>
      <c r="N1644">
        <f>IFERROR(INDEX('Company Hitlist'!$AA:$AA,MATCH(D1644,'Company Hitlist'!$A:$A,0)),)</f>
        <v/>
      </c>
      <c r="O1644">
        <f>IFERROR(INDEX('Company Hitlist'!$N:$N,MATCH(D1644,'Company Hitlist'!$A:$A,0)),)</f>
        <v/>
      </c>
      <c r="Q1644" t="inlineStr">
        <is>
          <t>todo</t>
        </is>
      </c>
    </row>
    <row r="1645">
      <c r="A1645" t="inlineStr">
        <is>
          <t>Bharat Nair</t>
        </is>
      </c>
      <c r="B1645" t="inlineStr">
        <is>
          <t>Attendee</t>
        </is>
      </c>
      <c r="C1645" t="inlineStr">
        <is>
          <t>Category Manager, Procurement</t>
        </is>
      </c>
      <c r="D1645" t="inlineStr">
        <is>
          <t>Peloton Interactive</t>
        </is>
      </c>
      <c r="H1645" t="n">
        <v>8</v>
      </c>
      <c r="I1645" t="b">
        <v>0</v>
      </c>
      <c r="J1645" t="b">
        <v>0</v>
      </c>
      <c r="K1645" t="b">
        <v>0</v>
      </c>
      <c r="L1645" t="b">
        <v>1</v>
      </c>
      <c r="M1645" t="b">
        <v>0</v>
      </c>
      <c r="N1645">
        <f>IFERROR(INDEX('Company Hitlist'!$AA:$AA,MATCH(D1645,'Company Hitlist'!$A:$A,0)),)</f>
        <v/>
      </c>
      <c r="O1645">
        <f>IFERROR(INDEX('Company Hitlist'!$N:$N,MATCH(D1645,'Company Hitlist'!$A:$A,0)),)</f>
        <v/>
      </c>
      <c r="Q1645" t="inlineStr">
        <is>
          <t>todo</t>
        </is>
      </c>
    </row>
    <row r="1646">
      <c r="A1646" t="inlineStr">
        <is>
          <t>Vish LK</t>
        </is>
      </c>
      <c r="B1646" t="inlineStr">
        <is>
          <t>Sponsor</t>
        </is>
      </c>
      <c r="C1646" t="inlineStr">
        <is>
          <t>Vice President, Financial Administration</t>
        </is>
      </c>
      <c r="D1646" t="inlineStr">
        <is>
          <t>Penske Logistics</t>
        </is>
      </c>
      <c r="F1646" t="inlineStr">
        <is>
          <t>Yes</t>
        </is>
      </c>
      <c r="G1646" t="inlineStr">
        <is>
          <t>$9.9B (2025 est.)</t>
        </is>
      </c>
      <c r="H1646" t="n">
        <v>8</v>
      </c>
      <c r="I1646" t="b">
        <v>0</v>
      </c>
      <c r="J1646" t="b">
        <v>1</v>
      </c>
      <c r="K1646" t="b">
        <v>0</v>
      </c>
      <c r="L1646" t="b">
        <v>0</v>
      </c>
      <c r="M1646" t="b">
        <v>0</v>
      </c>
      <c r="N1646">
        <f>IFERROR(INDEX('Company Hitlist'!$AA:$AA,MATCH(D1646,'Company Hitlist'!$A:$A,0)),)</f>
        <v/>
      </c>
      <c r="O1646">
        <f>IFERROR(INDEX('Company Hitlist'!$N:$N,MATCH(D1646,'Company Hitlist'!$A:$A,0)),)</f>
        <v/>
      </c>
      <c r="Q1646" t="inlineStr">
        <is>
          <t>todo</t>
        </is>
      </c>
    </row>
    <row r="1647">
      <c r="A1647" t="inlineStr">
        <is>
          <t>Casey Larkin</t>
        </is>
      </c>
      <c r="B1647" t="inlineStr">
        <is>
          <t>Sponsor</t>
        </is>
      </c>
      <c r="C1647" t="inlineStr">
        <is>
          <t>VP of Client Success</t>
        </is>
      </c>
      <c r="D1647" t="inlineStr">
        <is>
          <t>Pesti</t>
        </is>
      </c>
      <c r="E1647" t="inlineStr">
        <is>
          <t>United States</t>
        </is>
      </c>
      <c r="H1647" t="n">
        <v>8</v>
      </c>
      <c r="I1647" t="b">
        <v>0</v>
      </c>
      <c r="J1647" t="b">
        <v>1</v>
      </c>
      <c r="K1647" t="b">
        <v>0</v>
      </c>
      <c r="L1647" t="b">
        <v>0</v>
      </c>
      <c r="M1647" t="b">
        <v>0</v>
      </c>
      <c r="N1647">
        <f>IFERROR(INDEX('Company Hitlist'!$AA:$AA,MATCH(D1647,'Company Hitlist'!$A:$A,0)),)</f>
        <v/>
      </c>
      <c r="O1647">
        <f>IFERROR(INDEX('Company Hitlist'!$N:$N,MATCH(D1647,'Company Hitlist'!$A:$A,0)),)</f>
        <v/>
      </c>
      <c r="Q1647" t="inlineStr">
        <is>
          <t>todo</t>
        </is>
      </c>
    </row>
    <row r="1648">
      <c r="A1648" t="inlineStr">
        <is>
          <t>Charlie Pesti</t>
        </is>
      </c>
      <c r="B1648" t="inlineStr">
        <is>
          <t>Sponsor</t>
        </is>
      </c>
      <c r="C1648" t="inlineStr">
        <is>
          <t>Chief Make it Happen Officer</t>
        </is>
      </c>
      <c r="D1648" t="inlineStr">
        <is>
          <t>Pesti</t>
        </is>
      </c>
      <c r="E1648" t="inlineStr">
        <is>
          <t>United States</t>
        </is>
      </c>
      <c r="H1648" t="n">
        <v>8</v>
      </c>
      <c r="I1648" t="b">
        <v>0</v>
      </c>
      <c r="J1648" t="b">
        <v>1</v>
      </c>
      <c r="K1648" t="b">
        <v>0</v>
      </c>
      <c r="L1648" t="b">
        <v>0</v>
      </c>
      <c r="M1648" t="b">
        <v>0</v>
      </c>
      <c r="N1648">
        <f>IFERROR(INDEX('Company Hitlist'!$AA:$AA,MATCH(D1648,'Company Hitlist'!$A:$A,0)),)</f>
        <v/>
      </c>
      <c r="O1648">
        <f>IFERROR(INDEX('Company Hitlist'!$N:$N,MATCH(D1648,'Company Hitlist'!$A:$A,0)),)</f>
        <v/>
      </c>
      <c r="Q1648" t="inlineStr">
        <is>
          <t>todo</t>
        </is>
      </c>
    </row>
    <row r="1649">
      <c r="A1649" t="inlineStr">
        <is>
          <t>John Monarch</t>
        </is>
      </c>
      <c r="B1649" t="inlineStr">
        <is>
          <t>Sponsor</t>
        </is>
      </c>
      <c r="C1649" t="inlineStr">
        <is>
          <t>Chief Industry Officer</t>
        </is>
      </c>
      <c r="D1649" t="inlineStr">
        <is>
          <t>Pesti</t>
        </is>
      </c>
      <c r="E1649" t="inlineStr">
        <is>
          <t>United States</t>
        </is>
      </c>
      <c r="H1649" t="n">
        <v>8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  <c r="N1649">
        <f>IFERROR(INDEX('Company Hitlist'!$AA:$AA,MATCH(D1649,'Company Hitlist'!$A:$A,0)),)</f>
        <v/>
      </c>
      <c r="O1649">
        <f>IFERROR(INDEX('Company Hitlist'!$N:$N,MATCH(D1649,'Company Hitlist'!$A:$A,0)),)</f>
        <v/>
      </c>
      <c r="Q1649" t="inlineStr">
        <is>
          <t>todo</t>
        </is>
      </c>
    </row>
    <row r="1650">
      <c r="A1650" t="inlineStr">
        <is>
          <t>Quirino Zagarese</t>
        </is>
      </c>
      <c r="B1650" t="inlineStr">
        <is>
          <t>Sponsor</t>
        </is>
      </c>
      <c r="C1650" t="inlineStr">
        <is>
          <t>CTO</t>
        </is>
      </c>
      <c r="D1650" t="inlineStr">
        <is>
          <t>Phinxt robotics Ltd</t>
        </is>
      </c>
      <c r="F1650" t="inlineStr">
        <is>
          <t>Yes</t>
        </is>
      </c>
      <c r="H1650" t="n">
        <v>8</v>
      </c>
      <c r="I1650" t="b">
        <v>0</v>
      </c>
      <c r="J1650" t="b">
        <v>1</v>
      </c>
      <c r="K1650" t="b">
        <v>0</v>
      </c>
      <c r="L1650" t="b">
        <v>0</v>
      </c>
      <c r="M1650" t="b">
        <v>0</v>
      </c>
      <c r="N1650">
        <f>IFERROR(INDEX('Company Hitlist'!$AA:$AA,MATCH(D1650,'Company Hitlist'!$A:$A,0)),)</f>
        <v/>
      </c>
      <c r="O1650">
        <f>IFERROR(INDEX('Company Hitlist'!$N:$N,MATCH(D1650,'Company Hitlist'!$A:$A,0)),)</f>
        <v/>
      </c>
      <c r="Q1650" t="inlineStr">
        <is>
          <t>todo</t>
        </is>
      </c>
    </row>
    <row r="1651">
      <c r="A1651" t="inlineStr">
        <is>
          <t>Toni Pisano</t>
        </is>
      </c>
      <c r="B1651" t="inlineStr">
        <is>
          <t>Sponsor</t>
        </is>
      </c>
      <c r="C1651" t="inlineStr">
        <is>
          <t>Chief Customer Officer</t>
        </is>
      </c>
      <c r="D1651" t="inlineStr">
        <is>
          <t>PortPro</t>
        </is>
      </c>
      <c r="E1651" t="inlineStr">
        <is>
          <t>United States</t>
        </is>
      </c>
      <c r="F1651" t="inlineStr">
        <is>
          <t>Yes</t>
        </is>
      </c>
      <c r="G1651" t="inlineStr">
        <is>
          <t>$41.2 million (2025)</t>
        </is>
      </c>
      <c r="H1651" t="n">
        <v>8</v>
      </c>
      <c r="I1651" t="b">
        <v>0</v>
      </c>
      <c r="J1651" t="b">
        <v>1</v>
      </c>
      <c r="K1651" t="b">
        <v>0</v>
      </c>
      <c r="L1651" t="b">
        <v>0</v>
      </c>
      <c r="M1651" t="b">
        <v>0</v>
      </c>
      <c r="N1651">
        <f>IFERROR(INDEX('Company Hitlist'!$AA:$AA,MATCH(D1651,'Company Hitlist'!$A:$A,0)),)</f>
        <v/>
      </c>
      <c r="O1651">
        <f>IFERROR(INDEX('Company Hitlist'!$N:$N,MATCH(D1651,'Company Hitlist'!$A:$A,0)),)</f>
        <v/>
      </c>
      <c r="Q1651" t="inlineStr">
        <is>
          <t>todo</t>
        </is>
      </c>
    </row>
    <row r="1652">
      <c r="A1652" t="inlineStr">
        <is>
          <t>Walker Banks</t>
        </is>
      </c>
      <c r="B1652" t="inlineStr">
        <is>
          <t>Sponsor</t>
        </is>
      </c>
      <c r="C1652" t="inlineStr">
        <is>
          <t>Chief Operating Officer</t>
        </is>
      </c>
      <c r="D1652" t="inlineStr">
        <is>
          <t>PortPro</t>
        </is>
      </c>
      <c r="E1652" t="inlineStr">
        <is>
          <t>United States</t>
        </is>
      </c>
      <c r="F1652" t="inlineStr">
        <is>
          <t>Yes</t>
        </is>
      </c>
      <c r="G1652" t="inlineStr">
        <is>
          <t>$41.2 million (2025)</t>
        </is>
      </c>
      <c r="H1652" t="n">
        <v>8</v>
      </c>
      <c r="I1652" t="b">
        <v>0</v>
      </c>
      <c r="J1652" t="b">
        <v>1</v>
      </c>
      <c r="K1652" t="b">
        <v>0</v>
      </c>
      <c r="L1652" t="b">
        <v>0</v>
      </c>
      <c r="M1652" t="b">
        <v>0</v>
      </c>
      <c r="N1652">
        <f>IFERROR(INDEX('Company Hitlist'!$AA:$AA,MATCH(D1652,'Company Hitlist'!$A:$A,0)),)</f>
        <v/>
      </c>
      <c r="O1652">
        <f>IFERROR(INDEX('Company Hitlist'!$N:$N,MATCH(D1652,'Company Hitlist'!$A:$A,0)),)</f>
        <v/>
      </c>
      <c r="Q1652" t="inlineStr">
        <is>
          <t>todo</t>
        </is>
      </c>
    </row>
    <row r="1653">
      <c r="A1653" t="inlineStr">
        <is>
          <t>Michael Mecca</t>
        </is>
      </c>
      <c r="B1653" t="inlineStr">
        <is>
          <t>Sponsor</t>
        </is>
      </c>
      <c r="C1653" t="inlineStr">
        <is>
          <t>Chief Executive Officer</t>
        </is>
      </c>
      <c r="D1653" t="inlineStr">
        <is>
          <t>PortPro</t>
        </is>
      </c>
      <c r="F1653" t="inlineStr">
        <is>
          <t>Yes</t>
        </is>
      </c>
      <c r="G1653" t="inlineStr">
        <is>
          <t>$41.2 million (2025)</t>
        </is>
      </c>
      <c r="H1653" t="n">
        <v>8</v>
      </c>
      <c r="I1653" t="b">
        <v>0</v>
      </c>
      <c r="J1653" t="b">
        <v>1</v>
      </c>
      <c r="K1653" t="b">
        <v>0</v>
      </c>
      <c r="L1653" t="b">
        <v>0</v>
      </c>
      <c r="M1653" t="b">
        <v>0</v>
      </c>
      <c r="N1653">
        <f>IFERROR(INDEX('Company Hitlist'!$AA:$AA,MATCH(D1653,'Company Hitlist'!$A:$A,0)),)</f>
        <v/>
      </c>
      <c r="O1653">
        <f>IFERROR(INDEX('Company Hitlist'!$N:$N,MATCH(D1653,'Company Hitlist'!$A:$A,0)),)</f>
        <v/>
      </c>
      <c r="Q1653" t="inlineStr">
        <is>
          <t>todo</t>
        </is>
      </c>
    </row>
    <row r="1654">
      <c r="A1654" t="inlineStr">
        <is>
          <t>Ryan Blankenship</t>
        </is>
      </c>
      <c r="B1654" t="inlineStr">
        <is>
          <t>Sponsor</t>
        </is>
      </c>
      <c r="C1654" t="inlineStr">
        <is>
          <t>CEO</t>
        </is>
      </c>
      <c r="D1654" t="inlineStr">
        <is>
          <t>Precision Lumping Services</t>
        </is>
      </c>
      <c r="F1654" t="inlineStr">
        <is>
          <t>Yes</t>
        </is>
      </c>
      <c r="G1654" t="inlineStr">
        <is>
          <t>$3.3 billion (2025)</t>
        </is>
      </c>
      <c r="H1654" t="n">
        <v>8</v>
      </c>
      <c r="I1654" t="b">
        <v>0</v>
      </c>
      <c r="J1654" t="b">
        <v>1</v>
      </c>
      <c r="K1654" t="b">
        <v>0</v>
      </c>
      <c r="L1654" t="b">
        <v>0</v>
      </c>
      <c r="M1654" t="b">
        <v>0</v>
      </c>
      <c r="N1654">
        <f>IFERROR(INDEX('Company Hitlist'!$AA:$AA,MATCH(D1654,'Company Hitlist'!$A:$A,0)),)</f>
        <v/>
      </c>
      <c r="O1654">
        <f>IFERROR(INDEX('Company Hitlist'!$N:$N,MATCH(D1654,'Company Hitlist'!$A:$A,0)),)</f>
        <v/>
      </c>
      <c r="Q1654" t="inlineStr">
        <is>
          <t>todo</t>
        </is>
      </c>
    </row>
    <row r="1655">
      <c r="A1655" t="inlineStr">
        <is>
          <t>Stephan Langbauer</t>
        </is>
      </c>
      <c r="B1655" t="inlineStr">
        <is>
          <t>Sponsor</t>
        </is>
      </c>
      <c r="C1655" t="inlineStr">
        <is>
          <t>President, North America</t>
        </is>
      </c>
      <c r="D1655" t="inlineStr">
        <is>
          <t>Prewave</t>
        </is>
      </c>
      <c r="E1655" t="inlineStr">
        <is>
          <t>Austria</t>
        </is>
      </c>
      <c r="F1655" t="inlineStr">
        <is>
          <t>Yes</t>
        </is>
      </c>
      <c r="H1655" t="n">
        <v>8</v>
      </c>
      <c r="I1655" t="b">
        <v>0</v>
      </c>
      <c r="J1655" t="b">
        <v>1</v>
      </c>
      <c r="K1655" t="b">
        <v>0</v>
      </c>
      <c r="L1655" t="b">
        <v>0</v>
      </c>
      <c r="M1655" t="b">
        <v>0</v>
      </c>
      <c r="N1655">
        <f>IFERROR(INDEX('Company Hitlist'!$AA:$AA,MATCH(D1655,'Company Hitlist'!$A:$A,0)),)</f>
        <v/>
      </c>
      <c r="O1655">
        <f>IFERROR(INDEX('Company Hitlist'!$N:$N,MATCH(D1655,'Company Hitlist'!$A:$A,0)),)</f>
        <v/>
      </c>
      <c r="Q1655" t="inlineStr">
        <is>
          <t>todo</t>
        </is>
      </c>
    </row>
    <row r="1656">
      <c r="A1656" t="inlineStr">
        <is>
          <t>Bill Schroeder</t>
        </is>
      </c>
      <c r="B1656" t="inlineStr">
        <is>
          <t>Sponsor</t>
        </is>
      </c>
      <c r="C1656" t="inlineStr">
        <is>
          <t>President</t>
        </is>
      </c>
      <c r="D1656" t="inlineStr">
        <is>
          <t>ProShip, Inc.</t>
        </is>
      </c>
      <c r="E1656" t="inlineStr">
        <is>
          <t>United States</t>
        </is>
      </c>
      <c r="F1656" t="inlineStr">
        <is>
          <t>Yes</t>
        </is>
      </c>
      <c r="H1656" t="n">
        <v>8</v>
      </c>
      <c r="I1656" t="b">
        <v>0</v>
      </c>
      <c r="J1656" t="b">
        <v>1</v>
      </c>
      <c r="K1656" t="b">
        <v>0</v>
      </c>
      <c r="L1656" t="b">
        <v>0</v>
      </c>
      <c r="M1656" t="b">
        <v>0</v>
      </c>
      <c r="N1656">
        <f>IFERROR(INDEX('Company Hitlist'!$AA:$AA,MATCH(D1656,'Company Hitlist'!$A:$A,0)),)</f>
        <v/>
      </c>
      <c r="O1656">
        <f>IFERROR(INDEX('Company Hitlist'!$N:$N,MATCH(D1656,'Company Hitlist'!$A:$A,0)),)</f>
        <v/>
      </c>
      <c r="Q1656" t="inlineStr">
        <is>
          <t>todo</t>
        </is>
      </c>
    </row>
    <row r="1657">
      <c r="A1657" t="inlineStr">
        <is>
          <t>Thomas Moore</t>
        </is>
      </c>
      <c r="B1657" t="inlineStr">
        <is>
          <t>Sponsor</t>
        </is>
      </c>
      <c r="C1657" t="inlineStr">
        <is>
          <t>CEO</t>
        </is>
      </c>
      <c r="D1657" t="inlineStr">
        <is>
          <t>ProvisionAi</t>
        </is>
      </c>
      <c r="F1657" t="inlineStr">
        <is>
          <t>Yes</t>
        </is>
      </c>
      <c r="H1657" t="n">
        <v>8</v>
      </c>
      <c r="I1657" t="b">
        <v>0</v>
      </c>
      <c r="J1657" t="b">
        <v>1</v>
      </c>
      <c r="K1657" t="b">
        <v>0</v>
      </c>
      <c r="L1657" t="b">
        <v>0</v>
      </c>
      <c r="M1657" t="b">
        <v>0</v>
      </c>
      <c r="N1657">
        <f>IFERROR(INDEX('Company Hitlist'!$AA:$AA,MATCH(D1657,'Company Hitlist'!$A:$A,0)),)</f>
        <v/>
      </c>
      <c r="O1657">
        <f>IFERROR(INDEX('Company Hitlist'!$N:$N,MATCH(D1657,'Company Hitlist'!$A:$A,0)),)</f>
        <v/>
      </c>
      <c r="Q1657" t="inlineStr">
        <is>
          <t>todo</t>
        </is>
      </c>
    </row>
    <row r="1658">
      <c r="A1658" t="inlineStr">
        <is>
          <t>Joe Morales</t>
        </is>
      </c>
      <c r="B1658" t="inlineStr">
        <is>
          <t>Sponsor</t>
        </is>
      </c>
      <c r="C1658" t="inlineStr">
        <is>
          <t>CTO</t>
        </is>
      </c>
      <c r="D1658" t="inlineStr">
        <is>
          <t>Quickcode.ai</t>
        </is>
      </c>
      <c r="E1658" t="inlineStr">
        <is>
          <t>United States</t>
        </is>
      </c>
      <c r="F1658" t="inlineStr">
        <is>
          <t>Yes</t>
        </is>
      </c>
      <c r="H1658" t="n">
        <v>8</v>
      </c>
      <c r="I1658" t="b">
        <v>0</v>
      </c>
      <c r="J1658" t="b">
        <v>1</v>
      </c>
      <c r="K1658" t="b">
        <v>0</v>
      </c>
      <c r="L1658" t="b">
        <v>0</v>
      </c>
      <c r="M1658" t="b">
        <v>0</v>
      </c>
      <c r="N1658">
        <f>IFERROR(INDEX('Company Hitlist'!$AA:$AA,MATCH(D1658,'Company Hitlist'!$A:$A,0)),)</f>
        <v/>
      </c>
      <c r="O1658">
        <f>IFERROR(INDEX('Company Hitlist'!$N:$N,MATCH(D1658,'Company Hitlist'!$A:$A,0)),)</f>
        <v/>
      </c>
      <c r="Q1658" t="inlineStr">
        <is>
          <t>todo</t>
        </is>
      </c>
    </row>
    <row r="1659">
      <c r="A1659" t="inlineStr">
        <is>
          <t>James Coombes</t>
        </is>
      </c>
      <c r="B1659" t="inlineStr">
        <is>
          <t>Sponsor</t>
        </is>
      </c>
      <c r="C1659" t="inlineStr">
        <is>
          <t>CEO and Co-founder</t>
        </is>
      </c>
      <c r="D1659" t="inlineStr">
        <is>
          <t>Raft</t>
        </is>
      </c>
      <c r="E1659" t="inlineStr">
        <is>
          <t>United Kingdom</t>
        </is>
      </c>
      <c r="F1659" t="inlineStr">
        <is>
          <t>Yes</t>
        </is>
      </c>
      <c r="G1659" t="inlineStr">
        <is>
          <t>$20 million (2025)</t>
        </is>
      </c>
      <c r="H1659" t="n">
        <v>8</v>
      </c>
      <c r="I1659" t="b">
        <v>0</v>
      </c>
      <c r="J1659" t="b">
        <v>1</v>
      </c>
      <c r="K1659" t="b">
        <v>0</v>
      </c>
      <c r="L1659" t="b">
        <v>0</v>
      </c>
      <c r="M1659" t="b">
        <v>0</v>
      </c>
      <c r="N1659">
        <f>IFERROR(INDEX('Company Hitlist'!$AA:$AA,MATCH(D1659,'Company Hitlist'!$A:$A,0)),)</f>
        <v/>
      </c>
      <c r="O1659">
        <f>IFERROR(INDEX('Company Hitlist'!$N:$N,MATCH(D1659,'Company Hitlist'!$A:$A,0)),)</f>
        <v/>
      </c>
      <c r="Q1659" t="inlineStr">
        <is>
          <t>todo</t>
        </is>
      </c>
    </row>
    <row r="1660">
      <c r="A1660" t="inlineStr">
        <is>
          <t>Nisarg Mehta</t>
        </is>
      </c>
      <c r="B1660" t="inlineStr">
        <is>
          <t>Sponsor</t>
        </is>
      </c>
      <c r="C1660" t="inlineStr">
        <is>
          <t>CTO &amp; Co-founder</t>
        </is>
      </c>
      <c r="D1660" t="inlineStr">
        <is>
          <t>Raft</t>
        </is>
      </c>
      <c r="E1660" t="inlineStr">
        <is>
          <t>United Kingdom</t>
        </is>
      </c>
      <c r="F1660" t="inlineStr">
        <is>
          <t>Yes</t>
        </is>
      </c>
      <c r="G1660" t="inlineStr">
        <is>
          <t>$20 million (2025)</t>
        </is>
      </c>
      <c r="H1660" t="n">
        <v>8</v>
      </c>
      <c r="I1660" t="b">
        <v>0</v>
      </c>
      <c r="J1660" t="b">
        <v>1</v>
      </c>
      <c r="K1660" t="b">
        <v>0</v>
      </c>
      <c r="L1660" t="b">
        <v>0</v>
      </c>
      <c r="M1660" t="b">
        <v>0</v>
      </c>
      <c r="N1660">
        <f>IFERROR(INDEX('Company Hitlist'!$AA:$AA,MATCH(D1660,'Company Hitlist'!$A:$A,0)),)</f>
        <v/>
      </c>
      <c r="O1660">
        <f>IFERROR(INDEX('Company Hitlist'!$N:$N,MATCH(D1660,'Company Hitlist'!$A:$A,0)),)</f>
        <v/>
      </c>
      <c r="Q1660" t="inlineStr">
        <is>
          <t>todo</t>
        </is>
      </c>
    </row>
    <row r="1661">
      <c r="A1661" t="inlineStr">
        <is>
          <t>Sarah McLaren</t>
        </is>
      </c>
      <c r="B1661" t="inlineStr">
        <is>
          <t>Sponsor</t>
        </is>
      </c>
      <c r="C1661" t="inlineStr">
        <is>
          <t>Chief of Staff</t>
        </is>
      </c>
      <c r="D1661" t="inlineStr">
        <is>
          <t>Raft</t>
        </is>
      </c>
      <c r="E1661" t="inlineStr">
        <is>
          <t>United Kingdom</t>
        </is>
      </c>
      <c r="F1661" t="inlineStr">
        <is>
          <t>Yes</t>
        </is>
      </c>
      <c r="G1661" t="inlineStr">
        <is>
          <t>$20 million (2025)</t>
        </is>
      </c>
      <c r="H1661" t="n">
        <v>8</v>
      </c>
      <c r="I1661" t="b">
        <v>0</v>
      </c>
      <c r="J1661" t="b">
        <v>1</v>
      </c>
      <c r="K1661" t="b">
        <v>0</v>
      </c>
      <c r="L1661" t="b">
        <v>0</v>
      </c>
      <c r="M1661" t="b">
        <v>0</v>
      </c>
      <c r="N1661">
        <f>IFERROR(INDEX('Company Hitlist'!$AA:$AA,MATCH(D1661,'Company Hitlist'!$A:$A,0)),)</f>
        <v/>
      </c>
      <c r="O1661">
        <f>IFERROR(INDEX('Company Hitlist'!$N:$N,MATCH(D1661,'Company Hitlist'!$A:$A,0)),)</f>
        <v/>
      </c>
      <c r="Q1661" t="inlineStr">
        <is>
          <t>todo</t>
        </is>
      </c>
    </row>
    <row r="1662">
      <c r="A1662" t="inlineStr">
        <is>
          <t>Laura Fava</t>
        </is>
      </c>
      <c r="B1662" t="inlineStr">
        <is>
          <t>Sponsor</t>
        </is>
      </c>
      <c r="C1662" t="inlineStr">
        <is>
          <t>Chief Customer Officer</t>
        </is>
      </c>
      <c r="D1662" t="inlineStr">
        <is>
          <t>Raft</t>
        </is>
      </c>
      <c r="E1662" t="inlineStr">
        <is>
          <t>United States</t>
        </is>
      </c>
      <c r="F1662" t="inlineStr">
        <is>
          <t>Yes</t>
        </is>
      </c>
      <c r="G1662" t="inlineStr">
        <is>
          <t>$20 million (2025)</t>
        </is>
      </c>
      <c r="H1662" t="n">
        <v>8</v>
      </c>
      <c r="I1662" t="b">
        <v>0</v>
      </c>
      <c r="J1662" t="b">
        <v>1</v>
      </c>
      <c r="K1662" t="b">
        <v>0</v>
      </c>
      <c r="L1662" t="b">
        <v>0</v>
      </c>
      <c r="M1662" t="b">
        <v>0</v>
      </c>
      <c r="N1662">
        <f>IFERROR(INDEX('Company Hitlist'!$AA:$AA,MATCH(D1662,'Company Hitlist'!$A:$A,0)),)</f>
        <v/>
      </c>
      <c r="O1662">
        <f>IFERROR(INDEX('Company Hitlist'!$N:$N,MATCH(D1662,'Company Hitlist'!$A:$A,0)),)</f>
        <v/>
      </c>
      <c r="Q1662" t="inlineStr">
        <is>
          <t>todo</t>
        </is>
      </c>
    </row>
    <row r="1663">
      <c r="A1663" t="inlineStr">
        <is>
          <t>Otto Spaan</t>
        </is>
      </c>
      <c r="B1663" t="inlineStr">
        <is>
          <t>Sponsor</t>
        </is>
      </c>
      <c r="C1663" t="inlineStr">
        <is>
          <t>Chief Commercial Officer</t>
        </is>
      </c>
      <c r="D1663" t="inlineStr">
        <is>
          <t>Rapid Logistics BV</t>
        </is>
      </c>
      <c r="F1663" t="inlineStr">
        <is>
          <t>Yes</t>
        </is>
      </c>
      <c r="H1663" t="n">
        <v>8</v>
      </c>
      <c r="I1663" t="b">
        <v>0</v>
      </c>
      <c r="J1663" t="b">
        <v>1</v>
      </c>
      <c r="K1663" t="b">
        <v>0</v>
      </c>
      <c r="L1663" t="b">
        <v>0</v>
      </c>
      <c r="M1663" t="b">
        <v>0</v>
      </c>
      <c r="N1663">
        <f>IFERROR(INDEX('Company Hitlist'!$AA:$AA,MATCH(D1663,'Company Hitlist'!$A:$A,0)),)</f>
        <v/>
      </c>
      <c r="O1663">
        <f>IFERROR(INDEX('Company Hitlist'!$N:$N,MATCH(D1663,'Company Hitlist'!$A:$A,0)),)</f>
        <v/>
      </c>
      <c r="Q1663" t="inlineStr">
        <is>
          <t>todo</t>
        </is>
      </c>
    </row>
    <row r="1664">
      <c r="A1664" t="inlineStr">
        <is>
          <t>Alex Winston</t>
        </is>
      </c>
      <c r="B1664" t="inlineStr">
        <is>
          <t>Sponsor</t>
        </is>
      </c>
      <c r="C1664" t="inlineStr">
        <is>
          <t>Chief Strategy Officer</t>
        </is>
      </c>
      <c r="D1664" t="inlineStr">
        <is>
          <t>Reefer Van Network</t>
        </is>
      </c>
      <c r="E1664" t="inlineStr">
        <is>
          <t>United States</t>
        </is>
      </c>
      <c r="H1664" t="n">
        <v>8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>
        <f>IFERROR(INDEX('Company Hitlist'!$AA:$AA,MATCH(D1664,'Company Hitlist'!$A:$A,0)),)</f>
        <v/>
      </c>
      <c r="O1664">
        <f>IFERROR(INDEX('Company Hitlist'!$N:$N,MATCH(D1664,'Company Hitlist'!$A:$A,0)),)</f>
        <v/>
      </c>
      <c r="Q1664" t="inlineStr">
        <is>
          <t>todo</t>
        </is>
      </c>
    </row>
    <row r="1665">
      <c r="A1665" t="inlineStr">
        <is>
          <t>Mike Ernst</t>
        </is>
      </c>
      <c r="B1665" t="inlineStr">
        <is>
          <t>Sponsor</t>
        </is>
      </c>
      <c r="C1665" t="inlineStr">
        <is>
          <t>President</t>
        </is>
      </c>
      <c r="D1665" t="inlineStr">
        <is>
          <t>Reefer Van Network</t>
        </is>
      </c>
      <c r="H1665" t="n">
        <v>8</v>
      </c>
      <c r="I1665" t="b">
        <v>0</v>
      </c>
      <c r="J1665" t="b">
        <v>1</v>
      </c>
      <c r="K1665" t="b">
        <v>0</v>
      </c>
      <c r="L1665" t="b">
        <v>0</v>
      </c>
      <c r="M1665" t="b">
        <v>0</v>
      </c>
      <c r="N1665">
        <f>IFERROR(INDEX('Company Hitlist'!$AA:$AA,MATCH(D1665,'Company Hitlist'!$A:$A,0)),)</f>
        <v/>
      </c>
      <c r="O1665">
        <f>IFERROR(INDEX('Company Hitlist'!$N:$N,MATCH(D1665,'Company Hitlist'!$A:$A,0)),)</f>
        <v/>
      </c>
      <c r="Q1665" t="inlineStr">
        <is>
          <t>todo</t>
        </is>
      </c>
    </row>
    <row r="1666">
      <c r="A1666" t="inlineStr">
        <is>
          <t>Diego Montemayor</t>
        </is>
      </c>
      <c r="B1666" t="inlineStr">
        <is>
          <t>Sponsor</t>
        </is>
      </c>
      <c r="C1666" t="inlineStr">
        <is>
          <t>Chief of Staff</t>
        </is>
      </c>
      <c r="D1666" t="inlineStr">
        <is>
          <t>Reform</t>
        </is>
      </c>
      <c r="F1666" t="inlineStr">
        <is>
          <t>Yes</t>
        </is>
      </c>
      <c r="H1666" t="n">
        <v>8</v>
      </c>
      <c r="I1666" t="b">
        <v>0</v>
      </c>
      <c r="J1666" t="b">
        <v>1</v>
      </c>
      <c r="K1666" t="b">
        <v>0</v>
      </c>
      <c r="L1666" t="b">
        <v>0</v>
      </c>
      <c r="M1666" t="b">
        <v>0</v>
      </c>
      <c r="N1666">
        <f>IFERROR(INDEX('Company Hitlist'!$AA:$AA,MATCH(D1666,'Company Hitlist'!$A:$A,0)),)</f>
        <v/>
      </c>
      <c r="O1666">
        <f>IFERROR(INDEX('Company Hitlist'!$N:$N,MATCH(D1666,'Company Hitlist'!$A:$A,0)),)</f>
        <v/>
      </c>
      <c r="Q1666" t="inlineStr">
        <is>
          <t>todo</t>
        </is>
      </c>
    </row>
    <row r="1667">
      <c r="A1667" t="inlineStr">
        <is>
          <t>Yair Weinberger</t>
        </is>
      </c>
      <c r="B1667" t="inlineStr">
        <is>
          <t>Sponsor</t>
        </is>
      </c>
      <c r="C1667" t="inlineStr">
        <is>
          <t>Co-CEO</t>
        </is>
      </c>
      <c r="D1667" t="inlineStr">
        <is>
          <t>Reindeer AI</t>
        </is>
      </c>
      <c r="F1667" t="inlineStr">
        <is>
          <t>Yes</t>
        </is>
      </c>
      <c r="H1667" t="n">
        <v>8</v>
      </c>
      <c r="I1667" t="b">
        <v>0</v>
      </c>
      <c r="J1667" t="b">
        <v>1</v>
      </c>
      <c r="K1667" t="b">
        <v>0</v>
      </c>
      <c r="L1667" t="b">
        <v>0</v>
      </c>
      <c r="M1667" t="b">
        <v>0</v>
      </c>
      <c r="N1667">
        <f>IFERROR(INDEX('Company Hitlist'!$AA:$AA,MATCH(D1667,'Company Hitlist'!$A:$A,0)),)</f>
        <v/>
      </c>
      <c r="O1667">
        <f>IFERROR(INDEX('Company Hitlist'!$N:$N,MATCH(D1667,'Company Hitlist'!$A:$A,0)),)</f>
        <v/>
      </c>
      <c r="Q1667" t="inlineStr">
        <is>
          <t>todo</t>
        </is>
      </c>
    </row>
    <row r="1668">
      <c r="A1668" t="inlineStr">
        <is>
          <t>Lucas Murua</t>
        </is>
      </c>
      <c r="B1668" t="inlineStr">
        <is>
          <t>Sponsor</t>
        </is>
      </c>
      <c r="C1668" t="inlineStr">
        <is>
          <t>Executive Vice President</t>
        </is>
      </c>
      <c r="D1668" t="inlineStr">
        <is>
          <t>Reliable Logistics</t>
        </is>
      </c>
      <c r="E1668" t="inlineStr">
        <is>
          <t>Canada</t>
        </is>
      </c>
      <c r="F1668" t="inlineStr">
        <is>
          <t>Yes</t>
        </is>
      </c>
      <c r="H1668" t="n">
        <v>8</v>
      </c>
      <c r="I1668" t="b">
        <v>0</v>
      </c>
      <c r="J1668" t="b">
        <v>1</v>
      </c>
      <c r="K1668" t="b">
        <v>0</v>
      </c>
      <c r="L1668" t="b">
        <v>0</v>
      </c>
      <c r="M1668" t="b">
        <v>0</v>
      </c>
      <c r="N1668">
        <f>IFERROR(INDEX('Company Hitlist'!$AA:$AA,MATCH(D1668,'Company Hitlist'!$A:$A,0)),)</f>
        <v/>
      </c>
      <c r="O1668">
        <f>IFERROR(INDEX('Company Hitlist'!$N:$N,MATCH(D1668,'Company Hitlist'!$A:$A,0)),)</f>
        <v/>
      </c>
      <c r="Q1668" t="inlineStr">
        <is>
          <t>todo</t>
        </is>
      </c>
    </row>
    <row r="1669">
      <c r="A1669" t="inlineStr">
        <is>
          <t>Vishrut Bohara</t>
        </is>
      </c>
      <c r="B1669" t="inlineStr">
        <is>
          <t>Sponsor</t>
        </is>
      </c>
      <c r="C1669" t="inlineStr">
        <is>
          <t>Co-founder &amp; CTO</t>
        </is>
      </c>
      <c r="D1669" t="inlineStr">
        <is>
          <t>Retina Robotics</t>
        </is>
      </c>
      <c r="H1669" t="n">
        <v>8</v>
      </c>
      <c r="I1669" t="b">
        <v>0</v>
      </c>
      <c r="J1669" t="b">
        <v>1</v>
      </c>
      <c r="K1669" t="b">
        <v>0</v>
      </c>
      <c r="L1669" t="b">
        <v>0</v>
      </c>
      <c r="M1669" t="b">
        <v>0</v>
      </c>
      <c r="N1669">
        <f>IFERROR(INDEX('Company Hitlist'!$AA:$AA,MATCH(D1669,'Company Hitlist'!$A:$A,0)),)</f>
        <v/>
      </c>
      <c r="O1669">
        <f>IFERROR(INDEX('Company Hitlist'!$N:$N,MATCH(D1669,'Company Hitlist'!$A:$A,0)),)</f>
        <v/>
      </c>
      <c r="Q1669" t="inlineStr">
        <is>
          <t>todo</t>
        </is>
      </c>
    </row>
    <row r="1670">
      <c r="A1670" t="inlineStr">
        <is>
          <t>Wes Berry</t>
        </is>
      </c>
      <c r="B1670" t="inlineStr">
        <is>
          <t>Sponsor</t>
        </is>
      </c>
      <c r="C1670" t="inlineStr">
        <is>
          <t>EVP, Client Partnerships &amp; Success</t>
        </is>
      </c>
      <c r="D1670" t="inlineStr">
        <is>
          <t>ReturnPro</t>
        </is>
      </c>
      <c r="F1670" t="inlineStr">
        <is>
          <t>Yes</t>
        </is>
      </c>
      <c r="G1670" t="inlineStr">
        <is>
          <t>$210.1 million (2025)</t>
        </is>
      </c>
      <c r="H1670" t="n">
        <v>8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  <c r="N1670">
        <f>IFERROR(INDEX('Company Hitlist'!$AA:$AA,MATCH(D1670,'Company Hitlist'!$A:$A,0)),)</f>
        <v/>
      </c>
      <c r="O1670">
        <f>IFERROR(INDEX('Company Hitlist'!$N:$N,MATCH(D1670,'Company Hitlist'!$A:$A,0)),)</f>
        <v/>
      </c>
      <c r="Q1670" t="inlineStr">
        <is>
          <t>todo</t>
        </is>
      </c>
    </row>
    <row r="1671">
      <c r="A1671" t="inlineStr">
        <is>
          <t>Robert Johnson</t>
        </is>
      </c>
      <c r="B1671" t="inlineStr">
        <is>
          <t>Sponsor</t>
        </is>
      </c>
      <c r="C1671" t="inlineStr">
        <is>
          <t>Executive Vice President</t>
        </is>
      </c>
      <c r="D1671" t="inlineStr">
        <is>
          <t>ReturnPro</t>
        </is>
      </c>
      <c r="E1671" t="inlineStr">
        <is>
          <t>United States</t>
        </is>
      </c>
      <c r="F1671" t="inlineStr">
        <is>
          <t>Yes</t>
        </is>
      </c>
      <c r="G1671" t="inlineStr">
        <is>
          <t>$210.1 million (2025)</t>
        </is>
      </c>
      <c r="H1671" t="n">
        <v>8</v>
      </c>
      <c r="I1671" t="b">
        <v>0</v>
      </c>
      <c r="J1671" t="b">
        <v>1</v>
      </c>
      <c r="K1671" t="b">
        <v>0</v>
      </c>
      <c r="L1671" t="b">
        <v>0</v>
      </c>
      <c r="M1671" t="b">
        <v>0</v>
      </c>
      <c r="N1671">
        <f>IFERROR(INDEX('Company Hitlist'!$AA:$AA,MATCH(D1671,'Company Hitlist'!$A:$A,0)),)</f>
        <v/>
      </c>
      <c r="O1671">
        <f>IFERROR(INDEX('Company Hitlist'!$N:$N,MATCH(D1671,'Company Hitlist'!$A:$A,0)),)</f>
        <v/>
      </c>
      <c r="Q1671" t="inlineStr">
        <is>
          <t>todo</t>
        </is>
      </c>
    </row>
    <row r="1672">
      <c r="A1672" t="inlineStr">
        <is>
          <t>Kyle Braaksma</t>
        </is>
      </c>
      <c r="B1672" t="inlineStr">
        <is>
          <t>Sponsor</t>
        </is>
      </c>
      <c r="C1672" t="inlineStr">
        <is>
          <t>VP, Strategic Accounts</t>
        </is>
      </c>
      <c r="D1672" t="inlineStr">
        <is>
          <t>Reveel</t>
        </is>
      </c>
      <c r="E1672" t="inlineStr">
        <is>
          <t>United States</t>
        </is>
      </c>
      <c r="F1672" t="inlineStr">
        <is>
          <t>Yes</t>
        </is>
      </c>
      <c r="H1672" t="n">
        <v>8</v>
      </c>
      <c r="I1672" t="b">
        <v>0</v>
      </c>
      <c r="J1672" t="b">
        <v>1</v>
      </c>
      <c r="K1672" t="b">
        <v>0</v>
      </c>
      <c r="L1672" t="b">
        <v>0</v>
      </c>
      <c r="M1672" t="b">
        <v>0</v>
      </c>
      <c r="N1672">
        <f>IFERROR(INDEX('Company Hitlist'!$AA:$AA,MATCH(D1672,'Company Hitlist'!$A:$A,0)),)</f>
        <v/>
      </c>
      <c r="O1672">
        <f>IFERROR(INDEX('Company Hitlist'!$N:$N,MATCH(D1672,'Company Hitlist'!$A:$A,0)),)</f>
        <v/>
      </c>
      <c r="Q1672" t="inlineStr">
        <is>
          <t>todo</t>
        </is>
      </c>
    </row>
    <row r="1673">
      <c r="A1673" t="inlineStr">
        <is>
          <t>Nathaniel Ebel</t>
        </is>
      </c>
      <c r="B1673" t="inlineStr">
        <is>
          <t>Sponsor</t>
        </is>
      </c>
      <c r="C1673" t="inlineStr">
        <is>
          <t>VP, Key Accounts</t>
        </is>
      </c>
      <c r="D1673" t="inlineStr">
        <is>
          <t>Reveel</t>
        </is>
      </c>
      <c r="E1673" t="inlineStr">
        <is>
          <t>United States</t>
        </is>
      </c>
      <c r="F1673" t="inlineStr">
        <is>
          <t>Yes</t>
        </is>
      </c>
      <c r="H1673" t="n">
        <v>8</v>
      </c>
      <c r="I1673" t="b">
        <v>0</v>
      </c>
      <c r="J1673" t="b">
        <v>1</v>
      </c>
      <c r="K1673" t="b">
        <v>0</v>
      </c>
      <c r="L1673" t="b">
        <v>0</v>
      </c>
      <c r="M1673" t="b">
        <v>0</v>
      </c>
      <c r="N1673">
        <f>IFERROR(INDEX('Company Hitlist'!$AA:$AA,MATCH(D1673,'Company Hitlist'!$A:$A,0)),)</f>
        <v/>
      </c>
      <c r="O1673">
        <f>IFERROR(INDEX('Company Hitlist'!$N:$N,MATCH(D1673,'Company Hitlist'!$A:$A,0)),)</f>
        <v/>
      </c>
      <c r="Q1673" t="inlineStr">
        <is>
          <t>todo</t>
        </is>
      </c>
    </row>
    <row r="1674">
      <c r="A1674" t="inlineStr">
        <is>
          <t>Blanka Holubcova</t>
        </is>
      </c>
      <c r="B1674" t="inlineStr">
        <is>
          <t>Attendee</t>
        </is>
      </c>
      <c r="C1674" t="inlineStr">
        <is>
          <t>Sr Purchasing Manager</t>
        </is>
      </c>
      <c r="D1674" t="inlineStr">
        <is>
          <t>Revolve</t>
        </is>
      </c>
      <c r="E1674" t="inlineStr">
        <is>
          <t>United States</t>
        </is>
      </c>
      <c r="H1674" t="n">
        <v>8</v>
      </c>
      <c r="I1674" t="b">
        <v>0</v>
      </c>
      <c r="J1674" t="b">
        <v>0</v>
      </c>
      <c r="K1674" t="b">
        <v>0</v>
      </c>
      <c r="L1674" t="b">
        <v>1</v>
      </c>
      <c r="M1674" t="b">
        <v>0</v>
      </c>
      <c r="N1674">
        <f>IFERROR(INDEX('Company Hitlist'!$AA:$AA,MATCH(D1674,'Company Hitlist'!$A:$A,0)),)</f>
        <v/>
      </c>
      <c r="O1674">
        <f>IFERROR(INDEX('Company Hitlist'!$N:$N,MATCH(D1674,'Company Hitlist'!$A:$A,0)),)</f>
        <v/>
      </c>
      <c r="Q1674" t="inlineStr">
        <is>
          <t>todo</t>
        </is>
      </c>
    </row>
    <row r="1675">
      <c r="A1675" t="inlineStr">
        <is>
          <t>Marc Gorlin</t>
        </is>
      </c>
      <c r="B1675" t="inlineStr">
        <is>
          <t>Sponsor</t>
        </is>
      </c>
      <c r="C1675" t="inlineStr">
        <is>
          <t>CEO &amp; Founder</t>
        </is>
      </c>
      <c r="D1675" t="inlineStr">
        <is>
          <t>Roadie</t>
        </is>
      </c>
      <c r="F1675" t="inlineStr">
        <is>
          <t>Yes</t>
        </is>
      </c>
      <c r="G1675" t="inlineStr">
        <is>
          <t>$166.3M</t>
        </is>
      </c>
      <c r="H1675" t="n">
        <v>8</v>
      </c>
      <c r="I1675" t="b">
        <v>0</v>
      </c>
      <c r="J1675" t="b">
        <v>1</v>
      </c>
      <c r="K1675" t="b">
        <v>0</v>
      </c>
      <c r="L1675" t="b">
        <v>0</v>
      </c>
      <c r="M1675" t="b">
        <v>0</v>
      </c>
      <c r="N1675">
        <f>IFERROR(INDEX('Company Hitlist'!$AA:$AA,MATCH(D1675,'Company Hitlist'!$A:$A,0)),)</f>
        <v/>
      </c>
      <c r="O1675">
        <f>IFERROR(INDEX('Company Hitlist'!$N:$N,MATCH(D1675,'Company Hitlist'!$A:$A,0)),)</f>
        <v/>
      </c>
      <c r="Q1675" t="inlineStr">
        <is>
          <t>todo</t>
        </is>
      </c>
    </row>
    <row r="1676">
      <c r="A1676" t="inlineStr">
        <is>
          <t>Shah Salomov</t>
        </is>
      </c>
      <c r="B1676" t="inlineStr">
        <is>
          <t>Attendee</t>
        </is>
      </c>
      <c r="C1676" t="inlineStr">
        <is>
          <t>Director of Strategic Partnerships and Procurement</t>
        </is>
      </c>
      <c r="D1676" t="inlineStr">
        <is>
          <t>Robertson Trucks LLC</t>
        </is>
      </c>
      <c r="E1676" t="inlineStr">
        <is>
          <t>United States</t>
        </is>
      </c>
      <c r="H1676" t="n">
        <v>8</v>
      </c>
      <c r="I1676" t="b">
        <v>0</v>
      </c>
      <c r="J1676" t="b">
        <v>0</v>
      </c>
      <c r="K1676" t="b">
        <v>0</v>
      </c>
      <c r="L1676" t="b">
        <v>1</v>
      </c>
      <c r="M1676" t="b">
        <v>0</v>
      </c>
      <c r="N1676">
        <f>IFERROR(INDEX('Company Hitlist'!$AA:$AA,MATCH(D1676,'Company Hitlist'!$A:$A,0)),)</f>
        <v/>
      </c>
      <c r="O1676">
        <f>IFERROR(INDEX('Company Hitlist'!$N:$N,MATCH(D1676,'Company Hitlist'!$A:$A,0)),)</f>
        <v/>
      </c>
      <c r="Q1676" t="inlineStr">
        <is>
          <t>todo</t>
        </is>
      </c>
    </row>
    <row r="1677">
      <c r="A1677" t="inlineStr">
        <is>
          <t>Anthony Jules</t>
        </is>
      </c>
      <c r="B1677" t="inlineStr">
        <is>
          <t>Sponsor</t>
        </is>
      </c>
      <c r="C1677" t="inlineStr">
        <is>
          <t>Co-Founder &amp; CEO</t>
        </is>
      </c>
      <c r="D1677" t="inlineStr">
        <is>
          <t>Robust.AI</t>
        </is>
      </c>
      <c r="E1677" t="inlineStr">
        <is>
          <t>United States</t>
        </is>
      </c>
      <c r="F1677" t="inlineStr">
        <is>
          <t>Yes</t>
        </is>
      </c>
      <c r="H1677" t="n">
        <v>8</v>
      </c>
      <c r="I1677" t="b">
        <v>0</v>
      </c>
      <c r="J1677" t="b">
        <v>1</v>
      </c>
      <c r="K1677" t="b">
        <v>0</v>
      </c>
      <c r="L1677" t="b">
        <v>0</v>
      </c>
      <c r="M1677" t="b">
        <v>0</v>
      </c>
      <c r="N1677">
        <f>IFERROR(INDEX('Company Hitlist'!$AA:$AA,MATCH(D1677,'Company Hitlist'!$A:$A,0)),)</f>
        <v/>
      </c>
      <c r="O1677">
        <f>IFERROR(INDEX('Company Hitlist'!$N:$N,MATCH(D1677,'Company Hitlist'!$A:$A,0)),)</f>
        <v/>
      </c>
      <c r="Q1677" t="inlineStr">
        <is>
          <t>todo</t>
        </is>
      </c>
    </row>
    <row r="1678">
      <c r="A1678" t="inlineStr">
        <is>
          <t>Zach Collins</t>
        </is>
      </c>
      <c r="B1678" t="inlineStr">
        <is>
          <t>Sponsor</t>
        </is>
      </c>
      <c r="C1678" t="inlineStr">
        <is>
          <t>Head of Vibes</t>
        </is>
      </c>
      <c r="D1678" t="inlineStr">
        <is>
          <t>Robust.AI</t>
        </is>
      </c>
      <c r="E1678" t="inlineStr">
        <is>
          <t>United States</t>
        </is>
      </c>
      <c r="F1678" t="inlineStr">
        <is>
          <t>Yes</t>
        </is>
      </c>
      <c r="H1678" t="n">
        <v>8</v>
      </c>
      <c r="I1678" t="b">
        <v>0</v>
      </c>
      <c r="J1678" t="b">
        <v>1</v>
      </c>
      <c r="K1678" t="b">
        <v>0</v>
      </c>
      <c r="L1678" t="b">
        <v>0</v>
      </c>
      <c r="M1678" t="b">
        <v>0</v>
      </c>
      <c r="N1678">
        <f>IFERROR(INDEX('Company Hitlist'!$AA:$AA,MATCH(D1678,'Company Hitlist'!$A:$A,0)),)</f>
        <v/>
      </c>
      <c r="O1678">
        <f>IFERROR(INDEX('Company Hitlist'!$N:$N,MATCH(D1678,'Company Hitlist'!$A:$A,0)),)</f>
        <v/>
      </c>
      <c r="Q1678" t="inlineStr">
        <is>
          <t>todo</t>
        </is>
      </c>
    </row>
    <row r="1679">
      <c r="A1679" t="inlineStr">
        <is>
          <t>Kyle Detwiler</t>
        </is>
      </c>
      <c r="B1679" t="inlineStr">
        <is>
          <t>Sponsor</t>
        </is>
      </c>
      <c r="C1679" t="inlineStr">
        <is>
          <t>Head of Solutions</t>
        </is>
      </c>
      <c r="D1679" t="inlineStr">
        <is>
          <t>Robust.AI</t>
        </is>
      </c>
      <c r="F1679" t="inlineStr">
        <is>
          <t>Yes</t>
        </is>
      </c>
      <c r="H1679" t="n">
        <v>8</v>
      </c>
      <c r="I1679" t="b">
        <v>0</v>
      </c>
      <c r="J1679" t="b">
        <v>1</v>
      </c>
      <c r="K1679" t="b">
        <v>0</v>
      </c>
      <c r="L1679" t="b">
        <v>0</v>
      </c>
      <c r="M1679" t="b">
        <v>0</v>
      </c>
      <c r="N1679">
        <f>IFERROR(INDEX('Company Hitlist'!$AA:$AA,MATCH(D1679,'Company Hitlist'!$A:$A,0)),)</f>
        <v/>
      </c>
      <c r="O1679">
        <f>IFERROR(INDEX('Company Hitlist'!$N:$N,MATCH(D1679,'Company Hitlist'!$A:$A,0)),)</f>
        <v/>
      </c>
      <c r="Q1679" t="inlineStr">
        <is>
          <t>todo</t>
        </is>
      </c>
    </row>
    <row r="1680">
      <c r="A1680" t="inlineStr">
        <is>
          <t>Rebecca Molstad</t>
        </is>
      </c>
      <c r="B1680" t="inlineStr">
        <is>
          <t>Sponsor</t>
        </is>
      </c>
      <c r="C1680" t="inlineStr">
        <is>
          <t>VP of Solutions &amp; Services</t>
        </is>
      </c>
      <c r="D1680" t="inlineStr">
        <is>
          <t>Rygen Technologies</t>
        </is>
      </c>
      <c r="E1680" t="inlineStr">
        <is>
          <t>United States</t>
        </is>
      </c>
      <c r="F1680" t="inlineStr">
        <is>
          <t>Yes</t>
        </is>
      </c>
      <c r="H1680" t="n">
        <v>8</v>
      </c>
      <c r="I1680" t="b">
        <v>0</v>
      </c>
      <c r="J1680" t="b">
        <v>1</v>
      </c>
      <c r="K1680" t="b">
        <v>0</v>
      </c>
      <c r="L1680" t="b">
        <v>0</v>
      </c>
      <c r="M1680" t="b">
        <v>0</v>
      </c>
      <c r="N1680">
        <f>IFERROR(INDEX('Company Hitlist'!$AA:$AA,MATCH(D1680,'Company Hitlist'!$A:$A,0)),)</f>
        <v/>
      </c>
      <c r="O1680">
        <f>IFERROR(INDEX('Company Hitlist'!$N:$N,MATCH(D1680,'Company Hitlist'!$A:$A,0)),)</f>
        <v/>
      </c>
      <c r="Q1680" t="inlineStr">
        <is>
          <t>todo</t>
        </is>
      </c>
    </row>
    <row r="1681">
      <c r="A1681" t="inlineStr">
        <is>
          <t>Tony Winters</t>
        </is>
      </c>
      <c r="B1681" t="inlineStr">
        <is>
          <t>Sponsor</t>
        </is>
      </c>
      <c r="C1681" t="inlineStr">
        <is>
          <t>CTO</t>
        </is>
      </c>
      <c r="D1681" t="inlineStr">
        <is>
          <t>Rygen Technologies</t>
        </is>
      </c>
      <c r="E1681" t="inlineStr">
        <is>
          <t>United States</t>
        </is>
      </c>
      <c r="F1681" t="inlineStr">
        <is>
          <t>Yes</t>
        </is>
      </c>
      <c r="H1681" t="n">
        <v>8</v>
      </c>
      <c r="I1681" t="b">
        <v>0</v>
      </c>
      <c r="J1681" t="b">
        <v>1</v>
      </c>
      <c r="K1681" t="b">
        <v>0</v>
      </c>
      <c r="L1681" t="b">
        <v>0</v>
      </c>
      <c r="M1681" t="b">
        <v>0</v>
      </c>
      <c r="N1681">
        <f>IFERROR(INDEX('Company Hitlist'!$AA:$AA,MATCH(D1681,'Company Hitlist'!$A:$A,0)),)</f>
        <v/>
      </c>
      <c r="O1681">
        <f>IFERROR(INDEX('Company Hitlist'!$N:$N,MATCH(D1681,'Company Hitlist'!$A:$A,0)),)</f>
        <v/>
      </c>
      <c r="Q1681" t="inlineStr">
        <is>
          <t>todo</t>
        </is>
      </c>
    </row>
    <row r="1682">
      <c r="A1682" t="inlineStr">
        <is>
          <t>Warren Patterson</t>
        </is>
      </c>
      <c r="B1682" t="inlineStr">
        <is>
          <t>Sponsor</t>
        </is>
      </c>
      <c r="C1682" t="inlineStr">
        <is>
          <t>CEO</t>
        </is>
      </c>
      <c r="D1682" t="inlineStr">
        <is>
          <t>Rygen Technologies</t>
        </is>
      </c>
      <c r="E1682" t="inlineStr">
        <is>
          <t>United States</t>
        </is>
      </c>
      <c r="F1682" t="inlineStr">
        <is>
          <t>Yes</t>
        </is>
      </c>
      <c r="H1682" t="n">
        <v>8</v>
      </c>
      <c r="I1682" t="b">
        <v>0</v>
      </c>
      <c r="J1682" t="b">
        <v>1</v>
      </c>
      <c r="K1682" t="b">
        <v>0</v>
      </c>
      <c r="L1682" t="b">
        <v>0</v>
      </c>
      <c r="M1682" t="b">
        <v>0</v>
      </c>
      <c r="N1682">
        <f>IFERROR(INDEX('Company Hitlist'!$AA:$AA,MATCH(D1682,'Company Hitlist'!$A:$A,0)),)</f>
        <v/>
      </c>
      <c r="O1682">
        <f>IFERROR(INDEX('Company Hitlist'!$N:$N,MATCH(D1682,'Company Hitlist'!$A:$A,0)),)</f>
        <v/>
      </c>
      <c r="Q1682" t="inlineStr">
        <is>
          <t>todo</t>
        </is>
      </c>
    </row>
    <row r="1683">
      <c r="A1683" t="inlineStr">
        <is>
          <t>Seungpyo Hong</t>
        </is>
      </c>
      <c r="B1683" t="inlineStr">
        <is>
          <t>Sponsor</t>
        </is>
      </c>
      <c r="C1683" t="inlineStr">
        <is>
          <t>Head of Business Team</t>
        </is>
      </c>
      <c r="D1683" t="inlineStr">
        <is>
          <t>SAMSUNG SDS</t>
        </is>
      </c>
      <c r="E1683" t="inlineStr">
        <is>
          <t>United States</t>
        </is>
      </c>
      <c r="F1683" t="inlineStr">
        <is>
          <t>Yes</t>
        </is>
      </c>
      <c r="G1683" t="inlineStr">
        <is>
          <t>$14B (2025 est.)</t>
        </is>
      </c>
      <c r="H1683" t="n">
        <v>8</v>
      </c>
      <c r="I1683" t="b">
        <v>0</v>
      </c>
      <c r="J1683" t="b">
        <v>1</v>
      </c>
      <c r="K1683" t="b">
        <v>0</v>
      </c>
      <c r="L1683" t="b">
        <v>0</v>
      </c>
      <c r="M1683" t="b">
        <v>0</v>
      </c>
      <c r="N1683">
        <f>IFERROR(INDEX('Company Hitlist'!$AA:$AA,MATCH(D1683,'Company Hitlist'!$A:$A,0)),)</f>
        <v/>
      </c>
      <c r="O1683">
        <f>IFERROR(INDEX('Company Hitlist'!$N:$N,MATCH(D1683,'Company Hitlist'!$A:$A,0)),)</f>
        <v/>
      </c>
      <c r="Q1683" t="inlineStr">
        <is>
          <t>todo</t>
        </is>
      </c>
    </row>
    <row r="1684">
      <c r="A1684" t="inlineStr">
        <is>
          <t>Sungju Kim</t>
        </is>
      </c>
      <c r="B1684" t="inlineStr">
        <is>
          <t>Sponsor</t>
        </is>
      </c>
      <c r="C1684" t="inlineStr">
        <is>
          <t>Vice President</t>
        </is>
      </c>
      <c r="D1684" t="inlineStr">
        <is>
          <t>SAMSUNG SDS</t>
        </is>
      </c>
      <c r="E1684" t="inlineStr">
        <is>
          <t>United States</t>
        </is>
      </c>
      <c r="F1684" t="inlineStr">
        <is>
          <t>Yes</t>
        </is>
      </c>
      <c r="G1684" t="inlineStr">
        <is>
          <t>$14B (2025 est.)</t>
        </is>
      </c>
      <c r="H1684" t="n">
        <v>8</v>
      </c>
      <c r="I1684" t="b">
        <v>0</v>
      </c>
      <c r="J1684" t="b">
        <v>1</v>
      </c>
      <c r="K1684" t="b">
        <v>0</v>
      </c>
      <c r="L1684" t="b">
        <v>0</v>
      </c>
      <c r="M1684" t="b">
        <v>0</v>
      </c>
      <c r="N1684">
        <f>IFERROR(INDEX('Company Hitlist'!$AA:$AA,MATCH(D1684,'Company Hitlist'!$A:$A,0)),)</f>
        <v/>
      </c>
      <c r="O1684">
        <f>IFERROR(INDEX('Company Hitlist'!$N:$N,MATCH(D1684,'Company Hitlist'!$A:$A,0)),)</f>
        <v/>
      </c>
      <c r="Q1684" t="inlineStr">
        <is>
          <t>todo</t>
        </is>
      </c>
    </row>
    <row r="1685">
      <c r="A1685" t="inlineStr">
        <is>
          <t>Jihyun Lim</t>
        </is>
      </c>
      <c r="B1685" t="inlineStr">
        <is>
          <t>Sponsor</t>
        </is>
      </c>
      <c r="C1685" t="inlineStr">
        <is>
          <t>Vice President</t>
        </is>
      </c>
      <c r="D1685" t="inlineStr">
        <is>
          <t>SAMSUNG SDS</t>
        </is>
      </c>
      <c r="F1685" t="inlineStr">
        <is>
          <t>Yes</t>
        </is>
      </c>
      <c r="G1685" t="inlineStr">
        <is>
          <t>$14B (2025 est.)</t>
        </is>
      </c>
      <c r="H1685" t="n">
        <v>8</v>
      </c>
      <c r="I1685" t="b">
        <v>0</v>
      </c>
      <c r="J1685" t="b">
        <v>1</v>
      </c>
      <c r="K1685" t="b">
        <v>0</v>
      </c>
      <c r="L1685" t="b">
        <v>0</v>
      </c>
      <c r="M1685" t="b">
        <v>0</v>
      </c>
      <c r="N1685">
        <f>IFERROR(INDEX('Company Hitlist'!$AA:$AA,MATCH(D1685,'Company Hitlist'!$A:$A,0)),)</f>
        <v/>
      </c>
      <c r="O1685">
        <f>IFERROR(INDEX('Company Hitlist'!$N:$N,MATCH(D1685,'Company Hitlist'!$A:$A,0)),)</f>
        <v/>
      </c>
      <c r="Q1685" t="inlineStr">
        <is>
          <t>todo</t>
        </is>
      </c>
    </row>
    <row r="1686">
      <c r="A1686" t="inlineStr">
        <is>
          <t>Sunggon Kim</t>
        </is>
      </c>
      <c r="B1686" t="inlineStr">
        <is>
          <t>Sponsor</t>
        </is>
      </c>
      <c r="C1686" t="inlineStr">
        <is>
          <t>Vice President</t>
        </is>
      </c>
      <c r="D1686" t="inlineStr">
        <is>
          <t>SAMSUNG SDS</t>
        </is>
      </c>
      <c r="F1686" t="inlineStr">
        <is>
          <t>Yes</t>
        </is>
      </c>
      <c r="G1686" t="inlineStr">
        <is>
          <t>$14B (2025 est.)</t>
        </is>
      </c>
      <c r="H1686" t="n">
        <v>8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>
        <f>IFERROR(INDEX('Company Hitlist'!$AA:$AA,MATCH(D1686,'Company Hitlist'!$A:$A,0)),)</f>
        <v/>
      </c>
      <c r="O1686">
        <f>IFERROR(INDEX('Company Hitlist'!$N:$N,MATCH(D1686,'Company Hitlist'!$A:$A,0)),)</f>
        <v/>
      </c>
      <c r="Q1686" t="inlineStr">
        <is>
          <t>todo</t>
        </is>
      </c>
    </row>
    <row r="1687">
      <c r="A1687" t="inlineStr">
        <is>
          <t>Kooil O</t>
        </is>
      </c>
      <c r="B1687" t="inlineStr">
        <is>
          <t>Sponsor</t>
        </is>
      </c>
      <c r="C1687" t="inlineStr">
        <is>
          <t>Executive Vice President</t>
        </is>
      </c>
      <c r="D1687" t="inlineStr">
        <is>
          <t>SAMSUNG SDS</t>
        </is>
      </c>
      <c r="H1687" t="n">
        <v>8</v>
      </c>
      <c r="I1687" t="b">
        <v>0</v>
      </c>
      <c r="J1687" t="b">
        <v>1</v>
      </c>
      <c r="K1687" t="b">
        <v>0</v>
      </c>
      <c r="L1687" t="b">
        <v>0</v>
      </c>
      <c r="M1687" t="b">
        <v>0</v>
      </c>
      <c r="N1687">
        <f>IFERROR(INDEX('Company Hitlist'!$AA:$AA,MATCH(D1687,'Company Hitlist'!$A:$A,0)),)</f>
        <v/>
      </c>
      <c r="O1687">
        <f>IFERROR(INDEX('Company Hitlist'!$N:$N,MATCH(D1687,'Company Hitlist'!$A:$A,0)),)</f>
        <v/>
      </c>
      <c r="Q1687" t="inlineStr">
        <is>
          <t>todo</t>
        </is>
      </c>
    </row>
    <row r="1688">
      <c r="A1688" t="inlineStr">
        <is>
          <t>Manik Sachdeva</t>
        </is>
      </c>
      <c r="B1688" t="inlineStr">
        <is>
          <t>Sponsor</t>
        </is>
      </c>
      <c r="C1688" t="inlineStr">
        <is>
          <t>President &amp; Co-Founder</t>
        </is>
      </c>
      <c r="D1688" t="inlineStr">
        <is>
          <t>SEAIR Global Inc.</t>
        </is>
      </c>
      <c r="E1688" t="inlineStr">
        <is>
          <t>United States</t>
        </is>
      </c>
      <c r="F1688" t="inlineStr">
        <is>
          <t>Yes</t>
        </is>
      </c>
      <c r="H1688" t="n">
        <v>8</v>
      </c>
      <c r="I1688" t="b">
        <v>0</v>
      </c>
      <c r="J1688" t="b">
        <v>1</v>
      </c>
      <c r="K1688" t="b">
        <v>0</v>
      </c>
      <c r="L1688" t="b">
        <v>0</v>
      </c>
      <c r="M1688" t="b">
        <v>0</v>
      </c>
      <c r="N1688">
        <f>IFERROR(INDEX('Company Hitlist'!$AA:$AA,MATCH(D1688,'Company Hitlist'!$A:$A,0)),)</f>
        <v/>
      </c>
      <c r="O1688">
        <f>IFERROR(INDEX('Company Hitlist'!$N:$N,MATCH(D1688,'Company Hitlist'!$A:$A,0)),)</f>
        <v/>
      </c>
      <c r="Q1688" t="inlineStr">
        <is>
          <t>todo</t>
        </is>
      </c>
    </row>
    <row r="1689">
      <c r="A1689" t="inlineStr">
        <is>
          <t>Brock McMorris</t>
        </is>
      </c>
      <c r="B1689" t="inlineStr">
        <is>
          <t>Sponsor</t>
        </is>
      </c>
      <c r="C1689" t="inlineStr">
        <is>
          <t>Vice President, Global Strategic Clients</t>
        </is>
      </c>
      <c r="D1689" t="inlineStr">
        <is>
          <t>SEKO Logistics</t>
        </is>
      </c>
      <c r="F1689" t="inlineStr">
        <is>
          <t>Yes</t>
        </is>
      </c>
      <c r="G1689" t="inlineStr">
        <is>
          <t>2000000000</t>
        </is>
      </c>
      <c r="H1689" t="n">
        <v>8</v>
      </c>
      <c r="I1689" t="b">
        <v>0</v>
      </c>
      <c r="J1689" t="b">
        <v>1</v>
      </c>
      <c r="K1689" t="b">
        <v>0</v>
      </c>
      <c r="L1689" t="b">
        <v>0</v>
      </c>
      <c r="M1689" t="b">
        <v>0</v>
      </c>
      <c r="N1689">
        <f>IFERROR(INDEX('Company Hitlist'!$AA:$AA,MATCH(D1689,'Company Hitlist'!$A:$A,0)),)</f>
        <v/>
      </c>
      <c r="O1689">
        <f>IFERROR(INDEX('Company Hitlist'!$N:$N,MATCH(D1689,'Company Hitlist'!$A:$A,0)),)</f>
        <v/>
      </c>
      <c r="Q1689" t="inlineStr">
        <is>
          <t>todo</t>
        </is>
      </c>
    </row>
    <row r="1690">
      <c r="A1690" t="inlineStr">
        <is>
          <t>Jamie Andrade</t>
        </is>
      </c>
      <c r="B1690" t="inlineStr">
        <is>
          <t>Sponsor</t>
        </is>
      </c>
      <c r="C1690" t="inlineStr">
        <is>
          <t>SVP, Product Management</t>
        </is>
      </c>
      <c r="D1690" t="inlineStr">
        <is>
          <t>SEKO Logistics</t>
        </is>
      </c>
      <c r="F1690" t="inlineStr">
        <is>
          <t>Yes</t>
        </is>
      </c>
      <c r="G1690" t="inlineStr">
        <is>
          <t>2000000000</t>
        </is>
      </c>
      <c r="H1690" t="n">
        <v>8</v>
      </c>
      <c r="I1690" t="b">
        <v>0</v>
      </c>
      <c r="J1690" t="b">
        <v>1</v>
      </c>
      <c r="K1690" t="b">
        <v>0</v>
      </c>
      <c r="L1690" t="b">
        <v>0</v>
      </c>
      <c r="M1690" t="b">
        <v>0</v>
      </c>
      <c r="N1690">
        <f>IFERROR(INDEX('Company Hitlist'!$AA:$AA,MATCH(D1690,'Company Hitlist'!$A:$A,0)),)</f>
        <v/>
      </c>
      <c r="O1690">
        <f>IFERROR(INDEX('Company Hitlist'!$N:$N,MATCH(D1690,'Company Hitlist'!$A:$A,0)),)</f>
        <v/>
      </c>
      <c r="Q1690" t="inlineStr">
        <is>
          <t>todo</t>
        </is>
      </c>
    </row>
    <row r="1691">
      <c r="A1691" t="inlineStr">
        <is>
          <t>Gaurav Goomer</t>
        </is>
      </c>
      <c r="B1691" t="inlineStr">
        <is>
          <t>Sponsor</t>
        </is>
      </c>
      <c r="C1691" t="inlineStr">
        <is>
          <t>CEO</t>
        </is>
      </c>
      <c r="D1691" t="inlineStr">
        <is>
          <t>SGLabs: QicSCan AI</t>
        </is>
      </c>
      <c r="E1691" t="inlineStr">
        <is>
          <t>United States</t>
        </is>
      </c>
      <c r="F1691" t="inlineStr">
        <is>
          <t>Yes</t>
        </is>
      </c>
      <c r="H1691" t="n">
        <v>8</v>
      </c>
      <c r="I1691" t="b">
        <v>0</v>
      </c>
      <c r="J1691" t="b">
        <v>1</v>
      </c>
      <c r="K1691" t="b">
        <v>0</v>
      </c>
      <c r="L1691" t="b">
        <v>0</v>
      </c>
      <c r="M1691" t="b">
        <v>0</v>
      </c>
      <c r="N1691">
        <f>IFERROR(INDEX('Company Hitlist'!$AA:$AA,MATCH(D1691,'Company Hitlist'!$A:$A,0)),)</f>
        <v/>
      </c>
      <c r="O1691">
        <f>IFERROR(INDEX('Company Hitlist'!$N:$N,MATCH(D1691,'Company Hitlist'!$A:$A,0)),)</f>
        <v/>
      </c>
      <c r="Q1691" t="inlineStr">
        <is>
          <t>todo</t>
        </is>
      </c>
    </row>
    <row r="1692">
      <c r="A1692" t="inlineStr">
        <is>
          <t>Mario Ghosn</t>
        </is>
      </c>
      <c r="B1692" t="inlineStr">
        <is>
          <t>Sponsor</t>
        </is>
      </c>
      <c r="C1692" t="inlineStr">
        <is>
          <t>CEO</t>
        </is>
      </c>
      <c r="D1692" t="inlineStr">
        <is>
          <t>SNS</t>
        </is>
      </c>
      <c r="H1692" t="n">
        <v>8</v>
      </c>
      <c r="I1692" t="b">
        <v>0</v>
      </c>
      <c r="J1692" t="b">
        <v>1</v>
      </c>
      <c r="K1692" t="b">
        <v>0</v>
      </c>
      <c r="L1692" t="b">
        <v>0</v>
      </c>
      <c r="M1692" t="b">
        <v>0</v>
      </c>
      <c r="N1692">
        <f>IFERROR(INDEX('Company Hitlist'!$AA:$AA,MATCH(D1692,'Company Hitlist'!$A:$A,0)),)</f>
        <v/>
      </c>
      <c r="O1692">
        <f>IFERROR(INDEX('Company Hitlist'!$N:$N,MATCH(D1692,'Company Hitlist'!$A:$A,0)),)</f>
        <v/>
      </c>
      <c r="Q1692" t="inlineStr">
        <is>
          <t>todo</t>
        </is>
      </c>
    </row>
    <row r="1693">
      <c r="A1693" t="inlineStr">
        <is>
          <t>Briana Birkholz</t>
        </is>
      </c>
      <c r="B1693" t="inlineStr">
        <is>
          <t>Sponsor</t>
        </is>
      </c>
      <c r="C1693" t="inlineStr">
        <is>
          <t>VP, Product Management</t>
        </is>
      </c>
      <c r="D1693" t="inlineStr">
        <is>
          <t>SPS Commerce</t>
        </is>
      </c>
      <c r="E1693" t="inlineStr">
        <is>
          <t>United States</t>
        </is>
      </c>
      <c r="F1693" t="inlineStr">
        <is>
          <t>Yes</t>
        </is>
      </c>
      <c r="H1693" t="n">
        <v>8</v>
      </c>
      <c r="I1693" t="b">
        <v>0</v>
      </c>
      <c r="J1693" t="b">
        <v>1</v>
      </c>
      <c r="K1693" t="b">
        <v>0</v>
      </c>
      <c r="L1693" t="b">
        <v>0</v>
      </c>
      <c r="M1693" t="b">
        <v>0</v>
      </c>
      <c r="N1693">
        <f>IFERROR(INDEX('Company Hitlist'!$AA:$AA,MATCH(D1693,'Company Hitlist'!$A:$A,0)),)</f>
        <v/>
      </c>
      <c r="O1693">
        <f>IFERROR(INDEX('Company Hitlist'!$N:$N,MATCH(D1693,'Company Hitlist'!$A:$A,0)),)</f>
        <v/>
      </c>
      <c r="Q1693" t="inlineStr">
        <is>
          <t>todo</t>
        </is>
      </c>
    </row>
    <row r="1694">
      <c r="A1694" t="inlineStr">
        <is>
          <t>Gene Song</t>
        </is>
      </c>
      <c r="B1694" t="inlineStr">
        <is>
          <t>Sponsor</t>
        </is>
      </c>
      <c r="C1694" t="inlineStr">
        <is>
          <t>CEO</t>
        </is>
      </c>
      <c r="D1694" t="inlineStr">
        <is>
          <t>SeaVantage Co. Ltd</t>
        </is>
      </c>
      <c r="F1694" t="inlineStr">
        <is>
          <t>Yes</t>
        </is>
      </c>
      <c r="H1694" t="n">
        <v>8</v>
      </c>
      <c r="I1694" t="b">
        <v>0</v>
      </c>
      <c r="J1694" t="b">
        <v>1</v>
      </c>
      <c r="K1694" t="b">
        <v>0</v>
      </c>
      <c r="L1694" t="b">
        <v>0</v>
      </c>
      <c r="M1694" t="b">
        <v>0</v>
      </c>
      <c r="N1694">
        <f>IFERROR(INDEX('Company Hitlist'!$AA:$AA,MATCH(D1694,'Company Hitlist'!$A:$A,0)),)</f>
        <v/>
      </c>
      <c r="O1694">
        <f>IFERROR(INDEX('Company Hitlist'!$N:$N,MATCH(D1694,'Company Hitlist'!$A:$A,0)),)</f>
        <v/>
      </c>
      <c r="Q1694" t="inlineStr">
        <is>
          <t>todo</t>
        </is>
      </c>
    </row>
    <row r="1695">
      <c r="A1695" t="inlineStr">
        <is>
          <t>Steve Logue</t>
        </is>
      </c>
      <c r="B1695" t="inlineStr">
        <is>
          <t>Sponsor</t>
        </is>
      </c>
      <c r="C1695" t="inlineStr">
        <is>
          <t>General Manager</t>
        </is>
      </c>
      <c r="D1695" t="inlineStr">
        <is>
          <t>Sensolus</t>
        </is>
      </c>
      <c r="H1695" t="n">
        <v>8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  <c r="N1695">
        <f>IFERROR(INDEX('Company Hitlist'!$AA:$AA,MATCH(D1695,'Company Hitlist'!$A:$A,0)),)</f>
        <v/>
      </c>
      <c r="O1695">
        <f>IFERROR(INDEX('Company Hitlist'!$N:$N,MATCH(D1695,'Company Hitlist'!$A:$A,0)),)</f>
        <v/>
      </c>
      <c r="Q1695" t="inlineStr">
        <is>
          <t>todo</t>
        </is>
      </c>
    </row>
    <row r="1696">
      <c r="A1696" t="inlineStr">
        <is>
          <t>Raffy Wreschner</t>
        </is>
      </c>
      <c r="B1696" t="inlineStr">
        <is>
          <t>Sponsor</t>
        </is>
      </c>
      <c r="C1696" t="inlineStr">
        <is>
          <t>CFO</t>
        </is>
      </c>
      <c r="D1696" t="inlineStr">
        <is>
          <t>Sensos</t>
        </is>
      </c>
      <c r="E1696" t="inlineStr">
        <is>
          <t>United States</t>
        </is>
      </c>
      <c r="F1696" t="inlineStr">
        <is>
          <t>Yes</t>
        </is>
      </c>
      <c r="H1696" t="n">
        <v>8</v>
      </c>
      <c r="I1696" t="b">
        <v>0</v>
      </c>
      <c r="J1696" t="b">
        <v>1</v>
      </c>
      <c r="K1696" t="b">
        <v>0</v>
      </c>
      <c r="L1696" t="b">
        <v>0</v>
      </c>
      <c r="M1696" t="b">
        <v>0</v>
      </c>
      <c r="N1696">
        <f>IFERROR(INDEX('Company Hitlist'!$AA:$AA,MATCH(D1696,'Company Hitlist'!$A:$A,0)),)</f>
        <v/>
      </c>
      <c r="O1696">
        <f>IFERROR(INDEX('Company Hitlist'!$N:$N,MATCH(D1696,'Company Hitlist'!$A:$A,0)),)</f>
        <v/>
      </c>
      <c r="Q1696" t="inlineStr">
        <is>
          <t>todo</t>
        </is>
      </c>
    </row>
    <row r="1697">
      <c r="A1697" t="inlineStr">
        <is>
          <t>William Blake</t>
        </is>
      </c>
      <c r="B1697" t="inlineStr">
        <is>
          <t>Sponsor</t>
        </is>
      </c>
      <c r="C1697" t="inlineStr">
        <is>
          <t>Head of Software Product</t>
        </is>
      </c>
      <c r="D1697" t="inlineStr">
        <is>
          <t>Sensos</t>
        </is>
      </c>
      <c r="E1697" t="inlineStr">
        <is>
          <t>United States</t>
        </is>
      </c>
      <c r="F1697" t="inlineStr">
        <is>
          <t>Yes</t>
        </is>
      </c>
      <c r="H1697" t="n">
        <v>8</v>
      </c>
      <c r="I1697" t="b">
        <v>0</v>
      </c>
      <c r="J1697" t="b">
        <v>1</v>
      </c>
      <c r="K1697" t="b">
        <v>0</v>
      </c>
      <c r="L1697" t="b">
        <v>0</v>
      </c>
      <c r="M1697" t="b">
        <v>0</v>
      </c>
      <c r="N1697">
        <f>IFERROR(INDEX('Company Hitlist'!$AA:$AA,MATCH(D1697,'Company Hitlist'!$A:$A,0)),)</f>
        <v/>
      </c>
      <c r="O1697">
        <f>IFERROR(INDEX('Company Hitlist'!$N:$N,MATCH(D1697,'Company Hitlist'!$A:$A,0)),)</f>
        <v/>
      </c>
      <c r="Q1697" t="inlineStr">
        <is>
          <t>todo</t>
        </is>
      </c>
    </row>
    <row r="1698">
      <c r="A1698" t="inlineStr">
        <is>
          <t>Yair Ripshtos</t>
        </is>
      </c>
      <c r="B1698" t="inlineStr">
        <is>
          <t>Sponsor</t>
        </is>
      </c>
      <c r="C1698" t="inlineStr">
        <is>
          <t>CTO</t>
        </is>
      </c>
      <c r="D1698" t="inlineStr">
        <is>
          <t>Sensos</t>
        </is>
      </c>
      <c r="E1698" t="inlineStr">
        <is>
          <t>United States</t>
        </is>
      </c>
      <c r="F1698" t="inlineStr">
        <is>
          <t>Yes</t>
        </is>
      </c>
      <c r="H1698" t="n">
        <v>8</v>
      </c>
      <c r="I1698" t="b">
        <v>0</v>
      </c>
      <c r="J1698" t="b">
        <v>1</v>
      </c>
      <c r="K1698" t="b">
        <v>0</v>
      </c>
      <c r="L1698" t="b">
        <v>0</v>
      </c>
      <c r="M1698" t="b">
        <v>0</v>
      </c>
      <c r="N1698">
        <f>IFERROR(INDEX('Company Hitlist'!$AA:$AA,MATCH(D1698,'Company Hitlist'!$A:$A,0)),)</f>
        <v/>
      </c>
      <c r="O1698">
        <f>IFERROR(INDEX('Company Hitlist'!$N:$N,MATCH(D1698,'Company Hitlist'!$A:$A,0)),)</f>
        <v/>
      </c>
      <c r="Q1698" t="inlineStr">
        <is>
          <t>todo</t>
        </is>
      </c>
    </row>
    <row r="1699">
      <c r="A1699" t="inlineStr">
        <is>
          <t>Aviv Castro</t>
        </is>
      </c>
      <c r="B1699" t="inlineStr">
        <is>
          <t>Sponsor</t>
        </is>
      </c>
      <c r="C1699" t="inlineStr">
        <is>
          <t>CEO</t>
        </is>
      </c>
      <c r="D1699" t="inlineStr">
        <is>
          <t>Sensos</t>
        </is>
      </c>
      <c r="F1699" t="inlineStr">
        <is>
          <t>Yes</t>
        </is>
      </c>
      <c r="H1699" t="n">
        <v>8</v>
      </c>
      <c r="I1699" t="b">
        <v>0</v>
      </c>
      <c r="J1699" t="b">
        <v>1</v>
      </c>
      <c r="K1699" t="b">
        <v>0</v>
      </c>
      <c r="L1699" t="b">
        <v>0</v>
      </c>
      <c r="M1699" t="b">
        <v>0</v>
      </c>
      <c r="N1699">
        <f>IFERROR(INDEX('Company Hitlist'!$AA:$AA,MATCH(D1699,'Company Hitlist'!$A:$A,0)),)</f>
        <v/>
      </c>
      <c r="O1699">
        <f>IFERROR(INDEX('Company Hitlist'!$N:$N,MATCH(D1699,'Company Hitlist'!$A:$A,0)),)</f>
        <v/>
      </c>
      <c r="Q1699" t="inlineStr">
        <is>
          <t>todo</t>
        </is>
      </c>
    </row>
    <row r="1700">
      <c r="A1700" t="inlineStr">
        <is>
          <t>Christine Dochod</t>
        </is>
      </c>
      <c r="B1700" t="inlineStr">
        <is>
          <t>Attendee</t>
        </is>
      </c>
      <c r="C1700" t="inlineStr">
        <is>
          <t>North America Director of Purchasing</t>
        </is>
      </c>
      <c r="D1700" t="inlineStr">
        <is>
          <t>Shape Corp</t>
        </is>
      </c>
      <c r="H1700" t="n">
        <v>8</v>
      </c>
      <c r="I1700" t="b">
        <v>0</v>
      </c>
      <c r="J1700" t="b">
        <v>0</v>
      </c>
      <c r="K1700" t="b">
        <v>0</v>
      </c>
      <c r="L1700" t="b">
        <v>1</v>
      </c>
      <c r="M1700" t="b">
        <v>0</v>
      </c>
      <c r="N1700">
        <f>IFERROR(INDEX('Company Hitlist'!$AA:$AA,MATCH(D1700,'Company Hitlist'!$A:$A,0)),)</f>
        <v/>
      </c>
      <c r="O1700">
        <f>IFERROR(INDEX('Company Hitlist'!$N:$N,MATCH(D1700,'Company Hitlist'!$A:$A,0)),)</f>
        <v/>
      </c>
      <c r="Q1700" t="inlineStr">
        <is>
          <t>todo</t>
        </is>
      </c>
    </row>
    <row r="1701">
      <c r="A1701" t="inlineStr">
        <is>
          <t>Ryan Polley</t>
        </is>
      </c>
      <c r="B1701" t="inlineStr">
        <is>
          <t>Sponsor</t>
        </is>
      </c>
      <c r="C1701" t="inlineStr">
        <is>
          <t>EVP of Innovation</t>
        </is>
      </c>
      <c r="D1701" t="inlineStr">
        <is>
          <t>Sharetown</t>
        </is>
      </c>
      <c r="F1701" t="inlineStr">
        <is>
          <t>Yes</t>
        </is>
      </c>
      <c r="H1701" t="n">
        <v>8</v>
      </c>
      <c r="I1701" t="b">
        <v>0</v>
      </c>
      <c r="J1701" t="b">
        <v>1</v>
      </c>
      <c r="K1701" t="b">
        <v>0</v>
      </c>
      <c r="L1701" t="b">
        <v>0</v>
      </c>
      <c r="M1701" t="b">
        <v>0</v>
      </c>
      <c r="N1701">
        <f>IFERROR(INDEX('Company Hitlist'!$AA:$AA,MATCH(D1701,'Company Hitlist'!$A:$A,0)),)</f>
        <v/>
      </c>
      <c r="O1701">
        <f>IFERROR(INDEX('Company Hitlist'!$N:$N,MATCH(D1701,'Company Hitlist'!$A:$A,0)),)</f>
        <v/>
      </c>
      <c r="Q1701" t="inlineStr">
        <is>
          <t>todo</t>
        </is>
      </c>
    </row>
    <row r="1702">
      <c r="A1702" t="inlineStr">
        <is>
          <t>Austin Lewis</t>
        </is>
      </c>
      <c r="B1702" t="inlineStr">
        <is>
          <t>Sponsor</t>
        </is>
      </c>
      <c r="C1702" t="inlineStr">
        <is>
          <t>CEO</t>
        </is>
      </c>
      <c r="D1702" t="inlineStr">
        <is>
          <t>ShipTime</t>
        </is>
      </c>
      <c r="E1702" t="inlineStr">
        <is>
          <t>Canada</t>
        </is>
      </c>
      <c r="F1702" t="inlineStr">
        <is>
          <t>Yes</t>
        </is>
      </c>
      <c r="G1702" t="inlineStr">
        <is>
          <t>&lt;$5 million (2025)</t>
        </is>
      </c>
      <c r="H1702" t="n">
        <v>8</v>
      </c>
      <c r="I1702" t="b">
        <v>0</v>
      </c>
      <c r="J1702" t="b">
        <v>1</v>
      </c>
      <c r="K1702" t="b">
        <v>0</v>
      </c>
      <c r="L1702" t="b">
        <v>0</v>
      </c>
      <c r="M1702" t="b">
        <v>0</v>
      </c>
      <c r="N1702">
        <f>IFERROR(INDEX('Company Hitlist'!$AA:$AA,MATCH(D1702,'Company Hitlist'!$A:$A,0)),)</f>
        <v/>
      </c>
      <c r="O1702">
        <f>IFERROR(INDEX('Company Hitlist'!$N:$N,MATCH(D1702,'Company Hitlist'!$A:$A,0)),)</f>
        <v/>
      </c>
      <c r="Q1702" t="inlineStr">
        <is>
          <t>todo</t>
        </is>
      </c>
    </row>
    <row r="1703">
      <c r="A1703" t="inlineStr">
        <is>
          <t>David Scott</t>
        </is>
      </c>
      <c r="B1703" t="inlineStr">
        <is>
          <t>Sponsor</t>
        </is>
      </c>
      <c r="C1703" t="inlineStr">
        <is>
          <t>Chief Operating Officer</t>
        </is>
      </c>
      <c r="D1703" t="inlineStr">
        <is>
          <t>ShipTime</t>
        </is>
      </c>
      <c r="E1703" t="inlineStr">
        <is>
          <t>Canada</t>
        </is>
      </c>
      <c r="F1703" t="inlineStr">
        <is>
          <t>Yes</t>
        </is>
      </c>
      <c r="G1703" t="inlineStr">
        <is>
          <t>&lt;$5 million (2025)</t>
        </is>
      </c>
      <c r="H1703" t="n">
        <v>8</v>
      </c>
      <c r="I1703" t="b">
        <v>0</v>
      </c>
      <c r="J1703" t="b">
        <v>1</v>
      </c>
      <c r="K1703" t="b">
        <v>0</v>
      </c>
      <c r="L1703" t="b">
        <v>0</v>
      </c>
      <c r="M1703" t="b">
        <v>0</v>
      </c>
      <c r="N1703">
        <f>IFERROR(INDEX('Company Hitlist'!$AA:$AA,MATCH(D1703,'Company Hitlist'!$A:$A,0)),)</f>
        <v/>
      </c>
      <c r="O1703">
        <f>IFERROR(INDEX('Company Hitlist'!$N:$N,MATCH(D1703,'Company Hitlist'!$A:$A,0)),)</f>
        <v/>
      </c>
      <c r="Q1703" t="inlineStr">
        <is>
          <t>todo</t>
        </is>
      </c>
    </row>
    <row r="1704">
      <c r="A1704" t="inlineStr">
        <is>
          <t>Michael Trueman</t>
        </is>
      </c>
      <c r="B1704" t="inlineStr">
        <is>
          <t>Sponsor</t>
        </is>
      </c>
      <c r="C1704" t="inlineStr">
        <is>
          <t>President</t>
        </is>
      </c>
      <c r="D1704" t="inlineStr">
        <is>
          <t>ShipTime</t>
        </is>
      </c>
      <c r="E1704" t="inlineStr">
        <is>
          <t>Canada</t>
        </is>
      </c>
      <c r="F1704" t="inlineStr">
        <is>
          <t>Yes</t>
        </is>
      </c>
      <c r="G1704" t="inlineStr">
        <is>
          <t>&lt;$5 million (2025)</t>
        </is>
      </c>
      <c r="H1704" t="n">
        <v>8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>
        <f>IFERROR(INDEX('Company Hitlist'!$AA:$AA,MATCH(D1704,'Company Hitlist'!$A:$A,0)),)</f>
        <v/>
      </c>
      <c r="O1704">
        <f>IFERROR(INDEX('Company Hitlist'!$N:$N,MATCH(D1704,'Company Hitlist'!$A:$A,0)),)</f>
        <v/>
      </c>
      <c r="Q1704" t="inlineStr">
        <is>
          <t>todo</t>
        </is>
      </c>
    </row>
    <row r="1705">
      <c r="A1705" t="inlineStr">
        <is>
          <t>Mike Quinn</t>
        </is>
      </c>
      <c r="B1705" t="inlineStr">
        <is>
          <t>Sponsor</t>
        </is>
      </c>
      <c r="C1705" t="inlineStr">
        <is>
          <t>VP, Partnerships</t>
        </is>
      </c>
      <c r="D1705" t="inlineStr">
        <is>
          <t>Shipium</t>
        </is>
      </c>
      <c r="F1705" t="inlineStr">
        <is>
          <t>Yes</t>
        </is>
      </c>
      <c r="H1705" t="n">
        <v>8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  <c r="N1705">
        <f>IFERROR(INDEX('Company Hitlist'!$AA:$AA,MATCH(D1705,'Company Hitlist'!$A:$A,0)),)</f>
        <v/>
      </c>
      <c r="O1705">
        <f>IFERROR(INDEX('Company Hitlist'!$N:$N,MATCH(D1705,'Company Hitlist'!$A:$A,0)),)</f>
        <v/>
      </c>
      <c r="Q1705" t="inlineStr">
        <is>
          <t>todo</t>
        </is>
      </c>
    </row>
    <row r="1706">
      <c r="A1706" t="inlineStr">
        <is>
          <t>Ryan Butcher</t>
        </is>
      </c>
      <c r="B1706" t="inlineStr">
        <is>
          <t>Sponsor</t>
        </is>
      </c>
      <c r="C1706" t="inlineStr">
        <is>
          <t>President</t>
        </is>
      </c>
      <c r="D1706" t="inlineStr">
        <is>
          <t>Shiplab</t>
        </is>
      </c>
      <c r="E1706" t="inlineStr">
        <is>
          <t>United States</t>
        </is>
      </c>
      <c r="F1706" t="inlineStr">
        <is>
          <t>Yes</t>
        </is>
      </c>
      <c r="H1706" t="n">
        <v>8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  <c r="N1706">
        <f>IFERROR(INDEX('Company Hitlist'!$AA:$AA,MATCH(D1706,'Company Hitlist'!$A:$A,0)),)</f>
        <v/>
      </c>
      <c r="O1706">
        <f>IFERROR(INDEX('Company Hitlist'!$N:$N,MATCH(D1706,'Company Hitlist'!$A:$A,0)),)</f>
        <v/>
      </c>
      <c r="Q1706" t="inlineStr">
        <is>
          <t>todo</t>
        </is>
      </c>
    </row>
    <row r="1707">
      <c r="A1707" t="inlineStr">
        <is>
          <t>Christopher Mazza</t>
        </is>
      </c>
      <c r="B1707" t="inlineStr">
        <is>
          <t>Sponsor</t>
        </is>
      </c>
      <c r="C1707" t="inlineStr">
        <is>
          <t>SVP &amp; GM - Americas &amp; APAC</t>
        </is>
      </c>
      <c r="D1707" t="inlineStr">
        <is>
          <t>Shippeo</t>
        </is>
      </c>
      <c r="E1707" t="inlineStr">
        <is>
          <t>France</t>
        </is>
      </c>
      <c r="F1707" t="inlineStr">
        <is>
          <t>Yes</t>
        </is>
      </c>
      <c r="G1707" t="inlineStr">
        <is>
          <t>15000000</t>
        </is>
      </c>
      <c r="H1707" t="n">
        <v>8</v>
      </c>
      <c r="I1707" t="b">
        <v>0</v>
      </c>
      <c r="J1707" t="b">
        <v>1</v>
      </c>
      <c r="K1707" t="b">
        <v>0</v>
      </c>
      <c r="L1707" t="b">
        <v>0</v>
      </c>
      <c r="M1707" t="b">
        <v>0</v>
      </c>
      <c r="N1707">
        <f>IFERROR(INDEX('Company Hitlist'!$AA:$AA,MATCH(D1707,'Company Hitlist'!$A:$A,0)),)</f>
        <v/>
      </c>
      <c r="O1707">
        <f>IFERROR(INDEX('Company Hitlist'!$N:$N,MATCH(D1707,'Company Hitlist'!$A:$A,0)),)</f>
        <v/>
      </c>
      <c r="Q1707" t="inlineStr">
        <is>
          <t>todo</t>
        </is>
      </c>
    </row>
    <row r="1708">
      <c r="A1708" t="inlineStr">
        <is>
          <t>Ahmed Shabib</t>
        </is>
      </c>
      <c r="B1708" t="inlineStr">
        <is>
          <t>Sponsor</t>
        </is>
      </c>
      <c r="C1708" t="inlineStr">
        <is>
          <t>CEO</t>
        </is>
      </c>
      <c r="D1708" t="inlineStr">
        <is>
          <t>Shipthis Inc</t>
        </is>
      </c>
      <c r="E1708" t="inlineStr">
        <is>
          <t>United States</t>
        </is>
      </c>
      <c r="F1708" t="inlineStr">
        <is>
          <t>Yes</t>
        </is>
      </c>
      <c r="H1708" t="n">
        <v>8</v>
      </c>
      <c r="I1708" t="b">
        <v>0</v>
      </c>
      <c r="J1708" t="b">
        <v>1</v>
      </c>
      <c r="K1708" t="b">
        <v>0</v>
      </c>
      <c r="L1708" t="b">
        <v>0</v>
      </c>
      <c r="M1708" t="b">
        <v>0</v>
      </c>
      <c r="N1708">
        <f>IFERROR(INDEX('Company Hitlist'!$AA:$AA,MATCH(D1708,'Company Hitlist'!$A:$A,0)),)</f>
        <v/>
      </c>
      <c r="O1708">
        <f>IFERROR(INDEX('Company Hitlist'!$N:$N,MATCH(D1708,'Company Hitlist'!$A:$A,0)),)</f>
        <v/>
      </c>
      <c r="Q1708" t="inlineStr">
        <is>
          <t>todo</t>
        </is>
      </c>
    </row>
    <row r="1709">
      <c r="A1709" t="inlineStr">
        <is>
          <t>Sartaj Beary</t>
        </is>
      </c>
      <c r="B1709" t="inlineStr">
        <is>
          <t>Sponsor</t>
        </is>
      </c>
      <c r="C1709" t="inlineStr">
        <is>
          <t>Chief Business Officer</t>
        </is>
      </c>
      <c r="D1709" t="inlineStr">
        <is>
          <t>Shipthis, Inc</t>
        </is>
      </c>
      <c r="E1709" t="inlineStr">
        <is>
          <t>United States</t>
        </is>
      </c>
      <c r="F1709" t="inlineStr">
        <is>
          <t>Yes</t>
        </is>
      </c>
      <c r="H1709" t="n">
        <v>8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  <c r="N1709">
        <f>IFERROR(INDEX('Company Hitlist'!$AA:$AA,MATCH(D1709,'Company Hitlist'!$A:$A,0)),)</f>
        <v/>
      </c>
      <c r="O1709">
        <f>IFERROR(INDEX('Company Hitlist'!$N:$N,MATCH(D1709,'Company Hitlist'!$A:$A,0)),)</f>
        <v/>
      </c>
      <c r="Q1709" t="inlineStr">
        <is>
          <t>todo</t>
        </is>
      </c>
    </row>
    <row r="1710">
      <c r="A1710" t="inlineStr">
        <is>
          <t>Heather Geer</t>
        </is>
      </c>
      <c r="B1710" t="inlineStr">
        <is>
          <t>Sponsor</t>
        </is>
      </c>
      <c r="C1710" t="inlineStr">
        <is>
          <t>VP, Product Management</t>
        </is>
      </c>
      <c r="D1710" t="inlineStr">
        <is>
          <t>Sitehound</t>
        </is>
      </c>
      <c r="F1710" t="inlineStr">
        <is>
          <t>Yes</t>
        </is>
      </c>
      <c r="H1710" t="n">
        <v>8</v>
      </c>
      <c r="I1710" t="b">
        <v>0</v>
      </c>
      <c r="J1710" t="b">
        <v>1</v>
      </c>
      <c r="K1710" t="b">
        <v>0</v>
      </c>
      <c r="L1710" t="b">
        <v>0</v>
      </c>
      <c r="M1710" t="b">
        <v>0</v>
      </c>
      <c r="N1710">
        <f>IFERROR(INDEX('Company Hitlist'!$AA:$AA,MATCH(D1710,'Company Hitlist'!$A:$A,0)),)</f>
        <v/>
      </c>
      <c r="O1710">
        <f>IFERROR(INDEX('Company Hitlist'!$N:$N,MATCH(D1710,'Company Hitlist'!$A:$A,0)),)</f>
        <v/>
      </c>
      <c r="Q1710" t="inlineStr">
        <is>
          <t>todo</t>
        </is>
      </c>
    </row>
    <row r="1711">
      <c r="A1711" t="inlineStr">
        <is>
          <t>T. Nick Williams</t>
        </is>
      </c>
      <c r="B1711" t="inlineStr">
        <is>
          <t>Sponsor</t>
        </is>
      </c>
      <c r="C1711" t="inlineStr">
        <is>
          <t>CEO</t>
        </is>
      </c>
      <c r="D1711" t="inlineStr">
        <is>
          <t>Sitehound, Inc</t>
        </is>
      </c>
      <c r="F1711" t="inlineStr">
        <is>
          <t>Yes</t>
        </is>
      </c>
      <c r="H1711" t="n">
        <v>8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  <c r="N1711">
        <f>IFERROR(INDEX('Company Hitlist'!$AA:$AA,MATCH(D1711,'Company Hitlist'!$A:$A,0)),)</f>
        <v/>
      </c>
      <c r="O1711">
        <f>IFERROR(INDEX('Company Hitlist'!$N:$N,MATCH(D1711,'Company Hitlist'!$A:$A,0)),)</f>
        <v/>
      </c>
      <c r="Q1711" t="inlineStr">
        <is>
          <t>todo</t>
        </is>
      </c>
    </row>
    <row r="1712">
      <c r="A1712" t="inlineStr">
        <is>
          <t>Kerry Greer</t>
        </is>
      </c>
      <c r="B1712" t="inlineStr">
        <is>
          <t>Sponsor</t>
        </is>
      </c>
      <c r="C1712" t="inlineStr">
        <is>
          <t>Co-Founder and Chief Strategy Officer</t>
        </is>
      </c>
      <c r="D1712" t="inlineStr">
        <is>
          <t>SkyMirr</t>
        </is>
      </c>
      <c r="F1712" t="inlineStr">
        <is>
          <t>Yes</t>
        </is>
      </c>
      <c r="H1712" t="n">
        <v>8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  <c r="N1712">
        <f>IFERROR(INDEX('Company Hitlist'!$AA:$AA,MATCH(D1712,'Company Hitlist'!$A:$A,0)),)</f>
        <v/>
      </c>
      <c r="O1712">
        <f>IFERROR(INDEX('Company Hitlist'!$N:$N,MATCH(D1712,'Company Hitlist'!$A:$A,0)),)</f>
        <v/>
      </c>
      <c r="Q1712" t="inlineStr">
        <is>
          <t>todo</t>
        </is>
      </c>
    </row>
    <row r="1713">
      <c r="A1713" t="inlineStr">
        <is>
          <t>Paul Brasnett</t>
        </is>
      </c>
      <c r="B1713" t="inlineStr">
        <is>
          <t>Sponsor</t>
        </is>
      </c>
      <c r="C1713" t="inlineStr">
        <is>
          <t>Chief Product &amp; Technology Officer</t>
        </is>
      </c>
      <c r="D1713" t="inlineStr">
        <is>
          <t>Slamcore</t>
        </is>
      </c>
      <c r="F1713" t="inlineStr">
        <is>
          <t>Yes</t>
        </is>
      </c>
      <c r="G1713" t="inlineStr">
        <is>
          <t>$5M (2025 est.) (ICP match)</t>
        </is>
      </c>
      <c r="H1713" t="n">
        <v>8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  <c r="N1713">
        <f>IFERROR(INDEX('Company Hitlist'!$AA:$AA,MATCH(D1713,'Company Hitlist'!$A:$A,0)),)</f>
        <v/>
      </c>
      <c r="O1713">
        <f>IFERROR(INDEX('Company Hitlist'!$N:$N,MATCH(D1713,'Company Hitlist'!$A:$A,0)),)</f>
        <v/>
      </c>
      <c r="Q1713" t="inlineStr">
        <is>
          <t>todo</t>
        </is>
      </c>
    </row>
    <row r="1714">
      <c r="A1714" t="inlineStr">
        <is>
          <t>Chris Smith</t>
        </is>
      </c>
      <c r="B1714" t="inlineStr">
        <is>
          <t>Sponsor</t>
        </is>
      </c>
      <c r="C1714" t="inlineStr">
        <is>
          <t>CEO &amp; Founder</t>
        </is>
      </c>
      <c r="D1714" t="inlineStr">
        <is>
          <t>Slip Robotics</t>
        </is>
      </c>
      <c r="E1714" t="inlineStr">
        <is>
          <t>United States</t>
        </is>
      </c>
      <c r="F1714" t="inlineStr">
        <is>
          <t>Yes</t>
        </is>
      </c>
      <c r="G1714" t="inlineStr">
        <is>
          <t>&lt;$5 million (2025)</t>
        </is>
      </c>
      <c r="H1714" t="n">
        <v>8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  <c r="N1714">
        <f>IFERROR(INDEX('Company Hitlist'!$AA:$AA,MATCH(D1714,'Company Hitlist'!$A:$A,0)),)</f>
        <v/>
      </c>
      <c r="O1714">
        <f>IFERROR(INDEX('Company Hitlist'!$N:$N,MATCH(D1714,'Company Hitlist'!$A:$A,0)),)</f>
        <v/>
      </c>
      <c r="Q1714" t="inlineStr">
        <is>
          <t>todo</t>
        </is>
      </c>
    </row>
    <row r="1715">
      <c r="A1715" t="inlineStr">
        <is>
          <t>Charles Pearson</t>
        </is>
      </c>
      <c r="B1715" t="inlineStr">
        <is>
          <t>Sponsor</t>
        </is>
      </c>
      <c r="C1715" t="inlineStr">
        <is>
          <t>President</t>
        </is>
      </c>
      <c r="D1715" t="inlineStr">
        <is>
          <t>SphereWMS</t>
        </is>
      </c>
      <c r="F1715" t="inlineStr">
        <is>
          <t>Yes</t>
        </is>
      </c>
      <c r="H1715" t="n">
        <v>8</v>
      </c>
      <c r="I1715" t="b">
        <v>0</v>
      </c>
      <c r="J1715" t="b">
        <v>1</v>
      </c>
      <c r="K1715" t="b">
        <v>0</v>
      </c>
      <c r="L1715" t="b">
        <v>0</v>
      </c>
      <c r="M1715" t="b">
        <v>0</v>
      </c>
      <c r="N1715">
        <f>IFERROR(INDEX('Company Hitlist'!$AA:$AA,MATCH(D1715,'Company Hitlist'!$A:$A,0)),)</f>
        <v/>
      </c>
      <c r="O1715">
        <f>IFERROR(INDEX('Company Hitlist'!$N:$N,MATCH(D1715,'Company Hitlist'!$A:$A,0)),)</f>
        <v/>
      </c>
      <c r="Q1715" t="inlineStr">
        <is>
          <t>todo</t>
        </is>
      </c>
    </row>
    <row r="1716">
      <c r="A1716" t="inlineStr">
        <is>
          <t>Asher Lichtman</t>
        </is>
      </c>
      <c r="B1716" t="inlineStr">
        <is>
          <t>Sponsor</t>
        </is>
      </c>
      <c r="C1716" t="inlineStr">
        <is>
          <t>Head of Strategic Partnerships</t>
        </is>
      </c>
      <c r="D1716" t="inlineStr">
        <is>
          <t>Spotwork</t>
        </is>
      </c>
      <c r="E1716" t="inlineStr">
        <is>
          <t>United States</t>
        </is>
      </c>
      <c r="F1716" t="inlineStr">
        <is>
          <t>Yes</t>
        </is>
      </c>
      <c r="H1716" t="n">
        <v>8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>
        <f>IFERROR(INDEX('Company Hitlist'!$AA:$AA,MATCH(D1716,'Company Hitlist'!$A:$A,0)),)</f>
        <v/>
      </c>
      <c r="O1716">
        <f>IFERROR(INDEX('Company Hitlist'!$N:$N,MATCH(D1716,'Company Hitlist'!$A:$A,0)),)</f>
        <v/>
      </c>
      <c r="Q1716" t="inlineStr">
        <is>
          <t>todo</t>
        </is>
      </c>
    </row>
    <row r="1717">
      <c r="A1717" t="inlineStr">
        <is>
          <t>Jason Alexander</t>
        </is>
      </c>
      <c r="B1717" t="inlineStr">
        <is>
          <t>Attendee</t>
        </is>
      </c>
      <c r="C1717" t="inlineStr">
        <is>
          <t>Director, Procurement</t>
        </is>
      </c>
      <c r="D1717" t="inlineStr">
        <is>
          <t>StockX</t>
        </is>
      </c>
      <c r="F1717" t="inlineStr">
        <is>
          <t>Yes</t>
        </is>
      </c>
      <c r="H1717" t="n">
        <v>8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>
        <f>IFERROR(INDEX('Company Hitlist'!$AA:$AA,MATCH(D1717,'Company Hitlist'!$A:$A,0)),)</f>
        <v/>
      </c>
      <c r="O1717">
        <f>IFERROR(INDEX('Company Hitlist'!$N:$N,MATCH(D1717,'Company Hitlist'!$A:$A,0)),)</f>
        <v/>
      </c>
      <c r="Q1717" t="inlineStr">
        <is>
          <t>todo</t>
        </is>
      </c>
    </row>
    <row r="1718">
      <c r="A1718" t="inlineStr">
        <is>
          <t>Bob Bowman</t>
        </is>
      </c>
      <c r="B1718" t="inlineStr">
        <is>
          <t>Sponsor</t>
        </is>
      </c>
      <c r="C1718" t="inlineStr">
        <is>
          <t>Editor-In-Chief</t>
        </is>
      </c>
      <c r="D1718" t="inlineStr">
        <is>
          <t>SupplyChainBrain</t>
        </is>
      </c>
      <c r="H1718" t="n">
        <v>8</v>
      </c>
      <c r="I1718" t="b">
        <v>0</v>
      </c>
      <c r="J1718" t="b">
        <v>1</v>
      </c>
      <c r="K1718" t="b">
        <v>0</v>
      </c>
      <c r="L1718" t="b">
        <v>0</v>
      </c>
      <c r="M1718" t="b">
        <v>0</v>
      </c>
      <c r="N1718">
        <f>IFERROR(INDEX('Company Hitlist'!$AA:$AA,MATCH(D1718,'Company Hitlist'!$A:$A,0)),)</f>
        <v/>
      </c>
      <c r="O1718">
        <f>IFERROR(INDEX('Company Hitlist'!$N:$N,MATCH(D1718,'Company Hitlist'!$A:$A,0)),)</f>
        <v/>
      </c>
      <c r="Q1718" t="inlineStr">
        <is>
          <t>todo</t>
        </is>
      </c>
    </row>
    <row r="1719">
      <c r="A1719" t="inlineStr">
        <is>
          <t>Dorothy Moser</t>
        </is>
      </c>
      <c r="B1719" t="inlineStr">
        <is>
          <t>Sponsor</t>
        </is>
      </c>
      <c r="C1719" t="inlineStr">
        <is>
          <t>VP, Finance</t>
        </is>
      </c>
      <c r="D1719" t="inlineStr">
        <is>
          <t>Surgere</t>
        </is>
      </c>
      <c r="E1719" t="inlineStr">
        <is>
          <t>United States</t>
        </is>
      </c>
      <c r="F1719" t="inlineStr">
        <is>
          <t>Yes</t>
        </is>
      </c>
      <c r="H1719" t="n">
        <v>8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  <c r="N1719">
        <f>IFERROR(INDEX('Company Hitlist'!$AA:$AA,MATCH(D1719,'Company Hitlist'!$A:$A,0)),)</f>
        <v/>
      </c>
      <c r="O1719">
        <f>IFERROR(INDEX('Company Hitlist'!$N:$N,MATCH(D1719,'Company Hitlist'!$A:$A,0)),)</f>
        <v/>
      </c>
      <c r="Q1719" t="inlineStr">
        <is>
          <t>todo</t>
        </is>
      </c>
    </row>
    <row r="1720">
      <c r="A1720" t="inlineStr">
        <is>
          <t>Tom Strain</t>
        </is>
      </c>
      <c r="B1720" t="inlineStr">
        <is>
          <t>Sponsor</t>
        </is>
      </c>
      <c r="C1720" t="inlineStr">
        <is>
          <t>VP, Technology</t>
        </is>
      </c>
      <c r="D1720" t="inlineStr">
        <is>
          <t>Surgere</t>
        </is>
      </c>
      <c r="E1720" t="inlineStr">
        <is>
          <t>United States</t>
        </is>
      </c>
      <c r="F1720" t="inlineStr">
        <is>
          <t>Yes</t>
        </is>
      </c>
      <c r="H1720" t="n">
        <v>8</v>
      </c>
      <c r="I1720" t="b">
        <v>0</v>
      </c>
      <c r="J1720" t="b">
        <v>1</v>
      </c>
      <c r="K1720" t="b">
        <v>0</v>
      </c>
      <c r="L1720" t="b">
        <v>0</v>
      </c>
      <c r="M1720" t="b">
        <v>0</v>
      </c>
      <c r="N1720">
        <f>IFERROR(INDEX('Company Hitlist'!$AA:$AA,MATCH(D1720,'Company Hitlist'!$A:$A,0)),)</f>
        <v/>
      </c>
      <c r="O1720">
        <f>IFERROR(INDEX('Company Hitlist'!$N:$N,MATCH(D1720,'Company Hitlist'!$A:$A,0)),)</f>
        <v/>
      </c>
      <c r="Q1720" t="inlineStr">
        <is>
          <t>todo</t>
        </is>
      </c>
    </row>
    <row r="1721">
      <c r="A1721" t="inlineStr">
        <is>
          <t>William Wappler</t>
        </is>
      </c>
      <c r="B1721" t="inlineStr">
        <is>
          <t>Sponsor</t>
        </is>
      </c>
      <c r="C1721" t="inlineStr">
        <is>
          <t>CEO</t>
        </is>
      </c>
      <c r="D1721" t="inlineStr">
        <is>
          <t>Surgere</t>
        </is>
      </c>
      <c r="E1721" t="inlineStr">
        <is>
          <t>United States</t>
        </is>
      </c>
      <c r="F1721" t="inlineStr">
        <is>
          <t>Yes</t>
        </is>
      </c>
      <c r="H1721" t="n">
        <v>8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  <c r="N1721">
        <f>IFERROR(INDEX('Company Hitlist'!$AA:$AA,MATCH(D1721,'Company Hitlist'!$A:$A,0)),)</f>
        <v/>
      </c>
      <c r="O1721">
        <f>IFERROR(INDEX('Company Hitlist'!$N:$N,MATCH(D1721,'Company Hitlist'!$A:$A,0)),)</f>
        <v/>
      </c>
      <c r="Q1721" t="inlineStr">
        <is>
          <t>todo</t>
        </is>
      </c>
    </row>
    <row r="1722">
      <c r="A1722" t="inlineStr">
        <is>
          <t>Amin Sikander</t>
        </is>
      </c>
      <c r="B1722" t="inlineStr">
        <is>
          <t>Sponsor</t>
        </is>
      </c>
      <c r="C1722" t="inlineStr">
        <is>
          <t>CEO</t>
        </is>
      </c>
      <c r="D1722" t="inlineStr">
        <is>
          <t>Synkrato</t>
        </is>
      </c>
      <c r="F1722" t="inlineStr">
        <is>
          <t>Yes</t>
        </is>
      </c>
      <c r="H1722" t="n">
        <v>8</v>
      </c>
      <c r="I1722" t="b">
        <v>0</v>
      </c>
      <c r="J1722" t="b">
        <v>1</v>
      </c>
      <c r="K1722" t="b">
        <v>0</v>
      </c>
      <c r="L1722" t="b">
        <v>0</v>
      </c>
      <c r="M1722" t="b">
        <v>0</v>
      </c>
      <c r="N1722">
        <f>IFERROR(INDEX('Company Hitlist'!$AA:$AA,MATCH(D1722,'Company Hitlist'!$A:$A,0)),)</f>
        <v/>
      </c>
      <c r="O1722">
        <f>IFERROR(INDEX('Company Hitlist'!$N:$N,MATCH(D1722,'Company Hitlist'!$A:$A,0)),)</f>
        <v/>
      </c>
      <c r="Q1722" t="inlineStr">
        <is>
          <t>todo</t>
        </is>
      </c>
    </row>
    <row r="1723">
      <c r="A1723" t="inlineStr">
        <is>
          <t>Anthony Allwood</t>
        </is>
      </c>
      <c r="B1723" t="inlineStr">
        <is>
          <t>Sponsor</t>
        </is>
      </c>
      <c r="C1723" t="inlineStr">
        <is>
          <t>CEO &amp; Founder</t>
        </is>
      </c>
      <c r="D1723" t="inlineStr">
        <is>
          <t>Systems Logic</t>
        </is>
      </c>
      <c r="F1723" t="inlineStr">
        <is>
          <t>Yes</t>
        </is>
      </c>
      <c r="H1723" t="n">
        <v>8</v>
      </c>
      <c r="I1723" t="b">
        <v>0</v>
      </c>
      <c r="J1723" t="b">
        <v>1</v>
      </c>
      <c r="K1723" t="b">
        <v>0</v>
      </c>
      <c r="L1723" t="b">
        <v>0</v>
      </c>
      <c r="M1723" t="b">
        <v>0</v>
      </c>
      <c r="N1723">
        <f>IFERROR(INDEX('Company Hitlist'!$AA:$AA,MATCH(D1723,'Company Hitlist'!$A:$A,0)),)</f>
        <v/>
      </c>
      <c r="O1723">
        <f>IFERROR(INDEX('Company Hitlist'!$N:$N,MATCH(D1723,'Company Hitlist'!$A:$A,0)),)</f>
        <v/>
      </c>
      <c r="Q1723" t="inlineStr">
        <is>
          <t>todo</t>
        </is>
      </c>
    </row>
    <row r="1724">
      <c r="A1724" t="inlineStr">
        <is>
          <t>Osiel Cruz Galindo</t>
        </is>
      </c>
      <c r="B1724" t="inlineStr">
        <is>
          <t>Sponsor</t>
        </is>
      </c>
      <c r="C1724" t="inlineStr">
        <is>
          <t>Chief of Staff</t>
        </is>
      </c>
      <c r="D1724" t="inlineStr">
        <is>
          <t>T21</t>
        </is>
      </c>
      <c r="E1724" t="inlineStr">
        <is>
          <t>Mexico</t>
        </is>
      </c>
      <c r="H1724" t="n">
        <v>8</v>
      </c>
      <c r="I1724" t="b">
        <v>0</v>
      </c>
      <c r="J1724" t="b">
        <v>1</v>
      </c>
      <c r="K1724" t="b">
        <v>0</v>
      </c>
      <c r="L1724" t="b">
        <v>0</v>
      </c>
      <c r="M1724" t="b">
        <v>0</v>
      </c>
      <c r="N1724">
        <f>IFERROR(INDEX('Company Hitlist'!$AA:$AA,MATCH(D1724,'Company Hitlist'!$A:$A,0)),)</f>
        <v/>
      </c>
      <c r="O1724">
        <f>IFERROR(INDEX('Company Hitlist'!$N:$N,MATCH(D1724,'Company Hitlist'!$A:$A,0)),)</f>
        <v/>
      </c>
      <c r="Q1724" t="inlineStr">
        <is>
          <t>todo</t>
        </is>
      </c>
    </row>
    <row r="1725">
      <c r="A1725" t="inlineStr">
        <is>
          <t>Owen Nash</t>
        </is>
      </c>
      <c r="B1725" t="inlineStr">
        <is>
          <t>Sponsor</t>
        </is>
      </c>
      <c r="C1725" t="inlineStr">
        <is>
          <t>President and CEO</t>
        </is>
      </c>
      <c r="D1725" t="inlineStr">
        <is>
          <t>TOC Logistics</t>
        </is>
      </c>
      <c r="E1725" t="inlineStr">
        <is>
          <t>Canada</t>
        </is>
      </c>
      <c r="F1725" t="inlineStr">
        <is>
          <t>Yes</t>
        </is>
      </c>
      <c r="H1725" t="n">
        <v>8</v>
      </c>
      <c r="I1725" t="b">
        <v>0</v>
      </c>
      <c r="J1725" t="b">
        <v>1</v>
      </c>
      <c r="K1725" t="b">
        <v>0</v>
      </c>
      <c r="L1725" t="b">
        <v>0</v>
      </c>
      <c r="M1725" t="b">
        <v>0</v>
      </c>
      <c r="N1725">
        <f>IFERROR(INDEX('Company Hitlist'!$AA:$AA,MATCH(D1725,'Company Hitlist'!$A:$A,0)),)</f>
        <v/>
      </c>
      <c r="O1725">
        <f>IFERROR(INDEX('Company Hitlist'!$N:$N,MATCH(D1725,'Company Hitlist'!$A:$A,0)),)</f>
        <v/>
      </c>
      <c r="Q1725" t="inlineStr">
        <is>
          <t>todo</t>
        </is>
      </c>
    </row>
    <row r="1726">
      <c r="A1726" t="inlineStr">
        <is>
          <t>Nick Elder</t>
        </is>
      </c>
      <c r="B1726" t="inlineStr">
        <is>
          <t>Sponsor</t>
        </is>
      </c>
      <c r="C1726" t="inlineStr">
        <is>
          <t>VP, Commercialization</t>
        </is>
      </c>
      <c r="D1726" t="inlineStr">
        <is>
          <t>TORC</t>
        </is>
      </c>
      <c r="E1726" t="inlineStr">
        <is>
          <t>United States</t>
        </is>
      </c>
      <c r="H1726" t="n">
        <v>8</v>
      </c>
      <c r="I1726" t="b">
        <v>0</v>
      </c>
      <c r="J1726" t="b">
        <v>1</v>
      </c>
      <c r="K1726" t="b">
        <v>0</v>
      </c>
      <c r="L1726" t="b">
        <v>0</v>
      </c>
      <c r="M1726" t="b">
        <v>0</v>
      </c>
      <c r="N1726">
        <f>IFERROR(INDEX('Company Hitlist'!$AA:$AA,MATCH(D1726,'Company Hitlist'!$A:$A,0)),)</f>
        <v/>
      </c>
      <c r="O1726">
        <f>IFERROR(INDEX('Company Hitlist'!$N:$N,MATCH(D1726,'Company Hitlist'!$A:$A,0)),)</f>
        <v/>
      </c>
      <c r="Q1726" t="inlineStr">
        <is>
          <t>todo</t>
        </is>
      </c>
    </row>
    <row r="1727">
      <c r="A1727" t="inlineStr">
        <is>
          <t>Dan Cambron</t>
        </is>
      </c>
      <c r="B1727" t="inlineStr">
        <is>
          <t>Sponsor</t>
        </is>
      </c>
      <c r="C1727" t="inlineStr">
        <is>
          <t>CTO</t>
        </is>
      </c>
      <c r="D1727" t="inlineStr">
        <is>
          <t>TRUCKSTOP.COM</t>
        </is>
      </c>
      <c r="E1727" t="inlineStr">
        <is>
          <t>United States</t>
        </is>
      </c>
      <c r="F1727" t="inlineStr">
        <is>
          <t>Yes</t>
        </is>
      </c>
      <c r="H1727" t="n">
        <v>8</v>
      </c>
      <c r="I1727" t="b">
        <v>0</v>
      </c>
      <c r="J1727" t="b">
        <v>1</v>
      </c>
      <c r="K1727" t="b">
        <v>0</v>
      </c>
      <c r="L1727" t="b">
        <v>0</v>
      </c>
      <c r="M1727" t="b">
        <v>0</v>
      </c>
      <c r="N1727">
        <f>IFERROR(INDEX('Company Hitlist'!$AA:$AA,MATCH(D1727,'Company Hitlist'!$A:$A,0)),)</f>
        <v/>
      </c>
      <c r="O1727">
        <f>IFERROR(INDEX('Company Hitlist'!$N:$N,MATCH(D1727,'Company Hitlist'!$A:$A,0)),)</f>
        <v/>
      </c>
      <c r="Q1727" t="inlineStr">
        <is>
          <t>todo</t>
        </is>
      </c>
    </row>
    <row r="1728">
      <c r="A1728" t="inlineStr">
        <is>
          <t>Scott Moscrip</t>
        </is>
      </c>
      <c r="B1728" t="inlineStr">
        <is>
          <t>Sponsor</t>
        </is>
      </c>
      <c r="C1728" t="inlineStr">
        <is>
          <t>CEO</t>
        </is>
      </c>
      <c r="D1728" t="inlineStr">
        <is>
          <t>TRUCKSTOP.COM</t>
        </is>
      </c>
      <c r="E1728" t="inlineStr">
        <is>
          <t>United States</t>
        </is>
      </c>
      <c r="F1728" t="inlineStr">
        <is>
          <t>Yes</t>
        </is>
      </c>
      <c r="H1728" t="n">
        <v>8</v>
      </c>
      <c r="I1728" t="b">
        <v>0</v>
      </c>
      <c r="J1728" t="b">
        <v>1</v>
      </c>
      <c r="K1728" t="b">
        <v>0</v>
      </c>
      <c r="L1728" t="b">
        <v>0</v>
      </c>
      <c r="M1728" t="b">
        <v>0</v>
      </c>
      <c r="N1728">
        <f>IFERROR(INDEX('Company Hitlist'!$AA:$AA,MATCH(D1728,'Company Hitlist'!$A:$A,0)),)</f>
        <v/>
      </c>
      <c r="O1728">
        <f>IFERROR(INDEX('Company Hitlist'!$N:$N,MATCH(D1728,'Company Hitlist'!$A:$A,0)),)</f>
        <v/>
      </c>
      <c r="Q1728" t="inlineStr">
        <is>
          <t>todo</t>
        </is>
      </c>
    </row>
    <row r="1729">
      <c r="A1729" t="inlineStr">
        <is>
          <t>Sean Dehan</t>
        </is>
      </c>
      <c r="B1729" t="inlineStr">
        <is>
          <t>Sponsor</t>
        </is>
      </c>
      <c r="C1729" t="inlineStr">
        <is>
          <t>VP, Corp Strategy</t>
        </is>
      </c>
      <c r="D1729" t="inlineStr">
        <is>
          <t>TRUCKSTOP.COM</t>
        </is>
      </c>
      <c r="E1729" t="inlineStr">
        <is>
          <t>United States</t>
        </is>
      </c>
      <c r="F1729" t="inlineStr">
        <is>
          <t>Yes</t>
        </is>
      </c>
      <c r="H1729" t="n">
        <v>8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  <c r="N1729">
        <f>IFERROR(INDEX('Company Hitlist'!$AA:$AA,MATCH(D1729,'Company Hitlist'!$A:$A,0)),)</f>
        <v/>
      </c>
      <c r="O1729">
        <f>IFERROR(INDEX('Company Hitlist'!$N:$N,MATCH(D1729,'Company Hitlist'!$A:$A,0)),)</f>
        <v/>
      </c>
      <c r="Q1729" t="inlineStr">
        <is>
          <t>todo</t>
        </is>
      </c>
    </row>
    <row r="1730">
      <c r="A1730" t="inlineStr">
        <is>
          <t>Todd Waldron</t>
        </is>
      </c>
      <c r="B1730" t="inlineStr">
        <is>
          <t>Sponsor</t>
        </is>
      </c>
      <c r="C1730" t="inlineStr">
        <is>
          <t>VP, Carrier Experience</t>
        </is>
      </c>
      <c r="D1730" t="inlineStr">
        <is>
          <t>TRUCKSTOP.COM</t>
        </is>
      </c>
      <c r="F1730" t="inlineStr">
        <is>
          <t>Yes</t>
        </is>
      </c>
      <c r="H1730" t="n">
        <v>8</v>
      </c>
      <c r="I1730" t="b">
        <v>0</v>
      </c>
      <c r="J1730" t="b">
        <v>1</v>
      </c>
      <c r="K1730" t="b">
        <v>0</v>
      </c>
      <c r="L1730" t="b">
        <v>0</v>
      </c>
      <c r="M1730" t="b">
        <v>0</v>
      </c>
      <c r="N1730">
        <f>IFERROR(INDEX('Company Hitlist'!$AA:$AA,MATCH(D1730,'Company Hitlist'!$A:$A,0)),)</f>
        <v/>
      </c>
      <c r="O1730">
        <f>IFERROR(INDEX('Company Hitlist'!$N:$N,MATCH(D1730,'Company Hitlist'!$A:$A,0)),)</f>
        <v/>
      </c>
      <c r="Q1730" t="inlineStr">
        <is>
          <t>todo</t>
        </is>
      </c>
    </row>
    <row r="1731">
      <c r="A1731" t="inlineStr">
        <is>
          <t>Alex Pankhurst</t>
        </is>
      </c>
      <c r="B1731" t="inlineStr">
        <is>
          <t>Sponsor</t>
        </is>
      </c>
      <c r="C1731" t="inlineStr">
        <is>
          <t>Chief Strategy Officer</t>
        </is>
      </c>
      <c r="D1731" t="inlineStr">
        <is>
          <t>Takt, Inc.</t>
        </is>
      </c>
      <c r="E1731" t="inlineStr">
        <is>
          <t>United States</t>
        </is>
      </c>
      <c r="F1731" t="inlineStr">
        <is>
          <t>Yes</t>
        </is>
      </c>
      <c r="H1731" t="n">
        <v>8</v>
      </c>
      <c r="I1731" t="b">
        <v>0</v>
      </c>
      <c r="J1731" t="b">
        <v>1</v>
      </c>
      <c r="K1731" t="b">
        <v>0</v>
      </c>
      <c r="L1731" t="b">
        <v>0</v>
      </c>
      <c r="M1731" t="b">
        <v>0</v>
      </c>
      <c r="N1731">
        <f>IFERROR(INDEX('Company Hitlist'!$AA:$AA,MATCH(D1731,'Company Hitlist'!$A:$A,0)),)</f>
        <v/>
      </c>
      <c r="O1731">
        <f>IFERROR(INDEX('Company Hitlist'!$N:$N,MATCH(D1731,'Company Hitlist'!$A:$A,0)),)</f>
        <v/>
      </c>
      <c r="Q1731" t="inlineStr">
        <is>
          <t>todo</t>
        </is>
      </c>
    </row>
    <row r="1732">
      <c r="A1732" t="inlineStr">
        <is>
          <t>Michael Heisman</t>
        </is>
      </c>
      <c r="B1732" t="inlineStr">
        <is>
          <t>Sponsor</t>
        </is>
      </c>
      <c r="C1732" t="inlineStr">
        <is>
          <t>CEO &amp; Founder</t>
        </is>
      </c>
      <c r="D1732" t="inlineStr">
        <is>
          <t>Tansect Supply Chain Solutions</t>
        </is>
      </c>
      <c r="E1732" t="inlineStr">
        <is>
          <t>United States</t>
        </is>
      </c>
      <c r="F1732" t="inlineStr">
        <is>
          <t>Yes</t>
        </is>
      </c>
      <c r="H1732" t="n">
        <v>8</v>
      </c>
      <c r="I1732" t="b">
        <v>0</v>
      </c>
      <c r="J1732" t="b">
        <v>1</v>
      </c>
      <c r="K1732" t="b">
        <v>0</v>
      </c>
      <c r="L1732" t="b">
        <v>0</v>
      </c>
      <c r="M1732" t="b">
        <v>0</v>
      </c>
      <c r="N1732">
        <f>IFERROR(INDEX('Company Hitlist'!$AA:$AA,MATCH(D1732,'Company Hitlist'!$A:$A,0)),)</f>
        <v/>
      </c>
      <c r="O1732">
        <f>IFERROR(INDEX('Company Hitlist'!$N:$N,MATCH(D1732,'Company Hitlist'!$A:$A,0)),)</f>
        <v/>
      </c>
      <c r="Q1732" t="inlineStr">
        <is>
          <t>todo</t>
        </is>
      </c>
    </row>
    <row r="1733">
      <c r="A1733" t="inlineStr">
        <is>
          <t>Jeff Tremblay</t>
        </is>
      </c>
      <c r="B1733" t="inlineStr">
        <is>
          <t>Sponsor</t>
        </is>
      </c>
      <c r="C1733" t="inlineStr">
        <is>
          <t>Co-President &amp; CTO</t>
        </is>
      </c>
      <c r="D1733" t="inlineStr">
        <is>
          <t>Tavio Integrations</t>
        </is>
      </c>
      <c r="F1733" t="inlineStr">
        <is>
          <t>Yes</t>
        </is>
      </c>
      <c r="H1733" t="n">
        <v>8</v>
      </c>
      <c r="I1733" t="b">
        <v>0</v>
      </c>
      <c r="J1733" t="b">
        <v>1</v>
      </c>
      <c r="K1733" t="b">
        <v>0</v>
      </c>
      <c r="L1733" t="b">
        <v>0</v>
      </c>
      <c r="M1733" t="b">
        <v>0</v>
      </c>
      <c r="N1733">
        <f>IFERROR(INDEX('Company Hitlist'!$AA:$AA,MATCH(D1733,'Company Hitlist'!$A:$A,0)),)</f>
        <v/>
      </c>
      <c r="O1733">
        <f>IFERROR(INDEX('Company Hitlist'!$N:$N,MATCH(D1733,'Company Hitlist'!$A:$A,0)),)</f>
        <v/>
      </c>
      <c r="Q1733" t="inlineStr">
        <is>
          <t>todo</t>
        </is>
      </c>
    </row>
    <row r="1734">
      <c r="A1734" t="inlineStr">
        <is>
          <t>Paul Mladineo</t>
        </is>
      </c>
      <c r="B1734" t="inlineStr">
        <is>
          <t>Sponsor</t>
        </is>
      </c>
      <c r="C1734" t="inlineStr">
        <is>
          <t>CFO &amp; Chairman</t>
        </is>
      </c>
      <c r="D1734" t="inlineStr">
        <is>
          <t>Tavio Integrations</t>
        </is>
      </c>
      <c r="F1734" t="inlineStr">
        <is>
          <t>Yes</t>
        </is>
      </c>
      <c r="H1734" t="n">
        <v>8</v>
      </c>
      <c r="I1734" t="b">
        <v>0</v>
      </c>
      <c r="J1734" t="b">
        <v>1</v>
      </c>
      <c r="K1734" t="b">
        <v>0</v>
      </c>
      <c r="L1734" t="b">
        <v>0</v>
      </c>
      <c r="M1734" t="b">
        <v>0</v>
      </c>
      <c r="N1734">
        <f>IFERROR(INDEX('Company Hitlist'!$AA:$AA,MATCH(D1734,'Company Hitlist'!$A:$A,0)),)</f>
        <v/>
      </c>
      <c r="O1734">
        <f>IFERROR(INDEX('Company Hitlist'!$N:$N,MATCH(D1734,'Company Hitlist'!$A:$A,0)),)</f>
        <v/>
      </c>
      <c r="Q1734" t="inlineStr">
        <is>
          <t>todo</t>
        </is>
      </c>
    </row>
    <row r="1735">
      <c r="A1735" t="inlineStr">
        <is>
          <t>Aymen Azim</t>
        </is>
      </c>
      <c r="B1735" t="inlineStr">
        <is>
          <t>Sponsor</t>
        </is>
      </c>
      <c r="C1735" t="inlineStr">
        <is>
          <t>CEO</t>
        </is>
      </c>
      <c r="D1735" t="inlineStr">
        <is>
          <t>Technova Industries</t>
        </is>
      </c>
      <c r="E1735" t="inlineStr">
        <is>
          <t>United States</t>
        </is>
      </c>
      <c r="H1735" t="n">
        <v>8</v>
      </c>
      <c r="I1735" t="b">
        <v>0</v>
      </c>
      <c r="J1735" t="b">
        <v>1</v>
      </c>
      <c r="K1735" t="b">
        <v>0</v>
      </c>
      <c r="L1735" t="b">
        <v>0</v>
      </c>
      <c r="M1735" t="b">
        <v>0</v>
      </c>
      <c r="N1735">
        <f>IFERROR(INDEX('Company Hitlist'!$AA:$AA,MATCH(D1735,'Company Hitlist'!$A:$A,0)),)</f>
        <v/>
      </c>
      <c r="O1735">
        <f>IFERROR(INDEX('Company Hitlist'!$N:$N,MATCH(D1735,'Company Hitlist'!$A:$A,0)),)</f>
        <v/>
      </c>
      <c r="Q1735" t="inlineStr">
        <is>
          <t>todo</t>
        </is>
      </c>
    </row>
    <row r="1736">
      <c r="A1736" t="inlineStr">
        <is>
          <t>Heinrich Brunhöber</t>
        </is>
      </c>
      <c r="B1736" t="inlineStr">
        <is>
          <t>Sponsor</t>
        </is>
      </c>
      <c r="C1736" t="inlineStr">
        <is>
          <t>CEO &amp; Co-Founder</t>
        </is>
      </c>
      <c r="D1736" t="inlineStr">
        <is>
          <t>Temper AI</t>
        </is>
      </c>
      <c r="E1736" t="inlineStr">
        <is>
          <t>United States</t>
        </is>
      </c>
      <c r="F1736" t="inlineStr">
        <is>
          <t>Yes</t>
        </is>
      </c>
      <c r="H1736" t="n">
        <v>8</v>
      </c>
      <c r="I1736" t="b">
        <v>0</v>
      </c>
      <c r="J1736" t="b">
        <v>1</v>
      </c>
      <c r="K1736" t="b">
        <v>0</v>
      </c>
      <c r="L1736" t="b">
        <v>0</v>
      </c>
      <c r="M1736" t="b">
        <v>0</v>
      </c>
      <c r="N1736">
        <f>IFERROR(INDEX('Company Hitlist'!$AA:$AA,MATCH(D1736,'Company Hitlist'!$A:$A,0)),)</f>
        <v/>
      </c>
      <c r="O1736">
        <f>IFERROR(INDEX('Company Hitlist'!$N:$N,MATCH(D1736,'Company Hitlist'!$A:$A,0)),)</f>
        <v/>
      </c>
      <c r="Q1736" t="inlineStr">
        <is>
          <t>todo</t>
        </is>
      </c>
    </row>
    <row r="1737">
      <c r="A1737" t="inlineStr">
        <is>
          <t>Nick Raziborsky</t>
        </is>
      </c>
      <c r="B1737" t="inlineStr">
        <is>
          <t>Sponsor</t>
        </is>
      </c>
      <c r="C1737" t="inlineStr">
        <is>
          <t>Co-Founder &amp; CTO</t>
        </is>
      </c>
      <c r="D1737" t="inlineStr">
        <is>
          <t>Temper AI</t>
        </is>
      </c>
      <c r="F1737" t="inlineStr">
        <is>
          <t>Yes</t>
        </is>
      </c>
      <c r="H1737" t="n">
        <v>8</v>
      </c>
      <c r="I1737" t="b">
        <v>0</v>
      </c>
      <c r="J1737" t="b">
        <v>1</v>
      </c>
      <c r="K1737" t="b">
        <v>0</v>
      </c>
      <c r="L1737" t="b">
        <v>0</v>
      </c>
      <c r="M1737" t="b">
        <v>0</v>
      </c>
      <c r="N1737">
        <f>IFERROR(INDEX('Company Hitlist'!$AA:$AA,MATCH(D1737,'Company Hitlist'!$A:$A,0)),)</f>
        <v/>
      </c>
      <c r="O1737">
        <f>IFERROR(INDEX('Company Hitlist'!$N:$N,MATCH(D1737,'Company Hitlist'!$A:$A,0)),)</f>
        <v/>
      </c>
      <c r="Q1737" t="inlineStr">
        <is>
          <t>todo</t>
        </is>
      </c>
    </row>
    <row r="1738">
      <c r="A1738" t="inlineStr">
        <is>
          <t>Paul Nelson</t>
        </is>
      </c>
      <c r="B1738" t="inlineStr">
        <is>
          <t>Attendee</t>
        </is>
      </c>
      <c r="C1738" t="inlineStr">
        <is>
          <t>Global Executive in Real Estate, Facilities and Indirect Procurement</t>
        </is>
      </c>
      <c r="D1738" t="inlineStr">
        <is>
          <t>Tenneco</t>
        </is>
      </c>
      <c r="H1738" t="n">
        <v>8</v>
      </c>
      <c r="I1738" t="b">
        <v>0</v>
      </c>
      <c r="J1738" t="b">
        <v>0</v>
      </c>
      <c r="K1738" t="b">
        <v>0</v>
      </c>
      <c r="L1738" t="b">
        <v>1</v>
      </c>
      <c r="M1738" t="b">
        <v>0</v>
      </c>
      <c r="N1738">
        <f>IFERROR(INDEX('Company Hitlist'!$AA:$AA,MATCH(D1738,'Company Hitlist'!$A:$A,0)),)</f>
        <v/>
      </c>
      <c r="O1738">
        <f>IFERROR(INDEX('Company Hitlist'!$N:$N,MATCH(D1738,'Company Hitlist'!$A:$A,0)),)</f>
        <v/>
      </c>
      <c r="Q1738" t="inlineStr">
        <is>
          <t>todo</t>
        </is>
      </c>
    </row>
    <row r="1739">
      <c r="A1739" t="inlineStr">
        <is>
          <t>Darin Brannan</t>
        </is>
      </c>
      <c r="B1739" t="inlineStr">
        <is>
          <t>Sponsor</t>
        </is>
      </c>
      <c r="C1739" t="inlineStr">
        <is>
          <t>CEO</t>
        </is>
      </c>
      <c r="D1739" t="inlineStr">
        <is>
          <t>Terminal Industries</t>
        </is>
      </c>
      <c r="H1739" t="n">
        <v>8</v>
      </c>
      <c r="I1739" t="b">
        <v>0</v>
      </c>
      <c r="J1739" t="b">
        <v>1</v>
      </c>
      <c r="K1739" t="b">
        <v>0</v>
      </c>
      <c r="L1739" t="b">
        <v>0</v>
      </c>
      <c r="M1739" t="b">
        <v>0</v>
      </c>
      <c r="N1739">
        <f>IFERROR(INDEX('Company Hitlist'!$AA:$AA,MATCH(D1739,'Company Hitlist'!$A:$A,0)),)</f>
        <v/>
      </c>
      <c r="O1739">
        <f>IFERROR(INDEX('Company Hitlist'!$N:$N,MATCH(D1739,'Company Hitlist'!$A:$A,0)),)</f>
        <v/>
      </c>
      <c r="Q1739" t="inlineStr">
        <is>
          <t>todo</t>
        </is>
      </c>
    </row>
    <row r="1740">
      <c r="A1740" t="inlineStr">
        <is>
          <t>Douglas Kent</t>
        </is>
      </c>
      <c r="B1740" t="inlineStr">
        <is>
          <t>Sponsor</t>
        </is>
      </c>
      <c r="C1740" t="inlineStr">
        <is>
          <t>EVP</t>
        </is>
      </c>
      <c r="D1740" t="inlineStr">
        <is>
          <t>The Association for Supply Chain Management (ASCM)</t>
        </is>
      </c>
      <c r="E1740" t="inlineStr">
        <is>
          <t>United States</t>
        </is>
      </c>
      <c r="H1740" t="n">
        <v>8</v>
      </c>
      <c r="I1740" t="b">
        <v>0</v>
      </c>
      <c r="J1740" t="b">
        <v>1</v>
      </c>
      <c r="K1740" t="b">
        <v>0</v>
      </c>
      <c r="L1740" t="b">
        <v>0</v>
      </c>
      <c r="M1740" t="b">
        <v>0</v>
      </c>
      <c r="N1740">
        <f>IFERROR(INDEX('Company Hitlist'!$AA:$AA,MATCH(D1740,'Company Hitlist'!$A:$A,0)),)</f>
        <v/>
      </c>
      <c r="O1740">
        <f>IFERROR(INDEX('Company Hitlist'!$N:$N,MATCH(D1740,'Company Hitlist'!$A:$A,0)),)</f>
        <v/>
      </c>
      <c r="Q1740" t="inlineStr">
        <is>
          <t>todo</t>
        </is>
      </c>
    </row>
    <row r="1741">
      <c r="A1741" t="inlineStr">
        <is>
          <t>Lauren Beagen</t>
        </is>
      </c>
      <c r="B1741" t="inlineStr">
        <is>
          <t>Sponsor</t>
        </is>
      </c>
      <c r="C1741" t="inlineStr">
        <is>
          <t>CEO</t>
        </is>
      </c>
      <c r="D1741" t="inlineStr">
        <is>
          <t>The Maritime Professor®</t>
        </is>
      </c>
      <c r="H1741" t="n">
        <v>8</v>
      </c>
      <c r="I1741" t="b">
        <v>0</v>
      </c>
      <c r="J1741" t="b">
        <v>1</v>
      </c>
      <c r="K1741" t="b">
        <v>0</v>
      </c>
      <c r="L1741" t="b">
        <v>0</v>
      </c>
      <c r="M1741" t="b">
        <v>0</v>
      </c>
      <c r="N1741">
        <f>IFERROR(INDEX('Company Hitlist'!$AA:$AA,MATCH(D1741,'Company Hitlist'!$A:$A,0)),)</f>
        <v/>
      </c>
      <c r="O1741">
        <f>IFERROR(INDEX('Company Hitlist'!$N:$N,MATCH(D1741,'Company Hitlist'!$A:$A,0)),)</f>
        <v/>
      </c>
      <c r="Q1741" t="inlineStr">
        <is>
          <t>todo</t>
        </is>
      </c>
    </row>
    <row r="1742">
      <c r="A1742" t="inlineStr">
        <is>
          <t>Kevin Gramer</t>
        </is>
      </c>
      <c r="B1742" t="inlineStr">
        <is>
          <t>Sponsor</t>
        </is>
      </c>
      <c r="C1742" t="inlineStr">
        <is>
          <t>VP Americas</t>
        </is>
      </c>
      <c r="D1742" t="inlineStr">
        <is>
          <t>Thruvision</t>
        </is>
      </c>
      <c r="F1742" t="inlineStr">
        <is>
          <t>Yes</t>
        </is>
      </c>
      <c r="H1742" t="n">
        <v>8</v>
      </c>
      <c r="I1742" t="b">
        <v>0</v>
      </c>
      <c r="J1742" t="b">
        <v>1</v>
      </c>
      <c r="K1742" t="b">
        <v>0</v>
      </c>
      <c r="L1742" t="b">
        <v>0</v>
      </c>
      <c r="M1742" t="b">
        <v>0</v>
      </c>
      <c r="N1742">
        <f>IFERROR(INDEX('Company Hitlist'!$AA:$AA,MATCH(D1742,'Company Hitlist'!$A:$A,0)),)</f>
        <v/>
      </c>
      <c r="O1742">
        <f>IFERROR(INDEX('Company Hitlist'!$N:$N,MATCH(D1742,'Company Hitlist'!$A:$A,0)),)</f>
        <v/>
      </c>
      <c r="Q1742" t="inlineStr">
        <is>
          <t>todo</t>
        </is>
      </c>
    </row>
    <row r="1743">
      <c r="A1743" t="inlineStr">
        <is>
          <t>George Zhao</t>
        </is>
      </c>
      <c r="B1743" t="inlineStr">
        <is>
          <t>Attendee</t>
        </is>
      </c>
      <c r="C1743" t="inlineStr">
        <is>
          <t>Procurement POC</t>
        </is>
      </c>
      <c r="D1743" t="inlineStr">
        <is>
          <t>TikTok</t>
        </is>
      </c>
      <c r="H1743" t="n">
        <v>8</v>
      </c>
      <c r="I1743" t="b">
        <v>0</v>
      </c>
      <c r="J1743" t="b">
        <v>0</v>
      </c>
      <c r="K1743" t="b">
        <v>0</v>
      </c>
      <c r="L1743" t="b">
        <v>1</v>
      </c>
      <c r="M1743" t="b">
        <v>0</v>
      </c>
      <c r="N1743">
        <f>IFERROR(INDEX('Company Hitlist'!$AA:$AA,MATCH(D1743,'Company Hitlist'!$A:$A,0)),)</f>
        <v/>
      </c>
      <c r="O1743">
        <f>IFERROR(INDEX('Company Hitlist'!$N:$N,MATCH(D1743,'Company Hitlist'!$A:$A,0)),)</f>
        <v/>
      </c>
      <c r="Q1743" t="inlineStr">
        <is>
          <t>todo</t>
        </is>
      </c>
    </row>
    <row r="1744">
      <c r="A1744" t="inlineStr">
        <is>
          <t>Krenar Komoni</t>
        </is>
      </c>
      <c r="B1744" t="inlineStr">
        <is>
          <t>Sponsor</t>
        </is>
      </c>
      <c r="C1744" t="inlineStr">
        <is>
          <t>CEO &amp; Founder</t>
        </is>
      </c>
      <c r="D1744" t="inlineStr">
        <is>
          <t>Tive</t>
        </is>
      </c>
      <c r="F1744" t="inlineStr">
        <is>
          <t>Yes</t>
        </is>
      </c>
      <c r="H1744" t="n">
        <v>8</v>
      </c>
      <c r="I1744" t="b">
        <v>0</v>
      </c>
      <c r="J1744" t="b">
        <v>1</v>
      </c>
      <c r="K1744" t="b">
        <v>0</v>
      </c>
      <c r="L1744" t="b">
        <v>0</v>
      </c>
      <c r="M1744" t="b">
        <v>0</v>
      </c>
      <c r="N1744">
        <f>IFERROR(INDEX('Company Hitlist'!$AA:$AA,MATCH(D1744,'Company Hitlist'!$A:$A,0)),)</f>
        <v/>
      </c>
      <c r="O1744">
        <f>IFERROR(INDEX('Company Hitlist'!$N:$N,MATCH(D1744,'Company Hitlist'!$A:$A,0)),)</f>
        <v/>
      </c>
      <c r="Q1744" t="inlineStr">
        <is>
          <t>todo</t>
        </is>
      </c>
    </row>
    <row r="1745">
      <c r="A1745" t="inlineStr">
        <is>
          <t>Gregory Truong</t>
        </is>
      </c>
      <c r="B1745" t="inlineStr">
        <is>
          <t>Sponsor</t>
        </is>
      </c>
      <c r="C1745" t="inlineStr">
        <is>
          <t>Head of National Partnerships</t>
        </is>
      </c>
      <c r="D1745" t="inlineStr">
        <is>
          <t>Traba</t>
        </is>
      </c>
      <c r="E1745" t="inlineStr">
        <is>
          <t>United States</t>
        </is>
      </c>
      <c r="F1745" t="inlineStr">
        <is>
          <t>Yes</t>
        </is>
      </c>
      <c r="G1745" t="inlineStr">
        <is>
          <t>$5.3 million (2025)</t>
        </is>
      </c>
      <c r="H1745" t="n">
        <v>8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>
        <f>IFERROR(INDEX('Company Hitlist'!$AA:$AA,MATCH(D1745,'Company Hitlist'!$A:$A,0)),)</f>
        <v/>
      </c>
      <c r="O1745">
        <f>IFERROR(INDEX('Company Hitlist'!$N:$N,MATCH(D1745,'Company Hitlist'!$A:$A,0)),)</f>
        <v/>
      </c>
      <c r="Q1745" t="inlineStr">
        <is>
          <t>todo</t>
        </is>
      </c>
    </row>
    <row r="1746">
      <c r="A1746" t="inlineStr">
        <is>
          <t>Daniel Langer</t>
        </is>
      </c>
      <c r="B1746" t="inlineStr">
        <is>
          <t>Sponsor</t>
        </is>
      </c>
      <c r="C1746" t="inlineStr">
        <is>
          <t>CTO</t>
        </is>
      </c>
      <c r="D1746" t="inlineStr">
        <is>
          <t>Trackstar</t>
        </is>
      </c>
      <c r="F1746" t="inlineStr">
        <is>
          <t>Yes</t>
        </is>
      </c>
      <c r="G1746" t="inlineStr">
        <is>
          <t>$31.6 million (2025)</t>
        </is>
      </c>
      <c r="H1746" t="n">
        <v>8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>
        <f>IFERROR(INDEX('Company Hitlist'!$AA:$AA,MATCH(D1746,'Company Hitlist'!$A:$A,0)),)</f>
        <v/>
      </c>
      <c r="O1746">
        <f>IFERROR(INDEX('Company Hitlist'!$N:$N,MATCH(D1746,'Company Hitlist'!$A:$A,0)),)</f>
        <v/>
      </c>
      <c r="Q1746" t="inlineStr">
        <is>
          <t>todo</t>
        </is>
      </c>
    </row>
    <row r="1747">
      <c r="A1747" t="inlineStr">
        <is>
          <t>Jeremy Schneck</t>
        </is>
      </c>
      <c r="B1747" t="inlineStr">
        <is>
          <t>Sponsor</t>
        </is>
      </c>
      <c r="C1747" t="inlineStr">
        <is>
          <t>Co-CEO</t>
        </is>
      </c>
      <c r="D1747" t="inlineStr">
        <is>
          <t>Trackstar</t>
        </is>
      </c>
      <c r="F1747" t="inlineStr">
        <is>
          <t>Yes</t>
        </is>
      </c>
      <c r="G1747" t="inlineStr">
        <is>
          <t>$31.6 million (2025)</t>
        </is>
      </c>
      <c r="H1747" t="n">
        <v>8</v>
      </c>
      <c r="I1747" t="b">
        <v>0</v>
      </c>
      <c r="J1747" t="b">
        <v>1</v>
      </c>
      <c r="K1747" t="b">
        <v>0</v>
      </c>
      <c r="L1747" t="b">
        <v>0</v>
      </c>
      <c r="M1747" t="b">
        <v>0</v>
      </c>
      <c r="N1747">
        <f>IFERROR(INDEX('Company Hitlist'!$AA:$AA,MATCH(D1747,'Company Hitlist'!$A:$A,0)),)</f>
        <v/>
      </c>
      <c r="O1747">
        <f>IFERROR(INDEX('Company Hitlist'!$N:$N,MATCH(D1747,'Company Hitlist'!$A:$A,0)),)</f>
        <v/>
      </c>
      <c r="Q1747" t="inlineStr">
        <is>
          <t>todo</t>
        </is>
      </c>
    </row>
    <row r="1748">
      <c r="A1748" t="inlineStr">
        <is>
          <t>Robyn Meyer</t>
        </is>
      </c>
      <c r="B1748" t="inlineStr">
        <is>
          <t>Sponsor</t>
        </is>
      </c>
      <c r="C1748" t="inlineStr">
        <is>
          <t>SVP, Parcel Strategy &amp; Solutions</t>
        </is>
      </c>
      <c r="D1748" t="inlineStr">
        <is>
          <t>Transportation Insight</t>
        </is>
      </c>
      <c r="E1748" t="inlineStr">
        <is>
          <t>United States</t>
        </is>
      </c>
      <c r="H1748" t="n">
        <v>8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>
        <f>IFERROR(INDEX('Company Hitlist'!$AA:$AA,MATCH(D1748,'Company Hitlist'!$A:$A,0)),)</f>
        <v/>
      </c>
      <c r="O1748">
        <f>IFERROR(INDEX('Company Hitlist'!$N:$N,MATCH(D1748,'Company Hitlist'!$A:$A,0)),)</f>
        <v/>
      </c>
      <c r="Q1748" t="inlineStr">
        <is>
          <t>todo</t>
        </is>
      </c>
    </row>
    <row r="1749">
      <c r="A1749" t="inlineStr">
        <is>
          <t>Omer Shamay</t>
        </is>
      </c>
      <c r="B1749" t="inlineStr">
        <is>
          <t>Sponsor</t>
        </is>
      </c>
      <c r="C1749" t="inlineStr">
        <is>
          <t>CEO &amp; Co-Founder</t>
        </is>
      </c>
      <c r="D1749" t="inlineStr">
        <is>
          <t>Treedis</t>
        </is>
      </c>
      <c r="F1749" t="inlineStr">
        <is>
          <t>Yes</t>
        </is>
      </c>
      <c r="H1749" t="n">
        <v>8</v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  <c r="N1749">
        <f>IFERROR(INDEX('Company Hitlist'!$AA:$AA,MATCH(D1749,'Company Hitlist'!$A:$A,0)),)</f>
        <v/>
      </c>
      <c r="O1749">
        <f>IFERROR(INDEX('Company Hitlist'!$N:$N,MATCH(D1749,'Company Hitlist'!$A:$A,0)),)</f>
        <v/>
      </c>
      <c r="Q1749" t="inlineStr">
        <is>
          <t>todo</t>
        </is>
      </c>
    </row>
    <row r="1750">
      <c r="A1750" t="inlineStr">
        <is>
          <t>Pratapa Bernard</t>
        </is>
      </c>
      <c r="B1750" t="inlineStr">
        <is>
          <t>Sponsor</t>
        </is>
      </c>
      <c r="C1750" t="inlineStr">
        <is>
          <t>Vice President - Products &amp; Strategy</t>
        </is>
      </c>
      <c r="D1750" t="inlineStr">
        <is>
          <t>Trigent Inc</t>
        </is>
      </c>
      <c r="E1750" t="inlineStr">
        <is>
          <t>United States</t>
        </is>
      </c>
      <c r="H1750" t="n">
        <v>8</v>
      </c>
      <c r="I1750" t="b">
        <v>0</v>
      </c>
      <c r="J1750" t="b">
        <v>1</v>
      </c>
      <c r="K1750" t="b">
        <v>0</v>
      </c>
      <c r="L1750" t="b">
        <v>0</v>
      </c>
      <c r="M1750" t="b">
        <v>0</v>
      </c>
      <c r="N1750">
        <f>IFERROR(INDEX('Company Hitlist'!$AA:$AA,MATCH(D1750,'Company Hitlist'!$A:$A,0)),)</f>
        <v/>
      </c>
      <c r="O1750">
        <f>IFERROR(INDEX('Company Hitlist'!$N:$N,MATCH(D1750,'Company Hitlist'!$A:$A,0)),)</f>
        <v/>
      </c>
      <c r="Q1750" t="inlineStr">
        <is>
          <t>todo</t>
        </is>
      </c>
    </row>
    <row r="1751">
      <c r="A1751" t="inlineStr">
        <is>
          <t>Lynsey Schumacher</t>
        </is>
      </c>
      <c r="B1751" t="inlineStr">
        <is>
          <t>Sponsor</t>
        </is>
      </c>
      <c r="C1751" t="inlineStr">
        <is>
          <t>Head of Legal</t>
        </is>
      </c>
      <c r="D1751" t="inlineStr">
        <is>
          <t>Truckstop.com</t>
        </is>
      </c>
      <c r="E1751" t="inlineStr">
        <is>
          <t>United States</t>
        </is>
      </c>
      <c r="F1751" t="inlineStr">
        <is>
          <t>Yes</t>
        </is>
      </c>
      <c r="H1751" t="n">
        <v>8</v>
      </c>
      <c r="I1751" t="b">
        <v>0</v>
      </c>
      <c r="J1751" t="b">
        <v>1</v>
      </c>
      <c r="K1751" t="b">
        <v>0</v>
      </c>
      <c r="L1751" t="b">
        <v>0</v>
      </c>
      <c r="M1751" t="b">
        <v>0</v>
      </c>
      <c r="N1751">
        <f>IFERROR(INDEX('Company Hitlist'!$AA:$AA,MATCH(D1751,'Company Hitlist'!$A:$A,0)),)</f>
        <v/>
      </c>
      <c r="O1751">
        <f>IFERROR(INDEX('Company Hitlist'!$N:$N,MATCH(D1751,'Company Hitlist'!$A:$A,0)),)</f>
        <v/>
      </c>
      <c r="Q1751" t="inlineStr">
        <is>
          <t>todo</t>
        </is>
      </c>
    </row>
    <row r="1752">
      <c r="A1752" t="inlineStr">
        <is>
          <t>Mike Gross</t>
        </is>
      </c>
      <c r="B1752" t="inlineStr">
        <is>
          <t>Sponsor</t>
        </is>
      </c>
      <c r="C1752" t="inlineStr">
        <is>
          <t>Chief Strategy Officer</t>
        </is>
      </c>
      <c r="D1752" t="inlineStr">
        <is>
          <t>TrueCommerce</t>
        </is>
      </c>
      <c r="E1752" t="inlineStr">
        <is>
          <t>United States</t>
        </is>
      </c>
      <c r="F1752" t="inlineStr">
        <is>
          <t>Yes</t>
        </is>
      </c>
      <c r="H1752" t="n">
        <v>8</v>
      </c>
      <c r="I1752" t="b">
        <v>0</v>
      </c>
      <c r="J1752" t="b">
        <v>1</v>
      </c>
      <c r="K1752" t="b">
        <v>0</v>
      </c>
      <c r="L1752" t="b">
        <v>0</v>
      </c>
      <c r="M1752" t="b">
        <v>0</v>
      </c>
      <c r="N1752">
        <f>IFERROR(INDEX('Company Hitlist'!$AA:$AA,MATCH(D1752,'Company Hitlist'!$A:$A,0)),)</f>
        <v/>
      </c>
      <c r="O1752">
        <f>IFERROR(INDEX('Company Hitlist'!$N:$N,MATCH(D1752,'Company Hitlist'!$A:$A,0)),)</f>
        <v/>
      </c>
      <c r="Q1752" t="inlineStr">
        <is>
          <t>todo</t>
        </is>
      </c>
    </row>
    <row r="1753">
      <c r="A1753" t="inlineStr">
        <is>
          <t>Ben Emmrich</t>
        </is>
      </c>
      <c r="B1753" t="inlineStr">
        <is>
          <t>Sponsor</t>
        </is>
      </c>
      <c r="C1753" t="inlineStr">
        <is>
          <t>CEO and cofounder</t>
        </is>
      </c>
      <c r="D1753" t="inlineStr">
        <is>
          <t>Tusk</t>
        </is>
      </c>
      <c r="H1753" t="n">
        <v>8</v>
      </c>
      <c r="I1753" t="b">
        <v>0</v>
      </c>
      <c r="J1753" t="b">
        <v>1</v>
      </c>
      <c r="K1753" t="b">
        <v>0</v>
      </c>
      <c r="L1753" t="b">
        <v>0</v>
      </c>
      <c r="M1753" t="b">
        <v>0</v>
      </c>
      <c r="N1753">
        <f>IFERROR(INDEX('Company Hitlist'!$AA:$AA,MATCH(D1753,'Company Hitlist'!$A:$A,0)),)</f>
        <v/>
      </c>
      <c r="O1753">
        <f>IFERROR(INDEX('Company Hitlist'!$N:$N,MATCH(D1753,'Company Hitlist'!$A:$A,0)),)</f>
        <v/>
      </c>
      <c r="Q1753" t="inlineStr">
        <is>
          <t>todo</t>
        </is>
      </c>
    </row>
    <row r="1754">
      <c r="A1754" t="inlineStr">
        <is>
          <t>Kyle Bertin</t>
        </is>
      </c>
      <c r="B1754" t="inlineStr">
        <is>
          <t>Sponsor</t>
        </is>
      </c>
      <c r="C1754" t="inlineStr">
        <is>
          <t>Co-Founder &amp; CEO</t>
        </is>
      </c>
      <c r="D1754" t="inlineStr">
        <is>
          <t>Two Boxes</t>
        </is>
      </c>
      <c r="E1754" t="inlineStr">
        <is>
          <t>United States</t>
        </is>
      </c>
      <c r="F1754" t="inlineStr">
        <is>
          <t>Yes</t>
        </is>
      </c>
      <c r="H1754" t="n">
        <v>8</v>
      </c>
      <c r="I1754" t="b">
        <v>0</v>
      </c>
      <c r="J1754" t="b">
        <v>1</v>
      </c>
      <c r="K1754" t="b">
        <v>0</v>
      </c>
      <c r="L1754" t="b">
        <v>0</v>
      </c>
      <c r="M1754" t="b">
        <v>0</v>
      </c>
      <c r="N1754">
        <f>IFERROR(INDEX('Company Hitlist'!$AA:$AA,MATCH(D1754,'Company Hitlist'!$A:$A,0)),)</f>
        <v/>
      </c>
      <c r="O1754">
        <f>IFERROR(INDEX('Company Hitlist'!$N:$N,MATCH(D1754,'Company Hitlist'!$A:$A,0)),)</f>
        <v/>
      </c>
      <c r="Q1754" t="inlineStr">
        <is>
          <t>todo</t>
        </is>
      </c>
    </row>
    <row r="1755">
      <c r="A1755" t="inlineStr">
        <is>
          <t>Vikki Van Vliet</t>
        </is>
      </c>
      <c r="B1755" t="inlineStr">
        <is>
          <t>Sponsor</t>
        </is>
      </c>
      <c r="C1755" t="inlineStr">
        <is>
          <t>VP Freight Audit and Payment</t>
        </is>
      </c>
      <c r="D1755" t="inlineStr">
        <is>
          <t>U.S. Bank</t>
        </is>
      </c>
      <c r="E1755" t="inlineStr">
        <is>
          <t>United States</t>
        </is>
      </c>
      <c r="H1755" t="n">
        <v>8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  <c r="N1755">
        <f>IFERROR(INDEX('Company Hitlist'!$AA:$AA,MATCH(D1755,'Company Hitlist'!$A:$A,0)),)</f>
        <v/>
      </c>
      <c r="O1755">
        <f>IFERROR(INDEX('Company Hitlist'!$N:$N,MATCH(D1755,'Company Hitlist'!$A:$A,0)),)</f>
        <v/>
      </c>
      <c r="Q1755" t="inlineStr">
        <is>
          <t>todo</t>
        </is>
      </c>
    </row>
    <row r="1756">
      <c r="A1756" t="inlineStr">
        <is>
          <t>Aaron Freeman</t>
        </is>
      </c>
      <c r="B1756" t="inlineStr">
        <is>
          <t>Sponsor</t>
        </is>
      </c>
      <c r="C1756" t="inlineStr">
        <is>
          <t>CTO</t>
        </is>
      </c>
      <c r="D1756" t="inlineStr">
        <is>
          <t>UPWELL</t>
        </is>
      </c>
      <c r="E1756" t="inlineStr">
        <is>
          <t>United States</t>
        </is>
      </c>
      <c r="F1756" t="inlineStr">
        <is>
          <t>Yes</t>
        </is>
      </c>
      <c r="H1756" t="n">
        <v>8</v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  <c r="N1756">
        <f>IFERROR(INDEX('Company Hitlist'!$AA:$AA,MATCH(D1756,'Company Hitlist'!$A:$A,0)),)</f>
        <v/>
      </c>
      <c r="O1756">
        <f>IFERROR(INDEX('Company Hitlist'!$N:$N,MATCH(D1756,'Company Hitlist'!$A:$A,0)),)</f>
        <v/>
      </c>
      <c r="Q1756" t="inlineStr">
        <is>
          <t>todo</t>
        </is>
      </c>
    </row>
    <row r="1757">
      <c r="A1757" t="inlineStr">
        <is>
          <t>Kris Gjemre</t>
        </is>
      </c>
      <c r="B1757" t="inlineStr">
        <is>
          <t>Sponsor</t>
        </is>
      </c>
      <c r="C1757" t="inlineStr">
        <is>
          <t>VP of Solutions</t>
        </is>
      </c>
      <c r="D1757" t="inlineStr">
        <is>
          <t>UPWELL</t>
        </is>
      </c>
      <c r="E1757" t="inlineStr">
        <is>
          <t>United States</t>
        </is>
      </c>
      <c r="F1757" t="inlineStr">
        <is>
          <t>Yes</t>
        </is>
      </c>
      <c r="H1757" t="n">
        <v>8</v>
      </c>
      <c r="I1757" t="b">
        <v>0</v>
      </c>
      <c r="J1757" t="b">
        <v>1</v>
      </c>
      <c r="K1757" t="b">
        <v>0</v>
      </c>
      <c r="L1757" t="b">
        <v>0</v>
      </c>
      <c r="M1757" t="b">
        <v>0</v>
      </c>
      <c r="N1757">
        <f>IFERROR(INDEX('Company Hitlist'!$AA:$AA,MATCH(D1757,'Company Hitlist'!$A:$A,0)),)</f>
        <v/>
      </c>
      <c r="O1757">
        <f>IFERROR(INDEX('Company Hitlist'!$N:$N,MATCH(D1757,'Company Hitlist'!$A:$A,0)),)</f>
        <v/>
      </c>
      <c r="Q1757" t="inlineStr">
        <is>
          <t>todo</t>
        </is>
      </c>
    </row>
    <row r="1758">
      <c r="A1758" t="inlineStr">
        <is>
          <t>Charley Dehoney</t>
        </is>
      </c>
      <c r="B1758" t="inlineStr">
        <is>
          <t>Sponsor</t>
        </is>
      </c>
      <c r="C1758" t="inlineStr">
        <is>
          <t>CEO</t>
        </is>
      </c>
      <c r="D1758" t="inlineStr">
        <is>
          <t>UPWELL</t>
        </is>
      </c>
      <c r="F1758" t="inlineStr">
        <is>
          <t>Yes</t>
        </is>
      </c>
      <c r="H1758" t="n">
        <v>8</v>
      </c>
      <c r="I1758" t="b">
        <v>0</v>
      </c>
      <c r="J1758" t="b">
        <v>1</v>
      </c>
      <c r="K1758" t="b">
        <v>0</v>
      </c>
      <c r="L1758" t="b">
        <v>0</v>
      </c>
      <c r="M1758" t="b">
        <v>0</v>
      </c>
      <c r="N1758">
        <f>IFERROR(INDEX('Company Hitlist'!$AA:$AA,MATCH(D1758,'Company Hitlist'!$A:$A,0)),)</f>
        <v/>
      </c>
      <c r="O1758">
        <f>IFERROR(INDEX('Company Hitlist'!$N:$N,MATCH(D1758,'Company Hitlist'!$A:$A,0)),)</f>
        <v/>
      </c>
      <c r="Q1758" t="inlineStr">
        <is>
          <t>todo</t>
        </is>
      </c>
    </row>
    <row r="1759">
      <c r="A1759" t="inlineStr">
        <is>
          <t>Jon Miller Schwartz</t>
        </is>
      </c>
      <c r="B1759" t="inlineStr">
        <is>
          <t>Sponsor</t>
        </is>
      </c>
      <c r="C1759" t="inlineStr">
        <is>
          <t>CEO</t>
        </is>
      </c>
      <c r="D1759" t="inlineStr">
        <is>
          <t>Ultra</t>
        </is>
      </c>
      <c r="E1759" t="inlineStr">
        <is>
          <t>United States</t>
        </is>
      </c>
      <c r="H1759" t="n">
        <v>8</v>
      </c>
      <c r="I1759" t="b">
        <v>0</v>
      </c>
      <c r="J1759" t="b">
        <v>1</v>
      </c>
      <c r="K1759" t="b">
        <v>0</v>
      </c>
      <c r="L1759" t="b">
        <v>0</v>
      </c>
      <c r="M1759" t="b">
        <v>0</v>
      </c>
      <c r="N1759">
        <f>IFERROR(INDEX('Company Hitlist'!$AA:$AA,MATCH(D1759,'Company Hitlist'!$A:$A,0)),)</f>
        <v/>
      </c>
      <c r="O1759">
        <f>IFERROR(INDEX('Company Hitlist'!$N:$N,MATCH(D1759,'Company Hitlist'!$A:$A,0)),)</f>
        <v/>
      </c>
      <c r="Q1759" t="inlineStr">
        <is>
          <t>todo</t>
        </is>
      </c>
    </row>
    <row r="1760">
      <c r="A1760" t="inlineStr">
        <is>
          <t>Max Friefeld</t>
        </is>
      </c>
      <c r="B1760" t="inlineStr">
        <is>
          <t>Sponsor</t>
        </is>
      </c>
      <c r="C1760" t="inlineStr">
        <is>
          <t>Co-Founder &amp; COO</t>
        </is>
      </c>
      <c r="D1760" t="inlineStr">
        <is>
          <t>Ultra</t>
        </is>
      </c>
      <c r="E1760" t="inlineStr">
        <is>
          <t>United States</t>
        </is>
      </c>
      <c r="H1760" t="n">
        <v>8</v>
      </c>
      <c r="I1760" t="b">
        <v>0</v>
      </c>
      <c r="J1760" t="b">
        <v>1</v>
      </c>
      <c r="K1760" t="b">
        <v>0</v>
      </c>
      <c r="L1760" t="b">
        <v>0</v>
      </c>
      <c r="M1760" t="b">
        <v>0</v>
      </c>
      <c r="N1760">
        <f>IFERROR(INDEX('Company Hitlist'!$AA:$AA,MATCH(D1760,'Company Hitlist'!$A:$A,0)),)</f>
        <v/>
      </c>
      <c r="O1760">
        <f>IFERROR(INDEX('Company Hitlist'!$N:$N,MATCH(D1760,'Company Hitlist'!$A:$A,0)),)</f>
        <v/>
      </c>
      <c r="Q1760" t="inlineStr">
        <is>
          <t>todo</t>
        </is>
      </c>
    </row>
    <row r="1761">
      <c r="A1761" t="inlineStr">
        <is>
          <t>Nick Madahar</t>
        </is>
      </c>
      <c r="B1761" t="inlineStr">
        <is>
          <t>Sponsor</t>
        </is>
      </c>
      <c r="C1761" t="inlineStr">
        <is>
          <t>Chief Executive Officer</t>
        </is>
      </c>
      <c r="D1761" t="inlineStr">
        <is>
          <t>Ultraship TMS</t>
        </is>
      </c>
      <c r="F1761" t="inlineStr">
        <is>
          <t>Yes</t>
        </is>
      </c>
      <c r="H1761" t="n">
        <v>8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>
        <f>IFERROR(INDEX('Company Hitlist'!$AA:$AA,MATCH(D1761,'Company Hitlist'!$A:$A,0)),)</f>
        <v/>
      </c>
      <c r="O1761">
        <f>IFERROR(INDEX('Company Hitlist'!$N:$N,MATCH(D1761,'Company Hitlist'!$A:$A,0)),)</f>
        <v/>
      </c>
      <c r="Q1761" t="inlineStr">
        <is>
          <t>todo</t>
        </is>
      </c>
    </row>
    <row r="1762">
      <c r="A1762" t="inlineStr">
        <is>
          <t>Pramod Ghadge</t>
        </is>
      </c>
      <c r="B1762" t="inlineStr">
        <is>
          <t>Sponsor</t>
        </is>
      </c>
      <c r="C1762" t="inlineStr">
        <is>
          <t>CEO</t>
        </is>
      </c>
      <c r="D1762" t="inlineStr">
        <is>
          <t>Unbox Robotics Inc</t>
        </is>
      </c>
      <c r="F1762" t="inlineStr">
        <is>
          <t>Yes</t>
        </is>
      </c>
      <c r="H1762" t="n">
        <v>8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  <c r="N1762">
        <f>IFERROR(INDEX('Company Hitlist'!$AA:$AA,MATCH(D1762,'Company Hitlist'!$A:$A,0)),)</f>
        <v/>
      </c>
      <c r="O1762">
        <f>IFERROR(INDEX('Company Hitlist'!$N:$N,MATCH(D1762,'Company Hitlist'!$A:$A,0)),)</f>
        <v/>
      </c>
      <c r="Q1762" t="inlineStr">
        <is>
          <t>todo</t>
        </is>
      </c>
    </row>
    <row r="1763">
      <c r="A1763" t="inlineStr">
        <is>
          <t>Curtis Garrett</t>
        </is>
      </c>
      <c r="B1763" t="inlineStr">
        <is>
          <t>Sponsor</t>
        </is>
      </c>
      <c r="C1763" t="inlineStr">
        <is>
          <t>CEO</t>
        </is>
      </c>
      <c r="D1763" t="inlineStr">
        <is>
          <t>Understand LTL &amp; rateHero</t>
        </is>
      </c>
      <c r="H1763" t="n">
        <v>8</v>
      </c>
      <c r="I1763" t="b">
        <v>0</v>
      </c>
      <c r="J1763" t="b">
        <v>1</v>
      </c>
      <c r="K1763" t="b">
        <v>0</v>
      </c>
      <c r="L1763" t="b">
        <v>0</v>
      </c>
      <c r="M1763" t="b">
        <v>0</v>
      </c>
      <c r="N1763">
        <f>IFERROR(INDEX('Company Hitlist'!$AA:$AA,MATCH(D1763,'Company Hitlist'!$A:$A,0)),)</f>
        <v/>
      </c>
      <c r="O1763">
        <f>IFERROR(INDEX('Company Hitlist'!$N:$N,MATCH(D1763,'Company Hitlist'!$A:$A,0)),)</f>
        <v/>
      </c>
      <c r="Q1763" t="inlineStr">
        <is>
          <t>todo</t>
        </is>
      </c>
    </row>
    <row r="1764">
      <c r="A1764" t="inlineStr">
        <is>
          <t>Ron Castaldo</t>
        </is>
      </c>
      <c r="B1764" t="inlineStr">
        <is>
          <t>Sponsor</t>
        </is>
      </c>
      <c r="C1764" t="inlineStr">
        <is>
          <t>CEO</t>
        </is>
      </c>
      <c r="D1764" t="inlineStr">
        <is>
          <t>United Delivery Service, Ltd.</t>
        </is>
      </c>
      <c r="E1764" t="inlineStr">
        <is>
          <t>United States</t>
        </is>
      </c>
      <c r="F1764" t="inlineStr">
        <is>
          <t>Yes</t>
        </is>
      </c>
      <c r="H1764" t="n">
        <v>8</v>
      </c>
      <c r="I1764" t="b">
        <v>0</v>
      </c>
      <c r="J1764" t="b">
        <v>1</v>
      </c>
      <c r="K1764" t="b">
        <v>0</v>
      </c>
      <c r="L1764" t="b">
        <v>0</v>
      </c>
      <c r="M1764" t="b">
        <v>0</v>
      </c>
      <c r="N1764">
        <f>IFERROR(INDEX('Company Hitlist'!$AA:$AA,MATCH(D1764,'Company Hitlist'!$A:$A,0)),)</f>
        <v/>
      </c>
      <c r="O1764">
        <f>IFERROR(INDEX('Company Hitlist'!$N:$N,MATCH(D1764,'Company Hitlist'!$A:$A,0)),)</f>
        <v/>
      </c>
      <c r="Q1764" t="inlineStr">
        <is>
          <t>todo</t>
        </is>
      </c>
    </row>
    <row r="1765">
      <c r="A1765" t="inlineStr">
        <is>
          <t>Karl Iagnemma</t>
        </is>
      </c>
      <c r="B1765" t="inlineStr">
        <is>
          <t>Sponsor</t>
        </is>
      </c>
      <c r="C1765" t="inlineStr">
        <is>
          <t>CEO</t>
        </is>
      </c>
      <c r="D1765" t="inlineStr">
        <is>
          <t>Vecna Robotics</t>
        </is>
      </c>
      <c r="E1765" t="inlineStr">
        <is>
          <t>United States</t>
        </is>
      </c>
      <c r="F1765" t="inlineStr">
        <is>
          <t>Yes</t>
        </is>
      </c>
      <c r="G1765" t="inlineStr">
        <is>
          <t>$23.2 million (2025)</t>
        </is>
      </c>
      <c r="H1765" t="n">
        <v>8</v>
      </c>
      <c r="I1765" t="b">
        <v>0</v>
      </c>
      <c r="J1765" t="b">
        <v>1</v>
      </c>
      <c r="K1765" t="b">
        <v>0</v>
      </c>
      <c r="L1765" t="b">
        <v>0</v>
      </c>
      <c r="M1765" t="b">
        <v>0</v>
      </c>
      <c r="N1765">
        <f>IFERROR(INDEX('Company Hitlist'!$AA:$AA,MATCH(D1765,'Company Hitlist'!$A:$A,0)),)</f>
        <v/>
      </c>
      <c r="O1765">
        <f>IFERROR(INDEX('Company Hitlist'!$N:$N,MATCH(D1765,'Company Hitlist'!$A:$A,0)),)</f>
        <v/>
      </c>
      <c r="Q1765" t="inlineStr">
        <is>
          <t>todo</t>
        </is>
      </c>
    </row>
    <row r="1766">
      <c r="A1766" t="inlineStr">
        <is>
          <t>Rich Bohne</t>
        </is>
      </c>
      <c r="B1766" t="inlineStr">
        <is>
          <t>Sponsor</t>
        </is>
      </c>
      <c r="C1766" t="inlineStr">
        <is>
          <t>Chief Commercial Officer</t>
        </is>
      </c>
      <c r="D1766" t="inlineStr">
        <is>
          <t>Vecna Robotics</t>
        </is>
      </c>
      <c r="E1766" t="inlineStr">
        <is>
          <t>United States</t>
        </is>
      </c>
      <c r="F1766" t="inlineStr">
        <is>
          <t>Yes</t>
        </is>
      </c>
      <c r="G1766" t="inlineStr">
        <is>
          <t>$23.2 million (2025)</t>
        </is>
      </c>
      <c r="H1766" t="n">
        <v>8</v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  <c r="N1766">
        <f>IFERROR(INDEX('Company Hitlist'!$AA:$AA,MATCH(D1766,'Company Hitlist'!$A:$A,0)),)</f>
        <v/>
      </c>
      <c r="O1766">
        <f>IFERROR(INDEX('Company Hitlist'!$N:$N,MATCH(D1766,'Company Hitlist'!$A:$A,0)),)</f>
        <v/>
      </c>
      <c r="Q1766" t="inlineStr">
        <is>
          <t>todo</t>
        </is>
      </c>
    </row>
    <row r="1767">
      <c r="A1767" t="inlineStr">
        <is>
          <t>Yifan Lu</t>
        </is>
      </c>
      <c r="B1767" t="inlineStr">
        <is>
          <t>Sponsor</t>
        </is>
      </c>
      <c r="C1767" t="inlineStr">
        <is>
          <t>Senior Director, Strategy and Chief of Staff</t>
        </is>
      </c>
      <c r="D1767" t="inlineStr">
        <is>
          <t>Vecna Robotics</t>
        </is>
      </c>
      <c r="E1767" t="inlineStr">
        <is>
          <t>United States</t>
        </is>
      </c>
      <c r="F1767" t="inlineStr">
        <is>
          <t>Yes</t>
        </is>
      </c>
      <c r="G1767" t="inlineStr">
        <is>
          <t>$23.2 million (2025)</t>
        </is>
      </c>
      <c r="H1767" t="n">
        <v>8</v>
      </c>
      <c r="I1767" t="b">
        <v>0</v>
      </c>
      <c r="J1767" t="b">
        <v>1</v>
      </c>
      <c r="K1767" t="b">
        <v>0</v>
      </c>
      <c r="L1767" t="b">
        <v>0</v>
      </c>
      <c r="M1767" t="b">
        <v>0</v>
      </c>
      <c r="N1767">
        <f>IFERROR(INDEX('Company Hitlist'!$AA:$AA,MATCH(D1767,'Company Hitlist'!$A:$A,0)),)</f>
        <v/>
      </c>
      <c r="O1767">
        <f>IFERROR(INDEX('Company Hitlist'!$N:$N,MATCH(D1767,'Company Hitlist'!$A:$A,0)),)</f>
        <v/>
      </c>
      <c r="Q1767" t="inlineStr">
        <is>
          <t>todo</t>
        </is>
      </c>
    </row>
    <row r="1768">
      <c r="A1768" t="inlineStr">
        <is>
          <t>Bart Schulman</t>
        </is>
      </c>
      <c r="B1768" t="inlineStr">
        <is>
          <t>Sponsor</t>
        </is>
      </c>
      <c r="C1768" t="inlineStr">
        <is>
          <t>Chief Commercial Officer</t>
        </is>
      </c>
      <c r="D1768" t="inlineStr">
        <is>
          <t>Vectura Risk Management</t>
        </is>
      </c>
      <c r="H1768" t="n">
        <v>8</v>
      </c>
      <c r="I1768" t="b">
        <v>0</v>
      </c>
      <c r="J1768" t="b">
        <v>1</v>
      </c>
      <c r="K1768" t="b">
        <v>0</v>
      </c>
      <c r="L1768" t="b">
        <v>0</v>
      </c>
      <c r="M1768" t="b">
        <v>0</v>
      </c>
      <c r="N1768">
        <f>IFERROR(INDEX('Company Hitlist'!$AA:$AA,MATCH(D1768,'Company Hitlist'!$A:$A,0)),)</f>
        <v/>
      </c>
      <c r="O1768">
        <f>IFERROR(INDEX('Company Hitlist'!$N:$N,MATCH(D1768,'Company Hitlist'!$A:$A,0)),)</f>
        <v/>
      </c>
      <c r="Q1768" t="inlineStr">
        <is>
          <t>todo</t>
        </is>
      </c>
    </row>
    <row r="1769">
      <c r="A1769" t="inlineStr">
        <is>
          <t>Hank Emerson</t>
        </is>
      </c>
      <c r="B1769" t="inlineStr">
        <is>
          <t>Sponsor</t>
        </is>
      </c>
      <c r="C1769" t="inlineStr">
        <is>
          <t>Head of Strategic Partnerships</t>
        </is>
      </c>
      <c r="D1769" t="inlineStr">
        <is>
          <t>Veho</t>
        </is>
      </c>
      <c r="F1769" t="inlineStr">
        <is>
          <t>Yes</t>
        </is>
      </c>
      <c r="G1769" t="inlineStr">
        <is>
          <t>$21M (2025 est.) (ICP match)</t>
        </is>
      </c>
      <c r="H1769" t="n">
        <v>8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  <c r="N1769">
        <f>IFERROR(INDEX('Company Hitlist'!$AA:$AA,MATCH(D1769,'Company Hitlist'!$A:$A,0)),)</f>
        <v/>
      </c>
      <c r="O1769">
        <f>IFERROR(INDEX('Company Hitlist'!$N:$N,MATCH(D1769,'Company Hitlist'!$A:$A,0)),)</f>
        <v/>
      </c>
      <c r="Q1769" t="inlineStr">
        <is>
          <t>todo</t>
        </is>
      </c>
    </row>
    <row r="1770">
      <c r="A1770" t="inlineStr">
        <is>
          <t>Doug Moss</t>
        </is>
      </c>
      <c r="B1770" t="inlineStr">
        <is>
          <t>Sponsor</t>
        </is>
      </c>
      <c r="C1770" t="inlineStr">
        <is>
          <t>VP of Partnerships</t>
        </is>
      </c>
      <c r="D1770" t="inlineStr">
        <is>
          <t>Vendidit</t>
        </is>
      </c>
      <c r="F1770" t="inlineStr">
        <is>
          <t>Yes</t>
        </is>
      </c>
      <c r="H1770" t="n">
        <v>8</v>
      </c>
      <c r="I1770" t="b">
        <v>0</v>
      </c>
      <c r="J1770" t="b">
        <v>1</v>
      </c>
      <c r="K1770" t="b">
        <v>0</v>
      </c>
      <c r="L1770" t="b">
        <v>0</v>
      </c>
      <c r="M1770" t="b">
        <v>0</v>
      </c>
      <c r="N1770">
        <f>IFERROR(INDEX('Company Hitlist'!$AA:$AA,MATCH(D1770,'Company Hitlist'!$A:$A,0)),)</f>
        <v/>
      </c>
      <c r="O1770">
        <f>IFERROR(INDEX('Company Hitlist'!$N:$N,MATCH(D1770,'Company Hitlist'!$A:$A,0)),)</f>
        <v/>
      </c>
      <c r="Q1770" t="inlineStr">
        <is>
          <t>todo</t>
        </is>
      </c>
    </row>
    <row r="1771">
      <c r="A1771" t="inlineStr">
        <is>
          <t>Anna Criswell</t>
        </is>
      </c>
      <c r="B1771" t="inlineStr">
        <is>
          <t>Attendee</t>
        </is>
      </c>
      <c r="C1771" t="inlineStr">
        <is>
          <t>Procurement Manager</t>
        </is>
      </c>
      <c r="D1771" t="inlineStr">
        <is>
          <t>Vusion</t>
        </is>
      </c>
      <c r="E1771" t="inlineStr">
        <is>
          <t>United States</t>
        </is>
      </c>
      <c r="H1771" t="n">
        <v>8</v>
      </c>
      <c r="I1771" t="b">
        <v>0</v>
      </c>
      <c r="J1771" t="b">
        <v>0</v>
      </c>
      <c r="K1771" t="b">
        <v>0</v>
      </c>
      <c r="L1771" t="b">
        <v>1</v>
      </c>
      <c r="M1771" t="b">
        <v>0</v>
      </c>
      <c r="N1771">
        <f>IFERROR(INDEX('Company Hitlist'!$AA:$AA,MATCH(D1771,'Company Hitlist'!$A:$A,0)),)</f>
        <v/>
      </c>
      <c r="O1771">
        <f>IFERROR(INDEX('Company Hitlist'!$N:$N,MATCH(D1771,'Company Hitlist'!$A:$A,0)),)</f>
        <v/>
      </c>
      <c r="Q1771" t="inlineStr">
        <is>
          <t>todo</t>
        </is>
      </c>
    </row>
    <row r="1772">
      <c r="A1772" t="inlineStr">
        <is>
          <t>Genna Mobley</t>
        </is>
      </c>
      <c r="B1772" t="inlineStr">
        <is>
          <t>Attendee</t>
        </is>
      </c>
      <c r="C1772" t="inlineStr">
        <is>
          <t>Director, Purchasing - North America</t>
        </is>
      </c>
      <c r="D1772" t="inlineStr">
        <is>
          <t>Vusion</t>
        </is>
      </c>
      <c r="H1772" t="n">
        <v>8</v>
      </c>
      <c r="I1772" t="b">
        <v>0</v>
      </c>
      <c r="J1772" t="b">
        <v>0</v>
      </c>
      <c r="K1772" t="b">
        <v>0</v>
      </c>
      <c r="L1772" t="b">
        <v>1</v>
      </c>
      <c r="M1772" t="b">
        <v>0</v>
      </c>
      <c r="N1772">
        <f>IFERROR(INDEX('Company Hitlist'!$AA:$AA,MATCH(D1772,'Company Hitlist'!$A:$A,0)),)</f>
        <v/>
      </c>
      <c r="O1772">
        <f>IFERROR(INDEX('Company Hitlist'!$N:$N,MATCH(D1772,'Company Hitlist'!$A:$A,0)),)</f>
        <v/>
      </c>
      <c r="Q1772" t="inlineStr">
        <is>
          <t>todo</t>
        </is>
      </c>
    </row>
    <row r="1773">
      <c r="A1773" t="inlineStr">
        <is>
          <t>Brian Majerus</t>
        </is>
      </c>
      <c r="B1773" t="inlineStr">
        <is>
          <t>Sponsor</t>
        </is>
      </c>
      <c r="C1773" t="inlineStr">
        <is>
          <t>Vice President</t>
        </is>
      </c>
      <c r="D1773" t="inlineStr">
        <is>
          <t>WCAworld</t>
        </is>
      </c>
      <c r="E1773" t="inlineStr">
        <is>
          <t>United States</t>
        </is>
      </c>
      <c r="F1773" t="inlineStr">
        <is>
          <t>Yes</t>
        </is>
      </c>
      <c r="H1773" t="n">
        <v>8</v>
      </c>
      <c r="I1773" t="b">
        <v>0</v>
      </c>
      <c r="J1773" t="b">
        <v>1</v>
      </c>
      <c r="K1773" t="b">
        <v>0</v>
      </c>
      <c r="L1773" t="b">
        <v>0</v>
      </c>
      <c r="M1773" t="b">
        <v>0</v>
      </c>
      <c r="N1773">
        <f>IFERROR(INDEX('Company Hitlist'!$AA:$AA,MATCH(D1773,'Company Hitlist'!$A:$A,0)),)</f>
        <v/>
      </c>
      <c r="O1773">
        <f>IFERROR(INDEX('Company Hitlist'!$N:$N,MATCH(D1773,'Company Hitlist'!$A:$A,0)),)</f>
        <v/>
      </c>
      <c r="Q1773" t="inlineStr">
        <is>
          <t>todo</t>
        </is>
      </c>
    </row>
    <row r="1774">
      <c r="A1774" t="inlineStr">
        <is>
          <t>Sripad Bharati</t>
        </is>
      </c>
      <c r="B1774" t="inlineStr">
        <is>
          <t>Sponsor</t>
        </is>
      </c>
      <c r="C1774" t="inlineStr">
        <is>
          <t>CIO</t>
        </is>
      </c>
      <c r="D1774" t="inlineStr">
        <is>
          <t>WCAworld</t>
        </is>
      </c>
      <c r="E1774" t="inlineStr">
        <is>
          <t>United States</t>
        </is>
      </c>
      <c r="F1774" t="inlineStr">
        <is>
          <t>Yes</t>
        </is>
      </c>
      <c r="H1774" t="n">
        <v>8</v>
      </c>
      <c r="I1774" t="b">
        <v>0</v>
      </c>
      <c r="J1774" t="b">
        <v>1</v>
      </c>
      <c r="K1774" t="b">
        <v>0</v>
      </c>
      <c r="L1774" t="b">
        <v>0</v>
      </c>
      <c r="M1774" t="b">
        <v>0</v>
      </c>
      <c r="N1774">
        <f>IFERROR(INDEX('Company Hitlist'!$AA:$AA,MATCH(D1774,'Company Hitlist'!$A:$A,0)),)</f>
        <v/>
      </c>
      <c r="O1774">
        <f>IFERROR(INDEX('Company Hitlist'!$N:$N,MATCH(D1774,'Company Hitlist'!$A:$A,0)),)</f>
        <v/>
      </c>
      <c r="Q1774" t="inlineStr">
        <is>
          <t>todo</t>
        </is>
      </c>
    </row>
    <row r="1775">
      <c r="A1775" t="inlineStr">
        <is>
          <t>Matt Schroeder</t>
        </is>
      </c>
      <c r="B1775" t="inlineStr">
        <is>
          <t>Sponsor</t>
        </is>
      </c>
      <c r="C1775" t="inlineStr">
        <is>
          <t>President of Kase</t>
        </is>
      </c>
      <c r="D1775" t="inlineStr">
        <is>
          <t>WSI | KASE</t>
        </is>
      </c>
      <c r="E1775" t="inlineStr">
        <is>
          <t>United States</t>
        </is>
      </c>
      <c r="F1775" t="inlineStr">
        <is>
          <t>Yes</t>
        </is>
      </c>
      <c r="H1775" t="n">
        <v>8</v>
      </c>
      <c r="I1775" t="b">
        <v>0</v>
      </c>
      <c r="J1775" t="b">
        <v>1</v>
      </c>
      <c r="K1775" t="b">
        <v>0</v>
      </c>
      <c r="L1775" t="b">
        <v>0</v>
      </c>
      <c r="M1775" t="b">
        <v>0</v>
      </c>
      <c r="N1775">
        <f>IFERROR(INDEX('Company Hitlist'!$AA:$AA,MATCH(D1775,'Company Hitlist'!$A:$A,0)),)</f>
        <v/>
      </c>
      <c r="O1775">
        <f>IFERROR(INDEX('Company Hitlist'!$N:$N,MATCH(D1775,'Company Hitlist'!$A:$A,0)),)</f>
        <v/>
      </c>
      <c r="Q1775" t="inlineStr">
        <is>
          <t>todo</t>
        </is>
      </c>
    </row>
    <row r="1776">
      <c r="A1776" t="inlineStr">
        <is>
          <t>Paul Simmons</t>
        </is>
      </c>
      <c r="B1776" t="inlineStr">
        <is>
          <t>Sponsor</t>
        </is>
      </c>
      <c r="C1776" t="inlineStr">
        <is>
          <t>President</t>
        </is>
      </c>
      <c r="D1776" t="inlineStr">
        <is>
          <t>WSI | KASE</t>
        </is>
      </c>
      <c r="F1776" t="inlineStr">
        <is>
          <t>Yes</t>
        </is>
      </c>
      <c r="H1776" t="n">
        <v>8</v>
      </c>
      <c r="I1776" t="b">
        <v>0</v>
      </c>
      <c r="J1776" t="b">
        <v>1</v>
      </c>
      <c r="K1776" t="b">
        <v>0</v>
      </c>
      <c r="L1776" t="b">
        <v>0</v>
      </c>
      <c r="M1776" t="b">
        <v>0</v>
      </c>
      <c r="N1776">
        <f>IFERROR(INDEX('Company Hitlist'!$AA:$AA,MATCH(D1776,'Company Hitlist'!$A:$A,0)),)</f>
        <v/>
      </c>
      <c r="O1776">
        <f>IFERROR(INDEX('Company Hitlist'!$N:$N,MATCH(D1776,'Company Hitlist'!$A:$A,0)),)</f>
        <v/>
      </c>
      <c r="Q1776" t="inlineStr">
        <is>
          <t>todo</t>
        </is>
      </c>
    </row>
    <row r="1777">
      <c r="A1777" t="inlineStr">
        <is>
          <t>Jessica Kane</t>
        </is>
      </c>
      <c r="B1777" t="inlineStr">
        <is>
          <t>Sponsor</t>
        </is>
      </c>
      <c r="C1777" t="inlineStr">
        <is>
          <t>VP, Product</t>
        </is>
      </c>
      <c r="D1777" t="inlineStr">
        <is>
          <t>Wabash</t>
        </is>
      </c>
      <c r="E1777" t="inlineStr">
        <is>
          <t>United States</t>
        </is>
      </c>
      <c r="F1777" t="inlineStr">
        <is>
          <t>Yes</t>
        </is>
      </c>
      <c r="G1777" t="inlineStr">
        <is>
          <t>1946740000</t>
        </is>
      </c>
      <c r="H1777" t="n">
        <v>8</v>
      </c>
      <c r="I1777" t="b">
        <v>0</v>
      </c>
      <c r="J1777" t="b">
        <v>1</v>
      </c>
      <c r="K1777" t="b">
        <v>0</v>
      </c>
      <c r="L1777" t="b">
        <v>0</v>
      </c>
      <c r="M1777" t="b">
        <v>0</v>
      </c>
      <c r="N1777">
        <f>IFERROR(INDEX('Company Hitlist'!$AA:$AA,MATCH(D1777,'Company Hitlist'!$A:$A,0)),)</f>
        <v/>
      </c>
      <c r="O1777">
        <f>IFERROR(INDEX('Company Hitlist'!$N:$N,MATCH(D1777,'Company Hitlist'!$A:$A,0)),)</f>
        <v/>
      </c>
      <c r="Q1777" t="inlineStr">
        <is>
          <t>todo</t>
        </is>
      </c>
    </row>
    <row r="1778">
      <c r="A1778" t="inlineStr">
        <is>
          <t>Andy Otterman</t>
        </is>
      </c>
      <c r="B1778" t="inlineStr">
        <is>
          <t>Sponsor</t>
        </is>
      </c>
      <c r="C1778" t="inlineStr">
        <is>
          <t>VP, Technology</t>
        </is>
      </c>
      <c r="D1778" t="inlineStr">
        <is>
          <t>Wabash</t>
        </is>
      </c>
      <c r="F1778" t="inlineStr">
        <is>
          <t>Yes</t>
        </is>
      </c>
      <c r="G1778" t="inlineStr">
        <is>
          <t>1946740000</t>
        </is>
      </c>
      <c r="H1778" t="n">
        <v>8</v>
      </c>
      <c r="I1778" t="b">
        <v>0</v>
      </c>
      <c r="J1778" t="b">
        <v>1</v>
      </c>
      <c r="K1778" t="b">
        <v>0</v>
      </c>
      <c r="L1778" t="b">
        <v>0</v>
      </c>
      <c r="M1778" t="b">
        <v>0</v>
      </c>
      <c r="N1778">
        <f>IFERROR(INDEX('Company Hitlist'!$AA:$AA,MATCH(D1778,'Company Hitlist'!$A:$A,0)),)</f>
        <v/>
      </c>
      <c r="O1778">
        <f>IFERROR(INDEX('Company Hitlist'!$N:$N,MATCH(D1778,'Company Hitlist'!$A:$A,0)),)</f>
        <v/>
      </c>
      <c r="Q1778" t="inlineStr">
        <is>
          <t>todo</t>
        </is>
      </c>
    </row>
    <row r="1779">
      <c r="A1779" t="inlineStr">
        <is>
          <t>Erin Mitchell</t>
        </is>
      </c>
      <c r="B1779" t="inlineStr">
        <is>
          <t>Sponsor</t>
        </is>
      </c>
      <c r="C1779" t="inlineStr">
        <is>
          <t>Chief Operating Officer</t>
        </is>
      </c>
      <c r="D1779" t="inlineStr">
        <is>
          <t>YMX Logistics</t>
        </is>
      </c>
      <c r="E1779" t="inlineStr">
        <is>
          <t>United States</t>
        </is>
      </c>
      <c r="F1779" t="inlineStr">
        <is>
          <t>Yes</t>
        </is>
      </c>
      <c r="H1779" t="n">
        <v>8</v>
      </c>
      <c r="I1779" t="b">
        <v>0</v>
      </c>
      <c r="J1779" t="b">
        <v>1</v>
      </c>
      <c r="K1779" t="b">
        <v>0</v>
      </c>
      <c r="L1779" t="b">
        <v>0</v>
      </c>
      <c r="M1779" t="b">
        <v>0</v>
      </c>
      <c r="N1779">
        <f>IFERROR(INDEX('Company Hitlist'!$AA:$AA,MATCH(D1779,'Company Hitlist'!$A:$A,0)),)</f>
        <v/>
      </c>
      <c r="O1779">
        <f>IFERROR(INDEX('Company Hitlist'!$N:$N,MATCH(D1779,'Company Hitlist'!$A:$A,0)),)</f>
        <v/>
      </c>
      <c r="Q1779" t="inlineStr">
        <is>
          <t>todo</t>
        </is>
      </c>
    </row>
    <row r="1780">
      <c r="A1780" t="inlineStr">
        <is>
          <t>Jeff Hiller</t>
        </is>
      </c>
      <c r="B1780" t="inlineStr">
        <is>
          <t>Sponsor</t>
        </is>
      </c>
      <c r="C1780" t="inlineStr">
        <is>
          <t>Vice President of Product Management</t>
        </is>
      </c>
      <c r="D1780" t="inlineStr">
        <is>
          <t>YMX Logistics</t>
        </is>
      </c>
      <c r="E1780" t="inlineStr">
        <is>
          <t>United States</t>
        </is>
      </c>
      <c r="F1780" t="inlineStr">
        <is>
          <t>Yes</t>
        </is>
      </c>
      <c r="H1780" t="n">
        <v>8</v>
      </c>
      <c r="I1780" t="b">
        <v>0</v>
      </c>
      <c r="J1780" t="b">
        <v>1</v>
      </c>
      <c r="K1780" t="b">
        <v>0</v>
      </c>
      <c r="L1780" t="b">
        <v>0</v>
      </c>
      <c r="M1780" t="b">
        <v>0</v>
      </c>
      <c r="N1780">
        <f>IFERROR(INDEX('Company Hitlist'!$AA:$AA,MATCH(D1780,'Company Hitlist'!$A:$A,0)),)</f>
        <v/>
      </c>
      <c r="O1780">
        <f>IFERROR(INDEX('Company Hitlist'!$N:$N,MATCH(D1780,'Company Hitlist'!$A:$A,0)),)</f>
        <v/>
      </c>
      <c r="Q1780" t="inlineStr">
        <is>
          <t>todo</t>
        </is>
      </c>
    </row>
    <row r="1781">
      <c r="A1781" t="inlineStr">
        <is>
          <t>Joel Norris</t>
        </is>
      </c>
      <c r="B1781" t="inlineStr">
        <is>
          <t>Sponsor</t>
        </is>
      </c>
      <c r="C1781" t="inlineStr">
        <is>
          <t>Chief Commercial Officer</t>
        </is>
      </c>
      <c r="D1781" t="inlineStr">
        <is>
          <t>YMX Logistics</t>
        </is>
      </c>
      <c r="E1781" t="inlineStr">
        <is>
          <t>United States</t>
        </is>
      </c>
      <c r="F1781" t="inlineStr">
        <is>
          <t>Yes</t>
        </is>
      </c>
      <c r="H1781" t="n">
        <v>8</v>
      </c>
      <c r="I1781" t="b">
        <v>0</v>
      </c>
      <c r="J1781" t="b">
        <v>1</v>
      </c>
      <c r="K1781" t="b">
        <v>0</v>
      </c>
      <c r="L1781" t="b">
        <v>0</v>
      </c>
      <c r="M1781" t="b">
        <v>0</v>
      </c>
      <c r="N1781">
        <f>IFERROR(INDEX('Company Hitlist'!$AA:$AA,MATCH(D1781,'Company Hitlist'!$A:$A,0)),)</f>
        <v/>
      </c>
      <c r="O1781">
        <f>IFERROR(INDEX('Company Hitlist'!$N:$N,MATCH(D1781,'Company Hitlist'!$A:$A,0)),)</f>
        <v/>
      </c>
      <c r="Q1781" t="inlineStr">
        <is>
          <t>todo</t>
        </is>
      </c>
    </row>
    <row r="1782">
      <c r="A1782" t="inlineStr">
        <is>
          <t>Mike Green</t>
        </is>
      </c>
      <c r="B1782" t="inlineStr">
        <is>
          <t>Sponsor</t>
        </is>
      </c>
      <c r="C1782" t="inlineStr">
        <is>
          <t>Vice President</t>
        </is>
      </c>
      <c r="D1782" t="inlineStr">
        <is>
          <t>YMX Logistics</t>
        </is>
      </c>
      <c r="E1782" t="inlineStr">
        <is>
          <t>United States</t>
        </is>
      </c>
      <c r="F1782" t="inlineStr">
        <is>
          <t>Yes</t>
        </is>
      </c>
      <c r="H1782" t="n">
        <v>8</v>
      </c>
      <c r="I1782" t="b">
        <v>0</v>
      </c>
      <c r="J1782" t="b">
        <v>1</v>
      </c>
      <c r="K1782" t="b">
        <v>0</v>
      </c>
      <c r="L1782" t="b">
        <v>0</v>
      </c>
      <c r="M1782" t="b">
        <v>0</v>
      </c>
      <c r="N1782">
        <f>IFERROR(INDEX('Company Hitlist'!$AA:$AA,MATCH(D1782,'Company Hitlist'!$A:$A,0)),)</f>
        <v/>
      </c>
      <c r="O1782">
        <f>IFERROR(INDEX('Company Hitlist'!$N:$N,MATCH(D1782,'Company Hitlist'!$A:$A,0)),)</f>
        <v/>
      </c>
      <c r="Q1782" t="inlineStr">
        <is>
          <t>todo</t>
        </is>
      </c>
    </row>
    <row r="1783">
      <c r="A1783" t="inlineStr">
        <is>
          <t>Colin Mansfield</t>
        </is>
      </c>
      <c r="B1783" t="inlineStr">
        <is>
          <t>Sponsor</t>
        </is>
      </c>
      <c r="C1783" t="inlineStr">
        <is>
          <t>Company Vice President</t>
        </is>
      </c>
      <c r="D1783" t="inlineStr">
        <is>
          <t>Yard Management Solutions</t>
        </is>
      </c>
      <c r="F1783" t="inlineStr">
        <is>
          <t>Yes</t>
        </is>
      </c>
      <c r="H1783" t="n">
        <v>8</v>
      </c>
      <c r="I1783" t="b">
        <v>0</v>
      </c>
      <c r="J1783" t="b">
        <v>1</v>
      </c>
      <c r="K1783" t="b">
        <v>0</v>
      </c>
      <c r="L1783" t="b">
        <v>0</v>
      </c>
      <c r="M1783" t="b">
        <v>0</v>
      </c>
      <c r="N1783">
        <f>IFERROR(INDEX('Company Hitlist'!$AA:$AA,MATCH(D1783,'Company Hitlist'!$A:$A,0)),)</f>
        <v/>
      </c>
      <c r="O1783">
        <f>IFERROR(INDEX('Company Hitlist'!$N:$N,MATCH(D1783,'Company Hitlist'!$A:$A,0)),)</f>
        <v/>
      </c>
      <c r="Q1783" t="inlineStr">
        <is>
          <t>todo</t>
        </is>
      </c>
    </row>
    <row r="1784">
      <c r="A1784" t="inlineStr">
        <is>
          <t>Octavio Miranda</t>
        </is>
      </c>
      <c r="B1784" t="inlineStr">
        <is>
          <t>Attendee</t>
        </is>
      </c>
      <c r="C1784" t="inlineStr">
        <is>
          <t>Purchasing Director</t>
        </is>
      </c>
      <c r="D1784" t="inlineStr">
        <is>
          <t>Yazaki North America</t>
        </is>
      </c>
      <c r="H1784" t="n">
        <v>8</v>
      </c>
      <c r="I1784" t="b">
        <v>0</v>
      </c>
      <c r="J1784" t="b">
        <v>0</v>
      </c>
      <c r="K1784" t="b">
        <v>0</v>
      </c>
      <c r="L1784" t="b">
        <v>1</v>
      </c>
      <c r="M1784" t="b">
        <v>0</v>
      </c>
      <c r="N1784">
        <f>IFERROR(INDEX('Company Hitlist'!$AA:$AA,MATCH(D1784,'Company Hitlist'!$A:$A,0)),)</f>
        <v/>
      </c>
      <c r="O1784">
        <f>IFERROR(INDEX('Company Hitlist'!$N:$N,MATCH(D1784,'Company Hitlist'!$A:$A,0)),)</f>
        <v/>
      </c>
      <c r="Q1784" t="inlineStr">
        <is>
          <t>todo</t>
        </is>
      </c>
    </row>
    <row r="1785">
      <c r="A1785" t="inlineStr">
        <is>
          <t>Reinaldo Marin</t>
        </is>
      </c>
      <c r="B1785" t="inlineStr">
        <is>
          <t>Sponsor</t>
        </is>
      </c>
      <c r="C1785" t="inlineStr">
        <is>
          <t>COO</t>
        </is>
      </c>
      <c r="D1785" t="inlineStr">
        <is>
          <t>Zero Down Supply Chain Solutions</t>
        </is>
      </c>
      <c r="F1785" t="inlineStr">
        <is>
          <t>Yes</t>
        </is>
      </c>
      <c r="G1785" t="inlineStr">
        <is>
          <t>54436000</t>
        </is>
      </c>
      <c r="H1785" t="n">
        <v>8</v>
      </c>
      <c r="I1785" t="b">
        <v>0</v>
      </c>
      <c r="J1785" t="b">
        <v>1</v>
      </c>
      <c r="K1785" t="b">
        <v>0</v>
      </c>
      <c r="L1785" t="b">
        <v>0</v>
      </c>
      <c r="M1785" t="b">
        <v>0</v>
      </c>
      <c r="N1785">
        <f>IFERROR(INDEX('Company Hitlist'!$AA:$AA,MATCH(D1785,'Company Hitlist'!$A:$A,0)),)</f>
        <v/>
      </c>
      <c r="O1785">
        <f>IFERROR(INDEX('Company Hitlist'!$N:$N,MATCH(D1785,'Company Hitlist'!$A:$A,0)),)</f>
        <v/>
      </c>
      <c r="Q1785" t="inlineStr">
        <is>
          <t>todo</t>
        </is>
      </c>
    </row>
    <row r="1786">
      <c r="A1786" t="inlineStr">
        <is>
          <t>Maria J Marti</t>
        </is>
      </c>
      <c r="B1786" t="inlineStr">
        <is>
          <t>Sponsor</t>
        </is>
      </c>
      <c r="C1786" t="inlineStr">
        <is>
          <t>CEO</t>
        </is>
      </c>
      <c r="D1786" t="inlineStr">
        <is>
          <t>ZeroError</t>
        </is>
      </c>
      <c r="E1786" t="inlineStr">
        <is>
          <t>United States</t>
        </is>
      </c>
      <c r="F1786" t="inlineStr">
        <is>
          <t>Yes</t>
        </is>
      </c>
      <c r="H1786" t="n">
        <v>8</v>
      </c>
      <c r="I1786" t="b">
        <v>0</v>
      </c>
      <c r="J1786" t="b">
        <v>1</v>
      </c>
      <c r="K1786" t="b">
        <v>0</v>
      </c>
      <c r="L1786" t="b">
        <v>0</v>
      </c>
      <c r="M1786" t="b">
        <v>0</v>
      </c>
      <c r="N1786">
        <f>IFERROR(INDEX('Company Hitlist'!$AA:$AA,MATCH(D1786,'Company Hitlist'!$A:$A,0)),)</f>
        <v/>
      </c>
      <c r="O1786">
        <f>IFERROR(INDEX('Company Hitlist'!$N:$N,MATCH(D1786,'Company Hitlist'!$A:$A,0)),)</f>
        <v/>
      </c>
      <c r="Q1786" t="inlineStr">
        <is>
          <t>todo</t>
        </is>
      </c>
    </row>
    <row r="1787">
      <c r="A1787" t="inlineStr">
        <is>
          <t>Elvis Cavalic</t>
        </is>
      </c>
      <c r="B1787" t="inlineStr">
        <is>
          <t>Sponsor</t>
        </is>
      </c>
      <c r="C1787" t="inlineStr">
        <is>
          <t>Head of Product</t>
        </is>
      </c>
      <c r="D1787" t="inlineStr">
        <is>
          <t>Zipments</t>
        </is>
      </c>
      <c r="E1787" t="inlineStr">
        <is>
          <t>Canada</t>
        </is>
      </c>
      <c r="F1787" t="inlineStr">
        <is>
          <t>Yes</t>
        </is>
      </c>
      <c r="H1787" t="n">
        <v>8</v>
      </c>
      <c r="I1787" t="b">
        <v>0</v>
      </c>
      <c r="J1787" t="b">
        <v>1</v>
      </c>
      <c r="K1787" t="b">
        <v>0</v>
      </c>
      <c r="L1787" t="b">
        <v>0</v>
      </c>
      <c r="M1787" t="b">
        <v>0</v>
      </c>
      <c r="N1787">
        <f>IFERROR(INDEX('Company Hitlist'!$AA:$AA,MATCH(D1787,'Company Hitlist'!$A:$A,0)),)</f>
        <v/>
      </c>
      <c r="O1787">
        <f>IFERROR(INDEX('Company Hitlist'!$N:$N,MATCH(D1787,'Company Hitlist'!$A:$A,0)),)</f>
        <v/>
      </c>
      <c r="Q1787" t="inlineStr">
        <is>
          <t>todo</t>
        </is>
      </c>
    </row>
    <row r="1788">
      <c r="A1788" t="inlineStr">
        <is>
          <t>Steve Bozicevic</t>
        </is>
      </c>
      <c r="B1788" t="inlineStr">
        <is>
          <t>Sponsor</t>
        </is>
      </c>
      <c r="C1788" t="inlineStr">
        <is>
          <t>CEO</t>
        </is>
      </c>
      <c r="D1788" t="inlineStr">
        <is>
          <t>Zipments</t>
        </is>
      </c>
      <c r="E1788" t="inlineStr">
        <is>
          <t>Canada</t>
        </is>
      </c>
      <c r="F1788" t="inlineStr">
        <is>
          <t>Yes</t>
        </is>
      </c>
      <c r="H1788" t="n">
        <v>8</v>
      </c>
      <c r="I1788" t="b">
        <v>0</v>
      </c>
      <c r="J1788" t="b">
        <v>1</v>
      </c>
      <c r="K1788" t="b">
        <v>0</v>
      </c>
      <c r="L1788" t="b">
        <v>0</v>
      </c>
      <c r="M1788" t="b">
        <v>0</v>
      </c>
      <c r="N1788">
        <f>IFERROR(INDEX('Company Hitlist'!$AA:$AA,MATCH(D1788,'Company Hitlist'!$A:$A,0)),)</f>
        <v/>
      </c>
      <c r="O1788">
        <f>IFERROR(INDEX('Company Hitlist'!$N:$N,MATCH(D1788,'Company Hitlist'!$A:$A,0)),)</f>
        <v/>
      </c>
      <c r="Q1788" t="inlineStr">
        <is>
          <t>todo</t>
        </is>
      </c>
    </row>
    <row r="1789">
      <c r="A1789" t="inlineStr">
        <is>
          <t>Georgy Melkonyan</t>
        </is>
      </c>
      <c r="B1789" t="inlineStr">
        <is>
          <t>Sponsor</t>
        </is>
      </c>
      <c r="C1789" t="inlineStr">
        <is>
          <t>CEO &amp; Founder</t>
        </is>
      </c>
      <c r="D1789" t="inlineStr">
        <is>
          <t>arnata</t>
        </is>
      </c>
      <c r="F1789" t="inlineStr">
        <is>
          <t>Yes</t>
        </is>
      </c>
      <c r="H1789" t="n">
        <v>8</v>
      </c>
      <c r="I1789" t="b">
        <v>0</v>
      </c>
      <c r="J1789" t="b">
        <v>1</v>
      </c>
      <c r="K1789" t="b">
        <v>0</v>
      </c>
      <c r="L1789" t="b">
        <v>0</v>
      </c>
      <c r="M1789" t="b">
        <v>0</v>
      </c>
      <c r="N1789">
        <f>IFERROR(INDEX('Company Hitlist'!$AA:$AA,MATCH(D1789,'Company Hitlist'!$A:$A,0)),)</f>
        <v/>
      </c>
      <c r="O1789">
        <f>IFERROR(INDEX('Company Hitlist'!$N:$N,MATCH(D1789,'Company Hitlist'!$A:$A,0)),)</f>
        <v/>
      </c>
      <c r="Q1789" t="inlineStr">
        <is>
          <t>todo</t>
        </is>
      </c>
    </row>
    <row r="1790">
      <c r="A1790" t="inlineStr">
        <is>
          <t>Kirk Sternberg</t>
        </is>
      </c>
      <c r="B1790" t="inlineStr">
        <is>
          <t>Sponsor</t>
        </is>
      </c>
      <c r="C1790" t="inlineStr">
        <is>
          <t>VP, Strategic Accounts</t>
        </is>
      </c>
      <c r="D1790" t="inlineStr">
        <is>
          <t>e2open - WiseTech Global Group</t>
        </is>
      </c>
      <c r="F1790" t="inlineStr">
        <is>
          <t>Yes</t>
        </is>
      </c>
      <c r="H1790" t="n">
        <v>8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  <c r="N1790">
        <f>IFERROR(INDEX('Company Hitlist'!$AA:$AA,MATCH(D1790,'Company Hitlist'!$A:$A,0)),)</f>
        <v/>
      </c>
      <c r="O1790">
        <f>IFERROR(INDEX('Company Hitlist'!$N:$N,MATCH(D1790,'Company Hitlist'!$A:$A,0)),)</f>
        <v/>
      </c>
      <c r="Q1790" t="inlineStr">
        <is>
          <t>todo</t>
        </is>
      </c>
    </row>
    <row r="1791">
      <c r="A1791" t="inlineStr">
        <is>
          <t>Nate Rosier</t>
        </is>
      </c>
      <c r="B1791" t="inlineStr">
        <is>
          <t>Sponsor</t>
        </is>
      </c>
      <c r="C1791" t="inlineStr">
        <is>
          <t>Senior Vice President</t>
        </is>
      </c>
      <c r="D1791" t="inlineStr">
        <is>
          <t>enVista</t>
        </is>
      </c>
      <c r="H1791" t="n">
        <v>8</v>
      </c>
      <c r="I1791" t="b">
        <v>0</v>
      </c>
      <c r="J1791" t="b">
        <v>1</v>
      </c>
      <c r="K1791" t="b">
        <v>0</v>
      </c>
      <c r="L1791" t="b">
        <v>0</v>
      </c>
      <c r="M1791" t="b">
        <v>0</v>
      </c>
      <c r="N1791">
        <f>IFERROR(INDEX('Company Hitlist'!$AA:$AA,MATCH(D1791,'Company Hitlist'!$A:$A,0)),)</f>
        <v/>
      </c>
      <c r="O1791">
        <f>IFERROR(INDEX('Company Hitlist'!$N:$N,MATCH(D1791,'Company Hitlist'!$A:$A,0)),)</f>
        <v/>
      </c>
      <c r="Q1791" t="inlineStr">
        <is>
          <t>todo</t>
        </is>
      </c>
    </row>
    <row r="1792">
      <c r="A1792" t="inlineStr">
        <is>
          <t>Gururaj Rao</t>
        </is>
      </c>
      <c r="B1792" t="inlineStr">
        <is>
          <t>Sponsor</t>
        </is>
      </c>
      <c r="C1792" t="inlineStr">
        <is>
          <t>CEO</t>
        </is>
      </c>
      <c r="D1792" t="inlineStr">
        <is>
          <t>nuVizz Inc.</t>
        </is>
      </c>
      <c r="E1792" t="inlineStr">
        <is>
          <t>United States</t>
        </is>
      </c>
      <c r="F1792" t="inlineStr">
        <is>
          <t>Yes</t>
        </is>
      </c>
      <c r="H1792" t="n">
        <v>8</v>
      </c>
      <c r="I1792" t="b">
        <v>0</v>
      </c>
      <c r="J1792" t="b">
        <v>1</v>
      </c>
      <c r="K1792" t="b">
        <v>0</v>
      </c>
      <c r="L1792" t="b">
        <v>0</v>
      </c>
      <c r="M1792" t="b">
        <v>0</v>
      </c>
      <c r="N1792">
        <f>IFERROR(INDEX('Company Hitlist'!$AA:$AA,MATCH(D1792,'Company Hitlist'!$A:$A,0)),)</f>
        <v/>
      </c>
      <c r="O1792">
        <f>IFERROR(INDEX('Company Hitlist'!$N:$N,MATCH(D1792,'Company Hitlist'!$A:$A,0)),)</f>
        <v/>
      </c>
      <c r="Q1792" t="inlineStr">
        <is>
          <t>todo</t>
        </is>
      </c>
    </row>
    <row r="1793">
      <c r="A1793" t="inlineStr">
        <is>
          <t>Erik Ruby</t>
        </is>
      </c>
      <c r="B1793" t="inlineStr">
        <is>
          <t>Sponsor</t>
        </is>
      </c>
      <c r="C1793" t="inlineStr">
        <is>
          <t>Chief Commercial Officer</t>
        </is>
      </c>
      <c r="D1793" t="inlineStr">
        <is>
          <t>super.AI</t>
        </is>
      </c>
      <c r="E1793" t="inlineStr">
        <is>
          <t>United States</t>
        </is>
      </c>
      <c r="F1793" t="inlineStr">
        <is>
          <t>Yes</t>
        </is>
      </c>
      <c r="H1793" t="n">
        <v>8</v>
      </c>
      <c r="I1793" t="b">
        <v>0</v>
      </c>
      <c r="J1793" t="b">
        <v>1</v>
      </c>
      <c r="K1793" t="b">
        <v>0</v>
      </c>
      <c r="L1793" t="b">
        <v>0</v>
      </c>
      <c r="M1793" t="b">
        <v>0</v>
      </c>
      <c r="N1793">
        <f>IFERROR(INDEX('Company Hitlist'!$AA:$AA,MATCH(D1793,'Company Hitlist'!$A:$A,0)),)</f>
        <v/>
      </c>
      <c r="O1793">
        <f>IFERROR(INDEX('Company Hitlist'!$N:$N,MATCH(D1793,'Company Hitlist'!$A:$A,0)),)</f>
        <v/>
      </c>
      <c r="Q1793" t="inlineStr">
        <is>
          <t>todo</t>
        </is>
      </c>
    </row>
    <row r="1794">
      <c r="A1794" t="inlineStr">
        <is>
          <t>Maxwell Warner</t>
        </is>
      </c>
      <c r="B1794" t="inlineStr">
        <is>
          <t>Sponsor</t>
        </is>
      </c>
      <c r="C1794" t="inlineStr">
        <is>
          <t>Head of Solutions Engineering</t>
        </is>
      </c>
      <c r="D1794" t="inlineStr">
        <is>
          <t>super.AI</t>
        </is>
      </c>
      <c r="E1794" t="inlineStr">
        <is>
          <t>United States</t>
        </is>
      </c>
      <c r="F1794" t="inlineStr">
        <is>
          <t>Yes</t>
        </is>
      </c>
      <c r="H1794" t="n">
        <v>8</v>
      </c>
      <c r="I1794" t="b">
        <v>0</v>
      </c>
      <c r="J1794" t="b">
        <v>1</v>
      </c>
      <c r="K1794" t="b">
        <v>0</v>
      </c>
      <c r="L1794" t="b">
        <v>0</v>
      </c>
      <c r="M1794" t="b">
        <v>0</v>
      </c>
      <c r="N1794">
        <f>IFERROR(INDEX('Company Hitlist'!$AA:$AA,MATCH(D1794,'Company Hitlist'!$A:$A,0)),)</f>
        <v/>
      </c>
      <c r="O1794">
        <f>IFERROR(INDEX('Company Hitlist'!$N:$N,MATCH(D1794,'Company Hitlist'!$A:$A,0)),)</f>
        <v/>
      </c>
      <c r="Q1794" t="inlineStr">
        <is>
          <t>todo</t>
        </is>
      </c>
    </row>
    <row r="1795">
      <c r="A1795" t="inlineStr">
        <is>
          <t>Benjamin Kwon</t>
        </is>
      </c>
      <c r="B1795" t="inlineStr">
        <is>
          <t>Sponsor</t>
        </is>
      </c>
      <c r="C1795" t="inlineStr">
        <is>
          <t>CEO</t>
        </is>
      </c>
      <c r="D1795" t="inlineStr">
        <is>
          <t>super.AI</t>
        </is>
      </c>
      <c r="F1795" t="inlineStr">
        <is>
          <t>Yes</t>
        </is>
      </c>
      <c r="H1795" t="n">
        <v>8</v>
      </c>
      <c r="I1795" t="b">
        <v>0</v>
      </c>
      <c r="J1795" t="b">
        <v>1</v>
      </c>
      <c r="K1795" t="b">
        <v>0</v>
      </c>
      <c r="L1795" t="b">
        <v>0</v>
      </c>
      <c r="M1795" t="b">
        <v>0</v>
      </c>
      <c r="N1795">
        <f>IFERROR(INDEX('Company Hitlist'!$AA:$AA,MATCH(D1795,'Company Hitlist'!$A:$A,0)),)</f>
        <v/>
      </c>
      <c r="O1795">
        <f>IFERROR(INDEX('Company Hitlist'!$N:$N,MATCH(D1795,'Company Hitlist'!$A:$A,0)),)</f>
        <v/>
      </c>
      <c r="Q1795" t="inlineStr">
        <is>
          <t>todo</t>
        </is>
      </c>
    </row>
    <row r="1796">
      <c r="A1796" t="inlineStr">
        <is>
          <t>Tiago Sottomayor</t>
        </is>
      </c>
      <c r="B1796" t="inlineStr">
        <is>
          <t>Sponsor</t>
        </is>
      </c>
      <c r="C1796" t="inlineStr">
        <is>
          <t>Chief Technology Officer</t>
        </is>
      </c>
      <c r="D1796" t="inlineStr">
        <is>
          <t>vaibe</t>
        </is>
      </c>
      <c r="F1796" t="inlineStr">
        <is>
          <t>Yes</t>
        </is>
      </c>
      <c r="H1796" t="n">
        <v>8</v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  <c r="N1796">
        <f>IFERROR(INDEX('Company Hitlist'!$AA:$AA,MATCH(D1796,'Company Hitlist'!$A:$A,0)),)</f>
        <v/>
      </c>
      <c r="O1796">
        <f>IFERROR(INDEX('Company Hitlist'!$N:$N,MATCH(D1796,'Company Hitlist'!$A:$A,0)),)</f>
        <v/>
      </c>
      <c r="Q1796" t="inlineStr">
        <is>
          <t>todo</t>
        </is>
      </c>
    </row>
    <row r="1797">
      <c r="A1797" t="inlineStr">
        <is>
          <t>Justin McKessy</t>
        </is>
      </c>
      <c r="B1797" t="inlineStr">
        <is>
          <t>Attendee</t>
        </is>
      </c>
      <c r="C1797" t="inlineStr">
        <is>
          <t>President</t>
        </is>
      </c>
      <c r="D1797" t="inlineStr">
        <is>
          <t>1st Choice Freight</t>
        </is>
      </c>
      <c r="E1797" t="inlineStr">
        <is>
          <t>United States</t>
        </is>
      </c>
      <c r="F1797" t="inlineStr">
        <is>
          <t>Yes</t>
        </is>
      </c>
      <c r="H1797" t="n">
        <v>6</v>
      </c>
      <c r="I1797" t="b">
        <v>0</v>
      </c>
      <c r="J1797" t="b">
        <v>1</v>
      </c>
      <c r="K1797" t="b">
        <v>0</v>
      </c>
      <c r="L1797" t="b">
        <v>0</v>
      </c>
      <c r="M1797" t="b">
        <v>0</v>
      </c>
      <c r="N1797">
        <f>IFERROR(INDEX('Company Hitlist'!$AA:$AA,MATCH(D1797,'Company Hitlist'!$A:$A,0)),)</f>
        <v/>
      </c>
      <c r="O1797">
        <f>IFERROR(INDEX('Company Hitlist'!$N:$N,MATCH(D1797,'Company Hitlist'!$A:$A,0)),)</f>
        <v/>
      </c>
      <c r="Q1797" t="inlineStr">
        <is>
          <t>todo</t>
        </is>
      </c>
    </row>
    <row r="1798">
      <c r="A1798" t="inlineStr">
        <is>
          <t>Kashif Raza</t>
        </is>
      </c>
      <c r="B1798" t="inlineStr">
        <is>
          <t>Attendee</t>
        </is>
      </c>
      <c r="C1798" t="inlineStr">
        <is>
          <t>CEO</t>
        </is>
      </c>
      <c r="D1798" t="inlineStr">
        <is>
          <t>3Linx</t>
        </is>
      </c>
      <c r="F1798" t="inlineStr">
        <is>
          <t>Yes</t>
        </is>
      </c>
      <c r="H1798" t="n">
        <v>6</v>
      </c>
      <c r="I1798" t="b">
        <v>0</v>
      </c>
      <c r="J1798" t="b">
        <v>1</v>
      </c>
      <c r="K1798" t="b">
        <v>0</v>
      </c>
      <c r="L1798" t="b">
        <v>0</v>
      </c>
      <c r="M1798" t="b">
        <v>0</v>
      </c>
      <c r="N1798">
        <f>IFERROR(INDEX('Company Hitlist'!$AA:$AA,MATCH(D1798,'Company Hitlist'!$A:$A,0)),)</f>
        <v/>
      </c>
      <c r="O1798">
        <f>IFERROR(INDEX('Company Hitlist'!$N:$N,MATCH(D1798,'Company Hitlist'!$A:$A,0)),)</f>
        <v/>
      </c>
      <c r="Q1798" t="inlineStr">
        <is>
          <t>todo</t>
        </is>
      </c>
    </row>
    <row r="1799">
      <c r="A1799" t="inlineStr">
        <is>
          <t>Cameron Robertson</t>
        </is>
      </c>
      <c r="B1799" t="inlineStr">
        <is>
          <t>Attendee</t>
        </is>
      </c>
      <c r="C1799" t="inlineStr">
        <is>
          <t>President &amp; CEO</t>
        </is>
      </c>
      <c r="D1799" t="inlineStr">
        <is>
          <t>3PL Systems, Inc.</t>
        </is>
      </c>
      <c r="E1799" t="inlineStr">
        <is>
          <t>United States</t>
        </is>
      </c>
      <c r="F1799" t="inlineStr">
        <is>
          <t>Yes</t>
        </is>
      </c>
      <c r="H1799" t="n">
        <v>6</v>
      </c>
      <c r="I1799" t="b">
        <v>0</v>
      </c>
      <c r="J1799" t="b">
        <v>1</v>
      </c>
      <c r="K1799" t="b">
        <v>0</v>
      </c>
      <c r="L1799" t="b">
        <v>0</v>
      </c>
      <c r="M1799" t="b">
        <v>0</v>
      </c>
      <c r="N1799">
        <f>IFERROR(INDEX('Company Hitlist'!$AA:$AA,MATCH(D1799,'Company Hitlist'!$A:$A,0)),)</f>
        <v/>
      </c>
      <c r="O1799">
        <f>IFERROR(INDEX('Company Hitlist'!$N:$N,MATCH(D1799,'Company Hitlist'!$A:$A,0)),)</f>
        <v/>
      </c>
      <c r="Q1799" t="inlineStr">
        <is>
          <t>todo</t>
        </is>
      </c>
    </row>
    <row r="1800">
      <c r="A1800" t="inlineStr">
        <is>
          <t>Chris Valante</t>
        </is>
      </c>
      <c r="B1800" t="inlineStr">
        <is>
          <t>Attendee</t>
        </is>
      </c>
      <c r="C1800" t="inlineStr">
        <is>
          <t>VP, Dedicated Solutions</t>
        </is>
      </c>
      <c r="D1800" t="inlineStr">
        <is>
          <t>A. Duie Pyle</t>
        </is>
      </c>
      <c r="E1800" t="inlineStr">
        <is>
          <t>United States</t>
        </is>
      </c>
      <c r="F1800" t="inlineStr">
        <is>
          <t>Yes</t>
        </is>
      </c>
      <c r="H1800" t="n">
        <v>6</v>
      </c>
      <c r="I1800" t="b">
        <v>0</v>
      </c>
      <c r="J1800" t="b">
        <v>1</v>
      </c>
      <c r="K1800" t="b">
        <v>0</v>
      </c>
      <c r="L1800" t="b">
        <v>0</v>
      </c>
      <c r="M1800" t="b">
        <v>0</v>
      </c>
      <c r="N1800">
        <f>IFERROR(INDEX('Company Hitlist'!$AA:$AA,MATCH(D1800,'Company Hitlist'!$A:$A,0)),)</f>
        <v/>
      </c>
      <c r="O1800">
        <f>IFERROR(INDEX('Company Hitlist'!$N:$N,MATCH(D1800,'Company Hitlist'!$A:$A,0)),)</f>
        <v/>
      </c>
      <c r="Q1800" t="inlineStr">
        <is>
          <t>todo</t>
        </is>
      </c>
    </row>
    <row r="1801">
      <c r="A1801" t="inlineStr">
        <is>
          <t>Shawn McGee</t>
        </is>
      </c>
      <c r="B1801" t="inlineStr">
        <is>
          <t>Attendee</t>
        </is>
      </c>
      <c r="C1801" t="inlineStr">
        <is>
          <t>VP, National Accounts</t>
        </is>
      </c>
      <c r="D1801" t="inlineStr">
        <is>
          <t>A. Duie Pyle</t>
        </is>
      </c>
      <c r="E1801" t="inlineStr">
        <is>
          <t>United States</t>
        </is>
      </c>
      <c r="F1801" t="inlineStr">
        <is>
          <t>Yes</t>
        </is>
      </c>
      <c r="H1801" t="n">
        <v>6</v>
      </c>
      <c r="I1801" t="b">
        <v>0</v>
      </c>
      <c r="J1801" t="b">
        <v>1</v>
      </c>
      <c r="K1801" t="b">
        <v>0</v>
      </c>
      <c r="L1801" t="b">
        <v>0</v>
      </c>
      <c r="M1801" t="b">
        <v>0</v>
      </c>
      <c r="N1801">
        <f>IFERROR(INDEX('Company Hitlist'!$AA:$AA,MATCH(D1801,'Company Hitlist'!$A:$A,0)),)</f>
        <v/>
      </c>
      <c r="O1801">
        <f>IFERROR(INDEX('Company Hitlist'!$N:$N,MATCH(D1801,'Company Hitlist'!$A:$A,0)),)</f>
        <v/>
      </c>
      <c r="Q1801" t="inlineStr">
        <is>
          <t>todo</t>
        </is>
      </c>
    </row>
    <row r="1802">
      <c r="A1802" t="inlineStr">
        <is>
          <t>Hezi Benzaken</t>
        </is>
      </c>
      <c r="B1802" t="inlineStr">
        <is>
          <t>Attendee</t>
        </is>
      </c>
      <c r="C1802" t="inlineStr">
        <is>
          <t>Head of AI Enablement</t>
        </is>
      </c>
      <c r="D1802" t="inlineStr">
        <is>
          <t>ADAMA</t>
        </is>
      </c>
      <c r="E1802" t="inlineStr">
        <is>
          <t>Israel</t>
        </is>
      </c>
      <c r="H1802" t="n">
        <v>6</v>
      </c>
      <c r="I1802" t="b">
        <v>0</v>
      </c>
      <c r="J1802" t="b">
        <v>1</v>
      </c>
      <c r="K1802" t="b">
        <v>0</v>
      </c>
      <c r="L1802" t="b">
        <v>0</v>
      </c>
      <c r="M1802" t="b">
        <v>0</v>
      </c>
      <c r="N1802">
        <f>IFERROR(INDEX('Company Hitlist'!$AA:$AA,MATCH(D1802,'Company Hitlist'!$A:$A,0)),)</f>
        <v/>
      </c>
      <c r="O1802">
        <f>IFERROR(INDEX('Company Hitlist'!$N:$N,MATCH(D1802,'Company Hitlist'!$A:$A,0)),)</f>
        <v/>
      </c>
      <c r="Q1802" t="inlineStr">
        <is>
          <t>todo</t>
        </is>
      </c>
    </row>
    <row r="1803">
      <c r="A1803" t="inlineStr">
        <is>
          <t>Bryan Bilchik</t>
        </is>
      </c>
      <c r="B1803" t="inlineStr">
        <is>
          <t>Attendee</t>
        </is>
      </c>
      <c r="C1803" t="inlineStr">
        <is>
          <t>Senior Vice President of Technology</t>
        </is>
      </c>
      <c r="D1803" t="inlineStr">
        <is>
          <t>ADL Final Mile</t>
        </is>
      </c>
      <c r="E1803" t="inlineStr">
        <is>
          <t>United States</t>
        </is>
      </c>
      <c r="F1803" t="inlineStr">
        <is>
          <t>Yes</t>
        </is>
      </c>
      <c r="H1803" t="n">
        <v>6</v>
      </c>
      <c r="I1803" t="b">
        <v>0</v>
      </c>
      <c r="J1803" t="b">
        <v>1</v>
      </c>
      <c r="K1803" t="b">
        <v>0</v>
      </c>
      <c r="L1803" t="b">
        <v>0</v>
      </c>
      <c r="M1803" t="b">
        <v>0</v>
      </c>
      <c r="N1803">
        <f>IFERROR(INDEX('Company Hitlist'!$AA:$AA,MATCH(D1803,'Company Hitlist'!$A:$A,0)),)</f>
        <v/>
      </c>
      <c r="O1803">
        <f>IFERROR(INDEX('Company Hitlist'!$N:$N,MATCH(D1803,'Company Hitlist'!$A:$A,0)),)</f>
        <v/>
      </c>
      <c r="Q1803" t="inlineStr">
        <is>
          <t>todo</t>
        </is>
      </c>
    </row>
    <row r="1804">
      <c r="A1804" t="inlineStr">
        <is>
          <t>Monte OHara</t>
        </is>
      </c>
      <c r="B1804" t="inlineStr">
        <is>
          <t>Attendee</t>
        </is>
      </c>
      <c r="C1804" t="inlineStr">
        <is>
          <t>CEO</t>
        </is>
      </c>
      <c r="D1804" t="inlineStr">
        <is>
          <t>ADL Final Mile</t>
        </is>
      </c>
      <c r="E1804" t="inlineStr">
        <is>
          <t>United States</t>
        </is>
      </c>
      <c r="F1804" t="inlineStr">
        <is>
          <t>Yes</t>
        </is>
      </c>
      <c r="H1804" t="n">
        <v>6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  <c r="N1804">
        <f>IFERROR(INDEX('Company Hitlist'!$AA:$AA,MATCH(D1804,'Company Hitlist'!$A:$A,0)),)</f>
        <v/>
      </c>
      <c r="O1804">
        <f>IFERROR(INDEX('Company Hitlist'!$N:$N,MATCH(D1804,'Company Hitlist'!$A:$A,0)),)</f>
        <v/>
      </c>
      <c r="Q1804" t="inlineStr">
        <is>
          <t>todo</t>
        </is>
      </c>
    </row>
    <row r="1805">
      <c r="A1805" t="inlineStr">
        <is>
          <t>Rajat Jain</t>
        </is>
      </c>
      <c r="B1805" t="inlineStr">
        <is>
          <t>Attendee</t>
        </is>
      </c>
      <c r="C1805" t="inlineStr">
        <is>
          <t>Chief Technology Officer</t>
        </is>
      </c>
      <c r="D1805" t="inlineStr">
        <is>
          <t>AEO</t>
        </is>
      </c>
      <c r="F1805" t="inlineStr">
        <is>
          <t>Yes</t>
        </is>
      </c>
      <c r="H1805" t="n">
        <v>6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  <c r="N1805">
        <f>IFERROR(INDEX('Company Hitlist'!$AA:$AA,MATCH(D1805,'Company Hitlist'!$A:$A,0)),)</f>
        <v/>
      </c>
      <c r="O1805">
        <f>IFERROR(INDEX('Company Hitlist'!$N:$N,MATCH(D1805,'Company Hitlist'!$A:$A,0)),)</f>
        <v/>
      </c>
      <c r="Q1805" t="inlineStr">
        <is>
          <t>todo</t>
        </is>
      </c>
    </row>
    <row r="1806">
      <c r="A1806" t="inlineStr">
        <is>
          <t>Alden Miles</t>
        </is>
      </c>
      <c r="B1806" t="inlineStr">
        <is>
          <t>Attendee</t>
        </is>
      </c>
      <c r="C1806" t="inlineStr">
        <is>
          <t>General Manager</t>
        </is>
      </c>
      <c r="D1806" t="inlineStr">
        <is>
          <t>AEO Inc</t>
        </is>
      </c>
      <c r="H1806" t="n">
        <v>6</v>
      </c>
      <c r="I1806" t="b">
        <v>0</v>
      </c>
      <c r="J1806" t="b">
        <v>1</v>
      </c>
      <c r="K1806" t="b">
        <v>0</v>
      </c>
      <c r="L1806" t="b">
        <v>0</v>
      </c>
      <c r="M1806" t="b">
        <v>0</v>
      </c>
      <c r="N1806">
        <f>IFERROR(INDEX('Company Hitlist'!$AA:$AA,MATCH(D1806,'Company Hitlist'!$A:$A,0)),)</f>
        <v/>
      </c>
      <c r="O1806">
        <f>IFERROR(INDEX('Company Hitlist'!$N:$N,MATCH(D1806,'Company Hitlist'!$A:$A,0)),)</f>
        <v/>
      </c>
      <c r="Q1806" t="inlineStr">
        <is>
          <t>todo</t>
        </is>
      </c>
    </row>
    <row r="1807">
      <c r="A1807" t="inlineStr">
        <is>
          <t>Marcus Arbelbide</t>
        </is>
      </c>
      <c r="B1807" t="inlineStr">
        <is>
          <t>Attendee</t>
        </is>
      </c>
      <c r="C1807" t="inlineStr">
        <is>
          <t>VP of Enterprise Accounts</t>
        </is>
      </c>
      <c r="D1807" t="inlineStr">
        <is>
          <t>AFS Logistics LLC</t>
        </is>
      </c>
      <c r="E1807" t="inlineStr">
        <is>
          <t>United States</t>
        </is>
      </c>
      <c r="F1807" t="inlineStr">
        <is>
          <t>Yes</t>
        </is>
      </c>
      <c r="H1807" t="n">
        <v>6</v>
      </c>
      <c r="I1807" t="b">
        <v>0</v>
      </c>
      <c r="J1807" t="b">
        <v>1</v>
      </c>
      <c r="K1807" t="b">
        <v>0</v>
      </c>
      <c r="L1807" t="b">
        <v>0</v>
      </c>
      <c r="M1807" t="b">
        <v>0</v>
      </c>
      <c r="N1807">
        <f>IFERROR(INDEX('Company Hitlist'!$AA:$AA,MATCH(D1807,'Company Hitlist'!$A:$A,0)),)</f>
        <v/>
      </c>
      <c r="O1807">
        <f>IFERROR(INDEX('Company Hitlist'!$N:$N,MATCH(D1807,'Company Hitlist'!$A:$A,0)),)</f>
        <v/>
      </c>
      <c r="Q1807" t="inlineStr">
        <is>
          <t>todo</t>
        </is>
      </c>
    </row>
    <row r="1808">
      <c r="A1808" t="inlineStr">
        <is>
          <t>Skip Keene</t>
        </is>
      </c>
      <c r="B1808" t="inlineStr">
        <is>
          <t>Attendee</t>
        </is>
      </c>
      <c r="C1808" t="inlineStr">
        <is>
          <t>Vice President, Enterprise Accounts</t>
        </is>
      </c>
      <c r="D1808" t="inlineStr">
        <is>
          <t>AFS Logsitics</t>
        </is>
      </c>
      <c r="E1808" t="inlineStr">
        <is>
          <t>United States</t>
        </is>
      </c>
      <c r="F1808" t="inlineStr">
        <is>
          <t>Yes</t>
        </is>
      </c>
      <c r="H1808" t="n">
        <v>6</v>
      </c>
      <c r="I1808" t="b">
        <v>0</v>
      </c>
      <c r="J1808" t="b">
        <v>1</v>
      </c>
      <c r="K1808" t="b">
        <v>0</v>
      </c>
      <c r="L1808" t="b">
        <v>0</v>
      </c>
      <c r="M1808" t="b">
        <v>0</v>
      </c>
      <c r="N1808">
        <f>IFERROR(INDEX('Company Hitlist'!$AA:$AA,MATCH(D1808,'Company Hitlist'!$A:$A,0)),)</f>
        <v/>
      </c>
      <c r="O1808">
        <f>IFERROR(INDEX('Company Hitlist'!$N:$N,MATCH(D1808,'Company Hitlist'!$A:$A,0)),)</f>
        <v/>
      </c>
      <c r="Q1808" t="inlineStr">
        <is>
          <t>todo</t>
        </is>
      </c>
    </row>
    <row r="1809">
      <c r="A1809" t="inlineStr">
        <is>
          <t>Ray Fennelly</t>
        </is>
      </c>
      <c r="B1809" t="inlineStr">
        <is>
          <t>Attendee</t>
        </is>
      </c>
      <c r="C1809" t="inlineStr">
        <is>
          <t>EVP &amp; Chief Development Officer</t>
        </is>
      </c>
      <c r="D1809" t="inlineStr">
        <is>
          <t>AIT Worldwide Logistics</t>
        </is>
      </c>
      <c r="E1809" t="inlineStr">
        <is>
          <t>United States</t>
        </is>
      </c>
      <c r="F1809" t="inlineStr">
        <is>
          <t>Yes</t>
        </is>
      </c>
      <c r="H1809" t="n">
        <v>6</v>
      </c>
      <c r="I1809" t="b">
        <v>0</v>
      </c>
      <c r="J1809" t="b">
        <v>1</v>
      </c>
      <c r="K1809" t="b">
        <v>0</v>
      </c>
      <c r="L1809" t="b">
        <v>0</v>
      </c>
      <c r="M1809" t="b">
        <v>0</v>
      </c>
      <c r="N1809">
        <f>IFERROR(INDEX('Company Hitlist'!$AA:$AA,MATCH(D1809,'Company Hitlist'!$A:$A,0)),)</f>
        <v/>
      </c>
      <c r="O1809">
        <f>IFERROR(INDEX('Company Hitlist'!$N:$N,MATCH(D1809,'Company Hitlist'!$A:$A,0)),)</f>
        <v/>
      </c>
      <c r="Q1809" t="inlineStr">
        <is>
          <t>todo</t>
        </is>
      </c>
    </row>
    <row r="1810">
      <c r="A1810" t="inlineStr">
        <is>
          <t>Alex Kleinschmidt</t>
        </is>
      </c>
      <c r="B1810" t="inlineStr">
        <is>
          <t>Attendee</t>
        </is>
      </c>
      <c r="C1810" t="inlineStr">
        <is>
          <t>Executive Vice President, Commercial</t>
        </is>
      </c>
      <c r="D1810" t="inlineStr">
        <is>
          <t>ALBA WHEELS UP INTERNATIONAL</t>
        </is>
      </c>
      <c r="E1810" t="inlineStr">
        <is>
          <t>United States</t>
        </is>
      </c>
      <c r="H1810" t="n">
        <v>6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  <c r="N1810">
        <f>IFERROR(INDEX('Company Hitlist'!$AA:$AA,MATCH(D1810,'Company Hitlist'!$A:$A,0)),)</f>
        <v/>
      </c>
      <c r="O1810">
        <f>IFERROR(INDEX('Company Hitlist'!$N:$N,MATCH(D1810,'Company Hitlist'!$A:$A,0)),)</f>
        <v/>
      </c>
      <c r="Q1810" t="inlineStr">
        <is>
          <t>todo</t>
        </is>
      </c>
    </row>
    <row r="1811">
      <c r="A1811" t="inlineStr">
        <is>
          <t>Jason Crown</t>
        </is>
      </c>
      <c r="B1811" t="inlineStr">
        <is>
          <t>Attendee</t>
        </is>
      </c>
      <c r="C1811" t="inlineStr">
        <is>
          <t>CEO</t>
        </is>
      </c>
      <c r="D1811" t="inlineStr">
        <is>
          <t>ALM Crown</t>
        </is>
      </c>
      <c r="H1811" t="n">
        <v>6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  <c r="N1811">
        <f>IFERROR(INDEX('Company Hitlist'!$AA:$AA,MATCH(D1811,'Company Hitlist'!$A:$A,0)),)</f>
        <v/>
      </c>
      <c r="O1811">
        <f>IFERROR(INDEX('Company Hitlist'!$N:$N,MATCH(D1811,'Company Hitlist'!$A:$A,0)),)</f>
        <v/>
      </c>
      <c r="Q1811" t="inlineStr">
        <is>
          <t>todo</t>
        </is>
      </c>
    </row>
    <row r="1812">
      <c r="A1812" t="inlineStr">
        <is>
          <t>Brandon Marugg</t>
        </is>
      </c>
      <c r="B1812" t="inlineStr">
        <is>
          <t>Attendee</t>
        </is>
      </c>
      <c r="C1812" t="inlineStr">
        <is>
          <t>COO</t>
        </is>
      </c>
      <c r="D1812" t="inlineStr">
        <is>
          <t>ALOM</t>
        </is>
      </c>
      <c r="E1812" t="inlineStr">
        <is>
          <t>United States</t>
        </is>
      </c>
      <c r="F1812" t="inlineStr">
        <is>
          <t>Yes</t>
        </is>
      </c>
      <c r="H1812" t="n">
        <v>6</v>
      </c>
      <c r="I1812" t="b">
        <v>0</v>
      </c>
      <c r="J1812" t="b">
        <v>1</v>
      </c>
      <c r="K1812" t="b">
        <v>0</v>
      </c>
      <c r="L1812" t="b">
        <v>0</v>
      </c>
      <c r="M1812" t="b">
        <v>0</v>
      </c>
      <c r="N1812">
        <f>IFERROR(INDEX('Company Hitlist'!$AA:$AA,MATCH(D1812,'Company Hitlist'!$A:$A,0)),)</f>
        <v/>
      </c>
      <c r="O1812">
        <f>IFERROR(INDEX('Company Hitlist'!$N:$N,MATCH(D1812,'Company Hitlist'!$A:$A,0)),)</f>
        <v/>
      </c>
      <c r="Q1812" t="inlineStr">
        <is>
          <t>todo</t>
        </is>
      </c>
    </row>
    <row r="1813">
      <c r="A1813" t="inlineStr">
        <is>
          <t>David Edwards</t>
        </is>
      </c>
      <c r="B1813" t="inlineStr">
        <is>
          <t>Attendee</t>
        </is>
      </c>
      <c r="C1813" t="inlineStr">
        <is>
          <t>VP, Technology</t>
        </is>
      </c>
      <c r="D1813" t="inlineStr">
        <is>
          <t>ALOM</t>
        </is>
      </c>
      <c r="E1813" t="inlineStr">
        <is>
          <t>United States</t>
        </is>
      </c>
      <c r="F1813" t="inlineStr">
        <is>
          <t>Yes</t>
        </is>
      </c>
      <c r="H1813" t="n">
        <v>6</v>
      </c>
      <c r="I1813" t="b">
        <v>0</v>
      </c>
      <c r="J1813" t="b">
        <v>1</v>
      </c>
      <c r="K1813" t="b">
        <v>0</v>
      </c>
      <c r="L1813" t="b">
        <v>0</v>
      </c>
      <c r="M1813" t="b">
        <v>0</v>
      </c>
      <c r="N1813">
        <f>IFERROR(INDEX('Company Hitlist'!$AA:$AA,MATCH(D1813,'Company Hitlist'!$A:$A,0)),)</f>
        <v/>
      </c>
      <c r="O1813">
        <f>IFERROR(INDEX('Company Hitlist'!$N:$N,MATCH(D1813,'Company Hitlist'!$A:$A,0)),)</f>
        <v/>
      </c>
      <c r="Q1813" t="inlineStr">
        <is>
          <t>todo</t>
        </is>
      </c>
    </row>
    <row r="1814">
      <c r="A1814" t="inlineStr">
        <is>
          <t>Hannah Kain</t>
        </is>
      </c>
      <c r="B1814" t="inlineStr">
        <is>
          <t>Attendee</t>
        </is>
      </c>
      <c r="C1814" t="inlineStr">
        <is>
          <t>CEO</t>
        </is>
      </c>
      <c r="D1814" t="inlineStr">
        <is>
          <t>ALOM</t>
        </is>
      </c>
      <c r="E1814" t="inlineStr">
        <is>
          <t>United States</t>
        </is>
      </c>
      <c r="F1814" t="inlineStr">
        <is>
          <t>Yes</t>
        </is>
      </c>
      <c r="H1814" t="n">
        <v>6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  <c r="N1814">
        <f>IFERROR(INDEX('Company Hitlist'!$AA:$AA,MATCH(D1814,'Company Hitlist'!$A:$A,0)),)</f>
        <v/>
      </c>
      <c r="O1814">
        <f>IFERROR(INDEX('Company Hitlist'!$N:$N,MATCH(D1814,'Company Hitlist'!$A:$A,0)),)</f>
        <v/>
      </c>
      <c r="Q1814" t="inlineStr">
        <is>
          <t>todo</t>
        </is>
      </c>
    </row>
    <row r="1815">
      <c r="A1815" t="inlineStr">
        <is>
          <t>Dan Colonna</t>
        </is>
      </c>
      <c r="B1815" t="inlineStr">
        <is>
          <t>Attendee</t>
        </is>
      </c>
      <c r="C1815" t="inlineStr">
        <is>
          <t>President</t>
        </is>
      </c>
      <c r="D1815" t="inlineStr">
        <is>
          <t>AM Trans Expedite (Fusion Transport)</t>
        </is>
      </c>
      <c r="F1815" t="inlineStr">
        <is>
          <t>Yes</t>
        </is>
      </c>
      <c r="H1815" t="n">
        <v>6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  <c r="N1815">
        <f>IFERROR(INDEX('Company Hitlist'!$AA:$AA,MATCH(D1815,'Company Hitlist'!$A:$A,0)),)</f>
        <v/>
      </c>
      <c r="O1815">
        <f>IFERROR(INDEX('Company Hitlist'!$N:$N,MATCH(D1815,'Company Hitlist'!$A:$A,0)),)</f>
        <v/>
      </c>
      <c r="Q1815" t="inlineStr">
        <is>
          <t>todo</t>
        </is>
      </c>
    </row>
    <row r="1816">
      <c r="A1816" t="inlineStr">
        <is>
          <t>Greg Morello</t>
        </is>
      </c>
      <c r="B1816" t="inlineStr">
        <is>
          <t>Attendee</t>
        </is>
      </c>
      <c r="C1816" t="inlineStr">
        <is>
          <t>CEO</t>
        </is>
      </c>
      <c r="D1816" t="inlineStr">
        <is>
          <t>AMS Fulfillment</t>
        </is>
      </c>
      <c r="E1816" t="inlineStr">
        <is>
          <t>United States</t>
        </is>
      </c>
      <c r="F1816" t="inlineStr">
        <is>
          <t>Yes</t>
        </is>
      </c>
      <c r="H1816" t="n">
        <v>6</v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  <c r="N1816">
        <f>IFERROR(INDEX('Company Hitlist'!$AA:$AA,MATCH(D1816,'Company Hitlist'!$A:$A,0)),)</f>
        <v/>
      </c>
      <c r="O1816">
        <f>IFERROR(INDEX('Company Hitlist'!$N:$N,MATCH(D1816,'Company Hitlist'!$A:$A,0)),)</f>
        <v/>
      </c>
      <c r="Q1816" t="inlineStr">
        <is>
          <t>todo</t>
        </is>
      </c>
    </row>
    <row r="1817">
      <c r="A1817" t="inlineStr">
        <is>
          <t>Carmine Santo</t>
        </is>
      </c>
      <c r="B1817" t="inlineStr">
        <is>
          <t>Attendee</t>
        </is>
      </c>
      <c r="C1817" t="inlineStr">
        <is>
          <t>Chief of Staff, President Office &amp; Administration</t>
        </is>
      </c>
      <c r="D1817" t="inlineStr">
        <is>
          <t>APL Logistics</t>
        </is>
      </c>
      <c r="E1817" t="inlineStr">
        <is>
          <t>United States</t>
        </is>
      </c>
      <c r="F1817" t="inlineStr">
        <is>
          <t>Yes</t>
        </is>
      </c>
      <c r="G1817" t="inlineStr">
        <is>
          <t>1458000000</t>
        </is>
      </c>
      <c r="H1817" t="n">
        <v>6</v>
      </c>
      <c r="I1817" t="b">
        <v>0</v>
      </c>
      <c r="J1817" t="b">
        <v>1</v>
      </c>
      <c r="K1817" t="b">
        <v>0</v>
      </c>
      <c r="L1817" t="b">
        <v>0</v>
      </c>
      <c r="M1817" t="b">
        <v>0</v>
      </c>
      <c r="N1817">
        <f>IFERROR(INDEX('Company Hitlist'!$AA:$AA,MATCH(D1817,'Company Hitlist'!$A:$A,0)),)</f>
        <v/>
      </c>
      <c r="O1817">
        <f>IFERROR(INDEX('Company Hitlist'!$N:$N,MATCH(D1817,'Company Hitlist'!$A:$A,0)),)</f>
        <v/>
      </c>
      <c r="Q1817" t="inlineStr">
        <is>
          <t>todo</t>
        </is>
      </c>
    </row>
    <row r="1818">
      <c r="A1818" t="inlineStr">
        <is>
          <t>Joe Tresckitta</t>
        </is>
      </c>
      <c r="B1818" t="inlineStr">
        <is>
          <t>Attendee</t>
        </is>
      </c>
      <c r="C1818" t="inlineStr">
        <is>
          <t>CEO</t>
        </is>
      </c>
      <c r="D1818" t="inlineStr">
        <is>
          <t>APS Logistics Group Pty Ltd</t>
        </is>
      </c>
      <c r="F1818" t="inlineStr">
        <is>
          <t>Yes</t>
        </is>
      </c>
      <c r="H1818" t="n">
        <v>6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  <c r="N1818">
        <f>IFERROR(INDEX('Company Hitlist'!$AA:$AA,MATCH(D1818,'Company Hitlist'!$A:$A,0)),)</f>
        <v/>
      </c>
      <c r="O1818">
        <f>IFERROR(INDEX('Company Hitlist'!$N:$N,MATCH(D1818,'Company Hitlist'!$A:$A,0)),)</f>
        <v/>
      </c>
      <c r="Q1818" t="inlineStr">
        <is>
          <t>todo</t>
        </is>
      </c>
    </row>
    <row r="1819">
      <c r="A1819" t="inlineStr">
        <is>
          <t>Tam Kaccem</t>
        </is>
      </c>
      <c r="B1819" t="inlineStr">
        <is>
          <t>Attendee</t>
        </is>
      </c>
      <c r="C1819" t="inlineStr">
        <is>
          <t>CEO</t>
        </is>
      </c>
      <c r="D1819" t="inlineStr">
        <is>
          <t>ASAP DISTRIBUTION INC</t>
        </is>
      </c>
      <c r="F1819" t="inlineStr">
        <is>
          <t>Yes</t>
        </is>
      </c>
      <c r="H1819" t="n">
        <v>6</v>
      </c>
      <c r="I1819" t="b">
        <v>0</v>
      </c>
      <c r="J1819" t="b">
        <v>1</v>
      </c>
      <c r="K1819" t="b">
        <v>0</v>
      </c>
      <c r="L1819" t="b">
        <v>0</v>
      </c>
      <c r="M1819" t="b">
        <v>0</v>
      </c>
      <c r="N1819">
        <f>IFERROR(INDEX('Company Hitlist'!$AA:$AA,MATCH(D1819,'Company Hitlist'!$A:$A,0)),)</f>
        <v/>
      </c>
      <c r="O1819">
        <f>IFERROR(INDEX('Company Hitlist'!$N:$N,MATCH(D1819,'Company Hitlist'!$A:$A,0)),)</f>
        <v/>
      </c>
      <c r="Q1819" t="inlineStr">
        <is>
          <t>todo</t>
        </is>
      </c>
    </row>
    <row r="1820">
      <c r="A1820" t="inlineStr">
        <is>
          <t>Matt Goker</t>
        </is>
      </c>
      <c r="B1820" t="inlineStr">
        <is>
          <t>Attendee</t>
        </is>
      </c>
      <c r="C1820" t="inlineStr">
        <is>
          <t>CEO</t>
        </is>
      </c>
      <c r="D1820" t="inlineStr">
        <is>
          <t>ATA</t>
        </is>
      </c>
      <c r="E1820" t="inlineStr">
        <is>
          <t>United States</t>
        </is>
      </c>
      <c r="H1820" t="n">
        <v>6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  <c r="N1820">
        <f>IFERROR(INDEX('Company Hitlist'!$AA:$AA,MATCH(D1820,'Company Hitlist'!$A:$A,0)),)</f>
        <v/>
      </c>
      <c r="O1820">
        <f>IFERROR(INDEX('Company Hitlist'!$N:$N,MATCH(D1820,'Company Hitlist'!$A:$A,0)),)</f>
        <v/>
      </c>
      <c r="Q1820" t="inlineStr">
        <is>
          <t>todo</t>
        </is>
      </c>
    </row>
    <row r="1821">
      <c r="A1821" t="inlineStr">
        <is>
          <t>FILIP IVANKOVIC</t>
        </is>
      </c>
      <c r="B1821" t="inlineStr">
        <is>
          <t>Attendee</t>
        </is>
      </c>
      <c r="C1821" t="inlineStr">
        <is>
          <t>Head of Technical Services</t>
        </is>
      </c>
      <c r="D1821" t="inlineStr">
        <is>
          <t>ATC Computer Transport &amp; Logistics Part of Arvato</t>
        </is>
      </c>
      <c r="E1821" t="inlineStr">
        <is>
          <t>Ireland</t>
        </is>
      </c>
      <c r="F1821" t="inlineStr">
        <is>
          <t>Yes</t>
        </is>
      </c>
      <c r="H1821" t="n">
        <v>6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  <c r="N1821">
        <f>IFERROR(INDEX('Company Hitlist'!$AA:$AA,MATCH(D1821,'Company Hitlist'!$A:$A,0)),)</f>
        <v/>
      </c>
      <c r="O1821">
        <f>IFERROR(INDEX('Company Hitlist'!$N:$N,MATCH(D1821,'Company Hitlist'!$A:$A,0)),)</f>
        <v/>
      </c>
      <c r="Q1821" t="inlineStr">
        <is>
          <t>todo</t>
        </is>
      </c>
    </row>
    <row r="1822">
      <c r="A1822" t="inlineStr">
        <is>
          <t>Lize Simon</t>
        </is>
      </c>
      <c r="B1822" t="inlineStr">
        <is>
          <t>Attendee</t>
        </is>
      </c>
      <c r="C1822" t="inlineStr">
        <is>
          <t>Head of Commercial</t>
        </is>
      </c>
      <c r="D1822" t="inlineStr">
        <is>
          <t>ATC Computer Transport &amp; Logistics Part of Arvato</t>
        </is>
      </c>
      <c r="E1822" t="inlineStr">
        <is>
          <t>Ireland</t>
        </is>
      </c>
      <c r="F1822" t="inlineStr">
        <is>
          <t>Yes</t>
        </is>
      </c>
      <c r="H1822" t="n">
        <v>6</v>
      </c>
      <c r="I1822" t="b">
        <v>0</v>
      </c>
      <c r="J1822" t="b">
        <v>1</v>
      </c>
      <c r="K1822" t="b">
        <v>0</v>
      </c>
      <c r="L1822" t="b">
        <v>0</v>
      </c>
      <c r="M1822" t="b">
        <v>0</v>
      </c>
      <c r="N1822">
        <f>IFERROR(INDEX('Company Hitlist'!$AA:$AA,MATCH(D1822,'Company Hitlist'!$A:$A,0)),)</f>
        <v/>
      </c>
      <c r="O1822">
        <f>IFERROR(INDEX('Company Hitlist'!$N:$N,MATCH(D1822,'Company Hitlist'!$A:$A,0)),)</f>
        <v/>
      </c>
      <c r="Q1822" t="inlineStr">
        <is>
          <t>todo</t>
        </is>
      </c>
    </row>
    <row r="1823">
      <c r="A1823" t="inlineStr">
        <is>
          <t>Joshuwa Charles</t>
        </is>
      </c>
      <c r="B1823" t="inlineStr">
        <is>
          <t>Attendee</t>
        </is>
      </c>
      <c r="C1823" t="inlineStr">
        <is>
          <t>CEO</t>
        </is>
      </c>
      <c r="D1823" t="inlineStr">
        <is>
          <t>ATLSRG</t>
        </is>
      </c>
      <c r="E1823" t="inlineStr">
        <is>
          <t>United States</t>
        </is>
      </c>
      <c r="F1823" t="inlineStr">
        <is>
          <t>Yes</t>
        </is>
      </c>
      <c r="H1823" t="n">
        <v>6</v>
      </c>
      <c r="I1823" t="b">
        <v>0</v>
      </c>
      <c r="J1823" t="b">
        <v>1</v>
      </c>
      <c r="K1823" t="b">
        <v>0</v>
      </c>
      <c r="L1823" t="b">
        <v>0</v>
      </c>
      <c r="M1823" t="b">
        <v>0</v>
      </c>
      <c r="N1823">
        <f>IFERROR(INDEX('Company Hitlist'!$AA:$AA,MATCH(D1823,'Company Hitlist'!$A:$A,0)),)</f>
        <v/>
      </c>
      <c r="O1823">
        <f>IFERROR(INDEX('Company Hitlist'!$N:$N,MATCH(D1823,'Company Hitlist'!$A:$A,0)),)</f>
        <v/>
      </c>
      <c r="Q1823" t="inlineStr">
        <is>
          <t>todo</t>
        </is>
      </c>
    </row>
    <row r="1824">
      <c r="A1824" t="inlineStr">
        <is>
          <t>Aaron Richards</t>
        </is>
      </c>
      <c r="B1824" t="inlineStr">
        <is>
          <t>Attendee</t>
        </is>
      </c>
      <c r="C1824" t="inlineStr">
        <is>
          <t>Vice President</t>
        </is>
      </c>
      <c r="D1824" t="inlineStr">
        <is>
          <t>AWI</t>
        </is>
      </c>
      <c r="E1824" t="inlineStr">
        <is>
          <t>United States</t>
        </is>
      </c>
      <c r="F1824" t="inlineStr">
        <is>
          <t>Yes</t>
        </is>
      </c>
      <c r="H1824" t="n">
        <v>6</v>
      </c>
      <c r="I1824" t="b">
        <v>0</v>
      </c>
      <c r="J1824" t="b">
        <v>1</v>
      </c>
      <c r="K1824" t="b">
        <v>0</v>
      </c>
      <c r="L1824" t="b">
        <v>0</v>
      </c>
      <c r="M1824" t="b">
        <v>0</v>
      </c>
      <c r="N1824">
        <f>IFERROR(INDEX('Company Hitlist'!$AA:$AA,MATCH(D1824,'Company Hitlist'!$A:$A,0)),)</f>
        <v/>
      </c>
      <c r="O1824">
        <f>IFERROR(INDEX('Company Hitlist'!$N:$N,MATCH(D1824,'Company Hitlist'!$A:$A,0)),)</f>
        <v/>
      </c>
      <c r="Q1824" t="inlineStr">
        <is>
          <t>todo</t>
        </is>
      </c>
    </row>
    <row r="1825">
      <c r="A1825" t="inlineStr">
        <is>
          <t>Mark Richards</t>
        </is>
      </c>
      <c r="B1825" t="inlineStr">
        <is>
          <t>Attendee</t>
        </is>
      </c>
      <c r="C1825" t="inlineStr">
        <is>
          <t>President</t>
        </is>
      </c>
      <c r="D1825" t="inlineStr">
        <is>
          <t>AWI</t>
        </is>
      </c>
      <c r="E1825" t="inlineStr">
        <is>
          <t>United States</t>
        </is>
      </c>
      <c r="F1825" t="inlineStr">
        <is>
          <t>Yes</t>
        </is>
      </c>
      <c r="H1825" t="n">
        <v>6</v>
      </c>
      <c r="I1825" t="b">
        <v>0</v>
      </c>
      <c r="J1825" t="b">
        <v>1</v>
      </c>
      <c r="K1825" t="b">
        <v>0</v>
      </c>
      <c r="L1825" t="b">
        <v>0</v>
      </c>
      <c r="M1825" t="b">
        <v>0</v>
      </c>
      <c r="N1825">
        <f>IFERROR(INDEX('Company Hitlist'!$AA:$AA,MATCH(D1825,'Company Hitlist'!$A:$A,0)),)</f>
        <v/>
      </c>
      <c r="O1825">
        <f>IFERROR(INDEX('Company Hitlist'!$N:$N,MATCH(D1825,'Company Hitlist'!$A:$A,0)),)</f>
        <v/>
      </c>
      <c r="Q1825" t="inlineStr">
        <is>
          <t>todo</t>
        </is>
      </c>
    </row>
    <row r="1826">
      <c r="A1826" t="inlineStr">
        <is>
          <t>Tim Richards</t>
        </is>
      </c>
      <c r="B1826" t="inlineStr">
        <is>
          <t>Attendee</t>
        </is>
      </c>
      <c r="C1826" t="inlineStr">
        <is>
          <t>Vice President</t>
        </is>
      </c>
      <c r="D1826" t="inlineStr">
        <is>
          <t>AWI</t>
        </is>
      </c>
      <c r="E1826" t="inlineStr">
        <is>
          <t>United States</t>
        </is>
      </c>
      <c r="F1826" t="inlineStr">
        <is>
          <t>Yes</t>
        </is>
      </c>
      <c r="H1826" t="n">
        <v>6</v>
      </c>
      <c r="I1826" t="b">
        <v>0</v>
      </c>
      <c r="J1826" t="b">
        <v>1</v>
      </c>
      <c r="K1826" t="b">
        <v>0</v>
      </c>
      <c r="L1826" t="b">
        <v>0</v>
      </c>
      <c r="M1826" t="b">
        <v>0</v>
      </c>
      <c r="N1826">
        <f>IFERROR(INDEX('Company Hitlist'!$AA:$AA,MATCH(D1826,'Company Hitlist'!$A:$A,0)),)</f>
        <v/>
      </c>
      <c r="O1826">
        <f>IFERROR(INDEX('Company Hitlist'!$N:$N,MATCH(D1826,'Company Hitlist'!$A:$A,0)),)</f>
        <v/>
      </c>
      <c r="Q1826" t="inlineStr">
        <is>
          <t>todo</t>
        </is>
      </c>
    </row>
    <row r="1827">
      <c r="A1827" t="inlineStr">
        <is>
          <t>Brad POTTERFIELD</t>
        </is>
      </c>
      <c r="B1827" t="inlineStr">
        <is>
          <t>Attendee</t>
        </is>
      </c>
      <c r="C1827" t="inlineStr">
        <is>
          <t>President, National Accounts</t>
        </is>
      </c>
      <c r="D1827" t="inlineStr">
        <is>
          <t>Abacus</t>
        </is>
      </c>
      <c r="E1827" t="inlineStr">
        <is>
          <t>United States</t>
        </is>
      </c>
      <c r="F1827" t="inlineStr">
        <is>
          <t>Yes</t>
        </is>
      </c>
      <c r="H1827" t="n">
        <v>6</v>
      </c>
      <c r="I1827" t="b">
        <v>0</v>
      </c>
      <c r="J1827" t="b">
        <v>1</v>
      </c>
      <c r="K1827" t="b">
        <v>0</v>
      </c>
      <c r="L1827" t="b">
        <v>0</v>
      </c>
      <c r="M1827" t="b">
        <v>0</v>
      </c>
      <c r="N1827">
        <f>IFERROR(INDEX('Company Hitlist'!$AA:$AA,MATCH(D1827,'Company Hitlist'!$A:$A,0)),)</f>
        <v/>
      </c>
      <c r="O1827">
        <f>IFERROR(INDEX('Company Hitlist'!$N:$N,MATCH(D1827,'Company Hitlist'!$A:$A,0)),)</f>
        <v/>
      </c>
      <c r="Q1827" t="inlineStr">
        <is>
          <t>todo</t>
        </is>
      </c>
    </row>
    <row r="1828">
      <c r="A1828" t="inlineStr">
        <is>
          <t>Greg Wohlfort</t>
        </is>
      </c>
      <c r="B1828" t="inlineStr">
        <is>
          <t>Attendee</t>
        </is>
      </c>
      <c r="C1828" t="inlineStr">
        <is>
          <t>SVP, Strategy</t>
        </is>
      </c>
      <c r="D1828" t="inlineStr">
        <is>
          <t>Abacus</t>
        </is>
      </c>
      <c r="E1828" t="inlineStr">
        <is>
          <t>United States</t>
        </is>
      </c>
      <c r="F1828" t="inlineStr">
        <is>
          <t>Yes</t>
        </is>
      </c>
      <c r="H1828" t="n">
        <v>6</v>
      </c>
      <c r="I1828" t="b">
        <v>0</v>
      </c>
      <c r="J1828" t="b">
        <v>1</v>
      </c>
      <c r="K1828" t="b">
        <v>0</v>
      </c>
      <c r="L1828" t="b">
        <v>0</v>
      </c>
      <c r="M1828" t="b">
        <v>0</v>
      </c>
      <c r="N1828">
        <f>IFERROR(INDEX('Company Hitlist'!$AA:$AA,MATCH(D1828,'Company Hitlist'!$A:$A,0)),)</f>
        <v/>
      </c>
      <c r="O1828">
        <f>IFERROR(INDEX('Company Hitlist'!$N:$N,MATCH(D1828,'Company Hitlist'!$A:$A,0)),)</f>
        <v/>
      </c>
      <c r="Q1828" t="inlineStr">
        <is>
          <t>todo</t>
        </is>
      </c>
    </row>
    <row r="1829">
      <c r="A1829" t="inlineStr">
        <is>
          <t>Michele Massaro</t>
        </is>
      </c>
      <c r="B1829" t="inlineStr">
        <is>
          <t>Attendee</t>
        </is>
      </c>
      <c r="C1829" t="inlineStr">
        <is>
          <t>COO</t>
        </is>
      </c>
      <c r="D1829" t="inlineStr">
        <is>
          <t>Abacus Corporation</t>
        </is>
      </c>
      <c r="E1829" t="inlineStr">
        <is>
          <t>United States</t>
        </is>
      </c>
      <c r="H1829" t="n">
        <v>6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  <c r="N1829">
        <f>IFERROR(INDEX('Company Hitlist'!$AA:$AA,MATCH(D1829,'Company Hitlist'!$A:$A,0)),)</f>
        <v/>
      </c>
      <c r="O1829">
        <f>IFERROR(INDEX('Company Hitlist'!$N:$N,MATCH(D1829,'Company Hitlist'!$A:$A,0)),)</f>
        <v/>
      </c>
      <c r="Q1829" t="inlineStr">
        <is>
          <t>todo</t>
        </is>
      </c>
    </row>
    <row r="1830">
      <c r="A1830" t="inlineStr">
        <is>
          <t>Trey McGee</t>
        </is>
      </c>
      <c r="B1830" t="inlineStr">
        <is>
          <t>Attendee</t>
        </is>
      </c>
      <c r="C1830" t="inlineStr">
        <is>
          <t>Executive Vice President</t>
        </is>
      </c>
      <c r="D1830" t="inlineStr">
        <is>
          <t>Abacus Corporation</t>
        </is>
      </c>
      <c r="E1830" t="inlineStr">
        <is>
          <t>United States</t>
        </is>
      </c>
      <c r="H1830" t="n">
        <v>6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  <c r="N1830">
        <f>IFERROR(INDEX('Company Hitlist'!$AA:$AA,MATCH(D1830,'Company Hitlist'!$A:$A,0)),)</f>
        <v/>
      </c>
      <c r="O1830">
        <f>IFERROR(INDEX('Company Hitlist'!$N:$N,MATCH(D1830,'Company Hitlist'!$A:$A,0)),)</f>
        <v/>
      </c>
      <c r="Q1830" t="inlineStr">
        <is>
          <t>todo</t>
        </is>
      </c>
    </row>
    <row r="1831">
      <c r="A1831" t="inlineStr">
        <is>
          <t>Asis Biswas</t>
        </is>
      </c>
      <c r="B1831" t="inlineStr">
        <is>
          <t>Attendee</t>
        </is>
      </c>
      <c r="C1831" t="inlineStr">
        <is>
          <t>CEO</t>
        </is>
      </c>
      <c r="D1831" t="inlineStr">
        <is>
          <t>Accelera, Inc.</t>
        </is>
      </c>
      <c r="E1831" t="inlineStr">
        <is>
          <t>United States</t>
        </is>
      </c>
      <c r="F1831" t="inlineStr">
        <is>
          <t>Yes</t>
        </is>
      </c>
      <c r="H1831" t="n">
        <v>6</v>
      </c>
      <c r="I1831" t="b">
        <v>0</v>
      </c>
      <c r="J1831" t="b">
        <v>1</v>
      </c>
      <c r="K1831" t="b">
        <v>0</v>
      </c>
      <c r="L1831" t="b">
        <v>0</v>
      </c>
      <c r="M1831" t="b">
        <v>0</v>
      </c>
      <c r="N1831">
        <f>IFERROR(INDEX('Company Hitlist'!$AA:$AA,MATCH(D1831,'Company Hitlist'!$A:$A,0)),)</f>
        <v/>
      </c>
      <c r="O1831">
        <f>IFERROR(INDEX('Company Hitlist'!$N:$N,MATCH(D1831,'Company Hitlist'!$A:$A,0)),)</f>
        <v/>
      </c>
      <c r="Q1831" t="inlineStr">
        <is>
          <t>todo</t>
        </is>
      </c>
    </row>
    <row r="1832">
      <c r="A1832" t="inlineStr">
        <is>
          <t>Chris Kammer</t>
        </is>
      </c>
      <c r="B1832" t="inlineStr">
        <is>
          <t>Attendee</t>
        </is>
      </c>
      <c r="C1832" t="inlineStr">
        <is>
          <t>Technology Chairperson- Association VP</t>
        </is>
      </c>
      <c r="D1832" t="inlineStr">
        <is>
          <t>Access Supply SolutionsT</t>
        </is>
      </c>
      <c r="E1832" t="inlineStr">
        <is>
          <t>United States</t>
        </is>
      </c>
      <c r="F1832" t="inlineStr">
        <is>
          <t>Yes</t>
        </is>
      </c>
      <c r="H1832" t="n">
        <v>6</v>
      </c>
      <c r="I1832" t="b">
        <v>0</v>
      </c>
      <c r="J1832" t="b">
        <v>1</v>
      </c>
      <c r="K1832" t="b">
        <v>0</v>
      </c>
      <c r="L1832" t="b">
        <v>0</v>
      </c>
      <c r="M1832" t="b">
        <v>0</v>
      </c>
      <c r="N1832">
        <f>IFERROR(INDEX('Company Hitlist'!$AA:$AA,MATCH(D1832,'Company Hitlist'!$A:$A,0)),)</f>
        <v/>
      </c>
      <c r="O1832">
        <f>IFERROR(INDEX('Company Hitlist'!$N:$N,MATCH(D1832,'Company Hitlist'!$A:$A,0)),)</f>
        <v/>
      </c>
      <c r="Q1832" t="inlineStr">
        <is>
          <t>todo</t>
        </is>
      </c>
    </row>
    <row r="1833">
      <c r="A1833" t="inlineStr">
        <is>
          <t>Jeff Layton</t>
        </is>
      </c>
      <c r="B1833" t="inlineStr">
        <is>
          <t>Attendee</t>
        </is>
      </c>
      <c r="C1833" t="inlineStr">
        <is>
          <t>Chief Information Officer</t>
        </is>
      </c>
      <c r="D1833" t="inlineStr">
        <is>
          <t>Ace Relocation Systems</t>
        </is>
      </c>
      <c r="E1833" t="inlineStr">
        <is>
          <t>United States</t>
        </is>
      </c>
      <c r="H1833" t="n">
        <v>6</v>
      </c>
      <c r="I1833" t="b">
        <v>0</v>
      </c>
      <c r="J1833" t="b">
        <v>1</v>
      </c>
      <c r="K1833" t="b">
        <v>0</v>
      </c>
      <c r="L1833" t="b">
        <v>0</v>
      </c>
      <c r="M1833" t="b">
        <v>0</v>
      </c>
      <c r="N1833">
        <f>IFERROR(INDEX('Company Hitlist'!$AA:$AA,MATCH(D1833,'Company Hitlist'!$A:$A,0)),)</f>
        <v/>
      </c>
      <c r="O1833">
        <f>IFERROR(INDEX('Company Hitlist'!$N:$N,MATCH(D1833,'Company Hitlist'!$A:$A,0)),)</f>
        <v/>
      </c>
      <c r="Q1833" t="inlineStr">
        <is>
          <t>todo</t>
        </is>
      </c>
    </row>
    <row r="1834">
      <c r="A1834" t="inlineStr">
        <is>
          <t>Doug Sampson</t>
        </is>
      </c>
      <c r="B1834" t="inlineStr">
        <is>
          <t>Attendee</t>
        </is>
      </c>
      <c r="C1834" t="inlineStr">
        <is>
          <t>Chief Commercial Officer, Shareholder</t>
        </is>
      </c>
      <c r="D1834" t="inlineStr">
        <is>
          <t>Acme Distribution Inc.</t>
        </is>
      </c>
      <c r="F1834" t="inlineStr">
        <is>
          <t>Yes</t>
        </is>
      </c>
      <c r="H1834" t="n">
        <v>6</v>
      </c>
      <c r="I1834" t="b">
        <v>0</v>
      </c>
      <c r="J1834" t="b">
        <v>1</v>
      </c>
      <c r="K1834" t="b">
        <v>0</v>
      </c>
      <c r="L1834" t="b">
        <v>0</v>
      </c>
      <c r="M1834" t="b">
        <v>0</v>
      </c>
      <c r="N1834">
        <f>IFERROR(INDEX('Company Hitlist'!$AA:$AA,MATCH(D1834,'Company Hitlist'!$A:$A,0)),)</f>
        <v/>
      </c>
      <c r="O1834">
        <f>IFERROR(INDEX('Company Hitlist'!$N:$N,MATCH(D1834,'Company Hitlist'!$A:$A,0)),)</f>
        <v/>
      </c>
      <c r="Q1834" t="inlineStr">
        <is>
          <t>todo</t>
        </is>
      </c>
    </row>
    <row r="1835">
      <c r="A1835" t="inlineStr">
        <is>
          <t>David Douglas</t>
        </is>
      </c>
      <c r="B1835" t="inlineStr">
        <is>
          <t>Attendee</t>
        </is>
      </c>
      <c r="C1835" t="inlineStr">
        <is>
          <t>CEO</t>
        </is>
      </c>
      <c r="D1835" t="inlineStr">
        <is>
          <t>Adlinc, LLC</t>
        </is>
      </c>
      <c r="E1835" t="inlineStr">
        <is>
          <t>United States</t>
        </is>
      </c>
      <c r="F1835" t="inlineStr">
        <is>
          <t>Yes</t>
        </is>
      </c>
      <c r="H1835" t="n">
        <v>6</v>
      </c>
      <c r="I1835" t="b">
        <v>0</v>
      </c>
      <c r="J1835" t="b">
        <v>1</v>
      </c>
      <c r="K1835" t="b">
        <v>0</v>
      </c>
      <c r="L1835" t="b">
        <v>0</v>
      </c>
      <c r="M1835" t="b">
        <v>0</v>
      </c>
      <c r="N1835">
        <f>IFERROR(INDEX('Company Hitlist'!$AA:$AA,MATCH(D1835,'Company Hitlist'!$A:$A,0)),)</f>
        <v/>
      </c>
      <c r="O1835">
        <f>IFERROR(INDEX('Company Hitlist'!$N:$N,MATCH(D1835,'Company Hitlist'!$A:$A,0)),)</f>
        <v/>
      </c>
      <c r="Q1835" t="inlineStr">
        <is>
          <t>todo</t>
        </is>
      </c>
    </row>
    <row r="1836">
      <c r="A1836" t="inlineStr">
        <is>
          <t>Vagner Elbiorn Vega</t>
        </is>
      </c>
      <c r="B1836" t="inlineStr">
        <is>
          <t>Attendee</t>
        </is>
      </c>
      <c r="C1836" t="inlineStr">
        <is>
          <t>Director General (CEO)</t>
        </is>
      </c>
      <c r="D1836" t="inlineStr">
        <is>
          <t>Administracion Portuaria integral de Quintana Roo</t>
        </is>
      </c>
      <c r="E1836" t="inlineStr">
        <is>
          <t>Mexico</t>
        </is>
      </c>
      <c r="H1836" t="n">
        <v>6</v>
      </c>
      <c r="I1836" t="b">
        <v>0</v>
      </c>
      <c r="J1836" t="b">
        <v>1</v>
      </c>
      <c r="K1836" t="b">
        <v>0</v>
      </c>
      <c r="L1836" t="b">
        <v>0</v>
      </c>
      <c r="M1836" t="b">
        <v>0</v>
      </c>
      <c r="N1836">
        <f>IFERROR(INDEX('Company Hitlist'!$AA:$AA,MATCH(D1836,'Company Hitlist'!$A:$A,0)),)</f>
        <v/>
      </c>
      <c r="O1836">
        <f>IFERROR(INDEX('Company Hitlist'!$N:$N,MATCH(D1836,'Company Hitlist'!$A:$A,0)),)</f>
        <v/>
      </c>
      <c r="Q1836" t="inlineStr">
        <is>
          <t>todo</t>
        </is>
      </c>
    </row>
    <row r="1837">
      <c r="A1837" t="inlineStr">
        <is>
          <t>Tammy Benson</t>
        </is>
      </c>
      <c r="B1837" t="inlineStr">
        <is>
          <t>Attendee</t>
        </is>
      </c>
      <c r="C1837" t="inlineStr">
        <is>
          <t>President/CEO</t>
        </is>
      </c>
      <c r="D1837" t="inlineStr">
        <is>
          <t>Advanced Marketing International</t>
        </is>
      </c>
      <c r="E1837" t="inlineStr">
        <is>
          <t>United States</t>
        </is>
      </c>
      <c r="H1837" t="n">
        <v>6</v>
      </c>
      <c r="I1837" t="b">
        <v>0</v>
      </c>
      <c r="J1837" t="b">
        <v>1</v>
      </c>
      <c r="K1837" t="b">
        <v>0</v>
      </c>
      <c r="L1837" t="b">
        <v>0</v>
      </c>
      <c r="M1837" t="b">
        <v>0</v>
      </c>
      <c r="N1837">
        <f>IFERROR(INDEX('Company Hitlist'!$AA:$AA,MATCH(D1837,'Company Hitlist'!$A:$A,0)),)</f>
        <v/>
      </c>
      <c r="O1837">
        <f>IFERROR(INDEX('Company Hitlist'!$N:$N,MATCH(D1837,'Company Hitlist'!$A:$A,0)),)</f>
        <v/>
      </c>
      <c r="Q1837" t="inlineStr">
        <is>
          <t>todo</t>
        </is>
      </c>
    </row>
    <row r="1838">
      <c r="A1838" t="inlineStr">
        <is>
          <t>Torah Tores</t>
        </is>
      </c>
      <c r="B1838" t="inlineStr">
        <is>
          <t>Attendee</t>
        </is>
      </c>
      <c r="C1838" t="inlineStr">
        <is>
          <t>Founder/ CEO</t>
        </is>
      </c>
      <c r="D1838" t="inlineStr">
        <is>
          <t>Adventure CPG</t>
        </is>
      </c>
      <c r="H1838" t="n">
        <v>6</v>
      </c>
      <c r="I1838" t="b">
        <v>0</v>
      </c>
      <c r="J1838" t="b">
        <v>1</v>
      </c>
      <c r="K1838" t="b">
        <v>0</v>
      </c>
      <c r="L1838" t="b">
        <v>0</v>
      </c>
      <c r="M1838" t="b">
        <v>0</v>
      </c>
      <c r="N1838">
        <f>IFERROR(INDEX('Company Hitlist'!$AA:$AA,MATCH(D1838,'Company Hitlist'!$A:$A,0)),)</f>
        <v/>
      </c>
      <c r="O1838">
        <f>IFERROR(INDEX('Company Hitlist'!$N:$N,MATCH(D1838,'Company Hitlist'!$A:$A,0)),)</f>
        <v/>
      </c>
      <c r="Q1838" t="inlineStr">
        <is>
          <t>todo</t>
        </is>
      </c>
    </row>
    <row r="1839">
      <c r="A1839" t="inlineStr">
        <is>
          <t>Patrick McBride</t>
        </is>
      </c>
      <c r="B1839" t="inlineStr">
        <is>
          <t>Attendee</t>
        </is>
      </c>
      <c r="C1839" t="inlineStr">
        <is>
          <t>President</t>
        </is>
      </c>
      <c r="D1839" t="inlineStr">
        <is>
          <t>Affiliated Warehouse Companies</t>
        </is>
      </c>
      <c r="F1839" t="inlineStr">
        <is>
          <t>Yes</t>
        </is>
      </c>
      <c r="H1839" t="n">
        <v>6</v>
      </c>
      <c r="I1839" t="b">
        <v>0</v>
      </c>
      <c r="J1839" t="b">
        <v>1</v>
      </c>
      <c r="K1839" t="b">
        <v>0</v>
      </c>
      <c r="L1839" t="b">
        <v>0</v>
      </c>
      <c r="M1839" t="b">
        <v>0</v>
      </c>
      <c r="N1839">
        <f>IFERROR(INDEX('Company Hitlist'!$AA:$AA,MATCH(D1839,'Company Hitlist'!$A:$A,0)),)</f>
        <v/>
      </c>
      <c r="O1839">
        <f>IFERROR(INDEX('Company Hitlist'!$N:$N,MATCH(D1839,'Company Hitlist'!$A:$A,0)),)</f>
        <v/>
      </c>
      <c r="Q1839" t="inlineStr">
        <is>
          <t>todo</t>
        </is>
      </c>
    </row>
    <row r="1840">
      <c r="A1840" t="inlineStr">
        <is>
          <t>Ryan Jacobs</t>
        </is>
      </c>
      <c r="B1840" t="inlineStr">
        <is>
          <t>Attendee</t>
        </is>
      </c>
      <c r="C1840" t="inlineStr">
        <is>
          <t>CEO and Co-Founder</t>
        </is>
      </c>
      <c r="D1840" t="inlineStr">
        <is>
          <t>Agency Robotics</t>
        </is>
      </c>
      <c r="E1840" t="inlineStr">
        <is>
          <t>United States</t>
        </is>
      </c>
      <c r="F1840" t="inlineStr">
        <is>
          <t>Yes</t>
        </is>
      </c>
      <c r="H1840" t="n">
        <v>6</v>
      </c>
      <c r="I1840" t="b">
        <v>0</v>
      </c>
      <c r="J1840" t="b">
        <v>1</v>
      </c>
      <c r="K1840" t="b">
        <v>0</v>
      </c>
      <c r="L1840" t="b">
        <v>0</v>
      </c>
      <c r="M1840" t="b">
        <v>0</v>
      </c>
      <c r="N1840">
        <f>IFERROR(INDEX('Company Hitlist'!$AA:$AA,MATCH(D1840,'Company Hitlist'!$A:$A,0)),)</f>
        <v/>
      </c>
      <c r="O1840">
        <f>IFERROR(INDEX('Company Hitlist'!$N:$N,MATCH(D1840,'Company Hitlist'!$A:$A,0)),)</f>
        <v/>
      </c>
      <c r="Q1840" t="inlineStr">
        <is>
          <t>todo</t>
        </is>
      </c>
    </row>
    <row r="1841">
      <c r="A1841" t="inlineStr">
        <is>
          <t>Timothy Judge</t>
        </is>
      </c>
      <c r="B1841" t="inlineStr">
        <is>
          <t>Attendee</t>
        </is>
      </c>
      <c r="C1841" t="inlineStr">
        <is>
          <t>CEO</t>
        </is>
      </c>
      <c r="D1841" t="inlineStr">
        <is>
          <t>Agillitics</t>
        </is>
      </c>
      <c r="E1841" t="inlineStr">
        <is>
          <t>United States</t>
        </is>
      </c>
      <c r="F1841" t="inlineStr">
        <is>
          <t>Yes</t>
        </is>
      </c>
      <c r="H1841" t="n">
        <v>6</v>
      </c>
      <c r="I1841" t="b">
        <v>0</v>
      </c>
      <c r="J1841" t="b">
        <v>1</v>
      </c>
      <c r="K1841" t="b">
        <v>0</v>
      </c>
      <c r="L1841" t="b">
        <v>0</v>
      </c>
      <c r="M1841" t="b">
        <v>0</v>
      </c>
      <c r="N1841">
        <f>IFERROR(INDEX('Company Hitlist'!$AA:$AA,MATCH(D1841,'Company Hitlist'!$A:$A,0)),)</f>
        <v/>
      </c>
      <c r="O1841">
        <f>IFERROR(INDEX('Company Hitlist'!$N:$N,MATCH(D1841,'Company Hitlist'!$A:$A,0)),)</f>
        <v/>
      </c>
      <c r="Q1841" t="inlineStr">
        <is>
          <t>todo</t>
        </is>
      </c>
    </row>
    <row r="1842">
      <c r="A1842" t="inlineStr">
        <is>
          <t>Alejandra Elizabeth</t>
        </is>
      </c>
      <c r="B1842" t="inlineStr">
        <is>
          <t>Attendee</t>
        </is>
      </c>
      <c r="C1842" t="inlineStr">
        <is>
          <t>CEO</t>
        </is>
      </c>
      <c r="D1842" t="inlineStr">
        <is>
          <t>Aleje Cosmetics</t>
        </is>
      </c>
      <c r="F1842" t="inlineStr">
        <is>
          <t>Yes</t>
        </is>
      </c>
      <c r="H1842" t="n">
        <v>6</v>
      </c>
      <c r="I1842" t="b">
        <v>0</v>
      </c>
      <c r="J1842" t="b">
        <v>1</v>
      </c>
      <c r="K1842" t="b">
        <v>0</v>
      </c>
      <c r="L1842" t="b">
        <v>0</v>
      </c>
      <c r="M1842" t="b">
        <v>0</v>
      </c>
      <c r="N1842">
        <f>IFERROR(INDEX('Company Hitlist'!$AA:$AA,MATCH(D1842,'Company Hitlist'!$A:$A,0)),)</f>
        <v/>
      </c>
      <c r="O1842">
        <f>IFERROR(INDEX('Company Hitlist'!$N:$N,MATCH(D1842,'Company Hitlist'!$A:$A,0)),)</f>
        <v/>
      </c>
      <c r="Q1842" t="inlineStr">
        <is>
          <t>todo</t>
        </is>
      </c>
    </row>
    <row r="1843">
      <c r="A1843" t="inlineStr">
        <is>
          <t>Inder Mukhopadhyay</t>
        </is>
      </c>
      <c r="B1843" t="inlineStr">
        <is>
          <t>Attendee</t>
        </is>
      </c>
      <c r="C1843" t="inlineStr">
        <is>
          <t>CEO &amp; Founder</t>
        </is>
      </c>
      <c r="D1843" t="inlineStr">
        <is>
          <t>Alicia Bots Pte Ltd</t>
        </is>
      </c>
      <c r="E1843" t="inlineStr">
        <is>
          <t>Singapore</t>
        </is>
      </c>
      <c r="F1843" t="inlineStr">
        <is>
          <t>Yes</t>
        </is>
      </c>
      <c r="H1843" t="n">
        <v>6</v>
      </c>
      <c r="I1843" t="b">
        <v>0</v>
      </c>
      <c r="J1843" t="b">
        <v>1</v>
      </c>
      <c r="K1843" t="b">
        <v>0</v>
      </c>
      <c r="L1843" t="b">
        <v>0</v>
      </c>
      <c r="M1843" t="b">
        <v>0</v>
      </c>
      <c r="N1843">
        <f>IFERROR(INDEX('Company Hitlist'!$AA:$AA,MATCH(D1843,'Company Hitlist'!$A:$A,0)),)</f>
        <v/>
      </c>
      <c r="O1843">
        <f>IFERROR(INDEX('Company Hitlist'!$N:$N,MATCH(D1843,'Company Hitlist'!$A:$A,0)),)</f>
        <v/>
      </c>
      <c r="Q1843" t="inlineStr">
        <is>
          <t>todo</t>
        </is>
      </c>
    </row>
    <row r="1844">
      <c r="A1844" t="inlineStr">
        <is>
          <t>Priyanka Munsi</t>
        </is>
      </c>
      <c r="B1844" t="inlineStr">
        <is>
          <t>Attendee</t>
        </is>
      </c>
      <c r="C1844" t="inlineStr">
        <is>
          <t>CSO</t>
        </is>
      </c>
      <c r="D1844" t="inlineStr">
        <is>
          <t>Alicia Bots Pte Ltd</t>
        </is>
      </c>
      <c r="E1844" t="inlineStr">
        <is>
          <t>Singapore</t>
        </is>
      </c>
      <c r="F1844" t="inlineStr">
        <is>
          <t>Yes</t>
        </is>
      </c>
      <c r="H1844" t="n">
        <v>6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  <c r="N1844">
        <f>IFERROR(INDEX('Company Hitlist'!$AA:$AA,MATCH(D1844,'Company Hitlist'!$A:$A,0)),)</f>
        <v/>
      </c>
      <c r="O1844">
        <f>IFERROR(INDEX('Company Hitlist'!$N:$N,MATCH(D1844,'Company Hitlist'!$A:$A,0)),)</f>
        <v/>
      </c>
      <c r="Q1844" t="inlineStr">
        <is>
          <t>todo</t>
        </is>
      </c>
    </row>
    <row r="1845">
      <c r="A1845" t="inlineStr">
        <is>
          <t>Kasey Butler</t>
        </is>
      </c>
      <c r="B1845" t="inlineStr">
        <is>
          <t>Attendee</t>
        </is>
      </c>
      <c r="C1845" t="inlineStr">
        <is>
          <t>President</t>
        </is>
      </c>
      <c r="D1845" t="inlineStr">
        <is>
          <t>AllTran Logistics</t>
        </is>
      </c>
      <c r="E1845" t="inlineStr">
        <is>
          <t>United States</t>
        </is>
      </c>
      <c r="F1845" t="inlineStr">
        <is>
          <t>Yes</t>
        </is>
      </c>
      <c r="H1845" t="n">
        <v>6</v>
      </c>
      <c r="I1845" t="b">
        <v>0</v>
      </c>
      <c r="J1845" t="b">
        <v>1</v>
      </c>
      <c r="K1845" t="b">
        <v>0</v>
      </c>
      <c r="L1845" t="b">
        <v>0</v>
      </c>
      <c r="M1845" t="b">
        <v>0</v>
      </c>
      <c r="N1845">
        <f>IFERROR(INDEX('Company Hitlist'!$AA:$AA,MATCH(D1845,'Company Hitlist'!$A:$A,0)),)</f>
        <v/>
      </c>
      <c r="O1845">
        <f>IFERROR(INDEX('Company Hitlist'!$N:$N,MATCH(D1845,'Company Hitlist'!$A:$A,0)),)</f>
        <v/>
      </c>
      <c r="Q1845" t="inlineStr">
        <is>
          <t>todo</t>
        </is>
      </c>
    </row>
    <row r="1846">
      <c r="A1846" t="inlineStr">
        <is>
          <t>Chetan Tandon</t>
        </is>
      </c>
      <c r="B1846" t="inlineStr">
        <is>
          <t>Attendee</t>
        </is>
      </c>
      <c r="C1846" t="inlineStr">
        <is>
          <t>CIO</t>
        </is>
      </c>
      <c r="D1846" t="inlineStr">
        <is>
          <t>Allen Lund Company, Inc. - La Canada Flintridge, CA</t>
        </is>
      </c>
      <c r="E1846" t="inlineStr">
        <is>
          <t>United States</t>
        </is>
      </c>
      <c r="H1846" t="n">
        <v>6</v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  <c r="N1846">
        <f>IFERROR(INDEX('Company Hitlist'!$AA:$AA,MATCH(D1846,'Company Hitlist'!$A:$A,0)),)</f>
        <v/>
      </c>
      <c r="O1846">
        <f>IFERROR(INDEX('Company Hitlist'!$N:$N,MATCH(D1846,'Company Hitlist'!$A:$A,0)),)</f>
        <v/>
      </c>
      <c r="Q1846" t="inlineStr">
        <is>
          <t>todo</t>
        </is>
      </c>
    </row>
    <row r="1847">
      <c r="A1847" t="inlineStr">
        <is>
          <t>Rob Nemeth</t>
        </is>
      </c>
      <c r="B1847" t="inlineStr">
        <is>
          <t>Attendee</t>
        </is>
      </c>
      <c r="C1847" t="inlineStr">
        <is>
          <t>President</t>
        </is>
      </c>
      <c r="D1847" t="inlineStr">
        <is>
          <t>Allied Distribution Services, LLC</t>
        </is>
      </c>
      <c r="E1847" t="inlineStr">
        <is>
          <t>United States</t>
        </is>
      </c>
      <c r="F1847" t="inlineStr">
        <is>
          <t>Yes</t>
        </is>
      </c>
      <c r="H1847" t="n">
        <v>6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  <c r="N1847">
        <f>IFERROR(INDEX('Company Hitlist'!$AA:$AA,MATCH(D1847,'Company Hitlist'!$A:$A,0)),)</f>
        <v/>
      </c>
      <c r="O1847">
        <f>IFERROR(INDEX('Company Hitlist'!$N:$N,MATCH(D1847,'Company Hitlist'!$A:$A,0)),)</f>
        <v/>
      </c>
      <c r="Q1847" t="inlineStr">
        <is>
          <t>todo</t>
        </is>
      </c>
    </row>
    <row r="1848">
      <c r="A1848" t="inlineStr">
        <is>
          <t>Claudio Jordan</t>
        </is>
      </c>
      <c r="B1848" t="inlineStr">
        <is>
          <t>Attendee</t>
        </is>
      </c>
      <c r="C1848" t="inlineStr">
        <is>
          <t>Chief Financial Officer (CFO)</t>
        </is>
      </c>
      <c r="D1848" t="inlineStr">
        <is>
          <t>Allied Trucking of Florida</t>
        </is>
      </c>
      <c r="E1848" t="inlineStr">
        <is>
          <t>United States</t>
        </is>
      </c>
      <c r="F1848" t="inlineStr">
        <is>
          <t>Yes</t>
        </is>
      </c>
      <c r="H1848" t="n">
        <v>6</v>
      </c>
      <c r="I1848" t="b">
        <v>0</v>
      </c>
      <c r="J1848" t="b">
        <v>1</v>
      </c>
      <c r="K1848" t="b">
        <v>0</v>
      </c>
      <c r="L1848" t="b">
        <v>0</v>
      </c>
      <c r="M1848" t="b">
        <v>0</v>
      </c>
      <c r="N1848">
        <f>IFERROR(INDEX('Company Hitlist'!$AA:$AA,MATCH(D1848,'Company Hitlist'!$A:$A,0)),)</f>
        <v/>
      </c>
      <c r="O1848">
        <f>IFERROR(INDEX('Company Hitlist'!$N:$N,MATCH(D1848,'Company Hitlist'!$A:$A,0)),)</f>
        <v/>
      </c>
      <c r="Q1848" t="inlineStr">
        <is>
          <t>todo</t>
        </is>
      </c>
    </row>
    <row r="1849">
      <c r="A1849" t="inlineStr">
        <is>
          <t>Mit Gandhi</t>
        </is>
      </c>
      <c r="B1849" t="inlineStr">
        <is>
          <t>Attendee</t>
        </is>
      </c>
      <c r="C1849" t="inlineStr">
        <is>
          <t>CEO</t>
        </is>
      </c>
      <c r="D1849" t="inlineStr">
        <is>
          <t>Altamount Consulting Services</t>
        </is>
      </c>
      <c r="E1849" t="inlineStr">
        <is>
          <t>India</t>
        </is>
      </c>
      <c r="H1849" t="n">
        <v>6</v>
      </c>
      <c r="I1849" t="b">
        <v>0</v>
      </c>
      <c r="J1849" t="b">
        <v>1</v>
      </c>
      <c r="K1849" t="b">
        <v>0</v>
      </c>
      <c r="L1849" t="b">
        <v>0</v>
      </c>
      <c r="M1849" t="b">
        <v>0</v>
      </c>
      <c r="N1849">
        <f>IFERROR(INDEX('Company Hitlist'!$AA:$AA,MATCH(D1849,'Company Hitlist'!$A:$A,0)),)</f>
        <v/>
      </c>
      <c r="O1849">
        <f>IFERROR(INDEX('Company Hitlist'!$N:$N,MATCH(D1849,'Company Hitlist'!$A:$A,0)),)</f>
        <v/>
      </c>
      <c r="Q1849" t="inlineStr">
        <is>
          <t>todo</t>
        </is>
      </c>
    </row>
    <row r="1850">
      <c r="A1850" t="inlineStr">
        <is>
          <t>Nick Darman</t>
        </is>
      </c>
      <c r="B1850" t="inlineStr">
        <is>
          <t>Attendee</t>
        </is>
      </c>
      <c r="C1850" t="inlineStr">
        <is>
          <t>CEO</t>
        </is>
      </c>
      <c r="D1850" t="inlineStr">
        <is>
          <t>Alvys</t>
        </is>
      </c>
      <c r="E1850" t="inlineStr">
        <is>
          <t>United States</t>
        </is>
      </c>
      <c r="F1850" t="inlineStr">
        <is>
          <t>Yes</t>
        </is>
      </c>
      <c r="H1850" t="n">
        <v>6</v>
      </c>
      <c r="I1850" t="b">
        <v>0</v>
      </c>
      <c r="J1850" t="b">
        <v>1</v>
      </c>
      <c r="K1850" t="b">
        <v>0</v>
      </c>
      <c r="L1850" t="b">
        <v>0</v>
      </c>
      <c r="M1850" t="b">
        <v>0</v>
      </c>
      <c r="N1850">
        <f>IFERROR(INDEX('Company Hitlist'!$AA:$AA,MATCH(D1850,'Company Hitlist'!$A:$A,0)),)</f>
        <v/>
      </c>
      <c r="O1850">
        <f>IFERROR(INDEX('Company Hitlist'!$N:$N,MATCH(D1850,'Company Hitlist'!$A:$A,0)),)</f>
        <v/>
      </c>
      <c r="Q1850" t="inlineStr">
        <is>
          <t>todo</t>
        </is>
      </c>
    </row>
    <row r="1851">
      <c r="A1851" t="inlineStr">
        <is>
          <t>Sam Basu</t>
        </is>
      </c>
      <c r="B1851" t="inlineStr">
        <is>
          <t>Attendee</t>
        </is>
      </c>
      <c r="C1851" t="inlineStr">
        <is>
          <t>CEO</t>
        </is>
      </c>
      <c r="D1851" t="inlineStr">
        <is>
          <t>Amari AI - Cut your customs clearance time</t>
        </is>
      </c>
      <c r="E1851" t="inlineStr">
        <is>
          <t>United States</t>
        </is>
      </c>
      <c r="F1851" t="inlineStr">
        <is>
          <t>Yes</t>
        </is>
      </c>
      <c r="H1851" t="n">
        <v>6</v>
      </c>
      <c r="I1851" t="b">
        <v>0</v>
      </c>
      <c r="J1851" t="b">
        <v>1</v>
      </c>
      <c r="K1851" t="b">
        <v>0</v>
      </c>
      <c r="L1851" t="b">
        <v>0</v>
      </c>
      <c r="M1851" t="b">
        <v>0</v>
      </c>
      <c r="N1851">
        <f>IFERROR(INDEX('Company Hitlist'!$AA:$AA,MATCH(D1851,'Company Hitlist'!$A:$A,0)),)</f>
        <v/>
      </c>
      <c r="O1851">
        <f>IFERROR(INDEX('Company Hitlist'!$N:$N,MATCH(D1851,'Company Hitlist'!$A:$A,0)),)</f>
        <v/>
      </c>
      <c r="Q1851" t="inlineStr">
        <is>
          <t>todo</t>
        </is>
      </c>
    </row>
    <row r="1852">
      <c r="A1852" t="inlineStr">
        <is>
          <t>Chris Kane</t>
        </is>
      </c>
      <c r="B1852" t="inlineStr">
        <is>
          <t>Attendee</t>
        </is>
      </c>
      <c r="C1852" t="inlineStr">
        <is>
          <t>President</t>
        </is>
      </c>
      <c r="D1852" t="inlineStr">
        <is>
          <t>American Chain Of Warehouses</t>
        </is>
      </c>
      <c r="E1852" t="inlineStr">
        <is>
          <t>United States</t>
        </is>
      </c>
      <c r="H1852" t="n">
        <v>6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  <c r="N1852">
        <f>IFERROR(INDEX('Company Hitlist'!$AA:$AA,MATCH(D1852,'Company Hitlist'!$A:$A,0)),)</f>
        <v/>
      </c>
      <c r="O1852">
        <f>IFERROR(INDEX('Company Hitlist'!$N:$N,MATCH(D1852,'Company Hitlist'!$A:$A,0)),)</f>
        <v/>
      </c>
      <c r="Q1852" t="inlineStr">
        <is>
          <t>todo</t>
        </is>
      </c>
    </row>
    <row r="1853">
      <c r="A1853" t="inlineStr">
        <is>
          <t>Chris Owens</t>
        </is>
      </c>
      <c r="B1853" t="inlineStr">
        <is>
          <t>Attendee</t>
        </is>
      </c>
      <c r="C1853" t="inlineStr">
        <is>
          <t>Vice President Retail, Foodservice, Fresh</t>
        </is>
      </c>
      <c r="D1853" t="inlineStr">
        <is>
          <t>Americold</t>
        </is>
      </c>
      <c r="E1853" t="inlineStr">
        <is>
          <t>United States</t>
        </is>
      </c>
      <c r="H1853" t="n">
        <v>6</v>
      </c>
      <c r="I1853" t="b">
        <v>0</v>
      </c>
      <c r="J1853" t="b">
        <v>1</v>
      </c>
      <c r="K1853" t="b">
        <v>0</v>
      </c>
      <c r="L1853" t="b">
        <v>0</v>
      </c>
      <c r="M1853" t="b">
        <v>0</v>
      </c>
      <c r="N1853">
        <f>IFERROR(INDEX('Company Hitlist'!$AA:$AA,MATCH(D1853,'Company Hitlist'!$A:$A,0)),)</f>
        <v/>
      </c>
      <c r="O1853">
        <f>IFERROR(INDEX('Company Hitlist'!$N:$N,MATCH(D1853,'Company Hitlist'!$A:$A,0)),)</f>
        <v/>
      </c>
      <c r="Q1853" t="inlineStr">
        <is>
          <t>todo</t>
        </is>
      </c>
    </row>
    <row r="1854">
      <c r="A1854" t="inlineStr">
        <is>
          <t>Mathew Moore</t>
        </is>
      </c>
      <c r="B1854" t="inlineStr">
        <is>
          <t>Attendee</t>
        </is>
      </c>
      <c r="C1854" t="inlineStr">
        <is>
          <t>VP Global Market Strategy</t>
        </is>
      </c>
      <c r="D1854" t="inlineStr">
        <is>
          <t>Americold</t>
        </is>
      </c>
      <c r="E1854" t="inlineStr">
        <is>
          <t>United States</t>
        </is>
      </c>
      <c r="H1854" t="n">
        <v>6</v>
      </c>
      <c r="I1854" t="b">
        <v>0</v>
      </c>
      <c r="J1854" t="b">
        <v>1</v>
      </c>
      <c r="K1854" t="b">
        <v>0</v>
      </c>
      <c r="L1854" t="b">
        <v>0</v>
      </c>
      <c r="M1854" t="b">
        <v>0</v>
      </c>
      <c r="N1854">
        <f>IFERROR(INDEX('Company Hitlist'!$AA:$AA,MATCH(D1854,'Company Hitlist'!$A:$A,0)),)</f>
        <v/>
      </c>
      <c r="O1854">
        <f>IFERROR(INDEX('Company Hitlist'!$N:$N,MATCH(D1854,'Company Hitlist'!$A:$A,0)),)</f>
        <v/>
      </c>
      <c r="Q1854" t="inlineStr">
        <is>
          <t>todo</t>
        </is>
      </c>
    </row>
    <row r="1855">
      <c r="A1855" t="inlineStr">
        <is>
          <t>Brian Dunn</t>
        </is>
      </c>
      <c r="B1855" t="inlineStr">
        <is>
          <t>Attendee</t>
        </is>
      </c>
      <c r="C1855" t="inlineStr">
        <is>
          <t>SVP Facilities &amp; Engineering</t>
        </is>
      </c>
      <c r="D1855" t="inlineStr">
        <is>
          <t>Americold</t>
        </is>
      </c>
      <c r="H1855" t="n">
        <v>6</v>
      </c>
      <c r="I1855" t="b">
        <v>0</v>
      </c>
      <c r="J1855" t="b">
        <v>1</v>
      </c>
      <c r="K1855" t="b">
        <v>0</v>
      </c>
      <c r="L1855" t="b">
        <v>0</v>
      </c>
      <c r="M1855" t="b">
        <v>0</v>
      </c>
      <c r="N1855">
        <f>IFERROR(INDEX('Company Hitlist'!$AA:$AA,MATCH(D1855,'Company Hitlist'!$A:$A,0)),)</f>
        <v/>
      </c>
      <c r="O1855">
        <f>IFERROR(INDEX('Company Hitlist'!$N:$N,MATCH(D1855,'Company Hitlist'!$A:$A,0)),)</f>
        <v/>
      </c>
      <c r="Q1855" t="inlineStr">
        <is>
          <t>todo</t>
        </is>
      </c>
    </row>
    <row r="1856">
      <c r="A1856" t="inlineStr">
        <is>
          <t>Adam Jensen</t>
        </is>
      </c>
      <c r="B1856" t="inlineStr">
        <is>
          <t>Attendee</t>
        </is>
      </c>
      <c r="C1856" t="inlineStr">
        <is>
          <t>CEO</t>
        </is>
      </c>
      <c r="D1856" t="inlineStr">
        <is>
          <t>Amplex Corporation</t>
        </is>
      </c>
      <c r="E1856" t="inlineStr">
        <is>
          <t>United States</t>
        </is>
      </c>
      <c r="H1856" t="n">
        <v>6</v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  <c r="N1856">
        <f>IFERROR(INDEX('Company Hitlist'!$AA:$AA,MATCH(D1856,'Company Hitlist'!$A:$A,0)),)</f>
        <v/>
      </c>
      <c r="O1856">
        <f>IFERROR(INDEX('Company Hitlist'!$N:$N,MATCH(D1856,'Company Hitlist'!$A:$A,0)),)</f>
        <v/>
      </c>
      <c r="Q1856" t="inlineStr">
        <is>
          <t>todo</t>
        </is>
      </c>
    </row>
    <row r="1857">
      <c r="A1857" t="inlineStr">
        <is>
          <t>Mika Jaaskelainen</t>
        </is>
      </c>
      <c r="B1857" t="inlineStr">
        <is>
          <t>Attendee</t>
        </is>
      </c>
      <c r="C1857" t="inlineStr">
        <is>
          <t>COO</t>
        </is>
      </c>
      <c r="D1857" t="inlineStr">
        <is>
          <t>Amplex Corporation</t>
        </is>
      </c>
      <c r="E1857" t="inlineStr">
        <is>
          <t>United States</t>
        </is>
      </c>
      <c r="H1857" t="n">
        <v>6</v>
      </c>
      <c r="I1857" t="b">
        <v>0</v>
      </c>
      <c r="J1857" t="b">
        <v>1</v>
      </c>
      <c r="K1857" t="b">
        <v>0</v>
      </c>
      <c r="L1857" t="b">
        <v>0</v>
      </c>
      <c r="M1857" t="b">
        <v>0</v>
      </c>
      <c r="N1857">
        <f>IFERROR(INDEX('Company Hitlist'!$AA:$AA,MATCH(D1857,'Company Hitlist'!$A:$A,0)),)</f>
        <v/>
      </c>
      <c r="O1857">
        <f>IFERROR(INDEX('Company Hitlist'!$N:$N,MATCH(D1857,'Company Hitlist'!$A:$A,0)),)</f>
        <v/>
      </c>
      <c r="Q1857" t="inlineStr">
        <is>
          <t>todo</t>
        </is>
      </c>
    </row>
    <row r="1858">
      <c r="A1858" t="inlineStr">
        <is>
          <t>Megan Bingham-Walker</t>
        </is>
      </c>
      <c r="B1858" t="inlineStr">
        <is>
          <t>Attendee</t>
        </is>
      </c>
      <c r="C1858" t="inlineStr">
        <is>
          <t>Founder &amp; CEO</t>
        </is>
      </c>
      <c r="D1858" t="inlineStr">
        <is>
          <t>Anansi - Parcel Insurance</t>
        </is>
      </c>
      <c r="E1858" t="inlineStr">
        <is>
          <t>United Kingdom</t>
        </is>
      </c>
      <c r="H1858" t="n">
        <v>6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  <c r="N1858">
        <f>IFERROR(INDEX('Company Hitlist'!$AA:$AA,MATCH(D1858,'Company Hitlist'!$A:$A,0)),)</f>
        <v/>
      </c>
      <c r="O1858">
        <f>IFERROR(INDEX('Company Hitlist'!$N:$N,MATCH(D1858,'Company Hitlist'!$A:$A,0)),)</f>
        <v/>
      </c>
      <c r="Q1858" t="inlineStr">
        <is>
          <t>todo</t>
        </is>
      </c>
    </row>
    <row r="1859">
      <c r="A1859" t="inlineStr">
        <is>
          <t>Paul Oates</t>
        </is>
      </c>
      <c r="B1859" t="inlineStr">
        <is>
          <t>Attendee</t>
        </is>
      </c>
      <c r="C1859" t="inlineStr">
        <is>
          <t>Operating Partner, Head of Energy &amp; Industrials</t>
        </is>
      </c>
      <c r="D1859" t="inlineStr">
        <is>
          <t>Andreessen Horowitz</t>
        </is>
      </c>
      <c r="E1859" t="inlineStr">
        <is>
          <t>United States</t>
        </is>
      </c>
      <c r="H1859" t="n">
        <v>6</v>
      </c>
      <c r="I1859" t="b">
        <v>0</v>
      </c>
      <c r="J1859" t="b">
        <v>1</v>
      </c>
      <c r="K1859" t="b">
        <v>0</v>
      </c>
      <c r="L1859" t="b">
        <v>0</v>
      </c>
      <c r="M1859" t="b">
        <v>0</v>
      </c>
      <c r="N1859">
        <f>IFERROR(INDEX('Company Hitlist'!$AA:$AA,MATCH(D1859,'Company Hitlist'!$A:$A,0)),)</f>
        <v/>
      </c>
      <c r="O1859">
        <f>IFERROR(INDEX('Company Hitlist'!$N:$N,MATCH(D1859,'Company Hitlist'!$A:$A,0)),)</f>
        <v/>
      </c>
      <c r="Q1859" t="inlineStr">
        <is>
          <t>todo</t>
        </is>
      </c>
    </row>
    <row r="1860">
      <c r="A1860" t="inlineStr">
        <is>
          <t>Marina Ivanov</t>
        </is>
      </c>
      <c r="B1860" t="inlineStr">
        <is>
          <t>Attendee</t>
        </is>
      </c>
      <c r="C1860" t="inlineStr">
        <is>
          <t>CEO &amp; Co-Founder</t>
        </is>
      </c>
      <c r="D1860" t="inlineStr">
        <is>
          <t>Apex Transit</t>
        </is>
      </c>
      <c r="E1860" t="inlineStr">
        <is>
          <t>United States</t>
        </is>
      </c>
      <c r="F1860" t="inlineStr">
        <is>
          <t>Yes</t>
        </is>
      </c>
      <c r="H1860" t="n">
        <v>6</v>
      </c>
      <c r="I1860" t="b">
        <v>0</v>
      </c>
      <c r="J1860" t="b">
        <v>1</v>
      </c>
      <c r="K1860" t="b">
        <v>0</v>
      </c>
      <c r="L1860" t="b">
        <v>0</v>
      </c>
      <c r="M1860" t="b">
        <v>0</v>
      </c>
      <c r="N1860">
        <f>IFERROR(INDEX('Company Hitlist'!$AA:$AA,MATCH(D1860,'Company Hitlist'!$A:$A,0)),)</f>
        <v/>
      </c>
      <c r="O1860">
        <f>IFERROR(INDEX('Company Hitlist'!$N:$N,MATCH(D1860,'Company Hitlist'!$A:$A,0)),)</f>
        <v/>
      </c>
      <c r="Q1860" t="inlineStr">
        <is>
          <t>todo</t>
        </is>
      </c>
    </row>
    <row r="1861">
      <c r="A1861" t="inlineStr">
        <is>
          <t>Juan Cora</t>
        </is>
      </c>
      <c r="B1861" t="inlineStr">
        <is>
          <t>Attendee</t>
        </is>
      </c>
      <c r="C1861" t="inlineStr">
        <is>
          <t>CEO &amp; Founder</t>
        </is>
      </c>
      <c r="D1861" t="inlineStr">
        <is>
          <t>Aquatio Software</t>
        </is>
      </c>
      <c r="E1861" t="inlineStr">
        <is>
          <t>United States</t>
        </is>
      </c>
      <c r="F1861" t="inlineStr">
        <is>
          <t>Yes</t>
        </is>
      </c>
      <c r="H1861" t="n">
        <v>6</v>
      </c>
      <c r="I1861" t="b">
        <v>0</v>
      </c>
      <c r="J1861" t="b">
        <v>1</v>
      </c>
      <c r="K1861" t="b">
        <v>0</v>
      </c>
      <c r="L1861" t="b">
        <v>0</v>
      </c>
      <c r="M1861" t="b">
        <v>0</v>
      </c>
      <c r="N1861">
        <f>IFERROR(INDEX('Company Hitlist'!$AA:$AA,MATCH(D1861,'Company Hitlist'!$A:$A,0)),)</f>
        <v/>
      </c>
      <c r="O1861">
        <f>IFERROR(INDEX('Company Hitlist'!$N:$N,MATCH(D1861,'Company Hitlist'!$A:$A,0)),)</f>
        <v/>
      </c>
      <c r="Q1861" t="inlineStr">
        <is>
          <t>todo</t>
        </is>
      </c>
    </row>
    <row r="1862">
      <c r="A1862" t="inlineStr">
        <is>
          <t>Dan Croft</t>
        </is>
      </c>
      <c r="B1862" t="inlineStr">
        <is>
          <t>Attendee</t>
        </is>
      </c>
      <c r="C1862" t="inlineStr">
        <is>
          <t>President</t>
        </is>
      </c>
      <c r="D1862" t="inlineStr">
        <is>
          <t>Arco DB</t>
        </is>
      </c>
      <c r="H1862" t="n">
        <v>6</v>
      </c>
      <c r="I1862" t="b">
        <v>0</v>
      </c>
      <c r="J1862" t="b">
        <v>1</v>
      </c>
      <c r="K1862" t="b">
        <v>0</v>
      </c>
      <c r="L1862" t="b">
        <v>0</v>
      </c>
      <c r="M1862" t="b">
        <v>0</v>
      </c>
      <c r="N1862">
        <f>IFERROR(INDEX('Company Hitlist'!$AA:$AA,MATCH(D1862,'Company Hitlist'!$A:$A,0)),)</f>
        <v/>
      </c>
      <c r="O1862">
        <f>IFERROR(INDEX('Company Hitlist'!$N:$N,MATCH(D1862,'Company Hitlist'!$A:$A,0)),)</f>
        <v/>
      </c>
      <c r="Q1862" t="inlineStr">
        <is>
          <t>todo</t>
        </is>
      </c>
    </row>
    <row r="1863">
      <c r="A1863" t="inlineStr">
        <is>
          <t>Rahul Bali</t>
        </is>
      </c>
      <c r="B1863" t="inlineStr">
        <is>
          <t>Attendee</t>
        </is>
      </c>
      <c r="C1863" t="inlineStr">
        <is>
          <t>CEO, Founder</t>
        </is>
      </c>
      <c r="D1863" t="inlineStr">
        <is>
          <t>Arcwise</t>
        </is>
      </c>
      <c r="E1863" t="inlineStr">
        <is>
          <t>United States</t>
        </is>
      </c>
      <c r="H1863" t="n">
        <v>6</v>
      </c>
      <c r="I1863" t="b">
        <v>0</v>
      </c>
      <c r="J1863" t="b">
        <v>1</v>
      </c>
      <c r="K1863" t="b">
        <v>0</v>
      </c>
      <c r="L1863" t="b">
        <v>0</v>
      </c>
      <c r="M1863" t="b">
        <v>0</v>
      </c>
      <c r="N1863">
        <f>IFERROR(INDEX('Company Hitlist'!$AA:$AA,MATCH(D1863,'Company Hitlist'!$A:$A,0)),)</f>
        <v/>
      </c>
      <c r="O1863">
        <f>IFERROR(INDEX('Company Hitlist'!$N:$N,MATCH(D1863,'Company Hitlist'!$A:$A,0)),)</f>
        <v/>
      </c>
      <c r="Q1863" t="inlineStr">
        <is>
          <t>todo</t>
        </is>
      </c>
    </row>
    <row r="1864">
      <c r="A1864" t="inlineStr">
        <is>
          <t>Kyle Henson</t>
        </is>
      </c>
      <c r="B1864" t="inlineStr">
        <is>
          <t>Attendee</t>
        </is>
      </c>
      <c r="C1864" t="inlineStr">
        <is>
          <t>CEO &amp; Co-Founder</t>
        </is>
      </c>
      <c r="D1864" t="inlineStr">
        <is>
          <t>Arda</t>
        </is>
      </c>
      <c r="E1864" t="inlineStr">
        <is>
          <t>United States</t>
        </is>
      </c>
      <c r="F1864" t="inlineStr">
        <is>
          <t>Yes</t>
        </is>
      </c>
      <c r="H1864" t="n">
        <v>6</v>
      </c>
      <c r="I1864" t="b">
        <v>0</v>
      </c>
      <c r="J1864" t="b">
        <v>1</v>
      </c>
      <c r="K1864" t="b">
        <v>0</v>
      </c>
      <c r="L1864" t="b">
        <v>0</v>
      </c>
      <c r="M1864" t="b">
        <v>0</v>
      </c>
      <c r="N1864">
        <f>IFERROR(INDEX('Company Hitlist'!$AA:$AA,MATCH(D1864,'Company Hitlist'!$A:$A,0)),)</f>
        <v/>
      </c>
      <c r="O1864">
        <f>IFERROR(INDEX('Company Hitlist'!$N:$N,MATCH(D1864,'Company Hitlist'!$A:$A,0)),)</f>
        <v/>
      </c>
      <c r="Q1864" t="inlineStr">
        <is>
          <t>todo</t>
        </is>
      </c>
    </row>
    <row r="1865">
      <c r="A1865" t="inlineStr">
        <is>
          <t>David Weigand</t>
        </is>
      </c>
      <c r="B1865" t="inlineStr">
        <is>
          <t>Attendee</t>
        </is>
      </c>
      <c r="C1865" t="inlineStr">
        <is>
          <t>COO</t>
        </is>
      </c>
      <c r="D1865" t="inlineStr">
        <is>
          <t>Argents Express Group</t>
        </is>
      </c>
      <c r="F1865" t="inlineStr">
        <is>
          <t>Yes</t>
        </is>
      </c>
      <c r="H1865" t="n">
        <v>6</v>
      </c>
      <c r="I1865" t="b">
        <v>0</v>
      </c>
      <c r="J1865" t="b">
        <v>1</v>
      </c>
      <c r="K1865" t="b">
        <v>0</v>
      </c>
      <c r="L1865" t="b">
        <v>0</v>
      </c>
      <c r="M1865" t="b">
        <v>0</v>
      </c>
      <c r="N1865">
        <f>IFERROR(INDEX('Company Hitlist'!$AA:$AA,MATCH(D1865,'Company Hitlist'!$A:$A,0)),)</f>
        <v/>
      </c>
      <c r="O1865">
        <f>IFERROR(INDEX('Company Hitlist'!$N:$N,MATCH(D1865,'Company Hitlist'!$A:$A,0)),)</f>
        <v/>
      </c>
      <c r="Q1865" t="inlineStr">
        <is>
          <t>todo</t>
        </is>
      </c>
    </row>
    <row r="1866">
      <c r="A1866" t="inlineStr">
        <is>
          <t>Jason Raimer</t>
        </is>
      </c>
      <c r="B1866" t="inlineStr">
        <is>
          <t>Attendee</t>
        </is>
      </c>
      <c r="C1866" t="inlineStr">
        <is>
          <t>VP Quality</t>
        </is>
      </c>
      <c r="D1866" t="inlineStr">
        <is>
          <t>Aristocrat</t>
        </is>
      </c>
      <c r="H1866" t="n">
        <v>6</v>
      </c>
      <c r="I1866" t="b">
        <v>0</v>
      </c>
      <c r="J1866" t="b">
        <v>1</v>
      </c>
      <c r="K1866" t="b">
        <v>0</v>
      </c>
      <c r="L1866" t="b">
        <v>0</v>
      </c>
      <c r="M1866" t="b">
        <v>0</v>
      </c>
      <c r="N1866">
        <f>IFERROR(INDEX('Company Hitlist'!$AA:$AA,MATCH(D1866,'Company Hitlist'!$A:$A,0)),)</f>
        <v/>
      </c>
      <c r="O1866">
        <f>IFERROR(INDEX('Company Hitlist'!$N:$N,MATCH(D1866,'Company Hitlist'!$A:$A,0)),)</f>
        <v/>
      </c>
      <c r="Q1866" t="inlineStr">
        <is>
          <t>todo</t>
        </is>
      </c>
    </row>
    <row r="1867">
      <c r="A1867" t="inlineStr">
        <is>
          <t>Amit Bakuli</t>
        </is>
      </c>
      <c r="B1867" t="inlineStr">
        <is>
          <t>Attendee</t>
        </is>
      </c>
      <c r="C1867" t="inlineStr">
        <is>
          <t>VP-Manufacturing Engineering</t>
        </is>
      </c>
      <c r="D1867" t="inlineStr">
        <is>
          <t>Aristocrat Gaming</t>
        </is>
      </c>
      <c r="E1867" t="inlineStr">
        <is>
          <t>United States</t>
        </is>
      </c>
      <c r="H1867" t="n">
        <v>6</v>
      </c>
      <c r="I1867" t="b">
        <v>0</v>
      </c>
      <c r="J1867" t="b">
        <v>1</v>
      </c>
      <c r="K1867" t="b">
        <v>0</v>
      </c>
      <c r="L1867" t="b">
        <v>0</v>
      </c>
      <c r="M1867" t="b">
        <v>0</v>
      </c>
      <c r="N1867">
        <f>IFERROR(INDEX('Company Hitlist'!$AA:$AA,MATCH(D1867,'Company Hitlist'!$A:$A,0)),)</f>
        <v/>
      </c>
      <c r="O1867">
        <f>IFERROR(INDEX('Company Hitlist'!$N:$N,MATCH(D1867,'Company Hitlist'!$A:$A,0)),)</f>
        <v/>
      </c>
      <c r="Q1867" t="inlineStr">
        <is>
          <t>todo</t>
        </is>
      </c>
    </row>
    <row r="1868">
      <c r="A1868" t="inlineStr">
        <is>
          <t>Phillip Akhzar</t>
        </is>
      </c>
      <c r="B1868" t="inlineStr">
        <is>
          <t>Attendee</t>
        </is>
      </c>
      <c r="C1868" t="inlineStr">
        <is>
          <t>CEO &amp; Founder</t>
        </is>
      </c>
      <c r="D1868" t="inlineStr">
        <is>
          <t>Arka Inc.</t>
        </is>
      </c>
      <c r="E1868" t="inlineStr">
        <is>
          <t>United States</t>
        </is>
      </c>
      <c r="H1868" t="n">
        <v>6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  <c r="N1868">
        <f>IFERROR(INDEX('Company Hitlist'!$AA:$AA,MATCH(D1868,'Company Hitlist'!$A:$A,0)),)</f>
        <v/>
      </c>
      <c r="O1868">
        <f>IFERROR(INDEX('Company Hitlist'!$N:$N,MATCH(D1868,'Company Hitlist'!$A:$A,0)),)</f>
        <v/>
      </c>
      <c r="Q1868" t="inlineStr">
        <is>
          <t>todo</t>
        </is>
      </c>
    </row>
    <row r="1869">
      <c r="A1869" t="inlineStr">
        <is>
          <t>Alio Gasbarro</t>
        </is>
      </c>
      <c r="B1869" t="inlineStr">
        <is>
          <t>Attendee</t>
        </is>
      </c>
      <c r="C1869" t="inlineStr">
        <is>
          <t>CFO</t>
        </is>
      </c>
      <c r="D1869" t="inlineStr">
        <is>
          <t>Armada Talent Group</t>
        </is>
      </c>
      <c r="E1869" t="inlineStr">
        <is>
          <t>United States</t>
        </is>
      </c>
      <c r="H1869" t="n">
        <v>6</v>
      </c>
      <c r="I1869" t="b">
        <v>0</v>
      </c>
      <c r="J1869" t="b">
        <v>1</v>
      </c>
      <c r="K1869" t="b">
        <v>0</v>
      </c>
      <c r="L1869" t="b">
        <v>0</v>
      </c>
      <c r="M1869" t="b">
        <v>0</v>
      </c>
      <c r="N1869">
        <f>IFERROR(INDEX('Company Hitlist'!$AA:$AA,MATCH(D1869,'Company Hitlist'!$A:$A,0)),)</f>
        <v/>
      </c>
      <c r="O1869">
        <f>IFERROR(INDEX('Company Hitlist'!$N:$N,MATCH(D1869,'Company Hitlist'!$A:$A,0)),)</f>
        <v/>
      </c>
      <c r="Q1869" t="inlineStr">
        <is>
          <t>todo</t>
        </is>
      </c>
    </row>
    <row r="1870">
      <c r="A1870" t="inlineStr">
        <is>
          <t>Aaron Galer</t>
        </is>
      </c>
      <c r="B1870" t="inlineStr">
        <is>
          <t>Attendee</t>
        </is>
      </c>
      <c r="C1870" t="inlineStr">
        <is>
          <t>Senior Vice President, Partnerships</t>
        </is>
      </c>
      <c r="D1870" t="inlineStr">
        <is>
          <t>Arrive Logistics</t>
        </is>
      </c>
      <c r="E1870" t="inlineStr">
        <is>
          <t>United States</t>
        </is>
      </c>
      <c r="F1870" t="inlineStr">
        <is>
          <t>Yes</t>
        </is>
      </c>
      <c r="H1870" t="n">
        <v>6</v>
      </c>
      <c r="I1870" t="b">
        <v>0</v>
      </c>
      <c r="J1870" t="b">
        <v>1</v>
      </c>
      <c r="K1870" t="b">
        <v>0</v>
      </c>
      <c r="L1870" t="b">
        <v>0</v>
      </c>
      <c r="M1870" t="b">
        <v>0</v>
      </c>
      <c r="N1870">
        <f>IFERROR(INDEX('Company Hitlist'!$AA:$AA,MATCH(D1870,'Company Hitlist'!$A:$A,0)),)</f>
        <v/>
      </c>
      <c r="O1870">
        <f>IFERROR(INDEX('Company Hitlist'!$N:$N,MATCH(D1870,'Company Hitlist'!$A:$A,0)),)</f>
        <v/>
      </c>
      <c r="Q1870" t="inlineStr">
        <is>
          <t>todo</t>
        </is>
      </c>
    </row>
    <row r="1871">
      <c r="A1871" t="inlineStr">
        <is>
          <t>Bryan Keller</t>
        </is>
      </c>
      <c r="B1871" t="inlineStr">
        <is>
          <t>Attendee</t>
        </is>
      </c>
      <c r="C1871" t="inlineStr">
        <is>
          <t>Senior Vice President, Partnerships</t>
        </is>
      </c>
      <c r="D1871" t="inlineStr">
        <is>
          <t>Arrive Logistics</t>
        </is>
      </c>
      <c r="E1871" t="inlineStr">
        <is>
          <t>United States</t>
        </is>
      </c>
      <c r="F1871" t="inlineStr">
        <is>
          <t>Yes</t>
        </is>
      </c>
      <c r="H1871" t="n">
        <v>6</v>
      </c>
      <c r="I1871" t="b">
        <v>0</v>
      </c>
      <c r="J1871" t="b">
        <v>1</v>
      </c>
      <c r="K1871" t="b">
        <v>0</v>
      </c>
      <c r="L1871" t="b">
        <v>0</v>
      </c>
      <c r="M1871" t="b">
        <v>0</v>
      </c>
      <c r="N1871">
        <f>IFERROR(INDEX('Company Hitlist'!$AA:$AA,MATCH(D1871,'Company Hitlist'!$A:$A,0)),)</f>
        <v/>
      </c>
      <c r="O1871">
        <f>IFERROR(INDEX('Company Hitlist'!$N:$N,MATCH(D1871,'Company Hitlist'!$A:$A,0)),)</f>
        <v/>
      </c>
      <c r="Q1871" t="inlineStr">
        <is>
          <t>todo</t>
        </is>
      </c>
    </row>
    <row r="1872">
      <c r="A1872" t="inlineStr">
        <is>
          <t>Darlene Wolf</t>
        </is>
      </c>
      <c r="B1872" t="inlineStr">
        <is>
          <t>Attendee</t>
        </is>
      </c>
      <c r="C1872" t="inlineStr">
        <is>
          <t>SVP Strategic Partners</t>
        </is>
      </c>
      <c r="D1872" t="inlineStr">
        <is>
          <t>Arrive Logistics</t>
        </is>
      </c>
      <c r="E1872" t="inlineStr">
        <is>
          <t>United States</t>
        </is>
      </c>
      <c r="F1872" t="inlineStr">
        <is>
          <t>Yes</t>
        </is>
      </c>
      <c r="H1872" t="n">
        <v>6</v>
      </c>
      <c r="I1872" t="b">
        <v>0</v>
      </c>
      <c r="J1872" t="b">
        <v>1</v>
      </c>
      <c r="K1872" t="b">
        <v>0</v>
      </c>
      <c r="L1872" t="b">
        <v>0</v>
      </c>
      <c r="M1872" t="b">
        <v>0</v>
      </c>
      <c r="N1872">
        <f>IFERROR(INDEX('Company Hitlist'!$AA:$AA,MATCH(D1872,'Company Hitlist'!$A:$A,0)),)</f>
        <v/>
      </c>
      <c r="O1872">
        <f>IFERROR(INDEX('Company Hitlist'!$N:$N,MATCH(D1872,'Company Hitlist'!$A:$A,0)),)</f>
        <v/>
      </c>
      <c r="Q1872" t="inlineStr">
        <is>
          <t>todo</t>
        </is>
      </c>
    </row>
    <row r="1873">
      <c r="A1873" t="inlineStr">
        <is>
          <t>Eric Lien</t>
        </is>
      </c>
      <c r="B1873" t="inlineStr">
        <is>
          <t>Attendee</t>
        </is>
      </c>
      <c r="C1873" t="inlineStr">
        <is>
          <t>EVP</t>
        </is>
      </c>
      <c r="D1873" t="inlineStr">
        <is>
          <t>Arrive Logistics</t>
        </is>
      </c>
      <c r="E1873" t="inlineStr">
        <is>
          <t>United States</t>
        </is>
      </c>
      <c r="F1873" t="inlineStr">
        <is>
          <t>Yes</t>
        </is>
      </c>
      <c r="H1873" t="n">
        <v>6</v>
      </c>
      <c r="I1873" t="b">
        <v>0</v>
      </c>
      <c r="J1873" t="b">
        <v>1</v>
      </c>
      <c r="K1873" t="b">
        <v>0</v>
      </c>
      <c r="L1873" t="b">
        <v>0</v>
      </c>
      <c r="M1873" t="b">
        <v>0</v>
      </c>
      <c r="N1873">
        <f>IFERROR(INDEX('Company Hitlist'!$AA:$AA,MATCH(D1873,'Company Hitlist'!$A:$A,0)),)</f>
        <v/>
      </c>
      <c r="O1873">
        <f>IFERROR(INDEX('Company Hitlist'!$N:$N,MATCH(D1873,'Company Hitlist'!$A:$A,0)),)</f>
        <v/>
      </c>
      <c r="Q1873" t="inlineStr">
        <is>
          <t>todo</t>
        </is>
      </c>
    </row>
    <row r="1874">
      <c r="A1874" t="inlineStr">
        <is>
          <t>Ryan Pfeiffer</t>
        </is>
      </c>
      <c r="B1874" t="inlineStr">
        <is>
          <t>Attendee</t>
        </is>
      </c>
      <c r="C1874" t="inlineStr">
        <is>
          <t>Area Executive Vice President</t>
        </is>
      </c>
      <c r="D1874" t="inlineStr">
        <is>
          <t>Arthur J. Gallagher &amp; Co.</t>
        </is>
      </c>
      <c r="E1874" t="inlineStr">
        <is>
          <t>United States</t>
        </is>
      </c>
      <c r="H1874" t="n">
        <v>6</v>
      </c>
      <c r="I1874" t="b">
        <v>0</v>
      </c>
      <c r="J1874" t="b">
        <v>1</v>
      </c>
      <c r="K1874" t="b">
        <v>0</v>
      </c>
      <c r="L1874" t="b">
        <v>0</v>
      </c>
      <c r="M1874" t="b">
        <v>0</v>
      </c>
      <c r="N1874">
        <f>IFERROR(INDEX('Company Hitlist'!$AA:$AA,MATCH(D1874,'Company Hitlist'!$A:$A,0)),)</f>
        <v/>
      </c>
      <c r="O1874">
        <f>IFERROR(INDEX('Company Hitlist'!$N:$N,MATCH(D1874,'Company Hitlist'!$A:$A,0)),)</f>
        <v/>
      </c>
      <c r="Q1874" t="inlineStr">
        <is>
          <t>todo</t>
        </is>
      </c>
    </row>
    <row r="1875">
      <c r="A1875" t="inlineStr">
        <is>
          <t>Paul Brisson</t>
        </is>
      </c>
      <c r="B1875" t="inlineStr">
        <is>
          <t>Attendee</t>
        </is>
      </c>
      <c r="C1875" t="inlineStr">
        <is>
          <t>Chief Operating Officer</t>
        </is>
      </c>
      <c r="D1875" t="inlineStr">
        <is>
          <t>Arvist</t>
        </is>
      </c>
      <c r="E1875" t="inlineStr">
        <is>
          <t>United States</t>
        </is>
      </c>
      <c r="F1875" t="inlineStr">
        <is>
          <t>Yes</t>
        </is>
      </c>
      <c r="H1875" t="n">
        <v>6</v>
      </c>
      <c r="I1875" t="b">
        <v>0</v>
      </c>
      <c r="J1875" t="b">
        <v>1</v>
      </c>
      <c r="K1875" t="b">
        <v>0</v>
      </c>
      <c r="L1875" t="b">
        <v>0</v>
      </c>
      <c r="M1875" t="b">
        <v>0</v>
      </c>
      <c r="N1875">
        <f>IFERROR(INDEX('Company Hitlist'!$AA:$AA,MATCH(D1875,'Company Hitlist'!$A:$A,0)),)</f>
        <v/>
      </c>
      <c r="O1875">
        <f>IFERROR(INDEX('Company Hitlist'!$N:$N,MATCH(D1875,'Company Hitlist'!$A:$A,0)),)</f>
        <v/>
      </c>
      <c r="Q1875" t="inlineStr">
        <is>
          <t>todo</t>
        </is>
      </c>
    </row>
    <row r="1876">
      <c r="A1876" t="inlineStr">
        <is>
          <t>Anthony Decanti</t>
        </is>
      </c>
      <c r="B1876" t="inlineStr">
        <is>
          <t>Attendee</t>
        </is>
      </c>
      <c r="C1876" t="inlineStr">
        <is>
          <t>Chief Technology Officer</t>
        </is>
      </c>
      <c r="D1876" t="inlineStr">
        <is>
          <t>Ascent Global Logistics</t>
        </is>
      </c>
      <c r="F1876" t="inlineStr">
        <is>
          <t>Yes</t>
        </is>
      </c>
      <c r="H1876" t="n">
        <v>6</v>
      </c>
      <c r="I1876" t="b">
        <v>0</v>
      </c>
      <c r="J1876" t="b">
        <v>1</v>
      </c>
      <c r="K1876" t="b">
        <v>0</v>
      </c>
      <c r="L1876" t="b">
        <v>0</v>
      </c>
      <c r="M1876" t="b">
        <v>0</v>
      </c>
      <c r="N1876">
        <f>IFERROR(INDEX('Company Hitlist'!$AA:$AA,MATCH(D1876,'Company Hitlist'!$A:$A,0)),)</f>
        <v/>
      </c>
      <c r="O1876">
        <f>IFERROR(INDEX('Company Hitlist'!$N:$N,MATCH(D1876,'Company Hitlist'!$A:$A,0)),)</f>
        <v/>
      </c>
      <c r="Q1876" t="inlineStr">
        <is>
          <t>todo</t>
        </is>
      </c>
    </row>
    <row r="1877">
      <c r="A1877" t="inlineStr">
        <is>
          <t>Mark Paulson</t>
        </is>
      </c>
      <c r="B1877" t="inlineStr">
        <is>
          <t>Attendee</t>
        </is>
      </c>
      <c r="C1877" t="inlineStr">
        <is>
          <t>President</t>
        </is>
      </c>
      <c r="D1877" t="inlineStr">
        <is>
          <t>Associated Logistics Group</t>
        </is>
      </c>
      <c r="E1877" t="inlineStr">
        <is>
          <t>United States</t>
        </is>
      </c>
      <c r="F1877" t="inlineStr">
        <is>
          <t>Yes</t>
        </is>
      </c>
      <c r="H1877" t="n">
        <v>6</v>
      </c>
      <c r="I1877" t="b">
        <v>0</v>
      </c>
      <c r="J1877" t="b">
        <v>1</v>
      </c>
      <c r="K1877" t="b">
        <v>0</v>
      </c>
      <c r="L1877" t="b">
        <v>0</v>
      </c>
      <c r="M1877" t="b">
        <v>0</v>
      </c>
      <c r="N1877">
        <f>IFERROR(INDEX('Company Hitlist'!$AA:$AA,MATCH(D1877,'Company Hitlist'!$A:$A,0)),)</f>
        <v/>
      </c>
      <c r="O1877">
        <f>IFERROR(INDEX('Company Hitlist'!$N:$N,MATCH(D1877,'Company Hitlist'!$A:$A,0)),)</f>
        <v/>
      </c>
      <c r="Q1877" t="inlineStr">
        <is>
          <t>todo</t>
        </is>
      </c>
    </row>
    <row r="1878">
      <c r="A1878" t="inlineStr">
        <is>
          <t>Teo Rotstein</t>
        </is>
      </c>
      <c r="B1878" t="inlineStr">
        <is>
          <t>Attendee</t>
        </is>
      </c>
      <c r="C1878" t="inlineStr">
        <is>
          <t>Vice President</t>
        </is>
      </c>
      <c r="D1878" t="inlineStr">
        <is>
          <t>Associated Logistics Group</t>
        </is>
      </c>
      <c r="E1878" t="inlineStr">
        <is>
          <t>United States</t>
        </is>
      </c>
      <c r="F1878" t="inlineStr">
        <is>
          <t>Yes</t>
        </is>
      </c>
      <c r="H1878" t="n">
        <v>6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  <c r="N1878">
        <f>IFERROR(INDEX('Company Hitlist'!$AA:$AA,MATCH(D1878,'Company Hitlist'!$A:$A,0)),)</f>
        <v/>
      </c>
      <c r="O1878">
        <f>IFERROR(INDEX('Company Hitlist'!$N:$N,MATCH(D1878,'Company Hitlist'!$A:$A,0)),)</f>
        <v/>
      </c>
      <c r="Q1878" t="inlineStr">
        <is>
          <t>todo</t>
        </is>
      </c>
    </row>
    <row r="1879">
      <c r="A1879" t="inlineStr">
        <is>
          <t>Lana Whiteford</t>
        </is>
      </c>
      <c r="B1879" t="inlineStr">
        <is>
          <t>Attendee</t>
        </is>
      </c>
      <c r="C1879" t="inlineStr">
        <is>
          <t>Head of HR</t>
        </is>
      </c>
      <c r="D1879" t="inlineStr">
        <is>
          <t>Augment</t>
        </is>
      </c>
      <c r="E1879" t="inlineStr">
        <is>
          <t>United States</t>
        </is>
      </c>
      <c r="F1879" t="inlineStr">
        <is>
          <t>Yes</t>
        </is>
      </c>
      <c r="H1879" t="n">
        <v>6</v>
      </c>
      <c r="I1879" t="b">
        <v>0</v>
      </c>
      <c r="J1879" t="b">
        <v>1</v>
      </c>
      <c r="K1879" t="b">
        <v>0</v>
      </c>
      <c r="L1879" t="b">
        <v>0</v>
      </c>
      <c r="M1879" t="b">
        <v>0</v>
      </c>
      <c r="N1879">
        <f>IFERROR(INDEX('Company Hitlist'!$AA:$AA,MATCH(D1879,'Company Hitlist'!$A:$A,0)),)</f>
        <v/>
      </c>
      <c r="O1879">
        <f>IFERROR(INDEX('Company Hitlist'!$N:$N,MATCH(D1879,'Company Hitlist'!$A:$A,0)),)</f>
        <v/>
      </c>
      <c r="Q1879" t="inlineStr">
        <is>
          <t>todo</t>
        </is>
      </c>
    </row>
    <row r="1880">
      <c r="A1880" t="inlineStr">
        <is>
          <t>Ryan Chesterifled</t>
        </is>
      </c>
      <c r="B1880" t="inlineStr">
        <is>
          <t>Attendee</t>
        </is>
      </c>
      <c r="C1880" t="inlineStr">
        <is>
          <t>CEO</t>
        </is>
      </c>
      <c r="D1880" t="inlineStr">
        <is>
          <t>Auto-FX</t>
        </is>
      </c>
      <c r="E1880" t="inlineStr">
        <is>
          <t>United States</t>
        </is>
      </c>
      <c r="H1880" t="n">
        <v>6</v>
      </c>
      <c r="I1880" t="b">
        <v>0</v>
      </c>
      <c r="J1880" t="b">
        <v>1</v>
      </c>
      <c r="K1880" t="b">
        <v>0</v>
      </c>
      <c r="L1880" t="b">
        <v>0</v>
      </c>
      <c r="M1880" t="b">
        <v>0</v>
      </c>
      <c r="N1880">
        <f>IFERROR(INDEX('Company Hitlist'!$AA:$AA,MATCH(D1880,'Company Hitlist'!$A:$A,0)),)</f>
        <v/>
      </c>
      <c r="O1880">
        <f>IFERROR(INDEX('Company Hitlist'!$N:$N,MATCH(D1880,'Company Hitlist'!$A:$A,0)),)</f>
        <v/>
      </c>
      <c r="Q1880" t="inlineStr">
        <is>
          <t>todo</t>
        </is>
      </c>
    </row>
    <row r="1881">
      <c r="A1881" t="inlineStr">
        <is>
          <t>David Latona</t>
        </is>
      </c>
      <c r="B1881" t="inlineStr">
        <is>
          <t>Attendee</t>
        </is>
      </c>
      <c r="C1881" t="inlineStr">
        <is>
          <t>Chief Strategy Officer</t>
        </is>
      </c>
      <c r="D1881" t="inlineStr">
        <is>
          <t>Avalon CSC</t>
        </is>
      </c>
      <c r="E1881" t="inlineStr">
        <is>
          <t>United States</t>
        </is>
      </c>
      <c r="F1881" t="inlineStr">
        <is>
          <t>Yes</t>
        </is>
      </c>
      <c r="H1881" t="n">
        <v>6</v>
      </c>
      <c r="I1881" t="b">
        <v>0</v>
      </c>
      <c r="J1881" t="b">
        <v>1</v>
      </c>
      <c r="K1881" t="b">
        <v>0</v>
      </c>
      <c r="L1881" t="b">
        <v>0</v>
      </c>
      <c r="M1881" t="b">
        <v>0</v>
      </c>
      <c r="N1881">
        <f>IFERROR(INDEX('Company Hitlist'!$AA:$AA,MATCH(D1881,'Company Hitlist'!$A:$A,0)),)</f>
        <v/>
      </c>
      <c r="O1881">
        <f>IFERROR(INDEX('Company Hitlist'!$N:$N,MATCH(D1881,'Company Hitlist'!$A:$A,0)),)</f>
        <v/>
      </c>
      <c r="Q1881" t="inlineStr">
        <is>
          <t>todo</t>
        </is>
      </c>
    </row>
    <row r="1882">
      <c r="A1882" t="inlineStr">
        <is>
          <t>Brian Severson</t>
        </is>
      </c>
      <c r="B1882" t="inlineStr">
        <is>
          <t>Attendee</t>
        </is>
      </c>
      <c r="C1882" t="inlineStr">
        <is>
          <t>President</t>
        </is>
      </c>
      <c r="D1882" t="inlineStr">
        <is>
          <t>B&amp;C Logistics Group</t>
        </is>
      </c>
      <c r="E1882" t="inlineStr">
        <is>
          <t>United States</t>
        </is>
      </c>
      <c r="F1882" t="inlineStr">
        <is>
          <t>Yes</t>
        </is>
      </c>
      <c r="H1882" t="n">
        <v>6</v>
      </c>
      <c r="I1882" t="b">
        <v>0</v>
      </c>
      <c r="J1882" t="b">
        <v>1</v>
      </c>
      <c r="K1882" t="b">
        <v>0</v>
      </c>
      <c r="L1882" t="b">
        <v>0</v>
      </c>
      <c r="M1882" t="b">
        <v>0</v>
      </c>
      <c r="N1882">
        <f>IFERROR(INDEX('Company Hitlist'!$AA:$AA,MATCH(D1882,'Company Hitlist'!$A:$A,0)),)</f>
        <v/>
      </c>
      <c r="O1882">
        <f>IFERROR(INDEX('Company Hitlist'!$N:$N,MATCH(D1882,'Company Hitlist'!$A:$A,0)),)</f>
        <v/>
      </c>
      <c r="Q1882" t="inlineStr">
        <is>
          <t>todo</t>
        </is>
      </c>
    </row>
    <row r="1883">
      <c r="A1883" t="inlineStr">
        <is>
          <t>Josh Peck</t>
        </is>
      </c>
      <c r="B1883" t="inlineStr">
        <is>
          <t>Attendee</t>
        </is>
      </c>
      <c r="C1883" t="inlineStr">
        <is>
          <t>Head of Video and Photography</t>
        </is>
      </c>
      <c r="D1883" t="inlineStr">
        <is>
          <t>B2E Media</t>
        </is>
      </c>
      <c r="E1883" t="inlineStr">
        <is>
          <t>United Kingdom</t>
        </is>
      </c>
      <c r="H1883" t="n">
        <v>6</v>
      </c>
      <c r="I1883" t="b">
        <v>0</v>
      </c>
      <c r="J1883" t="b">
        <v>1</v>
      </c>
      <c r="K1883" t="b">
        <v>0</v>
      </c>
      <c r="L1883" t="b">
        <v>0</v>
      </c>
      <c r="M1883" t="b">
        <v>0</v>
      </c>
      <c r="N1883">
        <f>IFERROR(INDEX('Company Hitlist'!$AA:$AA,MATCH(D1883,'Company Hitlist'!$A:$A,0)),)</f>
        <v/>
      </c>
      <c r="O1883">
        <f>IFERROR(INDEX('Company Hitlist'!$N:$N,MATCH(D1883,'Company Hitlist'!$A:$A,0)),)</f>
        <v/>
      </c>
      <c r="Q1883" t="inlineStr">
        <is>
          <t>todo</t>
        </is>
      </c>
    </row>
    <row r="1884">
      <c r="A1884" t="inlineStr">
        <is>
          <t>Andrew Woods</t>
        </is>
      </c>
      <c r="B1884" t="inlineStr">
        <is>
          <t>Attendee</t>
        </is>
      </c>
      <c r="C1884" t="inlineStr">
        <is>
          <t>Editor in Chief</t>
        </is>
      </c>
      <c r="D1884" t="inlineStr">
        <is>
          <t>B2E Media</t>
        </is>
      </c>
      <c r="H1884" t="n">
        <v>6</v>
      </c>
      <c r="I1884" t="b">
        <v>0</v>
      </c>
      <c r="J1884" t="b">
        <v>1</v>
      </c>
      <c r="K1884" t="b">
        <v>0</v>
      </c>
      <c r="L1884" t="b">
        <v>0</v>
      </c>
      <c r="M1884" t="b">
        <v>0</v>
      </c>
      <c r="N1884">
        <f>IFERROR(INDEX('Company Hitlist'!$AA:$AA,MATCH(D1884,'Company Hitlist'!$A:$A,0)),)</f>
        <v/>
      </c>
      <c r="O1884">
        <f>IFERROR(INDEX('Company Hitlist'!$N:$N,MATCH(D1884,'Company Hitlist'!$A:$A,0)),)</f>
        <v/>
      </c>
      <c r="Q1884" t="inlineStr">
        <is>
          <t>todo</t>
        </is>
      </c>
    </row>
    <row r="1885">
      <c r="A1885" t="inlineStr">
        <is>
          <t>JUAN CARLOS BENAVIDES</t>
        </is>
      </c>
      <c r="B1885" t="inlineStr">
        <is>
          <t>Attendee</t>
        </is>
      </c>
      <c r="C1885" t="inlineStr">
        <is>
          <t>CEO</t>
        </is>
      </c>
      <c r="D1885" t="inlineStr">
        <is>
          <t>BAS Agente de Seguros y Fianzas</t>
        </is>
      </c>
      <c r="H1885" t="n">
        <v>6</v>
      </c>
      <c r="I1885" t="b">
        <v>0</v>
      </c>
      <c r="J1885" t="b">
        <v>1</v>
      </c>
      <c r="K1885" t="b">
        <v>0</v>
      </c>
      <c r="L1885" t="b">
        <v>0</v>
      </c>
      <c r="M1885" t="b">
        <v>0</v>
      </c>
      <c r="N1885">
        <f>IFERROR(INDEX('Company Hitlist'!$AA:$AA,MATCH(D1885,'Company Hitlist'!$A:$A,0)),)</f>
        <v/>
      </c>
      <c r="O1885">
        <f>IFERROR(INDEX('Company Hitlist'!$N:$N,MATCH(D1885,'Company Hitlist'!$A:$A,0)),)</f>
        <v/>
      </c>
      <c r="Q1885" t="inlineStr">
        <is>
          <t>todo</t>
        </is>
      </c>
    </row>
    <row r="1886">
      <c r="A1886" t="inlineStr">
        <is>
          <t>Allison Turner</t>
        </is>
      </c>
      <c r="B1886" t="inlineStr">
        <is>
          <t>Attendee</t>
        </is>
      </c>
      <c r="C1886" t="inlineStr">
        <is>
          <t>VP NA</t>
        </is>
      </c>
      <c r="D1886" t="inlineStr">
        <is>
          <t>BCI Global</t>
        </is>
      </c>
      <c r="E1886" t="inlineStr">
        <is>
          <t>United States</t>
        </is>
      </c>
      <c r="H1886" t="n">
        <v>6</v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  <c r="N1886">
        <f>IFERROR(INDEX('Company Hitlist'!$AA:$AA,MATCH(D1886,'Company Hitlist'!$A:$A,0)),)</f>
        <v/>
      </c>
      <c r="O1886">
        <f>IFERROR(INDEX('Company Hitlist'!$N:$N,MATCH(D1886,'Company Hitlist'!$A:$A,0)),)</f>
        <v/>
      </c>
      <c r="Q1886" t="inlineStr">
        <is>
          <t>todo</t>
        </is>
      </c>
    </row>
    <row r="1887">
      <c r="A1887" t="inlineStr">
        <is>
          <t>Kelly Rodriguez</t>
        </is>
      </c>
      <c r="B1887" t="inlineStr">
        <is>
          <t>Attendee</t>
        </is>
      </c>
      <c r="C1887" t="inlineStr">
        <is>
          <t>Editor in Chief</t>
        </is>
      </c>
      <c r="D1887" t="inlineStr">
        <is>
          <t>BNP Media</t>
        </is>
      </c>
      <c r="H1887" t="n">
        <v>6</v>
      </c>
      <c r="I1887" t="b">
        <v>0</v>
      </c>
      <c r="J1887" t="b">
        <v>1</v>
      </c>
      <c r="K1887" t="b">
        <v>0</v>
      </c>
      <c r="L1887" t="b">
        <v>0</v>
      </c>
      <c r="M1887" t="b">
        <v>0</v>
      </c>
      <c r="N1887">
        <f>IFERROR(INDEX('Company Hitlist'!$AA:$AA,MATCH(D1887,'Company Hitlist'!$A:$A,0)),)</f>
        <v/>
      </c>
      <c r="O1887">
        <f>IFERROR(INDEX('Company Hitlist'!$N:$N,MATCH(D1887,'Company Hitlist'!$A:$A,0)),)</f>
        <v/>
      </c>
      <c r="Q1887" t="inlineStr">
        <is>
          <t>todo</t>
        </is>
      </c>
    </row>
    <row r="1888">
      <c r="A1888" t="inlineStr">
        <is>
          <t>Stephanie Kuntzman</t>
        </is>
      </c>
      <c r="B1888" t="inlineStr">
        <is>
          <t>Attendee</t>
        </is>
      </c>
      <c r="C1888" t="inlineStr">
        <is>
          <t>Assistant Vice President, Consumer Products</t>
        </is>
      </c>
      <c r="D1888" t="inlineStr">
        <is>
          <t>BNSF Railway</t>
        </is>
      </c>
      <c r="E1888" t="inlineStr">
        <is>
          <t>United States</t>
        </is>
      </c>
      <c r="F1888" t="inlineStr">
        <is>
          <t>Yes</t>
        </is>
      </c>
      <c r="G1888" t="inlineStr">
        <is>
          <t>23350000000</t>
        </is>
      </c>
      <c r="H1888" t="n">
        <v>6</v>
      </c>
      <c r="I1888" t="b">
        <v>0</v>
      </c>
      <c r="J1888" t="b">
        <v>1</v>
      </c>
      <c r="K1888" t="b">
        <v>0</v>
      </c>
      <c r="L1888" t="b">
        <v>0</v>
      </c>
      <c r="M1888" t="b">
        <v>0</v>
      </c>
      <c r="N1888">
        <f>IFERROR(INDEX('Company Hitlist'!$AA:$AA,MATCH(D1888,'Company Hitlist'!$A:$A,0)),)</f>
        <v/>
      </c>
      <c r="O1888">
        <f>IFERROR(INDEX('Company Hitlist'!$N:$N,MATCH(D1888,'Company Hitlist'!$A:$A,0)),)</f>
        <v/>
      </c>
      <c r="Q1888" t="inlineStr">
        <is>
          <t>todo</t>
        </is>
      </c>
    </row>
    <row r="1889">
      <c r="A1889" t="inlineStr">
        <is>
          <t>Marcel Barascout</t>
        </is>
      </c>
      <c r="B1889" t="inlineStr">
        <is>
          <t>Attendee</t>
        </is>
      </c>
      <c r="C1889" t="inlineStr">
        <is>
          <t>CEO</t>
        </is>
      </c>
      <c r="D1889" t="inlineStr">
        <is>
          <t>BRT</t>
        </is>
      </c>
      <c r="F1889" t="inlineStr">
        <is>
          <t>Yes</t>
        </is>
      </c>
      <c r="H1889" t="n">
        <v>6</v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  <c r="N1889">
        <f>IFERROR(INDEX('Company Hitlist'!$AA:$AA,MATCH(D1889,'Company Hitlist'!$A:$A,0)),)</f>
        <v/>
      </c>
      <c r="O1889">
        <f>IFERROR(INDEX('Company Hitlist'!$N:$N,MATCH(D1889,'Company Hitlist'!$A:$A,0)),)</f>
        <v/>
      </c>
      <c r="Q1889" t="inlineStr">
        <is>
          <t>todo</t>
        </is>
      </c>
    </row>
    <row r="1890">
      <c r="A1890" t="inlineStr">
        <is>
          <t>Gregory Harris</t>
        </is>
      </c>
      <c r="B1890" t="inlineStr">
        <is>
          <t>Attendee</t>
        </is>
      </c>
      <c r="C1890" t="inlineStr">
        <is>
          <t>Founder/CEO</t>
        </is>
      </c>
      <c r="D1890" t="inlineStr">
        <is>
          <t>Backhaul Direct</t>
        </is>
      </c>
      <c r="H1890" t="n">
        <v>6</v>
      </c>
      <c r="I1890" t="b">
        <v>0</v>
      </c>
      <c r="J1890" t="b">
        <v>1</v>
      </c>
      <c r="K1890" t="b">
        <v>0</v>
      </c>
      <c r="L1890" t="b">
        <v>0</v>
      </c>
      <c r="M1890" t="b">
        <v>0</v>
      </c>
      <c r="N1890">
        <f>IFERROR(INDEX('Company Hitlist'!$AA:$AA,MATCH(D1890,'Company Hitlist'!$A:$A,0)),)</f>
        <v/>
      </c>
      <c r="O1890">
        <f>IFERROR(INDEX('Company Hitlist'!$N:$N,MATCH(D1890,'Company Hitlist'!$A:$A,0)),)</f>
        <v/>
      </c>
      <c r="Q1890" t="inlineStr">
        <is>
          <t>todo</t>
        </is>
      </c>
    </row>
    <row r="1891">
      <c r="A1891" t="inlineStr">
        <is>
          <t>Scott Mulholland</t>
        </is>
      </c>
      <c r="B1891" t="inlineStr">
        <is>
          <t>Attendee</t>
        </is>
      </c>
      <c r="C1891" t="inlineStr">
        <is>
          <t>Senior Vice President</t>
        </is>
      </c>
      <c r="D1891" t="inlineStr">
        <is>
          <t>Backhaul Direct</t>
        </is>
      </c>
      <c r="H1891" t="n">
        <v>6</v>
      </c>
      <c r="I1891" t="b">
        <v>0</v>
      </c>
      <c r="J1891" t="b">
        <v>1</v>
      </c>
      <c r="K1891" t="b">
        <v>0</v>
      </c>
      <c r="L1891" t="b">
        <v>0</v>
      </c>
      <c r="M1891" t="b">
        <v>0</v>
      </c>
      <c r="N1891">
        <f>IFERROR(INDEX('Company Hitlist'!$AA:$AA,MATCH(D1891,'Company Hitlist'!$A:$A,0)),)</f>
        <v/>
      </c>
      <c r="O1891">
        <f>IFERROR(INDEX('Company Hitlist'!$N:$N,MATCH(D1891,'Company Hitlist'!$A:$A,0)),)</f>
        <v/>
      </c>
      <c r="Q1891" t="inlineStr">
        <is>
          <t>todo</t>
        </is>
      </c>
    </row>
    <row r="1892">
      <c r="A1892" t="inlineStr">
        <is>
          <t>Nicholas Hoagland</t>
        </is>
      </c>
      <c r="B1892" t="inlineStr">
        <is>
          <t>Attendee</t>
        </is>
      </c>
      <c r="C1892" t="inlineStr">
        <is>
          <t>CFO</t>
        </is>
      </c>
      <c r="D1892" t="inlineStr">
        <is>
          <t>Backhaul Direct, LLC.</t>
        </is>
      </c>
      <c r="E1892" t="inlineStr">
        <is>
          <t>United States</t>
        </is>
      </c>
      <c r="F1892" t="inlineStr">
        <is>
          <t>Yes</t>
        </is>
      </c>
      <c r="H1892" t="n">
        <v>6</v>
      </c>
      <c r="I1892" t="b">
        <v>0</v>
      </c>
      <c r="J1892" t="b">
        <v>1</v>
      </c>
      <c r="K1892" t="b">
        <v>0</v>
      </c>
      <c r="L1892" t="b">
        <v>0</v>
      </c>
      <c r="M1892" t="b">
        <v>0</v>
      </c>
      <c r="N1892">
        <f>IFERROR(INDEX('Company Hitlist'!$AA:$AA,MATCH(D1892,'Company Hitlist'!$A:$A,0)),)</f>
        <v/>
      </c>
      <c r="O1892">
        <f>IFERROR(INDEX('Company Hitlist'!$N:$N,MATCH(D1892,'Company Hitlist'!$A:$A,0)),)</f>
        <v/>
      </c>
      <c r="Q1892" t="inlineStr">
        <is>
          <t>todo</t>
        </is>
      </c>
    </row>
    <row r="1893">
      <c r="A1893" t="inlineStr">
        <is>
          <t>John Borsini</t>
        </is>
      </c>
      <c r="B1893" t="inlineStr">
        <is>
          <t>Attendee</t>
        </is>
      </c>
      <c r="C1893" t="inlineStr">
        <is>
          <t>CEO</t>
        </is>
      </c>
      <c r="D1893" t="inlineStr">
        <is>
          <t>Baja Fulfllment</t>
        </is>
      </c>
      <c r="H1893" t="n">
        <v>6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>
        <f>IFERROR(INDEX('Company Hitlist'!$AA:$AA,MATCH(D1893,'Company Hitlist'!$A:$A,0)),)</f>
        <v/>
      </c>
      <c r="O1893">
        <f>IFERROR(INDEX('Company Hitlist'!$N:$N,MATCH(D1893,'Company Hitlist'!$A:$A,0)),)</f>
        <v/>
      </c>
      <c r="Q1893" t="inlineStr">
        <is>
          <t>todo</t>
        </is>
      </c>
    </row>
    <row r="1894">
      <c r="A1894" t="inlineStr">
        <is>
          <t>Steven Barrett</t>
        </is>
      </c>
      <c r="B1894" t="inlineStr">
        <is>
          <t>Attendee</t>
        </is>
      </c>
      <c r="C1894" t="inlineStr">
        <is>
          <t>Vice President</t>
        </is>
      </c>
      <c r="D1894" t="inlineStr">
        <is>
          <t>Bandit Running</t>
        </is>
      </c>
      <c r="F1894" t="inlineStr">
        <is>
          <t>Yes</t>
        </is>
      </c>
      <c r="H1894" t="n">
        <v>6</v>
      </c>
      <c r="I1894" t="b">
        <v>0</v>
      </c>
      <c r="J1894" t="b">
        <v>1</v>
      </c>
      <c r="K1894" t="b">
        <v>0</v>
      </c>
      <c r="L1894" t="b">
        <v>0</v>
      </c>
      <c r="M1894" t="b">
        <v>0</v>
      </c>
      <c r="N1894">
        <f>IFERROR(INDEX('Company Hitlist'!$AA:$AA,MATCH(D1894,'Company Hitlist'!$A:$A,0)),)</f>
        <v/>
      </c>
      <c r="O1894">
        <f>IFERROR(INDEX('Company Hitlist'!$N:$N,MATCH(D1894,'Company Hitlist'!$A:$A,0)),)</f>
        <v/>
      </c>
      <c r="Q1894" t="inlineStr">
        <is>
          <t>todo</t>
        </is>
      </c>
    </row>
    <row r="1895">
      <c r="A1895" t="inlineStr">
        <is>
          <t>Afo Olowolafe</t>
        </is>
      </c>
      <c r="B1895" t="inlineStr">
        <is>
          <t>Attendee</t>
        </is>
      </c>
      <c r="C1895" t="inlineStr">
        <is>
          <t>Vice President</t>
        </is>
      </c>
      <c r="D1895" t="inlineStr">
        <is>
          <t>Banyan Square Partners</t>
        </is>
      </c>
      <c r="E1895" t="inlineStr">
        <is>
          <t>United States</t>
        </is>
      </c>
      <c r="H1895" t="n">
        <v>6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  <c r="N1895">
        <f>IFERROR(INDEX('Company Hitlist'!$AA:$AA,MATCH(D1895,'Company Hitlist'!$A:$A,0)),)</f>
        <v/>
      </c>
      <c r="O1895">
        <f>IFERROR(INDEX('Company Hitlist'!$N:$N,MATCH(D1895,'Company Hitlist'!$A:$A,0)),)</f>
        <v/>
      </c>
      <c r="Q1895" t="inlineStr">
        <is>
          <t>todo</t>
        </is>
      </c>
    </row>
    <row r="1896">
      <c r="A1896" t="inlineStr">
        <is>
          <t>Doug Varga</t>
        </is>
      </c>
      <c r="B1896" t="inlineStr">
        <is>
          <t>Attendee</t>
        </is>
      </c>
      <c r="C1896" t="inlineStr">
        <is>
          <t>VP, IT</t>
        </is>
      </c>
      <c r="D1896" t="inlineStr">
        <is>
          <t>Barrett Distribution Centers</t>
        </is>
      </c>
      <c r="E1896" t="inlineStr">
        <is>
          <t>United States</t>
        </is>
      </c>
      <c r="F1896" t="inlineStr">
        <is>
          <t>Yes</t>
        </is>
      </c>
      <c r="H1896" t="n">
        <v>6</v>
      </c>
      <c r="I1896" t="b">
        <v>0</v>
      </c>
      <c r="J1896" t="b">
        <v>1</v>
      </c>
      <c r="K1896" t="b">
        <v>0</v>
      </c>
      <c r="L1896" t="b">
        <v>0</v>
      </c>
      <c r="M1896" t="b">
        <v>0</v>
      </c>
      <c r="N1896">
        <f>IFERROR(INDEX('Company Hitlist'!$AA:$AA,MATCH(D1896,'Company Hitlist'!$A:$A,0)),)</f>
        <v/>
      </c>
      <c r="O1896">
        <f>IFERROR(INDEX('Company Hitlist'!$N:$N,MATCH(D1896,'Company Hitlist'!$A:$A,0)),)</f>
        <v/>
      </c>
      <c r="Q1896" t="inlineStr">
        <is>
          <t>todo</t>
        </is>
      </c>
    </row>
    <row r="1897">
      <c r="A1897" t="inlineStr">
        <is>
          <t>John Brown</t>
        </is>
      </c>
      <c r="B1897" t="inlineStr">
        <is>
          <t>Attendee</t>
        </is>
      </c>
      <c r="C1897" t="inlineStr">
        <is>
          <t>CEO</t>
        </is>
      </c>
      <c r="D1897" t="inlineStr">
        <is>
          <t>Be Fulfilled</t>
        </is>
      </c>
      <c r="F1897" t="inlineStr">
        <is>
          <t>Yes</t>
        </is>
      </c>
      <c r="H1897" t="n">
        <v>6</v>
      </c>
      <c r="I1897" t="b">
        <v>0</v>
      </c>
      <c r="J1897" t="b">
        <v>1</v>
      </c>
      <c r="K1897" t="b">
        <v>0</v>
      </c>
      <c r="L1897" t="b">
        <v>0</v>
      </c>
      <c r="M1897" t="b">
        <v>0</v>
      </c>
      <c r="N1897">
        <f>IFERROR(INDEX('Company Hitlist'!$AA:$AA,MATCH(D1897,'Company Hitlist'!$A:$A,0)),)</f>
        <v/>
      </c>
      <c r="O1897">
        <f>IFERROR(INDEX('Company Hitlist'!$N:$N,MATCH(D1897,'Company Hitlist'!$A:$A,0)),)</f>
        <v/>
      </c>
      <c r="Q1897" t="inlineStr">
        <is>
          <t>todo</t>
        </is>
      </c>
    </row>
    <row r="1898">
      <c r="A1898" t="inlineStr">
        <is>
          <t>Bob Spoerl</t>
        </is>
      </c>
      <c r="B1898" t="inlineStr">
        <is>
          <t>Attendee</t>
        </is>
      </c>
      <c r="C1898" t="inlineStr">
        <is>
          <t>CEO</t>
        </is>
      </c>
      <c r="D1898" t="inlineStr">
        <is>
          <t>Bear Icebox Communications</t>
        </is>
      </c>
      <c r="E1898" t="inlineStr">
        <is>
          <t>United States</t>
        </is>
      </c>
      <c r="F1898" t="inlineStr">
        <is>
          <t>Yes</t>
        </is>
      </c>
      <c r="H1898" t="n">
        <v>6</v>
      </c>
      <c r="I1898" t="b">
        <v>0</v>
      </c>
      <c r="J1898" t="b">
        <v>1</v>
      </c>
      <c r="K1898" t="b">
        <v>0</v>
      </c>
      <c r="L1898" t="b">
        <v>0</v>
      </c>
      <c r="M1898" t="b">
        <v>0</v>
      </c>
      <c r="N1898">
        <f>IFERROR(INDEX('Company Hitlist'!$AA:$AA,MATCH(D1898,'Company Hitlist'!$A:$A,0)),)</f>
        <v/>
      </c>
      <c r="O1898">
        <f>IFERROR(INDEX('Company Hitlist'!$N:$N,MATCH(D1898,'Company Hitlist'!$A:$A,0)),)</f>
        <v/>
      </c>
      <c r="Q1898" t="inlineStr">
        <is>
          <t>todo</t>
        </is>
      </c>
    </row>
    <row r="1899">
      <c r="A1899" t="inlineStr">
        <is>
          <t>Andrew Birkins</t>
        </is>
      </c>
      <c r="B1899" t="inlineStr">
        <is>
          <t>Attendee</t>
        </is>
      </c>
      <c r="C1899" t="inlineStr">
        <is>
          <t>President</t>
        </is>
      </c>
      <c r="D1899" t="inlineStr">
        <is>
          <t>Bedrock Logistics</t>
        </is>
      </c>
      <c r="E1899" t="inlineStr">
        <is>
          <t>United States</t>
        </is>
      </c>
      <c r="F1899" t="inlineStr">
        <is>
          <t>Yes</t>
        </is>
      </c>
      <c r="H1899" t="n">
        <v>6</v>
      </c>
      <c r="I1899" t="b">
        <v>0</v>
      </c>
      <c r="J1899" t="b">
        <v>1</v>
      </c>
      <c r="K1899" t="b">
        <v>0</v>
      </c>
      <c r="L1899" t="b">
        <v>0</v>
      </c>
      <c r="M1899" t="b">
        <v>0</v>
      </c>
      <c r="N1899">
        <f>IFERROR(INDEX('Company Hitlist'!$AA:$AA,MATCH(D1899,'Company Hitlist'!$A:$A,0)),)</f>
        <v/>
      </c>
      <c r="O1899">
        <f>IFERROR(INDEX('Company Hitlist'!$N:$N,MATCH(D1899,'Company Hitlist'!$A:$A,0)),)</f>
        <v/>
      </c>
      <c r="Q1899" t="inlineStr">
        <is>
          <t>todo</t>
        </is>
      </c>
    </row>
    <row r="1900">
      <c r="A1900" t="inlineStr">
        <is>
          <t>Lisa Dobrin</t>
        </is>
      </c>
      <c r="B1900" t="inlineStr">
        <is>
          <t>Attendee</t>
        </is>
      </c>
      <c r="C1900" t="inlineStr">
        <is>
          <t>VP SC North America</t>
        </is>
      </c>
      <c r="D1900" t="inlineStr">
        <is>
          <t>Beiersdorf</t>
        </is>
      </c>
      <c r="F1900" t="inlineStr">
        <is>
          <t>Yes</t>
        </is>
      </c>
      <c r="G1900" t="inlineStr">
        <is>
          <t>$10.2B (2024; projected $10.5B in 2025)</t>
        </is>
      </c>
      <c r="H1900" t="n">
        <v>6</v>
      </c>
      <c r="I1900" t="b">
        <v>0</v>
      </c>
      <c r="J1900" t="b">
        <v>1</v>
      </c>
      <c r="K1900" t="b">
        <v>0</v>
      </c>
      <c r="L1900" t="b">
        <v>0</v>
      </c>
      <c r="M1900" t="b">
        <v>0</v>
      </c>
      <c r="N1900">
        <f>IFERROR(INDEX('Company Hitlist'!$AA:$AA,MATCH(D1900,'Company Hitlist'!$A:$A,0)),)</f>
        <v/>
      </c>
      <c r="O1900">
        <f>IFERROR(INDEX('Company Hitlist'!$N:$N,MATCH(D1900,'Company Hitlist'!$A:$A,0)),)</f>
        <v/>
      </c>
      <c r="Q1900" t="inlineStr">
        <is>
          <t>todo</t>
        </is>
      </c>
    </row>
    <row r="1901">
      <c r="A1901" t="inlineStr">
        <is>
          <t>Michael Shaver</t>
        </is>
      </c>
      <c r="B1901" t="inlineStr">
        <is>
          <t>Attendee</t>
        </is>
      </c>
      <c r="C1901" t="inlineStr">
        <is>
          <t>Vice President</t>
        </is>
      </c>
      <c r="D1901" t="inlineStr">
        <is>
          <t>Beitler Logistics Services, Inc.</t>
        </is>
      </c>
      <c r="E1901" t="inlineStr">
        <is>
          <t>United States</t>
        </is>
      </c>
      <c r="F1901" t="inlineStr">
        <is>
          <t>Yes</t>
        </is>
      </c>
      <c r="H1901" t="n">
        <v>6</v>
      </c>
      <c r="I1901" t="b">
        <v>0</v>
      </c>
      <c r="J1901" t="b">
        <v>1</v>
      </c>
      <c r="K1901" t="b">
        <v>0</v>
      </c>
      <c r="L1901" t="b">
        <v>0</v>
      </c>
      <c r="M1901" t="b">
        <v>0</v>
      </c>
      <c r="N1901">
        <f>IFERROR(INDEX('Company Hitlist'!$AA:$AA,MATCH(D1901,'Company Hitlist'!$A:$A,0)),)</f>
        <v/>
      </c>
      <c r="O1901">
        <f>IFERROR(INDEX('Company Hitlist'!$N:$N,MATCH(D1901,'Company Hitlist'!$A:$A,0)),)</f>
        <v/>
      </c>
      <c r="Q1901" t="inlineStr">
        <is>
          <t>todo</t>
        </is>
      </c>
    </row>
    <row r="1902">
      <c r="A1902" t="inlineStr">
        <is>
          <t>Daniel Hauer</t>
        </is>
      </c>
      <c r="B1902" t="inlineStr">
        <is>
          <t>Attendee</t>
        </is>
      </c>
      <c r="C1902" t="inlineStr">
        <is>
          <t>CFO</t>
        </is>
      </c>
      <c r="D1902" t="inlineStr">
        <is>
          <t>Benore Logistic Systems, Inc.</t>
        </is>
      </c>
      <c r="E1902" t="inlineStr">
        <is>
          <t>United States</t>
        </is>
      </c>
      <c r="F1902" t="inlineStr">
        <is>
          <t>Yes</t>
        </is>
      </c>
      <c r="H1902" t="n">
        <v>6</v>
      </c>
      <c r="I1902" t="b">
        <v>0</v>
      </c>
      <c r="J1902" t="b">
        <v>1</v>
      </c>
      <c r="K1902" t="b">
        <v>0</v>
      </c>
      <c r="L1902" t="b">
        <v>0</v>
      </c>
      <c r="M1902" t="b">
        <v>0</v>
      </c>
      <c r="N1902">
        <f>IFERROR(INDEX('Company Hitlist'!$AA:$AA,MATCH(D1902,'Company Hitlist'!$A:$A,0)),)</f>
        <v/>
      </c>
      <c r="O1902">
        <f>IFERROR(INDEX('Company Hitlist'!$N:$N,MATCH(D1902,'Company Hitlist'!$A:$A,0)),)</f>
        <v/>
      </c>
      <c r="Q1902" t="inlineStr">
        <is>
          <t>todo</t>
        </is>
      </c>
    </row>
    <row r="1903">
      <c r="A1903" t="inlineStr">
        <is>
          <t>Dennis Kunz</t>
        </is>
      </c>
      <c r="B1903" t="inlineStr">
        <is>
          <t>Attendee</t>
        </is>
      </c>
      <c r="C1903" t="inlineStr">
        <is>
          <t>Vice President</t>
        </is>
      </c>
      <c r="D1903" t="inlineStr">
        <is>
          <t>Benore Logistic Systems, Inc.</t>
        </is>
      </c>
      <c r="E1903" t="inlineStr">
        <is>
          <t>United States</t>
        </is>
      </c>
      <c r="F1903" t="inlineStr">
        <is>
          <t>Yes</t>
        </is>
      </c>
      <c r="H1903" t="n">
        <v>6</v>
      </c>
      <c r="I1903" t="b">
        <v>0</v>
      </c>
      <c r="J1903" t="b">
        <v>1</v>
      </c>
      <c r="K1903" t="b">
        <v>0</v>
      </c>
      <c r="L1903" t="b">
        <v>0</v>
      </c>
      <c r="M1903" t="b">
        <v>0</v>
      </c>
      <c r="N1903">
        <f>IFERROR(INDEX('Company Hitlist'!$AA:$AA,MATCH(D1903,'Company Hitlist'!$A:$A,0)),)</f>
        <v/>
      </c>
      <c r="O1903">
        <f>IFERROR(INDEX('Company Hitlist'!$N:$N,MATCH(D1903,'Company Hitlist'!$A:$A,0)),)</f>
        <v/>
      </c>
      <c r="Q1903" t="inlineStr">
        <is>
          <t>todo</t>
        </is>
      </c>
    </row>
    <row r="1904">
      <c r="A1904" t="inlineStr">
        <is>
          <t>John Pall</t>
        </is>
      </c>
      <c r="B1904" t="inlineStr">
        <is>
          <t>Attendee</t>
        </is>
      </c>
      <c r="C1904" t="inlineStr">
        <is>
          <t>CTO</t>
        </is>
      </c>
      <c r="D1904" t="inlineStr">
        <is>
          <t>Benore Logistics</t>
        </is>
      </c>
      <c r="F1904" t="inlineStr">
        <is>
          <t>Yes</t>
        </is>
      </c>
      <c r="H1904" t="n">
        <v>6</v>
      </c>
      <c r="I1904" t="b">
        <v>0</v>
      </c>
      <c r="J1904" t="b">
        <v>1</v>
      </c>
      <c r="K1904" t="b">
        <v>0</v>
      </c>
      <c r="L1904" t="b">
        <v>0</v>
      </c>
      <c r="M1904" t="b">
        <v>0</v>
      </c>
      <c r="N1904">
        <f>IFERROR(INDEX('Company Hitlist'!$AA:$AA,MATCH(D1904,'Company Hitlist'!$A:$A,0)),)</f>
        <v/>
      </c>
      <c r="O1904">
        <f>IFERROR(INDEX('Company Hitlist'!$N:$N,MATCH(D1904,'Company Hitlist'!$A:$A,0)),)</f>
        <v/>
      </c>
      <c r="Q1904" t="inlineStr">
        <is>
          <t>todo</t>
        </is>
      </c>
    </row>
    <row r="1905">
      <c r="A1905" t="inlineStr">
        <is>
          <t>Charles Ickes</t>
        </is>
      </c>
      <c r="B1905" t="inlineStr">
        <is>
          <t>Attendee</t>
        </is>
      </c>
      <c r="C1905" t="inlineStr">
        <is>
          <t>CEO</t>
        </is>
      </c>
      <c r="D1905" t="inlineStr">
        <is>
          <t>Bergen Logistics</t>
        </is>
      </c>
      <c r="E1905" t="inlineStr">
        <is>
          <t>United States</t>
        </is>
      </c>
      <c r="F1905" t="inlineStr">
        <is>
          <t>Yes</t>
        </is>
      </c>
      <c r="H1905" t="n">
        <v>6</v>
      </c>
      <c r="I1905" t="b">
        <v>0</v>
      </c>
      <c r="J1905" t="b">
        <v>1</v>
      </c>
      <c r="K1905" t="b">
        <v>0</v>
      </c>
      <c r="L1905" t="b">
        <v>0</v>
      </c>
      <c r="M1905" t="b">
        <v>0</v>
      </c>
      <c r="N1905">
        <f>IFERROR(INDEX('Company Hitlist'!$AA:$AA,MATCH(D1905,'Company Hitlist'!$A:$A,0)),)</f>
        <v/>
      </c>
      <c r="O1905">
        <f>IFERROR(INDEX('Company Hitlist'!$N:$N,MATCH(D1905,'Company Hitlist'!$A:$A,0)),)</f>
        <v/>
      </c>
      <c r="Q1905" t="inlineStr">
        <is>
          <t>todo</t>
        </is>
      </c>
    </row>
    <row r="1906">
      <c r="A1906" t="inlineStr">
        <is>
          <t>Liam Bolster</t>
        </is>
      </c>
      <c r="B1906" t="inlineStr">
        <is>
          <t>Attendee</t>
        </is>
      </c>
      <c r="C1906" t="inlineStr">
        <is>
          <t>Vice President</t>
        </is>
      </c>
      <c r="D1906" t="inlineStr">
        <is>
          <t>Berkshire Partners</t>
        </is>
      </c>
      <c r="E1906" t="inlineStr">
        <is>
          <t>United States</t>
        </is>
      </c>
      <c r="H1906" t="n">
        <v>6</v>
      </c>
      <c r="I1906" t="b">
        <v>0</v>
      </c>
      <c r="J1906" t="b">
        <v>1</v>
      </c>
      <c r="K1906" t="b">
        <v>0</v>
      </c>
      <c r="L1906" t="b">
        <v>0</v>
      </c>
      <c r="M1906" t="b">
        <v>0</v>
      </c>
      <c r="N1906">
        <f>IFERROR(INDEX('Company Hitlist'!$AA:$AA,MATCH(D1906,'Company Hitlist'!$A:$A,0)),)</f>
        <v/>
      </c>
      <c r="O1906">
        <f>IFERROR(INDEX('Company Hitlist'!$N:$N,MATCH(D1906,'Company Hitlist'!$A:$A,0)),)</f>
        <v/>
      </c>
      <c r="Q1906" t="inlineStr">
        <is>
          <t>todo</t>
        </is>
      </c>
    </row>
    <row r="1907">
      <c r="A1907" t="inlineStr">
        <is>
          <t>Ernesto Enriquez</t>
        </is>
      </c>
      <c r="B1907" t="inlineStr">
        <is>
          <t>Attendee</t>
        </is>
      </c>
      <c r="C1907" t="inlineStr">
        <is>
          <t>Head of Digital Transformation</t>
        </is>
      </c>
      <c r="D1907" t="inlineStr">
        <is>
          <t>Berpar</t>
        </is>
      </c>
      <c r="E1907" t="inlineStr">
        <is>
          <t>Mexico</t>
        </is>
      </c>
      <c r="F1907" t="inlineStr">
        <is>
          <t>Yes</t>
        </is>
      </c>
      <c r="H1907" t="n">
        <v>6</v>
      </c>
      <c r="I1907" t="b">
        <v>0</v>
      </c>
      <c r="J1907" t="b">
        <v>1</v>
      </c>
      <c r="K1907" t="b">
        <v>0</v>
      </c>
      <c r="L1907" t="b">
        <v>0</v>
      </c>
      <c r="M1907" t="b">
        <v>0</v>
      </c>
      <c r="N1907">
        <f>IFERROR(INDEX('Company Hitlist'!$AA:$AA,MATCH(D1907,'Company Hitlist'!$A:$A,0)),)</f>
        <v/>
      </c>
      <c r="O1907">
        <f>IFERROR(INDEX('Company Hitlist'!$N:$N,MATCH(D1907,'Company Hitlist'!$A:$A,0)),)</f>
        <v/>
      </c>
      <c r="Q1907" t="inlineStr">
        <is>
          <t>todo</t>
        </is>
      </c>
    </row>
    <row r="1908">
      <c r="A1908" t="inlineStr">
        <is>
          <t>Austin Smith</t>
        </is>
      </c>
      <c r="B1908" t="inlineStr">
        <is>
          <t>Attendee</t>
        </is>
      </c>
      <c r="C1908" t="inlineStr">
        <is>
          <t>COO</t>
        </is>
      </c>
      <c r="D1908" t="inlineStr">
        <is>
          <t>Best &amp; Basic</t>
        </is>
      </c>
      <c r="E1908" t="inlineStr">
        <is>
          <t>United States</t>
        </is>
      </c>
      <c r="H1908" t="n">
        <v>6</v>
      </c>
      <c r="I1908" t="b">
        <v>0</v>
      </c>
      <c r="J1908" t="b">
        <v>1</v>
      </c>
      <c r="K1908" t="b">
        <v>0</v>
      </c>
      <c r="L1908" t="b">
        <v>0</v>
      </c>
      <c r="M1908" t="b">
        <v>0</v>
      </c>
      <c r="N1908">
        <f>IFERROR(INDEX('Company Hitlist'!$AA:$AA,MATCH(D1908,'Company Hitlist'!$A:$A,0)),)</f>
        <v/>
      </c>
      <c r="O1908">
        <f>IFERROR(INDEX('Company Hitlist'!$N:$N,MATCH(D1908,'Company Hitlist'!$A:$A,0)),)</f>
        <v/>
      </c>
      <c r="Q1908" t="inlineStr">
        <is>
          <t>todo</t>
        </is>
      </c>
    </row>
    <row r="1909">
      <c r="A1909" t="inlineStr">
        <is>
          <t>Cory Peters</t>
        </is>
      </c>
      <c r="B1909" t="inlineStr">
        <is>
          <t>Attendee</t>
        </is>
      </c>
      <c r="C1909" t="inlineStr">
        <is>
          <t>CFO</t>
        </is>
      </c>
      <c r="D1909" t="inlineStr">
        <is>
          <t>Best Drayage</t>
        </is>
      </c>
      <c r="E1909" t="inlineStr">
        <is>
          <t>United States</t>
        </is>
      </c>
      <c r="F1909" t="inlineStr">
        <is>
          <t>Yes</t>
        </is>
      </c>
      <c r="H1909" t="n">
        <v>6</v>
      </c>
      <c r="I1909" t="b">
        <v>0</v>
      </c>
      <c r="J1909" t="b">
        <v>1</v>
      </c>
      <c r="K1909" t="b">
        <v>0</v>
      </c>
      <c r="L1909" t="b">
        <v>0</v>
      </c>
      <c r="M1909" t="b">
        <v>0</v>
      </c>
      <c r="N1909">
        <f>IFERROR(INDEX('Company Hitlist'!$AA:$AA,MATCH(D1909,'Company Hitlist'!$A:$A,0)),)</f>
        <v/>
      </c>
      <c r="O1909">
        <f>IFERROR(INDEX('Company Hitlist'!$N:$N,MATCH(D1909,'Company Hitlist'!$A:$A,0)),)</f>
        <v/>
      </c>
      <c r="Q1909" t="inlineStr">
        <is>
          <t>todo</t>
        </is>
      </c>
    </row>
    <row r="1910">
      <c r="A1910" t="inlineStr">
        <is>
          <t>Marcus Vierra</t>
        </is>
      </c>
      <c r="B1910" t="inlineStr">
        <is>
          <t>Attendee</t>
        </is>
      </c>
      <c r="C1910" t="inlineStr">
        <is>
          <t>CEO</t>
        </is>
      </c>
      <c r="D1910" t="inlineStr">
        <is>
          <t>Best Drayage</t>
        </is>
      </c>
      <c r="F1910" t="inlineStr">
        <is>
          <t>Yes</t>
        </is>
      </c>
      <c r="H1910" t="n">
        <v>6</v>
      </c>
      <c r="I1910" t="b">
        <v>0</v>
      </c>
      <c r="J1910" t="b">
        <v>1</v>
      </c>
      <c r="K1910" t="b">
        <v>0</v>
      </c>
      <c r="L1910" t="b">
        <v>0</v>
      </c>
      <c r="M1910" t="b">
        <v>0</v>
      </c>
      <c r="N1910">
        <f>IFERROR(INDEX('Company Hitlist'!$AA:$AA,MATCH(D1910,'Company Hitlist'!$A:$A,0)),)</f>
        <v/>
      </c>
      <c r="O1910">
        <f>IFERROR(INDEX('Company Hitlist'!$N:$N,MATCH(D1910,'Company Hitlist'!$A:$A,0)),)</f>
        <v/>
      </c>
      <c r="Q1910" t="inlineStr">
        <is>
          <t>todo</t>
        </is>
      </c>
    </row>
    <row r="1911">
      <c r="A1911" t="inlineStr">
        <is>
          <t>Farhad Hussain</t>
        </is>
      </c>
      <c r="B1911" t="inlineStr">
        <is>
          <t>Attendee</t>
        </is>
      </c>
      <c r="C1911" t="inlineStr">
        <is>
          <t>Co-founder &amp; CEO</t>
        </is>
      </c>
      <c r="D1911" t="inlineStr">
        <is>
          <t>Beye.ai</t>
        </is>
      </c>
      <c r="E1911" t="inlineStr">
        <is>
          <t>United States</t>
        </is>
      </c>
      <c r="F1911" t="inlineStr">
        <is>
          <t>Yes</t>
        </is>
      </c>
      <c r="H1911" t="n">
        <v>6</v>
      </c>
      <c r="I1911" t="b">
        <v>0</v>
      </c>
      <c r="J1911" t="b">
        <v>1</v>
      </c>
      <c r="K1911" t="b">
        <v>0</v>
      </c>
      <c r="L1911" t="b">
        <v>0</v>
      </c>
      <c r="M1911" t="b">
        <v>0</v>
      </c>
      <c r="N1911">
        <f>IFERROR(INDEX('Company Hitlist'!$AA:$AA,MATCH(D1911,'Company Hitlist'!$A:$A,0)),)</f>
        <v/>
      </c>
      <c r="O1911">
        <f>IFERROR(INDEX('Company Hitlist'!$N:$N,MATCH(D1911,'Company Hitlist'!$A:$A,0)),)</f>
        <v/>
      </c>
      <c r="Q1911" t="inlineStr">
        <is>
          <t>todo</t>
        </is>
      </c>
    </row>
    <row r="1912">
      <c r="A1912" t="inlineStr">
        <is>
          <t>Nick Malewicki</t>
        </is>
      </c>
      <c r="B1912" t="inlineStr">
        <is>
          <t>Attendee</t>
        </is>
      </c>
      <c r="C1912" t="inlineStr">
        <is>
          <t>General Manager, Autonomous Division</t>
        </is>
      </c>
      <c r="D1912" t="inlineStr">
        <is>
          <t>Big Joe Forklifts</t>
        </is>
      </c>
      <c r="E1912" t="inlineStr">
        <is>
          <t>United States</t>
        </is>
      </c>
      <c r="H1912" t="n">
        <v>6</v>
      </c>
      <c r="I1912" t="b">
        <v>0</v>
      </c>
      <c r="J1912" t="b">
        <v>1</v>
      </c>
      <c r="K1912" t="b">
        <v>0</v>
      </c>
      <c r="L1912" t="b">
        <v>0</v>
      </c>
      <c r="M1912" t="b">
        <v>0</v>
      </c>
      <c r="N1912">
        <f>IFERROR(INDEX('Company Hitlist'!$AA:$AA,MATCH(D1912,'Company Hitlist'!$A:$A,0)),)</f>
        <v/>
      </c>
      <c r="O1912">
        <f>IFERROR(INDEX('Company Hitlist'!$N:$N,MATCH(D1912,'Company Hitlist'!$A:$A,0)),)</f>
        <v/>
      </c>
      <c r="Q1912" t="inlineStr">
        <is>
          <t>todo</t>
        </is>
      </c>
    </row>
    <row r="1913">
      <c r="A1913" t="inlineStr">
        <is>
          <t>kim hyejeong</t>
        </is>
      </c>
      <c r="B1913" t="inlineStr">
        <is>
          <t>Attendee</t>
        </is>
      </c>
      <c r="C1913" t="inlineStr">
        <is>
          <t>ceo</t>
        </is>
      </c>
      <c r="D1913" t="inlineStr">
        <is>
          <t>Blue Ocean</t>
        </is>
      </c>
      <c r="F1913" t="inlineStr">
        <is>
          <t>Yes</t>
        </is>
      </c>
      <c r="H1913" t="n">
        <v>6</v>
      </c>
      <c r="I1913" t="b">
        <v>0</v>
      </c>
      <c r="J1913" t="b">
        <v>1</v>
      </c>
      <c r="K1913" t="b">
        <v>0</v>
      </c>
      <c r="L1913" t="b">
        <v>0</v>
      </c>
      <c r="M1913" t="b">
        <v>0</v>
      </c>
      <c r="N1913">
        <f>IFERROR(INDEX('Company Hitlist'!$AA:$AA,MATCH(D1913,'Company Hitlist'!$A:$A,0)),)</f>
        <v/>
      </c>
      <c r="O1913">
        <f>IFERROR(INDEX('Company Hitlist'!$N:$N,MATCH(D1913,'Company Hitlist'!$A:$A,0)),)</f>
        <v/>
      </c>
      <c r="Q1913" t="inlineStr">
        <is>
          <t>todo</t>
        </is>
      </c>
    </row>
    <row r="1914">
      <c r="A1914" t="inlineStr">
        <is>
          <t>Martin Bernemann</t>
        </is>
      </c>
      <c r="B1914" t="inlineStr">
        <is>
          <t>Attendee</t>
        </is>
      </c>
      <c r="C1914" t="inlineStr">
        <is>
          <t>CTO</t>
        </is>
      </c>
      <c r="D1914" t="inlineStr">
        <is>
          <t>BlueBox Systems</t>
        </is>
      </c>
      <c r="E1914" t="inlineStr">
        <is>
          <t>Germany</t>
        </is>
      </c>
      <c r="F1914" t="inlineStr">
        <is>
          <t>Yes</t>
        </is>
      </c>
      <c r="H1914" t="n">
        <v>6</v>
      </c>
      <c r="I1914" t="b">
        <v>0</v>
      </c>
      <c r="J1914" t="b">
        <v>1</v>
      </c>
      <c r="K1914" t="b">
        <v>0</v>
      </c>
      <c r="L1914" t="b">
        <v>0</v>
      </c>
      <c r="M1914" t="b">
        <v>0</v>
      </c>
      <c r="N1914">
        <f>IFERROR(INDEX('Company Hitlist'!$AA:$AA,MATCH(D1914,'Company Hitlist'!$A:$A,0)),)</f>
        <v/>
      </c>
      <c r="O1914">
        <f>IFERROR(INDEX('Company Hitlist'!$N:$N,MATCH(D1914,'Company Hitlist'!$A:$A,0)),)</f>
        <v/>
      </c>
      <c r="Q1914" t="inlineStr">
        <is>
          <t>todo</t>
        </is>
      </c>
    </row>
    <row r="1915">
      <c r="A1915" t="inlineStr">
        <is>
          <t>Brent Wallace</t>
        </is>
      </c>
      <c r="B1915" t="inlineStr">
        <is>
          <t>Attendee</t>
        </is>
      </c>
      <c r="C1915" t="inlineStr">
        <is>
          <t>Vice President, North America</t>
        </is>
      </c>
      <c r="D1915" t="inlineStr">
        <is>
          <t>BlueRock TMS</t>
        </is>
      </c>
      <c r="E1915" t="inlineStr">
        <is>
          <t>United States</t>
        </is>
      </c>
      <c r="F1915" t="inlineStr">
        <is>
          <t>Yes</t>
        </is>
      </c>
      <c r="H1915" t="n">
        <v>6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  <c r="N1915">
        <f>IFERROR(INDEX('Company Hitlist'!$AA:$AA,MATCH(D1915,'Company Hitlist'!$A:$A,0)),)</f>
        <v/>
      </c>
      <c r="O1915">
        <f>IFERROR(INDEX('Company Hitlist'!$N:$N,MATCH(D1915,'Company Hitlist'!$A:$A,0)),)</f>
        <v/>
      </c>
      <c r="Q1915" t="inlineStr">
        <is>
          <t>todo</t>
        </is>
      </c>
    </row>
    <row r="1916">
      <c r="A1916" t="inlineStr">
        <is>
          <t>Dave Coulson</t>
        </is>
      </c>
      <c r="B1916" t="inlineStr">
        <is>
          <t>Attendee</t>
        </is>
      </c>
      <c r="C1916" t="inlineStr">
        <is>
          <t>COO</t>
        </is>
      </c>
      <c r="D1916" t="inlineStr">
        <is>
          <t>BorderBuddy</t>
        </is>
      </c>
      <c r="E1916" t="inlineStr">
        <is>
          <t>Canada</t>
        </is>
      </c>
      <c r="H1916" t="n">
        <v>6</v>
      </c>
      <c r="I1916" t="b">
        <v>0</v>
      </c>
      <c r="J1916" t="b">
        <v>1</v>
      </c>
      <c r="K1916" t="b">
        <v>0</v>
      </c>
      <c r="L1916" t="b">
        <v>0</v>
      </c>
      <c r="M1916" t="b">
        <v>0</v>
      </c>
      <c r="N1916">
        <f>IFERROR(INDEX('Company Hitlist'!$AA:$AA,MATCH(D1916,'Company Hitlist'!$A:$A,0)),)</f>
        <v/>
      </c>
      <c r="O1916">
        <f>IFERROR(INDEX('Company Hitlist'!$N:$N,MATCH(D1916,'Company Hitlist'!$A:$A,0)),)</f>
        <v/>
      </c>
      <c r="Q1916" t="inlineStr">
        <is>
          <t>todo</t>
        </is>
      </c>
    </row>
    <row r="1917">
      <c r="A1917" t="inlineStr">
        <is>
          <t>Frank Akron</t>
        </is>
      </c>
      <c r="B1917" t="inlineStr">
        <is>
          <t>Attendee</t>
        </is>
      </c>
      <c r="C1917" t="inlineStr">
        <is>
          <t>CEO</t>
        </is>
      </c>
      <c r="D1917" t="inlineStr">
        <is>
          <t>Borderlanders Inc</t>
        </is>
      </c>
      <c r="E1917" t="inlineStr">
        <is>
          <t>United States</t>
        </is>
      </c>
      <c r="F1917" t="inlineStr">
        <is>
          <t>Yes</t>
        </is>
      </c>
      <c r="H1917" t="n">
        <v>6</v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  <c r="N1917">
        <f>IFERROR(INDEX('Company Hitlist'!$AA:$AA,MATCH(D1917,'Company Hitlist'!$A:$A,0)),)</f>
        <v/>
      </c>
      <c r="O1917">
        <f>IFERROR(INDEX('Company Hitlist'!$N:$N,MATCH(D1917,'Company Hitlist'!$A:$A,0)),)</f>
        <v/>
      </c>
      <c r="Q1917" t="inlineStr">
        <is>
          <t>todo</t>
        </is>
      </c>
    </row>
    <row r="1918">
      <c r="A1918" t="inlineStr">
        <is>
          <t>Rob Deni</t>
        </is>
      </c>
      <c r="B1918" t="inlineStr">
        <is>
          <t>Attendee</t>
        </is>
      </c>
      <c r="C1918" t="inlineStr">
        <is>
          <t>Vice President Global Supply Management</t>
        </is>
      </c>
      <c r="D1918" t="inlineStr">
        <is>
          <t>BorgWarner</t>
        </is>
      </c>
      <c r="H1918" t="n">
        <v>6</v>
      </c>
      <c r="I1918" t="b">
        <v>0</v>
      </c>
      <c r="J1918" t="b">
        <v>1</v>
      </c>
      <c r="K1918" t="b">
        <v>0</v>
      </c>
      <c r="L1918" t="b">
        <v>0</v>
      </c>
      <c r="M1918" t="b">
        <v>0</v>
      </c>
      <c r="N1918">
        <f>IFERROR(INDEX('Company Hitlist'!$AA:$AA,MATCH(D1918,'Company Hitlist'!$A:$A,0)),)</f>
        <v/>
      </c>
      <c r="O1918">
        <f>IFERROR(INDEX('Company Hitlist'!$N:$N,MATCH(D1918,'Company Hitlist'!$A:$A,0)),)</f>
        <v/>
      </c>
      <c r="Q1918" t="inlineStr">
        <is>
          <t>todo</t>
        </is>
      </c>
    </row>
    <row r="1919">
      <c r="A1919" t="inlineStr">
        <is>
          <t>Steven Sykora</t>
        </is>
      </c>
      <c r="B1919" t="inlineStr">
        <is>
          <t>Attendee</t>
        </is>
      </c>
      <c r="C1919" t="inlineStr">
        <is>
          <t>VP</t>
        </is>
      </c>
      <c r="D1919" t="inlineStr">
        <is>
          <t>Bosch MPS</t>
        </is>
      </c>
      <c r="E1919" t="inlineStr">
        <is>
          <t>United States</t>
        </is>
      </c>
      <c r="H1919" t="n">
        <v>6</v>
      </c>
      <c r="I1919" t="b">
        <v>0</v>
      </c>
      <c r="J1919" t="b">
        <v>1</v>
      </c>
      <c r="K1919" t="b">
        <v>0</v>
      </c>
      <c r="L1919" t="b">
        <v>0</v>
      </c>
      <c r="M1919" t="b">
        <v>0</v>
      </c>
      <c r="N1919">
        <f>IFERROR(INDEX('Company Hitlist'!$AA:$AA,MATCH(D1919,'Company Hitlist'!$A:$A,0)),)</f>
        <v/>
      </c>
      <c r="O1919">
        <f>IFERROR(INDEX('Company Hitlist'!$N:$N,MATCH(D1919,'Company Hitlist'!$A:$A,0)),)</f>
        <v/>
      </c>
      <c r="Q1919" t="inlineStr">
        <is>
          <t>todo</t>
        </is>
      </c>
    </row>
    <row r="1920">
      <c r="A1920" t="inlineStr">
        <is>
          <t>Harrison Brunelli</t>
        </is>
      </c>
      <c r="B1920" t="inlineStr">
        <is>
          <t>Attendee</t>
        </is>
      </c>
      <c r="C1920" t="inlineStr">
        <is>
          <t>Vice President</t>
        </is>
      </c>
      <c r="D1920" t="inlineStr">
        <is>
          <t>Bregal Sagemount</t>
        </is>
      </c>
      <c r="E1920" t="inlineStr">
        <is>
          <t>United States</t>
        </is>
      </c>
      <c r="H1920" t="n">
        <v>6</v>
      </c>
      <c r="I1920" t="b">
        <v>0</v>
      </c>
      <c r="J1920" t="b">
        <v>1</v>
      </c>
      <c r="K1920" t="b">
        <v>0</v>
      </c>
      <c r="L1920" t="b">
        <v>0</v>
      </c>
      <c r="M1920" t="b">
        <v>0</v>
      </c>
      <c r="N1920">
        <f>IFERROR(INDEX('Company Hitlist'!$AA:$AA,MATCH(D1920,'Company Hitlist'!$A:$A,0)),)</f>
        <v/>
      </c>
      <c r="O1920">
        <f>IFERROR(INDEX('Company Hitlist'!$N:$N,MATCH(D1920,'Company Hitlist'!$A:$A,0)),)</f>
        <v/>
      </c>
      <c r="Q1920" t="inlineStr">
        <is>
          <t>todo</t>
        </is>
      </c>
    </row>
    <row r="1921">
      <c r="A1921" t="inlineStr">
        <is>
          <t>Ram Gopalakrishnan</t>
        </is>
      </c>
      <c r="B1921" t="inlineStr">
        <is>
          <t>Attendee</t>
        </is>
      </c>
      <c r="C1921" t="inlineStr">
        <is>
          <t>CEO</t>
        </is>
      </c>
      <c r="D1921" t="inlineStr">
        <is>
          <t>Bricz</t>
        </is>
      </c>
      <c r="E1921" t="inlineStr">
        <is>
          <t>United States</t>
        </is>
      </c>
      <c r="F1921" t="inlineStr">
        <is>
          <t>Yes</t>
        </is>
      </c>
      <c r="H1921" t="n">
        <v>6</v>
      </c>
      <c r="I1921" t="b">
        <v>0</v>
      </c>
      <c r="J1921" t="b">
        <v>1</v>
      </c>
      <c r="K1921" t="b">
        <v>0</v>
      </c>
      <c r="L1921" t="b">
        <v>0</v>
      </c>
      <c r="M1921" t="b">
        <v>0</v>
      </c>
      <c r="N1921">
        <f>IFERROR(INDEX('Company Hitlist'!$AA:$AA,MATCH(D1921,'Company Hitlist'!$A:$A,0)),)</f>
        <v/>
      </c>
      <c r="O1921">
        <f>IFERROR(INDEX('Company Hitlist'!$N:$N,MATCH(D1921,'Company Hitlist'!$A:$A,0)),)</f>
        <v/>
      </c>
      <c r="Q1921" t="inlineStr">
        <is>
          <t>todo</t>
        </is>
      </c>
    </row>
    <row r="1922">
      <c r="A1922" t="inlineStr">
        <is>
          <t>Vikas Aron</t>
        </is>
      </c>
      <c r="B1922" t="inlineStr">
        <is>
          <t>Attendee</t>
        </is>
      </c>
      <c r="C1922" t="inlineStr">
        <is>
          <t>Chief Product Officer</t>
        </is>
      </c>
      <c r="D1922" t="inlineStr">
        <is>
          <t>Bricz</t>
        </is>
      </c>
      <c r="E1922" t="inlineStr">
        <is>
          <t>United States</t>
        </is>
      </c>
      <c r="F1922" t="inlineStr">
        <is>
          <t>Yes</t>
        </is>
      </c>
      <c r="H1922" t="n">
        <v>6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  <c r="N1922">
        <f>IFERROR(INDEX('Company Hitlist'!$AA:$AA,MATCH(D1922,'Company Hitlist'!$A:$A,0)),)</f>
        <v/>
      </c>
      <c r="O1922">
        <f>IFERROR(INDEX('Company Hitlist'!$N:$N,MATCH(D1922,'Company Hitlist'!$A:$A,0)),)</f>
        <v/>
      </c>
      <c r="Q1922" t="inlineStr">
        <is>
          <t>todo</t>
        </is>
      </c>
    </row>
    <row r="1923">
      <c r="A1923" t="inlineStr">
        <is>
          <t>David Viera</t>
        </is>
      </c>
      <c r="B1923" t="inlineStr">
        <is>
          <t>Attendee</t>
        </is>
      </c>
      <c r="C1923" t="inlineStr">
        <is>
          <t>Chief Operating Officer</t>
        </is>
      </c>
      <c r="D1923" t="inlineStr">
        <is>
          <t>Bridgewater Interiors</t>
        </is>
      </c>
      <c r="H1923" t="n">
        <v>6</v>
      </c>
      <c r="I1923" t="b">
        <v>0</v>
      </c>
      <c r="J1923" t="b">
        <v>1</v>
      </c>
      <c r="K1923" t="b">
        <v>0</v>
      </c>
      <c r="L1923" t="b">
        <v>0</v>
      </c>
      <c r="M1923" t="b">
        <v>0</v>
      </c>
      <c r="N1923">
        <f>IFERROR(INDEX('Company Hitlist'!$AA:$AA,MATCH(D1923,'Company Hitlist'!$A:$A,0)),)</f>
        <v/>
      </c>
      <c r="O1923">
        <f>IFERROR(INDEX('Company Hitlist'!$N:$N,MATCH(D1923,'Company Hitlist'!$A:$A,0)),)</f>
        <v/>
      </c>
      <c r="Q1923" t="inlineStr">
        <is>
          <t>todo</t>
        </is>
      </c>
    </row>
    <row r="1924">
      <c r="A1924" t="inlineStr">
        <is>
          <t>Michael Bryant</t>
        </is>
      </c>
      <c r="B1924" t="inlineStr">
        <is>
          <t>Attendee</t>
        </is>
      </c>
      <c r="C1924" t="inlineStr">
        <is>
          <t>CTO</t>
        </is>
      </c>
      <c r="D1924" t="inlineStr">
        <is>
          <t>Brilliant Fulfillment</t>
        </is>
      </c>
      <c r="F1924" t="inlineStr">
        <is>
          <t>Yes</t>
        </is>
      </c>
      <c r="H1924" t="n">
        <v>6</v>
      </c>
      <c r="I1924" t="b">
        <v>0</v>
      </c>
      <c r="J1924" t="b">
        <v>1</v>
      </c>
      <c r="K1924" t="b">
        <v>0</v>
      </c>
      <c r="L1924" t="b">
        <v>0</v>
      </c>
      <c r="M1924" t="b">
        <v>0</v>
      </c>
      <c r="N1924">
        <f>IFERROR(INDEX('Company Hitlist'!$AA:$AA,MATCH(D1924,'Company Hitlist'!$A:$A,0)),)</f>
        <v/>
      </c>
      <c r="O1924">
        <f>IFERROR(INDEX('Company Hitlist'!$N:$N,MATCH(D1924,'Company Hitlist'!$A:$A,0)),)</f>
        <v/>
      </c>
      <c r="Q1924" t="inlineStr">
        <is>
          <t>todo</t>
        </is>
      </c>
    </row>
    <row r="1925">
      <c r="A1925" t="inlineStr">
        <is>
          <t>Kerri Thurston</t>
        </is>
      </c>
      <c r="B1925" t="inlineStr">
        <is>
          <t>Attendee</t>
        </is>
      </c>
      <c r="C1925" t="inlineStr">
        <is>
          <t>CFO</t>
        </is>
      </c>
      <c r="D1925" t="inlineStr">
        <is>
          <t>Bungii</t>
        </is>
      </c>
      <c r="E1925" t="inlineStr">
        <is>
          <t>United States</t>
        </is>
      </c>
      <c r="F1925" t="inlineStr">
        <is>
          <t>Yes</t>
        </is>
      </c>
      <c r="H1925" t="n">
        <v>6</v>
      </c>
      <c r="I1925" t="b">
        <v>0</v>
      </c>
      <c r="J1925" t="b">
        <v>1</v>
      </c>
      <c r="K1925" t="b">
        <v>0</v>
      </c>
      <c r="L1925" t="b">
        <v>0</v>
      </c>
      <c r="M1925" t="b">
        <v>0</v>
      </c>
      <c r="N1925">
        <f>IFERROR(INDEX('Company Hitlist'!$AA:$AA,MATCH(D1925,'Company Hitlist'!$A:$A,0)),)</f>
        <v/>
      </c>
      <c r="O1925">
        <f>IFERROR(INDEX('Company Hitlist'!$N:$N,MATCH(D1925,'Company Hitlist'!$A:$A,0)),)</f>
        <v/>
      </c>
      <c r="Q1925" t="inlineStr">
        <is>
          <t>todo</t>
        </is>
      </c>
    </row>
    <row r="1926">
      <c r="A1926" t="inlineStr">
        <is>
          <t>Joseph Barsano</t>
        </is>
      </c>
      <c r="B1926" t="inlineStr">
        <is>
          <t>Attendee</t>
        </is>
      </c>
      <c r="C1926" t="inlineStr">
        <is>
          <t>CEO</t>
        </is>
      </c>
      <c r="D1926" t="inlineStr">
        <is>
          <t>Business Facilitating</t>
        </is>
      </c>
      <c r="E1926" t="inlineStr">
        <is>
          <t>United States</t>
        </is>
      </c>
      <c r="H1926" t="n">
        <v>6</v>
      </c>
      <c r="I1926" t="b">
        <v>0</v>
      </c>
      <c r="J1926" t="b">
        <v>1</v>
      </c>
      <c r="K1926" t="b">
        <v>0</v>
      </c>
      <c r="L1926" t="b">
        <v>0</v>
      </c>
      <c r="M1926" t="b">
        <v>0</v>
      </c>
      <c r="N1926">
        <f>IFERROR(INDEX('Company Hitlist'!$AA:$AA,MATCH(D1926,'Company Hitlist'!$A:$A,0)),)</f>
        <v/>
      </c>
      <c r="O1926">
        <f>IFERROR(INDEX('Company Hitlist'!$N:$N,MATCH(D1926,'Company Hitlist'!$A:$A,0)),)</f>
        <v/>
      </c>
      <c r="Q1926" t="inlineStr">
        <is>
          <t>todo</t>
        </is>
      </c>
    </row>
    <row r="1927">
      <c r="A1927" t="inlineStr">
        <is>
          <t>Sammy Barsano</t>
        </is>
      </c>
      <c r="B1927" t="inlineStr">
        <is>
          <t>Attendee</t>
        </is>
      </c>
      <c r="C1927" t="inlineStr">
        <is>
          <t>COO</t>
        </is>
      </c>
      <c r="D1927" t="inlineStr">
        <is>
          <t>Business Facilitating</t>
        </is>
      </c>
      <c r="E1927" t="inlineStr">
        <is>
          <t>United States</t>
        </is>
      </c>
      <c r="H1927" t="n">
        <v>6</v>
      </c>
      <c r="I1927" t="b">
        <v>0</v>
      </c>
      <c r="J1927" t="b">
        <v>1</v>
      </c>
      <c r="K1927" t="b">
        <v>0</v>
      </c>
      <c r="L1927" t="b">
        <v>0</v>
      </c>
      <c r="M1927" t="b">
        <v>0</v>
      </c>
      <c r="N1927">
        <f>IFERROR(INDEX('Company Hitlist'!$AA:$AA,MATCH(D1927,'Company Hitlist'!$A:$A,0)),)</f>
        <v/>
      </c>
      <c r="O1927">
        <f>IFERROR(INDEX('Company Hitlist'!$N:$N,MATCH(D1927,'Company Hitlist'!$A:$A,0)),)</f>
        <v/>
      </c>
      <c r="Q1927" t="inlineStr">
        <is>
          <t>todo</t>
        </is>
      </c>
    </row>
    <row r="1928">
      <c r="A1928" t="inlineStr">
        <is>
          <t>Greg West</t>
        </is>
      </c>
      <c r="B1928" t="inlineStr">
        <is>
          <t>Attendee</t>
        </is>
      </c>
      <c r="C1928" t="inlineStr">
        <is>
          <t>Vice President</t>
        </is>
      </c>
      <c r="D1928" t="inlineStr">
        <is>
          <t>CH ROBINSON WORLDWIDE</t>
        </is>
      </c>
      <c r="E1928" t="inlineStr">
        <is>
          <t>United States</t>
        </is>
      </c>
      <c r="H1928" t="n">
        <v>6</v>
      </c>
      <c r="I1928" t="b">
        <v>0</v>
      </c>
      <c r="J1928" t="b">
        <v>1</v>
      </c>
      <c r="K1928" t="b">
        <v>0</v>
      </c>
      <c r="L1928" t="b">
        <v>0</v>
      </c>
      <c r="M1928" t="b">
        <v>0</v>
      </c>
      <c r="N1928">
        <f>IFERROR(INDEX('Company Hitlist'!$AA:$AA,MATCH(D1928,'Company Hitlist'!$A:$A,0)),)</f>
        <v/>
      </c>
      <c r="O1928">
        <f>IFERROR(INDEX('Company Hitlist'!$N:$N,MATCH(D1928,'Company Hitlist'!$A:$A,0)),)</f>
        <v/>
      </c>
      <c r="Q1928" t="inlineStr">
        <is>
          <t>todo</t>
        </is>
      </c>
    </row>
    <row r="1929">
      <c r="A1929" t="inlineStr">
        <is>
          <t>Laura Adams</t>
        </is>
      </c>
      <c r="B1929" t="inlineStr">
        <is>
          <t>Attendee</t>
        </is>
      </c>
      <c r="C1929" t="inlineStr">
        <is>
          <t>Senior Vice President, CI &amp; TES</t>
        </is>
      </c>
      <c r="D1929" t="inlineStr">
        <is>
          <t>CJ Logistics America</t>
        </is>
      </c>
      <c r="E1929" t="inlineStr">
        <is>
          <t>United States</t>
        </is>
      </c>
      <c r="F1929" t="inlineStr">
        <is>
          <t>Yes</t>
        </is>
      </c>
      <c r="H1929" t="n">
        <v>6</v>
      </c>
      <c r="I1929" t="b">
        <v>0</v>
      </c>
      <c r="J1929" t="b">
        <v>1</v>
      </c>
      <c r="K1929" t="b">
        <v>0</v>
      </c>
      <c r="L1929" t="b">
        <v>0</v>
      </c>
      <c r="M1929" t="b">
        <v>0</v>
      </c>
      <c r="N1929">
        <f>IFERROR(INDEX('Company Hitlist'!$AA:$AA,MATCH(D1929,'Company Hitlist'!$A:$A,0)),)</f>
        <v/>
      </c>
      <c r="O1929">
        <f>IFERROR(INDEX('Company Hitlist'!$N:$N,MATCH(D1929,'Company Hitlist'!$A:$A,0)),)</f>
        <v/>
      </c>
      <c r="Q1929" t="inlineStr">
        <is>
          <t>todo</t>
        </is>
      </c>
    </row>
    <row r="1930">
      <c r="A1930" t="inlineStr">
        <is>
          <t>Sam Sharp</t>
        </is>
      </c>
      <c r="B1930" t="inlineStr">
        <is>
          <t>Attendee</t>
        </is>
      </c>
      <c r="C1930" t="inlineStr">
        <is>
          <t>Executive Vice President, Customer Development</t>
        </is>
      </c>
      <c r="D1930" t="inlineStr">
        <is>
          <t>CJ Logistics America</t>
        </is>
      </c>
      <c r="E1930" t="inlineStr">
        <is>
          <t>United States</t>
        </is>
      </c>
      <c r="F1930" t="inlineStr">
        <is>
          <t>Yes</t>
        </is>
      </c>
      <c r="H1930" t="n">
        <v>6</v>
      </c>
      <c r="I1930" t="b">
        <v>0</v>
      </c>
      <c r="J1930" t="b">
        <v>1</v>
      </c>
      <c r="K1930" t="b">
        <v>0</v>
      </c>
      <c r="L1930" t="b">
        <v>0</v>
      </c>
      <c r="M1930" t="b">
        <v>0</v>
      </c>
      <c r="N1930">
        <f>IFERROR(INDEX('Company Hitlist'!$AA:$AA,MATCH(D1930,'Company Hitlist'!$A:$A,0)),)</f>
        <v/>
      </c>
      <c r="O1930">
        <f>IFERROR(INDEX('Company Hitlist'!$N:$N,MATCH(D1930,'Company Hitlist'!$A:$A,0)),)</f>
        <v/>
      </c>
      <c r="Q1930" t="inlineStr">
        <is>
          <t>todo</t>
        </is>
      </c>
    </row>
    <row r="1931">
      <c r="A1931" t="inlineStr">
        <is>
          <t>Nayantara Mehta</t>
        </is>
      </c>
      <c r="B1931" t="inlineStr">
        <is>
          <t>Attendee</t>
        </is>
      </c>
      <c r="C1931" t="inlineStr">
        <is>
          <t>Head of Innovation Programs - Digital</t>
        </is>
      </c>
      <c r="D1931" t="inlineStr">
        <is>
          <t>CMA CGM</t>
        </is>
      </c>
      <c r="E1931" t="inlineStr">
        <is>
          <t>United States</t>
        </is>
      </c>
      <c r="F1931" t="inlineStr">
        <is>
          <t>Yes</t>
        </is>
      </c>
      <c r="H1931" t="n">
        <v>6</v>
      </c>
      <c r="I1931" t="b">
        <v>0</v>
      </c>
      <c r="J1931" t="b">
        <v>1</v>
      </c>
      <c r="K1931" t="b">
        <v>0</v>
      </c>
      <c r="L1931" t="b">
        <v>0</v>
      </c>
      <c r="M1931" t="b">
        <v>0</v>
      </c>
      <c r="N1931">
        <f>IFERROR(INDEX('Company Hitlist'!$AA:$AA,MATCH(D1931,'Company Hitlist'!$A:$A,0)),)</f>
        <v/>
      </c>
      <c r="O1931">
        <f>IFERROR(INDEX('Company Hitlist'!$N:$N,MATCH(D1931,'Company Hitlist'!$A:$A,0)),)</f>
        <v/>
      </c>
      <c r="Q1931" t="inlineStr">
        <is>
          <t>todo</t>
        </is>
      </c>
    </row>
    <row r="1932">
      <c r="A1932" t="inlineStr">
        <is>
          <t>ERAN BAAZOV</t>
        </is>
      </c>
      <c r="B1932" t="inlineStr">
        <is>
          <t>Attendee</t>
        </is>
      </c>
      <c r="C1932" t="inlineStr">
        <is>
          <t>CEO</t>
        </is>
      </c>
      <c r="D1932" t="inlineStr">
        <is>
          <t>CONCARGO</t>
        </is>
      </c>
      <c r="E1932" t="inlineStr">
        <is>
          <t>Israel</t>
        </is>
      </c>
      <c r="F1932" t="inlineStr">
        <is>
          <t>Yes</t>
        </is>
      </c>
      <c r="H1932" t="n">
        <v>6</v>
      </c>
      <c r="I1932" t="b">
        <v>0</v>
      </c>
      <c r="J1932" t="b">
        <v>1</v>
      </c>
      <c r="K1932" t="b">
        <v>0</v>
      </c>
      <c r="L1932" t="b">
        <v>0</v>
      </c>
      <c r="M1932" t="b">
        <v>0</v>
      </c>
      <c r="N1932">
        <f>IFERROR(INDEX('Company Hitlist'!$AA:$AA,MATCH(D1932,'Company Hitlist'!$A:$A,0)),)</f>
        <v/>
      </c>
      <c r="O1932">
        <f>IFERROR(INDEX('Company Hitlist'!$N:$N,MATCH(D1932,'Company Hitlist'!$A:$A,0)),)</f>
        <v/>
      </c>
      <c r="Q1932" t="inlineStr">
        <is>
          <t>todo</t>
        </is>
      </c>
    </row>
    <row r="1933">
      <c r="A1933" t="inlineStr">
        <is>
          <t>RENE ROJAS</t>
        </is>
      </c>
      <c r="B1933" t="inlineStr">
        <is>
          <t>Attendee</t>
        </is>
      </c>
      <c r="C1933" t="inlineStr">
        <is>
          <t>CEO</t>
        </is>
      </c>
      <c r="D1933" t="inlineStr">
        <is>
          <t>CROSSMOTION LOGISTICS</t>
        </is>
      </c>
      <c r="E1933" t="inlineStr">
        <is>
          <t>Mexico</t>
        </is>
      </c>
      <c r="F1933" t="inlineStr">
        <is>
          <t>Yes</t>
        </is>
      </c>
      <c r="H1933" t="n">
        <v>6</v>
      </c>
      <c r="I1933" t="b">
        <v>0</v>
      </c>
      <c r="J1933" t="b">
        <v>1</v>
      </c>
      <c r="K1933" t="b">
        <v>0</v>
      </c>
      <c r="L1933" t="b">
        <v>0</v>
      </c>
      <c r="M1933" t="b">
        <v>0</v>
      </c>
      <c r="N1933">
        <f>IFERROR(INDEX('Company Hitlist'!$AA:$AA,MATCH(D1933,'Company Hitlist'!$A:$A,0)),)</f>
        <v/>
      </c>
      <c r="O1933">
        <f>IFERROR(INDEX('Company Hitlist'!$N:$N,MATCH(D1933,'Company Hitlist'!$A:$A,0)),)</f>
        <v/>
      </c>
      <c r="Q1933" t="inlineStr">
        <is>
          <t>todo</t>
        </is>
      </c>
    </row>
    <row r="1934">
      <c r="A1934" t="inlineStr">
        <is>
          <t>Marly Ynigues</t>
        </is>
      </c>
      <c r="B1934" t="inlineStr">
        <is>
          <t>Attendee</t>
        </is>
      </c>
      <c r="C1934" t="inlineStr">
        <is>
          <t>Chief Transformation Officer</t>
        </is>
      </c>
      <c r="D1934" t="inlineStr">
        <is>
          <t>CTSI-Global</t>
        </is>
      </c>
      <c r="E1934" t="inlineStr">
        <is>
          <t>United States</t>
        </is>
      </c>
      <c r="F1934" t="inlineStr">
        <is>
          <t>Yes</t>
        </is>
      </c>
      <c r="H1934" t="n">
        <v>6</v>
      </c>
      <c r="I1934" t="b">
        <v>0</v>
      </c>
      <c r="J1934" t="b">
        <v>1</v>
      </c>
      <c r="K1934" t="b">
        <v>0</v>
      </c>
      <c r="L1934" t="b">
        <v>0</v>
      </c>
      <c r="M1934" t="b">
        <v>0</v>
      </c>
      <c r="N1934">
        <f>IFERROR(INDEX('Company Hitlist'!$AA:$AA,MATCH(D1934,'Company Hitlist'!$A:$A,0)),)</f>
        <v/>
      </c>
      <c r="O1934">
        <f>IFERROR(INDEX('Company Hitlist'!$N:$N,MATCH(D1934,'Company Hitlist'!$A:$A,0)),)</f>
        <v/>
      </c>
      <c r="Q1934" t="inlineStr">
        <is>
          <t>todo</t>
        </is>
      </c>
    </row>
    <row r="1935">
      <c r="A1935" t="inlineStr">
        <is>
          <t>Michele Vernola</t>
        </is>
      </c>
      <c r="B1935" t="inlineStr">
        <is>
          <t>Attendee</t>
        </is>
      </c>
      <c r="C1935" t="inlineStr">
        <is>
          <t>VP Parcel Spend Management</t>
        </is>
      </c>
      <c r="D1935" t="inlineStr">
        <is>
          <t>CTSI-Global</t>
        </is>
      </c>
      <c r="E1935" t="inlineStr">
        <is>
          <t>United States</t>
        </is>
      </c>
      <c r="F1935" t="inlineStr">
        <is>
          <t>Yes</t>
        </is>
      </c>
      <c r="H1935" t="n">
        <v>6</v>
      </c>
      <c r="I1935" t="b">
        <v>0</v>
      </c>
      <c r="J1935" t="b">
        <v>1</v>
      </c>
      <c r="K1935" t="b">
        <v>0</v>
      </c>
      <c r="L1935" t="b">
        <v>0</v>
      </c>
      <c r="M1935" t="b">
        <v>0</v>
      </c>
      <c r="N1935">
        <f>IFERROR(INDEX('Company Hitlist'!$AA:$AA,MATCH(D1935,'Company Hitlist'!$A:$A,0)),)</f>
        <v/>
      </c>
      <c r="O1935">
        <f>IFERROR(INDEX('Company Hitlist'!$N:$N,MATCH(D1935,'Company Hitlist'!$A:$A,0)),)</f>
        <v/>
      </c>
      <c r="Q1935" t="inlineStr">
        <is>
          <t>todo</t>
        </is>
      </c>
    </row>
    <row r="1936">
      <c r="A1936" t="inlineStr">
        <is>
          <t>Brent Bois</t>
        </is>
      </c>
      <c r="B1936" t="inlineStr">
        <is>
          <t>Attendee</t>
        </is>
      </c>
      <c r="C1936" t="inlineStr">
        <is>
          <t>CEO</t>
        </is>
      </c>
      <c r="D1936" t="inlineStr">
        <is>
          <t>Calhoun Truck Lines</t>
        </is>
      </c>
      <c r="E1936" t="inlineStr">
        <is>
          <t>United States</t>
        </is>
      </c>
      <c r="F1936" t="inlineStr">
        <is>
          <t>Yes</t>
        </is>
      </c>
      <c r="H1936" t="n">
        <v>6</v>
      </c>
      <c r="I1936" t="b">
        <v>0</v>
      </c>
      <c r="J1936" t="b">
        <v>1</v>
      </c>
      <c r="K1936" t="b">
        <v>0</v>
      </c>
      <c r="L1936" t="b">
        <v>0</v>
      </c>
      <c r="M1936" t="b">
        <v>0</v>
      </c>
      <c r="N1936">
        <f>IFERROR(INDEX('Company Hitlist'!$AA:$AA,MATCH(D1936,'Company Hitlist'!$A:$A,0)),)</f>
        <v/>
      </c>
      <c r="O1936">
        <f>IFERROR(INDEX('Company Hitlist'!$N:$N,MATCH(D1936,'Company Hitlist'!$A:$A,0)),)</f>
        <v/>
      </c>
      <c r="Q1936" t="inlineStr">
        <is>
          <t>todo</t>
        </is>
      </c>
    </row>
    <row r="1937">
      <c r="A1937" t="inlineStr">
        <is>
          <t>Amanda Foisy</t>
        </is>
      </c>
      <c r="B1937" t="inlineStr">
        <is>
          <t>Attendee</t>
        </is>
      </c>
      <c r="C1937" t="inlineStr">
        <is>
          <t>CFO</t>
        </is>
      </c>
      <c r="D1937" t="inlineStr">
        <is>
          <t>California Innovations</t>
        </is>
      </c>
      <c r="H1937" t="n">
        <v>6</v>
      </c>
      <c r="I1937" t="b">
        <v>0</v>
      </c>
      <c r="J1937" t="b">
        <v>1</v>
      </c>
      <c r="K1937" t="b">
        <v>0</v>
      </c>
      <c r="L1937" t="b">
        <v>0</v>
      </c>
      <c r="M1937" t="b">
        <v>0</v>
      </c>
      <c r="N1937">
        <f>IFERROR(INDEX('Company Hitlist'!$AA:$AA,MATCH(D1937,'Company Hitlist'!$A:$A,0)),)</f>
        <v/>
      </c>
      <c r="O1937">
        <f>IFERROR(INDEX('Company Hitlist'!$N:$N,MATCH(D1937,'Company Hitlist'!$A:$A,0)),)</f>
        <v/>
      </c>
      <c r="Q1937" t="inlineStr">
        <is>
          <t>todo</t>
        </is>
      </c>
    </row>
    <row r="1938">
      <c r="A1938" t="inlineStr">
        <is>
          <t>Sammy Goldfarb</t>
        </is>
      </c>
      <c r="B1938" t="inlineStr">
        <is>
          <t>Attendee</t>
        </is>
      </c>
      <c r="C1938" t="inlineStr">
        <is>
          <t>Vice President</t>
        </is>
      </c>
      <c r="D1938" t="inlineStr">
        <is>
          <t>Cantor Fitzgerald</t>
        </is>
      </c>
      <c r="E1938" t="inlineStr">
        <is>
          <t>United States</t>
        </is>
      </c>
      <c r="H1938" t="n">
        <v>6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  <c r="N1938">
        <f>IFERROR(INDEX('Company Hitlist'!$AA:$AA,MATCH(D1938,'Company Hitlist'!$A:$A,0)),)</f>
        <v/>
      </c>
      <c r="O1938">
        <f>IFERROR(INDEX('Company Hitlist'!$N:$N,MATCH(D1938,'Company Hitlist'!$A:$A,0)),)</f>
        <v/>
      </c>
      <c r="Q1938" t="inlineStr">
        <is>
          <t>todo</t>
        </is>
      </c>
    </row>
    <row r="1939">
      <c r="A1939" t="inlineStr">
        <is>
          <t>Peter Huh</t>
        </is>
      </c>
      <c r="B1939" t="inlineStr">
        <is>
          <t>Attendee</t>
        </is>
      </c>
      <c r="C1939" t="inlineStr">
        <is>
          <t>CIO/CTO</t>
        </is>
      </c>
      <c r="D1939" t="inlineStr">
        <is>
          <t>Capital Brands</t>
        </is>
      </c>
      <c r="F1939" t="inlineStr">
        <is>
          <t>Yes</t>
        </is>
      </c>
      <c r="H1939" t="n">
        <v>6</v>
      </c>
      <c r="I1939" t="b">
        <v>0</v>
      </c>
      <c r="J1939" t="b">
        <v>1</v>
      </c>
      <c r="K1939" t="b">
        <v>0</v>
      </c>
      <c r="L1939" t="b">
        <v>0</v>
      </c>
      <c r="M1939" t="b">
        <v>0</v>
      </c>
      <c r="N1939">
        <f>IFERROR(INDEX('Company Hitlist'!$AA:$AA,MATCH(D1939,'Company Hitlist'!$A:$A,0)),)</f>
        <v/>
      </c>
      <c r="O1939">
        <f>IFERROR(INDEX('Company Hitlist'!$N:$N,MATCH(D1939,'Company Hitlist'!$A:$A,0)),)</f>
        <v/>
      </c>
      <c r="Q1939" t="inlineStr">
        <is>
          <t>todo</t>
        </is>
      </c>
    </row>
    <row r="1940">
      <c r="A1940" t="inlineStr">
        <is>
          <t>Sean Coakley</t>
        </is>
      </c>
      <c r="B1940" t="inlineStr">
        <is>
          <t>Attendee</t>
        </is>
      </c>
      <c r="C1940" t="inlineStr">
        <is>
          <t>Chief Commercial Officer</t>
        </is>
      </c>
      <c r="D1940" t="inlineStr">
        <is>
          <t>Capstone Logistics</t>
        </is>
      </c>
      <c r="E1940" t="inlineStr">
        <is>
          <t>United States</t>
        </is>
      </c>
      <c r="F1940" t="inlineStr">
        <is>
          <t>Yes</t>
        </is>
      </c>
      <c r="H1940" t="n">
        <v>6</v>
      </c>
      <c r="I1940" t="b">
        <v>0</v>
      </c>
      <c r="J1940" t="b">
        <v>1</v>
      </c>
      <c r="K1940" t="b">
        <v>0</v>
      </c>
      <c r="L1940" t="b">
        <v>0</v>
      </c>
      <c r="M1940" t="b">
        <v>0</v>
      </c>
      <c r="N1940">
        <f>IFERROR(INDEX('Company Hitlist'!$AA:$AA,MATCH(D1940,'Company Hitlist'!$A:$A,0)),)</f>
        <v/>
      </c>
      <c r="O1940">
        <f>IFERROR(INDEX('Company Hitlist'!$N:$N,MATCH(D1940,'Company Hitlist'!$A:$A,0)),)</f>
        <v/>
      </c>
      <c r="Q1940" t="inlineStr">
        <is>
          <t>todo</t>
        </is>
      </c>
    </row>
    <row r="1941">
      <c r="A1941" t="inlineStr">
        <is>
          <t>Alex Van Kampen</t>
        </is>
      </c>
      <c r="B1941" t="inlineStr">
        <is>
          <t>Attendee</t>
        </is>
      </c>
      <c r="C1941" t="inlineStr">
        <is>
          <t>Head of Product, Engineering and Customer Excellence</t>
        </is>
      </c>
      <c r="D1941" t="inlineStr">
        <is>
          <t>Cargobase</t>
        </is>
      </c>
      <c r="E1941" t="inlineStr">
        <is>
          <t>Singapore</t>
        </is>
      </c>
      <c r="F1941" t="inlineStr">
        <is>
          <t>Yes</t>
        </is>
      </c>
      <c r="H1941" t="n">
        <v>6</v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  <c r="N1941">
        <f>IFERROR(INDEX('Company Hitlist'!$AA:$AA,MATCH(D1941,'Company Hitlist'!$A:$A,0)),)</f>
        <v/>
      </c>
      <c r="O1941">
        <f>IFERROR(INDEX('Company Hitlist'!$N:$N,MATCH(D1941,'Company Hitlist'!$A:$A,0)),)</f>
        <v/>
      </c>
      <c r="Q1941" t="inlineStr">
        <is>
          <t>todo</t>
        </is>
      </c>
    </row>
    <row r="1942">
      <c r="A1942" t="inlineStr">
        <is>
          <t>Wiebe Helder</t>
        </is>
      </c>
      <c r="B1942" t="inlineStr">
        <is>
          <t>Attendee</t>
        </is>
      </c>
      <c r="C1942" t="inlineStr">
        <is>
          <t>CEO</t>
        </is>
      </c>
      <c r="D1942" t="inlineStr">
        <is>
          <t>Cargobase</t>
        </is>
      </c>
      <c r="E1942" t="inlineStr">
        <is>
          <t>Singapore</t>
        </is>
      </c>
      <c r="F1942" t="inlineStr">
        <is>
          <t>Yes</t>
        </is>
      </c>
      <c r="H1942" t="n">
        <v>6</v>
      </c>
      <c r="I1942" t="b">
        <v>0</v>
      </c>
      <c r="J1942" t="b">
        <v>1</v>
      </c>
      <c r="K1942" t="b">
        <v>0</v>
      </c>
      <c r="L1942" t="b">
        <v>0</v>
      </c>
      <c r="M1942" t="b">
        <v>0</v>
      </c>
      <c r="N1942">
        <f>IFERROR(INDEX('Company Hitlist'!$AA:$AA,MATCH(D1942,'Company Hitlist'!$A:$A,0)),)</f>
        <v/>
      </c>
      <c r="O1942">
        <f>IFERROR(INDEX('Company Hitlist'!$N:$N,MATCH(D1942,'Company Hitlist'!$A:$A,0)),)</f>
        <v/>
      </c>
      <c r="Q1942" t="inlineStr">
        <is>
          <t>todo</t>
        </is>
      </c>
    </row>
    <row r="1943">
      <c r="A1943" t="inlineStr">
        <is>
          <t>Liran Bartal</t>
        </is>
      </c>
      <c r="B1943" t="inlineStr">
        <is>
          <t>Attendee</t>
        </is>
      </c>
      <c r="C1943" t="inlineStr">
        <is>
          <t>General Manager</t>
        </is>
      </c>
      <c r="D1943" t="inlineStr">
        <is>
          <t>Carmel Transport International Ltd.</t>
        </is>
      </c>
      <c r="E1943" t="inlineStr">
        <is>
          <t>Canada</t>
        </is>
      </c>
      <c r="F1943" t="inlineStr">
        <is>
          <t>Yes</t>
        </is>
      </c>
      <c r="H1943" t="n">
        <v>6</v>
      </c>
      <c r="I1943" t="b">
        <v>0</v>
      </c>
      <c r="J1943" t="b">
        <v>1</v>
      </c>
      <c r="K1943" t="b">
        <v>0</v>
      </c>
      <c r="L1943" t="b">
        <v>0</v>
      </c>
      <c r="M1943" t="b">
        <v>0</v>
      </c>
      <c r="N1943">
        <f>IFERROR(INDEX('Company Hitlist'!$AA:$AA,MATCH(D1943,'Company Hitlist'!$A:$A,0)),)</f>
        <v/>
      </c>
      <c r="O1943">
        <f>IFERROR(INDEX('Company Hitlist'!$N:$N,MATCH(D1943,'Company Hitlist'!$A:$A,0)),)</f>
        <v/>
      </c>
      <c r="Q1943" t="inlineStr">
        <is>
          <t>todo</t>
        </is>
      </c>
    </row>
    <row r="1944">
      <c r="A1944" t="inlineStr">
        <is>
          <t>Mark Draeb</t>
        </is>
      </c>
      <c r="B1944" t="inlineStr">
        <is>
          <t>Attendee</t>
        </is>
      </c>
      <c r="C1944" t="inlineStr">
        <is>
          <t>CEO, President, Co-Founder</t>
        </is>
      </c>
      <c r="D1944" t="inlineStr">
        <is>
          <t>Carrier Details LLC</t>
        </is>
      </c>
      <c r="E1944" t="inlineStr">
        <is>
          <t>United States</t>
        </is>
      </c>
      <c r="H1944" t="n">
        <v>6</v>
      </c>
      <c r="I1944" t="b">
        <v>0</v>
      </c>
      <c r="J1944" t="b">
        <v>1</v>
      </c>
      <c r="K1944" t="b">
        <v>0</v>
      </c>
      <c r="L1944" t="b">
        <v>0</v>
      </c>
      <c r="M1944" t="b">
        <v>0</v>
      </c>
      <c r="N1944">
        <f>IFERROR(INDEX('Company Hitlist'!$AA:$AA,MATCH(D1944,'Company Hitlist'!$A:$A,0)),)</f>
        <v/>
      </c>
      <c r="O1944">
        <f>IFERROR(INDEX('Company Hitlist'!$N:$N,MATCH(D1944,'Company Hitlist'!$A:$A,0)),)</f>
        <v/>
      </c>
      <c r="Q1944" t="inlineStr">
        <is>
          <t>todo</t>
        </is>
      </c>
    </row>
    <row r="1945">
      <c r="A1945" t="inlineStr">
        <is>
          <t>Ben Wiesen</t>
        </is>
      </c>
      <c r="B1945" t="inlineStr">
        <is>
          <t>Attendee</t>
        </is>
      </c>
      <c r="C1945" t="inlineStr">
        <is>
          <t>President</t>
        </is>
      </c>
      <c r="D1945" t="inlineStr">
        <is>
          <t>Carrier Logistics Inc.</t>
        </is>
      </c>
      <c r="E1945" t="inlineStr">
        <is>
          <t>United States</t>
        </is>
      </c>
      <c r="F1945" t="inlineStr">
        <is>
          <t>Yes</t>
        </is>
      </c>
      <c r="H1945" t="n">
        <v>6</v>
      </c>
      <c r="I1945" t="b">
        <v>0</v>
      </c>
      <c r="J1945" t="b">
        <v>1</v>
      </c>
      <c r="K1945" t="b">
        <v>0</v>
      </c>
      <c r="L1945" t="b">
        <v>0</v>
      </c>
      <c r="M1945" t="b">
        <v>0</v>
      </c>
      <c r="N1945">
        <f>IFERROR(INDEX('Company Hitlist'!$AA:$AA,MATCH(D1945,'Company Hitlist'!$A:$A,0)),)</f>
        <v/>
      </c>
      <c r="O1945">
        <f>IFERROR(INDEX('Company Hitlist'!$N:$N,MATCH(D1945,'Company Hitlist'!$A:$A,0)),)</f>
        <v/>
      </c>
      <c r="Q1945" t="inlineStr">
        <is>
          <t>todo</t>
        </is>
      </c>
    </row>
    <row r="1946">
      <c r="A1946" t="inlineStr">
        <is>
          <t>Kevin Linardic</t>
        </is>
      </c>
      <c r="B1946" t="inlineStr">
        <is>
          <t>Attendee</t>
        </is>
      </c>
      <c r="C1946" t="inlineStr">
        <is>
          <t>Chief Technology Officer</t>
        </is>
      </c>
      <c r="D1946" t="inlineStr">
        <is>
          <t>Carrier Logistics Inc.</t>
        </is>
      </c>
      <c r="E1946" t="inlineStr">
        <is>
          <t>United States</t>
        </is>
      </c>
      <c r="F1946" t="inlineStr">
        <is>
          <t>Yes</t>
        </is>
      </c>
      <c r="H1946" t="n">
        <v>6</v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  <c r="N1946">
        <f>IFERROR(INDEX('Company Hitlist'!$AA:$AA,MATCH(D1946,'Company Hitlist'!$A:$A,0)),)</f>
        <v/>
      </c>
      <c r="O1946">
        <f>IFERROR(INDEX('Company Hitlist'!$N:$N,MATCH(D1946,'Company Hitlist'!$A:$A,0)),)</f>
        <v/>
      </c>
      <c r="Q1946" t="inlineStr">
        <is>
          <t>todo</t>
        </is>
      </c>
    </row>
    <row r="1947">
      <c r="A1947" t="inlineStr">
        <is>
          <t>Travis Rhyan</t>
        </is>
      </c>
      <c r="B1947" t="inlineStr">
        <is>
          <t>Attendee</t>
        </is>
      </c>
      <c r="C1947" t="inlineStr">
        <is>
          <t>CEO &amp; Founder</t>
        </is>
      </c>
      <c r="D1947" t="inlineStr">
        <is>
          <t>Carrier1</t>
        </is>
      </c>
      <c r="E1947" t="inlineStr">
        <is>
          <t>United States</t>
        </is>
      </c>
      <c r="F1947" t="inlineStr">
        <is>
          <t>Yes</t>
        </is>
      </c>
      <c r="H1947" t="n">
        <v>6</v>
      </c>
      <c r="I1947" t="b">
        <v>0</v>
      </c>
      <c r="J1947" t="b">
        <v>1</v>
      </c>
      <c r="K1947" t="b">
        <v>0</v>
      </c>
      <c r="L1947" t="b">
        <v>0</v>
      </c>
      <c r="M1947" t="b">
        <v>0</v>
      </c>
      <c r="N1947">
        <f>IFERROR(INDEX('Company Hitlist'!$AA:$AA,MATCH(D1947,'Company Hitlist'!$A:$A,0)),)</f>
        <v/>
      </c>
      <c r="O1947">
        <f>IFERROR(INDEX('Company Hitlist'!$N:$N,MATCH(D1947,'Company Hitlist'!$A:$A,0)),)</f>
        <v/>
      </c>
      <c r="Q1947" t="inlineStr">
        <is>
          <t>todo</t>
        </is>
      </c>
    </row>
    <row r="1948">
      <c r="A1948" t="inlineStr">
        <is>
          <t>Rob Light</t>
        </is>
      </c>
      <c r="B1948" t="inlineStr">
        <is>
          <t>Attendee</t>
        </is>
      </c>
      <c r="C1948" t="inlineStr">
        <is>
          <t>CEO &amp; Co-Founder</t>
        </is>
      </c>
      <c r="D1948" t="inlineStr">
        <is>
          <t>CarrierSource</t>
        </is>
      </c>
      <c r="E1948" t="inlineStr">
        <is>
          <t>United States</t>
        </is>
      </c>
      <c r="H1948" t="n">
        <v>6</v>
      </c>
      <c r="I1948" t="b">
        <v>0</v>
      </c>
      <c r="J1948" t="b">
        <v>1</v>
      </c>
      <c r="K1948" t="b">
        <v>0</v>
      </c>
      <c r="L1948" t="b">
        <v>0</v>
      </c>
      <c r="M1948" t="b">
        <v>0</v>
      </c>
      <c r="N1948">
        <f>IFERROR(INDEX('Company Hitlist'!$AA:$AA,MATCH(D1948,'Company Hitlist'!$A:$A,0)),)</f>
        <v/>
      </c>
      <c r="O1948">
        <f>IFERROR(INDEX('Company Hitlist'!$N:$N,MATCH(D1948,'Company Hitlist'!$A:$A,0)),)</f>
        <v/>
      </c>
      <c r="Q1948" t="inlineStr">
        <is>
          <t>todo</t>
        </is>
      </c>
    </row>
    <row r="1949">
      <c r="A1949" t="inlineStr">
        <is>
          <t>Vincent Fletcher</t>
        </is>
      </c>
      <c r="B1949" t="inlineStr">
        <is>
          <t>Attendee</t>
        </is>
      </c>
      <c r="C1949" t="inlineStr">
        <is>
          <t>Co-founder, Chief Product Officer</t>
        </is>
      </c>
      <c r="D1949" t="inlineStr">
        <is>
          <t>CartonCloud</t>
        </is>
      </c>
      <c r="E1949" t="inlineStr">
        <is>
          <t>Australia</t>
        </is>
      </c>
      <c r="F1949" t="inlineStr">
        <is>
          <t>Yes</t>
        </is>
      </c>
      <c r="H1949" t="n">
        <v>6</v>
      </c>
      <c r="I1949" t="b">
        <v>0</v>
      </c>
      <c r="J1949" t="b">
        <v>1</v>
      </c>
      <c r="K1949" t="b">
        <v>0</v>
      </c>
      <c r="L1949" t="b">
        <v>0</v>
      </c>
      <c r="M1949" t="b">
        <v>0</v>
      </c>
      <c r="N1949">
        <f>IFERROR(INDEX('Company Hitlist'!$AA:$AA,MATCH(D1949,'Company Hitlist'!$A:$A,0)),)</f>
        <v/>
      </c>
      <c r="O1949">
        <f>IFERROR(INDEX('Company Hitlist'!$N:$N,MATCH(D1949,'Company Hitlist'!$A:$A,0)),)</f>
        <v/>
      </c>
      <c r="Q1949" t="inlineStr">
        <is>
          <t>todo</t>
        </is>
      </c>
    </row>
    <row r="1950">
      <c r="A1950" t="inlineStr">
        <is>
          <t>Shaun Hagen</t>
        </is>
      </c>
      <c r="B1950" t="inlineStr">
        <is>
          <t>Attendee</t>
        </is>
      </c>
      <c r="C1950" t="inlineStr">
        <is>
          <t>Chief Executive Officer</t>
        </is>
      </c>
      <c r="D1950" t="inlineStr">
        <is>
          <t>CartonCloud</t>
        </is>
      </c>
      <c r="E1950" t="inlineStr">
        <is>
          <t>Canada</t>
        </is>
      </c>
      <c r="F1950" t="inlineStr">
        <is>
          <t>Yes</t>
        </is>
      </c>
      <c r="H1950" t="n">
        <v>6</v>
      </c>
      <c r="I1950" t="b">
        <v>0</v>
      </c>
      <c r="J1950" t="b">
        <v>1</v>
      </c>
      <c r="K1950" t="b">
        <v>0</v>
      </c>
      <c r="L1950" t="b">
        <v>0</v>
      </c>
      <c r="M1950" t="b">
        <v>0</v>
      </c>
      <c r="N1950">
        <f>IFERROR(INDEX('Company Hitlist'!$AA:$AA,MATCH(D1950,'Company Hitlist'!$A:$A,0)),)</f>
        <v/>
      </c>
      <c r="O1950">
        <f>IFERROR(INDEX('Company Hitlist'!$N:$N,MATCH(D1950,'Company Hitlist'!$A:$A,0)),)</f>
        <v/>
      </c>
      <c r="Q1950" t="inlineStr">
        <is>
          <t>todo</t>
        </is>
      </c>
    </row>
    <row r="1951">
      <c r="A1951" t="inlineStr">
        <is>
          <t>Mo Nafisi</t>
        </is>
      </c>
      <c r="B1951" t="inlineStr">
        <is>
          <t>Attendee</t>
        </is>
      </c>
      <c r="C1951" t="inlineStr">
        <is>
          <t>CEO</t>
        </is>
      </c>
      <c r="D1951" t="inlineStr">
        <is>
          <t>Cavalla</t>
        </is>
      </c>
      <c r="E1951" t="inlineStr">
        <is>
          <t>United States</t>
        </is>
      </c>
      <c r="F1951" t="inlineStr">
        <is>
          <t>Yes</t>
        </is>
      </c>
      <c r="H1951" t="n">
        <v>6</v>
      </c>
      <c r="I1951" t="b">
        <v>0</v>
      </c>
      <c r="J1951" t="b">
        <v>1</v>
      </c>
      <c r="K1951" t="b">
        <v>0</v>
      </c>
      <c r="L1951" t="b">
        <v>0</v>
      </c>
      <c r="M1951" t="b">
        <v>0</v>
      </c>
      <c r="N1951">
        <f>IFERROR(INDEX('Company Hitlist'!$AA:$AA,MATCH(D1951,'Company Hitlist'!$A:$A,0)),)</f>
        <v/>
      </c>
      <c r="O1951">
        <f>IFERROR(INDEX('Company Hitlist'!$N:$N,MATCH(D1951,'Company Hitlist'!$A:$A,0)),)</f>
        <v/>
      </c>
      <c r="Q1951" t="inlineStr">
        <is>
          <t>todo</t>
        </is>
      </c>
    </row>
    <row r="1952">
      <c r="A1952" t="inlineStr">
        <is>
          <t>Nadim Kilzi</t>
        </is>
      </c>
      <c r="B1952" t="inlineStr">
        <is>
          <t>Attendee</t>
        </is>
      </c>
      <c r="C1952" t="inlineStr">
        <is>
          <t>Founder / CEO</t>
        </is>
      </c>
      <c r="D1952" t="inlineStr">
        <is>
          <t>Cedarpeak International LLC</t>
        </is>
      </c>
      <c r="E1952" t="inlineStr">
        <is>
          <t>United States</t>
        </is>
      </c>
      <c r="H1952" t="n">
        <v>6</v>
      </c>
      <c r="I1952" t="b">
        <v>0</v>
      </c>
      <c r="J1952" t="b">
        <v>1</v>
      </c>
      <c r="K1952" t="b">
        <v>0</v>
      </c>
      <c r="L1952" t="b">
        <v>0</v>
      </c>
      <c r="M1952" t="b">
        <v>0</v>
      </c>
      <c r="N1952">
        <f>IFERROR(INDEX('Company Hitlist'!$AA:$AA,MATCH(D1952,'Company Hitlist'!$A:$A,0)),)</f>
        <v/>
      </c>
      <c r="O1952">
        <f>IFERROR(INDEX('Company Hitlist'!$N:$N,MATCH(D1952,'Company Hitlist'!$A:$A,0)),)</f>
        <v/>
      </c>
      <c r="Q1952" t="inlineStr">
        <is>
          <t>todo</t>
        </is>
      </c>
    </row>
    <row r="1953">
      <c r="A1953" t="inlineStr">
        <is>
          <t>Maria Cardenas</t>
        </is>
      </c>
      <c r="B1953" t="inlineStr">
        <is>
          <t>Attendee</t>
        </is>
      </c>
      <c r="C1953" t="inlineStr">
        <is>
          <t>CEO</t>
        </is>
      </c>
      <c r="D1953" t="inlineStr">
        <is>
          <t>Celerik Labs</t>
        </is>
      </c>
      <c r="E1953" t="inlineStr">
        <is>
          <t>United States</t>
        </is>
      </c>
      <c r="H1953" t="n">
        <v>6</v>
      </c>
      <c r="I1953" t="b">
        <v>0</v>
      </c>
      <c r="J1953" t="b">
        <v>1</v>
      </c>
      <c r="K1953" t="b">
        <v>0</v>
      </c>
      <c r="L1953" t="b">
        <v>0</v>
      </c>
      <c r="M1953" t="b">
        <v>0</v>
      </c>
      <c r="N1953">
        <f>IFERROR(INDEX('Company Hitlist'!$AA:$AA,MATCH(D1953,'Company Hitlist'!$A:$A,0)),)</f>
        <v/>
      </c>
      <c r="O1953">
        <f>IFERROR(INDEX('Company Hitlist'!$N:$N,MATCH(D1953,'Company Hitlist'!$A:$A,0)),)</f>
        <v/>
      </c>
      <c r="Q1953" t="inlineStr">
        <is>
          <t>todo</t>
        </is>
      </c>
    </row>
    <row r="1954">
      <c r="A1954" t="inlineStr">
        <is>
          <t>Andy Kuchar</t>
        </is>
      </c>
      <c r="B1954" t="inlineStr">
        <is>
          <t>Attendee</t>
        </is>
      </c>
      <c r="C1954" t="inlineStr">
        <is>
          <t>President</t>
        </is>
      </c>
      <c r="D1954" t="inlineStr">
        <is>
          <t>Centerline Insurance Company</t>
        </is>
      </c>
      <c r="E1954" t="inlineStr">
        <is>
          <t>United States</t>
        </is>
      </c>
      <c r="H1954" t="n">
        <v>6</v>
      </c>
      <c r="I1954" t="b">
        <v>0</v>
      </c>
      <c r="J1954" t="b">
        <v>1</v>
      </c>
      <c r="K1954" t="b">
        <v>0</v>
      </c>
      <c r="L1954" t="b">
        <v>0</v>
      </c>
      <c r="M1954" t="b">
        <v>0</v>
      </c>
      <c r="N1954">
        <f>IFERROR(INDEX('Company Hitlist'!$AA:$AA,MATCH(D1954,'Company Hitlist'!$A:$A,0)),)</f>
        <v/>
      </c>
      <c r="O1954">
        <f>IFERROR(INDEX('Company Hitlist'!$N:$N,MATCH(D1954,'Company Hitlist'!$A:$A,0)),)</f>
        <v/>
      </c>
      <c r="Q1954" t="inlineStr">
        <is>
          <t>todo</t>
        </is>
      </c>
    </row>
    <row r="1955">
      <c r="A1955" t="inlineStr">
        <is>
          <t>Santos Carrillo</t>
        </is>
      </c>
      <c r="B1955" t="inlineStr">
        <is>
          <t>Attendee</t>
        </is>
      </c>
      <c r="C1955" t="inlineStr">
        <is>
          <t>CEO &amp; Founder</t>
        </is>
      </c>
      <c r="D1955" t="inlineStr">
        <is>
          <t>Chainsight</t>
        </is>
      </c>
      <c r="E1955" t="inlineStr">
        <is>
          <t>United States</t>
        </is>
      </c>
      <c r="F1955" t="inlineStr">
        <is>
          <t>Yes</t>
        </is>
      </c>
      <c r="H1955" t="n">
        <v>6</v>
      </c>
      <c r="I1955" t="b">
        <v>0</v>
      </c>
      <c r="J1955" t="b">
        <v>1</v>
      </c>
      <c r="K1955" t="b">
        <v>0</v>
      </c>
      <c r="L1955" t="b">
        <v>0</v>
      </c>
      <c r="M1955" t="b">
        <v>0</v>
      </c>
      <c r="N1955">
        <f>IFERROR(INDEX('Company Hitlist'!$AA:$AA,MATCH(D1955,'Company Hitlist'!$A:$A,0)),)</f>
        <v/>
      </c>
      <c r="O1955">
        <f>IFERROR(INDEX('Company Hitlist'!$N:$N,MATCH(D1955,'Company Hitlist'!$A:$A,0)),)</f>
        <v/>
      </c>
      <c r="Q1955" t="inlineStr">
        <is>
          <t>todo</t>
        </is>
      </c>
    </row>
    <row r="1956">
      <c r="A1956" t="inlineStr">
        <is>
          <t>Gonzalo Begazo</t>
        </is>
      </c>
      <c r="B1956" t="inlineStr">
        <is>
          <t>Attendee</t>
        </is>
      </c>
      <c r="C1956" t="inlineStr">
        <is>
          <t>Co-founder &amp; CEO</t>
        </is>
      </c>
      <c r="D1956" t="inlineStr">
        <is>
          <t>Chazki</t>
        </is>
      </c>
      <c r="E1956" t="inlineStr">
        <is>
          <t>United States</t>
        </is>
      </c>
      <c r="F1956" t="inlineStr">
        <is>
          <t>Yes</t>
        </is>
      </c>
      <c r="H1956" t="n">
        <v>6</v>
      </c>
      <c r="I1956" t="b">
        <v>0</v>
      </c>
      <c r="J1956" t="b">
        <v>1</v>
      </c>
      <c r="K1956" t="b">
        <v>0</v>
      </c>
      <c r="L1956" t="b">
        <v>0</v>
      </c>
      <c r="M1956" t="b">
        <v>0</v>
      </c>
      <c r="N1956">
        <f>IFERROR(INDEX('Company Hitlist'!$AA:$AA,MATCH(D1956,'Company Hitlist'!$A:$A,0)),)</f>
        <v/>
      </c>
      <c r="O1956">
        <f>IFERROR(INDEX('Company Hitlist'!$N:$N,MATCH(D1956,'Company Hitlist'!$A:$A,0)),)</f>
        <v/>
      </c>
      <c r="Q1956" t="inlineStr">
        <is>
          <t>todo</t>
        </is>
      </c>
    </row>
    <row r="1957">
      <c r="A1957" t="inlineStr">
        <is>
          <t>Renzo Marrese</t>
        </is>
      </c>
      <c r="B1957" t="inlineStr">
        <is>
          <t>Attendee</t>
        </is>
      </c>
      <c r="C1957" t="inlineStr">
        <is>
          <t>CoFounder &amp; COO</t>
        </is>
      </c>
      <c r="D1957" t="inlineStr">
        <is>
          <t>Chazki Holdings, INC</t>
        </is>
      </c>
      <c r="E1957" t="inlineStr">
        <is>
          <t>Peru</t>
        </is>
      </c>
      <c r="F1957" t="inlineStr">
        <is>
          <t>Yes</t>
        </is>
      </c>
      <c r="H1957" t="n">
        <v>6</v>
      </c>
      <c r="I1957" t="b">
        <v>0</v>
      </c>
      <c r="J1957" t="b">
        <v>1</v>
      </c>
      <c r="K1957" t="b">
        <v>0</v>
      </c>
      <c r="L1957" t="b">
        <v>0</v>
      </c>
      <c r="M1957" t="b">
        <v>0</v>
      </c>
      <c r="N1957">
        <f>IFERROR(INDEX('Company Hitlist'!$AA:$AA,MATCH(D1957,'Company Hitlist'!$A:$A,0)),)</f>
        <v/>
      </c>
      <c r="O1957">
        <f>IFERROR(INDEX('Company Hitlist'!$N:$N,MATCH(D1957,'Company Hitlist'!$A:$A,0)),)</f>
        <v/>
      </c>
      <c r="Q1957" t="inlineStr">
        <is>
          <t>todo</t>
        </is>
      </c>
    </row>
    <row r="1958">
      <c r="A1958" t="inlineStr">
        <is>
          <t>Sergio Huerga</t>
        </is>
      </c>
      <c r="B1958" t="inlineStr">
        <is>
          <t>Attendee</t>
        </is>
      </c>
      <c r="C1958" t="inlineStr">
        <is>
          <t>VP</t>
        </is>
      </c>
      <c r="D1958" t="inlineStr">
        <is>
          <t>Church &amp; Dwight</t>
        </is>
      </c>
      <c r="F1958" t="inlineStr">
        <is>
          <t>Yes</t>
        </is>
      </c>
      <c r="G1958" t="inlineStr">
        <is>
          <t>$5.9B (2024; projected $6.1B in 2025)</t>
        </is>
      </c>
      <c r="H1958" t="n">
        <v>6</v>
      </c>
      <c r="I1958" t="b">
        <v>0</v>
      </c>
      <c r="J1958" t="b">
        <v>1</v>
      </c>
      <c r="K1958" t="b">
        <v>0</v>
      </c>
      <c r="L1958" t="b">
        <v>0</v>
      </c>
      <c r="M1958" t="b">
        <v>0</v>
      </c>
      <c r="N1958">
        <f>IFERROR(INDEX('Company Hitlist'!$AA:$AA,MATCH(D1958,'Company Hitlist'!$A:$A,0)),)</f>
        <v/>
      </c>
      <c r="O1958">
        <f>IFERROR(INDEX('Company Hitlist'!$N:$N,MATCH(D1958,'Company Hitlist'!$A:$A,0)),)</f>
        <v/>
      </c>
      <c r="Q1958" t="inlineStr">
        <is>
          <t>todo</t>
        </is>
      </c>
    </row>
    <row r="1959">
      <c r="A1959" t="inlineStr">
        <is>
          <t>Mel Fish</t>
        </is>
      </c>
      <c r="B1959" t="inlineStr">
        <is>
          <t>Attendee</t>
        </is>
      </c>
      <c r="C1959" t="inlineStr">
        <is>
          <t>Founder &amp; CEO</t>
        </is>
      </c>
      <c r="D1959" t="inlineStr">
        <is>
          <t>Clairvista Partners</t>
        </is>
      </c>
      <c r="E1959" t="inlineStr">
        <is>
          <t>United States</t>
        </is>
      </c>
      <c r="H1959" t="n">
        <v>6</v>
      </c>
      <c r="I1959" t="b">
        <v>0</v>
      </c>
      <c r="J1959" t="b">
        <v>1</v>
      </c>
      <c r="K1959" t="b">
        <v>0</v>
      </c>
      <c r="L1959" t="b">
        <v>0</v>
      </c>
      <c r="M1959" t="b">
        <v>0</v>
      </c>
      <c r="N1959">
        <f>IFERROR(INDEX('Company Hitlist'!$AA:$AA,MATCH(D1959,'Company Hitlist'!$A:$A,0)),)</f>
        <v/>
      </c>
      <c r="O1959">
        <f>IFERROR(INDEX('Company Hitlist'!$N:$N,MATCH(D1959,'Company Hitlist'!$A:$A,0)),)</f>
        <v/>
      </c>
      <c r="Q1959" t="inlineStr">
        <is>
          <t>todo</t>
        </is>
      </c>
    </row>
    <row r="1960">
      <c r="A1960" t="inlineStr">
        <is>
          <t>Mohamed Amer</t>
        </is>
      </c>
      <c r="B1960" t="inlineStr">
        <is>
          <t>Attendee</t>
        </is>
      </c>
      <c r="C1960" t="inlineStr">
        <is>
          <t>CEO</t>
        </is>
      </c>
      <c r="D1960" t="inlineStr">
        <is>
          <t>Claryo</t>
        </is>
      </c>
      <c r="E1960" t="inlineStr">
        <is>
          <t>United States</t>
        </is>
      </c>
      <c r="F1960" t="inlineStr">
        <is>
          <t>Yes</t>
        </is>
      </c>
      <c r="H1960" t="n">
        <v>6</v>
      </c>
      <c r="I1960" t="b">
        <v>0</v>
      </c>
      <c r="J1960" t="b">
        <v>1</v>
      </c>
      <c r="K1960" t="b">
        <v>0</v>
      </c>
      <c r="L1960" t="b">
        <v>0</v>
      </c>
      <c r="M1960" t="b">
        <v>0</v>
      </c>
      <c r="N1960">
        <f>IFERROR(INDEX('Company Hitlist'!$AA:$AA,MATCH(D1960,'Company Hitlist'!$A:$A,0)),)</f>
        <v/>
      </c>
      <c r="O1960">
        <f>IFERROR(INDEX('Company Hitlist'!$N:$N,MATCH(D1960,'Company Hitlist'!$A:$A,0)),)</f>
        <v/>
      </c>
      <c r="Q1960" t="inlineStr">
        <is>
          <t>todo</t>
        </is>
      </c>
    </row>
    <row r="1961">
      <c r="A1961" t="inlineStr">
        <is>
          <t>Pierre Evreux</t>
        </is>
      </c>
      <c r="B1961" t="inlineStr">
        <is>
          <t>Attendee</t>
        </is>
      </c>
      <c r="C1961" t="inlineStr">
        <is>
          <t>COO</t>
        </is>
      </c>
      <c r="D1961" t="inlineStr">
        <is>
          <t>Claryo</t>
        </is>
      </c>
      <c r="E1961" t="inlineStr">
        <is>
          <t>United States</t>
        </is>
      </c>
      <c r="F1961" t="inlineStr">
        <is>
          <t>Yes</t>
        </is>
      </c>
      <c r="H1961" t="n">
        <v>6</v>
      </c>
      <c r="I1961" t="b">
        <v>0</v>
      </c>
      <c r="J1961" t="b">
        <v>1</v>
      </c>
      <c r="K1961" t="b">
        <v>0</v>
      </c>
      <c r="L1961" t="b">
        <v>0</v>
      </c>
      <c r="M1961" t="b">
        <v>0</v>
      </c>
      <c r="N1961">
        <f>IFERROR(INDEX('Company Hitlist'!$AA:$AA,MATCH(D1961,'Company Hitlist'!$A:$A,0)),)</f>
        <v/>
      </c>
      <c r="O1961">
        <f>IFERROR(INDEX('Company Hitlist'!$N:$N,MATCH(D1961,'Company Hitlist'!$A:$A,0)),)</f>
        <v/>
      </c>
      <c r="Q1961" t="inlineStr">
        <is>
          <t>todo</t>
        </is>
      </c>
    </row>
    <row r="1962">
      <c r="A1962" t="inlineStr">
        <is>
          <t>Jake Morrow</t>
        </is>
      </c>
      <c r="B1962" t="inlineStr">
        <is>
          <t>Attendee</t>
        </is>
      </c>
      <c r="C1962" t="inlineStr">
        <is>
          <t>COO</t>
        </is>
      </c>
      <c r="D1962" t="inlineStr">
        <is>
          <t>Clever Transco</t>
        </is>
      </c>
      <c r="F1962" t="inlineStr">
        <is>
          <t>Yes</t>
        </is>
      </c>
      <c r="H1962" t="n">
        <v>6</v>
      </c>
      <c r="I1962" t="b">
        <v>0</v>
      </c>
      <c r="J1962" t="b">
        <v>1</v>
      </c>
      <c r="K1962" t="b">
        <v>0</v>
      </c>
      <c r="L1962" t="b">
        <v>0</v>
      </c>
      <c r="M1962" t="b">
        <v>0</v>
      </c>
      <c r="N1962">
        <f>IFERROR(INDEX('Company Hitlist'!$AA:$AA,MATCH(D1962,'Company Hitlist'!$A:$A,0)),)</f>
        <v/>
      </c>
      <c r="O1962">
        <f>IFERROR(INDEX('Company Hitlist'!$N:$N,MATCH(D1962,'Company Hitlist'!$A:$A,0)),)</f>
        <v/>
      </c>
      <c r="Q1962" t="inlineStr">
        <is>
          <t>todo</t>
        </is>
      </c>
    </row>
    <row r="1963">
      <c r="A1963" t="inlineStr">
        <is>
          <t>Nicholas Nicholson</t>
        </is>
      </c>
      <c r="B1963" t="inlineStr">
        <is>
          <t>Attendee</t>
        </is>
      </c>
      <c r="C1963" t="inlineStr">
        <is>
          <t>CEO &amp; Founder</t>
        </is>
      </c>
      <c r="D1963" t="inlineStr">
        <is>
          <t>Clever Transco</t>
        </is>
      </c>
      <c r="F1963" t="inlineStr">
        <is>
          <t>Yes</t>
        </is>
      </c>
      <c r="H1963" t="n">
        <v>6</v>
      </c>
      <c r="I1963" t="b">
        <v>0</v>
      </c>
      <c r="J1963" t="b">
        <v>1</v>
      </c>
      <c r="K1963" t="b">
        <v>0</v>
      </c>
      <c r="L1963" t="b">
        <v>0</v>
      </c>
      <c r="M1963" t="b">
        <v>0</v>
      </c>
      <c r="N1963">
        <f>IFERROR(INDEX('Company Hitlist'!$AA:$AA,MATCH(D1963,'Company Hitlist'!$A:$A,0)),)</f>
        <v/>
      </c>
      <c r="O1963">
        <f>IFERROR(INDEX('Company Hitlist'!$N:$N,MATCH(D1963,'Company Hitlist'!$A:$A,0)),)</f>
        <v/>
      </c>
      <c r="Q1963" t="inlineStr">
        <is>
          <t>todo</t>
        </is>
      </c>
    </row>
    <row r="1964">
      <c r="A1964" t="inlineStr">
        <is>
          <t>Jon Battles</t>
        </is>
      </c>
      <c r="B1964" t="inlineStr">
        <is>
          <t>Attendee</t>
        </is>
      </c>
      <c r="C1964" t="inlineStr">
        <is>
          <t>VP of Technology</t>
        </is>
      </c>
      <c r="D1964" t="inlineStr">
        <is>
          <t>Cobot</t>
        </is>
      </c>
      <c r="E1964" t="inlineStr">
        <is>
          <t>United States</t>
        </is>
      </c>
      <c r="H1964" t="n">
        <v>6</v>
      </c>
      <c r="I1964" t="b">
        <v>0</v>
      </c>
      <c r="J1964" t="b">
        <v>1</v>
      </c>
      <c r="K1964" t="b">
        <v>0</v>
      </c>
      <c r="L1964" t="b">
        <v>0</v>
      </c>
      <c r="M1964" t="b">
        <v>0</v>
      </c>
      <c r="N1964">
        <f>IFERROR(INDEX('Company Hitlist'!$AA:$AA,MATCH(D1964,'Company Hitlist'!$A:$A,0)),)</f>
        <v/>
      </c>
      <c r="O1964">
        <f>IFERROR(INDEX('Company Hitlist'!$N:$N,MATCH(D1964,'Company Hitlist'!$A:$A,0)),)</f>
        <v/>
      </c>
      <c r="Q1964" t="inlineStr">
        <is>
          <t>todo</t>
        </is>
      </c>
    </row>
    <row r="1965">
      <c r="A1965" t="inlineStr">
        <is>
          <t>Matthew Haber</t>
        </is>
      </c>
      <c r="B1965" t="inlineStr">
        <is>
          <t>Attendee</t>
        </is>
      </c>
      <c r="C1965" t="inlineStr">
        <is>
          <t>CEO, Co-Founder</t>
        </is>
      </c>
      <c r="D1965" t="inlineStr">
        <is>
          <t>Cofactr</t>
        </is>
      </c>
      <c r="E1965" t="inlineStr">
        <is>
          <t>United States</t>
        </is>
      </c>
      <c r="F1965" t="inlineStr">
        <is>
          <t>Yes</t>
        </is>
      </c>
      <c r="H1965" t="n">
        <v>6</v>
      </c>
      <c r="I1965" t="b">
        <v>0</v>
      </c>
      <c r="J1965" t="b">
        <v>1</v>
      </c>
      <c r="K1965" t="b">
        <v>0</v>
      </c>
      <c r="L1965" t="b">
        <v>0</v>
      </c>
      <c r="M1965" t="b">
        <v>0</v>
      </c>
      <c r="N1965">
        <f>IFERROR(INDEX('Company Hitlist'!$AA:$AA,MATCH(D1965,'Company Hitlist'!$A:$A,0)),)</f>
        <v/>
      </c>
      <c r="O1965">
        <f>IFERROR(INDEX('Company Hitlist'!$N:$N,MATCH(D1965,'Company Hitlist'!$A:$A,0)),)</f>
        <v/>
      </c>
      <c r="Q1965" t="inlineStr">
        <is>
          <t>todo</t>
        </is>
      </c>
    </row>
    <row r="1966">
      <c r="A1966" t="inlineStr">
        <is>
          <t>Phillip Gulley</t>
        </is>
      </c>
      <c r="B1966" t="inlineStr">
        <is>
          <t>Attendee</t>
        </is>
      </c>
      <c r="C1966" t="inlineStr">
        <is>
          <t>CSO &amp; Co-Founder</t>
        </is>
      </c>
      <c r="D1966" t="inlineStr">
        <is>
          <t>Cofactr</t>
        </is>
      </c>
      <c r="E1966" t="inlineStr">
        <is>
          <t>United States</t>
        </is>
      </c>
      <c r="F1966" t="inlineStr">
        <is>
          <t>Yes</t>
        </is>
      </c>
      <c r="H1966" t="n">
        <v>6</v>
      </c>
      <c r="I1966" t="b">
        <v>0</v>
      </c>
      <c r="J1966" t="b">
        <v>1</v>
      </c>
      <c r="K1966" t="b">
        <v>0</v>
      </c>
      <c r="L1966" t="b">
        <v>0</v>
      </c>
      <c r="M1966" t="b">
        <v>0</v>
      </c>
      <c r="N1966">
        <f>IFERROR(INDEX('Company Hitlist'!$AA:$AA,MATCH(D1966,'Company Hitlist'!$A:$A,0)),)</f>
        <v/>
      </c>
      <c r="O1966">
        <f>IFERROR(INDEX('Company Hitlist'!$N:$N,MATCH(D1966,'Company Hitlist'!$A:$A,0)),)</f>
        <v/>
      </c>
      <c r="Q1966" t="inlineStr">
        <is>
          <t>todo</t>
        </is>
      </c>
    </row>
    <row r="1967">
      <c r="A1967" t="inlineStr">
        <is>
          <t>Matt Albertine</t>
        </is>
      </c>
      <c r="B1967" t="inlineStr">
        <is>
          <t>Attendee</t>
        </is>
      </c>
      <c r="C1967" t="inlineStr">
        <is>
          <t>Senior Vice President</t>
        </is>
      </c>
      <c r="D1967" t="inlineStr">
        <is>
          <t>Colliers International</t>
        </is>
      </c>
      <c r="E1967" t="inlineStr">
        <is>
          <t>Canada</t>
        </is>
      </c>
      <c r="H1967" t="n">
        <v>6</v>
      </c>
      <c r="I1967" t="b">
        <v>0</v>
      </c>
      <c r="J1967" t="b">
        <v>1</v>
      </c>
      <c r="K1967" t="b">
        <v>0</v>
      </c>
      <c r="L1967" t="b">
        <v>0</v>
      </c>
      <c r="M1967" t="b">
        <v>0</v>
      </c>
      <c r="N1967">
        <f>IFERROR(INDEX('Company Hitlist'!$AA:$AA,MATCH(D1967,'Company Hitlist'!$A:$A,0)),)</f>
        <v/>
      </c>
      <c r="O1967">
        <f>IFERROR(INDEX('Company Hitlist'!$N:$N,MATCH(D1967,'Company Hitlist'!$A:$A,0)),)</f>
        <v/>
      </c>
      <c r="Q1967" t="inlineStr">
        <is>
          <t>todo</t>
        </is>
      </c>
    </row>
    <row r="1968">
      <c r="A1968" t="inlineStr">
        <is>
          <t>Uren Dhanani</t>
        </is>
      </c>
      <c r="B1968" t="inlineStr">
        <is>
          <t>Attendee</t>
        </is>
      </c>
      <c r="C1968" t="inlineStr">
        <is>
          <t>SVP</t>
        </is>
      </c>
      <c r="D1968" t="inlineStr">
        <is>
          <t>ComCap</t>
        </is>
      </c>
      <c r="H1968" t="n">
        <v>6</v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  <c r="N1968">
        <f>IFERROR(INDEX('Company Hitlist'!$AA:$AA,MATCH(D1968,'Company Hitlist'!$A:$A,0)),)</f>
        <v/>
      </c>
      <c r="O1968">
        <f>IFERROR(INDEX('Company Hitlist'!$N:$N,MATCH(D1968,'Company Hitlist'!$A:$A,0)),)</f>
        <v/>
      </c>
      <c r="Q1968" t="inlineStr">
        <is>
          <t>todo</t>
        </is>
      </c>
    </row>
    <row r="1969">
      <c r="A1969" t="inlineStr">
        <is>
          <t>James Telson</t>
        </is>
      </c>
      <c r="B1969" t="inlineStr">
        <is>
          <t>Attendee</t>
        </is>
      </c>
      <c r="C1969" t="inlineStr">
        <is>
          <t>VP TechOps</t>
        </is>
      </c>
      <c r="D1969" t="inlineStr">
        <is>
          <t>Compass SCS</t>
        </is>
      </c>
      <c r="E1969" t="inlineStr">
        <is>
          <t>United States</t>
        </is>
      </c>
      <c r="H1969" t="n">
        <v>6</v>
      </c>
      <c r="I1969" t="b">
        <v>0</v>
      </c>
      <c r="J1969" t="b">
        <v>1</v>
      </c>
      <c r="K1969" t="b">
        <v>0</v>
      </c>
      <c r="L1969" t="b">
        <v>0</v>
      </c>
      <c r="M1969" t="b">
        <v>0</v>
      </c>
      <c r="N1969">
        <f>IFERROR(INDEX('Company Hitlist'!$AA:$AA,MATCH(D1969,'Company Hitlist'!$A:$A,0)),)</f>
        <v/>
      </c>
      <c r="O1969">
        <f>IFERROR(INDEX('Company Hitlist'!$N:$N,MATCH(D1969,'Company Hitlist'!$A:$A,0)),)</f>
        <v/>
      </c>
      <c r="Q1969" t="inlineStr">
        <is>
          <t>todo</t>
        </is>
      </c>
    </row>
    <row r="1970">
      <c r="A1970" t="inlineStr">
        <is>
          <t>David Niebach</t>
        </is>
      </c>
      <c r="B1970" t="inlineStr">
        <is>
          <t>Attendee</t>
        </is>
      </c>
      <c r="C1970" t="inlineStr">
        <is>
          <t>President &amp; CEO</t>
        </is>
      </c>
      <c r="D1970" t="inlineStr">
        <is>
          <t>Complete Shipping Solutions</t>
        </is>
      </c>
      <c r="E1970" t="inlineStr">
        <is>
          <t>Canada</t>
        </is>
      </c>
      <c r="F1970" t="inlineStr">
        <is>
          <t>Yes</t>
        </is>
      </c>
      <c r="H1970" t="n">
        <v>6</v>
      </c>
      <c r="I1970" t="b">
        <v>0</v>
      </c>
      <c r="J1970" t="b">
        <v>1</v>
      </c>
      <c r="K1970" t="b">
        <v>0</v>
      </c>
      <c r="L1970" t="b">
        <v>0</v>
      </c>
      <c r="M1970" t="b">
        <v>0</v>
      </c>
      <c r="N1970">
        <f>IFERROR(INDEX('Company Hitlist'!$AA:$AA,MATCH(D1970,'Company Hitlist'!$A:$A,0)),)</f>
        <v/>
      </c>
      <c r="O1970">
        <f>IFERROR(INDEX('Company Hitlist'!$N:$N,MATCH(D1970,'Company Hitlist'!$A:$A,0)),)</f>
        <v/>
      </c>
      <c r="Q1970" t="inlineStr">
        <is>
          <t>todo</t>
        </is>
      </c>
    </row>
    <row r="1971">
      <c r="A1971" t="inlineStr">
        <is>
          <t>Chris Cassidy</t>
        </is>
      </c>
      <c r="B1971" t="inlineStr">
        <is>
          <t>Attendee</t>
        </is>
      </c>
      <c r="C1971" t="inlineStr">
        <is>
          <t>CEO</t>
        </is>
      </c>
      <c r="D1971" t="inlineStr">
        <is>
          <t>ConData</t>
        </is>
      </c>
      <c r="E1971" t="inlineStr">
        <is>
          <t>United States</t>
        </is>
      </c>
      <c r="F1971" t="inlineStr">
        <is>
          <t>Yes</t>
        </is>
      </c>
      <c r="H1971" t="n">
        <v>6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  <c r="N1971">
        <f>IFERROR(INDEX('Company Hitlist'!$AA:$AA,MATCH(D1971,'Company Hitlist'!$A:$A,0)),)</f>
        <v/>
      </c>
      <c r="O1971">
        <f>IFERROR(INDEX('Company Hitlist'!$N:$N,MATCH(D1971,'Company Hitlist'!$A:$A,0)),)</f>
        <v/>
      </c>
      <c r="Q1971" t="inlineStr">
        <is>
          <t>todo</t>
        </is>
      </c>
    </row>
    <row r="1972">
      <c r="A1972" t="inlineStr">
        <is>
          <t>Brant Ring</t>
        </is>
      </c>
      <c r="B1972" t="inlineStr">
        <is>
          <t>Attendee</t>
        </is>
      </c>
      <c r="C1972" t="inlineStr">
        <is>
          <t>Chief Executive Officer</t>
        </is>
      </c>
      <c r="D1972" t="inlineStr">
        <is>
          <t>ConGlobal</t>
        </is>
      </c>
      <c r="F1972" t="inlineStr">
        <is>
          <t>Yes</t>
        </is>
      </c>
      <c r="H1972" t="n">
        <v>6</v>
      </c>
      <c r="I1972" t="b">
        <v>0</v>
      </c>
      <c r="J1972" t="b">
        <v>1</v>
      </c>
      <c r="K1972" t="b">
        <v>0</v>
      </c>
      <c r="L1972" t="b">
        <v>0</v>
      </c>
      <c r="M1972" t="b">
        <v>0</v>
      </c>
      <c r="N1972">
        <f>IFERROR(INDEX('Company Hitlist'!$AA:$AA,MATCH(D1972,'Company Hitlist'!$A:$A,0)),)</f>
        <v/>
      </c>
      <c r="O1972">
        <f>IFERROR(INDEX('Company Hitlist'!$N:$N,MATCH(D1972,'Company Hitlist'!$A:$A,0)),)</f>
        <v/>
      </c>
      <c r="Q1972" t="inlineStr">
        <is>
          <t>todo</t>
        </is>
      </c>
    </row>
    <row r="1973">
      <c r="A1973" t="inlineStr">
        <is>
          <t>Oded Damiani</t>
        </is>
      </c>
      <c r="B1973" t="inlineStr">
        <is>
          <t>Attendee</t>
        </is>
      </c>
      <c r="C1973" t="inlineStr">
        <is>
          <t>CTO</t>
        </is>
      </c>
      <c r="D1973" t="inlineStr">
        <is>
          <t>Concargo</t>
        </is>
      </c>
      <c r="E1973" t="inlineStr">
        <is>
          <t>Israel</t>
        </is>
      </c>
      <c r="F1973" t="inlineStr">
        <is>
          <t>Yes</t>
        </is>
      </c>
      <c r="H1973" t="n">
        <v>6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  <c r="N1973">
        <f>IFERROR(INDEX('Company Hitlist'!$AA:$AA,MATCH(D1973,'Company Hitlist'!$A:$A,0)),)</f>
        <v/>
      </c>
      <c r="O1973">
        <f>IFERROR(INDEX('Company Hitlist'!$N:$N,MATCH(D1973,'Company Hitlist'!$A:$A,0)),)</f>
        <v/>
      </c>
      <c r="Q1973" t="inlineStr">
        <is>
          <t>todo</t>
        </is>
      </c>
    </row>
    <row r="1974">
      <c r="A1974" t="inlineStr">
        <is>
          <t>Doug Malcolm</t>
        </is>
      </c>
      <c r="B1974" t="inlineStr">
        <is>
          <t>Attendee</t>
        </is>
      </c>
      <c r="C1974" t="inlineStr">
        <is>
          <t>VP, Corporate Dev &amp; Strategy</t>
        </is>
      </c>
      <c r="D1974" t="inlineStr">
        <is>
          <t>Congebec</t>
        </is>
      </c>
      <c r="E1974" t="inlineStr">
        <is>
          <t>Canada</t>
        </is>
      </c>
      <c r="H1974" t="n">
        <v>6</v>
      </c>
      <c r="I1974" t="b">
        <v>0</v>
      </c>
      <c r="J1974" t="b">
        <v>1</v>
      </c>
      <c r="K1974" t="b">
        <v>0</v>
      </c>
      <c r="L1974" t="b">
        <v>0</v>
      </c>
      <c r="M1974" t="b">
        <v>0</v>
      </c>
      <c r="N1974">
        <f>IFERROR(INDEX('Company Hitlist'!$AA:$AA,MATCH(D1974,'Company Hitlist'!$A:$A,0)),)</f>
        <v/>
      </c>
      <c r="O1974">
        <f>IFERROR(INDEX('Company Hitlist'!$N:$N,MATCH(D1974,'Company Hitlist'!$A:$A,0)),)</f>
        <v/>
      </c>
      <c r="Q1974" t="inlineStr">
        <is>
          <t>todo</t>
        </is>
      </c>
    </row>
    <row r="1975">
      <c r="A1975" t="inlineStr">
        <is>
          <t>Tim Ludwig</t>
        </is>
      </c>
      <c r="B1975" t="inlineStr">
        <is>
          <t>Attendee</t>
        </is>
      </c>
      <c r="C1975" t="inlineStr">
        <is>
          <t>Chief Commercial Officer</t>
        </is>
      </c>
      <c r="D1975" t="inlineStr">
        <is>
          <t>Congebec</t>
        </is>
      </c>
      <c r="E1975" t="inlineStr">
        <is>
          <t>Canada</t>
        </is>
      </c>
      <c r="H1975" t="n">
        <v>6</v>
      </c>
      <c r="I1975" t="b">
        <v>0</v>
      </c>
      <c r="J1975" t="b">
        <v>1</v>
      </c>
      <c r="K1975" t="b">
        <v>0</v>
      </c>
      <c r="L1975" t="b">
        <v>0</v>
      </c>
      <c r="M1975" t="b">
        <v>0</v>
      </c>
      <c r="N1975">
        <f>IFERROR(INDEX('Company Hitlist'!$AA:$AA,MATCH(D1975,'Company Hitlist'!$A:$A,0)),)</f>
        <v/>
      </c>
      <c r="O1975">
        <f>IFERROR(INDEX('Company Hitlist'!$N:$N,MATCH(D1975,'Company Hitlist'!$A:$A,0)),)</f>
        <v/>
      </c>
      <c r="Q1975" t="inlineStr">
        <is>
          <t>todo</t>
        </is>
      </c>
    </row>
    <row r="1976">
      <c r="A1976" t="inlineStr">
        <is>
          <t>Joey Palmer</t>
        </is>
      </c>
      <c r="B1976" t="inlineStr">
        <is>
          <t>Attendee</t>
        </is>
      </c>
      <c r="C1976" t="inlineStr">
        <is>
          <t>President, CPG &amp; Co-CEO, World Group</t>
        </is>
      </c>
      <c r="D1976" t="inlineStr">
        <is>
          <t>Container Port Group</t>
        </is>
      </c>
      <c r="E1976" t="inlineStr">
        <is>
          <t>United States</t>
        </is>
      </c>
      <c r="F1976" t="inlineStr">
        <is>
          <t>Yes</t>
        </is>
      </c>
      <c r="H1976" t="n">
        <v>6</v>
      </c>
      <c r="I1976" t="b">
        <v>0</v>
      </c>
      <c r="J1976" t="b">
        <v>1</v>
      </c>
      <c r="K1976" t="b">
        <v>0</v>
      </c>
      <c r="L1976" t="b">
        <v>0</v>
      </c>
      <c r="M1976" t="b">
        <v>0</v>
      </c>
      <c r="N1976">
        <f>IFERROR(INDEX('Company Hitlist'!$AA:$AA,MATCH(D1976,'Company Hitlist'!$A:$A,0)),)</f>
        <v/>
      </c>
      <c r="O1976">
        <f>IFERROR(INDEX('Company Hitlist'!$N:$N,MATCH(D1976,'Company Hitlist'!$A:$A,0)),)</f>
        <v/>
      </c>
      <c r="Q1976" t="inlineStr">
        <is>
          <t>todo</t>
        </is>
      </c>
    </row>
    <row r="1977">
      <c r="A1977" t="inlineStr">
        <is>
          <t>Joshua Conley</t>
        </is>
      </c>
      <c r="B1977" t="inlineStr">
        <is>
          <t>Attendee</t>
        </is>
      </c>
      <c r="C1977" t="inlineStr">
        <is>
          <t>General Manager</t>
        </is>
      </c>
      <c r="D1977" t="inlineStr">
        <is>
          <t>Coolbridge</t>
        </is>
      </c>
      <c r="H1977" t="n">
        <v>6</v>
      </c>
      <c r="I1977" t="b">
        <v>0</v>
      </c>
      <c r="J1977" t="b">
        <v>1</v>
      </c>
      <c r="K1977" t="b">
        <v>0</v>
      </c>
      <c r="L1977" t="b">
        <v>0</v>
      </c>
      <c r="M1977" t="b">
        <v>0</v>
      </c>
      <c r="N1977">
        <f>IFERROR(INDEX('Company Hitlist'!$AA:$AA,MATCH(D1977,'Company Hitlist'!$A:$A,0)),)</f>
        <v/>
      </c>
      <c r="O1977">
        <f>IFERROR(INDEX('Company Hitlist'!$N:$N,MATCH(D1977,'Company Hitlist'!$A:$A,0)),)</f>
        <v/>
      </c>
      <c r="Q1977" t="inlineStr">
        <is>
          <t>todo</t>
        </is>
      </c>
    </row>
    <row r="1978">
      <c r="A1978" t="inlineStr">
        <is>
          <t>Michael Cherney</t>
        </is>
      </c>
      <c r="B1978" t="inlineStr">
        <is>
          <t>Attendee</t>
        </is>
      </c>
      <c r="C1978" t="inlineStr">
        <is>
          <t>CEO</t>
        </is>
      </c>
      <c r="D1978" t="inlineStr">
        <is>
          <t>Cooler Logistics LLC</t>
        </is>
      </c>
      <c r="H1978" t="n">
        <v>6</v>
      </c>
      <c r="I1978" t="b">
        <v>0</v>
      </c>
      <c r="J1978" t="b">
        <v>1</v>
      </c>
      <c r="K1978" t="b">
        <v>0</v>
      </c>
      <c r="L1978" t="b">
        <v>0</v>
      </c>
      <c r="M1978" t="b">
        <v>0</v>
      </c>
      <c r="N1978">
        <f>IFERROR(INDEX('Company Hitlist'!$AA:$AA,MATCH(D1978,'Company Hitlist'!$A:$A,0)),)</f>
        <v/>
      </c>
      <c r="O1978">
        <f>IFERROR(INDEX('Company Hitlist'!$N:$N,MATCH(D1978,'Company Hitlist'!$A:$A,0)),)</f>
        <v/>
      </c>
      <c r="Q1978" t="inlineStr">
        <is>
          <t>todo</t>
        </is>
      </c>
    </row>
    <row r="1979">
      <c r="A1979" t="inlineStr">
        <is>
          <t>Greg Hakim</t>
        </is>
      </c>
      <c r="B1979" t="inlineStr">
        <is>
          <t>Attendee</t>
        </is>
      </c>
      <c r="C1979" t="inlineStr">
        <is>
          <t>CEO</t>
        </is>
      </c>
      <c r="D1979" t="inlineStr">
        <is>
          <t>Corporate Ink</t>
        </is>
      </c>
      <c r="E1979" t="inlineStr">
        <is>
          <t>United States</t>
        </is>
      </c>
      <c r="H1979" t="n">
        <v>6</v>
      </c>
      <c r="I1979" t="b">
        <v>0</v>
      </c>
      <c r="J1979" t="b">
        <v>1</v>
      </c>
      <c r="K1979" t="b">
        <v>0</v>
      </c>
      <c r="L1979" t="b">
        <v>0</v>
      </c>
      <c r="M1979" t="b">
        <v>0</v>
      </c>
      <c r="N1979">
        <f>IFERROR(INDEX('Company Hitlist'!$AA:$AA,MATCH(D1979,'Company Hitlist'!$A:$A,0)),)</f>
        <v/>
      </c>
      <c r="O1979">
        <f>IFERROR(INDEX('Company Hitlist'!$N:$N,MATCH(D1979,'Company Hitlist'!$A:$A,0)),)</f>
        <v/>
      </c>
      <c r="Q1979" t="inlineStr">
        <is>
          <t>todo</t>
        </is>
      </c>
    </row>
    <row r="1980">
      <c r="A1980" t="inlineStr">
        <is>
          <t>Victoria Stevenson</t>
        </is>
      </c>
      <c r="B1980" t="inlineStr">
        <is>
          <t>Attendee</t>
        </is>
      </c>
      <c r="C1980" t="inlineStr">
        <is>
          <t>Vice President</t>
        </is>
      </c>
      <c r="D1980" t="inlineStr">
        <is>
          <t>Corporate Ink</t>
        </is>
      </c>
      <c r="E1980" t="inlineStr">
        <is>
          <t>United States</t>
        </is>
      </c>
      <c r="H1980" t="n">
        <v>6</v>
      </c>
      <c r="I1980" t="b">
        <v>0</v>
      </c>
      <c r="J1980" t="b">
        <v>1</v>
      </c>
      <c r="K1980" t="b">
        <v>0</v>
      </c>
      <c r="L1980" t="b">
        <v>0</v>
      </c>
      <c r="M1980" t="b">
        <v>0</v>
      </c>
      <c r="N1980">
        <f>IFERROR(INDEX('Company Hitlist'!$AA:$AA,MATCH(D1980,'Company Hitlist'!$A:$A,0)),)</f>
        <v/>
      </c>
      <c r="O1980">
        <f>IFERROR(INDEX('Company Hitlist'!$N:$N,MATCH(D1980,'Company Hitlist'!$A:$A,0)),)</f>
        <v/>
      </c>
      <c r="Q1980" t="inlineStr">
        <is>
          <t>todo</t>
        </is>
      </c>
    </row>
    <row r="1981">
      <c r="A1981" t="inlineStr">
        <is>
          <t>James Wiley</t>
        </is>
      </c>
      <c r="B1981" t="inlineStr">
        <is>
          <t>Attendee</t>
        </is>
      </c>
      <c r="C1981" t="inlineStr">
        <is>
          <t>Principle / COO</t>
        </is>
      </c>
      <c r="D1981" t="inlineStr">
        <is>
          <t>Counter Forced Labor Technology</t>
        </is>
      </c>
      <c r="E1981" t="inlineStr">
        <is>
          <t>United States</t>
        </is>
      </c>
      <c r="F1981" t="inlineStr">
        <is>
          <t>Yes</t>
        </is>
      </c>
      <c r="H1981" t="n">
        <v>6</v>
      </c>
      <c r="I1981" t="b">
        <v>0</v>
      </c>
      <c r="J1981" t="b">
        <v>1</v>
      </c>
      <c r="K1981" t="b">
        <v>0</v>
      </c>
      <c r="L1981" t="b">
        <v>0</v>
      </c>
      <c r="M1981" t="b">
        <v>0</v>
      </c>
      <c r="N1981">
        <f>IFERROR(INDEX('Company Hitlist'!$AA:$AA,MATCH(D1981,'Company Hitlist'!$A:$A,0)),)</f>
        <v/>
      </c>
      <c r="O1981">
        <f>IFERROR(INDEX('Company Hitlist'!$N:$N,MATCH(D1981,'Company Hitlist'!$A:$A,0)),)</f>
        <v/>
      </c>
      <c r="Q1981" t="inlineStr">
        <is>
          <t>todo</t>
        </is>
      </c>
    </row>
    <row r="1982">
      <c r="A1982" t="inlineStr">
        <is>
          <t>Tyson Wimberly</t>
        </is>
      </c>
      <c r="B1982" t="inlineStr">
        <is>
          <t>Attendee</t>
        </is>
      </c>
      <c r="C1982" t="inlineStr">
        <is>
          <t>Senior Vice President</t>
        </is>
      </c>
      <c r="D1982" t="inlineStr">
        <is>
          <t>Covenant Logistics</t>
        </is>
      </c>
      <c r="E1982" t="inlineStr">
        <is>
          <t>United States</t>
        </is>
      </c>
      <c r="F1982" t="inlineStr">
        <is>
          <t>Yes</t>
        </is>
      </c>
      <c r="G1982" t="inlineStr">
        <is>
          <t>$1.1B (2024; projected $1.2B in 2025)</t>
        </is>
      </c>
      <c r="H1982" t="n">
        <v>6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  <c r="N1982">
        <f>IFERROR(INDEX('Company Hitlist'!$AA:$AA,MATCH(D1982,'Company Hitlist'!$A:$A,0)),)</f>
        <v/>
      </c>
      <c r="O1982">
        <f>IFERROR(INDEX('Company Hitlist'!$N:$N,MATCH(D1982,'Company Hitlist'!$A:$A,0)),)</f>
        <v/>
      </c>
      <c r="Q1982" t="inlineStr">
        <is>
          <t>todo</t>
        </is>
      </c>
    </row>
    <row r="1983">
      <c r="A1983" t="inlineStr">
        <is>
          <t>Dustin Koehl</t>
        </is>
      </c>
      <c r="B1983" t="inlineStr">
        <is>
          <t>Attendee</t>
        </is>
      </c>
      <c r="C1983" t="inlineStr">
        <is>
          <t>COO</t>
        </is>
      </c>
      <c r="D1983" t="inlineStr">
        <is>
          <t>Covenant Logistics</t>
        </is>
      </c>
      <c r="F1983" t="inlineStr">
        <is>
          <t>Yes</t>
        </is>
      </c>
      <c r="G1983" t="inlineStr">
        <is>
          <t>$1.1B (2024; projected $1.2B in 2025)</t>
        </is>
      </c>
      <c r="H1983" t="n">
        <v>6</v>
      </c>
      <c r="I1983" t="b">
        <v>0</v>
      </c>
      <c r="J1983" t="b">
        <v>1</v>
      </c>
      <c r="K1983" t="b">
        <v>0</v>
      </c>
      <c r="L1983" t="b">
        <v>0</v>
      </c>
      <c r="M1983" t="b">
        <v>0</v>
      </c>
      <c r="N1983">
        <f>IFERROR(INDEX('Company Hitlist'!$AA:$AA,MATCH(D1983,'Company Hitlist'!$A:$A,0)),)</f>
        <v/>
      </c>
      <c r="O1983">
        <f>IFERROR(INDEX('Company Hitlist'!$N:$N,MATCH(D1983,'Company Hitlist'!$A:$A,0)),)</f>
        <v/>
      </c>
      <c r="Q1983" t="inlineStr">
        <is>
          <t>todo</t>
        </is>
      </c>
    </row>
    <row r="1984">
      <c r="A1984" t="inlineStr">
        <is>
          <t>John Kreller</t>
        </is>
      </c>
      <c r="B1984" t="inlineStr">
        <is>
          <t>Attendee</t>
        </is>
      </c>
      <c r="C1984" t="inlineStr">
        <is>
          <t>General Manager</t>
        </is>
      </c>
      <c r="D1984" t="inlineStr">
        <is>
          <t>Crafty</t>
        </is>
      </c>
      <c r="H1984" t="n">
        <v>6</v>
      </c>
      <c r="I1984" t="b">
        <v>0</v>
      </c>
      <c r="J1984" t="b">
        <v>1</v>
      </c>
      <c r="K1984" t="b">
        <v>0</v>
      </c>
      <c r="L1984" t="b">
        <v>0</v>
      </c>
      <c r="M1984" t="b">
        <v>0</v>
      </c>
      <c r="N1984">
        <f>IFERROR(INDEX('Company Hitlist'!$AA:$AA,MATCH(D1984,'Company Hitlist'!$A:$A,0)),)</f>
        <v/>
      </c>
      <c r="O1984">
        <f>IFERROR(INDEX('Company Hitlist'!$N:$N,MATCH(D1984,'Company Hitlist'!$A:$A,0)),)</f>
        <v/>
      </c>
      <c r="Q1984" t="inlineStr">
        <is>
          <t>todo</t>
        </is>
      </c>
    </row>
    <row r="1985">
      <c r="A1985" t="inlineStr">
        <is>
          <t>Dylan Ross</t>
        </is>
      </c>
      <c r="B1985" t="inlineStr">
        <is>
          <t>Attendee</t>
        </is>
      </c>
      <c r="C1985" t="inlineStr">
        <is>
          <t>CFO</t>
        </is>
      </c>
      <c r="D1985" t="inlineStr">
        <is>
          <t>Crane Worldwide Logistics</t>
        </is>
      </c>
      <c r="F1985" t="inlineStr">
        <is>
          <t>Yes</t>
        </is>
      </c>
      <c r="G1985" t="inlineStr">
        <is>
          <t>1000000000</t>
        </is>
      </c>
      <c r="H1985" t="n">
        <v>6</v>
      </c>
      <c r="I1985" t="b">
        <v>0</v>
      </c>
      <c r="J1985" t="b">
        <v>1</v>
      </c>
      <c r="K1985" t="b">
        <v>0</v>
      </c>
      <c r="L1985" t="b">
        <v>0</v>
      </c>
      <c r="M1985" t="b">
        <v>0</v>
      </c>
      <c r="N1985">
        <f>IFERROR(INDEX('Company Hitlist'!$AA:$AA,MATCH(D1985,'Company Hitlist'!$A:$A,0)),)</f>
        <v/>
      </c>
      <c r="O1985">
        <f>IFERROR(INDEX('Company Hitlist'!$N:$N,MATCH(D1985,'Company Hitlist'!$A:$A,0)),)</f>
        <v/>
      </c>
      <c r="Q1985" t="inlineStr">
        <is>
          <t>todo</t>
        </is>
      </c>
    </row>
    <row r="1986">
      <c r="A1986" t="inlineStr">
        <is>
          <t>Jared Crane</t>
        </is>
      </c>
      <c r="B1986" t="inlineStr">
        <is>
          <t>Attendee</t>
        </is>
      </c>
      <c r="C1986" t="inlineStr">
        <is>
          <t>CEO</t>
        </is>
      </c>
      <c r="D1986" t="inlineStr">
        <is>
          <t>Crane Worldwide Logistics</t>
        </is>
      </c>
      <c r="F1986" t="inlineStr">
        <is>
          <t>Yes</t>
        </is>
      </c>
      <c r="G1986" t="inlineStr">
        <is>
          <t>1000000000</t>
        </is>
      </c>
      <c r="H1986" t="n">
        <v>6</v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  <c r="N1986">
        <f>IFERROR(INDEX('Company Hitlist'!$AA:$AA,MATCH(D1986,'Company Hitlist'!$A:$A,0)),)</f>
        <v/>
      </c>
      <c r="O1986">
        <f>IFERROR(INDEX('Company Hitlist'!$N:$N,MATCH(D1986,'Company Hitlist'!$A:$A,0)),)</f>
        <v/>
      </c>
      <c r="Q1986" t="inlineStr">
        <is>
          <t>todo</t>
        </is>
      </c>
    </row>
    <row r="1987">
      <c r="A1987" t="inlineStr">
        <is>
          <t>Lisa Douglas</t>
        </is>
      </c>
      <c r="B1987" t="inlineStr">
        <is>
          <t>Attendee</t>
        </is>
      </c>
      <c r="C1987" t="inlineStr">
        <is>
          <t>President</t>
        </is>
      </c>
      <c r="D1987" t="inlineStr">
        <is>
          <t>Crosstown Couriers</t>
        </is>
      </c>
      <c r="E1987" t="inlineStr">
        <is>
          <t>United States</t>
        </is>
      </c>
      <c r="F1987" t="inlineStr">
        <is>
          <t>Yes</t>
        </is>
      </c>
      <c r="H1987" t="n">
        <v>6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>
        <f>IFERROR(INDEX('Company Hitlist'!$AA:$AA,MATCH(D1987,'Company Hitlist'!$A:$A,0)),)</f>
        <v/>
      </c>
      <c r="O1987">
        <f>IFERROR(INDEX('Company Hitlist'!$N:$N,MATCH(D1987,'Company Hitlist'!$A:$A,0)),)</f>
        <v/>
      </c>
      <c r="Q1987" t="inlineStr">
        <is>
          <t>todo</t>
        </is>
      </c>
    </row>
    <row r="1988">
      <c r="A1988" t="inlineStr">
        <is>
          <t>Giovanni Gubbels</t>
        </is>
      </c>
      <c r="B1988" t="inlineStr">
        <is>
          <t>Attendee</t>
        </is>
      </c>
      <c r="C1988" t="inlineStr">
        <is>
          <t>CEO &amp; Founder</t>
        </is>
      </c>
      <c r="D1988" t="inlineStr">
        <is>
          <t>CtrlChain</t>
        </is>
      </c>
      <c r="E1988" t="inlineStr">
        <is>
          <t>United States</t>
        </is>
      </c>
      <c r="F1988" t="inlineStr">
        <is>
          <t>Yes</t>
        </is>
      </c>
      <c r="H1988" t="n">
        <v>6</v>
      </c>
      <c r="I1988" t="b">
        <v>0</v>
      </c>
      <c r="J1988" t="b">
        <v>1</v>
      </c>
      <c r="K1988" t="b">
        <v>0</v>
      </c>
      <c r="L1988" t="b">
        <v>0</v>
      </c>
      <c r="M1988" t="b">
        <v>0</v>
      </c>
      <c r="N1988">
        <f>IFERROR(INDEX('Company Hitlist'!$AA:$AA,MATCH(D1988,'Company Hitlist'!$A:$A,0)),)</f>
        <v/>
      </c>
      <c r="O1988">
        <f>IFERROR(INDEX('Company Hitlist'!$N:$N,MATCH(D1988,'Company Hitlist'!$A:$A,0)),)</f>
        <v/>
      </c>
      <c r="Q1988" t="inlineStr">
        <is>
          <t>todo</t>
        </is>
      </c>
    </row>
    <row r="1989">
      <c r="A1989" t="inlineStr">
        <is>
          <t>Jason Ferritto</t>
        </is>
      </c>
      <c r="B1989" t="inlineStr">
        <is>
          <t>Attendee</t>
        </is>
      </c>
      <c r="C1989" t="inlineStr">
        <is>
          <t>Vice President - Brokerage</t>
        </is>
      </c>
      <c r="D1989" t="inlineStr">
        <is>
          <t>Culinary Logistics</t>
        </is>
      </c>
      <c r="F1989" t="inlineStr">
        <is>
          <t>Yes</t>
        </is>
      </c>
      <c r="H1989" t="n">
        <v>6</v>
      </c>
      <c r="I1989" t="b">
        <v>0</v>
      </c>
      <c r="J1989" t="b">
        <v>1</v>
      </c>
      <c r="K1989" t="b">
        <v>0</v>
      </c>
      <c r="L1989" t="b">
        <v>0</v>
      </c>
      <c r="M1989" t="b">
        <v>0</v>
      </c>
      <c r="N1989">
        <f>IFERROR(INDEX('Company Hitlist'!$AA:$AA,MATCH(D1989,'Company Hitlist'!$A:$A,0)),)</f>
        <v/>
      </c>
      <c r="O1989">
        <f>IFERROR(INDEX('Company Hitlist'!$N:$N,MATCH(D1989,'Company Hitlist'!$A:$A,0)),)</f>
        <v/>
      </c>
      <c r="Q1989" t="inlineStr">
        <is>
          <t>todo</t>
        </is>
      </c>
    </row>
    <row r="1990">
      <c r="A1990" t="inlineStr">
        <is>
          <t>Steve Howard</t>
        </is>
      </c>
      <c r="B1990" t="inlineStr">
        <is>
          <t>Attendee</t>
        </is>
      </c>
      <c r="C1990" t="inlineStr">
        <is>
          <t>President</t>
        </is>
      </c>
      <c r="D1990" t="inlineStr">
        <is>
          <t>Culinary Logistics</t>
        </is>
      </c>
      <c r="F1990" t="inlineStr">
        <is>
          <t>Yes</t>
        </is>
      </c>
      <c r="H1990" t="n">
        <v>6</v>
      </c>
      <c r="I1990" t="b">
        <v>0</v>
      </c>
      <c r="J1990" t="b">
        <v>1</v>
      </c>
      <c r="K1990" t="b">
        <v>0</v>
      </c>
      <c r="L1990" t="b">
        <v>0</v>
      </c>
      <c r="M1990" t="b">
        <v>0</v>
      </c>
      <c r="N1990">
        <f>IFERROR(INDEX('Company Hitlist'!$AA:$AA,MATCH(D1990,'Company Hitlist'!$A:$A,0)),)</f>
        <v/>
      </c>
      <c r="O1990">
        <f>IFERROR(INDEX('Company Hitlist'!$N:$N,MATCH(D1990,'Company Hitlist'!$A:$A,0)),)</f>
        <v/>
      </c>
      <c r="Q1990" t="inlineStr">
        <is>
          <t>todo</t>
        </is>
      </c>
    </row>
    <row r="1991">
      <c r="A1991" t="inlineStr">
        <is>
          <t>Ben Harris</t>
        </is>
      </c>
      <c r="B1991" t="inlineStr">
        <is>
          <t>Attendee</t>
        </is>
      </c>
      <c r="C1991" t="inlineStr">
        <is>
          <t>Head of Industrial Consulting</t>
        </is>
      </c>
      <c r="D1991" t="inlineStr">
        <is>
          <t>Cushman &amp; Wakefield</t>
        </is>
      </c>
      <c r="E1991" t="inlineStr">
        <is>
          <t>United States</t>
        </is>
      </c>
      <c r="H1991" t="n">
        <v>6</v>
      </c>
      <c r="I1991" t="b">
        <v>0</v>
      </c>
      <c r="J1991" t="b">
        <v>1</v>
      </c>
      <c r="K1991" t="b">
        <v>0</v>
      </c>
      <c r="L1991" t="b">
        <v>0</v>
      </c>
      <c r="M1991" t="b">
        <v>0</v>
      </c>
      <c r="N1991">
        <f>IFERROR(INDEX('Company Hitlist'!$AA:$AA,MATCH(D1991,'Company Hitlist'!$A:$A,0)),)</f>
        <v/>
      </c>
      <c r="O1991">
        <f>IFERROR(INDEX('Company Hitlist'!$N:$N,MATCH(D1991,'Company Hitlist'!$A:$A,0)),)</f>
        <v/>
      </c>
      <c r="Q1991" t="inlineStr">
        <is>
          <t>todo</t>
        </is>
      </c>
    </row>
    <row r="1992">
      <c r="A1992" t="inlineStr">
        <is>
          <t>Bill Driegert</t>
        </is>
      </c>
      <c r="B1992" t="inlineStr">
        <is>
          <t>Attendee</t>
        </is>
      </c>
      <c r="C1992" t="inlineStr">
        <is>
          <t>EVP, Convoy Platform</t>
        </is>
      </c>
      <c r="D1992" t="inlineStr">
        <is>
          <t>DAT Freight &amp; Analytics</t>
        </is>
      </c>
      <c r="E1992" t="inlineStr">
        <is>
          <t>United States</t>
        </is>
      </c>
      <c r="F1992" t="inlineStr">
        <is>
          <t>Yes</t>
        </is>
      </c>
      <c r="G1992" t="inlineStr">
        <is>
          <t>$105 million (2025)</t>
        </is>
      </c>
      <c r="H1992" t="n">
        <v>6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  <c r="N1992">
        <f>IFERROR(INDEX('Company Hitlist'!$AA:$AA,MATCH(D1992,'Company Hitlist'!$A:$A,0)),)</f>
        <v/>
      </c>
      <c r="O1992">
        <f>IFERROR(INDEX('Company Hitlist'!$N:$N,MATCH(D1992,'Company Hitlist'!$A:$A,0)),)</f>
        <v/>
      </c>
      <c r="Q1992" t="inlineStr">
        <is>
          <t>todo</t>
        </is>
      </c>
    </row>
    <row r="1993">
      <c r="A1993" t="inlineStr">
        <is>
          <t>Marcus Womack</t>
        </is>
      </c>
      <c r="B1993" t="inlineStr">
        <is>
          <t>Attendee</t>
        </is>
      </c>
      <c r="C1993" t="inlineStr">
        <is>
          <t>CEO, Outgo</t>
        </is>
      </c>
      <c r="D1993" t="inlineStr">
        <is>
          <t>DAT Freight &amp; Analytics</t>
        </is>
      </c>
      <c r="E1993" t="inlineStr">
        <is>
          <t>United States</t>
        </is>
      </c>
      <c r="F1993" t="inlineStr">
        <is>
          <t>Yes</t>
        </is>
      </c>
      <c r="G1993" t="inlineStr">
        <is>
          <t>$105 million (2025)</t>
        </is>
      </c>
      <c r="H1993" t="n">
        <v>6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  <c r="N1993">
        <f>IFERROR(INDEX('Company Hitlist'!$AA:$AA,MATCH(D1993,'Company Hitlist'!$A:$A,0)),)</f>
        <v/>
      </c>
      <c r="O1993">
        <f>IFERROR(INDEX('Company Hitlist'!$N:$N,MATCH(D1993,'Company Hitlist'!$A:$A,0)),)</f>
        <v/>
      </c>
      <c r="Q1993" t="inlineStr">
        <is>
          <t>todo</t>
        </is>
      </c>
    </row>
    <row r="1994">
      <c r="A1994" t="inlineStr">
        <is>
          <t>Ray Fortna</t>
        </is>
      </c>
      <c r="B1994" t="inlineStr">
        <is>
          <t>Attendee</t>
        </is>
      </c>
      <c r="C1994" t="inlineStr">
        <is>
          <t>Chief Product Officer - Outgo</t>
        </is>
      </c>
      <c r="D1994" t="inlineStr">
        <is>
          <t>DAT Freight &amp; Analytics</t>
        </is>
      </c>
      <c r="E1994" t="inlineStr">
        <is>
          <t>United States</t>
        </is>
      </c>
      <c r="F1994" t="inlineStr">
        <is>
          <t>Yes</t>
        </is>
      </c>
      <c r="G1994" t="inlineStr">
        <is>
          <t>$105 million (2025)</t>
        </is>
      </c>
      <c r="H1994" t="n">
        <v>6</v>
      </c>
      <c r="I1994" t="b">
        <v>0</v>
      </c>
      <c r="J1994" t="b">
        <v>1</v>
      </c>
      <c r="K1994" t="b">
        <v>0</v>
      </c>
      <c r="L1994" t="b">
        <v>0</v>
      </c>
      <c r="M1994" t="b">
        <v>0</v>
      </c>
      <c r="N1994">
        <f>IFERROR(INDEX('Company Hitlist'!$AA:$AA,MATCH(D1994,'Company Hitlist'!$A:$A,0)),)</f>
        <v/>
      </c>
      <c r="O1994">
        <f>IFERROR(INDEX('Company Hitlist'!$N:$N,MATCH(D1994,'Company Hitlist'!$A:$A,0)),)</f>
        <v/>
      </c>
      <c r="Q1994" t="inlineStr">
        <is>
          <t>todo</t>
        </is>
      </c>
    </row>
    <row r="1995">
      <c r="A1995" t="inlineStr">
        <is>
          <t>Doug Parks</t>
        </is>
      </c>
      <c r="B1995" t="inlineStr">
        <is>
          <t>Attendee</t>
        </is>
      </c>
      <c r="C1995" t="inlineStr">
        <is>
          <t>President</t>
        </is>
      </c>
      <c r="D1995" t="inlineStr">
        <is>
          <t>DBP Logistics Advisory</t>
        </is>
      </c>
      <c r="E1995" t="inlineStr">
        <is>
          <t>United States</t>
        </is>
      </c>
      <c r="H1995" t="n">
        <v>6</v>
      </c>
      <c r="I1995" t="b">
        <v>0</v>
      </c>
      <c r="J1995" t="b">
        <v>1</v>
      </c>
      <c r="K1995" t="b">
        <v>0</v>
      </c>
      <c r="L1995" t="b">
        <v>0</v>
      </c>
      <c r="M1995" t="b">
        <v>0</v>
      </c>
      <c r="N1995">
        <f>IFERROR(INDEX('Company Hitlist'!$AA:$AA,MATCH(D1995,'Company Hitlist'!$A:$A,0)),)</f>
        <v/>
      </c>
      <c r="O1995">
        <f>IFERROR(INDEX('Company Hitlist'!$N:$N,MATCH(D1995,'Company Hitlist'!$A:$A,0)),)</f>
        <v/>
      </c>
      <c r="Q1995" t="inlineStr">
        <is>
          <t>todo</t>
        </is>
      </c>
    </row>
    <row r="1996">
      <c r="A1996" t="inlineStr">
        <is>
          <t>Shawn Compton</t>
        </is>
      </c>
      <c r="B1996" t="inlineStr">
        <is>
          <t>Attendee</t>
        </is>
      </c>
      <c r="C1996" t="inlineStr">
        <is>
          <t>Vice President</t>
        </is>
      </c>
      <c r="D1996" t="inlineStr">
        <is>
          <t>DCL Logistics</t>
        </is>
      </c>
      <c r="E1996" t="inlineStr">
        <is>
          <t>United States</t>
        </is>
      </c>
      <c r="F1996" t="inlineStr">
        <is>
          <t>Yes</t>
        </is>
      </c>
      <c r="H1996" t="n">
        <v>6</v>
      </c>
      <c r="I1996" t="b">
        <v>0</v>
      </c>
      <c r="J1996" t="b">
        <v>1</v>
      </c>
      <c r="K1996" t="b">
        <v>0</v>
      </c>
      <c r="L1996" t="b">
        <v>0</v>
      </c>
      <c r="M1996" t="b">
        <v>0</v>
      </c>
      <c r="N1996">
        <f>IFERROR(INDEX('Company Hitlist'!$AA:$AA,MATCH(D1996,'Company Hitlist'!$A:$A,0)),)</f>
        <v/>
      </c>
      <c r="O1996">
        <f>IFERROR(INDEX('Company Hitlist'!$N:$N,MATCH(D1996,'Company Hitlist'!$A:$A,0)),)</f>
        <v/>
      </c>
      <c r="Q1996" t="inlineStr">
        <is>
          <t>todo</t>
        </is>
      </c>
    </row>
    <row r="1997">
      <c r="A1997" t="inlineStr">
        <is>
          <t>Charley Walker</t>
        </is>
      </c>
      <c r="B1997" t="inlineStr">
        <is>
          <t>Attendee</t>
        </is>
      </c>
      <c r="C1997" t="inlineStr">
        <is>
          <t>COO</t>
        </is>
      </c>
      <c r="D1997" t="inlineStr">
        <is>
          <t>DSS Final Mile</t>
        </is>
      </c>
      <c r="E1997" t="inlineStr">
        <is>
          <t>United States</t>
        </is>
      </c>
      <c r="F1997" t="inlineStr">
        <is>
          <t>Yes</t>
        </is>
      </c>
      <c r="H1997" t="n">
        <v>6</v>
      </c>
      <c r="I1997" t="b">
        <v>0</v>
      </c>
      <c r="J1997" t="b">
        <v>1</v>
      </c>
      <c r="K1997" t="b">
        <v>0</v>
      </c>
      <c r="L1997" t="b">
        <v>0</v>
      </c>
      <c r="M1997" t="b">
        <v>0</v>
      </c>
      <c r="N1997">
        <f>IFERROR(INDEX('Company Hitlist'!$AA:$AA,MATCH(D1997,'Company Hitlist'!$A:$A,0)),)</f>
        <v/>
      </c>
      <c r="O1997">
        <f>IFERROR(INDEX('Company Hitlist'!$N:$N,MATCH(D1997,'Company Hitlist'!$A:$A,0)),)</f>
        <v/>
      </c>
      <c r="Q1997" t="inlineStr">
        <is>
          <t>todo</t>
        </is>
      </c>
    </row>
    <row r="1998">
      <c r="A1998" t="inlineStr">
        <is>
          <t>Mike Bedwell</t>
        </is>
      </c>
      <c r="B1998" t="inlineStr">
        <is>
          <t>Attendee</t>
        </is>
      </c>
      <c r="C1998" t="inlineStr">
        <is>
          <t>CEO</t>
        </is>
      </c>
      <c r="D1998" t="inlineStr">
        <is>
          <t>DSS Last Mile Solutions</t>
        </is>
      </c>
      <c r="F1998" t="inlineStr">
        <is>
          <t>Yes</t>
        </is>
      </c>
      <c r="H1998" t="n">
        <v>6</v>
      </c>
      <c r="I1998" t="b">
        <v>0</v>
      </c>
      <c r="J1998" t="b">
        <v>1</v>
      </c>
      <c r="K1998" t="b">
        <v>0</v>
      </c>
      <c r="L1998" t="b">
        <v>0</v>
      </c>
      <c r="M1998" t="b">
        <v>0</v>
      </c>
      <c r="N1998">
        <f>IFERROR(INDEX('Company Hitlist'!$AA:$AA,MATCH(D1998,'Company Hitlist'!$A:$A,0)),)</f>
        <v/>
      </c>
      <c r="O1998">
        <f>IFERROR(INDEX('Company Hitlist'!$N:$N,MATCH(D1998,'Company Hitlist'!$A:$A,0)),)</f>
        <v/>
      </c>
      <c r="Q1998" t="inlineStr">
        <is>
          <t>todo</t>
        </is>
      </c>
    </row>
    <row r="1999">
      <c r="A1999" t="inlineStr">
        <is>
          <t>Fabiana Nakai</t>
        </is>
      </c>
      <c r="B1999" t="inlineStr">
        <is>
          <t>Attendee</t>
        </is>
      </c>
      <c r="C1999" t="inlineStr">
        <is>
          <t>VP of Multi-National Accounts</t>
        </is>
      </c>
      <c r="D1999" t="inlineStr">
        <is>
          <t>DSV</t>
        </is>
      </c>
      <c r="E1999" t="inlineStr">
        <is>
          <t>United States</t>
        </is>
      </c>
      <c r="F1999" t="inlineStr">
        <is>
          <t>Yes</t>
        </is>
      </c>
      <c r="H1999" t="n">
        <v>6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  <c r="N1999">
        <f>IFERROR(INDEX('Company Hitlist'!$AA:$AA,MATCH(D1999,'Company Hitlist'!$A:$A,0)),)</f>
        <v/>
      </c>
      <c r="O1999">
        <f>IFERROR(INDEX('Company Hitlist'!$N:$N,MATCH(D1999,'Company Hitlist'!$A:$A,0)),)</f>
        <v/>
      </c>
      <c r="Q1999" t="inlineStr">
        <is>
          <t>todo</t>
        </is>
      </c>
    </row>
    <row r="2000">
      <c r="A2000" t="inlineStr">
        <is>
          <t>Filip Wilssens</t>
        </is>
      </c>
      <c r="B2000" t="inlineStr">
        <is>
          <t>Attendee</t>
        </is>
      </c>
      <c r="C2000" t="inlineStr">
        <is>
          <t>Director, Head Process, Data &amp; Digitalization NORAM/LATAM</t>
        </is>
      </c>
      <c r="D2000" t="inlineStr">
        <is>
          <t>DSV</t>
        </is>
      </c>
      <c r="E2000" t="inlineStr">
        <is>
          <t>United States</t>
        </is>
      </c>
      <c r="F2000" t="inlineStr">
        <is>
          <t>Yes</t>
        </is>
      </c>
      <c r="H2000" t="n">
        <v>6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>
        <f>IFERROR(INDEX('Company Hitlist'!$AA:$AA,MATCH(D2000,'Company Hitlist'!$A:$A,0)),)</f>
        <v/>
      </c>
      <c r="O2000">
        <f>IFERROR(INDEX('Company Hitlist'!$N:$N,MATCH(D2000,'Company Hitlist'!$A:$A,0)),)</f>
        <v/>
      </c>
      <c r="Q2000" t="inlineStr">
        <is>
          <t>todo</t>
        </is>
      </c>
    </row>
    <row r="2001">
      <c r="A2001" t="inlineStr">
        <is>
          <t>Peter Matthiesen</t>
        </is>
      </c>
      <c r="B2001" t="inlineStr">
        <is>
          <t>Attendee</t>
        </is>
      </c>
      <c r="C2001" t="inlineStr">
        <is>
          <t>Head of Innovation</t>
        </is>
      </c>
      <c r="D2001" t="inlineStr">
        <is>
          <t>DSV</t>
        </is>
      </c>
      <c r="F2001" t="inlineStr">
        <is>
          <t>Yes</t>
        </is>
      </c>
      <c r="H2001" t="n">
        <v>6</v>
      </c>
      <c r="I2001" t="b">
        <v>0</v>
      </c>
      <c r="J2001" t="b">
        <v>1</v>
      </c>
      <c r="K2001" t="b">
        <v>0</v>
      </c>
      <c r="L2001" t="b">
        <v>0</v>
      </c>
      <c r="M2001" t="b">
        <v>0</v>
      </c>
      <c r="N2001">
        <f>IFERROR(INDEX('Company Hitlist'!$AA:$AA,MATCH(D2001,'Company Hitlist'!$A:$A,0)),)</f>
        <v/>
      </c>
      <c r="O2001">
        <f>IFERROR(INDEX('Company Hitlist'!$N:$N,MATCH(D2001,'Company Hitlist'!$A:$A,0)),)</f>
        <v/>
      </c>
      <c r="Q2001" t="inlineStr">
        <is>
          <t>todo</t>
        </is>
      </c>
    </row>
    <row r="2002">
      <c r="A2002" t="inlineStr">
        <is>
          <t>Wietze Cnossen</t>
        </is>
      </c>
      <c r="B2002" t="inlineStr">
        <is>
          <t>Attendee</t>
        </is>
      </c>
      <c r="C2002" t="inlineStr">
        <is>
          <t>Vice President, Global Accounts Technology</t>
        </is>
      </c>
      <c r="D2002" t="inlineStr">
        <is>
          <t>DSV</t>
        </is>
      </c>
      <c r="F2002" t="inlineStr">
        <is>
          <t>Yes</t>
        </is>
      </c>
      <c r="H2002" t="n">
        <v>6</v>
      </c>
      <c r="I2002" t="b">
        <v>0</v>
      </c>
      <c r="J2002" t="b">
        <v>1</v>
      </c>
      <c r="K2002" t="b">
        <v>0</v>
      </c>
      <c r="L2002" t="b">
        <v>0</v>
      </c>
      <c r="M2002" t="b">
        <v>0</v>
      </c>
      <c r="N2002">
        <f>IFERROR(INDEX('Company Hitlist'!$AA:$AA,MATCH(D2002,'Company Hitlist'!$A:$A,0)),)</f>
        <v/>
      </c>
      <c r="O2002">
        <f>IFERROR(INDEX('Company Hitlist'!$N:$N,MATCH(D2002,'Company Hitlist'!$A:$A,0)),)</f>
        <v/>
      </c>
      <c r="Q2002" t="inlineStr">
        <is>
          <t>todo</t>
        </is>
      </c>
    </row>
    <row r="2003">
      <c r="A2003" t="inlineStr">
        <is>
          <t>Scott Theriot</t>
        </is>
      </c>
      <c r="B2003" t="inlineStr">
        <is>
          <t>Attendee</t>
        </is>
      </c>
      <c r="C2003" t="inlineStr">
        <is>
          <t>General Manager</t>
        </is>
      </c>
      <c r="D2003" t="inlineStr">
        <is>
          <t>Danos</t>
        </is>
      </c>
      <c r="H2003" t="n">
        <v>6</v>
      </c>
      <c r="I2003" t="b">
        <v>0</v>
      </c>
      <c r="J2003" t="b">
        <v>1</v>
      </c>
      <c r="K2003" t="b">
        <v>0</v>
      </c>
      <c r="L2003" t="b">
        <v>0</v>
      </c>
      <c r="M2003" t="b">
        <v>0</v>
      </c>
      <c r="N2003">
        <f>IFERROR(INDEX('Company Hitlist'!$AA:$AA,MATCH(D2003,'Company Hitlist'!$A:$A,0)),)</f>
        <v/>
      </c>
      <c r="O2003">
        <f>IFERROR(INDEX('Company Hitlist'!$N:$N,MATCH(D2003,'Company Hitlist'!$A:$A,0)),)</f>
        <v/>
      </c>
      <c r="Q2003" t="inlineStr">
        <is>
          <t>todo</t>
        </is>
      </c>
    </row>
    <row r="2004">
      <c r="A2004" t="inlineStr">
        <is>
          <t>Jason Hatling</t>
        </is>
      </c>
      <c r="B2004" t="inlineStr">
        <is>
          <t>Attendee</t>
        </is>
      </c>
      <c r="C2004" t="inlineStr">
        <is>
          <t>CEO</t>
        </is>
      </c>
      <c r="D2004" t="inlineStr">
        <is>
          <t>Dash Express, LLC</t>
        </is>
      </c>
      <c r="E2004" t="inlineStr">
        <is>
          <t>United States</t>
        </is>
      </c>
      <c r="F2004" t="inlineStr">
        <is>
          <t>Yes</t>
        </is>
      </c>
      <c r="H2004" t="n">
        <v>6</v>
      </c>
      <c r="I2004" t="b">
        <v>0</v>
      </c>
      <c r="J2004" t="b">
        <v>1</v>
      </c>
      <c r="K2004" t="b">
        <v>0</v>
      </c>
      <c r="L2004" t="b">
        <v>0</v>
      </c>
      <c r="M2004" t="b">
        <v>0</v>
      </c>
      <c r="N2004">
        <f>IFERROR(INDEX('Company Hitlist'!$AA:$AA,MATCH(D2004,'Company Hitlist'!$A:$A,0)),)</f>
        <v/>
      </c>
      <c r="O2004">
        <f>IFERROR(INDEX('Company Hitlist'!$N:$N,MATCH(D2004,'Company Hitlist'!$A:$A,0)),)</f>
        <v/>
      </c>
      <c r="Q2004" t="inlineStr">
        <is>
          <t>todo</t>
        </is>
      </c>
    </row>
    <row r="2005">
      <c r="A2005" t="inlineStr">
        <is>
          <t>Rebecca Hatling</t>
        </is>
      </c>
      <c r="B2005" t="inlineStr">
        <is>
          <t>Attendee</t>
        </is>
      </c>
      <c r="C2005" t="inlineStr">
        <is>
          <t>President/CFO</t>
        </is>
      </c>
      <c r="D2005" t="inlineStr">
        <is>
          <t>Dash Express, LLC</t>
        </is>
      </c>
      <c r="E2005" t="inlineStr">
        <is>
          <t>United States</t>
        </is>
      </c>
      <c r="F2005" t="inlineStr">
        <is>
          <t>Yes</t>
        </is>
      </c>
      <c r="H2005" t="n">
        <v>6</v>
      </c>
      <c r="I2005" t="b">
        <v>0</v>
      </c>
      <c r="J2005" t="b">
        <v>1</v>
      </c>
      <c r="K2005" t="b">
        <v>0</v>
      </c>
      <c r="L2005" t="b">
        <v>0</v>
      </c>
      <c r="M2005" t="b">
        <v>0</v>
      </c>
      <c r="N2005">
        <f>IFERROR(INDEX('Company Hitlist'!$AA:$AA,MATCH(D2005,'Company Hitlist'!$A:$A,0)),)</f>
        <v/>
      </c>
      <c r="O2005">
        <f>IFERROR(INDEX('Company Hitlist'!$N:$N,MATCH(D2005,'Company Hitlist'!$A:$A,0)),)</f>
        <v/>
      </c>
      <c r="Q2005" t="inlineStr">
        <is>
          <t>todo</t>
        </is>
      </c>
    </row>
    <row r="2006">
      <c r="A2006" t="inlineStr">
        <is>
          <t>Corey Apirian</t>
        </is>
      </c>
      <c r="B2006" t="inlineStr">
        <is>
          <t>Attendee</t>
        </is>
      </c>
      <c r="C2006" t="inlineStr">
        <is>
          <t>CEO</t>
        </is>
      </c>
      <c r="D2006" t="inlineStr">
        <is>
          <t>Davinci Micro Fulfillment Inc.</t>
        </is>
      </c>
      <c r="E2006" t="inlineStr">
        <is>
          <t>United States</t>
        </is>
      </c>
      <c r="F2006" t="inlineStr">
        <is>
          <t>Yes</t>
        </is>
      </c>
      <c r="H2006" t="n">
        <v>6</v>
      </c>
      <c r="I2006" t="b">
        <v>0</v>
      </c>
      <c r="J2006" t="b">
        <v>1</v>
      </c>
      <c r="K2006" t="b">
        <v>0</v>
      </c>
      <c r="L2006" t="b">
        <v>0</v>
      </c>
      <c r="M2006" t="b">
        <v>0</v>
      </c>
      <c r="N2006">
        <f>IFERROR(INDEX('Company Hitlist'!$AA:$AA,MATCH(D2006,'Company Hitlist'!$A:$A,0)),)</f>
        <v/>
      </c>
      <c r="O2006">
        <f>IFERROR(INDEX('Company Hitlist'!$N:$N,MATCH(D2006,'Company Hitlist'!$A:$A,0)),)</f>
        <v/>
      </c>
      <c r="Q2006" t="inlineStr">
        <is>
          <t>todo</t>
        </is>
      </c>
    </row>
    <row r="2007">
      <c r="A2007" t="inlineStr">
        <is>
          <t>Joe Van Der Bosch</t>
        </is>
      </c>
      <c r="B2007" t="inlineStr">
        <is>
          <t>Attendee</t>
        </is>
      </c>
      <c r="C2007" t="inlineStr">
        <is>
          <t>President</t>
        </is>
      </c>
      <c r="D2007" t="inlineStr">
        <is>
          <t>DeSpir Logistics</t>
        </is>
      </c>
      <c r="E2007" t="inlineStr">
        <is>
          <t>United States</t>
        </is>
      </c>
      <c r="F2007" t="inlineStr">
        <is>
          <t>Yes</t>
        </is>
      </c>
      <c r="H2007" t="n">
        <v>6</v>
      </c>
      <c r="I2007" t="b">
        <v>0</v>
      </c>
      <c r="J2007" t="b">
        <v>1</v>
      </c>
      <c r="K2007" t="b">
        <v>0</v>
      </c>
      <c r="L2007" t="b">
        <v>0</v>
      </c>
      <c r="M2007" t="b">
        <v>0</v>
      </c>
      <c r="N2007">
        <f>IFERROR(INDEX('Company Hitlist'!$AA:$AA,MATCH(D2007,'Company Hitlist'!$A:$A,0)),)</f>
        <v/>
      </c>
      <c r="O2007">
        <f>IFERROR(INDEX('Company Hitlist'!$N:$N,MATCH(D2007,'Company Hitlist'!$A:$A,0)),)</f>
        <v/>
      </c>
      <c r="Q2007" t="inlineStr">
        <is>
          <t>todo</t>
        </is>
      </c>
    </row>
    <row r="2008">
      <c r="A2008" t="inlineStr">
        <is>
          <t>Kevin Nelson</t>
        </is>
      </c>
      <c r="B2008" t="inlineStr">
        <is>
          <t>Attendee</t>
        </is>
      </c>
      <c r="C2008" t="inlineStr">
        <is>
          <t>Chief Commerical Officer</t>
        </is>
      </c>
      <c r="D2008" t="inlineStr">
        <is>
          <t>DeSpir Logistics</t>
        </is>
      </c>
      <c r="E2008" t="inlineStr">
        <is>
          <t>United States</t>
        </is>
      </c>
      <c r="F2008" t="inlineStr">
        <is>
          <t>Yes</t>
        </is>
      </c>
      <c r="H2008" t="n">
        <v>6</v>
      </c>
      <c r="I2008" t="b">
        <v>0</v>
      </c>
      <c r="J2008" t="b">
        <v>1</v>
      </c>
      <c r="K2008" t="b">
        <v>0</v>
      </c>
      <c r="L2008" t="b">
        <v>0</v>
      </c>
      <c r="M2008" t="b">
        <v>0</v>
      </c>
      <c r="N2008">
        <f>IFERROR(INDEX('Company Hitlist'!$AA:$AA,MATCH(D2008,'Company Hitlist'!$A:$A,0)),)</f>
        <v/>
      </c>
      <c r="O2008">
        <f>IFERROR(INDEX('Company Hitlist'!$N:$N,MATCH(D2008,'Company Hitlist'!$A:$A,0)),)</f>
        <v/>
      </c>
      <c r="Q2008" t="inlineStr">
        <is>
          <t>todo</t>
        </is>
      </c>
    </row>
    <row r="2009">
      <c r="A2009" t="inlineStr">
        <is>
          <t>Shiv Ramamurthi</t>
        </is>
      </c>
      <c r="B2009" t="inlineStr">
        <is>
          <t>Attendee</t>
        </is>
      </c>
      <c r="C2009" t="inlineStr">
        <is>
          <t>Chief Product Officer</t>
        </is>
      </c>
      <c r="D2009" t="inlineStr">
        <is>
          <t>Deep Cognition Inc</t>
        </is>
      </c>
      <c r="E2009" t="inlineStr">
        <is>
          <t>United States</t>
        </is>
      </c>
      <c r="F2009" t="inlineStr">
        <is>
          <t>Yes</t>
        </is>
      </c>
      <c r="H2009" t="n">
        <v>6</v>
      </c>
      <c r="I2009" t="b">
        <v>0</v>
      </c>
      <c r="J2009" t="b">
        <v>1</v>
      </c>
      <c r="K2009" t="b">
        <v>0</v>
      </c>
      <c r="L2009" t="b">
        <v>0</v>
      </c>
      <c r="M2009" t="b">
        <v>0</v>
      </c>
      <c r="N2009">
        <f>IFERROR(INDEX('Company Hitlist'!$AA:$AA,MATCH(D2009,'Company Hitlist'!$A:$A,0)),)</f>
        <v/>
      </c>
      <c r="O2009">
        <f>IFERROR(INDEX('Company Hitlist'!$N:$N,MATCH(D2009,'Company Hitlist'!$A:$A,0)),)</f>
        <v/>
      </c>
      <c r="Q2009" t="inlineStr">
        <is>
          <t>todo</t>
        </is>
      </c>
    </row>
    <row r="2010">
      <c r="A2010" t="inlineStr">
        <is>
          <t>Jacqueline Burkette</t>
        </is>
      </c>
      <c r="B2010" t="inlineStr">
        <is>
          <t>Attendee</t>
        </is>
      </c>
      <c r="C2010" t="inlineStr">
        <is>
          <t>Vice President of Business Processes</t>
        </is>
      </c>
      <c r="D2010" t="inlineStr">
        <is>
          <t>Detroit Manufacturing Systems</t>
        </is>
      </c>
      <c r="H2010" t="n">
        <v>6</v>
      </c>
      <c r="I2010" t="b">
        <v>0</v>
      </c>
      <c r="J2010" t="b">
        <v>1</v>
      </c>
      <c r="K2010" t="b">
        <v>0</v>
      </c>
      <c r="L2010" t="b">
        <v>0</v>
      </c>
      <c r="M2010" t="b">
        <v>0</v>
      </c>
      <c r="N2010">
        <f>IFERROR(INDEX('Company Hitlist'!$AA:$AA,MATCH(D2010,'Company Hitlist'!$A:$A,0)),)</f>
        <v/>
      </c>
      <c r="O2010">
        <f>IFERROR(INDEX('Company Hitlist'!$N:$N,MATCH(D2010,'Company Hitlist'!$A:$A,0)),)</f>
        <v/>
      </c>
      <c r="Q2010" t="inlineStr">
        <is>
          <t>todo</t>
        </is>
      </c>
    </row>
    <row r="2011">
      <c r="A2011" t="inlineStr">
        <is>
          <t>Dustin Symes</t>
        </is>
      </c>
      <c r="B2011" t="inlineStr">
        <is>
          <t>Attendee</t>
        </is>
      </c>
      <c r="C2011" t="inlineStr">
        <is>
          <t>President</t>
        </is>
      </c>
      <c r="D2011" t="inlineStr">
        <is>
          <t>Direct Logistics</t>
        </is>
      </c>
      <c r="E2011" t="inlineStr">
        <is>
          <t>United States</t>
        </is>
      </c>
      <c r="F2011" t="inlineStr">
        <is>
          <t>Yes</t>
        </is>
      </c>
      <c r="H2011" t="n">
        <v>6</v>
      </c>
      <c r="I2011" t="b">
        <v>0</v>
      </c>
      <c r="J2011" t="b">
        <v>1</v>
      </c>
      <c r="K2011" t="b">
        <v>0</v>
      </c>
      <c r="L2011" t="b">
        <v>0</v>
      </c>
      <c r="M2011" t="b">
        <v>0</v>
      </c>
      <c r="N2011">
        <f>IFERROR(INDEX('Company Hitlist'!$AA:$AA,MATCH(D2011,'Company Hitlist'!$A:$A,0)),)</f>
        <v/>
      </c>
      <c r="O2011">
        <f>IFERROR(INDEX('Company Hitlist'!$N:$N,MATCH(D2011,'Company Hitlist'!$A:$A,0)),)</f>
        <v/>
      </c>
      <c r="Q2011" t="inlineStr">
        <is>
          <t>todo</t>
        </is>
      </c>
    </row>
    <row r="2012">
      <c r="A2012" t="inlineStr">
        <is>
          <t>Joyce Schofield</t>
        </is>
      </c>
      <c r="B2012" t="inlineStr">
        <is>
          <t>Attendee</t>
        </is>
      </c>
      <c r="C2012" t="inlineStr">
        <is>
          <t>VP, Product &amp; UXD</t>
        </is>
      </c>
      <c r="D2012" t="inlineStr">
        <is>
          <t>Dispatch</t>
        </is>
      </c>
      <c r="E2012" t="inlineStr">
        <is>
          <t>United States</t>
        </is>
      </c>
      <c r="F2012" t="inlineStr">
        <is>
          <t>Yes</t>
        </is>
      </c>
      <c r="H2012" t="n">
        <v>6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  <c r="N2012">
        <f>IFERROR(INDEX('Company Hitlist'!$AA:$AA,MATCH(D2012,'Company Hitlist'!$A:$A,0)),)</f>
        <v/>
      </c>
      <c r="O2012">
        <f>IFERROR(INDEX('Company Hitlist'!$N:$N,MATCH(D2012,'Company Hitlist'!$A:$A,0)),)</f>
        <v/>
      </c>
      <c r="Q2012" t="inlineStr">
        <is>
          <t>todo</t>
        </is>
      </c>
    </row>
    <row r="2013">
      <c r="A2013" t="inlineStr">
        <is>
          <t>Natasha Hamid</t>
        </is>
      </c>
      <c r="B2013" t="inlineStr">
        <is>
          <t>Attendee</t>
        </is>
      </c>
      <c r="C2013" t="inlineStr">
        <is>
          <t>Head of Enterprise Partnerships</t>
        </is>
      </c>
      <c r="D2013" t="inlineStr">
        <is>
          <t>Dispatch</t>
        </is>
      </c>
      <c r="E2013" t="inlineStr">
        <is>
          <t>United States</t>
        </is>
      </c>
      <c r="F2013" t="inlineStr">
        <is>
          <t>Yes</t>
        </is>
      </c>
      <c r="H2013" t="n">
        <v>6</v>
      </c>
      <c r="I2013" t="b">
        <v>0</v>
      </c>
      <c r="J2013" t="b">
        <v>1</v>
      </c>
      <c r="K2013" t="b">
        <v>0</v>
      </c>
      <c r="L2013" t="b">
        <v>0</v>
      </c>
      <c r="M2013" t="b">
        <v>0</v>
      </c>
      <c r="N2013">
        <f>IFERROR(INDEX('Company Hitlist'!$AA:$AA,MATCH(D2013,'Company Hitlist'!$A:$A,0)),)</f>
        <v/>
      </c>
      <c r="O2013">
        <f>IFERROR(INDEX('Company Hitlist'!$N:$N,MATCH(D2013,'Company Hitlist'!$A:$A,0)),)</f>
        <v/>
      </c>
      <c r="Q2013" t="inlineStr">
        <is>
          <t>todo</t>
        </is>
      </c>
    </row>
    <row r="2014">
      <c r="A2014" t="inlineStr">
        <is>
          <t>Alex Proteau</t>
        </is>
      </c>
      <c r="B2014" t="inlineStr">
        <is>
          <t>Attendee</t>
        </is>
      </c>
      <c r="C2014" t="inlineStr">
        <is>
          <t>CTO</t>
        </is>
      </c>
      <c r="D2014" t="inlineStr">
        <is>
          <t>Dispatch Science</t>
        </is>
      </c>
      <c r="E2014" t="inlineStr">
        <is>
          <t>Canada</t>
        </is>
      </c>
      <c r="F2014" t="inlineStr">
        <is>
          <t>Yes</t>
        </is>
      </c>
      <c r="H2014" t="n">
        <v>6</v>
      </c>
      <c r="I2014" t="b">
        <v>0</v>
      </c>
      <c r="J2014" t="b">
        <v>1</v>
      </c>
      <c r="K2014" t="b">
        <v>0</v>
      </c>
      <c r="L2014" t="b">
        <v>0</v>
      </c>
      <c r="M2014" t="b">
        <v>0</v>
      </c>
      <c r="N2014">
        <f>IFERROR(INDEX('Company Hitlist'!$AA:$AA,MATCH(D2014,'Company Hitlist'!$A:$A,0)),)</f>
        <v/>
      </c>
      <c r="O2014">
        <f>IFERROR(INDEX('Company Hitlist'!$N:$N,MATCH(D2014,'Company Hitlist'!$A:$A,0)),)</f>
        <v/>
      </c>
      <c r="Q2014" t="inlineStr">
        <is>
          <t>todo</t>
        </is>
      </c>
    </row>
    <row r="2015">
      <c r="A2015" t="inlineStr">
        <is>
          <t>Victor Mraz</t>
        </is>
      </c>
      <c r="B2015" t="inlineStr">
        <is>
          <t>Attendee</t>
        </is>
      </c>
      <c r="C2015" t="inlineStr">
        <is>
          <t>COO</t>
        </is>
      </c>
      <c r="D2015" t="inlineStr">
        <is>
          <t>Diverse Logistics and Distribution, LLC</t>
        </is>
      </c>
      <c r="E2015" t="inlineStr">
        <is>
          <t>United States</t>
        </is>
      </c>
      <c r="F2015" t="inlineStr">
        <is>
          <t>Yes</t>
        </is>
      </c>
      <c r="H2015" t="n">
        <v>6</v>
      </c>
      <c r="I2015" t="b">
        <v>0</v>
      </c>
      <c r="J2015" t="b">
        <v>1</v>
      </c>
      <c r="K2015" t="b">
        <v>0</v>
      </c>
      <c r="L2015" t="b">
        <v>0</v>
      </c>
      <c r="M2015" t="b">
        <v>0</v>
      </c>
      <c r="N2015">
        <f>IFERROR(INDEX('Company Hitlist'!$AA:$AA,MATCH(D2015,'Company Hitlist'!$A:$A,0)),)</f>
        <v/>
      </c>
      <c r="O2015">
        <f>IFERROR(INDEX('Company Hitlist'!$N:$N,MATCH(D2015,'Company Hitlist'!$A:$A,0)),)</f>
        <v/>
      </c>
      <c r="Q2015" t="inlineStr">
        <is>
          <t>todo</t>
        </is>
      </c>
    </row>
    <row r="2016">
      <c r="A2016" t="inlineStr">
        <is>
          <t>Dabir Rashid</t>
        </is>
      </c>
      <c r="B2016" t="inlineStr">
        <is>
          <t>Attendee</t>
        </is>
      </c>
      <c r="C2016" t="inlineStr">
        <is>
          <t>Vice President</t>
        </is>
      </c>
      <c r="D2016" t="inlineStr">
        <is>
          <t>Diversis Capital LLC</t>
        </is>
      </c>
      <c r="E2016" t="inlineStr">
        <is>
          <t>United States</t>
        </is>
      </c>
      <c r="H2016" t="n">
        <v>6</v>
      </c>
      <c r="I2016" t="b">
        <v>0</v>
      </c>
      <c r="J2016" t="b">
        <v>1</v>
      </c>
      <c r="K2016" t="b">
        <v>0</v>
      </c>
      <c r="L2016" t="b">
        <v>0</v>
      </c>
      <c r="M2016" t="b">
        <v>0</v>
      </c>
      <c r="N2016">
        <f>IFERROR(INDEX('Company Hitlist'!$AA:$AA,MATCH(D2016,'Company Hitlist'!$A:$A,0)),)</f>
        <v/>
      </c>
      <c r="O2016">
        <f>IFERROR(INDEX('Company Hitlist'!$N:$N,MATCH(D2016,'Company Hitlist'!$A:$A,0)),)</f>
        <v/>
      </c>
      <c r="Q2016" t="inlineStr">
        <is>
          <t>todo</t>
        </is>
      </c>
    </row>
    <row r="2017">
      <c r="A2017" t="inlineStr">
        <is>
          <t>Taylan Kalkavan</t>
        </is>
      </c>
      <c r="B2017" t="inlineStr">
        <is>
          <t>Attendee</t>
        </is>
      </c>
      <c r="C2017" t="inlineStr">
        <is>
          <t>CEO / Co-founder</t>
        </is>
      </c>
      <c r="D2017" t="inlineStr">
        <is>
          <t>Dobby</t>
        </is>
      </c>
      <c r="E2017" t="inlineStr">
        <is>
          <t>United States</t>
        </is>
      </c>
      <c r="F2017" t="inlineStr">
        <is>
          <t>Yes</t>
        </is>
      </c>
      <c r="H2017" t="n">
        <v>6</v>
      </c>
      <c r="I2017" t="b">
        <v>0</v>
      </c>
      <c r="J2017" t="b">
        <v>1</v>
      </c>
      <c r="K2017" t="b">
        <v>0</v>
      </c>
      <c r="L2017" t="b">
        <v>0</v>
      </c>
      <c r="M2017" t="b">
        <v>0</v>
      </c>
      <c r="N2017">
        <f>IFERROR(INDEX('Company Hitlist'!$AA:$AA,MATCH(D2017,'Company Hitlist'!$A:$A,0)),)</f>
        <v/>
      </c>
      <c r="O2017">
        <f>IFERROR(INDEX('Company Hitlist'!$N:$N,MATCH(D2017,'Company Hitlist'!$A:$A,0)),)</f>
        <v/>
      </c>
      <c r="Q2017" t="inlineStr">
        <is>
          <t>todo</t>
        </is>
      </c>
    </row>
    <row r="2018">
      <c r="A2018" t="inlineStr">
        <is>
          <t>Connor Bradley</t>
        </is>
      </c>
      <c r="B2018" t="inlineStr">
        <is>
          <t>Attendee</t>
        </is>
      </c>
      <c r="C2018" t="inlineStr">
        <is>
          <t>CEO</t>
        </is>
      </c>
      <c r="D2018" t="inlineStr">
        <is>
          <t>Docktime</t>
        </is>
      </c>
      <c r="E2018" t="inlineStr">
        <is>
          <t>United States</t>
        </is>
      </c>
      <c r="F2018" t="inlineStr">
        <is>
          <t>Yes</t>
        </is>
      </c>
      <c r="H2018" t="n">
        <v>6</v>
      </c>
      <c r="I2018" t="b">
        <v>0</v>
      </c>
      <c r="J2018" t="b">
        <v>1</v>
      </c>
      <c r="K2018" t="b">
        <v>0</v>
      </c>
      <c r="L2018" t="b">
        <v>0</v>
      </c>
      <c r="M2018" t="b">
        <v>0</v>
      </c>
      <c r="N2018">
        <f>IFERROR(INDEX('Company Hitlist'!$AA:$AA,MATCH(D2018,'Company Hitlist'!$A:$A,0)),)</f>
        <v/>
      </c>
      <c r="O2018">
        <f>IFERROR(INDEX('Company Hitlist'!$N:$N,MATCH(D2018,'Company Hitlist'!$A:$A,0)),)</f>
        <v/>
      </c>
      <c r="Q2018" t="inlineStr">
        <is>
          <t>todo</t>
        </is>
      </c>
    </row>
    <row r="2019">
      <c r="A2019" t="inlineStr">
        <is>
          <t>Tim Roberts</t>
        </is>
      </c>
      <c r="B2019" t="inlineStr">
        <is>
          <t>Attendee</t>
        </is>
      </c>
      <c r="C2019" t="inlineStr">
        <is>
          <t>COO</t>
        </is>
      </c>
      <c r="D2019" t="inlineStr">
        <is>
          <t>Docktime</t>
        </is>
      </c>
      <c r="E2019" t="inlineStr">
        <is>
          <t>United States</t>
        </is>
      </c>
      <c r="F2019" t="inlineStr">
        <is>
          <t>Yes</t>
        </is>
      </c>
      <c r="H2019" t="n">
        <v>6</v>
      </c>
      <c r="I2019" t="b">
        <v>0</v>
      </c>
      <c r="J2019" t="b">
        <v>1</v>
      </c>
      <c r="K2019" t="b">
        <v>0</v>
      </c>
      <c r="L2019" t="b">
        <v>0</v>
      </c>
      <c r="M2019" t="b">
        <v>0</v>
      </c>
      <c r="N2019">
        <f>IFERROR(INDEX('Company Hitlist'!$AA:$AA,MATCH(D2019,'Company Hitlist'!$A:$A,0)),)</f>
        <v/>
      </c>
      <c r="O2019">
        <f>IFERROR(INDEX('Company Hitlist'!$N:$N,MATCH(D2019,'Company Hitlist'!$A:$A,0)),)</f>
        <v/>
      </c>
      <c r="Q2019" t="inlineStr">
        <is>
          <t>todo</t>
        </is>
      </c>
    </row>
    <row r="2020">
      <c r="A2020" t="inlineStr">
        <is>
          <t>Conor Godfrey</t>
        </is>
      </c>
      <c r="B2020" t="inlineStr">
        <is>
          <t>Attendee</t>
        </is>
      </c>
      <c r="C2020" t="inlineStr">
        <is>
          <t>CEO</t>
        </is>
      </c>
      <c r="D2020" t="inlineStr">
        <is>
          <t>Dockware</t>
        </is>
      </c>
      <c r="E2020" t="inlineStr">
        <is>
          <t>United States</t>
        </is>
      </c>
      <c r="F2020" t="inlineStr">
        <is>
          <t>Yes</t>
        </is>
      </c>
      <c r="H2020" t="n">
        <v>6</v>
      </c>
      <c r="I2020" t="b">
        <v>0</v>
      </c>
      <c r="J2020" t="b">
        <v>1</v>
      </c>
      <c r="K2020" t="b">
        <v>0</v>
      </c>
      <c r="L2020" t="b">
        <v>0</v>
      </c>
      <c r="M2020" t="b">
        <v>0</v>
      </c>
      <c r="N2020">
        <f>IFERROR(INDEX('Company Hitlist'!$AA:$AA,MATCH(D2020,'Company Hitlist'!$A:$A,0)),)</f>
        <v/>
      </c>
      <c r="O2020">
        <f>IFERROR(INDEX('Company Hitlist'!$N:$N,MATCH(D2020,'Company Hitlist'!$A:$A,0)),)</f>
        <v/>
      </c>
      <c r="Q2020" t="inlineStr">
        <is>
          <t>todo</t>
        </is>
      </c>
    </row>
    <row r="2021">
      <c r="A2021" t="inlineStr">
        <is>
          <t>Clay Murdoch</t>
        </is>
      </c>
      <c r="B2021" t="inlineStr">
        <is>
          <t>Attendee</t>
        </is>
      </c>
      <c r="C2021" t="inlineStr">
        <is>
          <t>President-CEO</t>
        </is>
      </c>
      <c r="D2021" t="inlineStr">
        <is>
          <t>Doug Andrus Dist LLC</t>
        </is>
      </c>
      <c r="E2021" t="inlineStr">
        <is>
          <t>United States</t>
        </is>
      </c>
      <c r="F2021" t="inlineStr">
        <is>
          <t>Yes</t>
        </is>
      </c>
      <c r="H2021" t="n">
        <v>6</v>
      </c>
      <c r="I2021" t="b">
        <v>0</v>
      </c>
      <c r="J2021" t="b">
        <v>1</v>
      </c>
      <c r="K2021" t="b">
        <v>0</v>
      </c>
      <c r="L2021" t="b">
        <v>0</v>
      </c>
      <c r="M2021" t="b">
        <v>0</v>
      </c>
      <c r="N2021">
        <f>IFERROR(INDEX('Company Hitlist'!$AA:$AA,MATCH(D2021,'Company Hitlist'!$A:$A,0)),)</f>
        <v/>
      </c>
      <c r="O2021">
        <f>IFERROR(INDEX('Company Hitlist'!$N:$N,MATCH(D2021,'Company Hitlist'!$A:$A,0)),)</f>
        <v/>
      </c>
      <c r="Q2021" t="inlineStr">
        <is>
          <t>todo</t>
        </is>
      </c>
    </row>
    <row r="2022">
      <c r="A2022" t="inlineStr">
        <is>
          <t>Tom Ramhorst</t>
        </is>
      </c>
      <c r="B2022" t="inlineStr">
        <is>
          <t>Attendee</t>
        </is>
      </c>
      <c r="C2022" t="inlineStr">
        <is>
          <t>COO</t>
        </is>
      </c>
      <c r="D2022" t="inlineStr">
        <is>
          <t>Dr. Squatch</t>
        </is>
      </c>
      <c r="F2022" t="inlineStr">
        <is>
          <t>Yes</t>
        </is>
      </c>
      <c r="G2022" t="inlineStr">
        <is>
          <t>$100M+ (2024 est.; projected $110M in 2025)</t>
        </is>
      </c>
      <c r="H2022" t="n">
        <v>6</v>
      </c>
      <c r="I2022" t="b">
        <v>0</v>
      </c>
      <c r="J2022" t="b">
        <v>1</v>
      </c>
      <c r="K2022" t="b">
        <v>0</v>
      </c>
      <c r="L2022" t="b">
        <v>0</v>
      </c>
      <c r="M2022" t="b">
        <v>0</v>
      </c>
      <c r="N2022">
        <f>IFERROR(INDEX('Company Hitlist'!$AA:$AA,MATCH(D2022,'Company Hitlist'!$A:$A,0)),)</f>
        <v/>
      </c>
      <c r="O2022">
        <f>IFERROR(INDEX('Company Hitlist'!$N:$N,MATCH(D2022,'Company Hitlist'!$A:$A,0)),)</f>
        <v/>
      </c>
      <c r="Q2022" t="inlineStr">
        <is>
          <t>todo</t>
        </is>
      </c>
    </row>
    <row r="2023">
      <c r="A2023" t="inlineStr">
        <is>
          <t>Jason Hilsenbeck</t>
        </is>
      </c>
      <c r="B2023" t="inlineStr">
        <is>
          <t>Attendee</t>
        </is>
      </c>
      <c r="C2023" t="inlineStr">
        <is>
          <t>President</t>
        </is>
      </c>
      <c r="D2023" t="inlineStr">
        <is>
          <t>Drayage.com</t>
        </is>
      </c>
      <c r="E2023" t="inlineStr">
        <is>
          <t>United States</t>
        </is>
      </c>
      <c r="F2023" t="inlineStr">
        <is>
          <t>Yes</t>
        </is>
      </c>
      <c r="H2023" t="n">
        <v>6</v>
      </c>
      <c r="I2023" t="b">
        <v>0</v>
      </c>
      <c r="J2023" t="b">
        <v>1</v>
      </c>
      <c r="K2023" t="b">
        <v>0</v>
      </c>
      <c r="L2023" t="b">
        <v>0</v>
      </c>
      <c r="M2023" t="b">
        <v>0</v>
      </c>
      <c r="N2023">
        <f>IFERROR(INDEX('Company Hitlist'!$AA:$AA,MATCH(D2023,'Company Hitlist'!$A:$A,0)),)</f>
        <v/>
      </c>
      <c r="O2023">
        <f>IFERROR(INDEX('Company Hitlist'!$N:$N,MATCH(D2023,'Company Hitlist'!$A:$A,0)),)</f>
        <v/>
      </c>
      <c r="Q2023" t="inlineStr">
        <is>
          <t>todo</t>
        </is>
      </c>
    </row>
    <row r="2024">
      <c r="A2024" t="inlineStr">
        <is>
          <t>Joshua Robbins</t>
        </is>
      </c>
      <c r="B2024" t="inlineStr">
        <is>
          <t>Attendee</t>
        </is>
      </c>
      <c r="C2024" t="inlineStr">
        <is>
          <t>President and Co-Founder</t>
        </is>
      </c>
      <c r="D2024" t="inlineStr">
        <is>
          <t>Dream Logistics Llc</t>
        </is>
      </c>
      <c r="E2024" t="inlineStr">
        <is>
          <t>United States</t>
        </is>
      </c>
      <c r="F2024" t="inlineStr">
        <is>
          <t>Yes</t>
        </is>
      </c>
      <c r="H2024" t="n">
        <v>6</v>
      </c>
      <c r="I2024" t="b">
        <v>0</v>
      </c>
      <c r="J2024" t="b">
        <v>1</v>
      </c>
      <c r="K2024" t="b">
        <v>0</v>
      </c>
      <c r="L2024" t="b">
        <v>0</v>
      </c>
      <c r="M2024" t="b">
        <v>0</v>
      </c>
      <c r="N2024">
        <f>IFERROR(INDEX('Company Hitlist'!$AA:$AA,MATCH(D2024,'Company Hitlist'!$A:$A,0)),)</f>
        <v/>
      </c>
      <c r="O2024">
        <f>IFERROR(INDEX('Company Hitlist'!$N:$N,MATCH(D2024,'Company Hitlist'!$A:$A,0)),)</f>
        <v/>
      </c>
      <c r="Q2024" t="inlineStr">
        <is>
          <t>todo</t>
        </is>
      </c>
    </row>
    <row r="2025">
      <c r="A2025" t="inlineStr">
        <is>
          <t>Taylor Steadman</t>
        </is>
      </c>
      <c r="B2025" t="inlineStr">
        <is>
          <t>Attendee</t>
        </is>
      </c>
      <c r="C2025" t="inlineStr">
        <is>
          <t>CEO &amp; Co-Founder</t>
        </is>
      </c>
      <c r="D2025" t="inlineStr">
        <is>
          <t>Dream Logistics Llc</t>
        </is>
      </c>
      <c r="E2025" t="inlineStr">
        <is>
          <t>United States</t>
        </is>
      </c>
      <c r="F2025" t="inlineStr">
        <is>
          <t>Yes</t>
        </is>
      </c>
      <c r="H2025" t="n">
        <v>6</v>
      </c>
      <c r="I2025" t="b">
        <v>0</v>
      </c>
      <c r="J2025" t="b">
        <v>1</v>
      </c>
      <c r="K2025" t="b">
        <v>0</v>
      </c>
      <c r="L2025" t="b">
        <v>0</v>
      </c>
      <c r="M2025" t="b">
        <v>0</v>
      </c>
      <c r="N2025">
        <f>IFERROR(INDEX('Company Hitlist'!$AA:$AA,MATCH(D2025,'Company Hitlist'!$A:$A,0)),)</f>
        <v/>
      </c>
      <c r="O2025">
        <f>IFERROR(INDEX('Company Hitlist'!$N:$N,MATCH(D2025,'Company Hitlist'!$A:$A,0)),)</f>
        <v/>
      </c>
      <c r="Q2025" t="inlineStr">
        <is>
          <t>todo</t>
        </is>
      </c>
    </row>
    <row r="2026">
      <c r="A2026" t="inlineStr">
        <is>
          <t>Michelle LeBlanc</t>
        </is>
      </c>
      <c r="B2026" t="inlineStr">
        <is>
          <t>Attendee</t>
        </is>
      </c>
      <c r="C2026" t="inlineStr">
        <is>
          <t>CEO &amp; Founder</t>
        </is>
      </c>
      <c r="D2026" t="inlineStr">
        <is>
          <t>Drop &amp; Hook</t>
        </is>
      </c>
      <c r="E2026" t="inlineStr">
        <is>
          <t>United States</t>
        </is>
      </c>
      <c r="F2026" t="inlineStr">
        <is>
          <t>Yes</t>
        </is>
      </c>
      <c r="H2026" t="n">
        <v>6</v>
      </c>
      <c r="I2026" t="b">
        <v>0</v>
      </c>
      <c r="J2026" t="b">
        <v>1</v>
      </c>
      <c r="K2026" t="b">
        <v>0</v>
      </c>
      <c r="L2026" t="b">
        <v>0</v>
      </c>
      <c r="M2026" t="b">
        <v>0</v>
      </c>
      <c r="N2026">
        <f>IFERROR(INDEX('Company Hitlist'!$AA:$AA,MATCH(D2026,'Company Hitlist'!$A:$A,0)),)</f>
        <v/>
      </c>
      <c r="O2026">
        <f>IFERROR(INDEX('Company Hitlist'!$N:$N,MATCH(D2026,'Company Hitlist'!$A:$A,0)),)</f>
        <v/>
      </c>
      <c r="Q2026" t="inlineStr">
        <is>
          <t>todo</t>
        </is>
      </c>
    </row>
    <row r="2027">
      <c r="A2027" t="inlineStr">
        <is>
          <t>Jason Yeager</t>
        </is>
      </c>
      <c r="B2027" t="inlineStr">
        <is>
          <t>Attendee</t>
        </is>
      </c>
      <c r="C2027" t="inlineStr">
        <is>
          <t>Chief Operating Officer &amp; Managing Partner</t>
        </is>
      </c>
      <c r="D2027" t="inlineStr">
        <is>
          <t>Dynamic Logistix</t>
        </is>
      </c>
      <c r="F2027" t="inlineStr">
        <is>
          <t>Yes</t>
        </is>
      </c>
      <c r="H2027" t="n">
        <v>6</v>
      </c>
      <c r="I2027" t="b">
        <v>0</v>
      </c>
      <c r="J2027" t="b">
        <v>1</v>
      </c>
      <c r="K2027" t="b">
        <v>0</v>
      </c>
      <c r="L2027" t="b">
        <v>0</v>
      </c>
      <c r="M2027" t="b">
        <v>0</v>
      </c>
      <c r="N2027">
        <f>IFERROR(INDEX('Company Hitlist'!$AA:$AA,MATCH(D2027,'Company Hitlist'!$A:$A,0)),)</f>
        <v/>
      </c>
      <c r="O2027">
        <f>IFERROR(INDEX('Company Hitlist'!$N:$N,MATCH(D2027,'Company Hitlist'!$A:$A,0)),)</f>
        <v/>
      </c>
      <c r="Q2027" t="inlineStr">
        <is>
          <t>todo</t>
        </is>
      </c>
    </row>
    <row r="2028">
      <c r="A2028" t="inlineStr">
        <is>
          <t>Ryan Koenig</t>
        </is>
      </c>
      <c r="B2028" t="inlineStr">
        <is>
          <t>Attendee</t>
        </is>
      </c>
      <c r="C2028" t="inlineStr">
        <is>
          <t>Chief Executive Officer</t>
        </is>
      </c>
      <c r="D2028" t="inlineStr">
        <is>
          <t>Dynamic Logistix</t>
        </is>
      </c>
      <c r="F2028" t="inlineStr">
        <is>
          <t>Yes</t>
        </is>
      </c>
      <c r="H2028" t="n">
        <v>6</v>
      </c>
      <c r="I2028" t="b">
        <v>0</v>
      </c>
      <c r="J2028" t="b">
        <v>1</v>
      </c>
      <c r="K2028" t="b">
        <v>0</v>
      </c>
      <c r="L2028" t="b">
        <v>0</v>
      </c>
      <c r="M2028" t="b">
        <v>0</v>
      </c>
      <c r="N2028">
        <f>IFERROR(INDEX('Company Hitlist'!$AA:$AA,MATCH(D2028,'Company Hitlist'!$A:$A,0)),)</f>
        <v/>
      </c>
      <c r="O2028">
        <f>IFERROR(INDEX('Company Hitlist'!$N:$N,MATCH(D2028,'Company Hitlist'!$A:$A,0)),)</f>
        <v/>
      </c>
      <c r="Q2028" t="inlineStr">
        <is>
          <t>todo</t>
        </is>
      </c>
    </row>
    <row r="2029">
      <c r="A2029" t="inlineStr">
        <is>
          <t>Mike Radd</t>
        </is>
      </c>
      <c r="B2029" t="inlineStr">
        <is>
          <t>Attendee</t>
        </is>
      </c>
      <c r="C2029" t="inlineStr">
        <is>
          <t>COO</t>
        </is>
      </c>
      <c r="D2029" t="inlineStr">
        <is>
          <t>E&amp;S International Enterprises, Inc.</t>
        </is>
      </c>
      <c r="E2029" t="inlineStr">
        <is>
          <t>United States</t>
        </is>
      </c>
      <c r="F2029" t="inlineStr">
        <is>
          <t>Yes</t>
        </is>
      </c>
      <c r="H2029" t="n">
        <v>6</v>
      </c>
      <c r="I2029" t="b">
        <v>0</v>
      </c>
      <c r="J2029" t="b">
        <v>1</v>
      </c>
      <c r="K2029" t="b">
        <v>0</v>
      </c>
      <c r="L2029" t="b">
        <v>0</v>
      </c>
      <c r="M2029" t="b">
        <v>0</v>
      </c>
      <c r="N2029">
        <f>IFERROR(INDEX('Company Hitlist'!$AA:$AA,MATCH(D2029,'Company Hitlist'!$A:$A,0)),)</f>
        <v/>
      </c>
      <c r="O2029">
        <f>IFERROR(INDEX('Company Hitlist'!$N:$N,MATCH(D2029,'Company Hitlist'!$A:$A,0)),)</f>
        <v/>
      </c>
      <c r="Q2029" t="inlineStr">
        <is>
          <t>todo</t>
        </is>
      </c>
    </row>
    <row r="2030">
      <c r="A2030" t="inlineStr">
        <is>
          <t>Aqil Naeem</t>
        </is>
      </c>
      <c r="B2030" t="inlineStr">
        <is>
          <t>Attendee</t>
        </is>
      </c>
      <c r="C2030" t="inlineStr">
        <is>
          <t>CEO</t>
        </is>
      </c>
      <c r="D2030" t="inlineStr">
        <is>
          <t>E3 Group</t>
        </is>
      </c>
      <c r="E2030" t="inlineStr">
        <is>
          <t>United States</t>
        </is>
      </c>
      <c r="H2030" t="n">
        <v>6</v>
      </c>
      <c r="I2030" t="b">
        <v>0</v>
      </c>
      <c r="J2030" t="b">
        <v>1</v>
      </c>
      <c r="K2030" t="b">
        <v>0</v>
      </c>
      <c r="L2030" t="b">
        <v>0</v>
      </c>
      <c r="M2030" t="b">
        <v>0</v>
      </c>
      <c r="N2030">
        <f>IFERROR(INDEX('Company Hitlist'!$AA:$AA,MATCH(D2030,'Company Hitlist'!$A:$A,0)),)</f>
        <v/>
      </c>
      <c r="O2030">
        <f>IFERROR(INDEX('Company Hitlist'!$N:$N,MATCH(D2030,'Company Hitlist'!$A:$A,0)),)</f>
        <v/>
      </c>
      <c r="Q2030" t="inlineStr">
        <is>
          <t>todo</t>
        </is>
      </c>
    </row>
    <row r="2031">
      <c r="A2031" t="inlineStr">
        <is>
          <t>Caleb Sirak</t>
        </is>
      </c>
      <c r="B2031" t="inlineStr">
        <is>
          <t>Attendee</t>
        </is>
      </c>
      <c r="C2031" t="inlineStr">
        <is>
          <t>President</t>
        </is>
      </c>
      <c r="D2031" t="inlineStr">
        <is>
          <t>E3 Group</t>
        </is>
      </c>
      <c r="E2031" t="inlineStr">
        <is>
          <t>United States</t>
        </is>
      </c>
      <c r="H2031" t="n">
        <v>6</v>
      </c>
      <c r="I2031" t="b">
        <v>0</v>
      </c>
      <c r="J2031" t="b">
        <v>1</v>
      </c>
      <c r="K2031" t="b">
        <v>0</v>
      </c>
      <c r="L2031" t="b">
        <v>0</v>
      </c>
      <c r="M2031" t="b">
        <v>0</v>
      </c>
      <c r="N2031">
        <f>IFERROR(INDEX('Company Hitlist'!$AA:$AA,MATCH(D2031,'Company Hitlist'!$A:$A,0)),)</f>
        <v/>
      </c>
      <c r="O2031">
        <f>IFERROR(INDEX('Company Hitlist'!$N:$N,MATCH(D2031,'Company Hitlist'!$A:$A,0)),)</f>
        <v/>
      </c>
      <c r="Q2031" t="inlineStr">
        <is>
          <t>todo</t>
        </is>
      </c>
    </row>
    <row r="2032">
      <c r="A2032" t="inlineStr">
        <is>
          <t>ERICK CAMPOS</t>
        </is>
      </c>
      <c r="B2032" t="inlineStr">
        <is>
          <t>Attendee</t>
        </is>
      </c>
      <c r="C2032" t="inlineStr">
        <is>
          <t>CEO</t>
        </is>
      </c>
      <c r="D2032" t="inlineStr">
        <is>
          <t>EAGLE EXCECUTIVE</t>
        </is>
      </c>
      <c r="E2032" t="inlineStr">
        <is>
          <t>Mexico</t>
        </is>
      </c>
      <c r="H2032" t="n">
        <v>6</v>
      </c>
      <c r="I2032" t="b">
        <v>0</v>
      </c>
      <c r="J2032" t="b">
        <v>1</v>
      </c>
      <c r="K2032" t="b">
        <v>0</v>
      </c>
      <c r="L2032" t="b">
        <v>0</v>
      </c>
      <c r="M2032" t="b">
        <v>0</v>
      </c>
      <c r="N2032">
        <f>IFERROR(INDEX('Company Hitlist'!$AA:$AA,MATCH(D2032,'Company Hitlist'!$A:$A,0)),)</f>
        <v/>
      </c>
      <c r="O2032">
        <f>IFERROR(INDEX('Company Hitlist'!$N:$N,MATCH(D2032,'Company Hitlist'!$A:$A,0)),)</f>
        <v/>
      </c>
      <c r="Q2032" t="inlineStr">
        <is>
          <t>todo</t>
        </is>
      </c>
    </row>
    <row r="2033">
      <c r="A2033" t="inlineStr">
        <is>
          <t>Brian Catron</t>
        </is>
      </c>
      <c r="B2033" t="inlineStr">
        <is>
          <t>Attendee</t>
        </is>
      </c>
      <c r="C2033" t="inlineStr">
        <is>
          <t>Global Chief Information Officer, and Head of Integrated Services</t>
        </is>
      </c>
      <c r="D2033" t="inlineStr">
        <is>
          <t>EFL GLOBAL</t>
        </is>
      </c>
      <c r="E2033" t="inlineStr">
        <is>
          <t>United States</t>
        </is>
      </c>
      <c r="F2033" t="inlineStr">
        <is>
          <t>Yes</t>
        </is>
      </c>
      <c r="H2033" t="n">
        <v>6</v>
      </c>
      <c r="I2033" t="b">
        <v>0</v>
      </c>
      <c r="J2033" t="b">
        <v>1</v>
      </c>
      <c r="K2033" t="b">
        <v>0</v>
      </c>
      <c r="L2033" t="b">
        <v>0</v>
      </c>
      <c r="M2033" t="b">
        <v>0</v>
      </c>
      <c r="N2033">
        <f>IFERROR(INDEX('Company Hitlist'!$AA:$AA,MATCH(D2033,'Company Hitlist'!$A:$A,0)),)</f>
        <v/>
      </c>
      <c r="O2033">
        <f>IFERROR(INDEX('Company Hitlist'!$N:$N,MATCH(D2033,'Company Hitlist'!$A:$A,0)),)</f>
        <v/>
      </c>
      <c r="Q2033" t="inlineStr">
        <is>
          <t>todo</t>
        </is>
      </c>
    </row>
    <row r="2034">
      <c r="A2034" t="inlineStr">
        <is>
          <t>ARIANE KEMPER</t>
        </is>
      </c>
      <c r="B2034" t="inlineStr">
        <is>
          <t>Attendee</t>
        </is>
      </c>
      <c r="C2034" t="inlineStr">
        <is>
          <t>COO</t>
        </is>
      </c>
      <c r="D2034" t="inlineStr">
        <is>
          <t>EGOURMET SOLUTIONS</t>
        </is>
      </c>
      <c r="E2034" t="inlineStr">
        <is>
          <t>United States</t>
        </is>
      </c>
      <c r="F2034" t="inlineStr">
        <is>
          <t>Yes</t>
        </is>
      </c>
      <c r="H2034" t="n">
        <v>6</v>
      </c>
      <c r="I2034" t="b">
        <v>0</v>
      </c>
      <c r="J2034" t="b">
        <v>1</v>
      </c>
      <c r="K2034" t="b">
        <v>0</v>
      </c>
      <c r="L2034" t="b">
        <v>0</v>
      </c>
      <c r="M2034" t="b">
        <v>0</v>
      </c>
      <c r="N2034">
        <f>IFERROR(INDEX('Company Hitlist'!$AA:$AA,MATCH(D2034,'Company Hitlist'!$A:$A,0)),)</f>
        <v/>
      </c>
      <c r="O2034">
        <f>IFERROR(INDEX('Company Hitlist'!$N:$N,MATCH(D2034,'Company Hitlist'!$A:$A,0)),)</f>
        <v/>
      </c>
      <c r="Q2034" t="inlineStr">
        <is>
          <t>todo</t>
        </is>
      </c>
    </row>
    <row r="2035">
      <c r="A2035" t="inlineStr">
        <is>
          <t>GERMAIN MONTAGNER</t>
        </is>
      </c>
      <c r="B2035" t="inlineStr">
        <is>
          <t>Attendee</t>
        </is>
      </c>
      <c r="C2035" t="inlineStr">
        <is>
          <t>PRESIDENT</t>
        </is>
      </c>
      <c r="D2035" t="inlineStr">
        <is>
          <t>EGOURMET SOLUTIONS</t>
        </is>
      </c>
      <c r="E2035" t="inlineStr">
        <is>
          <t>United States</t>
        </is>
      </c>
      <c r="F2035" t="inlineStr">
        <is>
          <t>Yes</t>
        </is>
      </c>
      <c r="H2035" t="n">
        <v>6</v>
      </c>
      <c r="I2035" t="b">
        <v>0</v>
      </c>
      <c r="J2035" t="b">
        <v>1</v>
      </c>
      <c r="K2035" t="b">
        <v>0</v>
      </c>
      <c r="L2035" t="b">
        <v>0</v>
      </c>
      <c r="M2035" t="b">
        <v>0</v>
      </c>
      <c r="N2035">
        <f>IFERROR(INDEX('Company Hitlist'!$AA:$AA,MATCH(D2035,'Company Hitlist'!$A:$A,0)),)</f>
        <v/>
      </c>
      <c r="O2035">
        <f>IFERROR(INDEX('Company Hitlist'!$N:$N,MATCH(D2035,'Company Hitlist'!$A:$A,0)),)</f>
        <v/>
      </c>
      <c r="Q2035" t="inlineStr">
        <is>
          <t>todo</t>
        </is>
      </c>
    </row>
    <row r="2036">
      <c r="A2036" t="inlineStr">
        <is>
          <t>tony BARLOW</t>
        </is>
      </c>
      <c r="B2036" t="inlineStr">
        <is>
          <t>Attendee</t>
        </is>
      </c>
      <c r="C2036" t="inlineStr">
        <is>
          <t>PRESIDENT</t>
        </is>
      </c>
      <c r="D2036" t="inlineStr">
        <is>
          <t>EPIHAB</t>
        </is>
      </c>
      <c r="H2036" t="n">
        <v>6</v>
      </c>
      <c r="I2036" t="b">
        <v>0</v>
      </c>
      <c r="J2036" t="b">
        <v>1</v>
      </c>
      <c r="K2036" t="b">
        <v>0</v>
      </c>
      <c r="L2036" t="b">
        <v>0</v>
      </c>
      <c r="M2036" t="b">
        <v>0</v>
      </c>
      <c r="N2036">
        <f>IFERROR(INDEX('Company Hitlist'!$AA:$AA,MATCH(D2036,'Company Hitlist'!$A:$A,0)),)</f>
        <v/>
      </c>
      <c r="O2036">
        <f>IFERROR(INDEX('Company Hitlist'!$N:$N,MATCH(D2036,'Company Hitlist'!$A:$A,0)),)</f>
        <v/>
      </c>
      <c r="Q2036" t="inlineStr">
        <is>
          <t>todo</t>
        </is>
      </c>
    </row>
    <row r="2037">
      <c r="A2037" t="inlineStr">
        <is>
          <t>Leandro Bassoi</t>
        </is>
      </c>
      <c r="B2037" t="inlineStr">
        <is>
          <t>Attendee</t>
        </is>
      </c>
      <c r="C2037" t="inlineStr">
        <is>
          <t>CEO</t>
        </is>
      </c>
      <c r="D2037" t="inlineStr">
        <is>
          <t>EREA</t>
        </is>
      </c>
      <c r="E2037" t="inlineStr">
        <is>
          <t>Brazil</t>
        </is>
      </c>
      <c r="F2037" t="inlineStr">
        <is>
          <t>Yes</t>
        </is>
      </c>
      <c r="H2037" t="n">
        <v>6</v>
      </c>
      <c r="I2037" t="b">
        <v>0</v>
      </c>
      <c r="J2037" t="b">
        <v>1</v>
      </c>
      <c r="K2037" t="b">
        <v>0</v>
      </c>
      <c r="L2037" t="b">
        <v>0</v>
      </c>
      <c r="M2037" t="b">
        <v>0</v>
      </c>
      <c r="N2037">
        <f>IFERROR(INDEX('Company Hitlist'!$AA:$AA,MATCH(D2037,'Company Hitlist'!$A:$A,0)),)</f>
        <v/>
      </c>
      <c r="O2037">
        <f>IFERROR(INDEX('Company Hitlist'!$N:$N,MATCH(D2037,'Company Hitlist'!$A:$A,0)),)</f>
        <v/>
      </c>
      <c r="Q2037" t="inlineStr">
        <is>
          <t>todo</t>
        </is>
      </c>
    </row>
    <row r="2038">
      <c r="A2038" t="inlineStr">
        <is>
          <t>Dave Gulas</t>
        </is>
      </c>
      <c r="B2038" t="inlineStr">
        <is>
          <t>Attendee</t>
        </is>
      </c>
      <c r="C2038" t="inlineStr">
        <is>
          <t>President &amp; Co-Founder</t>
        </is>
      </c>
      <c r="D2038" t="inlineStr">
        <is>
          <t>EZDC 3PL</t>
        </is>
      </c>
      <c r="E2038" t="inlineStr">
        <is>
          <t>United States</t>
        </is>
      </c>
      <c r="F2038" t="inlineStr">
        <is>
          <t>Yes</t>
        </is>
      </c>
      <c r="H2038" t="n">
        <v>6</v>
      </c>
      <c r="I2038" t="b">
        <v>0</v>
      </c>
      <c r="J2038" t="b">
        <v>1</v>
      </c>
      <c r="K2038" t="b">
        <v>0</v>
      </c>
      <c r="L2038" t="b">
        <v>0</v>
      </c>
      <c r="M2038" t="b">
        <v>0</v>
      </c>
      <c r="N2038">
        <f>IFERROR(INDEX('Company Hitlist'!$AA:$AA,MATCH(D2038,'Company Hitlist'!$A:$A,0)),)</f>
        <v/>
      </c>
      <c r="O2038">
        <f>IFERROR(INDEX('Company Hitlist'!$N:$N,MATCH(D2038,'Company Hitlist'!$A:$A,0)),)</f>
        <v/>
      </c>
      <c r="Q2038" t="inlineStr">
        <is>
          <t>todo</t>
        </is>
      </c>
    </row>
    <row r="2039">
      <c r="A2039" t="inlineStr">
        <is>
          <t>Jonathan Rivera</t>
        </is>
      </c>
      <c r="B2039" t="inlineStr">
        <is>
          <t>Attendee</t>
        </is>
      </c>
      <c r="C2039" t="inlineStr">
        <is>
          <t>General Manager</t>
        </is>
      </c>
      <c r="D2039" t="inlineStr">
        <is>
          <t>Eagle Eye Produce</t>
        </is>
      </c>
      <c r="H2039" t="n">
        <v>6</v>
      </c>
      <c r="I2039" t="b">
        <v>0</v>
      </c>
      <c r="J2039" t="b">
        <v>1</v>
      </c>
      <c r="K2039" t="b">
        <v>0</v>
      </c>
      <c r="L2039" t="b">
        <v>0</v>
      </c>
      <c r="M2039" t="b">
        <v>0</v>
      </c>
      <c r="N2039">
        <f>IFERROR(INDEX('Company Hitlist'!$AA:$AA,MATCH(D2039,'Company Hitlist'!$A:$A,0)),)</f>
        <v/>
      </c>
      <c r="O2039">
        <f>IFERROR(INDEX('Company Hitlist'!$N:$N,MATCH(D2039,'Company Hitlist'!$A:$A,0)),)</f>
        <v/>
      </c>
      <c r="Q2039" t="inlineStr">
        <is>
          <t>todo</t>
        </is>
      </c>
    </row>
    <row r="2040">
      <c r="A2040" t="inlineStr">
        <is>
          <t>Ben Smith</t>
        </is>
      </c>
      <c r="B2040" t="inlineStr">
        <is>
          <t>Attendee</t>
        </is>
      </c>
      <c r="C2040" t="inlineStr">
        <is>
          <t>COO &amp; Advisor</t>
        </is>
      </c>
      <c r="D2040" t="inlineStr">
        <is>
          <t>Earth Breeze/AG1</t>
        </is>
      </c>
      <c r="F2040" t="inlineStr">
        <is>
          <t>Yes</t>
        </is>
      </c>
      <c r="H2040" t="n">
        <v>6</v>
      </c>
      <c r="I2040" t="b">
        <v>0</v>
      </c>
      <c r="J2040" t="b">
        <v>1</v>
      </c>
      <c r="K2040" t="b">
        <v>0</v>
      </c>
      <c r="L2040" t="b">
        <v>0</v>
      </c>
      <c r="M2040" t="b">
        <v>0</v>
      </c>
      <c r="N2040">
        <f>IFERROR(INDEX('Company Hitlist'!$AA:$AA,MATCH(D2040,'Company Hitlist'!$A:$A,0)),)</f>
        <v/>
      </c>
      <c r="O2040">
        <f>IFERROR(INDEX('Company Hitlist'!$N:$N,MATCH(D2040,'Company Hitlist'!$A:$A,0)),)</f>
        <v/>
      </c>
      <c r="Q2040" t="inlineStr">
        <is>
          <t>todo</t>
        </is>
      </c>
    </row>
    <row r="2041">
      <c r="A2041" t="inlineStr">
        <is>
          <t>Trisha Leckow</t>
        </is>
      </c>
      <c r="B2041" t="inlineStr">
        <is>
          <t>Attendee</t>
        </is>
      </c>
      <c r="C2041" t="inlineStr">
        <is>
          <t>SVP of Product</t>
        </is>
      </c>
      <c r="D2041" t="inlineStr">
        <is>
          <t>Echo</t>
        </is>
      </c>
      <c r="E2041" t="inlineStr">
        <is>
          <t>United States</t>
        </is>
      </c>
      <c r="F2041" t="inlineStr">
        <is>
          <t>Yes</t>
        </is>
      </c>
      <c r="H2041" t="n">
        <v>6</v>
      </c>
      <c r="I2041" t="b">
        <v>0</v>
      </c>
      <c r="J2041" t="b">
        <v>1</v>
      </c>
      <c r="K2041" t="b">
        <v>0</v>
      </c>
      <c r="L2041" t="b">
        <v>0</v>
      </c>
      <c r="M2041" t="b">
        <v>0</v>
      </c>
      <c r="N2041">
        <f>IFERROR(INDEX('Company Hitlist'!$AA:$AA,MATCH(D2041,'Company Hitlist'!$A:$A,0)),)</f>
        <v/>
      </c>
      <c r="O2041">
        <f>IFERROR(INDEX('Company Hitlist'!$N:$N,MATCH(D2041,'Company Hitlist'!$A:$A,0)),)</f>
        <v/>
      </c>
      <c r="Q2041" t="inlineStr">
        <is>
          <t>todo</t>
        </is>
      </c>
    </row>
    <row r="2042">
      <c r="A2042" t="inlineStr">
        <is>
          <t>Cassandra Baas</t>
        </is>
      </c>
      <c r="B2042" t="inlineStr">
        <is>
          <t>Attendee</t>
        </is>
      </c>
      <c r="C2042" t="inlineStr">
        <is>
          <t>VP of Parcel</t>
        </is>
      </c>
      <c r="D2042" t="inlineStr">
        <is>
          <t>Echo Global Logistics</t>
        </is>
      </c>
      <c r="E2042" t="inlineStr">
        <is>
          <t>United States</t>
        </is>
      </c>
      <c r="F2042" t="inlineStr">
        <is>
          <t>Yes</t>
        </is>
      </c>
      <c r="H2042" t="n">
        <v>6</v>
      </c>
      <c r="I2042" t="b">
        <v>0</v>
      </c>
      <c r="J2042" t="b">
        <v>1</v>
      </c>
      <c r="K2042" t="b">
        <v>0</v>
      </c>
      <c r="L2042" t="b">
        <v>0</v>
      </c>
      <c r="M2042" t="b">
        <v>0</v>
      </c>
      <c r="N2042">
        <f>IFERROR(INDEX('Company Hitlist'!$AA:$AA,MATCH(D2042,'Company Hitlist'!$A:$A,0)),)</f>
        <v/>
      </c>
      <c r="O2042">
        <f>IFERROR(INDEX('Company Hitlist'!$N:$N,MATCH(D2042,'Company Hitlist'!$A:$A,0)),)</f>
        <v/>
      </c>
      <c r="Q2042" t="inlineStr">
        <is>
          <t>todo</t>
        </is>
      </c>
    </row>
    <row r="2043">
      <c r="A2043" t="inlineStr">
        <is>
          <t>Marty Martin</t>
        </is>
      </c>
      <c r="B2043" t="inlineStr">
        <is>
          <t>Attendee</t>
        </is>
      </c>
      <c r="C2043" t="inlineStr">
        <is>
          <t>SVP LTL</t>
        </is>
      </c>
      <c r="D2043" t="inlineStr">
        <is>
          <t>Echo Global Logistics</t>
        </is>
      </c>
      <c r="E2043" t="inlineStr">
        <is>
          <t>United States</t>
        </is>
      </c>
      <c r="F2043" t="inlineStr">
        <is>
          <t>Yes</t>
        </is>
      </c>
      <c r="H2043" t="n">
        <v>6</v>
      </c>
      <c r="I2043" t="b">
        <v>0</v>
      </c>
      <c r="J2043" t="b">
        <v>1</v>
      </c>
      <c r="K2043" t="b">
        <v>0</v>
      </c>
      <c r="L2043" t="b">
        <v>0</v>
      </c>
      <c r="M2043" t="b">
        <v>0</v>
      </c>
      <c r="N2043">
        <f>IFERROR(INDEX('Company Hitlist'!$AA:$AA,MATCH(D2043,'Company Hitlist'!$A:$A,0)),)</f>
        <v/>
      </c>
      <c r="O2043">
        <f>IFERROR(INDEX('Company Hitlist'!$N:$N,MATCH(D2043,'Company Hitlist'!$A:$A,0)),)</f>
        <v/>
      </c>
      <c r="Q2043" t="inlineStr">
        <is>
          <t>todo</t>
        </is>
      </c>
    </row>
    <row r="2044">
      <c r="A2044" t="inlineStr">
        <is>
          <t>Zach Jecklin</t>
        </is>
      </c>
      <c r="B2044" t="inlineStr">
        <is>
          <t>Attendee</t>
        </is>
      </c>
      <c r="C2044" t="inlineStr">
        <is>
          <t>CIO</t>
        </is>
      </c>
      <c r="D2044" t="inlineStr">
        <is>
          <t>Echo Global Logistics</t>
        </is>
      </c>
      <c r="E2044" t="inlineStr">
        <is>
          <t>United States</t>
        </is>
      </c>
      <c r="F2044" t="inlineStr">
        <is>
          <t>Yes</t>
        </is>
      </c>
      <c r="H2044" t="n">
        <v>6</v>
      </c>
      <c r="I2044" t="b">
        <v>0</v>
      </c>
      <c r="J2044" t="b">
        <v>1</v>
      </c>
      <c r="K2044" t="b">
        <v>0</v>
      </c>
      <c r="L2044" t="b">
        <v>0</v>
      </c>
      <c r="M2044" t="b">
        <v>0</v>
      </c>
      <c r="N2044">
        <f>IFERROR(INDEX('Company Hitlist'!$AA:$AA,MATCH(D2044,'Company Hitlist'!$A:$A,0)),)</f>
        <v/>
      </c>
      <c r="O2044">
        <f>IFERROR(INDEX('Company Hitlist'!$N:$N,MATCH(D2044,'Company Hitlist'!$A:$A,0)),)</f>
        <v/>
      </c>
      <c r="Q2044" t="inlineStr">
        <is>
          <t>todo</t>
        </is>
      </c>
    </row>
    <row r="2045">
      <c r="A2045" t="inlineStr">
        <is>
          <t>Adam Osborn</t>
        </is>
      </c>
      <c r="B2045" t="inlineStr">
        <is>
          <t>Attendee</t>
        </is>
      </c>
      <c r="C2045" t="inlineStr">
        <is>
          <t>Head of Commercial - North America</t>
        </is>
      </c>
      <c r="D2045" t="inlineStr">
        <is>
          <t>Einride, Inc.</t>
        </is>
      </c>
      <c r="E2045" t="inlineStr">
        <is>
          <t>United States</t>
        </is>
      </c>
      <c r="F2045" t="inlineStr">
        <is>
          <t>Yes</t>
        </is>
      </c>
      <c r="H2045" t="n">
        <v>6</v>
      </c>
      <c r="I2045" t="b">
        <v>0</v>
      </c>
      <c r="J2045" t="b">
        <v>1</v>
      </c>
      <c r="K2045" t="b">
        <v>0</v>
      </c>
      <c r="L2045" t="b">
        <v>0</v>
      </c>
      <c r="M2045" t="b">
        <v>0</v>
      </c>
      <c r="N2045">
        <f>IFERROR(INDEX('Company Hitlist'!$AA:$AA,MATCH(D2045,'Company Hitlist'!$A:$A,0)),)</f>
        <v/>
      </c>
      <c r="O2045">
        <f>IFERROR(INDEX('Company Hitlist'!$N:$N,MATCH(D2045,'Company Hitlist'!$A:$A,0)),)</f>
        <v/>
      </c>
      <c r="Q2045" t="inlineStr">
        <is>
          <t>todo</t>
        </is>
      </c>
    </row>
    <row r="2046">
      <c r="A2046" t="inlineStr">
        <is>
          <t>Bradley Delizia</t>
        </is>
      </c>
      <c r="B2046" t="inlineStr">
        <is>
          <t>Attendee</t>
        </is>
      </c>
      <c r="C2046" t="inlineStr">
        <is>
          <t>Sr Vice President</t>
        </is>
      </c>
      <c r="D2046" t="inlineStr">
        <is>
          <t>Elemica</t>
        </is>
      </c>
      <c r="E2046" t="inlineStr">
        <is>
          <t>United States</t>
        </is>
      </c>
      <c r="F2046" t="inlineStr">
        <is>
          <t>Yes</t>
        </is>
      </c>
      <c r="G2046" t="inlineStr">
        <is>
          <t>$72.5 million (2025)</t>
        </is>
      </c>
      <c r="H2046" t="n">
        <v>6</v>
      </c>
      <c r="I2046" t="b">
        <v>0</v>
      </c>
      <c r="J2046" t="b">
        <v>1</v>
      </c>
      <c r="K2046" t="b">
        <v>0</v>
      </c>
      <c r="L2046" t="b">
        <v>0</v>
      </c>
      <c r="M2046" t="b">
        <v>0</v>
      </c>
      <c r="N2046">
        <f>IFERROR(INDEX('Company Hitlist'!$AA:$AA,MATCH(D2046,'Company Hitlist'!$A:$A,0)),)</f>
        <v/>
      </c>
      <c r="O2046">
        <f>IFERROR(INDEX('Company Hitlist'!$N:$N,MATCH(D2046,'Company Hitlist'!$A:$A,0)),)</f>
        <v/>
      </c>
      <c r="Q2046" t="inlineStr">
        <is>
          <t>todo</t>
        </is>
      </c>
    </row>
    <row r="2047">
      <c r="A2047" t="inlineStr">
        <is>
          <t>Brian Yeung</t>
        </is>
      </c>
      <c r="B2047" t="inlineStr">
        <is>
          <t>Attendee</t>
        </is>
      </c>
      <c r="C2047" t="inlineStr">
        <is>
          <t>Head of Integrated Planning</t>
        </is>
      </c>
      <c r="D2047" t="inlineStr">
        <is>
          <t>Elida Beauty</t>
        </is>
      </c>
      <c r="F2047" t="inlineStr">
        <is>
          <t>Yes</t>
        </is>
      </c>
      <c r="G2047" t="inlineStr">
        <is>
          <t>$500M (2024 est.; projected $550M in 2025)</t>
        </is>
      </c>
      <c r="H2047" t="n">
        <v>6</v>
      </c>
      <c r="I2047" t="b">
        <v>0</v>
      </c>
      <c r="J2047" t="b">
        <v>1</v>
      </c>
      <c r="K2047" t="b">
        <v>0</v>
      </c>
      <c r="L2047" t="b">
        <v>0</v>
      </c>
      <c r="M2047" t="b">
        <v>0</v>
      </c>
      <c r="N2047">
        <f>IFERROR(INDEX('Company Hitlist'!$AA:$AA,MATCH(D2047,'Company Hitlist'!$A:$A,0)),)</f>
        <v/>
      </c>
      <c r="O2047">
        <f>IFERROR(INDEX('Company Hitlist'!$N:$N,MATCH(D2047,'Company Hitlist'!$A:$A,0)),)</f>
        <v/>
      </c>
      <c r="Q2047" t="inlineStr">
        <is>
          <t>todo</t>
        </is>
      </c>
    </row>
    <row r="2048">
      <c r="A2048" t="inlineStr">
        <is>
          <t>Diana Westland</t>
        </is>
      </c>
      <c r="B2048" t="inlineStr">
        <is>
          <t>Attendee</t>
        </is>
      </c>
      <c r="C2048" t="inlineStr">
        <is>
          <t>Head of Customer Service and Canada SC</t>
        </is>
      </c>
      <c r="D2048" t="inlineStr">
        <is>
          <t>Elida Beauty</t>
        </is>
      </c>
      <c r="F2048" t="inlineStr">
        <is>
          <t>Yes</t>
        </is>
      </c>
      <c r="G2048" t="inlineStr">
        <is>
          <t>$500M (2024 est.; projected $550M in 2025)</t>
        </is>
      </c>
      <c r="H2048" t="n">
        <v>6</v>
      </c>
      <c r="I2048" t="b">
        <v>0</v>
      </c>
      <c r="J2048" t="b">
        <v>1</v>
      </c>
      <c r="K2048" t="b">
        <v>0</v>
      </c>
      <c r="L2048" t="b">
        <v>0</v>
      </c>
      <c r="M2048" t="b">
        <v>0</v>
      </c>
      <c r="N2048">
        <f>IFERROR(INDEX('Company Hitlist'!$AA:$AA,MATCH(D2048,'Company Hitlist'!$A:$A,0)),)</f>
        <v/>
      </c>
      <c r="O2048">
        <f>IFERROR(INDEX('Company Hitlist'!$N:$N,MATCH(D2048,'Company Hitlist'!$A:$A,0)),)</f>
        <v/>
      </c>
      <c r="Q2048" t="inlineStr">
        <is>
          <t>todo</t>
        </is>
      </c>
    </row>
    <row r="2049">
      <c r="A2049" t="inlineStr">
        <is>
          <t>Hans Hickler</t>
        </is>
      </c>
      <c r="B2049" t="inlineStr">
        <is>
          <t>Attendee</t>
        </is>
      </c>
      <c r="C2049" t="inlineStr">
        <is>
          <t>Founder &amp; CEO</t>
        </is>
      </c>
      <c r="D2049" t="inlineStr">
        <is>
          <t>Ellipsis Advisors</t>
        </is>
      </c>
      <c r="E2049" t="inlineStr">
        <is>
          <t>United States</t>
        </is>
      </c>
      <c r="H2049" t="n">
        <v>6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>
        <f>IFERROR(INDEX('Company Hitlist'!$AA:$AA,MATCH(D2049,'Company Hitlist'!$A:$A,0)),)</f>
        <v/>
      </c>
      <c r="O2049">
        <f>IFERROR(INDEX('Company Hitlist'!$N:$N,MATCH(D2049,'Company Hitlist'!$A:$A,0)),)</f>
        <v/>
      </c>
      <c r="Q2049" t="inlineStr">
        <is>
          <t>todo</t>
        </is>
      </c>
    </row>
    <row r="2050">
      <c r="A2050" t="inlineStr">
        <is>
          <t>Ariel Palones</t>
        </is>
      </c>
      <c r="B2050" t="inlineStr">
        <is>
          <t>Attendee</t>
        </is>
      </c>
      <c r="C2050" t="inlineStr">
        <is>
          <t>Co-Founder &amp; CEO</t>
        </is>
      </c>
      <c r="D2050" t="inlineStr">
        <is>
          <t>Emerix</t>
        </is>
      </c>
      <c r="H2050" t="n">
        <v>6</v>
      </c>
      <c r="I2050" t="b">
        <v>0</v>
      </c>
      <c r="J2050" t="b">
        <v>1</v>
      </c>
      <c r="K2050" t="b">
        <v>0</v>
      </c>
      <c r="L2050" t="b">
        <v>0</v>
      </c>
      <c r="M2050" t="b">
        <v>0</v>
      </c>
      <c r="N2050">
        <f>IFERROR(INDEX('Company Hitlist'!$AA:$AA,MATCH(D2050,'Company Hitlist'!$A:$A,0)),)</f>
        <v/>
      </c>
      <c r="O2050">
        <f>IFERROR(INDEX('Company Hitlist'!$N:$N,MATCH(D2050,'Company Hitlist'!$A:$A,0)),)</f>
        <v/>
      </c>
      <c r="Q2050" t="inlineStr">
        <is>
          <t>todo</t>
        </is>
      </c>
    </row>
    <row r="2051">
      <c r="A2051" t="inlineStr">
        <is>
          <t>Rahul Lamba</t>
        </is>
      </c>
      <c r="B2051" t="inlineStr">
        <is>
          <t>Attendee</t>
        </is>
      </c>
      <c r="C2051" t="inlineStr">
        <is>
          <t>Vice President</t>
        </is>
      </c>
      <c r="D2051" t="inlineStr">
        <is>
          <t>Endeavour</t>
        </is>
      </c>
      <c r="E2051" t="inlineStr">
        <is>
          <t>United States</t>
        </is>
      </c>
      <c r="H2051" t="n">
        <v>6</v>
      </c>
      <c r="I2051" t="b">
        <v>0</v>
      </c>
      <c r="J2051" t="b">
        <v>1</v>
      </c>
      <c r="K2051" t="b">
        <v>0</v>
      </c>
      <c r="L2051" t="b">
        <v>0</v>
      </c>
      <c r="M2051" t="b">
        <v>0</v>
      </c>
      <c r="N2051">
        <f>IFERROR(INDEX('Company Hitlist'!$AA:$AA,MATCH(D2051,'Company Hitlist'!$A:$A,0)),)</f>
        <v/>
      </c>
      <c r="O2051">
        <f>IFERROR(INDEX('Company Hitlist'!$N:$N,MATCH(D2051,'Company Hitlist'!$A:$A,0)),)</f>
        <v/>
      </c>
      <c r="Q2051" t="inlineStr">
        <is>
          <t>todo</t>
        </is>
      </c>
    </row>
    <row r="2052">
      <c r="A2052" t="inlineStr">
        <is>
          <t>Michael Cinquino</t>
        </is>
      </c>
      <c r="B2052" t="inlineStr">
        <is>
          <t>Attendee</t>
        </is>
      </c>
      <c r="C2052" t="inlineStr">
        <is>
          <t>President &amp; CEO</t>
        </is>
      </c>
      <c r="D2052" t="inlineStr">
        <is>
          <t>Energy Transportation Group</t>
        </is>
      </c>
      <c r="F2052" t="inlineStr">
        <is>
          <t>Yes</t>
        </is>
      </c>
      <c r="H2052" t="n">
        <v>6</v>
      </c>
      <c r="I2052" t="b">
        <v>0</v>
      </c>
      <c r="J2052" t="b">
        <v>1</v>
      </c>
      <c r="K2052" t="b">
        <v>0</v>
      </c>
      <c r="L2052" t="b">
        <v>0</v>
      </c>
      <c r="M2052" t="b">
        <v>0</v>
      </c>
      <c r="N2052">
        <f>IFERROR(INDEX('Company Hitlist'!$AA:$AA,MATCH(D2052,'Company Hitlist'!$A:$A,0)),)</f>
        <v/>
      </c>
      <c r="O2052">
        <f>IFERROR(INDEX('Company Hitlist'!$N:$N,MATCH(D2052,'Company Hitlist'!$A:$A,0)),)</f>
        <v/>
      </c>
      <c r="Q2052" t="inlineStr">
        <is>
          <t>todo</t>
        </is>
      </c>
    </row>
    <row r="2053">
      <c r="A2053" t="inlineStr">
        <is>
          <t>Shawn Girard</t>
        </is>
      </c>
      <c r="B2053" t="inlineStr">
        <is>
          <t>Attendee</t>
        </is>
      </c>
      <c r="C2053" t="inlineStr">
        <is>
          <t>CEO &amp; CCO</t>
        </is>
      </c>
      <c r="D2053" t="inlineStr">
        <is>
          <t>Energy Transportation Group</t>
        </is>
      </c>
      <c r="F2053" t="inlineStr">
        <is>
          <t>Yes</t>
        </is>
      </c>
      <c r="H2053" t="n">
        <v>6</v>
      </c>
      <c r="I2053" t="b">
        <v>0</v>
      </c>
      <c r="J2053" t="b">
        <v>1</v>
      </c>
      <c r="K2053" t="b">
        <v>0</v>
      </c>
      <c r="L2053" t="b">
        <v>0</v>
      </c>
      <c r="M2053" t="b">
        <v>0</v>
      </c>
      <c r="N2053">
        <f>IFERROR(INDEX('Company Hitlist'!$AA:$AA,MATCH(D2053,'Company Hitlist'!$A:$A,0)),)</f>
        <v/>
      </c>
      <c r="O2053">
        <f>IFERROR(INDEX('Company Hitlist'!$N:$N,MATCH(D2053,'Company Hitlist'!$A:$A,0)),)</f>
        <v/>
      </c>
      <c r="Q2053" t="inlineStr">
        <is>
          <t>todo</t>
        </is>
      </c>
    </row>
    <row r="2054">
      <c r="A2054" t="inlineStr">
        <is>
          <t>Greg O'Connor</t>
        </is>
      </c>
      <c r="B2054" t="inlineStr">
        <is>
          <t>Attendee</t>
        </is>
      </c>
      <c r="C2054" t="inlineStr">
        <is>
          <t>Vice President</t>
        </is>
      </c>
      <c r="D2054" t="inlineStr">
        <is>
          <t>Evercore</t>
        </is>
      </c>
      <c r="E2054" t="inlineStr">
        <is>
          <t>United States</t>
        </is>
      </c>
      <c r="H2054" t="n">
        <v>6</v>
      </c>
      <c r="I2054" t="b">
        <v>0</v>
      </c>
      <c r="J2054" t="b">
        <v>1</v>
      </c>
      <c r="K2054" t="b">
        <v>0</v>
      </c>
      <c r="L2054" t="b">
        <v>0</v>
      </c>
      <c r="M2054" t="b">
        <v>0</v>
      </c>
      <c r="N2054">
        <f>IFERROR(INDEX('Company Hitlist'!$AA:$AA,MATCH(D2054,'Company Hitlist'!$A:$A,0)),)</f>
        <v/>
      </c>
      <c r="O2054">
        <f>IFERROR(INDEX('Company Hitlist'!$N:$N,MATCH(D2054,'Company Hitlist'!$A:$A,0)),)</f>
        <v/>
      </c>
      <c r="Q2054" t="inlineStr">
        <is>
          <t>todo</t>
        </is>
      </c>
    </row>
    <row r="2055">
      <c r="A2055" t="inlineStr">
        <is>
          <t>Dan Tram</t>
        </is>
      </c>
      <c r="B2055" t="inlineStr">
        <is>
          <t>Attendee</t>
        </is>
      </c>
      <c r="C2055" t="inlineStr">
        <is>
          <t>CEO &amp; Founder</t>
        </is>
      </c>
      <c r="D2055" t="inlineStr">
        <is>
          <t>Everest AI</t>
        </is>
      </c>
      <c r="E2055" t="inlineStr">
        <is>
          <t>United States</t>
        </is>
      </c>
      <c r="F2055" t="inlineStr">
        <is>
          <t>Yes</t>
        </is>
      </c>
      <c r="H2055" t="n">
        <v>6</v>
      </c>
      <c r="I2055" t="b">
        <v>0</v>
      </c>
      <c r="J2055" t="b">
        <v>1</v>
      </c>
      <c r="K2055" t="b">
        <v>0</v>
      </c>
      <c r="L2055" t="b">
        <v>0</v>
      </c>
      <c r="M2055" t="b">
        <v>0</v>
      </c>
      <c r="N2055">
        <f>IFERROR(INDEX('Company Hitlist'!$AA:$AA,MATCH(D2055,'Company Hitlist'!$A:$A,0)),)</f>
        <v/>
      </c>
      <c r="O2055">
        <f>IFERROR(INDEX('Company Hitlist'!$N:$N,MATCH(D2055,'Company Hitlist'!$A:$A,0)),)</f>
        <v/>
      </c>
      <c r="Q2055" t="inlineStr">
        <is>
          <t>todo</t>
        </is>
      </c>
    </row>
    <row r="2056">
      <c r="A2056" t="inlineStr">
        <is>
          <t>Kristin Ruder</t>
        </is>
      </c>
      <c r="B2056" t="inlineStr">
        <is>
          <t>Attendee</t>
        </is>
      </c>
      <c r="C2056" t="inlineStr">
        <is>
          <t>VP of Strategic Partnerships</t>
        </is>
      </c>
      <c r="D2056" t="inlineStr">
        <is>
          <t>Expedite All</t>
        </is>
      </c>
      <c r="E2056" t="inlineStr">
        <is>
          <t>United States</t>
        </is>
      </c>
      <c r="F2056" t="inlineStr">
        <is>
          <t>Yes</t>
        </is>
      </c>
      <c r="H2056" t="n">
        <v>6</v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>
        <f>IFERROR(INDEX('Company Hitlist'!$AA:$AA,MATCH(D2056,'Company Hitlist'!$A:$A,0)),)</f>
        <v/>
      </c>
      <c r="O2056">
        <f>IFERROR(INDEX('Company Hitlist'!$N:$N,MATCH(D2056,'Company Hitlist'!$A:$A,0)),)</f>
        <v/>
      </c>
      <c r="Q2056" t="inlineStr">
        <is>
          <t>todo</t>
        </is>
      </c>
    </row>
    <row r="2057">
      <c r="A2057" t="inlineStr">
        <is>
          <t>Melissa Marcsisak</t>
        </is>
      </c>
      <c r="B2057" t="inlineStr">
        <is>
          <t>Attendee</t>
        </is>
      </c>
      <c r="C2057" t="inlineStr">
        <is>
          <t>Chief Operating Officer</t>
        </is>
      </c>
      <c r="D2057" t="inlineStr">
        <is>
          <t>Express Logistics Inc</t>
        </is>
      </c>
      <c r="H2057" t="n">
        <v>6</v>
      </c>
      <c r="I2057" t="b">
        <v>0</v>
      </c>
      <c r="J2057" t="b">
        <v>1</v>
      </c>
      <c r="K2057" t="b">
        <v>0</v>
      </c>
      <c r="L2057" t="b">
        <v>0</v>
      </c>
      <c r="M2057" t="b">
        <v>0</v>
      </c>
      <c r="N2057">
        <f>IFERROR(INDEX('Company Hitlist'!$AA:$AA,MATCH(D2057,'Company Hitlist'!$A:$A,0)),)</f>
        <v/>
      </c>
      <c r="O2057">
        <f>IFERROR(INDEX('Company Hitlist'!$N:$N,MATCH(D2057,'Company Hitlist'!$A:$A,0)),)</f>
        <v/>
      </c>
      <c r="Q2057" t="inlineStr">
        <is>
          <t>todo</t>
        </is>
      </c>
    </row>
    <row r="2058">
      <c r="A2058" t="inlineStr">
        <is>
          <t>Chad Baker</t>
        </is>
      </c>
      <c r="B2058" t="inlineStr">
        <is>
          <t>Attendee</t>
        </is>
      </c>
      <c r="C2058" t="inlineStr">
        <is>
          <t>CFO</t>
        </is>
      </c>
      <c r="D2058" t="inlineStr">
        <is>
          <t>Express Logistics Inc.</t>
        </is>
      </c>
      <c r="F2058" t="inlineStr">
        <is>
          <t>Yes</t>
        </is>
      </c>
      <c r="H2058" t="n">
        <v>6</v>
      </c>
      <c r="I2058" t="b">
        <v>0</v>
      </c>
      <c r="J2058" t="b">
        <v>1</v>
      </c>
      <c r="K2058" t="b">
        <v>0</v>
      </c>
      <c r="L2058" t="b">
        <v>0</v>
      </c>
      <c r="M2058" t="b">
        <v>0</v>
      </c>
      <c r="N2058">
        <f>IFERROR(INDEX('Company Hitlist'!$AA:$AA,MATCH(D2058,'Company Hitlist'!$A:$A,0)),)</f>
        <v/>
      </c>
      <c r="O2058">
        <f>IFERROR(INDEX('Company Hitlist'!$N:$N,MATCH(D2058,'Company Hitlist'!$A:$A,0)),)</f>
        <v/>
      </c>
      <c r="Q2058" t="inlineStr">
        <is>
          <t>todo</t>
        </is>
      </c>
    </row>
    <row r="2059">
      <c r="A2059" t="inlineStr">
        <is>
          <t>Chad Rubner</t>
        </is>
      </c>
      <c r="B2059" t="inlineStr">
        <is>
          <t>Attendee</t>
        </is>
      </c>
      <c r="C2059" t="inlineStr">
        <is>
          <t>CEO</t>
        </is>
      </c>
      <c r="D2059" t="inlineStr">
        <is>
          <t>Express Logistics Inc.</t>
        </is>
      </c>
      <c r="F2059" t="inlineStr">
        <is>
          <t>Yes</t>
        </is>
      </c>
      <c r="H2059" t="n">
        <v>6</v>
      </c>
      <c r="I2059" t="b">
        <v>0</v>
      </c>
      <c r="J2059" t="b">
        <v>1</v>
      </c>
      <c r="K2059" t="b">
        <v>0</v>
      </c>
      <c r="L2059" t="b">
        <v>0</v>
      </c>
      <c r="M2059" t="b">
        <v>0</v>
      </c>
      <c r="N2059">
        <f>IFERROR(INDEX('Company Hitlist'!$AA:$AA,MATCH(D2059,'Company Hitlist'!$A:$A,0)),)</f>
        <v/>
      </c>
      <c r="O2059">
        <f>IFERROR(INDEX('Company Hitlist'!$N:$N,MATCH(D2059,'Company Hitlist'!$A:$A,0)),)</f>
        <v/>
      </c>
      <c r="Q2059" t="inlineStr">
        <is>
          <t>todo</t>
        </is>
      </c>
    </row>
    <row r="2060">
      <c r="A2060" t="inlineStr">
        <is>
          <t>Aaron Stead</t>
        </is>
      </c>
      <c r="B2060" t="inlineStr">
        <is>
          <t>Attendee</t>
        </is>
      </c>
      <c r="C2060" t="inlineStr">
        <is>
          <t>Chief Executive Officer</t>
        </is>
      </c>
      <c r="D2060" t="inlineStr">
        <is>
          <t>Extensiv</t>
        </is>
      </c>
      <c r="E2060" t="inlineStr">
        <is>
          <t>United States</t>
        </is>
      </c>
      <c r="F2060" t="inlineStr">
        <is>
          <t>Yes</t>
        </is>
      </c>
      <c r="H2060" t="n">
        <v>6</v>
      </c>
      <c r="I2060" t="b">
        <v>0</v>
      </c>
      <c r="J2060" t="b">
        <v>1</v>
      </c>
      <c r="K2060" t="b">
        <v>0</v>
      </c>
      <c r="L2060" t="b">
        <v>0</v>
      </c>
      <c r="M2060" t="b">
        <v>0</v>
      </c>
      <c r="N2060">
        <f>IFERROR(INDEX('Company Hitlist'!$AA:$AA,MATCH(D2060,'Company Hitlist'!$A:$A,0)),)</f>
        <v/>
      </c>
      <c r="O2060">
        <f>IFERROR(INDEX('Company Hitlist'!$N:$N,MATCH(D2060,'Company Hitlist'!$A:$A,0)),)</f>
        <v/>
      </c>
      <c r="Q2060" t="inlineStr">
        <is>
          <t>todo</t>
        </is>
      </c>
    </row>
    <row r="2061">
      <c r="A2061" t="inlineStr">
        <is>
          <t>John Sproat</t>
        </is>
      </c>
      <c r="B2061" t="inlineStr">
        <is>
          <t>Attendee</t>
        </is>
      </c>
      <c r="C2061" t="inlineStr">
        <is>
          <t>COO</t>
        </is>
      </c>
      <c r="D2061" t="inlineStr">
        <is>
          <t>FB CANADA EXPRESS</t>
        </is>
      </c>
      <c r="F2061" t="inlineStr">
        <is>
          <t>Yes</t>
        </is>
      </c>
      <c r="H2061" t="n">
        <v>6</v>
      </c>
      <c r="I2061" t="b">
        <v>0</v>
      </c>
      <c r="J2061" t="b">
        <v>1</v>
      </c>
      <c r="K2061" t="b">
        <v>0</v>
      </c>
      <c r="L2061" t="b">
        <v>0</v>
      </c>
      <c r="M2061" t="b">
        <v>0</v>
      </c>
      <c r="N2061">
        <f>IFERROR(INDEX('Company Hitlist'!$AA:$AA,MATCH(D2061,'Company Hitlist'!$A:$A,0)),)</f>
        <v/>
      </c>
      <c r="O2061">
        <f>IFERROR(INDEX('Company Hitlist'!$N:$N,MATCH(D2061,'Company Hitlist'!$A:$A,0)),)</f>
        <v/>
      </c>
      <c r="Q2061" t="inlineStr">
        <is>
          <t>todo</t>
        </is>
      </c>
    </row>
    <row r="2062">
      <c r="A2062" t="inlineStr">
        <is>
          <t>Nicholas Timmins</t>
        </is>
      </c>
      <c r="B2062" t="inlineStr">
        <is>
          <t>Attendee</t>
        </is>
      </c>
      <c r="C2062" t="inlineStr">
        <is>
          <t>President</t>
        </is>
      </c>
      <c r="D2062" t="inlineStr">
        <is>
          <t>FB CANADA EXPRESS</t>
        </is>
      </c>
      <c r="F2062" t="inlineStr">
        <is>
          <t>Yes</t>
        </is>
      </c>
      <c r="H2062" t="n">
        <v>6</v>
      </c>
      <c r="I2062" t="b">
        <v>0</v>
      </c>
      <c r="J2062" t="b">
        <v>1</v>
      </c>
      <c r="K2062" t="b">
        <v>0</v>
      </c>
      <c r="L2062" t="b">
        <v>0</v>
      </c>
      <c r="M2062" t="b">
        <v>0</v>
      </c>
      <c r="N2062">
        <f>IFERROR(INDEX('Company Hitlist'!$AA:$AA,MATCH(D2062,'Company Hitlist'!$A:$A,0)),)</f>
        <v/>
      </c>
      <c r="O2062">
        <f>IFERROR(INDEX('Company Hitlist'!$N:$N,MATCH(D2062,'Company Hitlist'!$A:$A,0)),)</f>
        <v/>
      </c>
      <c r="Q2062" t="inlineStr">
        <is>
          <t>todo</t>
        </is>
      </c>
    </row>
    <row r="2063">
      <c r="A2063" t="inlineStr">
        <is>
          <t>Flavio Marinho</t>
        </is>
      </c>
      <c r="B2063" t="inlineStr">
        <is>
          <t>Attendee</t>
        </is>
      </c>
      <c r="C2063" t="inlineStr">
        <is>
          <t>CEO</t>
        </is>
      </c>
      <c r="D2063" t="inlineStr">
        <is>
          <t>FM Transp</t>
        </is>
      </c>
      <c r="E2063" t="inlineStr">
        <is>
          <t>Brazil</t>
        </is>
      </c>
      <c r="F2063" t="inlineStr">
        <is>
          <t>Yes</t>
        </is>
      </c>
      <c r="H2063" t="n">
        <v>6</v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  <c r="N2063">
        <f>IFERROR(INDEX('Company Hitlist'!$AA:$AA,MATCH(D2063,'Company Hitlist'!$A:$A,0)),)</f>
        <v/>
      </c>
      <c r="O2063">
        <f>IFERROR(INDEX('Company Hitlist'!$N:$N,MATCH(D2063,'Company Hitlist'!$A:$A,0)),)</f>
        <v/>
      </c>
      <c r="Q2063" t="inlineStr">
        <is>
          <t>todo</t>
        </is>
      </c>
    </row>
    <row r="2064">
      <c r="A2064" t="inlineStr">
        <is>
          <t>Michael Hood</t>
        </is>
      </c>
      <c r="B2064" t="inlineStr">
        <is>
          <t>Attendee</t>
        </is>
      </c>
      <c r="C2064" t="inlineStr">
        <is>
          <t>VP Tech</t>
        </is>
      </c>
      <c r="D2064" t="inlineStr">
        <is>
          <t>FSL Group LLC</t>
        </is>
      </c>
      <c r="E2064" t="inlineStr">
        <is>
          <t>United States</t>
        </is>
      </c>
      <c r="F2064" t="inlineStr">
        <is>
          <t>Yes</t>
        </is>
      </c>
      <c r="H2064" t="n">
        <v>6</v>
      </c>
      <c r="I2064" t="b">
        <v>0</v>
      </c>
      <c r="J2064" t="b">
        <v>1</v>
      </c>
      <c r="K2064" t="b">
        <v>0</v>
      </c>
      <c r="L2064" t="b">
        <v>0</v>
      </c>
      <c r="M2064" t="b">
        <v>0</v>
      </c>
      <c r="N2064">
        <f>IFERROR(INDEX('Company Hitlist'!$AA:$AA,MATCH(D2064,'Company Hitlist'!$A:$A,0)),)</f>
        <v/>
      </c>
      <c r="O2064">
        <f>IFERROR(INDEX('Company Hitlist'!$N:$N,MATCH(D2064,'Company Hitlist'!$A:$A,0)),)</f>
        <v/>
      </c>
      <c r="Q2064" t="inlineStr">
        <is>
          <t>todo</t>
        </is>
      </c>
    </row>
    <row r="2065">
      <c r="A2065" t="inlineStr">
        <is>
          <t>Brandon Lee</t>
        </is>
      </c>
      <c r="B2065" t="inlineStr">
        <is>
          <t>Attendee</t>
        </is>
      </c>
      <c r="C2065" t="inlineStr">
        <is>
          <t>VP, Vendor Quality &amp; Compliance</t>
        </is>
      </c>
      <c r="D2065" t="inlineStr">
        <is>
          <t>Fabletics</t>
        </is>
      </c>
      <c r="F2065" t="inlineStr">
        <is>
          <t>Yes</t>
        </is>
      </c>
      <c r="G2065" t="inlineStr">
        <is>
          <t>$500M (2024 est.; projected $550M in 2025)</t>
        </is>
      </c>
      <c r="H2065" t="n">
        <v>6</v>
      </c>
      <c r="I2065" t="b">
        <v>0</v>
      </c>
      <c r="J2065" t="b">
        <v>1</v>
      </c>
      <c r="K2065" t="b">
        <v>0</v>
      </c>
      <c r="L2065" t="b">
        <v>0</v>
      </c>
      <c r="M2065" t="b">
        <v>0</v>
      </c>
      <c r="N2065">
        <f>IFERROR(INDEX('Company Hitlist'!$AA:$AA,MATCH(D2065,'Company Hitlist'!$A:$A,0)),)</f>
        <v/>
      </c>
      <c r="O2065">
        <f>IFERROR(INDEX('Company Hitlist'!$N:$N,MATCH(D2065,'Company Hitlist'!$A:$A,0)),)</f>
        <v/>
      </c>
      <c r="Q2065" t="inlineStr">
        <is>
          <t>todo</t>
        </is>
      </c>
    </row>
    <row r="2066">
      <c r="A2066" t="inlineStr">
        <is>
          <t>Wiener Mondesir</t>
        </is>
      </c>
      <c r="B2066" t="inlineStr">
        <is>
          <t>Attendee</t>
        </is>
      </c>
      <c r="C2066" t="inlineStr">
        <is>
          <t>CEO</t>
        </is>
      </c>
      <c r="D2066" t="inlineStr">
        <is>
          <t>Fexel</t>
        </is>
      </c>
      <c r="E2066" t="inlineStr">
        <is>
          <t>United States</t>
        </is>
      </c>
      <c r="F2066" t="inlineStr">
        <is>
          <t>Yes</t>
        </is>
      </c>
      <c r="H2066" t="n">
        <v>6</v>
      </c>
      <c r="I2066" t="b">
        <v>0</v>
      </c>
      <c r="J2066" t="b">
        <v>1</v>
      </c>
      <c r="K2066" t="b">
        <v>0</v>
      </c>
      <c r="L2066" t="b">
        <v>0</v>
      </c>
      <c r="M2066" t="b">
        <v>0</v>
      </c>
      <c r="N2066">
        <f>IFERROR(INDEX('Company Hitlist'!$AA:$AA,MATCH(D2066,'Company Hitlist'!$A:$A,0)),)</f>
        <v/>
      </c>
      <c r="O2066">
        <f>IFERROR(INDEX('Company Hitlist'!$N:$N,MATCH(D2066,'Company Hitlist'!$A:$A,0)),)</f>
        <v/>
      </c>
      <c r="Q2066" t="inlineStr">
        <is>
          <t>todo</t>
        </is>
      </c>
    </row>
    <row r="2067">
      <c r="A2067" t="inlineStr">
        <is>
          <t>Hari Menon</t>
        </is>
      </c>
      <c r="B2067" t="inlineStr">
        <is>
          <t>Attendee</t>
        </is>
      </c>
      <c r="C2067" t="inlineStr">
        <is>
          <t>CEO</t>
        </is>
      </c>
      <c r="D2067" t="inlineStr">
        <is>
          <t>Firstshift Inc</t>
        </is>
      </c>
      <c r="E2067" t="inlineStr">
        <is>
          <t>United States</t>
        </is>
      </c>
      <c r="F2067" t="inlineStr">
        <is>
          <t>Yes</t>
        </is>
      </c>
      <c r="H2067" t="n">
        <v>6</v>
      </c>
      <c r="I2067" t="b">
        <v>0</v>
      </c>
      <c r="J2067" t="b">
        <v>1</v>
      </c>
      <c r="K2067" t="b">
        <v>0</v>
      </c>
      <c r="L2067" t="b">
        <v>0</v>
      </c>
      <c r="M2067" t="b">
        <v>0</v>
      </c>
      <c r="N2067">
        <f>IFERROR(INDEX('Company Hitlist'!$AA:$AA,MATCH(D2067,'Company Hitlist'!$A:$A,0)),)</f>
        <v/>
      </c>
      <c r="O2067">
        <f>IFERROR(INDEX('Company Hitlist'!$N:$N,MATCH(D2067,'Company Hitlist'!$A:$A,0)),)</f>
        <v/>
      </c>
      <c r="Q2067" t="inlineStr">
        <is>
          <t>todo</t>
        </is>
      </c>
    </row>
    <row r="2068">
      <c r="A2068" t="inlineStr">
        <is>
          <t>Jacob Scherb</t>
        </is>
      </c>
      <c r="B2068" t="inlineStr">
        <is>
          <t>Attendee</t>
        </is>
      </c>
      <c r="C2068" t="inlineStr">
        <is>
          <t>CTO</t>
        </is>
      </c>
      <c r="D2068" t="inlineStr">
        <is>
          <t>Fitzmark</t>
        </is>
      </c>
      <c r="E2068" t="inlineStr">
        <is>
          <t>United States</t>
        </is>
      </c>
      <c r="H2068" t="n">
        <v>6</v>
      </c>
      <c r="I2068" t="b">
        <v>0</v>
      </c>
      <c r="J2068" t="b">
        <v>1</v>
      </c>
      <c r="K2068" t="b">
        <v>0</v>
      </c>
      <c r="L2068" t="b">
        <v>0</v>
      </c>
      <c r="M2068" t="b">
        <v>0</v>
      </c>
      <c r="N2068">
        <f>IFERROR(INDEX('Company Hitlist'!$AA:$AA,MATCH(D2068,'Company Hitlist'!$A:$A,0)),)</f>
        <v/>
      </c>
      <c r="O2068">
        <f>IFERROR(INDEX('Company Hitlist'!$N:$N,MATCH(D2068,'Company Hitlist'!$A:$A,0)),)</f>
        <v/>
      </c>
      <c r="Q2068" t="inlineStr">
        <is>
          <t>todo</t>
        </is>
      </c>
    </row>
    <row r="2069">
      <c r="A2069" t="inlineStr">
        <is>
          <t>Josh Mazin</t>
        </is>
      </c>
      <c r="B2069" t="inlineStr">
        <is>
          <t>Attendee</t>
        </is>
      </c>
      <c r="C2069" t="inlineStr">
        <is>
          <t>President</t>
        </is>
      </c>
      <c r="D2069" t="inlineStr">
        <is>
          <t>Flamemaster</t>
        </is>
      </c>
      <c r="H2069" t="n">
        <v>6</v>
      </c>
      <c r="I2069" t="b">
        <v>0</v>
      </c>
      <c r="J2069" t="b">
        <v>1</v>
      </c>
      <c r="K2069" t="b">
        <v>0</v>
      </c>
      <c r="L2069" t="b">
        <v>0</v>
      </c>
      <c r="M2069" t="b">
        <v>0</v>
      </c>
      <c r="N2069">
        <f>IFERROR(INDEX('Company Hitlist'!$AA:$AA,MATCH(D2069,'Company Hitlist'!$A:$A,0)),)</f>
        <v/>
      </c>
      <c r="O2069">
        <f>IFERROR(INDEX('Company Hitlist'!$N:$N,MATCH(D2069,'Company Hitlist'!$A:$A,0)),)</f>
        <v/>
      </c>
      <c r="Q2069" t="inlineStr">
        <is>
          <t>todo</t>
        </is>
      </c>
    </row>
    <row r="2070">
      <c r="A2070" t="inlineStr">
        <is>
          <t>Courtney Reinert</t>
        </is>
      </c>
      <c r="B2070" t="inlineStr">
        <is>
          <t>Attendee</t>
        </is>
      </c>
      <c r="C2070" t="inlineStr">
        <is>
          <t>COO</t>
        </is>
      </c>
      <c r="D2070" t="inlineStr">
        <is>
          <t>Fleet Defender</t>
        </is>
      </c>
      <c r="E2070" t="inlineStr">
        <is>
          <t>United States</t>
        </is>
      </c>
      <c r="F2070" t="inlineStr">
        <is>
          <t>Yes</t>
        </is>
      </c>
      <c r="H2070" t="n">
        <v>6</v>
      </c>
      <c r="I2070" t="b">
        <v>0</v>
      </c>
      <c r="J2070" t="b">
        <v>1</v>
      </c>
      <c r="K2070" t="b">
        <v>0</v>
      </c>
      <c r="L2070" t="b">
        <v>0</v>
      </c>
      <c r="M2070" t="b">
        <v>0</v>
      </c>
      <c r="N2070">
        <f>IFERROR(INDEX('Company Hitlist'!$AA:$AA,MATCH(D2070,'Company Hitlist'!$A:$A,0)),)</f>
        <v/>
      </c>
      <c r="O2070">
        <f>IFERROR(INDEX('Company Hitlist'!$N:$N,MATCH(D2070,'Company Hitlist'!$A:$A,0)),)</f>
        <v/>
      </c>
      <c r="Q2070" t="inlineStr">
        <is>
          <t>todo</t>
        </is>
      </c>
    </row>
    <row r="2071">
      <c r="A2071" t="inlineStr">
        <is>
          <t>Terry Reinert</t>
        </is>
      </c>
      <c r="B2071" t="inlineStr">
        <is>
          <t>Attendee</t>
        </is>
      </c>
      <c r="C2071" t="inlineStr">
        <is>
          <t>CEO</t>
        </is>
      </c>
      <c r="D2071" t="inlineStr">
        <is>
          <t>Fleet Defender</t>
        </is>
      </c>
      <c r="E2071" t="inlineStr">
        <is>
          <t>United States</t>
        </is>
      </c>
      <c r="F2071" t="inlineStr">
        <is>
          <t>Yes</t>
        </is>
      </c>
      <c r="H2071" t="n">
        <v>6</v>
      </c>
      <c r="I2071" t="b">
        <v>0</v>
      </c>
      <c r="J2071" t="b">
        <v>1</v>
      </c>
      <c r="K2071" t="b">
        <v>0</v>
      </c>
      <c r="L2071" t="b">
        <v>0</v>
      </c>
      <c r="M2071" t="b">
        <v>0</v>
      </c>
      <c r="N2071">
        <f>IFERROR(INDEX('Company Hitlist'!$AA:$AA,MATCH(D2071,'Company Hitlist'!$A:$A,0)),)</f>
        <v/>
      </c>
      <c r="O2071">
        <f>IFERROR(INDEX('Company Hitlist'!$N:$N,MATCH(D2071,'Company Hitlist'!$A:$A,0)),)</f>
        <v/>
      </c>
      <c r="Q2071" t="inlineStr">
        <is>
          <t>todo</t>
        </is>
      </c>
    </row>
    <row r="2072">
      <c r="A2072" t="inlineStr">
        <is>
          <t>Alex Habbaz</t>
        </is>
      </c>
      <c r="B2072" t="inlineStr">
        <is>
          <t>Attendee</t>
        </is>
      </c>
      <c r="C2072" t="inlineStr">
        <is>
          <t>CEO</t>
        </is>
      </c>
      <c r="D2072" t="inlineStr">
        <is>
          <t>Fleet Distribution Centers</t>
        </is>
      </c>
      <c r="F2072" t="inlineStr">
        <is>
          <t>Yes</t>
        </is>
      </c>
      <c r="H2072" t="n">
        <v>6</v>
      </c>
      <c r="I2072" t="b">
        <v>0</v>
      </c>
      <c r="J2072" t="b">
        <v>1</v>
      </c>
      <c r="K2072" t="b">
        <v>0</v>
      </c>
      <c r="L2072" t="b">
        <v>0</v>
      </c>
      <c r="M2072" t="b">
        <v>0</v>
      </c>
      <c r="N2072">
        <f>IFERROR(INDEX('Company Hitlist'!$AA:$AA,MATCH(D2072,'Company Hitlist'!$A:$A,0)),)</f>
        <v/>
      </c>
      <c r="O2072">
        <f>IFERROR(INDEX('Company Hitlist'!$N:$N,MATCH(D2072,'Company Hitlist'!$A:$A,0)),)</f>
        <v/>
      </c>
      <c r="Q2072" t="inlineStr">
        <is>
          <t>todo</t>
        </is>
      </c>
    </row>
    <row r="2073">
      <c r="A2073" t="inlineStr">
        <is>
          <t>Rohit Pujari</t>
        </is>
      </c>
      <c r="B2073" t="inlineStr">
        <is>
          <t>Attendee</t>
        </is>
      </c>
      <c r="C2073" t="inlineStr">
        <is>
          <t>CEO</t>
        </is>
      </c>
      <c r="D2073" t="inlineStr">
        <is>
          <t>Fleet Profit</t>
        </is>
      </c>
      <c r="E2073" t="inlineStr">
        <is>
          <t>United States</t>
        </is>
      </c>
      <c r="F2073" t="inlineStr">
        <is>
          <t>Yes</t>
        </is>
      </c>
      <c r="H2073" t="n">
        <v>6</v>
      </c>
      <c r="I2073" t="b">
        <v>0</v>
      </c>
      <c r="J2073" t="b">
        <v>1</v>
      </c>
      <c r="K2073" t="b">
        <v>0</v>
      </c>
      <c r="L2073" t="b">
        <v>0</v>
      </c>
      <c r="M2073" t="b">
        <v>0</v>
      </c>
      <c r="N2073">
        <f>IFERROR(INDEX('Company Hitlist'!$AA:$AA,MATCH(D2073,'Company Hitlist'!$A:$A,0)),)</f>
        <v/>
      </c>
      <c r="O2073">
        <f>IFERROR(INDEX('Company Hitlist'!$N:$N,MATCH(D2073,'Company Hitlist'!$A:$A,0)),)</f>
        <v/>
      </c>
      <c r="Q2073" t="inlineStr">
        <is>
          <t>todo</t>
        </is>
      </c>
    </row>
    <row r="2074">
      <c r="A2074" t="inlineStr">
        <is>
          <t>Holly LaBoda</t>
        </is>
      </c>
      <c r="B2074" t="inlineStr">
        <is>
          <t>Attendee</t>
        </is>
      </c>
      <c r="C2074" t="inlineStr">
        <is>
          <t>CGO / CEO</t>
        </is>
      </c>
      <c r="D2074" t="inlineStr">
        <is>
          <t>Formula L</t>
        </is>
      </c>
      <c r="E2074" t="inlineStr">
        <is>
          <t>United States</t>
        </is>
      </c>
      <c r="H2074" t="n">
        <v>6</v>
      </c>
      <c r="I2074" t="b">
        <v>0</v>
      </c>
      <c r="J2074" t="b">
        <v>1</v>
      </c>
      <c r="K2074" t="b">
        <v>0</v>
      </c>
      <c r="L2074" t="b">
        <v>0</v>
      </c>
      <c r="M2074" t="b">
        <v>0</v>
      </c>
      <c r="N2074">
        <f>IFERROR(INDEX('Company Hitlist'!$AA:$AA,MATCH(D2074,'Company Hitlist'!$A:$A,0)),)</f>
        <v/>
      </c>
      <c r="O2074">
        <f>IFERROR(INDEX('Company Hitlist'!$N:$N,MATCH(D2074,'Company Hitlist'!$A:$A,0)),)</f>
        <v/>
      </c>
      <c r="Q2074" t="inlineStr">
        <is>
          <t>todo</t>
        </is>
      </c>
    </row>
    <row r="2075">
      <c r="A2075" t="inlineStr">
        <is>
          <t>Andrew Les</t>
        </is>
      </c>
      <c r="B2075" t="inlineStr">
        <is>
          <t>Attendee</t>
        </is>
      </c>
      <c r="C2075" t="inlineStr">
        <is>
          <t>Vice President</t>
        </is>
      </c>
      <c r="D2075" t="inlineStr">
        <is>
          <t>Fort Point Capital</t>
        </is>
      </c>
      <c r="E2075" t="inlineStr">
        <is>
          <t>United States</t>
        </is>
      </c>
      <c r="H2075" t="n">
        <v>6</v>
      </c>
      <c r="I2075" t="b">
        <v>0</v>
      </c>
      <c r="J2075" t="b">
        <v>1</v>
      </c>
      <c r="K2075" t="b">
        <v>0</v>
      </c>
      <c r="L2075" t="b">
        <v>0</v>
      </c>
      <c r="M2075" t="b">
        <v>0</v>
      </c>
      <c r="N2075">
        <f>IFERROR(INDEX('Company Hitlist'!$AA:$AA,MATCH(D2075,'Company Hitlist'!$A:$A,0)),)</f>
        <v/>
      </c>
      <c r="O2075">
        <f>IFERROR(INDEX('Company Hitlist'!$N:$N,MATCH(D2075,'Company Hitlist'!$A:$A,0)),)</f>
        <v/>
      </c>
      <c r="Q2075" t="inlineStr">
        <is>
          <t>todo</t>
        </is>
      </c>
    </row>
    <row r="2076">
      <c r="A2076" t="inlineStr">
        <is>
          <t>Andy Tuley</t>
        </is>
      </c>
      <c r="B2076" t="inlineStr">
        <is>
          <t>Attendee</t>
        </is>
      </c>
      <c r="C2076" t="inlineStr">
        <is>
          <t>President</t>
        </is>
      </c>
      <c r="D2076" t="inlineStr">
        <is>
          <t>Fountain City Logistics</t>
        </is>
      </c>
      <c r="E2076" t="inlineStr">
        <is>
          <t>United States</t>
        </is>
      </c>
      <c r="F2076" t="inlineStr">
        <is>
          <t>Yes</t>
        </is>
      </c>
      <c r="H2076" t="n">
        <v>6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  <c r="N2076">
        <f>IFERROR(INDEX('Company Hitlist'!$AA:$AA,MATCH(D2076,'Company Hitlist'!$A:$A,0)),)</f>
        <v/>
      </c>
      <c r="O2076">
        <f>IFERROR(INDEX('Company Hitlist'!$N:$N,MATCH(D2076,'Company Hitlist'!$A:$A,0)),)</f>
        <v/>
      </c>
      <c r="Q2076" t="inlineStr">
        <is>
          <t>todo</t>
        </is>
      </c>
    </row>
    <row r="2077">
      <c r="A2077" t="inlineStr">
        <is>
          <t>Gregory Katz</t>
        </is>
      </c>
      <c r="B2077" t="inlineStr">
        <is>
          <t>Attendee</t>
        </is>
      </c>
      <c r="C2077" t="inlineStr">
        <is>
          <t>Owner - CEO</t>
        </is>
      </c>
      <c r="D2077" t="inlineStr">
        <is>
          <t>Fox Carriers</t>
        </is>
      </c>
      <c r="E2077" t="inlineStr">
        <is>
          <t>United States</t>
        </is>
      </c>
      <c r="F2077" t="inlineStr">
        <is>
          <t>Yes</t>
        </is>
      </c>
      <c r="H2077" t="n">
        <v>6</v>
      </c>
      <c r="I2077" t="b">
        <v>0</v>
      </c>
      <c r="J2077" t="b">
        <v>1</v>
      </c>
      <c r="K2077" t="b">
        <v>0</v>
      </c>
      <c r="L2077" t="b">
        <v>0</v>
      </c>
      <c r="M2077" t="b">
        <v>0</v>
      </c>
      <c r="N2077">
        <f>IFERROR(INDEX('Company Hitlist'!$AA:$AA,MATCH(D2077,'Company Hitlist'!$A:$A,0)),)</f>
        <v/>
      </c>
      <c r="O2077">
        <f>IFERROR(INDEX('Company Hitlist'!$N:$N,MATCH(D2077,'Company Hitlist'!$A:$A,0)),)</f>
        <v/>
      </c>
      <c r="Q2077" t="inlineStr">
        <is>
          <t>todo</t>
        </is>
      </c>
    </row>
    <row r="2078">
      <c r="A2078" t="inlineStr">
        <is>
          <t>Darwish Adi</t>
        </is>
      </c>
      <c r="B2078" t="inlineStr">
        <is>
          <t>Attendee</t>
        </is>
      </c>
      <c r="C2078" t="inlineStr">
        <is>
          <t>VP Information Technology</t>
        </is>
      </c>
      <c r="D2078" t="inlineStr">
        <is>
          <t>Fracht</t>
        </is>
      </c>
      <c r="E2078" t="inlineStr">
        <is>
          <t>United States</t>
        </is>
      </c>
      <c r="F2078" t="inlineStr">
        <is>
          <t>Yes</t>
        </is>
      </c>
      <c r="H2078" t="n">
        <v>6</v>
      </c>
      <c r="I2078" t="b">
        <v>0</v>
      </c>
      <c r="J2078" t="b">
        <v>1</v>
      </c>
      <c r="K2078" t="b">
        <v>0</v>
      </c>
      <c r="L2078" t="b">
        <v>0</v>
      </c>
      <c r="M2078" t="b">
        <v>0</v>
      </c>
      <c r="N2078">
        <f>IFERROR(INDEX('Company Hitlist'!$AA:$AA,MATCH(D2078,'Company Hitlist'!$A:$A,0)),)</f>
        <v/>
      </c>
      <c r="O2078">
        <f>IFERROR(INDEX('Company Hitlist'!$N:$N,MATCH(D2078,'Company Hitlist'!$A:$A,0)),)</f>
        <v/>
      </c>
      <c r="Q2078" t="inlineStr">
        <is>
          <t>todo</t>
        </is>
      </c>
    </row>
    <row r="2079">
      <c r="A2079" t="inlineStr">
        <is>
          <t>Reiner Wiederkehr</t>
        </is>
      </c>
      <c r="B2079" t="inlineStr">
        <is>
          <t>Attendee</t>
        </is>
      </c>
      <c r="C2079" t="inlineStr">
        <is>
          <t>CEO</t>
        </is>
      </c>
      <c r="D2079" t="inlineStr">
        <is>
          <t>Fracht Group</t>
        </is>
      </c>
      <c r="E2079" t="inlineStr">
        <is>
          <t>United States</t>
        </is>
      </c>
      <c r="F2079" t="inlineStr">
        <is>
          <t>Yes</t>
        </is>
      </c>
      <c r="H2079" t="n">
        <v>6</v>
      </c>
      <c r="I2079" t="b">
        <v>0</v>
      </c>
      <c r="J2079" t="b">
        <v>1</v>
      </c>
      <c r="K2079" t="b">
        <v>0</v>
      </c>
      <c r="L2079" t="b">
        <v>0</v>
      </c>
      <c r="M2079" t="b">
        <v>0</v>
      </c>
      <c r="N2079">
        <f>IFERROR(INDEX('Company Hitlist'!$AA:$AA,MATCH(D2079,'Company Hitlist'!$A:$A,0)),)</f>
        <v/>
      </c>
      <c r="O2079">
        <f>IFERROR(INDEX('Company Hitlist'!$N:$N,MATCH(D2079,'Company Hitlist'!$A:$A,0)),)</f>
        <v/>
      </c>
      <c r="Q2079" t="inlineStr">
        <is>
          <t>todo</t>
        </is>
      </c>
    </row>
    <row r="2080">
      <c r="A2080" t="inlineStr">
        <is>
          <t>Barbara Almeida</t>
        </is>
      </c>
      <c r="B2080" t="inlineStr">
        <is>
          <t>Attendee</t>
        </is>
      </c>
      <c r="C2080" t="inlineStr">
        <is>
          <t>General Manager</t>
        </is>
      </c>
      <c r="D2080" t="inlineStr">
        <is>
          <t>Freck Beauty</t>
        </is>
      </c>
      <c r="H2080" t="n">
        <v>6</v>
      </c>
      <c r="I2080" t="b">
        <v>0</v>
      </c>
      <c r="J2080" t="b">
        <v>1</v>
      </c>
      <c r="K2080" t="b">
        <v>0</v>
      </c>
      <c r="L2080" t="b">
        <v>0</v>
      </c>
      <c r="M2080" t="b">
        <v>0</v>
      </c>
      <c r="N2080">
        <f>IFERROR(INDEX('Company Hitlist'!$AA:$AA,MATCH(D2080,'Company Hitlist'!$A:$A,0)),)</f>
        <v/>
      </c>
      <c r="O2080">
        <f>IFERROR(INDEX('Company Hitlist'!$N:$N,MATCH(D2080,'Company Hitlist'!$A:$A,0)),)</f>
        <v/>
      </c>
      <c r="Q2080" t="inlineStr">
        <is>
          <t>todo</t>
        </is>
      </c>
    </row>
    <row r="2081">
      <c r="A2081" t="inlineStr">
        <is>
          <t>Michael Frazier</t>
        </is>
      </c>
      <c r="B2081" t="inlineStr">
        <is>
          <t>Attendee</t>
        </is>
      </c>
      <c r="C2081" t="inlineStr">
        <is>
          <t>President</t>
        </is>
      </c>
      <c r="D2081" t="inlineStr">
        <is>
          <t>Freight Caddie</t>
        </is>
      </c>
      <c r="E2081" t="inlineStr">
        <is>
          <t>United States</t>
        </is>
      </c>
      <c r="F2081" t="inlineStr">
        <is>
          <t>Yes</t>
        </is>
      </c>
      <c r="H2081" t="n">
        <v>6</v>
      </c>
      <c r="I2081" t="b">
        <v>0</v>
      </c>
      <c r="J2081" t="b">
        <v>1</v>
      </c>
      <c r="K2081" t="b">
        <v>0</v>
      </c>
      <c r="L2081" t="b">
        <v>0</v>
      </c>
      <c r="M2081" t="b">
        <v>0</v>
      </c>
      <c r="N2081">
        <f>IFERROR(INDEX('Company Hitlist'!$AA:$AA,MATCH(D2081,'Company Hitlist'!$A:$A,0)),)</f>
        <v/>
      </c>
      <c r="O2081">
        <f>IFERROR(INDEX('Company Hitlist'!$N:$N,MATCH(D2081,'Company Hitlist'!$A:$A,0)),)</f>
        <v/>
      </c>
      <c r="Q2081" t="inlineStr">
        <is>
          <t>todo</t>
        </is>
      </c>
    </row>
    <row r="2082">
      <c r="A2082" t="inlineStr">
        <is>
          <t>Andy Tomka</t>
        </is>
      </c>
      <c r="B2082" t="inlineStr">
        <is>
          <t>Attendee</t>
        </is>
      </c>
      <c r="C2082" t="inlineStr">
        <is>
          <t>President</t>
        </is>
      </c>
      <c r="D2082" t="inlineStr">
        <is>
          <t>Freight Deck</t>
        </is>
      </c>
      <c r="E2082" t="inlineStr">
        <is>
          <t>United States</t>
        </is>
      </c>
      <c r="F2082" t="inlineStr">
        <is>
          <t>Yes</t>
        </is>
      </c>
      <c r="H2082" t="n">
        <v>6</v>
      </c>
      <c r="I2082" t="b">
        <v>0</v>
      </c>
      <c r="J2082" t="b">
        <v>1</v>
      </c>
      <c r="K2082" t="b">
        <v>0</v>
      </c>
      <c r="L2082" t="b">
        <v>0</v>
      </c>
      <c r="M2082" t="b">
        <v>0</v>
      </c>
      <c r="N2082">
        <f>IFERROR(INDEX('Company Hitlist'!$AA:$AA,MATCH(D2082,'Company Hitlist'!$A:$A,0)),)</f>
        <v/>
      </c>
      <c r="O2082">
        <f>IFERROR(INDEX('Company Hitlist'!$N:$N,MATCH(D2082,'Company Hitlist'!$A:$A,0)),)</f>
        <v/>
      </c>
      <c r="Q2082" t="inlineStr">
        <is>
          <t>todo</t>
        </is>
      </c>
    </row>
    <row r="2083">
      <c r="A2083" t="inlineStr">
        <is>
          <t>Breanna Condon</t>
        </is>
      </c>
      <c r="B2083" t="inlineStr">
        <is>
          <t>Attendee</t>
        </is>
      </c>
      <c r="C2083" t="inlineStr">
        <is>
          <t>VP of Agency</t>
        </is>
      </c>
      <c r="D2083" t="inlineStr">
        <is>
          <t>Freight Flex</t>
        </is>
      </c>
      <c r="E2083" t="inlineStr">
        <is>
          <t>United States</t>
        </is>
      </c>
      <c r="F2083" t="inlineStr">
        <is>
          <t>Yes</t>
        </is>
      </c>
      <c r="H2083" t="n">
        <v>6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  <c r="N2083">
        <f>IFERROR(INDEX('Company Hitlist'!$AA:$AA,MATCH(D2083,'Company Hitlist'!$A:$A,0)),)</f>
        <v/>
      </c>
      <c r="O2083">
        <f>IFERROR(INDEX('Company Hitlist'!$N:$N,MATCH(D2083,'Company Hitlist'!$A:$A,0)),)</f>
        <v/>
      </c>
      <c r="Q2083" t="inlineStr">
        <is>
          <t>todo</t>
        </is>
      </c>
    </row>
    <row r="2084">
      <c r="A2084" t="inlineStr">
        <is>
          <t>Gary Klusman</t>
        </is>
      </c>
      <c r="B2084" t="inlineStr">
        <is>
          <t>Attendee</t>
        </is>
      </c>
      <c r="C2084" t="inlineStr">
        <is>
          <t>CFO</t>
        </is>
      </c>
      <c r="D2084" t="inlineStr">
        <is>
          <t>Freight Flex</t>
        </is>
      </c>
      <c r="E2084" t="inlineStr">
        <is>
          <t>United States</t>
        </is>
      </c>
      <c r="F2084" t="inlineStr">
        <is>
          <t>Yes</t>
        </is>
      </c>
      <c r="H2084" t="n">
        <v>6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>
        <f>IFERROR(INDEX('Company Hitlist'!$AA:$AA,MATCH(D2084,'Company Hitlist'!$A:$A,0)),)</f>
        <v/>
      </c>
      <c r="O2084">
        <f>IFERROR(INDEX('Company Hitlist'!$N:$N,MATCH(D2084,'Company Hitlist'!$A:$A,0)),)</f>
        <v/>
      </c>
      <c r="Q2084" t="inlineStr">
        <is>
          <t>todo</t>
        </is>
      </c>
    </row>
    <row r="2085">
      <c r="A2085" t="inlineStr">
        <is>
          <t>Hunter Arnold</t>
        </is>
      </c>
      <c r="B2085" t="inlineStr">
        <is>
          <t>Attendee</t>
        </is>
      </c>
      <c r="C2085" t="inlineStr">
        <is>
          <t>EVP of Agency</t>
        </is>
      </c>
      <c r="D2085" t="inlineStr">
        <is>
          <t>Freight Flex</t>
        </is>
      </c>
      <c r="E2085" t="inlineStr">
        <is>
          <t>United States</t>
        </is>
      </c>
      <c r="F2085" t="inlineStr">
        <is>
          <t>Yes</t>
        </is>
      </c>
      <c r="H2085" t="n">
        <v>6</v>
      </c>
      <c r="I2085" t="b">
        <v>0</v>
      </c>
      <c r="J2085" t="b">
        <v>1</v>
      </c>
      <c r="K2085" t="b">
        <v>0</v>
      </c>
      <c r="L2085" t="b">
        <v>0</v>
      </c>
      <c r="M2085" t="b">
        <v>0</v>
      </c>
      <c r="N2085">
        <f>IFERROR(INDEX('Company Hitlist'!$AA:$AA,MATCH(D2085,'Company Hitlist'!$A:$A,0)),)</f>
        <v/>
      </c>
      <c r="O2085">
        <f>IFERROR(INDEX('Company Hitlist'!$N:$N,MATCH(D2085,'Company Hitlist'!$A:$A,0)),)</f>
        <v/>
      </c>
      <c r="Q2085" t="inlineStr">
        <is>
          <t>todo</t>
        </is>
      </c>
    </row>
    <row r="2086">
      <c r="A2086" t="inlineStr">
        <is>
          <t>Reed Rivers</t>
        </is>
      </c>
      <c r="B2086" t="inlineStr">
        <is>
          <t>Attendee</t>
        </is>
      </c>
      <c r="C2086" t="inlineStr">
        <is>
          <t>President</t>
        </is>
      </c>
      <c r="D2086" t="inlineStr">
        <is>
          <t>Freight Flex</t>
        </is>
      </c>
      <c r="E2086" t="inlineStr">
        <is>
          <t>United States</t>
        </is>
      </c>
      <c r="F2086" t="inlineStr">
        <is>
          <t>Yes</t>
        </is>
      </c>
      <c r="H2086" t="n">
        <v>6</v>
      </c>
      <c r="I2086" t="b">
        <v>0</v>
      </c>
      <c r="J2086" t="b">
        <v>1</v>
      </c>
      <c r="K2086" t="b">
        <v>0</v>
      </c>
      <c r="L2086" t="b">
        <v>0</v>
      </c>
      <c r="M2086" t="b">
        <v>0</v>
      </c>
      <c r="N2086">
        <f>IFERROR(INDEX('Company Hitlist'!$AA:$AA,MATCH(D2086,'Company Hitlist'!$A:$A,0)),)</f>
        <v/>
      </c>
      <c r="O2086">
        <f>IFERROR(INDEX('Company Hitlist'!$N:$N,MATCH(D2086,'Company Hitlist'!$A:$A,0)),)</f>
        <v/>
      </c>
      <c r="Q2086" t="inlineStr">
        <is>
          <t>todo</t>
        </is>
      </c>
    </row>
    <row r="2087">
      <c r="A2087" t="inlineStr">
        <is>
          <t>Talbert Turner</t>
        </is>
      </c>
      <c r="B2087" t="inlineStr">
        <is>
          <t>Attendee</t>
        </is>
      </c>
      <c r="C2087" t="inlineStr">
        <is>
          <t>EVP of Brokerage</t>
        </is>
      </c>
      <c r="D2087" t="inlineStr">
        <is>
          <t>Freight Flex</t>
        </is>
      </c>
      <c r="E2087" t="inlineStr">
        <is>
          <t>United States</t>
        </is>
      </c>
      <c r="F2087" t="inlineStr">
        <is>
          <t>Yes</t>
        </is>
      </c>
      <c r="H2087" t="n">
        <v>6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>
        <f>IFERROR(INDEX('Company Hitlist'!$AA:$AA,MATCH(D2087,'Company Hitlist'!$A:$A,0)),)</f>
        <v/>
      </c>
      <c r="O2087">
        <f>IFERROR(INDEX('Company Hitlist'!$N:$N,MATCH(D2087,'Company Hitlist'!$A:$A,0)),)</f>
        <v/>
      </c>
      <c r="Q2087" t="inlineStr">
        <is>
          <t>todo</t>
        </is>
      </c>
    </row>
    <row r="2088">
      <c r="A2088" t="inlineStr">
        <is>
          <t>Lila Lindgren</t>
        </is>
      </c>
      <c r="B2088" t="inlineStr">
        <is>
          <t>Attendee</t>
        </is>
      </c>
      <c r="C2088" t="inlineStr">
        <is>
          <t>Brokerage General Manager</t>
        </is>
      </c>
      <c r="D2088" t="inlineStr">
        <is>
          <t>Freight Flex</t>
        </is>
      </c>
      <c r="E2088" t="inlineStr">
        <is>
          <t>United States</t>
        </is>
      </c>
      <c r="H2088" t="n">
        <v>6</v>
      </c>
      <c r="I2088" t="b">
        <v>0</v>
      </c>
      <c r="J2088" t="b">
        <v>1</v>
      </c>
      <c r="K2088" t="b">
        <v>0</v>
      </c>
      <c r="L2088" t="b">
        <v>0</v>
      </c>
      <c r="M2088" t="b">
        <v>0</v>
      </c>
      <c r="N2088">
        <f>IFERROR(INDEX('Company Hitlist'!$AA:$AA,MATCH(D2088,'Company Hitlist'!$A:$A,0)),)</f>
        <v/>
      </c>
      <c r="O2088">
        <f>IFERROR(INDEX('Company Hitlist'!$N:$N,MATCH(D2088,'Company Hitlist'!$A:$A,0)),)</f>
        <v/>
      </c>
      <c r="Q2088" t="inlineStr">
        <is>
          <t>todo</t>
        </is>
      </c>
    </row>
    <row r="2089">
      <c r="A2089" t="inlineStr">
        <is>
          <t>Andre Luis Martins Filho</t>
        </is>
      </c>
      <c r="B2089" t="inlineStr">
        <is>
          <t>Attendee</t>
        </is>
      </c>
      <c r="C2089" t="inlineStr">
        <is>
          <t>CEO &amp; Founder</t>
        </is>
      </c>
      <c r="D2089" t="inlineStr">
        <is>
          <t>Freight Hero</t>
        </is>
      </c>
      <c r="E2089" t="inlineStr">
        <is>
          <t>United States</t>
        </is>
      </c>
      <c r="F2089" t="inlineStr">
        <is>
          <t>Yes</t>
        </is>
      </c>
      <c r="H2089" t="n">
        <v>6</v>
      </c>
      <c r="I2089" t="b">
        <v>0</v>
      </c>
      <c r="J2089" t="b">
        <v>1</v>
      </c>
      <c r="K2089" t="b">
        <v>0</v>
      </c>
      <c r="L2089" t="b">
        <v>0</v>
      </c>
      <c r="M2089" t="b">
        <v>0</v>
      </c>
      <c r="N2089">
        <f>IFERROR(INDEX('Company Hitlist'!$AA:$AA,MATCH(D2089,'Company Hitlist'!$A:$A,0)),)</f>
        <v/>
      </c>
      <c r="O2089">
        <f>IFERROR(INDEX('Company Hitlist'!$N:$N,MATCH(D2089,'Company Hitlist'!$A:$A,0)),)</f>
        <v/>
      </c>
      <c r="Q2089" t="inlineStr">
        <is>
          <t>todo</t>
        </is>
      </c>
    </row>
    <row r="2090">
      <c r="A2090" t="inlineStr">
        <is>
          <t>Heshy Kryschek</t>
        </is>
      </c>
      <c r="B2090" t="inlineStr">
        <is>
          <t>Attendee</t>
        </is>
      </c>
      <c r="C2090" t="inlineStr">
        <is>
          <t>CEO</t>
        </is>
      </c>
      <c r="D2090" t="inlineStr">
        <is>
          <t>Freight Xpress / HighQ Logistics</t>
        </is>
      </c>
      <c r="E2090" t="inlineStr">
        <is>
          <t>United States</t>
        </is>
      </c>
      <c r="F2090" t="inlineStr">
        <is>
          <t>Yes</t>
        </is>
      </c>
      <c r="H2090" t="n">
        <v>6</v>
      </c>
      <c r="I2090" t="b">
        <v>0</v>
      </c>
      <c r="J2090" t="b">
        <v>1</v>
      </c>
      <c r="K2090" t="b">
        <v>0</v>
      </c>
      <c r="L2090" t="b">
        <v>0</v>
      </c>
      <c r="M2090" t="b">
        <v>0</v>
      </c>
      <c r="N2090">
        <f>IFERROR(INDEX('Company Hitlist'!$AA:$AA,MATCH(D2090,'Company Hitlist'!$A:$A,0)),)</f>
        <v/>
      </c>
      <c r="O2090">
        <f>IFERROR(INDEX('Company Hitlist'!$N:$N,MATCH(D2090,'Company Hitlist'!$A:$A,0)),)</f>
        <v/>
      </c>
      <c r="Q2090" t="inlineStr">
        <is>
          <t>todo</t>
        </is>
      </c>
    </row>
    <row r="2091">
      <c r="A2091" t="inlineStr">
        <is>
          <t>Jake Koppinger</t>
        </is>
      </c>
      <c r="B2091" t="inlineStr">
        <is>
          <t>Attendee</t>
        </is>
      </c>
      <c r="C2091" t="inlineStr">
        <is>
          <t>CEO &amp; Founder</t>
        </is>
      </c>
      <c r="D2091" t="inlineStr">
        <is>
          <t>FreightRoll</t>
        </is>
      </c>
      <c r="E2091" t="inlineStr">
        <is>
          <t>United States</t>
        </is>
      </c>
      <c r="F2091" t="inlineStr">
        <is>
          <t>Yes</t>
        </is>
      </c>
      <c r="H2091" t="n">
        <v>6</v>
      </c>
      <c r="I2091" t="b">
        <v>0</v>
      </c>
      <c r="J2091" t="b">
        <v>1</v>
      </c>
      <c r="K2091" t="b">
        <v>0</v>
      </c>
      <c r="L2091" t="b">
        <v>0</v>
      </c>
      <c r="M2091" t="b">
        <v>0</v>
      </c>
      <c r="N2091">
        <f>IFERROR(INDEX('Company Hitlist'!$AA:$AA,MATCH(D2091,'Company Hitlist'!$A:$A,0)),)</f>
        <v/>
      </c>
      <c r="O2091">
        <f>IFERROR(INDEX('Company Hitlist'!$N:$N,MATCH(D2091,'Company Hitlist'!$A:$A,0)),)</f>
        <v/>
      </c>
      <c r="Q2091" t="inlineStr">
        <is>
          <t>todo</t>
        </is>
      </c>
    </row>
    <row r="2092">
      <c r="A2092" t="inlineStr">
        <is>
          <t>Shannon Breen</t>
        </is>
      </c>
      <c r="B2092" t="inlineStr">
        <is>
          <t>Attendee</t>
        </is>
      </c>
      <c r="C2092" t="inlineStr">
        <is>
          <t>CEO &amp; Founder</t>
        </is>
      </c>
      <c r="D2092" t="inlineStr">
        <is>
          <t>FreightVana</t>
        </is>
      </c>
      <c r="E2092" t="inlineStr">
        <is>
          <t>United States</t>
        </is>
      </c>
      <c r="F2092" t="inlineStr">
        <is>
          <t>Yes</t>
        </is>
      </c>
      <c r="H2092" t="n">
        <v>6</v>
      </c>
      <c r="I2092" t="b">
        <v>0</v>
      </c>
      <c r="J2092" t="b">
        <v>1</v>
      </c>
      <c r="K2092" t="b">
        <v>0</v>
      </c>
      <c r="L2092" t="b">
        <v>0</v>
      </c>
      <c r="M2092" t="b">
        <v>0</v>
      </c>
      <c r="N2092">
        <f>IFERROR(INDEX('Company Hitlist'!$AA:$AA,MATCH(D2092,'Company Hitlist'!$A:$A,0)),)</f>
        <v/>
      </c>
      <c r="O2092">
        <f>IFERROR(INDEX('Company Hitlist'!$N:$N,MATCH(D2092,'Company Hitlist'!$A:$A,0)),)</f>
        <v/>
      </c>
      <c r="Q2092" t="inlineStr">
        <is>
          <t>todo</t>
        </is>
      </c>
    </row>
    <row r="2093">
      <c r="A2093" t="inlineStr">
        <is>
          <t>Oliver Esch</t>
        </is>
      </c>
      <c r="B2093" t="inlineStr">
        <is>
          <t>Attendee</t>
        </is>
      </c>
      <c r="C2093" t="inlineStr">
        <is>
          <t>VP Commercial, Enterprise Shippers</t>
        </is>
      </c>
      <c r="D2093" t="inlineStr">
        <is>
          <t>Freightos Hong Kong Limited</t>
        </is>
      </c>
      <c r="E2093" t="inlineStr">
        <is>
          <t>Hong Kong</t>
        </is>
      </c>
      <c r="H2093" t="n">
        <v>6</v>
      </c>
      <c r="I2093" t="b">
        <v>0</v>
      </c>
      <c r="J2093" t="b">
        <v>1</v>
      </c>
      <c r="K2093" t="b">
        <v>0</v>
      </c>
      <c r="L2093" t="b">
        <v>0</v>
      </c>
      <c r="M2093" t="b">
        <v>0</v>
      </c>
      <c r="N2093">
        <f>IFERROR(INDEX('Company Hitlist'!$AA:$AA,MATCH(D2093,'Company Hitlist'!$A:$A,0)),)</f>
        <v/>
      </c>
      <c r="O2093">
        <f>IFERROR(INDEX('Company Hitlist'!$N:$N,MATCH(D2093,'Company Hitlist'!$A:$A,0)),)</f>
        <v/>
      </c>
      <c r="Q2093" t="inlineStr">
        <is>
          <t>todo</t>
        </is>
      </c>
    </row>
    <row r="2094">
      <c r="A2094" t="inlineStr">
        <is>
          <t>Ian Arroyo</t>
        </is>
      </c>
      <c r="B2094" t="inlineStr">
        <is>
          <t>Attendee</t>
        </is>
      </c>
      <c r="C2094" t="inlineStr">
        <is>
          <t>Chief Strategy Officer (CSO)</t>
        </is>
      </c>
      <c r="D2094" t="inlineStr">
        <is>
          <t>Freightos Ltd</t>
        </is>
      </c>
      <c r="E2094" t="inlineStr">
        <is>
          <t>Hong Kong</t>
        </is>
      </c>
      <c r="F2094" t="inlineStr">
        <is>
          <t>Yes</t>
        </is>
      </c>
      <c r="H2094" t="n">
        <v>6</v>
      </c>
      <c r="I2094" t="b">
        <v>0</v>
      </c>
      <c r="J2094" t="b">
        <v>1</v>
      </c>
      <c r="K2094" t="b">
        <v>0</v>
      </c>
      <c r="L2094" t="b">
        <v>0</v>
      </c>
      <c r="M2094" t="b">
        <v>0</v>
      </c>
      <c r="N2094">
        <f>IFERROR(INDEX('Company Hitlist'!$AA:$AA,MATCH(D2094,'Company Hitlist'!$A:$A,0)),)</f>
        <v/>
      </c>
      <c r="O2094">
        <f>IFERROR(INDEX('Company Hitlist'!$N:$N,MATCH(D2094,'Company Hitlist'!$A:$A,0)),)</f>
        <v/>
      </c>
      <c r="Q2094" t="inlineStr">
        <is>
          <t>todo</t>
        </is>
      </c>
    </row>
    <row r="2095">
      <c r="A2095" t="inlineStr">
        <is>
          <t>Mollie Ritterband</t>
        </is>
      </c>
      <c r="B2095" t="inlineStr">
        <is>
          <t>Attendee</t>
        </is>
      </c>
      <c r="C2095" t="inlineStr">
        <is>
          <t>COO</t>
        </is>
      </c>
      <c r="D2095" t="inlineStr">
        <is>
          <t>Fresh Clean Threads</t>
        </is>
      </c>
      <c r="F2095" t="inlineStr">
        <is>
          <t>Yes</t>
        </is>
      </c>
      <c r="H2095" t="n">
        <v>6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  <c r="N2095">
        <f>IFERROR(INDEX('Company Hitlist'!$AA:$AA,MATCH(D2095,'Company Hitlist'!$A:$A,0)),)</f>
        <v/>
      </c>
      <c r="O2095">
        <f>IFERROR(INDEX('Company Hitlist'!$N:$N,MATCH(D2095,'Company Hitlist'!$A:$A,0)),)</f>
        <v/>
      </c>
      <c r="Q2095" t="inlineStr">
        <is>
          <t>todo</t>
        </is>
      </c>
    </row>
    <row r="2096">
      <c r="A2096" t="inlineStr">
        <is>
          <t>Tim Wolin</t>
        </is>
      </c>
      <c r="B2096" t="inlineStr">
        <is>
          <t>Attendee</t>
        </is>
      </c>
      <c r="C2096" t="inlineStr">
        <is>
          <t>President &amp; CEO</t>
        </is>
      </c>
      <c r="D2096" t="inlineStr">
        <is>
          <t>Fulfillment WMS</t>
        </is>
      </c>
      <c r="E2096" t="inlineStr">
        <is>
          <t>United States</t>
        </is>
      </c>
      <c r="H2096" t="n">
        <v>6</v>
      </c>
      <c r="I2096" t="b">
        <v>0</v>
      </c>
      <c r="J2096" t="b">
        <v>1</v>
      </c>
      <c r="K2096" t="b">
        <v>0</v>
      </c>
      <c r="L2096" t="b">
        <v>0</v>
      </c>
      <c r="M2096" t="b">
        <v>0</v>
      </c>
      <c r="N2096">
        <f>IFERROR(INDEX('Company Hitlist'!$AA:$AA,MATCH(D2096,'Company Hitlist'!$A:$A,0)),)</f>
        <v/>
      </c>
      <c r="O2096">
        <f>IFERROR(INDEX('Company Hitlist'!$N:$N,MATCH(D2096,'Company Hitlist'!$A:$A,0)),)</f>
        <v/>
      </c>
      <c r="Q2096" t="inlineStr">
        <is>
          <t>todo</t>
        </is>
      </c>
    </row>
    <row r="2097">
      <c r="A2097" t="inlineStr">
        <is>
          <t>Tom Dowling</t>
        </is>
      </c>
      <c r="B2097" t="inlineStr">
        <is>
          <t>Attendee</t>
        </is>
      </c>
      <c r="C2097" t="inlineStr">
        <is>
          <t>CEO</t>
        </is>
      </c>
      <c r="D2097" t="inlineStr">
        <is>
          <t>FullSeam</t>
        </is>
      </c>
      <c r="E2097" t="inlineStr">
        <is>
          <t>United States</t>
        </is>
      </c>
      <c r="H2097" t="n">
        <v>6</v>
      </c>
      <c r="I2097" t="b">
        <v>0</v>
      </c>
      <c r="J2097" t="b">
        <v>1</v>
      </c>
      <c r="K2097" t="b">
        <v>0</v>
      </c>
      <c r="L2097" t="b">
        <v>0</v>
      </c>
      <c r="M2097" t="b">
        <v>0</v>
      </c>
      <c r="N2097">
        <f>IFERROR(INDEX('Company Hitlist'!$AA:$AA,MATCH(D2097,'Company Hitlist'!$A:$A,0)),)</f>
        <v/>
      </c>
      <c r="O2097">
        <f>IFERROR(INDEX('Company Hitlist'!$N:$N,MATCH(D2097,'Company Hitlist'!$A:$A,0)),)</f>
        <v/>
      </c>
      <c r="Q2097" t="inlineStr">
        <is>
          <t>todo</t>
        </is>
      </c>
    </row>
    <row r="2098">
      <c r="A2098" t="inlineStr">
        <is>
          <t>Casey Winans</t>
        </is>
      </c>
      <c r="B2098" t="inlineStr">
        <is>
          <t>Attendee</t>
        </is>
      </c>
      <c r="C2098" t="inlineStr">
        <is>
          <t>CEO</t>
        </is>
      </c>
      <c r="D2098" t="inlineStr">
        <is>
          <t>Fullstride</t>
        </is>
      </c>
      <c r="E2098" t="inlineStr">
        <is>
          <t>United States</t>
        </is>
      </c>
      <c r="F2098" t="inlineStr">
        <is>
          <t>Yes</t>
        </is>
      </c>
      <c r="H2098" t="n">
        <v>6</v>
      </c>
      <c r="I2098" t="b">
        <v>0</v>
      </c>
      <c r="J2098" t="b">
        <v>1</v>
      </c>
      <c r="K2098" t="b">
        <v>0</v>
      </c>
      <c r="L2098" t="b">
        <v>0</v>
      </c>
      <c r="M2098" t="b">
        <v>0</v>
      </c>
      <c r="N2098">
        <f>IFERROR(INDEX('Company Hitlist'!$AA:$AA,MATCH(D2098,'Company Hitlist'!$A:$A,0)),)</f>
        <v/>
      </c>
      <c r="O2098">
        <f>IFERROR(INDEX('Company Hitlist'!$N:$N,MATCH(D2098,'Company Hitlist'!$A:$A,0)),)</f>
        <v/>
      </c>
      <c r="Q2098" t="inlineStr">
        <is>
          <t>todo</t>
        </is>
      </c>
    </row>
    <row r="2099">
      <c r="A2099" t="inlineStr">
        <is>
          <t>Francisco Lara</t>
        </is>
      </c>
      <c r="B2099" t="inlineStr">
        <is>
          <t>Attendee</t>
        </is>
      </c>
      <c r="C2099" t="inlineStr">
        <is>
          <t>Chief Operating Officer</t>
        </is>
      </c>
      <c r="D2099" t="inlineStr">
        <is>
          <t>Futurome</t>
        </is>
      </c>
      <c r="E2099" t="inlineStr">
        <is>
          <t>United States</t>
        </is>
      </c>
      <c r="F2099" t="inlineStr">
        <is>
          <t>Yes</t>
        </is>
      </c>
      <c r="H2099" t="n">
        <v>6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  <c r="N2099">
        <f>IFERROR(INDEX('Company Hitlist'!$AA:$AA,MATCH(D2099,'Company Hitlist'!$A:$A,0)),)</f>
        <v/>
      </c>
      <c r="O2099">
        <f>IFERROR(INDEX('Company Hitlist'!$N:$N,MATCH(D2099,'Company Hitlist'!$A:$A,0)),)</f>
        <v/>
      </c>
      <c r="Q2099" t="inlineStr">
        <is>
          <t>todo</t>
        </is>
      </c>
    </row>
    <row r="2100">
      <c r="A2100" t="inlineStr">
        <is>
          <t>Jacob Tippie</t>
        </is>
      </c>
      <c r="B2100" t="inlineStr">
        <is>
          <t>Attendee</t>
        </is>
      </c>
      <c r="C2100" t="inlineStr">
        <is>
          <t>VP, Key Account Manager</t>
        </is>
      </c>
      <c r="D2100" t="inlineStr">
        <is>
          <t>G&amp;P</t>
        </is>
      </c>
      <c r="E2100" t="inlineStr">
        <is>
          <t>United States</t>
        </is>
      </c>
      <c r="H2100" t="n">
        <v>6</v>
      </c>
      <c r="I2100" t="b">
        <v>0</v>
      </c>
      <c r="J2100" t="b">
        <v>1</v>
      </c>
      <c r="K2100" t="b">
        <v>0</v>
      </c>
      <c r="L2100" t="b">
        <v>0</v>
      </c>
      <c r="M2100" t="b">
        <v>0</v>
      </c>
      <c r="N2100">
        <f>IFERROR(INDEX('Company Hitlist'!$AA:$AA,MATCH(D2100,'Company Hitlist'!$A:$A,0)),)</f>
        <v/>
      </c>
      <c r="O2100">
        <f>IFERROR(INDEX('Company Hitlist'!$N:$N,MATCH(D2100,'Company Hitlist'!$A:$A,0)),)</f>
        <v/>
      </c>
      <c r="Q2100" t="inlineStr">
        <is>
          <t>todo</t>
        </is>
      </c>
    </row>
    <row r="2101">
      <c r="A2101" t="inlineStr">
        <is>
          <t>Mo Bovenzi</t>
        </is>
      </c>
      <c r="B2101" t="inlineStr">
        <is>
          <t>Attendee</t>
        </is>
      </c>
      <c r="C2101" t="inlineStr">
        <is>
          <t>VP of Construction</t>
        </is>
      </c>
      <c r="D2101" t="inlineStr">
        <is>
          <t>G&amp;P</t>
        </is>
      </c>
      <c r="E2101" t="inlineStr">
        <is>
          <t>United States</t>
        </is>
      </c>
      <c r="H2101" t="n">
        <v>6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  <c r="N2101">
        <f>IFERROR(INDEX('Company Hitlist'!$AA:$AA,MATCH(D2101,'Company Hitlist'!$A:$A,0)),)</f>
        <v/>
      </c>
      <c r="O2101">
        <f>IFERROR(INDEX('Company Hitlist'!$N:$N,MATCH(D2101,'Company Hitlist'!$A:$A,0)),)</f>
        <v/>
      </c>
      <c r="Q2101" t="inlineStr">
        <is>
          <t>todo</t>
        </is>
      </c>
    </row>
    <row r="2102">
      <c r="A2102" t="inlineStr">
        <is>
          <t>Paata Terterashvili</t>
        </is>
      </c>
      <c r="B2102" t="inlineStr">
        <is>
          <t>Attendee</t>
        </is>
      </c>
      <c r="C2102" t="inlineStr">
        <is>
          <t>CEO</t>
        </is>
      </c>
      <c r="D2102" t="inlineStr">
        <is>
          <t>GA LOGISTICS LLC</t>
        </is>
      </c>
      <c r="E2102" t="inlineStr">
        <is>
          <t>United States</t>
        </is>
      </c>
      <c r="F2102" t="inlineStr">
        <is>
          <t>Yes</t>
        </is>
      </c>
      <c r="H2102" t="n">
        <v>6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  <c r="N2102">
        <f>IFERROR(INDEX('Company Hitlist'!$AA:$AA,MATCH(D2102,'Company Hitlist'!$A:$A,0)),)</f>
        <v/>
      </c>
      <c r="O2102">
        <f>IFERROR(INDEX('Company Hitlist'!$N:$N,MATCH(D2102,'Company Hitlist'!$A:$A,0)),)</f>
        <v/>
      </c>
      <c r="Q2102" t="inlineStr">
        <is>
          <t>todo</t>
        </is>
      </c>
    </row>
    <row r="2103">
      <c r="A2103" t="inlineStr">
        <is>
          <t>John Rodriguez</t>
        </is>
      </c>
      <c r="B2103" t="inlineStr">
        <is>
          <t>Attendee</t>
        </is>
      </c>
      <c r="C2103" t="inlineStr">
        <is>
          <t>Chief Operating Officer</t>
        </is>
      </c>
      <c r="D2103" t="inlineStr">
        <is>
          <t>GLC Distribution</t>
        </is>
      </c>
      <c r="F2103" t="inlineStr">
        <is>
          <t>Yes</t>
        </is>
      </c>
      <c r="H2103" t="n">
        <v>6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  <c r="N2103">
        <f>IFERROR(INDEX('Company Hitlist'!$AA:$AA,MATCH(D2103,'Company Hitlist'!$A:$A,0)),)</f>
        <v/>
      </c>
      <c r="O2103">
        <f>IFERROR(INDEX('Company Hitlist'!$N:$N,MATCH(D2103,'Company Hitlist'!$A:$A,0)),)</f>
        <v/>
      </c>
      <c r="Q2103" t="inlineStr">
        <is>
          <t>todo</t>
        </is>
      </c>
    </row>
    <row r="2104">
      <c r="A2104" t="inlineStr">
        <is>
          <t>Nate Johnson</t>
        </is>
      </c>
      <c r="B2104" t="inlineStr">
        <is>
          <t>Attendee</t>
        </is>
      </c>
      <c r="C2104" t="inlineStr">
        <is>
          <t>Founder &amp; CEO</t>
        </is>
      </c>
      <c r="D2104" t="inlineStr">
        <is>
          <t>GLCS</t>
        </is>
      </c>
      <c r="E2104" t="inlineStr">
        <is>
          <t>United States</t>
        </is>
      </c>
      <c r="H2104" t="n">
        <v>6</v>
      </c>
      <c r="I2104" t="b">
        <v>0</v>
      </c>
      <c r="J2104" t="b">
        <v>1</v>
      </c>
      <c r="K2104" t="b">
        <v>0</v>
      </c>
      <c r="L2104" t="b">
        <v>0</v>
      </c>
      <c r="M2104" t="b">
        <v>0</v>
      </c>
      <c r="N2104">
        <f>IFERROR(INDEX('Company Hitlist'!$AA:$AA,MATCH(D2104,'Company Hitlist'!$A:$A,0)),)</f>
        <v/>
      </c>
      <c r="O2104">
        <f>IFERROR(INDEX('Company Hitlist'!$N:$N,MATCH(D2104,'Company Hitlist'!$A:$A,0)),)</f>
        <v/>
      </c>
      <c r="Q2104" t="inlineStr">
        <is>
          <t>todo</t>
        </is>
      </c>
    </row>
    <row r="2105">
      <c r="A2105" t="inlineStr">
        <is>
          <t>Juan Jose Ponce Martinez</t>
        </is>
      </c>
      <c r="B2105" t="inlineStr">
        <is>
          <t>Attendee</t>
        </is>
      </c>
      <c r="C2105" t="inlineStr">
        <is>
          <t>CO-FOUNDER / CO-CEO</t>
        </is>
      </c>
      <c r="D2105" t="inlineStr">
        <is>
          <t>GP LOGISTICS</t>
        </is>
      </c>
      <c r="E2105" t="inlineStr">
        <is>
          <t>Mexico</t>
        </is>
      </c>
      <c r="F2105" t="inlineStr">
        <is>
          <t>Yes</t>
        </is>
      </c>
      <c r="H2105" t="n">
        <v>6</v>
      </c>
      <c r="I2105" t="b">
        <v>0</v>
      </c>
      <c r="J2105" t="b">
        <v>1</v>
      </c>
      <c r="K2105" t="b">
        <v>0</v>
      </c>
      <c r="L2105" t="b">
        <v>0</v>
      </c>
      <c r="M2105" t="b">
        <v>0</v>
      </c>
      <c r="N2105">
        <f>IFERROR(INDEX('Company Hitlist'!$AA:$AA,MATCH(D2105,'Company Hitlist'!$A:$A,0)),)</f>
        <v/>
      </c>
      <c r="O2105">
        <f>IFERROR(INDEX('Company Hitlist'!$N:$N,MATCH(D2105,'Company Hitlist'!$A:$A,0)),)</f>
        <v/>
      </c>
      <c r="Q2105" t="inlineStr">
        <is>
          <t>todo</t>
        </is>
      </c>
    </row>
    <row r="2106">
      <c r="A2106" t="inlineStr">
        <is>
          <t>Paul Sarrapy Priede</t>
        </is>
      </c>
      <c r="B2106" t="inlineStr">
        <is>
          <t>Attendee</t>
        </is>
      </c>
      <c r="C2106" t="inlineStr">
        <is>
          <t>CO-FOUNDER / CO-CEO</t>
        </is>
      </c>
      <c r="D2106" t="inlineStr">
        <is>
          <t>GP LOGISTICS</t>
        </is>
      </c>
      <c r="E2106" t="inlineStr">
        <is>
          <t>United States</t>
        </is>
      </c>
      <c r="F2106" t="inlineStr">
        <is>
          <t>Yes</t>
        </is>
      </c>
      <c r="H2106" t="n">
        <v>6</v>
      </c>
      <c r="I2106" t="b">
        <v>0</v>
      </c>
      <c r="J2106" t="b">
        <v>1</v>
      </c>
      <c r="K2106" t="b">
        <v>0</v>
      </c>
      <c r="L2106" t="b">
        <v>0</v>
      </c>
      <c r="M2106" t="b">
        <v>0</v>
      </c>
      <c r="N2106">
        <f>IFERROR(INDEX('Company Hitlist'!$AA:$AA,MATCH(D2106,'Company Hitlist'!$A:$A,0)),)</f>
        <v/>
      </c>
      <c r="O2106">
        <f>IFERROR(INDEX('Company Hitlist'!$N:$N,MATCH(D2106,'Company Hitlist'!$A:$A,0)),)</f>
        <v/>
      </c>
      <c r="Q2106" t="inlineStr">
        <is>
          <t>todo</t>
        </is>
      </c>
    </row>
    <row r="2107">
      <c r="A2107" t="inlineStr">
        <is>
          <t>Brian Cantrell</t>
        </is>
      </c>
      <c r="B2107" t="inlineStr">
        <is>
          <t>Attendee</t>
        </is>
      </c>
      <c r="C2107" t="inlineStr">
        <is>
          <t>President</t>
        </is>
      </c>
      <c r="D2107" t="inlineStr">
        <is>
          <t>GPA Logistics Group</t>
        </is>
      </c>
      <c r="F2107" t="inlineStr">
        <is>
          <t>Yes</t>
        </is>
      </c>
      <c r="H2107" t="n">
        <v>6</v>
      </c>
      <c r="I2107" t="b">
        <v>0</v>
      </c>
      <c r="J2107" t="b">
        <v>1</v>
      </c>
      <c r="K2107" t="b">
        <v>0</v>
      </c>
      <c r="L2107" t="b">
        <v>0</v>
      </c>
      <c r="M2107" t="b">
        <v>0</v>
      </c>
      <c r="N2107">
        <f>IFERROR(INDEX('Company Hitlist'!$AA:$AA,MATCH(D2107,'Company Hitlist'!$A:$A,0)),)</f>
        <v/>
      </c>
      <c r="O2107">
        <f>IFERROR(INDEX('Company Hitlist'!$N:$N,MATCH(D2107,'Company Hitlist'!$A:$A,0)),)</f>
        <v/>
      </c>
      <c r="Q2107" t="inlineStr">
        <is>
          <t>todo</t>
        </is>
      </c>
    </row>
    <row r="2108">
      <c r="A2108" t="inlineStr">
        <is>
          <t>PABLO MORENO CARRANDI</t>
        </is>
      </c>
      <c r="B2108" t="inlineStr">
        <is>
          <t>Attendee</t>
        </is>
      </c>
      <c r="C2108" t="inlineStr">
        <is>
          <t>HEAD OF INTERNATIONAL COMMERCE</t>
        </is>
      </c>
      <c r="D2108" t="inlineStr">
        <is>
          <t>GRUPO AMPM</t>
        </is>
      </c>
      <c r="E2108" t="inlineStr">
        <is>
          <t>Mexico</t>
        </is>
      </c>
      <c r="F2108" t="inlineStr">
        <is>
          <t>Yes</t>
        </is>
      </c>
      <c r="H2108" t="n">
        <v>6</v>
      </c>
      <c r="I2108" t="b">
        <v>0</v>
      </c>
      <c r="J2108" t="b">
        <v>1</v>
      </c>
      <c r="K2108" t="b">
        <v>0</v>
      </c>
      <c r="L2108" t="b">
        <v>0</v>
      </c>
      <c r="M2108" t="b">
        <v>0</v>
      </c>
      <c r="N2108">
        <f>IFERROR(INDEX('Company Hitlist'!$AA:$AA,MATCH(D2108,'Company Hitlist'!$A:$A,0)),)</f>
        <v/>
      </c>
      <c r="O2108">
        <f>IFERROR(INDEX('Company Hitlist'!$N:$N,MATCH(D2108,'Company Hitlist'!$A:$A,0)),)</f>
        <v/>
      </c>
      <c r="Q2108" t="inlineStr">
        <is>
          <t>todo</t>
        </is>
      </c>
    </row>
    <row r="2109">
      <c r="A2109" t="inlineStr">
        <is>
          <t>PABLO MORENO VALENZUELA</t>
        </is>
      </c>
      <c r="B2109" t="inlineStr">
        <is>
          <t>Attendee</t>
        </is>
      </c>
      <c r="C2109" t="inlineStr">
        <is>
          <t>CEO</t>
        </is>
      </c>
      <c r="D2109" t="inlineStr">
        <is>
          <t>GRUPO AMPM</t>
        </is>
      </c>
      <c r="F2109" t="inlineStr">
        <is>
          <t>Yes</t>
        </is>
      </c>
      <c r="H2109" t="n">
        <v>6</v>
      </c>
      <c r="I2109" t="b">
        <v>0</v>
      </c>
      <c r="J2109" t="b">
        <v>1</v>
      </c>
      <c r="K2109" t="b">
        <v>0</v>
      </c>
      <c r="L2109" t="b">
        <v>0</v>
      </c>
      <c r="M2109" t="b">
        <v>0</v>
      </c>
      <c r="N2109">
        <f>IFERROR(INDEX('Company Hitlist'!$AA:$AA,MATCH(D2109,'Company Hitlist'!$A:$A,0)),)</f>
        <v/>
      </c>
      <c r="O2109">
        <f>IFERROR(INDEX('Company Hitlist'!$N:$N,MATCH(D2109,'Company Hitlist'!$A:$A,0)),)</f>
        <v/>
      </c>
      <c r="Q2109" t="inlineStr">
        <is>
          <t>todo</t>
        </is>
      </c>
    </row>
    <row r="2110">
      <c r="A2110" t="inlineStr">
        <is>
          <t>Christian Garcia</t>
        </is>
      </c>
      <c r="B2110" t="inlineStr">
        <is>
          <t>Attendee</t>
        </is>
      </c>
      <c r="C2110" t="inlineStr">
        <is>
          <t>CEO/Founder</t>
        </is>
      </c>
      <c r="D2110" t="inlineStr">
        <is>
          <t>GS Talent Part of the Reed Group</t>
        </is>
      </c>
      <c r="E2110" t="inlineStr">
        <is>
          <t>United Kingdom</t>
        </is>
      </c>
      <c r="H2110" t="n">
        <v>6</v>
      </c>
      <c r="I2110" t="b">
        <v>0</v>
      </c>
      <c r="J2110" t="b">
        <v>1</v>
      </c>
      <c r="K2110" t="b">
        <v>0</v>
      </c>
      <c r="L2110" t="b">
        <v>0</v>
      </c>
      <c r="M2110" t="b">
        <v>0</v>
      </c>
      <c r="N2110">
        <f>IFERROR(INDEX('Company Hitlist'!$AA:$AA,MATCH(D2110,'Company Hitlist'!$A:$A,0)),)</f>
        <v/>
      </c>
      <c r="O2110">
        <f>IFERROR(INDEX('Company Hitlist'!$N:$N,MATCH(D2110,'Company Hitlist'!$A:$A,0)),)</f>
        <v/>
      </c>
      <c r="Q2110" t="inlineStr">
        <is>
          <t>todo</t>
        </is>
      </c>
    </row>
    <row r="2111">
      <c r="A2111" t="inlineStr">
        <is>
          <t>Jeff Kellan</t>
        </is>
      </c>
      <c r="B2111" t="inlineStr">
        <is>
          <t>Attendee</t>
        </is>
      </c>
      <c r="C2111" t="inlineStr">
        <is>
          <t>Division President, Americas</t>
        </is>
      </c>
      <c r="D2111" t="inlineStr">
        <is>
          <t>GXO</t>
        </is>
      </c>
      <c r="E2111" t="inlineStr">
        <is>
          <t>United States</t>
        </is>
      </c>
      <c r="F2111" t="inlineStr">
        <is>
          <t>Yes</t>
        </is>
      </c>
      <c r="G2111" t="inlineStr">
        <is>
          <t>$10.4B (2024; projected $11B in 2025)</t>
        </is>
      </c>
      <c r="H2111" t="n">
        <v>6</v>
      </c>
      <c r="I2111" t="b">
        <v>0</v>
      </c>
      <c r="J2111" t="b">
        <v>1</v>
      </c>
      <c r="K2111" t="b">
        <v>0</v>
      </c>
      <c r="L2111" t="b">
        <v>0</v>
      </c>
      <c r="M2111" t="b">
        <v>0</v>
      </c>
      <c r="N2111">
        <f>IFERROR(INDEX('Company Hitlist'!$AA:$AA,MATCH(D2111,'Company Hitlist'!$A:$A,0)),)</f>
        <v/>
      </c>
      <c r="O2111">
        <f>IFERROR(INDEX('Company Hitlist'!$N:$N,MATCH(D2111,'Company Hitlist'!$A:$A,0)),)</f>
        <v/>
      </c>
      <c r="Q2111" t="inlineStr">
        <is>
          <t>todo</t>
        </is>
      </c>
    </row>
    <row r="2112">
      <c r="A2112" t="inlineStr">
        <is>
          <t>Bart Beeks</t>
        </is>
      </c>
      <c r="B2112" t="inlineStr">
        <is>
          <t>Attendee</t>
        </is>
      </c>
      <c r="C2112" t="inlineStr">
        <is>
          <t>COO</t>
        </is>
      </c>
      <c r="D2112" t="inlineStr">
        <is>
          <t>GXO</t>
        </is>
      </c>
      <c r="F2112" t="inlineStr">
        <is>
          <t>Yes</t>
        </is>
      </c>
      <c r="G2112" t="inlineStr">
        <is>
          <t>$10.4B (2024; projected $11B in 2025)</t>
        </is>
      </c>
      <c r="H2112" t="n">
        <v>6</v>
      </c>
      <c r="I2112" t="b">
        <v>0</v>
      </c>
      <c r="J2112" t="b">
        <v>1</v>
      </c>
      <c r="K2112" t="b">
        <v>0</v>
      </c>
      <c r="L2112" t="b">
        <v>0</v>
      </c>
      <c r="M2112" t="b">
        <v>0</v>
      </c>
      <c r="N2112">
        <f>IFERROR(INDEX('Company Hitlist'!$AA:$AA,MATCH(D2112,'Company Hitlist'!$A:$A,0)),)</f>
        <v/>
      </c>
      <c r="O2112">
        <f>IFERROR(INDEX('Company Hitlist'!$N:$N,MATCH(D2112,'Company Hitlist'!$A:$A,0)),)</f>
        <v/>
      </c>
      <c r="Q2112" t="inlineStr">
        <is>
          <t>todo</t>
        </is>
      </c>
    </row>
    <row r="2113">
      <c r="A2113" t="inlineStr">
        <is>
          <t>Doug Minnick</t>
        </is>
      </c>
      <c r="B2113" t="inlineStr">
        <is>
          <t>Attendee</t>
        </is>
      </c>
      <c r="C2113" t="inlineStr">
        <is>
          <t>President, Industrial, Food &amp; Beverage Division, AMAPAC</t>
        </is>
      </c>
      <c r="D2113" t="inlineStr">
        <is>
          <t>GXO</t>
        </is>
      </c>
      <c r="F2113" t="inlineStr">
        <is>
          <t>Yes</t>
        </is>
      </c>
      <c r="G2113" t="inlineStr">
        <is>
          <t>$10.4B (2024; projected $11B in 2025)</t>
        </is>
      </c>
      <c r="H2113" t="n">
        <v>6</v>
      </c>
      <c r="I2113" t="b">
        <v>0</v>
      </c>
      <c r="J2113" t="b">
        <v>1</v>
      </c>
      <c r="K2113" t="b">
        <v>0</v>
      </c>
      <c r="L2113" t="b">
        <v>0</v>
      </c>
      <c r="M2113" t="b">
        <v>0</v>
      </c>
      <c r="N2113">
        <f>IFERROR(INDEX('Company Hitlist'!$AA:$AA,MATCH(D2113,'Company Hitlist'!$A:$A,0)),)</f>
        <v/>
      </c>
      <c r="O2113">
        <f>IFERROR(INDEX('Company Hitlist'!$N:$N,MATCH(D2113,'Company Hitlist'!$A:$A,0)),)</f>
        <v/>
      </c>
      <c r="Q2113" t="inlineStr">
        <is>
          <t>todo</t>
        </is>
      </c>
    </row>
    <row r="2114">
      <c r="A2114" t="inlineStr">
        <is>
          <t>Lee Cervantes Millbern</t>
        </is>
      </c>
      <c r="B2114" t="inlineStr">
        <is>
          <t>Attendee</t>
        </is>
      </c>
      <c r="C2114" t="inlineStr">
        <is>
          <t>Chief of Staff</t>
        </is>
      </c>
      <c r="D2114" t="inlineStr">
        <is>
          <t>GXO</t>
        </is>
      </c>
      <c r="F2114" t="inlineStr">
        <is>
          <t>Yes</t>
        </is>
      </c>
      <c r="G2114" t="inlineStr">
        <is>
          <t>$10.4B (2024; projected $11B in 2025)</t>
        </is>
      </c>
      <c r="H2114" t="n">
        <v>6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  <c r="N2114">
        <f>IFERROR(INDEX('Company Hitlist'!$AA:$AA,MATCH(D2114,'Company Hitlist'!$A:$A,0)),)</f>
        <v/>
      </c>
      <c r="O2114">
        <f>IFERROR(INDEX('Company Hitlist'!$N:$N,MATCH(D2114,'Company Hitlist'!$A:$A,0)),)</f>
        <v/>
      </c>
      <c r="Q2114" t="inlineStr">
        <is>
          <t>todo</t>
        </is>
      </c>
    </row>
    <row r="2115">
      <c r="A2115" t="inlineStr">
        <is>
          <t>Nizar Trigui</t>
        </is>
      </c>
      <c r="B2115" t="inlineStr">
        <is>
          <t>Attendee</t>
        </is>
      </c>
      <c r="C2115" t="inlineStr">
        <is>
          <t>CTO</t>
        </is>
      </c>
      <c r="D2115" t="inlineStr">
        <is>
          <t>GXO</t>
        </is>
      </c>
      <c r="F2115" t="inlineStr">
        <is>
          <t>Yes</t>
        </is>
      </c>
      <c r="G2115" t="inlineStr">
        <is>
          <t>$10.4B (2024; projected $11B in 2025)</t>
        </is>
      </c>
      <c r="H2115" t="n">
        <v>6</v>
      </c>
      <c r="I2115" t="b">
        <v>0</v>
      </c>
      <c r="J2115" t="b">
        <v>1</v>
      </c>
      <c r="K2115" t="b">
        <v>0</v>
      </c>
      <c r="L2115" t="b">
        <v>0</v>
      </c>
      <c r="M2115" t="b">
        <v>0</v>
      </c>
      <c r="N2115">
        <f>IFERROR(INDEX('Company Hitlist'!$AA:$AA,MATCH(D2115,'Company Hitlist'!$A:$A,0)),)</f>
        <v/>
      </c>
      <c r="O2115">
        <f>IFERROR(INDEX('Company Hitlist'!$N:$N,MATCH(D2115,'Company Hitlist'!$A:$A,0)),)</f>
        <v/>
      </c>
      <c r="Q2115" t="inlineStr">
        <is>
          <t>todo</t>
        </is>
      </c>
    </row>
    <row r="2116">
      <c r="A2116" t="inlineStr">
        <is>
          <t>Ramin Rastin</t>
        </is>
      </c>
      <c r="B2116" t="inlineStr">
        <is>
          <t>Attendee</t>
        </is>
      </c>
      <c r="C2116" t="inlineStr">
        <is>
          <t>SVP Engineering, Data &amp; Enterprise Architecture</t>
        </is>
      </c>
      <c r="D2116" t="inlineStr">
        <is>
          <t>GXO</t>
        </is>
      </c>
      <c r="F2116" t="inlineStr">
        <is>
          <t>Yes</t>
        </is>
      </c>
      <c r="G2116" t="inlineStr">
        <is>
          <t>$10.4B (2024; projected $11B in 2025)</t>
        </is>
      </c>
      <c r="H2116" t="n">
        <v>6</v>
      </c>
      <c r="I2116" t="b">
        <v>0</v>
      </c>
      <c r="J2116" t="b">
        <v>1</v>
      </c>
      <c r="K2116" t="b">
        <v>0</v>
      </c>
      <c r="L2116" t="b">
        <v>0</v>
      </c>
      <c r="M2116" t="b">
        <v>0</v>
      </c>
      <c r="N2116">
        <f>IFERROR(INDEX('Company Hitlist'!$AA:$AA,MATCH(D2116,'Company Hitlist'!$A:$A,0)),)</f>
        <v/>
      </c>
      <c r="O2116">
        <f>IFERROR(INDEX('Company Hitlist'!$N:$N,MATCH(D2116,'Company Hitlist'!$A:$A,0)),)</f>
        <v/>
      </c>
      <c r="Q2116" t="inlineStr">
        <is>
          <t>todo</t>
        </is>
      </c>
    </row>
    <row r="2117">
      <c r="A2117" t="inlineStr">
        <is>
          <t>Brian Bech-Hansen</t>
        </is>
      </c>
      <c r="B2117" t="inlineStr">
        <is>
          <t>Attendee</t>
        </is>
      </c>
      <c r="C2117" t="inlineStr">
        <is>
          <t>COO</t>
        </is>
      </c>
      <c r="D2117" t="inlineStr">
        <is>
          <t>Gebr der Weiss</t>
        </is>
      </c>
      <c r="H2117" t="n">
        <v>6</v>
      </c>
      <c r="I2117" t="b">
        <v>0</v>
      </c>
      <c r="J2117" t="b">
        <v>1</v>
      </c>
      <c r="K2117" t="b">
        <v>0</v>
      </c>
      <c r="L2117" t="b">
        <v>0</v>
      </c>
      <c r="M2117" t="b">
        <v>0</v>
      </c>
      <c r="N2117">
        <f>IFERROR(INDEX('Company Hitlist'!$AA:$AA,MATCH(D2117,'Company Hitlist'!$A:$A,0)),)</f>
        <v/>
      </c>
      <c r="O2117">
        <f>IFERROR(INDEX('Company Hitlist'!$N:$N,MATCH(D2117,'Company Hitlist'!$A:$A,0)),)</f>
        <v/>
      </c>
      <c r="Q2117" t="inlineStr">
        <is>
          <t>todo</t>
        </is>
      </c>
    </row>
    <row r="2118">
      <c r="A2118" t="inlineStr">
        <is>
          <t>Mark McCullough</t>
        </is>
      </c>
      <c r="B2118" t="inlineStr">
        <is>
          <t>Attendee</t>
        </is>
      </c>
      <c r="C2118" t="inlineStr">
        <is>
          <t>CEO</t>
        </is>
      </c>
      <c r="D2118" t="inlineStr">
        <is>
          <t>Gebr der Weiss</t>
        </is>
      </c>
      <c r="H2118" t="n">
        <v>6</v>
      </c>
      <c r="I2118" t="b">
        <v>0</v>
      </c>
      <c r="J2118" t="b">
        <v>1</v>
      </c>
      <c r="K2118" t="b">
        <v>0</v>
      </c>
      <c r="L2118" t="b">
        <v>0</v>
      </c>
      <c r="M2118" t="b">
        <v>0</v>
      </c>
      <c r="N2118">
        <f>IFERROR(INDEX('Company Hitlist'!$AA:$AA,MATCH(D2118,'Company Hitlist'!$A:$A,0)),)</f>
        <v/>
      </c>
      <c r="O2118">
        <f>IFERROR(INDEX('Company Hitlist'!$N:$N,MATCH(D2118,'Company Hitlist'!$A:$A,0)),)</f>
        <v/>
      </c>
      <c r="Q2118" t="inlineStr">
        <is>
          <t>todo</t>
        </is>
      </c>
    </row>
    <row r="2119">
      <c r="A2119" t="inlineStr">
        <is>
          <t>Joel LaFrance</t>
        </is>
      </c>
      <c r="B2119" t="inlineStr">
        <is>
          <t>Attendee</t>
        </is>
      </c>
      <c r="C2119" t="inlineStr">
        <is>
          <t>Head of Open Innovation</t>
        </is>
      </c>
      <c r="D2119" t="inlineStr">
        <is>
          <t>General Mills</t>
        </is>
      </c>
      <c r="H2119" t="n">
        <v>6</v>
      </c>
      <c r="I2119" t="b">
        <v>0</v>
      </c>
      <c r="J2119" t="b">
        <v>1</v>
      </c>
      <c r="K2119" t="b">
        <v>0</v>
      </c>
      <c r="L2119" t="b">
        <v>0</v>
      </c>
      <c r="M2119" t="b">
        <v>0</v>
      </c>
      <c r="N2119">
        <f>IFERROR(INDEX('Company Hitlist'!$AA:$AA,MATCH(D2119,'Company Hitlist'!$A:$A,0)),)</f>
        <v/>
      </c>
      <c r="O2119">
        <f>IFERROR(INDEX('Company Hitlist'!$N:$N,MATCH(D2119,'Company Hitlist'!$A:$A,0)),)</f>
        <v/>
      </c>
      <c r="Q2119" t="inlineStr">
        <is>
          <t>todo</t>
        </is>
      </c>
    </row>
    <row r="2120">
      <c r="A2120" t="inlineStr">
        <is>
          <t>Remi Lavergne</t>
        </is>
      </c>
      <c r="B2120" t="inlineStr">
        <is>
          <t>Attendee</t>
        </is>
      </c>
      <c r="C2120" t="inlineStr">
        <is>
          <t>Head of Information Technology and Operation Compliance</t>
        </is>
      </c>
      <c r="D2120" t="inlineStr">
        <is>
          <t>Global Freight Services</t>
        </is>
      </c>
      <c r="E2120" t="inlineStr">
        <is>
          <t>United States</t>
        </is>
      </c>
      <c r="F2120" t="inlineStr">
        <is>
          <t>Yes</t>
        </is>
      </c>
      <c r="H2120" t="n">
        <v>6</v>
      </c>
      <c r="I2120" t="b">
        <v>0</v>
      </c>
      <c r="J2120" t="b">
        <v>1</v>
      </c>
      <c r="K2120" t="b">
        <v>0</v>
      </c>
      <c r="L2120" t="b">
        <v>0</v>
      </c>
      <c r="M2120" t="b">
        <v>0</v>
      </c>
      <c r="N2120">
        <f>IFERROR(INDEX('Company Hitlist'!$AA:$AA,MATCH(D2120,'Company Hitlist'!$A:$A,0)),)</f>
        <v/>
      </c>
      <c r="O2120">
        <f>IFERROR(INDEX('Company Hitlist'!$N:$N,MATCH(D2120,'Company Hitlist'!$A:$A,0)),)</f>
        <v/>
      </c>
      <c r="Q2120" t="inlineStr">
        <is>
          <t>todo</t>
        </is>
      </c>
    </row>
    <row r="2121">
      <c r="A2121" t="inlineStr">
        <is>
          <t>Chris Ruff</t>
        </is>
      </c>
      <c r="B2121" t="inlineStr">
        <is>
          <t>Attendee</t>
        </is>
      </c>
      <c r="C2121" t="inlineStr">
        <is>
          <t>CEO and President</t>
        </is>
      </c>
      <c r="D2121" t="inlineStr">
        <is>
          <t>Glympse</t>
        </is>
      </c>
      <c r="E2121" t="inlineStr">
        <is>
          <t>United States</t>
        </is>
      </c>
      <c r="F2121" t="inlineStr">
        <is>
          <t>Yes</t>
        </is>
      </c>
      <c r="H2121" t="n">
        <v>6</v>
      </c>
      <c r="I2121" t="b">
        <v>0</v>
      </c>
      <c r="J2121" t="b">
        <v>1</v>
      </c>
      <c r="K2121" t="b">
        <v>0</v>
      </c>
      <c r="L2121" t="b">
        <v>0</v>
      </c>
      <c r="M2121" t="b">
        <v>0</v>
      </c>
      <c r="N2121">
        <f>IFERROR(INDEX('Company Hitlist'!$AA:$AA,MATCH(D2121,'Company Hitlist'!$A:$A,0)),)</f>
        <v/>
      </c>
      <c r="O2121">
        <f>IFERROR(INDEX('Company Hitlist'!$N:$N,MATCH(D2121,'Company Hitlist'!$A:$A,0)),)</f>
        <v/>
      </c>
      <c r="Q2121" t="inlineStr">
        <is>
          <t>todo</t>
        </is>
      </c>
    </row>
    <row r="2122">
      <c r="A2122" t="inlineStr">
        <is>
          <t>Ben Fife</t>
        </is>
      </c>
      <c r="B2122" t="inlineStr">
        <is>
          <t>Attendee</t>
        </is>
      </c>
      <c r="C2122" t="inlineStr">
        <is>
          <t>Vice President</t>
        </is>
      </c>
      <c r="D2122" t="inlineStr">
        <is>
          <t>Goldman Sachs</t>
        </is>
      </c>
      <c r="E2122" t="inlineStr">
        <is>
          <t>United States</t>
        </is>
      </c>
      <c r="H2122" t="n">
        <v>6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  <c r="N2122">
        <f>IFERROR(INDEX('Company Hitlist'!$AA:$AA,MATCH(D2122,'Company Hitlist'!$A:$A,0)),)</f>
        <v/>
      </c>
      <c r="O2122">
        <f>IFERROR(INDEX('Company Hitlist'!$N:$N,MATCH(D2122,'Company Hitlist'!$A:$A,0)),)</f>
        <v/>
      </c>
      <c r="Q2122" t="inlineStr">
        <is>
          <t>todo</t>
        </is>
      </c>
    </row>
    <row r="2123">
      <c r="A2123" t="inlineStr">
        <is>
          <t>Jamshid Bordbar</t>
        </is>
      </c>
      <c r="B2123" t="inlineStr">
        <is>
          <t>Attendee</t>
        </is>
      </c>
      <c r="C2123" t="inlineStr">
        <is>
          <t>Head of Inventory Management</t>
        </is>
      </c>
      <c r="D2123" t="inlineStr">
        <is>
          <t>Google</t>
        </is>
      </c>
      <c r="F2123" t="inlineStr">
        <is>
          <t>Yes</t>
        </is>
      </c>
      <c r="G2123" t="inlineStr">
        <is>
          <t>$281.7B (2024; projected $300B in 2025)</t>
        </is>
      </c>
      <c r="H2123" t="n">
        <v>6</v>
      </c>
      <c r="I2123" t="b">
        <v>0</v>
      </c>
      <c r="J2123" t="b">
        <v>1</v>
      </c>
      <c r="K2123" t="b">
        <v>0</v>
      </c>
      <c r="L2123" t="b">
        <v>0</v>
      </c>
      <c r="M2123" t="b">
        <v>0</v>
      </c>
      <c r="N2123">
        <f>IFERROR(INDEX('Company Hitlist'!$AA:$AA,MATCH(D2123,'Company Hitlist'!$A:$A,0)),)</f>
        <v/>
      </c>
      <c r="O2123">
        <f>IFERROR(INDEX('Company Hitlist'!$N:$N,MATCH(D2123,'Company Hitlist'!$A:$A,0)),)</f>
        <v/>
      </c>
      <c r="Q2123" t="inlineStr">
        <is>
          <t>todo</t>
        </is>
      </c>
    </row>
    <row r="2124">
      <c r="A2124" t="inlineStr">
        <is>
          <t>Scott Balfour</t>
        </is>
      </c>
      <c r="B2124" t="inlineStr">
        <is>
          <t>Attendee</t>
        </is>
      </c>
      <c r="C2124" t="inlineStr">
        <is>
          <t>Head of eCommerce Delivery Experience</t>
        </is>
      </c>
      <c r="D2124" t="inlineStr">
        <is>
          <t>Google</t>
        </is>
      </c>
      <c r="F2124" t="inlineStr">
        <is>
          <t>Yes</t>
        </is>
      </c>
      <c r="G2124" t="inlineStr">
        <is>
          <t>$281.7B (2024; projected $300B in 2025)</t>
        </is>
      </c>
      <c r="H2124" t="n">
        <v>6</v>
      </c>
      <c r="I2124" t="b">
        <v>0</v>
      </c>
      <c r="J2124" t="b">
        <v>1</v>
      </c>
      <c r="K2124" t="b">
        <v>0</v>
      </c>
      <c r="L2124" t="b">
        <v>0</v>
      </c>
      <c r="M2124" t="b">
        <v>0</v>
      </c>
      <c r="N2124">
        <f>IFERROR(INDEX('Company Hitlist'!$AA:$AA,MATCH(D2124,'Company Hitlist'!$A:$A,0)),)</f>
        <v/>
      </c>
      <c r="O2124">
        <f>IFERROR(INDEX('Company Hitlist'!$N:$N,MATCH(D2124,'Company Hitlist'!$A:$A,0)),)</f>
        <v/>
      </c>
      <c r="Q2124" t="inlineStr">
        <is>
          <t>todo</t>
        </is>
      </c>
    </row>
    <row r="2125">
      <c r="A2125" t="inlineStr">
        <is>
          <t>Sean Robertson</t>
        </is>
      </c>
      <c r="B2125" t="inlineStr">
        <is>
          <t>Attendee</t>
        </is>
      </c>
      <c r="C2125" t="inlineStr">
        <is>
          <t>VP of Partnerships</t>
        </is>
      </c>
      <c r="D2125" t="inlineStr">
        <is>
          <t>Gori Company</t>
        </is>
      </c>
      <c r="E2125" t="inlineStr">
        <is>
          <t>United States</t>
        </is>
      </c>
      <c r="F2125" t="inlineStr">
        <is>
          <t>Yes</t>
        </is>
      </c>
      <c r="H2125" t="n">
        <v>6</v>
      </c>
      <c r="I2125" t="b">
        <v>0</v>
      </c>
      <c r="J2125" t="b">
        <v>1</v>
      </c>
      <c r="K2125" t="b">
        <v>0</v>
      </c>
      <c r="L2125" t="b">
        <v>0</v>
      </c>
      <c r="M2125" t="b">
        <v>0</v>
      </c>
      <c r="N2125">
        <f>IFERROR(INDEX('Company Hitlist'!$AA:$AA,MATCH(D2125,'Company Hitlist'!$A:$A,0)),)</f>
        <v/>
      </c>
      <c r="O2125">
        <f>IFERROR(INDEX('Company Hitlist'!$N:$N,MATCH(D2125,'Company Hitlist'!$A:$A,0)),)</f>
        <v/>
      </c>
      <c r="Q2125" t="inlineStr">
        <is>
          <t>todo</t>
        </is>
      </c>
    </row>
    <row r="2126">
      <c r="A2126" t="inlineStr">
        <is>
          <t>Sky Kim</t>
        </is>
      </c>
      <c r="B2126" t="inlineStr">
        <is>
          <t>Attendee</t>
        </is>
      </c>
      <c r="C2126" t="inlineStr">
        <is>
          <t>CEO &amp; Founder</t>
        </is>
      </c>
      <c r="D2126" t="inlineStr">
        <is>
          <t>Gori Company</t>
        </is>
      </c>
      <c r="E2126" t="inlineStr">
        <is>
          <t>United States</t>
        </is>
      </c>
      <c r="F2126" t="inlineStr">
        <is>
          <t>Yes</t>
        </is>
      </c>
      <c r="H2126" t="n">
        <v>6</v>
      </c>
      <c r="I2126" t="b">
        <v>0</v>
      </c>
      <c r="J2126" t="b">
        <v>1</v>
      </c>
      <c r="K2126" t="b">
        <v>0</v>
      </c>
      <c r="L2126" t="b">
        <v>0</v>
      </c>
      <c r="M2126" t="b">
        <v>0</v>
      </c>
      <c r="N2126">
        <f>IFERROR(INDEX('Company Hitlist'!$AA:$AA,MATCH(D2126,'Company Hitlist'!$A:$A,0)),)</f>
        <v/>
      </c>
      <c r="O2126">
        <f>IFERROR(INDEX('Company Hitlist'!$N:$N,MATCH(D2126,'Company Hitlist'!$A:$A,0)),)</f>
        <v/>
      </c>
      <c r="Q2126" t="inlineStr">
        <is>
          <t>todo</t>
        </is>
      </c>
    </row>
    <row r="2127">
      <c r="A2127" t="inlineStr">
        <is>
          <t>Andrew Pawling</t>
        </is>
      </c>
      <c r="B2127" t="inlineStr">
        <is>
          <t>Attendee</t>
        </is>
      </c>
      <c r="C2127" t="inlineStr">
        <is>
          <t>COO</t>
        </is>
      </c>
      <c r="D2127" t="inlineStr">
        <is>
          <t>Gorjana</t>
        </is>
      </c>
      <c r="F2127" t="inlineStr">
        <is>
          <t>Yes</t>
        </is>
      </c>
      <c r="H2127" t="n">
        <v>6</v>
      </c>
      <c r="I2127" t="b">
        <v>0</v>
      </c>
      <c r="J2127" t="b">
        <v>1</v>
      </c>
      <c r="K2127" t="b">
        <v>0</v>
      </c>
      <c r="L2127" t="b">
        <v>0</v>
      </c>
      <c r="M2127" t="b">
        <v>0</v>
      </c>
      <c r="N2127">
        <f>IFERROR(INDEX('Company Hitlist'!$AA:$AA,MATCH(D2127,'Company Hitlist'!$A:$A,0)),)</f>
        <v/>
      </c>
      <c r="O2127">
        <f>IFERROR(INDEX('Company Hitlist'!$N:$N,MATCH(D2127,'Company Hitlist'!$A:$A,0)),)</f>
        <v/>
      </c>
      <c r="Q2127" t="inlineStr">
        <is>
          <t>todo</t>
        </is>
      </c>
    </row>
    <row r="2128">
      <c r="A2128" t="inlineStr">
        <is>
          <t>Anna Patrick</t>
        </is>
      </c>
      <c r="B2128" t="inlineStr">
        <is>
          <t>Attendee</t>
        </is>
      </c>
      <c r="C2128" t="inlineStr">
        <is>
          <t>Associate Vice President</t>
        </is>
      </c>
      <c r="D2128" t="inlineStr">
        <is>
          <t>Gregory</t>
        </is>
      </c>
      <c r="E2128" t="inlineStr">
        <is>
          <t>United States</t>
        </is>
      </c>
      <c r="F2128" t="inlineStr">
        <is>
          <t>Yes</t>
        </is>
      </c>
      <c r="H2128" t="n">
        <v>6</v>
      </c>
      <c r="I2128" t="b">
        <v>0</v>
      </c>
      <c r="J2128" t="b">
        <v>1</v>
      </c>
      <c r="K2128" t="b">
        <v>0</v>
      </c>
      <c r="L2128" t="b">
        <v>0</v>
      </c>
      <c r="M2128" t="b">
        <v>0</v>
      </c>
      <c r="N2128">
        <f>IFERROR(INDEX('Company Hitlist'!$AA:$AA,MATCH(D2128,'Company Hitlist'!$A:$A,0)),)</f>
        <v/>
      </c>
      <c r="O2128">
        <f>IFERROR(INDEX('Company Hitlist'!$N:$N,MATCH(D2128,'Company Hitlist'!$A:$A,0)),)</f>
        <v/>
      </c>
      <c r="Q2128" t="inlineStr">
        <is>
          <t>todo</t>
        </is>
      </c>
    </row>
    <row r="2129">
      <c r="A2129" t="inlineStr">
        <is>
          <t>Katie Vroom</t>
        </is>
      </c>
      <c r="B2129" t="inlineStr">
        <is>
          <t>Attendee</t>
        </is>
      </c>
      <c r="C2129" t="inlineStr">
        <is>
          <t>Senior Vice President</t>
        </is>
      </c>
      <c r="D2129" t="inlineStr">
        <is>
          <t>Gregory FCA</t>
        </is>
      </c>
      <c r="E2129" t="inlineStr">
        <is>
          <t>United States</t>
        </is>
      </c>
      <c r="H2129" t="n">
        <v>6</v>
      </c>
      <c r="I2129" t="b">
        <v>0</v>
      </c>
      <c r="J2129" t="b">
        <v>1</v>
      </c>
      <c r="K2129" t="b">
        <v>0</v>
      </c>
      <c r="L2129" t="b">
        <v>0</v>
      </c>
      <c r="M2129" t="b">
        <v>0</v>
      </c>
      <c r="N2129">
        <f>IFERROR(INDEX('Company Hitlist'!$AA:$AA,MATCH(D2129,'Company Hitlist'!$A:$A,0)),)</f>
        <v/>
      </c>
      <c r="O2129">
        <f>IFERROR(INDEX('Company Hitlist'!$N:$N,MATCH(D2129,'Company Hitlist'!$A:$A,0)),)</f>
        <v/>
      </c>
      <c r="Q2129" t="inlineStr">
        <is>
          <t>todo</t>
        </is>
      </c>
    </row>
    <row r="2130">
      <c r="A2130" t="inlineStr">
        <is>
          <t>Nicole Sullivan</t>
        </is>
      </c>
      <c r="B2130" t="inlineStr">
        <is>
          <t>Attendee</t>
        </is>
      </c>
      <c r="C2130" t="inlineStr">
        <is>
          <t>Senior Vice President</t>
        </is>
      </c>
      <c r="D2130" t="inlineStr">
        <is>
          <t>Gregory FCA</t>
        </is>
      </c>
      <c r="E2130" t="inlineStr">
        <is>
          <t>United States</t>
        </is>
      </c>
      <c r="H2130" t="n">
        <v>6</v>
      </c>
      <c r="I2130" t="b">
        <v>0</v>
      </c>
      <c r="J2130" t="b">
        <v>1</v>
      </c>
      <c r="K2130" t="b">
        <v>0</v>
      </c>
      <c r="L2130" t="b">
        <v>0</v>
      </c>
      <c r="M2130" t="b">
        <v>0</v>
      </c>
      <c r="N2130">
        <f>IFERROR(INDEX('Company Hitlist'!$AA:$AA,MATCH(D2130,'Company Hitlist'!$A:$A,0)),)</f>
        <v/>
      </c>
      <c r="O2130">
        <f>IFERROR(INDEX('Company Hitlist'!$N:$N,MATCH(D2130,'Company Hitlist'!$A:$A,0)),)</f>
        <v/>
      </c>
      <c r="Q2130" t="inlineStr">
        <is>
          <t>todo</t>
        </is>
      </c>
    </row>
    <row r="2131">
      <c r="A2131" t="inlineStr">
        <is>
          <t>Phil DiGiulio</t>
        </is>
      </c>
      <c r="B2131" t="inlineStr">
        <is>
          <t>Attendee</t>
        </is>
      </c>
      <c r="C2131" t="inlineStr">
        <is>
          <t>CEO</t>
        </is>
      </c>
      <c r="D2131" t="inlineStr">
        <is>
          <t>GripperClip</t>
        </is>
      </c>
      <c r="F2131" t="inlineStr">
        <is>
          <t>Yes</t>
        </is>
      </c>
      <c r="H2131" t="n">
        <v>6</v>
      </c>
      <c r="I2131" t="b">
        <v>0</v>
      </c>
      <c r="J2131" t="b">
        <v>1</v>
      </c>
      <c r="K2131" t="b">
        <v>0</v>
      </c>
      <c r="L2131" t="b">
        <v>0</v>
      </c>
      <c r="M2131" t="b">
        <v>0</v>
      </c>
      <c r="N2131">
        <f>IFERROR(INDEX('Company Hitlist'!$AA:$AA,MATCH(D2131,'Company Hitlist'!$A:$A,0)),)</f>
        <v/>
      </c>
      <c r="O2131">
        <f>IFERROR(INDEX('Company Hitlist'!$N:$N,MATCH(D2131,'Company Hitlist'!$A:$A,0)),)</f>
        <v/>
      </c>
      <c r="Q2131" t="inlineStr">
        <is>
          <t>todo</t>
        </is>
      </c>
    </row>
    <row r="2132">
      <c r="A2132" t="inlineStr">
        <is>
          <t>Gabriel Castillo</t>
        </is>
      </c>
      <c r="B2132" t="inlineStr">
        <is>
          <t>Attendee</t>
        </is>
      </c>
      <c r="C2132" t="inlineStr">
        <is>
          <t>CEO</t>
        </is>
      </c>
      <c r="D2132" t="inlineStr">
        <is>
          <t>Grupo Linc</t>
        </is>
      </c>
      <c r="E2132" t="inlineStr">
        <is>
          <t>Costa Rica</t>
        </is>
      </c>
      <c r="F2132" t="inlineStr">
        <is>
          <t>Yes</t>
        </is>
      </c>
      <c r="H2132" t="n">
        <v>6</v>
      </c>
      <c r="I2132" t="b">
        <v>0</v>
      </c>
      <c r="J2132" t="b">
        <v>1</v>
      </c>
      <c r="K2132" t="b">
        <v>0</v>
      </c>
      <c r="L2132" t="b">
        <v>0</v>
      </c>
      <c r="M2132" t="b">
        <v>0</v>
      </c>
      <c r="N2132">
        <f>IFERROR(INDEX('Company Hitlist'!$AA:$AA,MATCH(D2132,'Company Hitlist'!$A:$A,0)),)</f>
        <v/>
      </c>
      <c r="O2132">
        <f>IFERROR(INDEX('Company Hitlist'!$N:$N,MATCH(D2132,'Company Hitlist'!$A:$A,0)),)</f>
        <v/>
      </c>
      <c r="Q2132" t="inlineStr">
        <is>
          <t>todo</t>
        </is>
      </c>
    </row>
    <row r="2133">
      <c r="A2133" t="inlineStr">
        <is>
          <t>Koutheir Cherni</t>
        </is>
      </c>
      <c r="B2133" t="inlineStr">
        <is>
          <t>Attendee</t>
        </is>
      </c>
      <c r="C2133" t="inlineStr">
        <is>
          <t>CEO</t>
        </is>
      </c>
      <c r="D2133" t="inlineStr">
        <is>
          <t>Guepard</t>
        </is>
      </c>
      <c r="E2133" t="inlineStr">
        <is>
          <t>United States</t>
        </is>
      </c>
      <c r="F2133" t="inlineStr">
        <is>
          <t>Yes</t>
        </is>
      </c>
      <c r="H2133" t="n">
        <v>6</v>
      </c>
      <c r="I2133" t="b">
        <v>0</v>
      </c>
      <c r="J2133" t="b">
        <v>1</v>
      </c>
      <c r="K2133" t="b">
        <v>0</v>
      </c>
      <c r="L2133" t="b">
        <v>0</v>
      </c>
      <c r="M2133" t="b">
        <v>0</v>
      </c>
      <c r="N2133">
        <f>IFERROR(INDEX('Company Hitlist'!$AA:$AA,MATCH(D2133,'Company Hitlist'!$A:$A,0)),)</f>
        <v/>
      </c>
      <c r="O2133">
        <f>IFERROR(INDEX('Company Hitlist'!$N:$N,MATCH(D2133,'Company Hitlist'!$A:$A,0)),)</f>
        <v/>
      </c>
      <c r="Q2133" t="inlineStr">
        <is>
          <t>todo</t>
        </is>
      </c>
    </row>
    <row r="2134">
      <c r="A2134" t="inlineStr">
        <is>
          <t>Justin Smith</t>
        </is>
      </c>
      <c r="B2134" t="inlineStr">
        <is>
          <t>Attendee</t>
        </is>
      </c>
      <c r="C2134" t="inlineStr">
        <is>
          <t>Founder/CEO</t>
        </is>
      </c>
      <c r="D2134" t="inlineStr">
        <is>
          <t>Guided Growth, LLC.</t>
        </is>
      </c>
      <c r="E2134" t="inlineStr">
        <is>
          <t>United States</t>
        </is>
      </c>
      <c r="H2134" t="n">
        <v>6</v>
      </c>
      <c r="I2134" t="b">
        <v>0</v>
      </c>
      <c r="J2134" t="b">
        <v>1</v>
      </c>
      <c r="K2134" t="b">
        <v>0</v>
      </c>
      <c r="L2134" t="b">
        <v>0</v>
      </c>
      <c r="M2134" t="b">
        <v>0</v>
      </c>
      <c r="N2134">
        <f>IFERROR(INDEX('Company Hitlist'!$AA:$AA,MATCH(D2134,'Company Hitlist'!$A:$A,0)),)</f>
        <v/>
      </c>
      <c r="O2134">
        <f>IFERROR(INDEX('Company Hitlist'!$N:$N,MATCH(D2134,'Company Hitlist'!$A:$A,0)),)</f>
        <v/>
      </c>
      <c r="Q2134" t="inlineStr">
        <is>
          <t>todo</t>
        </is>
      </c>
    </row>
    <row r="2135">
      <c r="A2135" t="inlineStr">
        <is>
          <t>Chad Hildebrandt</t>
        </is>
      </c>
      <c r="B2135" t="inlineStr">
        <is>
          <t>Attendee</t>
        </is>
      </c>
      <c r="C2135" t="inlineStr">
        <is>
          <t>Owner / COO</t>
        </is>
      </c>
      <c r="D2135" t="inlineStr">
        <is>
          <t>HD LOGISTICS &amp; WAREHOUSING SOLUTIONS LLC</t>
        </is>
      </c>
      <c r="E2135" t="inlineStr">
        <is>
          <t>United States</t>
        </is>
      </c>
      <c r="F2135" t="inlineStr">
        <is>
          <t>Yes</t>
        </is>
      </c>
      <c r="H2135" t="n">
        <v>6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  <c r="N2135">
        <f>IFERROR(INDEX('Company Hitlist'!$AA:$AA,MATCH(D2135,'Company Hitlist'!$A:$A,0)),)</f>
        <v/>
      </c>
      <c r="O2135">
        <f>IFERROR(INDEX('Company Hitlist'!$N:$N,MATCH(D2135,'Company Hitlist'!$A:$A,0)),)</f>
        <v/>
      </c>
      <c r="Q2135" t="inlineStr">
        <is>
          <t>todo</t>
        </is>
      </c>
    </row>
    <row r="2136">
      <c r="A2136" t="inlineStr">
        <is>
          <t>Jen Dixon</t>
        </is>
      </c>
      <c r="B2136" t="inlineStr">
        <is>
          <t>Attendee</t>
        </is>
      </c>
      <c r="C2136" t="inlineStr">
        <is>
          <t>Owner / CEO</t>
        </is>
      </c>
      <c r="D2136" t="inlineStr">
        <is>
          <t>HD LOGISTICS &amp; WAREHOUSING SOLUTIONS LLC</t>
        </is>
      </c>
      <c r="E2136" t="inlineStr">
        <is>
          <t>United States</t>
        </is>
      </c>
      <c r="F2136" t="inlineStr">
        <is>
          <t>Yes</t>
        </is>
      </c>
      <c r="H2136" t="n">
        <v>6</v>
      </c>
      <c r="I2136" t="b">
        <v>0</v>
      </c>
      <c r="J2136" t="b">
        <v>1</v>
      </c>
      <c r="K2136" t="b">
        <v>0</v>
      </c>
      <c r="L2136" t="b">
        <v>0</v>
      </c>
      <c r="M2136" t="b">
        <v>0</v>
      </c>
      <c r="N2136">
        <f>IFERROR(INDEX('Company Hitlist'!$AA:$AA,MATCH(D2136,'Company Hitlist'!$A:$A,0)),)</f>
        <v/>
      </c>
      <c r="O2136">
        <f>IFERROR(INDEX('Company Hitlist'!$N:$N,MATCH(D2136,'Company Hitlist'!$A:$A,0)),)</f>
        <v/>
      </c>
      <c r="Q2136" t="inlineStr">
        <is>
          <t>todo</t>
        </is>
      </c>
    </row>
    <row r="2137">
      <c r="A2137" t="inlineStr">
        <is>
          <t>Ross Giambalvo</t>
        </is>
      </c>
      <c r="B2137" t="inlineStr">
        <is>
          <t>Attendee</t>
        </is>
      </c>
      <c r="C2137" t="inlineStr">
        <is>
          <t>VP Inventory Management</t>
        </is>
      </c>
      <c r="D2137" t="inlineStr">
        <is>
          <t>HEB Grocery</t>
        </is>
      </c>
      <c r="F2137" t="inlineStr">
        <is>
          <t>Yes</t>
        </is>
      </c>
      <c r="H2137" t="n">
        <v>6</v>
      </c>
      <c r="I2137" t="b">
        <v>0</v>
      </c>
      <c r="J2137" t="b">
        <v>1</v>
      </c>
      <c r="K2137" t="b">
        <v>0</v>
      </c>
      <c r="L2137" t="b">
        <v>0</v>
      </c>
      <c r="M2137" t="b">
        <v>0</v>
      </c>
      <c r="N2137">
        <f>IFERROR(INDEX('Company Hitlist'!$AA:$AA,MATCH(D2137,'Company Hitlist'!$A:$A,0)),)</f>
        <v/>
      </c>
      <c r="O2137">
        <f>IFERROR(INDEX('Company Hitlist'!$N:$N,MATCH(D2137,'Company Hitlist'!$A:$A,0)),)</f>
        <v/>
      </c>
      <c r="Q2137" t="inlineStr">
        <is>
          <t>todo</t>
        </is>
      </c>
    </row>
    <row r="2138">
      <c r="A2138" t="inlineStr">
        <is>
          <t>Joe Coleman</t>
        </is>
      </c>
      <c r="B2138" t="inlineStr">
        <is>
          <t>Attendee</t>
        </is>
      </c>
      <c r="C2138" t="inlineStr">
        <is>
          <t>Vice President</t>
        </is>
      </c>
      <c r="D2138" t="inlineStr">
        <is>
          <t>HIG Capital</t>
        </is>
      </c>
      <c r="E2138" t="inlineStr">
        <is>
          <t>United States</t>
        </is>
      </c>
      <c r="H2138" t="n">
        <v>6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  <c r="N2138">
        <f>IFERROR(INDEX('Company Hitlist'!$AA:$AA,MATCH(D2138,'Company Hitlist'!$A:$A,0)),)</f>
        <v/>
      </c>
      <c r="O2138">
        <f>IFERROR(INDEX('Company Hitlist'!$N:$N,MATCH(D2138,'Company Hitlist'!$A:$A,0)),)</f>
        <v/>
      </c>
      <c r="Q2138" t="inlineStr">
        <is>
          <t>todo</t>
        </is>
      </c>
    </row>
    <row r="2139">
      <c r="A2139" t="inlineStr">
        <is>
          <t>Murvah Iqbal</t>
        </is>
      </c>
      <c r="B2139" t="inlineStr">
        <is>
          <t>Attendee</t>
        </is>
      </c>
      <c r="C2139" t="inlineStr">
        <is>
          <t>CEO &amp; Founder</t>
        </is>
      </c>
      <c r="D2139" t="inlineStr">
        <is>
          <t>HIVED</t>
        </is>
      </c>
      <c r="E2139" t="inlineStr">
        <is>
          <t>United Kingdom</t>
        </is>
      </c>
      <c r="F2139" t="inlineStr">
        <is>
          <t>Yes</t>
        </is>
      </c>
      <c r="H2139" t="n">
        <v>6</v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  <c r="N2139">
        <f>IFERROR(INDEX('Company Hitlist'!$AA:$AA,MATCH(D2139,'Company Hitlist'!$A:$A,0)),)</f>
        <v/>
      </c>
      <c r="O2139">
        <f>IFERROR(INDEX('Company Hitlist'!$N:$N,MATCH(D2139,'Company Hitlist'!$A:$A,0)),)</f>
        <v/>
      </c>
      <c r="Q2139" t="inlineStr">
        <is>
          <t>todo</t>
        </is>
      </c>
    </row>
    <row r="2140">
      <c r="A2140" t="inlineStr">
        <is>
          <t>Sean Maharaj</t>
        </is>
      </c>
      <c r="B2140" t="inlineStr">
        <is>
          <t>Attendee</t>
        </is>
      </c>
      <c r="C2140" t="inlineStr">
        <is>
          <t>Chief Commercial Officer</t>
        </is>
      </c>
      <c r="D2140" t="inlineStr">
        <is>
          <t>HOPTEK</t>
        </is>
      </c>
      <c r="E2140" t="inlineStr">
        <is>
          <t>United States</t>
        </is>
      </c>
      <c r="F2140" t="inlineStr">
        <is>
          <t>Yes</t>
        </is>
      </c>
      <c r="H2140" t="n">
        <v>6</v>
      </c>
      <c r="I2140" t="b">
        <v>0</v>
      </c>
      <c r="J2140" t="b">
        <v>1</v>
      </c>
      <c r="K2140" t="b">
        <v>0</v>
      </c>
      <c r="L2140" t="b">
        <v>0</v>
      </c>
      <c r="M2140" t="b">
        <v>0</v>
      </c>
      <c r="N2140">
        <f>IFERROR(INDEX('Company Hitlist'!$AA:$AA,MATCH(D2140,'Company Hitlist'!$A:$A,0)),)</f>
        <v/>
      </c>
      <c r="O2140">
        <f>IFERROR(INDEX('Company Hitlist'!$N:$N,MATCH(D2140,'Company Hitlist'!$A:$A,0)),)</f>
        <v/>
      </c>
      <c r="Q2140" t="inlineStr">
        <is>
          <t>todo</t>
        </is>
      </c>
    </row>
    <row r="2141">
      <c r="A2141" t="inlineStr">
        <is>
          <t>Lindsey Haught</t>
        </is>
      </c>
      <c r="B2141" t="inlineStr">
        <is>
          <t>Attendee</t>
        </is>
      </c>
      <c r="C2141" t="inlineStr">
        <is>
          <t>President</t>
        </is>
      </c>
      <c r="D2141" t="inlineStr">
        <is>
          <t>HTR Logistics</t>
        </is>
      </c>
      <c r="F2141" t="inlineStr">
        <is>
          <t>Yes</t>
        </is>
      </c>
      <c r="H2141" t="n">
        <v>6</v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  <c r="N2141">
        <f>IFERROR(INDEX('Company Hitlist'!$AA:$AA,MATCH(D2141,'Company Hitlist'!$A:$A,0)),)</f>
        <v/>
      </c>
      <c r="O2141">
        <f>IFERROR(INDEX('Company Hitlist'!$N:$N,MATCH(D2141,'Company Hitlist'!$A:$A,0)),)</f>
        <v/>
      </c>
      <c r="Q2141" t="inlineStr">
        <is>
          <t>todo</t>
        </is>
      </c>
    </row>
    <row r="2142">
      <c r="A2142" t="inlineStr">
        <is>
          <t>Hanbyeol Kim</t>
        </is>
      </c>
      <c r="B2142" t="inlineStr">
        <is>
          <t>Attendee</t>
        </is>
      </c>
      <c r="C2142" t="inlineStr">
        <is>
          <t>Deputy General Manager</t>
        </is>
      </c>
      <c r="D2142" t="inlineStr">
        <is>
          <t>Hankook Tire U.S.A</t>
        </is>
      </c>
      <c r="H2142" t="n">
        <v>6</v>
      </c>
      <c r="I2142" t="b">
        <v>0</v>
      </c>
      <c r="J2142" t="b">
        <v>1</v>
      </c>
      <c r="K2142" t="b">
        <v>0</v>
      </c>
      <c r="L2142" t="b">
        <v>0</v>
      </c>
      <c r="M2142" t="b">
        <v>0</v>
      </c>
      <c r="N2142">
        <f>IFERROR(INDEX('Company Hitlist'!$AA:$AA,MATCH(D2142,'Company Hitlist'!$A:$A,0)),)</f>
        <v/>
      </c>
      <c r="O2142">
        <f>IFERROR(INDEX('Company Hitlist'!$N:$N,MATCH(D2142,'Company Hitlist'!$A:$A,0)),)</f>
        <v/>
      </c>
      <c r="Q2142" t="inlineStr">
        <is>
          <t>todo</t>
        </is>
      </c>
    </row>
    <row r="2143">
      <c r="A2143" t="inlineStr">
        <is>
          <t>Kyuwang Cho</t>
        </is>
      </c>
      <c r="B2143" t="inlineStr">
        <is>
          <t>Attendee</t>
        </is>
      </c>
      <c r="C2143" t="inlineStr">
        <is>
          <t>Vice President</t>
        </is>
      </c>
      <c r="D2143" t="inlineStr">
        <is>
          <t>Hankook Tire U.S.A</t>
        </is>
      </c>
      <c r="H2143" t="n">
        <v>6</v>
      </c>
      <c r="I2143" t="b">
        <v>0</v>
      </c>
      <c r="J2143" t="b">
        <v>1</v>
      </c>
      <c r="K2143" t="b">
        <v>0</v>
      </c>
      <c r="L2143" t="b">
        <v>0</v>
      </c>
      <c r="M2143" t="b">
        <v>0</v>
      </c>
      <c r="N2143">
        <f>IFERROR(INDEX('Company Hitlist'!$AA:$AA,MATCH(D2143,'Company Hitlist'!$A:$A,0)),)</f>
        <v/>
      </c>
      <c r="O2143">
        <f>IFERROR(INDEX('Company Hitlist'!$N:$N,MATCH(D2143,'Company Hitlist'!$A:$A,0)),)</f>
        <v/>
      </c>
      <c r="Q2143" t="inlineStr">
        <is>
          <t>todo</t>
        </is>
      </c>
    </row>
    <row r="2144">
      <c r="A2144" t="inlineStr">
        <is>
          <t>Han Kim</t>
        </is>
      </c>
      <c r="B2144" t="inlineStr">
        <is>
          <t>Attendee</t>
        </is>
      </c>
      <c r="C2144" t="inlineStr">
        <is>
          <t>President</t>
        </is>
      </c>
      <c r="D2144" t="inlineStr">
        <is>
          <t>Hanyang ENG USA Inc.</t>
        </is>
      </c>
      <c r="H2144" t="n">
        <v>6</v>
      </c>
      <c r="I2144" t="b">
        <v>0</v>
      </c>
      <c r="J2144" t="b">
        <v>1</v>
      </c>
      <c r="K2144" t="b">
        <v>0</v>
      </c>
      <c r="L2144" t="b">
        <v>0</v>
      </c>
      <c r="M2144" t="b">
        <v>0</v>
      </c>
      <c r="N2144">
        <f>IFERROR(INDEX('Company Hitlist'!$AA:$AA,MATCH(D2144,'Company Hitlist'!$A:$A,0)),)</f>
        <v/>
      </c>
      <c r="O2144">
        <f>IFERROR(INDEX('Company Hitlist'!$N:$N,MATCH(D2144,'Company Hitlist'!$A:$A,0)),)</f>
        <v/>
      </c>
      <c r="Q2144" t="inlineStr">
        <is>
          <t>todo</t>
        </is>
      </c>
    </row>
    <row r="2145">
      <c r="A2145" t="inlineStr">
        <is>
          <t>Will Freund</t>
        </is>
      </c>
      <c r="B2145" t="inlineStr">
        <is>
          <t>Attendee</t>
        </is>
      </c>
      <c r="C2145" t="inlineStr">
        <is>
          <t>Chief Operating Officer</t>
        </is>
      </c>
      <c r="D2145" t="inlineStr">
        <is>
          <t>Harry's</t>
        </is>
      </c>
      <c r="F2145" t="inlineStr">
        <is>
          <t>Yes</t>
        </is>
      </c>
      <c r="H2145" t="n">
        <v>6</v>
      </c>
      <c r="I2145" t="b">
        <v>0</v>
      </c>
      <c r="J2145" t="b">
        <v>1</v>
      </c>
      <c r="K2145" t="b">
        <v>0</v>
      </c>
      <c r="L2145" t="b">
        <v>0</v>
      </c>
      <c r="M2145" t="b">
        <v>0</v>
      </c>
      <c r="N2145">
        <f>IFERROR(INDEX('Company Hitlist'!$AA:$AA,MATCH(D2145,'Company Hitlist'!$A:$A,0)),)</f>
        <v/>
      </c>
      <c r="O2145">
        <f>IFERROR(INDEX('Company Hitlist'!$N:$N,MATCH(D2145,'Company Hitlist'!$A:$A,0)),)</f>
        <v/>
      </c>
      <c r="Q2145" t="inlineStr">
        <is>
          <t>todo</t>
        </is>
      </c>
    </row>
    <row r="2146">
      <c r="A2146" t="inlineStr">
        <is>
          <t>Steve Kochan</t>
        </is>
      </c>
      <c r="B2146" t="inlineStr">
        <is>
          <t>Attendee</t>
        </is>
      </c>
      <c r="C2146" t="inlineStr">
        <is>
          <t>President</t>
        </is>
      </c>
      <c r="D2146" t="inlineStr">
        <is>
          <t>HaulPay</t>
        </is>
      </c>
      <c r="E2146" t="inlineStr">
        <is>
          <t>United States</t>
        </is>
      </c>
      <c r="H2146" t="n">
        <v>6</v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  <c r="N2146">
        <f>IFERROR(INDEX('Company Hitlist'!$AA:$AA,MATCH(D2146,'Company Hitlist'!$A:$A,0)),)</f>
        <v/>
      </c>
      <c r="O2146">
        <f>IFERROR(INDEX('Company Hitlist'!$N:$N,MATCH(D2146,'Company Hitlist'!$A:$A,0)),)</f>
        <v/>
      </c>
      <c r="Q2146" t="inlineStr">
        <is>
          <t>todo</t>
        </is>
      </c>
    </row>
    <row r="2147">
      <c r="A2147" t="inlineStr">
        <is>
          <t>Jenna Kirschner</t>
        </is>
      </c>
      <c r="B2147" t="inlineStr">
        <is>
          <t>Attendee</t>
        </is>
      </c>
      <c r="C2147" t="inlineStr">
        <is>
          <t>Chief of Staff</t>
        </is>
      </c>
      <c r="D2147" t="inlineStr">
        <is>
          <t>Hello Fresh</t>
        </is>
      </c>
      <c r="H2147" t="n">
        <v>6</v>
      </c>
      <c r="I2147" t="b">
        <v>0</v>
      </c>
      <c r="J2147" t="b">
        <v>1</v>
      </c>
      <c r="K2147" t="b">
        <v>0</v>
      </c>
      <c r="L2147" t="b">
        <v>0</v>
      </c>
      <c r="M2147" t="b">
        <v>0</v>
      </c>
      <c r="N2147">
        <f>IFERROR(INDEX('Company Hitlist'!$AA:$AA,MATCH(D2147,'Company Hitlist'!$A:$A,0)),)</f>
        <v/>
      </c>
      <c r="O2147">
        <f>IFERROR(INDEX('Company Hitlist'!$N:$N,MATCH(D2147,'Company Hitlist'!$A:$A,0)),)</f>
        <v/>
      </c>
      <c r="Q2147" t="inlineStr">
        <is>
          <t>todo</t>
        </is>
      </c>
    </row>
    <row r="2148">
      <c r="A2148" t="inlineStr">
        <is>
          <t>Jeffrey Hermann</t>
        </is>
      </c>
      <c r="B2148" t="inlineStr">
        <is>
          <t>Attendee</t>
        </is>
      </c>
      <c r="C2148" t="inlineStr">
        <is>
          <t>CEO &amp; President</t>
        </is>
      </c>
      <c r="D2148" t="inlineStr">
        <is>
          <t>Hermann Services</t>
        </is>
      </c>
      <c r="E2148" t="inlineStr">
        <is>
          <t>United States</t>
        </is>
      </c>
      <c r="F2148" t="inlineStr">
        <is>
          <t>Yes</t>
        </is>
      </c>
      <c r="H2148" t="n">
        <v>6</v>
      </c>
      <c r="I2148" t="b">
        <v>0</v>
      </c>
      <c r="J2148" t="b">
        <v>1</v>
      </c>
      <c r="K2148" t="b">
        <v>0</v>
      </c>
      <c r="L2148" t="b">
        <v>0</v>
      </c>
      <c r="M2148" t="b">
        <v>0</v>
      </c>
      <c r="N2148">
        <f>IFERROR(INDEX('Company Hitlist'!$AA:$AA,MATCH(D2148,'Company Hitlist'!$A:$A,0)),)</f>
        <v/>
      </c>
      <c r="O2148">
        <f>IFERROR(INDEX('Company Hitlist'!$N:$N,MATCH(D2148,'Company Hitlist'!$A:$A,0)),)</f>
        <v/>
      </c>
      <c r="Q2148" t="inlineStr">
        <is>
          <t>todo</t>
        </is>
      </c>
    </row>
    <row r="2149">
      <c r="A2149" t="inlineStr">
        <is>
          <t>Netanel Touson</t>
        </is>
      </c>
      <c r="B2149" t="inlineStr">
        <is>
          <t>Attendee</t>
        </is>
      </c>
      <c r="C2149" t="inlineStr">
        <is>
          <t>vp solution</t>
        </is>
      </c>
      <c r="D2149" t="inlineStr">
        <is>
          <t>Hexight</t>
        </is>
      </c>
      <c r="E2149" t="inlineStr">
        <is>
          <t>Israel</t>
        </is>
      </c>
      <c r="H2149" t="n">
        <v>6</v>
      </c>
      <c r="I2149" t="b">
        <v>0</v>
      </c>
      <c r="J2149" t="b">
        <v>1</v>
      </c>
      <c r="K2149" t="b">
        <v>0</v>
      </c>
      <c r="L2149" t="b">
        <v>0</v>
      </c>
      <c r="M2149" t="b">
        <v>0</v>
      </c>
      <c r="N2149">
        <f>IFERROR(INDEX('Company Hitlist'!$AA:$AA,MATCH(D2149,'Company Hitlist'!$A:$A,0)),)</f>
        <v/>
      </c>
      <c r="O2149">
        <f>IFERROR(INDEX('Company Hitlist'!$N:$N,MATCH(D2149,'Company Hitlist'!$A:$A,0)),)</f>
        <v/>
      </c>
      <c r="Q2149" t="inlineStr">
        <is>
          <t>todo</t>
        </is>
      </c>
    </row>
    <row r="2150">
      <c r="A2150" t="inlineStr">
        <is>
          <t>Brian Pennington</t>
        </is>
      </c>
      <c r="B2150" t="inlineStr">
        <is>
          <t>Attendee</t>
        </is>
      </c>
      <c r="C2150" t="inlineStr">
        <is>
          <t>Executive VP</t>
        </is>
      </c>
      <c r="D2150" t="inlineStr">
        <is>
          <t>High Tide Logistics</t>
        </is>
      </c>
      <c r="E2150" t="inlineStr">
        <is>
          <t>United States</t>
        </is>
      </c>
      <c r="F2150" t="inlineStr">
        <is>
          <t>Yes</t>
        </is>
      </c>
      <c r="H2150" t="n">
        <v>6</v>
      </c>
      <c r="I2150" t="b">
        <v>0</v>
      </c>
      <c r="J2150" t="b">
        <v>1</v>
      </c>
      <c r="K2150" t="b">
        <v>0</v>
      </c>
      <c r="L2150" t="b">
        <v>0</v>
      </c>
      <c r="M2150" t="b">
        <v>0</v>
      </c>
      <c r="N2150">
        <f>IFERROR(INDEX('Company Hitlist'!$AA:$AA,MATCH(D2150,'Company Hitlist'!$A:$A,0)),)</f>
        <v/>
      </c>
      <c r="O2150">
        <f>IFERROR(INDEX('Company Hitlist'!$N:$N,MATCH(D2150,'Company Hitlist'!$A:$A,0)),)</f>
        <v/>
      </c>
      <c r="Q2150" t="inlineStr">
        <is>
          <t>todo</t>
        </is>
      </c>
    </row>
    <row r="2151">
      <c r="A2151" t="inlineStr">
        <is>
          <t>Javier Arostegui</t>
        </is>
      </c>
      <c r="B2151" t="inlineStr">
        <is>
          <t>Attendee</t>
        </is>
      </c>
      <c r="C2151" t="inlineStr">
        <is>
          <t>Vice President of Demand</t>
        </is>
      </c>
      <c r="D2151" t="inlineStr">
        <is>
          <t>Hills Nutrition</t>
        </is>
      </c>
      <c r="F2151" t="inlineStr">
        <is>
          <t>Yes</t>
        </is>
      </c>
      <c r="H2151" t="n">
        <v>6</v>
      </c>
      <c r="I2151" t="b">
        <v>0</v>
      </c>
      <c r="J2151" t="b">
        <v>1</v>
      </c>
      <c r="K2151" t="b">
        <v>0</v>
      </c>
      <c r="L2151" t="b">
        <v>0</v>
      </c>
      <c r="M2151" t="b">
        <v>0</v>
      </c>
      <c r="N2151">
        <f>IFERROR(INDEX('Company Hitlist'!$AA:$AA,MATCH(D2151,'Company Hitlist'!$A:$A,0)),)</f>
        <v/>
      </c>
      <c r="O2151">
        <f>IFERROR(INDEX('Company Hitlist'!$N:$N,MATCH(D2151,'Company Hitlist'!$A:$A,0)),)</f>
        <v/>
      </c>
      <c r="Q2151" t="inlineStr">
        <is>
          <t>todo</t>
        </is>
      </c>
    </row>
    <row r="2152">
      <c r="A2152" t="inlineStr">
        <is>
          <t>Ivan Ramirez</t>
        </is>
      </c>
      <c r="B2152" t="inlineStr">
        <is>
          <t>Attendee</t>
        </is>
      </c>
      <c r="C2152" t="inlineStr">
        <is>
          <t>CTO</t>
        </is>
      </c>
      <c r="D2152" t="inlineStr">
        <is>
          <t>Hirschbach</t>
        </is>
      </c>
      <c r="E2152" t="inlineStr">
        <is>
          <t>United States</t>
        </is>
      </c>
      <c r="F2152" t="inlineStr">
        <is>
          <t>Yes</t>
        </is>
      </c>
      <c r="H2152" t="n">
        <v>6</v>
      </c>
      <c r="I2152" t="b">
        <v>0</v>
      </c>
      <c r="J2152" t="b">
        <v>1</v>
      </c>
      <c r="K2152" t="b">
        <v>0</v>
      </c>
      <c r="L2152" t="b">
        <v>0</v>
      </c>
      <c r="M2152" t="b">
        <v>0</v>
      </c>
      <c r="N2152">
        <f>IFERROR(INDEX('Company Hitlist'!$AA:$AA,MATCH(D2152,'Company Hitlist'!$A:$A,0)),)</f>
        <v/>
      </c>
      <c r="O2152">
        <f>IFERROR(INDEX('Company Hitlist'!$N:$N,MATCH(D2152,'Company Hitlist'!$A:$A,0)),)</f>
        <v/>
      </c>
      <c r="Q2152" t="inlineStr">
        <is>
          <t>todo</t>
        </is>
      </c>
    </row>
    <row r="2153">
      <c r="A2153" t="inlineStr">
        <is>
          <t>Tim Guin</t>
        </is>
      </c>
      <c r="B2153" t="inlineStr">
        <is>
          <t>Attendee</t>
        </is>
      </c>
      <c r="C2153" t="inlineStr">
        <is>
          <t>President, Hirschbach Solutions</t>
        </is>
      </c>
      <c r="D2153" t="inlineStr">
        <is>
          <t>Hirschbach</t>
        </is>
      </c>
      <c r="E2153" t="inlineStr">
        <is>
          <t>United States</t>
        </is>
      </c>
      <c r="F2153" t="inlineStr">
        <is>
          <t>Yes</t>
        </is>
      </c>
      <c r="H2153" t="n">
        <v>6</v>
      </c>
      <c r="I2153" t="b">
        <v>0</v>
      </c>
      <c r="J2153" t="b">
        <v>1</v>
      </c>
      <c r="K2153" t="b">
        <v>0</v>
      </c>
      <c r="L2153" t="b">
        <v>0</v>
      </c>
      <c r="M2153" t="b">
        <v>0</v>
      </c>
      <c r="N2153">
        <f>IFERROR(INDEX('Company Hitlist'!$AA:$AA,MATCH(D2153,'Company Hitlist'!$A:$A,0)),)</f>
        <v/>
      </c>
      <c r="O2153">
        <f>IFERROR(INDEX('Company Hitlist'!$N:$N,MATCH(D2153,'Company Hitlist'!$A:$A,0)),)</f>
        <v/>
      </c>
      <c r="Q2153" t="inlineStr">
        <is>
          <t>todo</t>
        </is>
      </c>
    </row>
    <row r="2154">
      <c r="A2154" t="inlineStr">
        <is>
          <t>Cory Manzi</t>
        </is>
      </c>
      <c r="B2154" t="inlineStr">
        <is>
          <t>Attendee</t>
        </is>
      </c>
      <c r="C2154" t="inlineStr">
        <is>
          <t>VP Brokerage</t>
        </is>
      </c>
      <c r="D2154" t="inlineStr">
        <is>
          <t>Hirschbach</t>
        </is>
      </c>
      <c r="F2154" t="inlineStr">
        <is>
          <t>Yes</t>
        </is>
      </c>
      <c r="H2154" t="n">
        <v>6</v>
      </c>
      <c r="I2154" t="b">
        <v>0</v>
      </c>
      <c r="J2154" t="b">
        <v>1</v>
      </c>
      <c r="K2154" t="b">
        <v>0</v>
      </c>
      <c r="L2154" t="b">
        <v>0</v>
      </c>
      <c r="M2154" t="b">
        <v>0</v>
      </c>
      <c r="N2154">
        <f>IFERROR(INDEX('Company Hitlist'!$AA:$AA,MATCH(D2154,'Company Hitlist'!$A:$A,0)),)</f>
        <v/>
      </c>
      <c r="O2154">
        <f>IFERROR(INDEX('Company Hitlist'!$N:$N,MATCH(D2154,'Company Hitlist'!$A:$A,0)),)</f>
        <v/>
      </c>
      <c r="Q2154" t="inlineStr">
        <is>
          <t>todo</t>
        </is>
      </c>
    </row>
    <row r="2155">
      <c r="A2155" t="inlineStr">
        <is>
          <t>Mo Bashir</t>
        </is>
      </c>
      <c r="B2155" t="inlineStr">
        <is>
          <t>Attendee</t>
        </is>
      </c>
      <c r="C2155" t="inlineStr">
        <is>
          <t>VP of Tech</t>
        </is>
      </c>
      <c r="D2155" t="inlineStr">
        <is>
          <t>Hirschbach</t>
        </is>
      </c>
      <c r="F2155" t="inlineStr">
        <is>
          <t>Yes</t>
        </is>
      </c>
      <c r="H2155" t="n">
        <v>6</v>
      </c>
      <c r="I2155" t="b">
        <v>0</v>
      </c>
      <c r="J2155" t="b">
        <v>1</v>
      </c>
      <c r="K2155" t="b">
        <v>0</v>
      </c>
      <c r="L2155" t="b">
        <v>0</v>
      </c>
      <c r="M2155" t="b">
        <v>0</v>
      </c>
      <c r="N2155">
        <f>IFERROR(INDEX('Company Hitlist'!$AA:$AA,MATCH(D2155,'Company Hitlist'!$A:$A,0)),)</f>
        <v/>
      </c>
      <c r="O2155">
        <f>IFERROR(INDEX('Company Hitlist'!$N:$N,MATCH(D2155,'Company Hitlist'!$A:$A,0)),)</f>
        <v/>
      </c>
      <c r="Q2155" t="inlineStr">
        <is>
          <t>todo</t>
        </is>
      </c>
    </row>
    <row r="2156">
      <c r="A2156" t="inlineStr">
        <is>
          <t>Oskar Ziegler</t>
        </is>
      </c>
      <c r="B2156" t="inlineStr">
        <is>
          <t>Attendee</t>
        </is>
      </c>
      <c r="C2156" t="inlineStr">
        <is>
          <t>CEO &amp; Co-Founder</t>
        </is>
      </c>
      <c r="D2156" t="inlineStr">
        <is>
          <t>Hive Technologies</t>
        </is>
      </c>
      <c r="E2156" t="inlineStr">
        <is>
          <t>Germany</t>
        </is>
      </c>
      <c r="F2156" t="inlineStr">
        <is>
          <t>Yes</t>
        </is>
      </c>
      <c r="H2156" t="n">
        <v>6</v>
      </c>
      <c r="I2156" t="b">
        <v>0</v>
      </c>
      <c r="J2156" t="b">
        <v>1</v>
      </c>
      <c r="K2156" t="b">
        <v>0</v>
      </c>
      <c r="L2156" t="b">
        <v>0</v>
      </c>
      <c r="M2156" t="b">
        <v>0</v>
      </c>
      <c r="N2156">
        <f>IFERROR(INDEX('Company Hitlist'!$AA:$AA,MATCH(D2156,'Company Hitlist'!$A:$A,0)),)</f>
        <v/>
      </c>
      <c r="O2156">
        <f>IFERROR(INDEX('Company Hitlist'!$N:$N,MATCH(D2156,'Company Hitlist'!$A:$A,0)),)</f>
        <v/>
      </c>
      <c r="Q2156" t="inlineStr">
        <is>
          <t>todo</t>
        </is>
      </c>
    </row>
    <row r="2157">
      <c r="A2157" t="inlineStr">
        <is>
          <t>Mike Gardner</t>
        </is>
      </c>
      <c r="B2157" t="inlineStr">
        <is>
          <t>Attendee</t>
        </is>
      </c>
      <c r="C2157" t="inlineStr">
        <is>
          <t>President</t>
        </is>
      </c>
      <c r="D2157" t="inlineStr">
        <is>
          <t>Holman Logistics</t>
        </is>
      </c>
      <c r="F2157" t="inlineStr">
        <is>
          <t>Yes</t>
        </is>
      </c>
      <c r="G2157" t="inlineStr">
        <is>
          <t>$457M (est.)</t>
        </is>
      </c>
      <c r="H2157" t="n">
        <v>6</v>
      </c>
      <c r="I2157" t="b">
        <v>0</v>
      </c>
      <c r="J2157" t="b">
        <v>1</v>
      </c>
      <c r="K2157" t="b">
        <v>0</v>
      </c>
      <c r="L2157" t="b">
        <v>0</v>
      </c>
      <c r="M2157" t="b">
        <v>0</v>
      </c>
      <c r="N2157">
        <f>IFERROR(INDEX('Company Hitlist'!$AA:$AA,MATCH(D2157,'Company Hitlist'!$A:$A,0)),)</f>
        <v/>
      </c>
      <c r="O2157">
        <f>IFERROR(INDEX('Company Hitlist'!$N:$N,MATCH(D2157,'Company Hitlist'!$A:$A,0)),)</f>
        <v/>
      </c>
      <c r="Q2157" t="inlineStr">
        <is>
          <t>todo</t>
        </is>
      </c>
    </row>
    <row r="2158">
      <c r="A2158" t="inlineStr">
        <is>
          <t>Ryan Wallace</t>
        </is>
      </c>
      <c r="B2158" t="inlineStr">
        <is>
          <t>Attendee</t>
        </is>
      </c>
      <c r="C2158" t="inlineStr">
        <is>
          <t>VP &amp; CPO</t>
        </is>
      </c>
      <c r="D2158" t="inlineStr">
        <is>
          <t>Hologic</t>
        </is>
      </c>
      <c r="F2158" t="inlineStr">
        <is>
          <t>Yes</t>
        </is>
      </c>
      <c r="H2158" t="n">
        <v>6</v>
      </c>
      <c r="I2158" t="b">
        <v>0</v>
      </c>
      <c r="J2158" t="b">
        <v>1</v>
      </c>
      <c r="K2158" t="b">
        <v>0</v>
      </c>
      <c r="L2158" t="b">
        <v>0</v>
      </c>
      <c r="M2158" t="b">
        <v>0</v>
      </c>
      <c r="N2158">
        <f>IFERROR(INDEX('Company Hitlist'!$AA:$AA,MATCH(D2158,'Company Hitlist'!$A:$A,0)),)</f>
        <v/>
      </c>
      <c r="O2158">
        <f>IFERROR(INDEX('Company Hitlist'!$N:$N,MATCH(D2158,'Company Hitlist'!$A:$A,0)),)</f>
        <v/>
      </c>
      <c r="Q2158" t="inlineStr">
        <is>
          <t>todo</t>
        </is>
      </c>
    </row>
    <row r="2159">
      <c r="A2159" t="inlineStr">
        <is>
          <t>Mike Greenan</t>
        </is>
      </c>
      <c r="B2159" t="inlineStr">
        <is>
          <t>Attendee</t>
        </is>
      </c>
      <c r="C2159" t="inlineStr">
        <is>
          <t>CEO</t>
        </is>
      </c>
      <c r="D2159" t="inlineStr">
        <is>
          <t>Honest Medical</t>
        </is>
      </c>
      <c r="F2159" t="inlineStr">
        <is>
          <t>Yes</t>
        </is>
      </c>
      <c r="H2159" t="n">
        <v>6</v>
      </c>
      <c r="I2159" t="b">
        <v>0</v>
      </c>
      <c r="J2159" t="b">
        <v>1</v>
      </c>
      <c r="K2159" t="b">
        <v>0</v>
      </c>
      <c r="L2159" t="b">
        <v>0</v>
      </c>
      <c r="M2159" t="b">
        <v>0</v>
      </c>
      <c r="N2159">
        <f>IFERROR(INDEX('Company Hitlist'!$AA:$AA,MATCH(D2159,'Company Hitlist'!$A:$A,0)),)</f>
        <v/>
      </c>
      <c r="O2159">
        <f>IFERROR(INDEX('Company Hitlist'!$N:$N,MATCH(D2159,'Company Hitlist'!$A:$A,0)),)</f>
        <v/>
      </c>
      <c r="Q2159" t="inlineStr">
        <is>
          <t>todo</t>
        </is>
      </c>
    </row>
    <row r="2160">
      <c r="A2160" t="inlineStr">
        <is>
          <t>Mike Polich</t>
        </is>
      </c>
      <c r="B2160" t="inlineStr">
        <is>
          <t>Attendee</t>
        </is>
      </c>
      <c r="C2160" t="inlineStr">
        <is>
          <t>Vice President &amp; CPO</t>
        </is>
      </c>
      <c r="D2160" t="inlineStr">
        <is>
          <t>Honeywell</t>
        </is>
      </c>
      <c r="E2160" t="inlineStr">
        <is>
          <t>United States</t>
        </is>
      </c>
      <c r="F2160" t="inlineStr">
        <is>
          <t>Yes</t>
        </is>
      </c>
      <c r="H2160" t="n">
        <v>6</v>
      </c>
      <c r="I2160" t="b">
        <v>0</v>
      </c>
      <c r="J2160" t="b">
        <v>1</v>
      </c>
      <c r="K2160" t="b">
        <v>0</v>
      </c>
      <c r="L2160" t="b">
        <v>0</v>
      </c>
      <c r="M2160" t="b">
        <v>0</v>
      </c>
      <c r="N2160">
        <f>IFERROR(INDEX('Company Hitlist'!$AA:$AA,MATCH(D2160,'Company Hitlist'!$A:$A,0)),)</f>
        <v/>
      </c>
      <c r="O2160">
        <f>IFERROR(INDEX('Company Hitlist'!$N:$N,MATCH(D2160,'Company Hitlist'!$A:$A,0)),)</f>
        <v/>
      </c>
      <c r="Q2160" t="inlineStr">
        <is>
          <t>todo</t>
        </is>
      </c>
    </row>
    <row r="2161">
      <c r="A2161" t="inlineStr">
        <is>
          <t>Al Tama</t>
        </is>
      </c>
      <c r="B2161" t="inlineStr">
        <is>
          <t>Attendee</t>
        </is>
      </c>
      <c r="C2161" t="inlineStr">
        <is>
          <t>SVP, GM North America</t>
        </is>
      </c>
      <c r="D2161" t="inlineStr">
        <is>
          <t>Hoopo</t>
        </is>
      </c>
      <c r="E2161" t="inlineStr">
        <is>
          <t>United States</t>
        </is>
      </c>
      <c r="F2161" t="inlineStr">
        <is>
          <t>Yes</t>
        </is>
      </c>
      <c r="H2161" t="n">
        <v>6</v>
      </c>
      <c r="I2161" t="b">
        <v>0</v>
      </c>
      <c r="J2161" t="b">
        <v>1</v>
      </c>
      <c r="K2161" t="b">
        <v>0</v>
      </c>
      <c r="L2161" t="b">
        <v>0</v>
      </c>
      <c r="M2161" t="b">
        <v>0</v>
      </c>
      <c r="N2161">
        <f>IFERROR(INDEX('Company Hitlist'!$AA:$AA,MATCH(D2161,'Company Hitlist'!$A:$A,0)),)</f>
        <v/>
      </c>
      <c r="O2161">
        <f>IFERROR(INDEX('Company Hitlist'!$N:$N,MATCH(D2161,'Company Hitlist'!$A:$A,0)),)</f>
        <v/>
      </c>
      <c r="Q2161" t="inlineStr">
        <is>
          <t>todo</t>
        </is>
      </c>
    </row>
    <row r="2162">
      <c r="A2162" t="inlineStr">
        <is>
          <t>Marco Mularoni</t>
        </is>
      </c>
      <c r="B2162" t="inlineStr">
        <is>
          <t>Attendee</t>
        </is>
      </c>
      <c r="C2162" t="inlineStr">
        <is>
          <t>VP North America</t>
        </is>
      </c>
      <c r="D2162" t="inlineStr">
        <is>
          <t>Hoopo</t>
        </is>
      </c>
      <c r="F2162" t="inlineStr">
        <is>
          <t>Yes</t>
        </is>
      </c>
      <c r="H2162" t="n">
        <v>6</v>
      </c>
      <c r="I2162" t="b">
        <v>0</v>
      </c>
      <c r="J2162" t="b">
        <v>1</v>
      </c>
      <c r="K2162" t="b">
        <v>0</v>
      </c>
      <c r="L2162" t="b">
        <v>0</v>
      </c>
      <c r="M2162" t="b">
        <v>0</v>
      </c>
      <c r="N2162">
        <f>IFERROR(INDEX('Company Hitlist'!$AA:$AA,MATCH(D2162,'Company Hitlist'!$A:$A,0)),)</f>
        <v/>
      </c>
      <c r="O2162">
        <f>IFERROR(INDEX('Company Hitlist'!$N:$N,MATCH(D2162,'Company Hitlist'!$A:$A,0)),)</f>
        <v/>
      </c>
      <c r="Q2162" t="inlineStr">
        <is>
          <t>todo</t>
        </is>
      </c>
    </row>
    <row r="2163">
      <c r="A2163" t="inlineStr">
        <is>
          <t>Bryan Rekowski</t>
        </is>
      </c>
      <c r="B2163" t="inlineStr">
        <is>
          <t>Attendee</t>
        </is>
      </c>
      <c r="C2163" t="inlineStr">
        <is>
          <t>COO</t>
        </is>
      </c>
      <c r="D2163" t="inlineStr">
        <is>
          <t>Hoplite Logistics</t>
        </is>
      </c>
      <c r="E2163" t="inlineStr">
        <is>
          <t>United States</t>
        </is>
      </c>
      <c r="F2163" t="inlineStr">
        <is>
          <t>Yes</t>
        </is>
      </c>
      <c r="H2163" t="n">
        <v>6</v>
      </c>
      <c r="I2163" t="b">
        <v>0</v>
      </c>
      <c r="J2163" t="b">
        <v>1</v>
      </c>
      <c r="K2163" t="b">
        <v>0</v>
      </c>
      <c r="L2163" t="b">
        <v>0</v>
      </c>
      <c r="M2163" t="b">
        <v>0</v>
      </c>
      <c r="N2163">
        <f>IFERROR(INDEX('Company Hitlist'!$AA:$AA,MATCH(D2163,'Company Hitlist'!$A:$A,0)),)</f>
        <v/>
      </c>
      <c r="O2163">
        <f>IFERROR(INDEX('Company Hitlist'!$N:$N,MATCH(D2163,'Company Hitlist'!$A:$A,0)),)</f>
        <v/>
      </c>
      <c r="Q2163" t="inlineStr">
        <is>
          <t>todo</t>
        </is>
      </c>
    </row>
    <row r="2164">
      <c r="A2164" t="inlineStr">
        <is>
          <t>Rich Krul</t>
        </is>
      </c>
      <c r="B2164" t="inlineStr">
        <is>
          <t>Attendee</t>
        </is>
      </c>
      <c r="C2164" t="inlineStr">
        <is>
          <t>CEO</t>
        </is>
      </c>
      <c r="D2164" t="inlineStr">
        <is>
          <t>Hoplite Logistics</t>
        </is>
      </c>
      <c r="E2164" t="inlineStr">
        <is>
          <t>United States</t>
        </is>
      </c>
      <c r="F2164" t="inlineStr">
        <is>
          <t>Yes</t>
        </is>
      </c>
      <c r="H2164" t="n">
        <v>6</v>
      </c>
      <c r="I2164" t="b">
        <v>0</v>
      </c>
      <c r="J2164" t="b">
        <v>1</v>
      </c>
      <c r="K2164" t="b">
        <v>0</v>
      </c>
      <c r="L2164" t="b">
        <v>0</v>
      </c>
      <c r="M2164" t="b">
        <v>0</v>
      </c>
      <c r="N2164">
        <f>IFERROR(INDEX('Company Hitlist'!$AA:$AA,MATCH(D2164,'Company Hitlist'!$A:$A,0)),)</f>
        <v/>
      </c>
      <c r="O2164">
        <f>IFERROR(INDEX('Company Hitlist'!$N:$N,MATCH(D2164,'Company Hitlist'!$A:$A,0)),)</f>
        <v/>
      </c>
      <c r="Q2164" t="inlineStr">
        <is>
          <t>todo</t>
        </is>
      </c>
    </row>
    <row r="2165">
      <c r="A2165" t="inlineStr">
        <is>
          <t>Danny Lilley</t>
        </is>
      </c>
      <c r="B2165" t="inlineStr">
        <is>
          <t>Attendee</t>
        </is>
      </c>
      <c r="C2165" t="inlineStr">
        <is>
          <t>Chief Strategy Officer</t>
        </is>
      </c>
      <c r="D2165" t="inlineStr">
        <is>
          <t>Hoptek</t>
        </is>
      </c>
      <c r="E2165" t="inlineStr">
        <is>
          <t>United States</t>
        </is>
      </c>
      <c r="F2165" t="inlineStr">
        <is>
          <t>Yes</t>
        </is>
      </c>
      <c r="H2165" t="n">
        <v>6</v>
      </c>
      <c r="I2165" t="b">
        <v>0</v>
      </c>
      <c r="J2165" t="b">
        <v>1</v>
      </c>
      <c r="K2165" t="b">
        <v>0</v>
      </c>
      <c r="L2165" t="b">
        <v>0</v>
      </c>
      <c r="M2165" t="b">
        <v>0</v>
      </c>
      <c r="N2165">
        <f>IFERROR(INDEX('Company Hitlist'!$AA:$AA,MATCH(D2165,'Company Hitlist'!$A:$A,0)),)</f>
        <v/>
      </c>
      <c r="O2165">
        <f>IFERROR(INDEX('Company Hitlist'!$N:$N,MATCH(D2165,'Company Hitlist'!$A:$A,0)),)</f>
        <v/>
      </c>
      <c r="Q2165" t="inlineStr">
        <is>
          <t>todo</t>
        </is>
      </c>
    </row>
    <row r="2166">
      <c r="A2166" t="inlineStr">
        <is>
          <t>Balaji Guntur</t>
        </is>
      </c>
      <c r="B2166" t="inlineStr">
        <is>
          <t>Attendee</t>
        </is>
      </c>
      <c r="C2166" t="inlineStr">
        <is>
          <t>CEO</t>
        </is>
      </c>
      <c r="D2166" t="inlineStr">
        <is>
          <t>Hoptek Inc.</t>
        </is>
      </c>
      <c r="E2166" t="inlineStr">
        <is>
          <t>United States</t>
        </is>
      </c>
      <c r="F2166" t="inlineStr">
        <is>
          <t>Yes</t>
        </is>
      </c>
      <c r="H2166" t="n">
        <v>6</v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  <c r="N2166">
        <f>IFERROR(INDEX('Company Hitlist'!$AA:$AA,MATCH(D2166,'Company Hitlist'!$A:$A,0)),)</f>
        <v/>
      </c>
      <c r="O2166">
        <f>IFERROR(INDEX('Company Hitlist'!$N:$N,MATCH(D2166,'Company Hitlist'!$A:$A,0)),)</f>
        <v/>
      </c>
      <c r="Q2166" t="inlineStr">
        <is>
          <t>todo</t>
        </is>
      </c>
    </row>
    <row r="2167">
      <c r="A2167" t="inlineStr">
        <is>
          <t>Hassan Syyid</t>
        </is>
      </c>
      <c r="B2167" t="inlineStr">
        <is>
          <t>Attendee</t>
        </is>
      </c>
      <c r="C2167" t="inlineStr">
        <is>
          <t>CEO</t>
        </is>
      </c>
      <c r="D2167" t="inlineStr">
        <is>
          <t>Hotglue</t>
        </is>
      </c>
      <c r="E2167" t="inlineStr">
        <is>
          <t>United States</t>
        </is>
      </c>
      <c r="F2167" t="inlineStr">
        <is>
          <t>Yes</t>
        </is>
      </c>
      <c r="H2167" t="n">
        <v>6</v>
      </c>
      <c r="I2167" t="b">
        <v>0</v>
      </c>
      <c r="J2167" t="b">
        <v>1</v>
      </c>
      <c r="K2167" t="b">
        <v>0</v>
      </c>
      <c r="L2167" t="b">
        <v>0</v>
      </c>
      <c r="M2167" t="b">
        <v>0</v>
      </c>
      <c r="N2167">
        <f>IFERROR(INDEX('Company Hitlist'!$AA:$AA,MATCH(D2167,'Company Hitlist'!$A:$A,0)),)</f>
        <v/>
      </c>
      <c r="O2167">
        <f>IFERROR(INDEX('Company Hitlist'!$N:$N,MATCH(D2167,'Company Hitlist'!$A:$A,0)),)</f>
        <v/>
      </c>
      <c r="Q2167" t="inlineStr">
        <is>
          <t>todo</t>
        </is>
      </c>
    </row>
    <row r="2168">
      <c r="A2168" t="inlineStr">
        <is>
          <t>Tim Korba</t>
        </is>
      </c>
      <c r="B2168" t="inlineStr">
        <is>
          <t>Attendee</t>
        </is>
      </c>
      <c r="C2168" t="inlineStr">
        <is>
          <t>General Manager</t>
        </is>
      </c>
      <c r="D2168" t="inlineStr">
        <is>
          <t>Hunter Global Express</t>
        </is>
      </c>
      <c r="E2168" t="inlineStr">
        <is>
          <t>Canada</t>
        </is>
      </c>
      <c r="H2168" t="n">
        <v>6</v>
      </c>
      <c r="I2168" t="b">
        <v>0</v>
      </c>
      <c r="J2168" t="b">
        <v>1</v>
      </c>
      <c r="K2168" t="b">
        <v>0</v>
      </c>
      <c r="L2168" t="b">
        <v>0</v>
      </c>
      <c r="M2168" t="b">
        <v>0</v>
      </c>
      <c r="N2168">
        <f>IFERROR(INDEX('Company Hitlist'!$AA:$AA,MATCH(D2168,'Company Hitlist'!$A:$A,0)),)</f>
        <v/>
      </c>
      <c r="O2168">
        <f>IFERROR(INDEX('Company Hitlist'!$N:$N,MATCH(D2168,'Company Hitlist'!$A:$A,0)),)</f>
        <v/>
      </c>
      <c r="Q2168" t="inlineStr">
        <is>
          <t>todo</t>
        </is>
      </c>
    </row>
    <row r="2169">
      <c r="A2169" t="inlineStr">
        <is>
          <t>Syed Aman</t>
        </is>
      </c>
      <c r="B2169" t="inlineStr">
        <is>
          <t>Attendee</t>
        </is>
      </c>
      <c r="C2169" t="inlineStr">
        <is>
          <t>CEO &amp; Founder</t>
        </is>
      </c>
      <c r="D2169" t="inlineStr">
        <is>
          <t>Hwy Haul</t>
        </is>
      </c>
      <c r="E2169" t="inlineStr">
        <is>
          <t>United States</t>
        </is>
      </c>
      <c r="F2169" t="inlineStr">
        <is>
          <t>Yes</t>
        </is>
      </c>
      <c r="H2169" t="n">
        <v>6</v>
      </c>
      <c r="I2169" t="b">
        <v>0</v>
      </c>
      <c r="J2169" t="b">
        <v>1</v>
      </c>
      <c r="K2169" t="b">
        <v>0</v>
      </c>
      <c r="L2169" t="b">
        <v>0</v>
      </c>
      <c r="M2169" t="b">
        <v>0</v>
      </c>
      <c r="N2169">
        <f>IFERROR(INDEX('Company Hitlist'!$AA:$AA,MATCH(D2169,'Company Hitlist'!$A:$A,0)),)</f>
        <v/>
      </c>
      <c r="O2169">
        <f>IFERROR(INDEX('Company Hitlist'!$N:$N,MATCH(D2169,'Company Hitlist'!$A:$A,0)),)</f>
        <v/>
      </c>
      <c r="Q2169" t="inlineStr">
        <is>
          <t>todo</t>
        </is>
      </c>
    </row>
    <row r="2170">
      <c r="A2170" t="inlineStr">
        <is>
          <t>Aimee Xu</t>
        </is>
      </c>
      <c r="B2170" t="inlineStr">
        <is>
          <t>Attendee</t>
        </is>
      </c>
      <c r="C2170" t="inlineStr">
        <is>
          <t>Vice President</t>
        </is>
      </c>
      <c r="D2170" t="inlineStr">
        <is>
          <t>I Squared Capital</t>
        </is>
      </c>
      <c r="E2170" t="inlineStr">
        <is>
          <t>United States</t>
        </is>
      </c>
      <c r="H2170" t="n">
        <v>6</v>
      </c>
      <c r="I2170" t="b">
        <v>0</v>
      </c>
      <c r="J2170" t="b">
        <v>1</v>
      </c>
      <c r="K2170" t="b">
        <v>0</v>
      </c>
      <c r="L2170" t="b">
        <v>0</v>
      </c>
      <c r="M2170" t="b">
        <v>0</v>
      </c>
      <c r="N2170">
        <f>IFERROR(INDEX('Company Hitlist'!$AA:$AA,MATCH(D2170,'Company Hitlist'!$A:$A,0)),)</f>
        <v/>
      </c>
      <c r="O2170">
        <f>IFERROR(INDEX('Company Hitlist'!$N:$N,MATCH(D2170,'Company Hitlist'!$A:$A,0)),)</f>
        <v/>
      </c>
      <c r="Q2170" t="inlineStr">
        <is>
          <t>todo</t>
        </is>
      </c>
    </row>
    <row r="2171">
      <c r="A2171" t="inlineStr">
        <is>
          <t>John Chang</t>
        </is>
      </c>
      <c r="B2171" t="inlineStr">
        <is>
          <t>Attendee</t>
        </is>
      </c>
      <c r="C2171" t="inlineStr">
        <is>
          <t>Co-Founder &amp; CEO</t>
        </is>
      </c>
      <c r="D2171" t="inlineStr">
        <is>
          <t>IBIS Labs</t>
        </is>
      </c>
      <c r="E2171" t="inlineStr">
        <is>
          <t>United States</t>
        </is>
      </c>
      <c r="F2171" t="inlineStr">
        <is>
          <t>Yes</t>
        </is>
      </c>
      <c r="H2171" t="n">
        <v>6</v>
      </c>
      <c r="I2171" t="b">
        <v>0</v>
      </c>
      <c r="J2171" t="b">
        <v>1</v>
      </c>
      <c r="K2171" t="b">
        <v>0</v>
      </c>
      <c r="L2171" t="b">
        <v>0</v>
      </c>
      <c r="M2171" t="b">
        <v>0</v>
      </c>
      <c r="N2171">
        <f>IFERROR(INDEX('Company Hitlist'!$AA:$AA,MATCH(D2171,'Company Hitlist'!$A:$A,0)),)</f>
        <v/>
      </c>
      <c r="O2171">
        <f>IFERROR(INDEX('Company Hitlist'!$N:$N,MATCH(D2171,'Company Hitlist'!$A:$A,0)),)</f>
        <v/>
      </c>
      <c r="Q2171" t="inlineStr">
        <is>
          <t>todo</t>
        </is>
      </c>
    </row>
    <row r="2172">
      <c r="A2172" t="inlineStr">
        <is>
          <t>Jim Marcoly</t>
        </is>
      </c>
      <c r="B2172" t="inlineStr">
        <is>
          <t>Attendee</t>
        </is>
      </c>
      <c r="C2172" t="inlineStr">
        <is>
          <t>EVP</t>
        </is>
      </c>
      <c r="D2172" t="inlineStr">
        <is>
          <t>IDC Logistics with 4 million square feet of bonded, food, CPG, pharma DC's and drayage services in SoCal, Savannah, New Jersey.</t>
        </is>
      </c>
      <c r="E2172" t="inlineStr">
        <is>
          <t>United States</t>
        </is>
      </c>
      <c r="H2172" t="n">
        <v>6</v>
      </c>
      <c r="I2172" t="b">
        <v>0</v>
      </c>
      <c r="J2172" t="b">
        <v>1</v>
      </c>
      <c r="K2172" t="b">
        <v>0</v>
      </c>
      <c r="L2172" t="b">
        <v>0</v>
      </c>
      <c r="M2172" t="b">
        <v>0</v>
      </c>
      <c r="N2172">
        <f>IFERROR(INDEX('Company Hitlist'!$AA:$AA,MATCH(D2172,'Company Hitlist'!$A:$A,0)),)</f>
        <v/>
      </c>
      <c r="O2172">
        <f>IFERROR(INDEX('Company Hitlist'!$N:$N,MATCH(D2172,'Company Hitlist'!$A:$A,0)),)</f>
        <v/>
      </c>
      <c r="Q2172" t="inlineStr">
        <is>
          <t>todo</t>
        </is>
      </c>
    </row>
    <row r="2173">
      <c r="A2173" t="inlineStr">
        <is>
          <t>DANIEL ILG</t>
        </is>
      </c>
      <c r="B2173" t="inlineStr">
        <is>
          <t>Attendee</t>
        </is>
      </c>
      <c r="C2173" t="inlineStr">
        <is>
          <t>President</t>
        </is>
      </c>
      <c r="D2173" t="inlineStr">
        <is>
          <t>ILG LOGISTICS</t>
        </is>
      </c>
      <c r="E2173" t="inlineStr">
        <is>
          <t>United States</t>
        </is>
      </c>
      <c r="F2173" t="inlineStr">
        <is>
          <t>Yes</t>
        </is>
      </c>
      <c r="H2173" t="n">
        <v>6</v>
      </c>
      <c r="I2173" t="b">
        <v>0</v>
      </c>
      <c r="J2173" t="b">
        <v>1</v>
      </c>
      <c r="K2173" t="b">
        <v>0</v>
      </c>
      <c r="L2173" t="b">
        <v>0</v>
      </c>
      <c r="M2173" t="b">
        <v>0</v>
      </c>
      <c r="N2173">
        <f>IFERROR(INDEX('Company Hitlist'!$AA:$AA,MATCH(D2173,'Company Hitlist'!$A:$A,0)),)</f>
        <v/>
      </c>
      <c r="O2173">
        <f>IFERROR(INDEX('Company Hitlist'!$N:$N,MATCH(D2173,'Company Hitlist'!$A:$A,0)),)</f>
        <v/>
      </c>
      <c r="Q2173" t="inlineStr">
        <is>
          <t>todo</t>
        </is>
      </c>
    </row>
    <row r="2174">
      <c r="A2174" t="inlineStr">
        <is>
          <t>Slava Kleyman</t>
        </is>
      </c>
      <c r="B2174" t="inlineStr">
        <is>
          <t>Attendee</t>
        </is>
      </c>
      <c r="C2174" t="inlineStr">
        <is>
          <t>Co-Founder &amp; EVP</t>
        </is>
      </c>
      <c r="D2174" t="inlineStr">
        <is>
          <t>IMS</t>
        </is>
      </c>
      <c r="E2174" t="inlineStr">
        <is>
          <t>United States</t>
        </is>
      </c>
      <c r="F2174" t="inlineStr">
        <is>
          <t>Yes</t>
        </is>
      </c>
      <c r="H2174" t="n">
        <v>6</v>
      </c>
      <c r="I2174" t="b">
        <v>0</v>
      </c>
      <c r="J2174" t="b">
        <v>1</v>
      </c>
      <c r="K2174" t="b">
        <v>0</v>
      </c>
      <c r="L2174" t="b">
        <v>0</v>
      </c>
      <c r="M2174" t="b">
        <v>0</v>
      </c>
      <c r="N2174">
        <f>IFERROR(INDEX('Company Hitlist'!$AA:$AA,MATCH(D2174,'Company Hitlist'!$A:$A,0)),)</f>
        <v/>
      </c>
      <c r="O2174">
        <f>IFERROR(INDEX('Company Hitlist'!$N:$N,MATCH(D2174,'Company Hitlist'!$A:$A,0)),)</f>
        <v/>
      </c>
      <c r="Q2174" t="inlineStr">
        <is>
          <t>todo</t>
        </is>
      </c>
    </row>
    <row r="2175">
      <c r="A2175" t="inlineStr">
        <is>
          <t>Ian Aguilar</t>
        </is>
      </c>
      <c r="B2175" t="inlineStr">
        <is>
          <t>Attendee</t>
        </is>
      </c>
      <c r="C2175" t="inlineStr">
        <is>
          <t>CTO</t>
        </is>
      </c>
      <c r="D2175" t="inlineStr">
        <is>
          <t>Imperative Logistics</t>
        </is>
      </c>
      <c r="E2175" t="inlineStr">
        <is>
          <t>United States</t>
        </is>
      </c>
      <c r="F2175" t="inlineStr">
        <is>
          <t>Yes</t>
        </is>
      </c>
      <c r="H2175" t="n">
        <v>6</v>
      </c>
      <c r="I2175" t="b">
        <v>0</v>
      </c>
      <c r="J2175" t="b">
        <v>1</v>
      </c>
      <c r="K2175" t="b">
        <v>0</v>
      </c>
      <c r="L2175" t="b">
        <v>0</v>
      </c>
      <c r="M2175" t="b">
        <v>0</v>
      </c>
      <c r="N2175">
        <f>IFERROR(INDEX('Company Hitlist'!$AA:$AA,MATCH(D2175,'Company Hitlist'!$A:$A,0)),)</f>
        <v/>
      </c>
      <c r="O2175">
        <f>IFERROR(INDEX('Company Hitlist'!$N:$N,MATCH(D2175,'Company Hitlist'!$A:$A,0)),)</f>
        <v/>
      </c>
      <c r="Q2175" t="inlineStr">
        <is>
          <t>todo</t>
        </is>
      </c>
    </row>
    <row r="2176">
      <c r="A2176" t="inlineStr">
        <is>
          <t>Anugrah Atreya</t>
        </is>
      </c>
      <c r="B2176" t="inlineStr">
        <is>
          <t>Attendee</t>
        </is>
      </c>
      <c r="C2176" t="inlineStr">
        <is>
          <t>CEO</t>
        </is>
      </c>
      <c r="D2176" t="inlineStr">
        <is>
          <t>Impledge Xpress Pvt Ltd</t>
        </is>
      </c>
      <c r="E2176" t="inlineStr">
        <is>
          <t>India</t>
        </is>
      </c>
      <c r="F2176" t="inlineStr">
        <is>
          <t>Yes</t>
        </is>
      </c>
      <c r="H2176" t="n">
        <v>6</v>
      </c>
      <c r="I2176" t="b">
        <v>0</v>
      </c>
      <c r="J2176" t="b">
        <v>1</v>
      </c>
      <c r="K2176" t="b">
        <v>0</v>
      </c>
      <c r="L2176" t="b">
        <v>0</v>
      </c>
      <c r="M2176" t="b">
        <v>0</v>
      </c>
      <c r="N2176">
        <f>IFERROR(INDEX('Company Hitlist'!$AA:$AA,MATCH(D2176,'Company Hitlist'!$A:$A,0)),)</f>
        <v/>
      </c>
      <c r="O2176">
        <f>IFERROR(INDEX('Company Hitlist'!$N:$N,MATCH(D2176,'Company Hitlist'!$A:$A,0)),)</f>
        <v/>
      </c>
      <c r="Q2176" t="inlineStr">
        <is>
          <t>todo</t>
        </is>
      </c>
    </row>
    <row r="2177">
      <c r="A2177" t="inlineStr">
        <is>
          <t>Jitendra Mohan Verma</t>
        </is>
      </c>
      <c r="B2177" t="inlineStr">
        <is>
          <t>Attendee</t>
        </is>
      </c>
      <c r="C2177" t="inlineStr">
        <is>
          <t>VP</t>
        </is>
      </c>
      <c r="D2177" t="inlineStr">
        <is>
          <t>Impledge Xpress Pvt Ltd</t>
        </is>
      </c>
      <c r="E2177" t="inlineStr">
        <is>
          <t>India</t>
        </is>
      </c>
      <c r="F2177" t="inlineStr">
        <is>
          <t>Yes</t>
        </is>
      </c>
      <c r="H2177" t="n">
        <v>6</v>
      </c>
      <c r="I2177" t="b">
        <v>0</v>
      </c>
      <c r="J2177" t="b">
        <v>1</v>
      </c>
      <c r="K2177" t="b">
        <v>0</v>
      </c>
      <c r="L2177" t="b">
        <v>0</v>
      </c>
      <c r="M2177" t="b">
        <v>0</v>
      </c>
      <c r="N2177">
        <f>IFERROR(INDEX('Company Hitlist'!$AA:$AA,MATCH(D2177,'Company Hitlist'!$A:$A,0)),)</f>
        <v/>
      </c>
      <c r="O2177">
        <f>IFERROR(INDEX('Company Hitlist'!$N:$N,MATCH(D2177,'Company Hitlist'!$A:$A,0)),)</f>
        <v/>
      </c>
      <c r="Q2177" t="inlineStr">
        <is>
          <t>todo</t>
        </is>
      </c>
    </row>
    <row r="2178">
      <c r="A2178" t="inlineStr">
        <is>
          <t>Omar Draz</t>
        </is>
      </c>
      <c r="B2178" t="inlineStr">
        <is>
          <t>Attendee</t>
        </is>
      </c>
      <c r="C2178" t="inlineStr">
        <is>
          <t>Co-founder &amp; COO</t>
        </is>
      </c>
      <c r="D2178" t="inlineStr">
        <is>
          <t>Indemni</t>
        </is>
      </c>
      <c r="E2178" t="inlineStr">
        <is>
          <t>United States</t>
        </is>
      </c>
      <c r="H2178" t="n">
        <v>6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  <c r="N2178">
        <f>IFERROR(INDEX('Company Hitlist'!$AA:$AA,MATCH(D2178,'Company Hitlist'!$A:$A,0)),)</f>
        <v/>
      </c>
      <c r="O2178">
        <f>IFERROR(INDEX('Company Hitlist'!$N:$N,MATCH(D2178,'Company Hitlist'!$A:$A,0)),)</f>
        <v/>
      </c>
      <c r="Q2178" t="inlineStr">
        <is>
          <t>todo</t>
        </is>
      </c>
    </row>
    <row r="2179">
      <c r="A2179" t="inlineStr">
        <is>
          <t>Zach En'Wezoh</t>
        </is>
      </c>
      <c r="B2179" t="inlineStr">
        <is>
          <t>Attendee</t>
        </is>
      </c>
      <c r="C2179" t="inlineStr">
        <is>
          <t>Co-founder &amp; CEO</t>
        </is>
      </c>
      <c r="D2179" t="inlineStr">
        <is>
          <t>Indemni</t>
        </is>
      </c>
      <c r="E2179" t="inlineStr">
        <is>
          <t>United States</t>
        </is>
      </c>
      <c r="H2179" t="n">
        <v>6</v>
      </c>
      <c r="I2179" t="b">
        <v>0</v>
      </c>
      <c r="J2179" t="b">
        <v>1</v>
      </c>
      <c r="K2179" t="b">
        <v>0</v>
      </c>
      <c r="L2179" t="b">
        <v>0</v>
      </c>
      <c r="M2179" t="b">
        <v>0</v>
      </c>
      <c r="N2179">
        <f>IFERROR(INDEX('Company Hitlist'!$AA:$AA,MATCH(D2179,'Company Hitlist'!$A:$A,0)),)</f>
        <v/>
      </c>
      <c r="O2179">
        <f>IFERROR(INDEX('Company Hitlist'!$N:$N,MATCH(D2179,'Company Hitlist'!$A:$A,0)),)</f>
        <v/>
      </c>
      <c r="Q2179" t="inlineStr">
        <is>
          <t>todo</t>
        </is>
      </c>
    </row>
    <row r="2180">
      <c r="A2180" t="inlineStr">
        <is>
          <t>Joe Locke</t>
        </is>
      </c>
      <c r="B2180" t="inlineStr">
        <is>
          <t>Attendee</t>
        </is>
      </c>
      <c r="C2180" t="inlineStr">
        <is>
          <t>CFO</t>
        </is>
      </c>
      <c r="D2180" t="inlineStr">
        <is>
          <t>Index Fresh</t>
        </is>
      </c>
      <c r="H2180" t="n">
        <v>6</v>
      </c>
      <c r="I2180" t="b">
        <v>0</v>
      </c>
      <c r="J2180" t="b">
        <v>1</v>
      </c>
      <c r="K2180" t="b">
        <v>0</v>
      </c>
      <c r="L2180" t="b">
        <v>0</v>
      </c>
      <c r="M2180" t="b">
        <v>0</v>
      </c>
      <c r="N2180">
        <f>IFERROR(INDEX('Company Hitlist'!$AA:$AA,MATCH(D2180,'Company Hitlist'!$A:$A,0)),)</f>
        <v/>
      </c>
      <c r="O2180">
        <f>IFERROR(INDEX('Company Hitlist'!$N:$N,MATCH(D2180,'Company Hitlist'!$A:$A,0)),)</f>
        <v/>
      </c>
      <c r="Q2180" t="inlineStr">
        <is>
          <t>todo</t>
        </is>
      </c>
    </row>
    <row r="2181">
      <c r="A2181" t="inlineStr">
        <is>
          <t>Brent Beabout</t>
        </is>
      </c>
      <c r="B2181" t="inlineStr">
        <is>
          <t>Attendee</t>
        </is>
      </c>
      <c r="C2181" t="inlineStr">
        <is>
          <t>President</t>
        </is>
      </c>
      <c r="D2181" t="inlineStr">
        <is>
          <t>Infinite Corridor Group LLC</t>
        </is>
      </c>
      <c r="E2181" t="inlineStr">
        <is>
          <t>United States</t>
        </is>
      </c>
      <c r="H2181" t="n">
        <v>6</v>
      </c>
      <c r="I2181" t="b">
        <v>0</v>
      </c>
      <c r="J2181" t="b">
        <v>1</v>
      </c>
      <c r="K2181" t="b">
        <v>0</v>
      </c>
      <c r="L2181" t="b">
        <v>0</v>
      </c>
      <c r="M2181" t="b">
        <v>0</v>
      </c>
      <c r="N2181">
        <f>IFERROR(INDEX('Company Hitlist'!$AA:$AA,MATCH(D2181,'Company Hitlist'!$A:$A,0)),)</f>
        <v/>
      </c>
      <c r="O2181">
        <f>IFERROR(INDEX('Company Hitlist'!$N:$N,MATCH(D2181,'Company Hitlist'!$A:$A,0)),)</f>
        <v/>
      </c>
      <c r="Q2181" t="inlineStr">
        <is>
          <t>todo</t>
        </is>
      </c>
    </row>
    <row r="2182">
      <c r="A2182" t="inlineStr">
        <is>
          <t>Nithin Mummaneni</t>
        </is>
      </c>
      <c r="B2182" t="inlineStr">
        <is>
          <t>Attendee</t>
        </is>
      </c>
      <c r="C2182" t="inlineStr">
        <is>
          <t>CEO</t>
        </is>
      </c>
      <c r="D2182" t="inlineStr">
        <is>
          <t>Infinity Loop Technologies Inc (Infinity Loop)</t>
        </is>
      </c>
      <c r="E2182" t="inlineStr">
        <is>
          <t>United States</t>
        </is>
      </c>
      <c r="F2182" t="inlineStr">
        <is>
          <t>Yes</t>
        </is>
      </c>
      <c r="H2182" t="n">
        <v>6</v>
      </c>
      <c r="I2182" t="b">
        <v>0</v>
      </c>
      <c r="J2182" t="b">
        <v>1</v>
      </c>
      <c r="K2182" t="b">
        <v>0</v>
      </c>
      <c r="L2182" t="b">
        <v>0</v>
      </c>
      <c r="M2182" t="b">
        <v>0</v>
      </c>
      <c r="N2182">
        <f>IFERROR(INDEX('Company Hitlist'!$AA:$AA,MATCH(D2182,'Company Hitlist'!$A:$A,0)),)</f>
        <v/>
      </c>
      <c r="O2182">
        <f>IFERROR(INDEX('Company Hitlist'!$N:$N,MATCH(D2182,'Company Hitlist'!$A:$A,0)),)</f>
        <v/>
      </c>
      <c r="Q2182" t="inlineStr">
        <is>
          <t>todo</t>
        </is>
      </c>
    </row>
    <row r="2183">
      <c r="A2183" t="inlineStr">
        <is>
          <t>Hunter HeLal</t>
        </is>
      </c>
      <c r="B2183" t="inlineStr">
        <is>
          <t>Attendee</t>
        </is>
      </c>
      <c r="C2183" t="inlineStr">
        <is>
          <t>Owner, CEO</t>
        </is>
      </c>
      <c r="D2183" t="inlineStr">
        <is>
          <t>Ingenic Solutions</t>
        </is>
      </c>
      <c r="E2183" t="inlineStr">
        <is>
          <t>United States</t>
        </is>
      </c>
      <c r="H2183" t="n">
        <v>6</v>
      </c>
      <c r="I2183" t="b">
        <v>0</v>
      </c>
      <c r="J2183" t="b">
        <v>1</v>
      </c>
      <c r="K2183" t="b">
        <v>0</v>
      </c>
      <c r="L2183" t="b">
        <v>0</v>
      </c>
      <c r="M2183" t="b">
        <v>0</v>
      </c>
      <c r="N2183">
        <f>IFERROR(INDEX('Company Hitlist'!$AA:$AA,MATCH(D2183,'Company Hitlist'!$A:$A,0)),)</f>
        <v/>
      </c>
      <c r="O2183">
        <f>IFERROR(INDEX('Company Hitlist'!$N:$N,MATCH(D2183,'Company Hitlist'!$A:$A,0)),)</f>
        <v/>
      </c>
      <c r="Q2183" t="inlineStr">
        <is>
          <t>todo</t>
        </is>
      </c>
    </row>
    <row r="2184">
      <c r="A2184" t="inlineStr">
        <is>
          <t>Aviran Yaacov</t>
        </is>
      </c>
      <c r="B2184" t="inlineStr">
        <is>
          <t>Attendee</t>
        </is>
      </c>
      <c r="C2184" t="inlineStr">
        <is>
          <t>General Manager Open Innovation</t>
        </is>
      </c>
      <c r="D2184" t="inlineStr">
        <is>
          <t>Ingersoll Rand</t>
        </is>
      </c>
      <c r="H2184" t="n">
        <v>6</v>
      </c>
      <c r="I2184" t="b">
        <v>0</v>
      </c>
      <c r="J2184" t="b">
        <v>1</v>
      </c>
      <c r="K2184" t="b">
        <v>0</v>
      </c>
      <c r="L2184" t="b">
        <v>0</v>
      </c>
      <c r="M2184" t="b">
        <v>0</v>
      </c>
      <c r="N2184">
        <f>IFERROR(INDEX('Company Hitlist'!$AA:$AA,MATCH(D2184,'Company Hitlist'!$A:$A,0)),)</f>
        <v/>
      </c>
      <c r="O2184">
        <f>IFERROR(INDEX('Company Hitlist'!$N:$N,MATCH(D2184,'Company Hitlist'!$A:$A,0)),)</f>
        <v/>
      </c>
      <c r="Q2184" t="inlineStr">
        <is>
          <t>todo</t>
        </is>
      </c>
    </row>
    <row r="2185">
      <c r="A2185" t="inlineStr">
        <is>
          <t>Francisco Barba</t>
        </is>
      </c>
      <c r="B2185" t="inlineStr">
        <is>
          <t>Attendee</t>
        </is>
      </c>
      <c r="C2185" t="inlineStr">
        <is>
          <t>VP, Parcel Savings Strategies</t>
        </is>
      </c>
      <c r="D2185" t="inlineStr">
        <is>
          <t>InteliTransport Agency</t>
        </is>
      </c>
      <c r="E2185" t="inlineStr">
        <is>
          <t>United States</t>
        </is>
      </c>
      <c r="F2185" t="inlineStr">
        <is>
          <t>Yes</t>
        </is>
      </c>
      <c r="H2185" t="n">
        <v>6</v>
      </c>
      <c r="I2185" t="b">
        <v>0</v>
      </c>
      <c r="J2185" t="b">
        <v>1</v>
      </c>
      <c r="K2185" t="b">
        <v>0</v>
      </c>
      <c r="L2185" t="b">
        <v>0</v>
      </c>
      <c r="M2185" t="b">
        <v>0</v>
      </c>
      <c r="N2185">
        <f>IFERROR(INDEX('Company Hitlist'!$AA:$AA,MATCH(D2185,'Company Hitlist'!$A:$A,0)),)</f>
        <v/>
      </c>
      <c r="O2185">
        <f>IFERROR(INDEX('Company Hitlist'!$N:$N,MATCH(D2185,'Company Hitlist'!$A:$A,0)),)</f>
        <v/>
      </c>
      <c r="Q2185" t="inlineStr">
        <is>
          <t>todo</t>
        </is>
      </c>
    </row>
    <row r="2186">
      <c r="A2186" t="inlineStr">
        <is>
          <t>James Manning</t>
        </is>
      </c>
      <c r="B2186" t="inlineStr">
        <is>
          <t>Attendee</t>
        </is>
      </c>
      <c r="C2186" t="inlineStr">
        <is>
          <t>President</t>
        </is>
      </c>
      <c r="D2186" t="inlineStr">
        <is>
          <t>InteliTransport Agency</t>
        </is>
      </c>
      <c r="E2186" t="inlineStr">
        <is>
          <t>United States</t>
        </is>
      </c>
      <c r="F2186" t="inlineStr">
        <is>
          <t>Yes</t>
        </is>
      </c>
      <c r="H2186" t="n">
        <v>6</v>
      </c>
      <c r="I2186" t="b">
        <v>0</v>
      </c>
      <c r="J2186" t="b">
        <v>1</v>
      </c>
      <c r="K2186" t="b">
        <v>0</v>
      </c>
      <c r="L2186" t="b">
        <v>0</v>
      </c>
      <c r="M2186" t="b">
        <v>0</v>
      </c>
      <c r="N2186">
        <f>IFERROR(INDEX('Company Hitlist'!$AA:$AA,MATCH(D2186,'Company Hitlist'!$A:$A,0)),)</f>
        <v/>
      </c>
      <c r="O2186">
        <f>IFERROR(INDEX('Company Hitlist'!$N:$N,MATCH(D2186,'Company Hitlist'!$A:$A,0)),)</f>
        <v/>
      </c>
      <c r="Q2186" t="inlineStr">
        <is>
          <t>todo</t>
        </is>
      </c>
    </row>
    <row r="2187">
      <c r="A2187" t="inlineStr">
        <is>
          <t>Shivang Maheshwari</t>
        </is>
      </c>
      <c r="B2187" t="inlineStr">
        <is>
          <t>Attendee</t>
        </is>
      </c>
      <c r="C2187" t="inlineStr">
        <is>
          <t>CEO &amp; Founder</t>
        </is>
      </c>
      <c r="D2187" t="inlineStr">
        <is>
          <t>IntelliCommerce Inc</t>
        </is>
      </c>
      <c r="E2187" t="inlineStr">
        <is>
          <t>United States</t>
        </is>
      </c>
      <c r="F2187" t="inlineStr">
        <is>
          <t>Yes</t>
        </is>
      </c>
      <c r="H2187" t="n">
        <v>6</v>
      </c>
      <c r="I2187" t="b">
        <v>0</v>
      </c>
      <c r="J2187" t="b">
        <v>1</v>
      </c>
      <c r="K2187" t="b">
        <v>0</v>
      </c>
      <c r="L2187" t="b">
        <v>0</v>
      </c>
      <c r="M2187" t="b">
        <v>0</v>
      </c>
      <c r="N2187">
        <f>IFERROR(INDEX('Company Hitlist'!$AA:$AA,MATCH(D2187,'Company Hitlist'!$A:$A,0)),)</f>
        <v/>
      </c>
      <c r="O2187">
        <f>IFERROR(INDEX('Company Hitlist'!$N:$N,MATCH(D2187,'Company Hitlist'!$A:$A,0)),)</f>
        <v/>
      </c>
      <c r="Q2187" t="inlineStr">
        <is>
          <t>todo</t>
        </is>
      </c>
    </row>
    <row r="2188">
      <c r="A2188" t="inlineStr">
        <is>
          <t>Hannah Testani</t>
        </is>
      </c>
      <c r="B2188" t="inlineStr">
        <is>
          <t>Attendee</t>
        </is>
      </c>
      <c r="C2188" t="inlineStr">
        <is>
          <t>CEO</t>
        </is>
      </c>
      <c r="D2188" t="inlineStr">
        <is>
          <t>Intelligent Audit</t>
        </is>
      </c>
      <c r="E2188" t="inlineStr">
        <is>
          <t>United States</t>
        </is>
      </c>
      <c r="F2188" t="inlineStr">
        <is>
          <t>Yes</t>
        </is>
      </c>
      <c r="H2188" t="n">
        <v>6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  <c r="N2188">
        <f>IFERROR(INDEX('Company Hitlist'!$AA:$AA,MATCH(D2188,'Company Hitlist'!$A:$A,0)),)</f>
        <v/>
      </c>
      <c r="O2188">
        <f>IFERROR(INDEX('Company Hitlist'!$N:$N,MATCH(D2188,'Company Hitlist'!$A:$A,0)),)</f>
        <v/>
      </c>
      <c r="Q2188" t="inlineStr">
        <is>
          <t>todo</t>
        </is>
      </c>
    </row>
    <row r="2189">
      <c r="A2189" t="inlineStr">
        <is>
          <t>Jorie Ramsaur</t>
        </is>
      </c>
      <c r="B2189" t="inlineStr">
        <is>
          <t>Attendee</t>
        </is>
      </c>
      <c r="C2189" t="inlineStr">
        <is>
          <t>Vice President of Strategic Accounts</t>
        </is>
      </c>
      <c r="D2189" t="inlineStr">
        <is>
          <t>Intelligent Audit</t>
        </is>
      </c>
      <c r="E2189" t="inlineStr">
        <is>
          <t>United States</t>
        </is>
      </c>
      <c r="F2189" t="inlineStr">
        <is>
          <t>Yes</t>
        </is>
      </c>
      <c r="H2189" t="n">
        <v>6</v>
      </c>
      <c r="I2189" t="b">
        <v>0</v>
      </c>
      <c r="J2189" t="b">
        <v>1</v>
      </c>
      <c r="K2189" t="b">
        <v>0</v>
      </c>
      <c r="L2189" t="b">
        <v>0</v>
      </c>
      <c r="M2189" t="b">
        <v>0</v>
      </c>
      <c r="N2189">
        <f>IFERROR(INDEX('Company Hitlist'!$AA:$AA,MATCH(D2189,'Company Hitlist'!$A:$A,0)),)</f>
        <v/>
      </c>
      <c r="O2189">
        <f>IFERROR(INDEX('Company Hitlist'!$N:$N,MATCH(D2189,'Company Hitlist'!$A:$A,0)),)</f>
        <v/>
      </c>
      <c r="Q2189" t="inlineStr">
        <is>
          <t>todo</t>
        </is>
      </c>
    </row>
    <row r="2190">
      <c r="A2190" t="inlineStr">
        <is>
          <t>Tom Mascola</t>
        </is>
      </c>
      <c r="B2190" t="inlineStr">
        <is>
          <t>Attendee</t>
        </is>
      </c>
      <c r="C2190" t="inlineStr">
        <is>
          <t>SVP</t>
        </is>
      </c>
      <c r="D2190" t="inlineStr">
        <is>
          <t>International Bonded Couriers / IBC Customs Brokerage</t>
        </is>
      </c>
      <c r="E2190" t="inlineStr">
        <is>
          <t>United States</t>
        </is>
      </c>
      <c r="H2190" t="n">
        <v>6</v>
      </c>
      <c r="I2190" t="b">
        <v>0</v>
      </c>
      <c r="J2190" t="b">
        <v>1</v>
      </c>
      <c r="K2190" t="b">
        <v>0</v>
      </c>
      <c r="L2190" t="b">
        <v>0</v>
      </c>
      <c r="M2190" t="b">
        <v>0</v>
      </c>
      <c r="N2190">
        <f>IFERROR(INDEX('Company Hitlist'!$AA:$AA,MATCH(D2190,'Company Hitlist'!$A:$A,0)),)</f>
        <v/>
      </c>
      <c r="O2190">
        <f>IFERROR(INDEX('Company Hitlist'!$N:$N,MATCH(D2190,'Company Hitlist'!$A:$A,0)),)</f>
        <v/>
      </c>
      <c r="Q2190" t="inlineStr">
        <is>
          <t>todo</t>
        </is>
      </c>
    </row>
    <row r="2191">
      <c r="A2191" t="inlineStr">
        <is>
          <t>Jim McNally</t>
        </is>
      </c>
      <c r="B2191" t="inlineStr">
        <is>
          <t>Attendee</t>
        </is>
      </c>
      <c r="C2191" t="inlineStr">
        <is>
          <t>President</t>
        </is>
      </c>
      <c r="D2191" t="inlineStr">
        <is>
          <t>International Bridge</t>
        </is>
      </c>
      <c r="E2191" t="inlineStr">
        <is>
          <t>United States</t>
        </is>
      </c>
      <c r="F2191" t="inlineStr">
        <is>
          <t>Yes</t>
        </is>
      </c>
      <c r="H2191" t="n">
        <v>6</v>
      </c>
      <c r="I2191" t="b">
        <v>0</v>
      </c>
      <c r="J2191" t="b">
        <v>1</v>
      </c>
      <c r="K2191" t="b">
        <v>0</v>
      </c>
      <c r="L2191" t="b">
        <v>0</v>
      </c>
      <c r="M2191" t="b">
        <v>0</v>
      </c>
      <c r="N2191">
        <f>IFERROR(INDEX('Company Hitlist'!$AA:$AA,MATCH(D2191,'Company Hitlist'!$A:$A,0)),)</f>
        <v/>
      </c>
      <c r="O2191">
        <f>IFERROR(INDEX('Company Hitlist'!$N:$N,MATCH(D2191,'Company Hitlist'!$A:$A,0)),)</f>
        <v/>
      </c>
      <c r="Q2191" t="inlineStr">
        <is>
          <t>todo</t>
        </is>
      </c>
    </row>
    <row r="2192">
      <c r="A2192" t="inlineStr">
        <is>
          <t>David Dembitzer</t>
        </is>
      </c>
      <c r="B2192" t="inlineStr">
        <is>
          <t>Attendee</t>
        </is>
      </c>
      <c r="C2192" t="inlineStr">
        <is>
          <t>CEO</t>
        </is>
      </c>
      <c r="D2192" t="inlineStr">
        <is>
          <t>IronLink Logistics</t>
        </is>
      </c>
      <c r="F2192" t="inlineStr">
        <is>
          <t>Yes</t>
        </is>
      </c>
      <c r="H2192" t="n">
        <v>6</v>
      </c>
      <c r="I2192" t="b">
        <v>0</v>
      </c>
      <c r="J2192" t="b">
        <v>1</v>
      </c>
      <c r="K2192" t="b">
        <v>0</v>
      </c>
      <c r="L2192" t="b">
        <v>0</v>
      </c>
      <c r="M2192" t="b">
        <v>0</v>
      </c>
      <c r="N2192">
        <f>IFERROR(INDEX('Company Hitlist'!$AA:$AA,MATCH(D2192,'Company Hitlist'!$A:$A,0)),)</f>
        <v/>
      </c>
      <c r="O2192">
        <f>IFERROR(INDEX('Company Hitlist'!$N:$N,MATCH(D2192,'Company Hitlist'!$A:$A,0)),)</f>
        <v/>
      </c>
      <c r="Q2192" t="inlineStr">
        <is>
          <t>todo</t>
        </is>
      </c>
    </row>
    <row r="2193">
      <c r="A2193" t="inlineStr">
        <is>
          <t>Alex Duong</t>
        </is>
      </c>
      <c r="B2193" t="inlineStr">
        <is>
          <t>Attendee</t>
        </is>
      </c>
      <c r="C2193" t="inlineStr">
        <is>
          <t>CEO</t>
        </is>
      </c>
      <c r="D2193" t="inlineStr">
        <is>
          <t>It's Fair &amp; Square</t>
        </is>
      </c>
      <c r="H2193" t="n">
        <v>6</v>
      </c>
      <c r="I2193" t="b">
        <v>0</v>
      </c>
      <c r="J2193" t="b">
        <v>1</v>
      </c>
      <c r="K2193" t="b">
        <v>0</v>
      </c>
      <c r="L2193" t="b">
        <v>0</v>
      </c>
      <c r="M2193" t="b">
        <v>0</v>
      </c>
      <c r="N2193">
        <f>IFERROR(INDEX('Company Hitlist'!$AA:$AA,MATCH(D2193,'Company Hitlist'!$A:$A,0)),)</f>
        <v/>
      </c>
      <c r="O2193">
        <f>IFERROR(INDEX('Company Hitlist'!$N:$N,MATCH(D2193,'Company Hitlist'!$A:$A,0)),)</f>
        <v/>
      </c>
      <c r="Q2193" t="inlineStr">
        <is>
          <t>todo</t>
        </is>
      </c>
    </row>
    <row r="2194">
      <c r="A2194" t="inlineStr">
        <is>
          <t>Louis Liu</t>
        </is>
      </c>
      <c r="B2194" t="inlineStr">
        <is>
          <t>Attendee</t>
        </is>
      </c>
      <c r="C2194" t="inlineStr">
        <is>
          <t>GM &amp; Director of Products</t>
        </is>
      </c>
      <c r="D2194" t="inlineStr">
        <is>
          <t>Ivolcar</t>
        </is>
      </c>
      <c r="H2194" t="n">
        <v>6</v>
      </c>
      <c r="I2194" t="b">
        <v>0</v>
      </c>
      <c r="J2194" t="b">
        <v>1</v>
      </c>
      <c r="K2194" t="b">
        <v>0</v>
      </c>
      <c r="L2194" t="b">
        <v>0</v>
      </c>
      <c r="M2194" t="b">
        <v>0</v>
      </c>
      <c r="N2194">
        <f>IFERROR(INDEX('Company Hitlist'!$AA:$AA,MATCH(D2194,'Company Hitlist'!$A:$A,0)),)</f>
        <v/>
      </c>
      <c r="O2194">
        <f>IFERROR(INDEX('Company Hitlist'!$N:$N,MATCH(D2194,'Company Hitlist'!$A:$A,0)),)</f>
        <v/>
      </c>
      <c r="Q2194" t="inlineStr">
        <is>
          <t>todo</t>
        </is>
      </c>
    </row>
    <row r="2195">
      <c r="A2195" t="inlineStr">
        <is>
          <t>John O'Neill</t>
        </is>
      </c>
      <c r="B2195" t="inlineStr">
        <is>
          <t>Attendee</t>
        </is>
      </c>
      <c r="C2195" t="inlineStr">
        <is>
          <t>President</t>
        </is>
      </c>
      <c r="D2195" t="inlineStr">
        <is>
          <t>J. P. Enterprises – Logistics Corp</t>
        </is>
      </c>
      <c r="E2195" t="inlineStr">
        <is>
          <t>United States</t>
        </is>
      </c>
      <c r="F2195" t="inlineStr">
        <is>
          <t>Yes</t>
        </is>
      </c>
      <c r="H2195" t="n">
        <v>6</v>
      </c>
      <c r="I2195" t="b">
        <v>0</v>
      </c>
      <c r="J2195" t="b">
        <v>1</v>
      </c>
      <c r="K2195" t="b">
        <v>0</v>
      </c>
      <c r="L2195" t="b">
        <v>0</v>
      </c>
      <c r="M2195" t="b">
        <v>0</v>
      </c>
      <c r="N2195">
        <f>IFERROR(INDEX('Company Hitlist'!$AA:$AA,MATCH(D2195,'Company Hitlist'!$A:$A,0)),)</f>
        <v/>
      </c>
      <c r="O2195">
        <f>IFERROR(INDEX('Company Hitlist'!$N:$N,MATCH(D2195,'Company Hitlist'!$A:$A,0)),)</f>
        <v/>
      </c>
      <c r="Q2195" t="inlineStr">
        <is>
          <t>todo</t>
        </is>
      </c>
    </row>
    <row r="2196">
      <c r="A2196" t="inlineStr">
        <is>
          <t>Eric Ervin</t>
        </is>
      </c>
      <c r="B2196" t="inlineStr">
        <is>
          <t>Attendee</t>
        </is>
      </c>
      <c r="C2196" t="inlineStr">
        <is>
          <t>Vice President, Engineering &amp; Technology</t>
        </is>
      </c>
      <c r="D2196" t="inlineStr">
        <is>
          <t>J.B. Hunt Transport</t>
        </is>
      </c>
      <c r="E2196" t="inlineStr">
        <is>
          <t>United States</t>
        </is>
      </c>
      <c r="F2196" t="inlineStr">
        <is>
          <t>Yes</t>
        </is>
      </c>
      <c r="H2196" t="n">
        <v>6</v>
      </c>
      <c r="I2196" t="b">
        <v>0</v>
      </c>
      <c r="J2196" t="b">
        <v>1</v>
      </c>
      <c r="K2196" t="b">
        <v>0</v>
      </c>
      <c r="L2196" t="b">
        <v>0</v>
      </c>
      <c r="M2196" t="b">
        <v>0</v>
      </c>
      <c r="N2196">
        <f>IFERROR(INDEX('Company Hitlist'!$AA:$AA,MATCH(D2196,'Company Hitlist'!$A:$A,0)),)</f>
        <v/>
      </c>
      <c r="O2196">
        <f>IFERROR(INDEX('Company Hitlist'!$N:$N,MATCH(D2196,'Company Hitlist'!$A:$A,0)),)</f>
        <v/>
      </c>
      <c r="Q2196" t="inlineStr">
        <is>
          <t>todo</t>
        </is>
      </c>
    </row>
    <row r="2197">
      <c r="A2197" t="inlineStr">
        <is>
          <t>Vishal Bedi</t>
        </is>
      </c>
      <c r="B2197" t="inlineStr">
        <is>
          <t>Attendee</t>
        </is>
      </c>
      <c r="C2197" t="inlineStr">
        <is>
          <t>Chief Information Officer</t>
        </is>
      </c>
      <c r="D2197" t="inlineStr">
        <is>
          <t>JAS Worldwide Management</t>
        </is>
      </c>
      <c r="E2197" t="inlineStr">
        <is>
          <t>United States</t>
        </is>
      </c>
      <c r="F2197" t="inlineStr">
        <is>
          <t>Yes</t>
        </is>
      </c>
      <c r="H2197" t="n">
        <v>6</v>
      </c>
      <c r="I2197" t="b">
        <v>0</v>
      </c>
      <c r="J2197" t="b">
        <v>1</v>
      </c>
      <c r="K2197" t="b">
        <v>0</v>
      </c>
      <c r="L2197" t="b">
        <v>0</v>
      </c>
      <c r="M2197" t="b">
        <v>0</v>
      </c>
      <c r="N2197">
        <f>IFERROR(INDEX('Company Hitlist'!$AA:$AA,MATCH(D2197,'Company Hitlist'!$A:$A,0)),)</f>
        <v/>
      </c>
      <c r="O2197">
        <f>IFERROR(INDEX('Company Hitlist'!$N:$N,MATCH(D2197,'Company Hitlist'!$A:$A,0)),)</f>
        <v/>
      </c>
      <c r="Q2197" t="inlineStr">
        <is>
          <t>todo</t>
        </is>
      </c>
    </row>
    <row r="2198">
      <c r="A2198" t="inlineStr">
        <is>
          <t>Gowtham Reddy</t>
        </is>
      </c>
      <c r="B2198" t="inlineStr">
        <is>
          <t>Attendee</t>
        </is>
      </c>
      <c r="C2198" t="inlineStr">
        <is>
          <t>Head of Enterprise Architecture and Solutions</t>
        </is>
      </c>
      <c r="D2198" t="inlineStr">
        <is>
          <t>JAS Worldwide Management, Inc.</t>
        </is>
      </c>
      <c r="E2198" t="inlineStr">
        <is>
          <t>United States</t>
        </is>
      </c>
      <c r="F2198" t="inlineStr">
        <is>
          <t>Yes</t>
        </is>
      </c>
      <c r="H2198" t="n">
        <v>6</v>
      </c>
      <c r="I2198" t="b">
        <v>0</v>
      </c>
      <c r="J2198" t="b">
        <v>1</v>
      </c>
      <c r="K2198" t="b">
        <v>0</v>
      </c>
      <c r="L2198" t="b">
        <v>0</v>
      </c>
      <c r="M2198" t="b">
        <v>0</v>
      </c>
      <c r="N2198">
        <f>IFERROR(INDEX('Company Hitlist'!$AA:$AA,MATCH(D2198,'Company Hitlist'!$A:$A,0)),)</f>
        <v/>
      </c>
      <c r="O2198">
        <f>IFERROR(INDEX('Company Hitlist'!$N:$N,MATCH(D2198,'Company Hitlist'!$A:$A,0)),)</f>
        <v/>
      </c>
      <c r="Q2198" t="inlineStr">
        <is>
          <t>todo</t>
        </is>
      </c>
    </row>
    <row r="2199">
      <c r="A2199" t="inlineStr">
        <is>
          <t>Dave Bush</t>
        </is>
      </c>
      <c r="B2199" t="inlineStr">
        <is>
          <t>Attendee</t>
        </is>
      </c>
      <c r="C2199" t="inlineStr">
        <is>
          <t>VP of LTL</t>
        </is>
      </c>
      <c r="D2199" t="inlineStr">
        <is>
          <t>JB Hunt</t>
        </is>
      </c>
      <c r="H2199" t="n">
        <v>6</v>
      </c>
      <c r="I2199" t="b">
        <v>0</v>
      </c>
      <c r="J2199" t="b">
        <v>1</v>
      </c>
      <c r="K2199" t="b">
        <v>0</v>
      </c>
      <c r="L2199" t="b">
        <v>0</v>
      </c>
      <c r="M2199" t="b">
        <v>0</v>
      </c>
      <c r="N2199">
        <f>IFERROR(INDEX('Company Hitlist'!$AA:$AA,MATCH(D2199,'Company Hitlist'!$A:$A,0)),)</f>
        <v/>
      </c>
      <c r="O2199">
        <f>IFERROR(INDEX('Company Hitlist'!$N:$N,MATCH(D2199,'Company Hitlist'!$A:$A,0)),)</f>
        <v/>
      </c>
      <c r="Q2199" t="inlineStr">
        <is>
          <t>todo</t>
        </is>
      </c>
    </row>
    <row r="2200">
      <c r="A2200" t="inlineStr">
        <is>
          <t>Matt Hurd</t>
        </is>
      </c>
      <c r="B2200" t="inlineStr">
        <is>
          <t>Attendee</t>
        </is>
      </c>
      <c r="C2200" t="inlineStr">
        <is>
          <t>CFO</t>
        </is>
      </c>
      <c r="D2200" t="inlineStr">
        <is>
          <t>JEAR Logistics</t>
        </is>
      </c>
      <c r="F2200" t="inlineStr">
        <is>
          <t>Yes</t>
        </is>
      </c>
      <c r="H2200" t="n">
        <v>6</v>
      </c>
      <c r="I2200" t="b">
        <v>0</v>
      </c>
      <c r="J2200" t="b">
        <v>1</v>
      </c>
      <c r="K2200" t="b">
        <v>0</v>
      </c>
      <c r="L2200" t="b">
        <v>0</v>
      </c>
      <c r="M2200" t="b">
        <v>0</v>
      </c>
      <c r="N2200">
        <f>IFERROR(INDEX('Company Hitlist'!$AA:$AA,MATCH(D2200,'Company Hitlist'!$A:$A,0)),)</f>
        <v/>
      </c>
      <c r="O2200">
        <f>IFERROR(INDEX('Company Hitlist'!$N:$N,MATCH(D2200,'Company Hitlist'!$A:$A,0)),)</f>
        <v/>
      </c>
      <c r="Q2200" t="inlineStr">
        <is>
          <t>todo</t>
        </is>
      </c>
    </row>
    <row r="2201">
      <c r="A2201" t="inlineStr">
        <is>
          <t>Brian Thene</t>
        </is>
      </c>
      <c r="B2201" t="inlineStr">
        <is>
          <t>Attendee</t>
        </is>
      </c>
      <c r="C2201" t="inlineStr">
        <is>
          <t>Senior Vice President</t>
        </is>
      </c>
      <c r="D2201" t="inlineStr">
        <is>
          <t>JLL</t>
        </is>
      </c>
      <c r="E2201" t="inlineStr">
        <is>
          <t>United States</t>
        </is>
      </c>
      <c r="H2201" t="n">
        <v>6</v>
      </c>
      <c r="I2201" t="b">
        <v>0</v>
      </c>
      <c r="J2201" t="b">
        <v>1</v>
      </c>
      <c r="K2201" t="b">
        <v>0</v>
      </c>
      <c r="L2201" t="b">
        <v>0</v>
      </c>
      <c r="M2201" t="b">
        <v>0</v>
      </c>
      <c r="N2201">
        <f>IFERROR(INDEX('Company Hitlist'!$AA:$AA,MATCH(D2201,'Company Hitlist'!$A:$A,0)),)</f>
        <v/>
      </c>
      <c r="O2201">
        <f>IFERROR(INDEX('Company Hitlist'!$N:$N,MATCH(D2201,'Company Hitlist'!$A:$A,0)),)</f>
        <v/>
      </c>
      <c r="Q2201" t="inlineStr">
        <is>
          <t>todo</t>
        </is>
      </c>
    </row>
    <row r="2202">
      <c r="A2202" t="inlineStr">
        <is>
          <t>Simon Kaye</t>
        </is>
      </c>
      <c r="B2202" t="inlineStr">
        <is>
          <t>Attendee</t>
        </is>
      </c>
      <c r="C2202" t="inlineStr">
        <is>
          <t>CEO</t>
        </is>
      </c>
      <c r="D2202" t="inlineStr">
        <is>
          <t>Jaguar Freight Services</t>
        </is>
      </c>
      <c r="E2202" t="inlineStr">
        <is>
          <t>United States</t>
        </is>
      </c>
      <c r="F2202" t="inlineStr">
        <is>
          <t>Yes</t>
        </is>
      </c>
      <c r="H2202" t="n">
        <v>6</v>
      </c>
      <c r="I2202" t="b">
        <v>0</v>
      </c>
      <c r="J2202" t="b">
        <v>1</v>
      </c>
      <c r="K2202" t="b">
        <v>0</v>
      </c>
      <c r="L2202" t="b">
        <v>0</v>
      </c>
      <c r="M2202" t="b">
        <v>0</v>
      </c>
      <c r="N2202">
        <f>IFERROR(INDEX('Company Hitlist'!$AA:$AA,MATCH(D2202,'Company Hitlist'!$A:$A,0)),)</f>
        <v/>
      </c>
      <c r="O2202">
        <f>IFERROR(INDEX('Company Hitlist'!$N:$N,MATCH(D2202,'Company Hitlist'!$A:$A,0)),)</f>
        <v/>
      </c>
      <c r="Q2202" t="inlineStr">
        <is>
          <t>todo</t>
        </is>
      </c>
    </row>
    <row r="2203">
      <c r="A2203" t="inlineStr">
        <is>
          <t>Nick Andoni</t>
        </is>
      </c>
      <c r="B2203" t="inlineStr">
        <is>
          <t>Attendee</t>
        </is>
      </c>
      <c r="C2203" t="inlineStr">
        <is>
          <t>Vice President, Finance</t>
        </is>
      </c>
      <c r="D2203" t="inlineStr">
        <is>
          <t>James Group</t>
        </is>
      </c>
      <c r="F2203" t="inlineStr">
        <is>
          <t>Yes</t>
        </is>
      </c>
      <c r="H2203" t="n">
        <v>6</v>
      </c>
      <c r="I2203" t="b">
        <v>0</v>
      </c>
      <c r="J2203" t="b">
        <v>1</v>
      </c>
      <c r="K2203" t="b">
        <v>0</v>
      </c>
      <c r="L2203" t="b">
        <v>0</v>
      </c>
      <c r="M2203" t="b">
        <v>0</v>
      </c>
      <c r="N2203">
        <f>IFERROR(INDEX('Company Hitlist'!$AA:$AA,MATCH(D2203,'Company Hitlist'!$A:$A,0)),)</f>
        <v/>
      </c>
      <c r="O2203">
        <f>IFERROR(INDEX('Company Hitlist'!$N:$N,MATCH(D2203,'Company Hitlist'!$A:$A,0)),)</f>
        <v/>
      </c>
      <c r="Q2203" t="inlineStr">
        <is>
          <t>todo</t>
        </is>
      </c>
    </row>
    <row r="2204">
      <c r="A2204" t="inlineStr">
        <is>
          <t>Yuichi Ando</t>
        </is>
      </c>
      <c r="B2204" t="inlineStr">
        <is>
          <t>Attendee</t>
        </is>
      </c>
      <c r="C2204" t="inlineStr">
        <is>
          <t>Head of Silicon Valley Office</t>
        </is>
      </c>
      <c r="D2204" t="inlineStr">
        <is>
          <t>Japan Post</t>
        </is>
      </c>
      <c r="F2204" t="inlineStr">
        <is>
          <t>Yes</t>
        </is>
      </c>
      <c r="H2204" t="n">
        <v>6</v>
      </c>
      <c r="I2204" t="b">
        <v>0</v>
      </c>
      <c r="J2204" t="b">
        <v>1</v>
      </c>
      <c r="K2204" t="b">
        <v>0</v>
      </c>
      <c r="L2204" t="b">
        <v>0</v>
      </c>
      <c r="M2204" t="b">
        <v>0</v>
      </c>
      <c r="N2204">
        <f>IFERROR(INDEX('Company Hitlist'!$AA:$AA,MATCH(D2204,'Company Hitlist'!$A:$A,0)),)</f>
        <v/>
      </c>
      <c r="O2204">
        <f>IFERROR(INDEX('Company Hitlist'!$N:$N,MATCH(D2204,'Company Hitlist'!$A:$A,0)),)</f>
        <v/>
      </c>
      <c r="Q2204" t="inlineStr">
        <is>
          <t>todo</t>
        </is>
      </c>
    </row>
    <row r="2205">
      <c r="A2205" t="inlineStr">
        <is>
          <t>Blake Dudek</t>
        </is>
      </c>
      <c r="B2205" t="inlineStr">
        <is>
          <t>Attendee</t>
        </is>
      </c>
      <c r="C2205" t="inlineStr">
        <is>
          <t>President and COO</t>
        </is>
      </c>
      <c r="D2205" t="inlineStr">
        <is>
          <t>Jay Group</t>
        </is>
      </c>
      <c r="F2205" t="inlineStr">
        <is>
          <t>Yes</t>
        </is>
      </c>
      <c r="H2205" t="n">
        <v>6</v>
      </c>
      <c r="I2205" t="b">
        <v>0</v>
      </c>
      <c r="J2205" t="b">
        <v>1</v>
      </c>
      <c r="K2205" t="b">
        <v>0</v>
      </c>
      <c r="L2205" t="b">
        <v>0</v>
      </c>
      <c r="M2205" t="b">
        <v>0</v>
      </c>
      <c r="N2205">
        <f>IFERROR(INDEX('Company Hitlist'!$AA:$AA,MATCH(D2205,'Company Hitlist'!$A:$A,0)),)</f>
        <v/>
      </c>
      <c r="O2205">
        <f>IFERROR(INDEX('Company Hitlist'!$N:$N,MATCH(D2205,'Company Hitlist'!$A:$A,0)),)</f>
        <v/>
      </c>
      <c r="Q2205" t="inlineStr">
        <is>
          <t>todo</t>
        </is>
      </c>
    </row>
    <row r="2206">
      <c r="A2206" t="inlineStr">
        <is>
          <t>Eduardo Joffroy</t>
        </is>
      </c>
      <c r="B2206" t="inlineStr">
        <is>
          <t>Attendee</t>
        </is>
      </c>
      <c r="C2206" t="inlineStr">
        <is>
          <t>CEO</t>
        </is>
      </c>
      <c r="D2206" t="inlineStr">
        <is>
          <t>Joffroy</t>
        </is>
      </c>
      <c r="E2206" t="inlineStr">
        <is>
          <t>United States</t>
        </is>
      </c>
      <c r="F2206" t="inlineStr">
        <is>
          <t>Yes</t>
        </is>
      </c>
      <c r="H2206" t="n">
        <v>6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>
        <f>IFERROR(INDEX('Company Hitlist'!$AA:$AA,MATCH(D2206,'Company Hitlist'!$A:$A,0)),)</f>
        <v/>
      </c>
      <c r="O2206">
        <f>IFERROR(INDEX('Company Hitlist'!$N:$N,MATCH(D2206,'Company Hitlist'!$A:$A,0)),)</f>
        <v/>
      </c>
      <c r="Q2206" t="inlineStr">
        <is>
          <t>todo</t>
        </is>
      </c>
    </row>
    <row r="2207">
      <c r="A2207" t="inlineStr">
        <is>
          <t>Rhonda Fendelet</t>
        </is>
      </c>
      <c r="B2207" t="inlineStr">
        <is>
          <t>Attendee</t>
        </is>
      </c>
      <c r="C2207" t="inlineStr">
        <is>
          <t>VP Global Deliver</t>
        </is>
      </c>
      <c r="D2207" t="inlineStr">
        <is>
          <t>Johnson &amp; Johnson</t>
        </is>
      </c>
      <c r="F2207" t="inlineStr">
        <is>
          <t>Yes</t>
        </is>
      </c>
      <c r="G2207" t="inlineStr">
        <is>
          <t>$85B (2024; projected $88B in 2025)</t>
        </is>
      </c>
      <c r="H2207" t="n">
        <v>6</v>
      </c>
      <c r="I2207" t="b">
        <v>0</v>
      </c>
      <c r="J2207" t="b">
        <v>1</v>
      </c>
      <c r="K2207" t="b">
        <v>0</v>
      </c>
      <c r="L2207" t="b">
        <v>0</v>
      </c>
      <c r="M2207" t="b">
        <v>0</v>
      </c>
      <c r="N2207">
        <f>IFERROR(INDEX('Company Hitlist'!$AA:$AA,MATCH(D2207,'Company Hitlist'!$A:$A,0)),)</f>
        <v/>
      </c>
      <c r="O2207">
        <f>IFERROR(INDEX('Company Hitlist'!$N:$N,MATCH(D2207,'Company Hitlist'!$A:$A,0)),)</f>
        <v/>
      </c>
      <c r="Q2207" t="inlineStr">
        <is>
          <t>todo</t>
        </is>
      </c>
    </row>
    <row r="2208">
      <c r="A2208" t="inlineStr">
        <is>
          <t>Don Hindman</t>
        </is>
      </c>
      <c r="B2208" t="inlineStr">
        <is>
          <t>Attendee</t>
        </is>
      </c>
      <c r="C2208" t="inlineStr">
        <is>
          <t>President &amp; Chief Executive Officer, Principal</t>
        </is>
      </c>
      <c r="D2208" t="inlineStr">
        <is>
          <t>Johnson Storage &amp; Moving</t>
        </is>
      </c>
      <c r="E2208" t="inlineStr">
        <is>
          <t>United States</t>
        </is>
      </c>
      <c r="H2208" t="n">
        <v>6</v>
      </c>
      <c r="I2208" t="b">
        <v>0</v>
      </c>
      <c r="J2208" t="b">
        <v>1</v>
      </c>
      <c r="K2208" t="b">
        <v>0</v>
      </c>
      <c r="L2208" t="b">
        <v>0</v>
      </c>
      <c r="M2208" t="b">
        <v>0</v>
      </c>
      <c r="N2208">
        <f>IFERROR(INDEX('Company Hitlist'!$AA:$AA,MATCH(D2208,'Company Hitlist'!$A:$A,0)),)</f>
        <v/>
      </c>
      <c r="O2208">
        <f>IFERROR(INDEX('Company Hitlist'!$N:$N,MATCH(D2208,'Company Hitlist'!$A:$A,0)),)</f>
        <v/>
      </c>
      <c r="Q2208" t="inlineStr">
        <is>
          <t>todo</t>
        </is>
      </c>
    </row>
    <row r="2209">
      <c r="A2209" t="inlineStr">
        <is>
          <t>Will Jenkins</t>
        </is>
      </c>
      <c r="B2209" t="inlineStr">
        <is>
          <t>Attendee</t>
        </is>
      </c>
      <c r="C2209" t="inlineStr">
        <is>
          <t>CEO &amp; Founder</t>
        </is>
      </c>
      <c r="D2209" t="inlineStr">
        <is>
          <t>Journey</t>
        </is>
      </c>
      <c r="E2209" t="inlineStr">
        <is>
          <t>United States</t>
        </is>
      </c>
      <c r="F2209" t="inlineStr">
        <is>
          <t>Yes</t>
        </is>
      </c>
      <c r="H2209" t="n">
        <v>6</v>
      </c>
      <c r="I2209" t="b">
        <v>0</v>
      </c>
      <c r="J2209" t="b">
        <v>1</v>
      </c>
      <c r="K2209" t="b">
        <v>0</v>
      </c>
      <c r="L2209" t="b">
        <v>0</v>
      </c>
      <c r="M2209" t="b">
        <v>0</v>
      </c>
      <c r="N2209">
        <f>IFERROR(INDEX('Company Hitlist'!$AA:$AA,MATCH(D2209,'Company Hitlist'!$A:$A,0)),)</f>
        <v/>
      </c>
      <c r="O2209">
        <f>IFERROR(INDEX('Company Hitlist'!$N:$N,MATCH(D2209,'Company Hitlist'!$A:$A,0)),)</f>
        <v/>
      </c>
      <c r="Q2209" t="inlineStr">
        <is>
          <t>todo</t>
        </is>
      </c>
    </row>
    <row r="2210">
      <c r="A2210" t="inlineStr">
        <is>
          <t>Casey Lenahan</t>
        </is>
      </c>
      <c r="B2210" t="inlineStr">
        <is>
          <t>Attendee</t>
        </is>
      </c>
      <c r="C2210" t="inlineStr">
        <is>
          <t>President</t>
        </is>
      </c>
      <c r="D2210" t="inlineStr">
        <is>
          <t>K &amp; C Warehouse LLC</t>
        </is>
      </c>
      <c r="E2210" t="inlineStr">
        <is>
          <t>United States</t>
        </is>
      </c>
      <c r="F2210" t="inlineStr">
        <is>
          <t>Yes</t>
        </is>
      </c>
      <c r="H2210" t="n">
        <v>6</v>
      </c>
      <c r="I2210" t="b">
        <v>0</v>
      </c>
      <c r="J2210" t="b">
        <v>1</v>
      </c>
      <c r="K2210" t="b">
        <v>0</v>
      </c>
      <c r="L2210" t="b">
        <v>0</v>
      </c>
      <c r="M2210" t="b">
        <v>0</v>
      </c>
      <c r="N2210">
        <f>IFERROR(INDEX('Company Hitlist'!$AA:$AA,MATCH(D2210,'Company Hitlist'!$A:$A,0)),)</f>
        <v/>
      </c>
      <c r="O2210">
        <f>IFERROR(INDEX('Company Hitlist'!$N:$N,MATCH(D2210,'Company Hitlist'!$A:$A,0)),)</f>
        <v/>
      </c>
      <c r="Q2210" t="inlineStr">
        <is>
          <t>todo</t>
        </is>
      </c>
    </row>
    <row r="2211">
      <c r="A2211" t="inlineStr">
        <is>
          <t>Kelly O'Leary</t>
        </is>
      </c>
      <c r="B2211" t="inlineStr">
        <is>
          <t>Attendee</t>
        </is>
      </c>
      <c r="C2211" t="inlineStr">
        <is>
          <t>COO</t>
        </is>
      </c>
      <c r="D2211" t="inlineStr">
        <is>
          <t>K &amp; C Warehouse LLC</t>
        </is>
      </c>
      <c r="E2211" t="inlineStr">
        <is>
          <t>United States</t>
        </is>
      </c>
      <c r="F2211" t="inlineStr">
        <is>
          <t>Yes</t>
        </is>
      </c>
      <c r="H2211" t="n">
        <v>6</v>
      </c>
      <c r="I2211" t="b">
        <v>0</v>
      </c>
      <c r="J2211" t="b">
        <v>1</v>
      </c>
      <c r="K2211" t="b">
        <v>0</v>
      </c>
      <c r="L2211" t="b">
        <v>0</v>
      </c>
      <c r="M2211" t="b">
        <v>0</v>
      </c>
      <c r="N2211">
        <f>IFERROR(INDEX('Company Hitlist'!$AA:$AA,MATCH(D2211,'Company Hitlist'!$A:$A,0)),)</f>
        <v/>
      </c>
      <c r="O2211">
        <f>IFERROR(INDEX('Company Hitlist'!$N:$N,MATCH(D2211,'Company Hitlist'!$A:$A,0)),)</f>
        <v/>
      </c>
      <c r="Q2211" t="inlineStr">
        <is>
          <t>todo</t>
        </is>
      </c>
    </row>
    <row r="2212">
      <c r="A2212" t="inlineStr">
        <is>
          <t>Richard Swan</t>
        </is>
      </c>
      <c r="B2212" t="inlineStr">
        <is>
          <t>Attendee</t>
        </is>
      </c>
      <c r="C2212" t="inlineStr">
        <is>
          <t>KBX President</t>
        </is>
      </c>
      <c r="D2212" t="inlineStr">
        <is>
          <t>KBX</t>
        </is>
      </c>
      <c r="H2212" t="n">
        <v>6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  <c r="N2212">
        <f>IFERROR(INDEX('Company Hitlist'!$AA:$AA,MATCH(D2212,'Company Hitlist'!$A:$A,0)),)</f>
        <v/>
      </c>
      <c r="O2212">
        <f>IFERROR(INDEX('Company Hitlist'!$N:$N,MATCH(D2212,'Company Hitlist'!$A:$A,0)),)</f>
        <v/>
      </c>
      <c r="Q2212" t="inlineStr">
        <is>
          <t>todo</t>
        </is>
      </c>
    </row>
    <row r="2213">
      <c r="A2213" t="inlineStr">
        <is>
          <t>Ryan Winter</t>
        </is>
      </c>
      <c r="B2213" t="inlineStr">
        <is>
          <t>Attendee</t>
        </is>
      </c>
      <c r="C2213" t="inlineStr">
        <is>
          <t>CFO</t>
        </is>
      </c>
      <c r="D2213" t="inlineStr">
        <is>
          <t>KBX</t>
        </is>
      </c>
      <c r="H2213" t="n">
        <v>6</v>
      </c>
      <c r="I2213" t="b">
        <v>0</v>
      </c>
      <c r="J2213" t="b">
        <v>1</v>
      </c>
      <c r="K2213" t="b">
        <v>0</v>
      </c>
      <c r="L2213" t="b">
        <v>0</v>
      </c>
      <c r="M2213" t="b">
        <v>0</v>
      </c>
      <c r="N2213">
        <f>IFERROR(INDEX('Company Hitlist'!$AA:$AA,MATCH(D2213,'Company Hitlist'!$A:$A,0)),)</f>
        <v/>
      </c>
      <c r="O2213">
        <f>IFERROR(INDEX('Company Hitlist'!$N:$N,MATCH(D2213,'Company Hitlist'!$A:$A,0)),)</f>
        <v/>
      </c>
      <c r="Q2213" t="inlineStr">
        <is>
          <t>todo</t>
        </is>
      </c>
    </row>
    <row r="2214">
      <c r="A2214" t="inlineStr">
        <is>
          <t>Scott Reed</t>
        </is>
      </c>
      <c r="B2214" t="inlineStr">
        <is>
          <t>Attendee</t>
        </is>
      </c>
      <c r="C2214" t="inlineStr">
        <is>
          <t>CIO</t>
        </is>
      </c>
      <c r="D2214" t="inlineStr">
        <is>
          <t>KBX</t>
        </is>
      </c>
      <c r="H2214" t="n">
        <v>6</v>
      </c>
      <c r="I2214" t="b">
        <v>0</v>
      </c>
      <c r="J2214" t="b">
        <v>1</v>
      </c>
      <c r="K2214" t="b">
        <v>0</v>
      </c>
      <c r="L2214" t="b">
        <v>0</v>
      </c>
      <c r="M2214" t="b">
        <v>0</v>
      </c>
      <c r="N2214">
        <f>IFERROR(INDEX('Company Hitlist'!$AA:$AA,MATCH(D2214,'Company Hitlist'!$A:$A,0)),)</f>
        <v/>
      </c>
      <c r="O2214">
        <f>IFERROR(INDEX('Company Hitlist'!$N:$N,MATCH(D2214,'Company Hitlist'!$A:$A,0)),)</f>
        <v/>
      </c>
      <c r="Q2214" t="inlineStr">
        <is>
          <t>todo</t>
        </is>
      </c>
    </row>
    <row r="2215">
      <c r="A2215" t="inlineStr">
        <is>
          <t>Trevor Putrah</t>
        </is>
      </c>
      <c r="B2215" t="inlineStr">
        <is>
          <t>Attendee</t>
        </is>
      </c>
      <c r="C2215" t="inlineStr">
        <is>
          <t>CEO</t>
        </is>
      </c>
      <c r="D2215" t="inlineStr">
        <is>
          <t>KGPCo</t>
        </is>
      </c>
      <c r="E2215" t="inlineStr">
        <is>
          <t>United States</t>
        </is>
      </c>
      <c r="F2215" t="inlineStr">
        <is>
          <t>Yes</t>
        </is>
      </c>
      <c r="H2215" t="n">
        <v>6</v>
      </c>
      <c r="I2215" t="b">
        <v>0</v>
      </c>
      <c r="J2215" t="b">
        <v>1</v>
      </c>
      <c r="K2215" t="b">
        <v>0</v>
      </c>
      <c r="L2215" t="b">
        <v>0</v>
      </c>
      <c r="M2215" t="b">
        <v>0</v>
      </c>
      <c r="N2215">
        <f>IFERROR(INDEX('Company Hitlist'!$AA:$AA,MATCH(D2215,'Company Hitlist'!$A:$A,0)),)</f>
        <v/>
      </c>
      <c r="O2215">
        <f>IFERROR(INDEX('Company Hitlist'!$N:$N,MATCH(D2215,'Company Hitlist'!$A:$A,0)),)</f>
        <v/>
      </c>
      <c r="Q2215" t="inlineStr">
        <is>
          <t>todo</t>
        </is>
      </c>
    </row>
    <row r="2216">
      <c r="A2216" t="inlineStr">
        <is>
          <t>Jose Aguero</t>
        </is>
      </c>
      <c r="B2216" t="inlineStr">
        <is>
          <t>Attendee</t>
        </is>
      </c>
      <c r="C2216" t="inlineStr">
        <is>
          <t>CEO</t>
        </is>
      </c>
      <c r="D2216" t="inlineStr">
        <is>
          <t>KIVO</t>
        </is>
      </c>
      <c r="H2216" t="n">
        <v>6</v>
      </c>
      <c r="I2216" t="b">
        <v>0</v>
      </c>
      <c r="J2216" t="b">
        <v>1</v>
      </c>
      <c r="K2216" t="b">
        <v>0</v>
      </c>
      <c r="L2216" t="b">
        <v>0</v>
      </c>
      <c r="M2216" t="b">
        <v>0</v>
      </c>
      <c r="N2216">
        <f>IFERROR(INDEX('Company Hitlist'!$AA:$AA,MATCH(D2216,'Company Hitlist'!$A:$A,0)),)</f>
        <v/>
      </c>
      <c r="O2216">
        <f>IFERROR(INDEX('Company Hitlist'!$N:$N,MATCH(D2216,'Company Hitlist'!$A:$A,0)),)</f>
        <v/>
      </c>
      <c r="Q2216" t="inlineStr">
        <is>
          <t>todo</t>
        </is>
      </c>
    </row>
    <row r="2217">
      <c r="A2217" t="inlineStr">
        <is>
          <t>Arjun Khurana</t>
        </is>
      </c>
      <c r="B2217" t="inlineStr">
        <is>
          <t>Attendee</t>
        </is>
      </c>
      <c r="C2217" t="inlineStr">
        <is>
          <t>CEO</t>
        </is>
      </c>
      <c r="D2217" t="inlineStr">
        <is>
          <t>KL Convergence</t>
        </is>
      </c>
      <c r="E2217" t="inlineStr">
        <is>
          <t>United States</t>
        </is>
      </c>
      <c r="H2217" t="n">
        <v>6</v>
      </c>
      <c r="I2217" t="b">
        <v>0</v>
      </c>
      <c r="J2217" t="b">
        <v>1</v>
      </c>
      <c r="K2217" t="b">
        <v>0</v>
      </c>
      <c r="L2217" t="b">
        <v>0</v>
      </c>
      <c r="M2217" t="b">
        <v>0</v>
      </c>
      <c r="N2217">
        <f>IFERROR(INDEX('Company Hitlist'!$AA:$AA,MATCH(D2217,'Company Hitlist'!$A:$A,0)),)</f>
        <v/>
      </c>
      <c r="O2217">
        <f>IFERROR(INDEX('Company Hitlist'!$N:$N,MATCH(D2217,'Company Hitlist'!$A:$A,0)),)</f>
        <v/>
      </c>
      <c r="Q2217" t="inlineStr">
        <is>
          <t>todo</t>
        </is>
      </c>
    </row>
    <row r="2218">
      <c r="A2218" t="inlineStr">
        <is>
          <t>David Lubawski</t>
        </is>
      </c>
      <c r="B2218" t="inlineStr">
        <is>
          <t>Attendee</t>
        </is>
      </c>
      <c r="C2218" t="inlineStr">
        <is>
          <t>CTO</t>
        </is>
      </c>
      <c r="D2218" t="inlineStr">
        <is>
          <t>KL Convergence</t>
        </is>
      </c>
      <c r="E2218" t="inlineStr">
        <is>
          <t>United States</t>
        </is>
      </c>
      <c r="H2218" t="n">
        <v>6</v>
      </c>
      <c r="I2218" t="b">
        <v>0</v>
      </c>
      <c r="J2218" t="b">
        <v>1</v>
      </c>
      <c r="K2218" t="b">
        <v>0</v>
      </c>
      <c r="L2218" t="b">
        <v>0</v>
      </c>
      <c r="M2218" t="b">
        <v>0</v>
      </c>
      <c r="N2218">
        <f>IFERROR(INDEX('Company Hitlist'!$AA:$AA,MATCH(D2218,'Company Hitlist'!$A:$A,0)),)</f>
        <v/>
      </c>
      <c r="O2218">
        <f>IFERROR(INDEX('Company Hitlist'!$N:$N,MATCH(D2218,'Company Hitlist'!$A:$A,0)),)</f>
        <v/>
      </c>
      <c r="Q2218" t="inlineStr">
        <is>
          <t>todo</t>
        </is>
      </c>
    </row>
    <row r="2219">
      <c r="A2219" t="inlineStr">
        <is>
          <t>John Ressler</t>
        </is>
      </c>
      <c r="B2219" t="inlineStr">
        <is>
          <t>Attendee</t>
        </is>
      </c>
      <c r="C2219" t="inlineStr">
        <is>
          <t>COO</t>
        </is>
      </c>
      <c r="D2219" t="inlineStr">
        <is>
          <t>KPG TELECOMMUNICATION</t>
        </is>
      </c>
      <c r="F2219" t="inlineStr">
        <is>
          <t>Yes</t>
        </is>
      </c>
      <c r="H2219" t="n">
        <v>6</v>
      </c>
      <c r="I2219" t="b">
        <v>0</v>
      </c>
      <c r="J2219" t="b">
        <v>1</v>
      </c>
      <c r="K2219" t="b">
        <v>0</v>
      </c>
      <c r="L2219" t="b">
        <v>0</v>
      </c>
      <c r="M2219" t="b">
        <v>0</v>
      </c>
      <c r="N2219">
        <f>IFERROR(INDEX('Company Hitlist'!$AA:$AA,MATCH(D2219,'Company Hitlist'!$A:$A,0)),)</f>
        <v/>
      </c>
      <c r="O2219">
        <f>IFERROR(INDEX('Company Hitlist'!$N:$N,MATCH(D2219,'Company Hitlist'!$A:$A,0)),)</f>
        <v/>
      </c>
      <c r="Q2219" t="inlineStr">
        <is>
          <t>todo</t>
        </is>
      </c>
    </row>
    <row r="2220">
      <c r="A2220" t="inlineStr">
        <is>
          <t>Andrew Peschong</t>
        </is>
      </c>
      <c r="B2220" t="inlineStr">
        <is>
          <t>Attendee</t>
        </is>
      </c>
      <c r="C2220" t="inlineStr">
        <is>
          <t>President</t>
        </is>
      </c>
      <c r="D2220" t="inlineStr">
        <is>
          <t>KTI</t>
        </is>
      </c>
      <c r="F2220" t="inlineStr">
        <is>
          <t>Yes</t>
        </is>
      </c>
      <c r="H2220" t="n">
        <v>6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  <c r="N2220">
        <f>IFERROR(INDEX('Company Hitlist'!$AA:$AA,MATCH(D2220,'Company Hitlist'!$A:$A,0)),)</f>
        <v/>
      </c>
      <c r="O2220">
        <f>IFERROR(INDEX('Company Hitlist'!$N:$N,MATCH(D2220,'Company Hitlist'!$A:$A,0)),)</f>
        <v/>
      </c>
      <c r="Q2220" t="inlineStr">
        <is>
          <t>todo</t>
        </is>
      </c>
    </row>
    <row r="2221">
      <c r="A2221" t="inlineStr">
        <is>
          <t>Michael Kroul</t>
        </is>
      </c>
      <c r="B2221" t="inlineStr">
        <is>
          <t>Attendee</t>
        </is>
      </c>
      <c r="C2221" t="inlineStr">
        <is>
          <t>CEO</t>
        </is>
      </c>
      <c r="D2221" t="inlineStr">
        <is>
          <t>KTI</t>
        </is>
      </c>
      <c r="F2221" t="inlineStr">
        <is>
          <t>Yes</t>
        </is>
      </c>
      <c r="H2221" t="n">
        <v>6</v>
      </c>
      <c r="I2221" t="b">
        <v>0</v>
      </c>
      <c r="J2221" t="b">
        <v>1</v>
      </c>
      <c r="K2221" t="b">
        <v>0</v>
      </c>
      <c r="L2221" t="b">
        <v>0</v>
      </c>
      <c r="M2221" t="b">
        <v>0</v>
      </c>
      <c r="N2221">
        <f>IFERROR(INDEX('Company Hitlist'!$AA:$AA,MATCH(D2221,'Company Hitlist'!$A:$A,0)),)</f>
        <v/>
      </c>
      <c r="O2221">
        <f>IFERROR(INDEX('Company Hitlist'!$N:$N,MATCH(D2221,'Company Hitlist'!$A:$A,0)),)</f>
        <v/>
      </c>
      <c r="Q2221" t="inlineStr">
        <is>
          <t>todo</t>
        </is>
      </c>
    </row>
    <row r="2222">
      <c r="A2222" t="inlineStr">
        <is>
          <t>Tyler Christensen</t>
        </is>
      </c>
      <c r="B2222" t="inlineStr">
        <is>
          <t>Attendee</t>
        </is>
      </c>
      <c r="C2222" t="inlineStr">
        <is>
          <t>COO</t>
        </is>
      </c>
      <c r="D2222" t="inlineStr">
        <is>
          <t>KURU Footwear</t>
        </is>
      </c>
      <c r="F2222" t="inlineStr">
        <is>
          <t>Yes</t>
        </is>
      </c>
      <c r="H2222" t="n">
        <v>6</v>
      </c>
      <c r="I2222" t="b">
        <v>0</v>
      </c>
      <c r="J2222" t="b">
        <v>1</v>
      </c>
      <c r="K2222" t="b">
        <v>0</v>
      </c>
      <c r="L2222" t="b">
        <v>0</v>
      </c>
      <c r="M2222" t="b">
        <v>0</v>
      </c>
      <c r="N2222">
        <f>IFERROR(INDEX('Company Hitlist'!$AA:$AA,MATCH(D2222,'Company Hitlist'!$A:$A,0)),)</f>
        <v/>
      </c>
      <c r="O2222">
        <f>IFERROR(INDEX('Company Hitlist'!$N:$N,MATCH(D2222,'Company Hitlist'!$A:$A,0)),)</f>
        <v/>
      </c>
      <c r="Q2222" t="inlineStr">
        <is>
          <t>todo</t>
        </is>
      </c>
    </row>
    <row r="2223">
      <c r="A2223" t="inlineStr">
        <is>
          <t>Maarten van der Putten</t>
        </is>
      </c>
      <c r="B2223" t="inlineStr">
        <is>
          <t>Attendee</t>
        </is>
      </c>
      <c r="C2223" t="inlineStr">
        <is>
          <t>VP Partnerships</t>
        </is>
      </c>
      <c r="D2223" t="inlineStr">
        <is>
          <t>Kanmon</t>
        </is>
      </c>
      <c r="E2223" t="inlineStr">
        <is>
          <t>United States</t>
        </is>
      </c>
      <c r="H2223" t="n">
        <v>6</v>
      </c>
      <c r="I2223" t="b">
        <v>0</v>
      </c>
      <c r="J2223" t="b">
        <v>1</v>
      </c>
      <c r="K2223" t="b">
        <v>0</v>
      </c>
      <c r="L2223" t="b">
        <v>0</v>
      </c>
      <c r="M2223" t="b">
        <v>0</v>
      </c>
      <c r="N2223">
        <f>IFERROR(INDEX('Company Hitlist'!$AA:$AA,MATCH(D2223,'Company Hitlist'!$A:$A,0)),)</f>
        <v/>
      </c>
      <c r="O2223">
        <f>IFERROR(INDEX('Company Hitlist'!$N:$N,MATCH(D2223,'Company Hitlist'!$A:$A,0)),)</f>
        <v/>
      </c>
      <c r="Q2223" t="inlineStr">
        <is>
          <t>todo</t>
        </is>
      </c>
    </row>
    <row r="2224">
      <c r="A2224" t="inlineStr">
        <is>
          <t>Koji Shiono</t>
        </is>
      </c>
      <c r="B2224" t="inlineStr">
        <is>
          <t>Attendee</t>
        </is>
      </c>
      <c r="C2224" t="inlineStr">
        <is>
          <t>Co-Founder &amp; CEO</t>
        </is>
      </c>
      <c r="D2224" t="inlineStr">
        <is>
          <t>Kidou Systems, Inc.</t>
        </is>
      </c>
      <c r="E2224" t="inlineStr">
        <is>
          <t>United States</t>
        </is>
      </c>
      <c r="F2224" t="inlineStr">
        <is>
          <t>Yes</t>
        </is>
      </c>
      <c r="H2224" t="n">
        <v>6</v>
      </c>
      <c r="I2224" t="b">
        <v>0</v>
      </c>
      <c r="J2224" t="b">
        <v>1</v>
      </c>
      <c r="K2224" t="b">
        <v>0</v>
      </c>
      <c r="L2224" t="b">
        <v>0</v>
      </c>
      <c r="M2224" t="b">
        <v>0</v>
      </c>
      <c r="N2224">
        <f>IFERROR(INDEX('Company Hitlist'!$AA:$AA,MATCH(D2224,'Company Hitlist'!$A:$A,0)),)</f>
        <v/>
      </c>
      <c r="O2224">
        <f>IFERROR(INDEX('Company Hitlist'!$N:$N,MATCH(D2224,'Company Hitlist'!$A:$A,0)),)</f>
        <v/>
      </c>
      <c r="Q2224" t="inlineStr">
        <is>
          <t>todo</t>
        </is>
      </c>
    </row>
    <row r="2225">
      <c r="A2225" t="inlineStr">
        <is>
          <t>James Jin</t>
        </is>
      </c>
      <c r="B2225" t="inlineStr">
        <is>
          <t>Attendee</t>
        </is>
      </c>
      <c r="C2225" t="inlineStr">
        <is>
          <t>Head of KoMiCo USA, VP</t>
        </is>
      </c>
      <c r="D2225" t="inlineStr">
        <is>
          <t>KoMico USA</t>
        </is>
      </c>
      <c r="H2225" t="n">
        <v>6</v>
      </c>
      <c r="I2225" t="b">
        <v>0</v>
      </c>
      <c r="J2225" t="b">
        <v>1</v>
      </c>
      <c r="K2225" t="b">
        <v>0</v>
      </c>
      <c r="L2225" t="b">
        <v>0</v>
      </c>
      <c r="M2225" t="b">
        <v>0</v>
      </c>
      <c r="N2225">
        <f>IFERROR(INDEX('Company Hitlist'!$AA:$AA,MATCH(D2225,'Company Hitlist'!$A:$A,0)),)</f>
        <v/>
      </c>
      <c r="O2225">
        <f>IFERROR(INDEX('Company Hitlist'!$N:$N,MATCH(D2225,'Company Hitlist'!$A:$A,0)),)</f>
        <v/>
      </c>
      <c r="Q2225" t="inlineStr">
        <is>
          <t>todo</t>
        </is>
      </c>
    </row>
    <row r="2226">
      <c r="A2226" t="inlineStr">
        <is>
          <t>Daniel Rodic</t>
        </is>
      </c>
      <c r="B2226" t="inlineStr">
        <is>
          <t>Attendee</t>
        </is>
      </c>
      <c r="C2226" t="inlineStr">
        <is>
          <t>Chief Business Officer</t>
        </is>
      </c>
      <c r="D2226" t="inlineStr">
        <is>
          <t>Kodiak Leather</t>
        </is>
      </c>
      <c r="H2226" t="n">
        <v>6</v>
      </c>
      <c r="I2226" t="b">
        <v>0</v>
      </c>
      <c r="J2226" t="b">
        <v>1</v>
      </c>
      <c r="K2226" t="b">
        <v>0</v>
      </c>
      <c r="L2226" t="b">
        <v>0</v>
      </c>
      <c r="M2226" t="b">
        <v>0</v>
      </c>
      <c r="N2226">
        <f>IFERROR(INDEX('Company Hitlist'!$AA:$AA,MATCH(D2226,'Company Hitlist'!$A:$A,0)),)</f>
        <v/>
      </c>
      <c r="O2226">
        <f>IFERROR(INDEX('Company Hitlist'!$N:$N,MATCH(D2226,'Company Hitlist'!$A:$A,0)),)</f>
        <v/>
      </c>
      <c r="Q2226" t="inlineStr">
        <is>
          <t>todo</t>
        </is>
      </c>
    </row>
    <row r="2227">
      <c r="A2227" t="inlineStr">
        <is>
          <t>Chyngyz Dzhumanazarov</t>
        </is>
      </c>
      <c r="B2227" t="inlineStr">
        <is>
          <t>Attendee</t>
        </is>
      </c>
      <c r="C2227" t="inlineStr">
        <is>
          <t>CEO &amp; Co-Founder</t>
        </is>
      </c>
      <c r="D2227" t="inlineStr">
        <is>
          <t>Kodif</t>
        </is>
      </c>
      <c r="E2227" t="inlineStr">
        <is>
          <t>United States</t>
        </is>
      </c>
      <c r="F2227" t="inlineStr">
        <is>
          <t>Yes</t>
        </is>
      </c>
      <c r="H2227" t="n">
        <v>6</v>
      </c>
      <c r="I2227" t="b">
        <v>0</v>
      </c>
      <c r="J2227" t="b">
        <v>1</v>
      </c>
      <c r="K2227" t="b">
        <v>0</v>
      </c>
      <c r="L2227" t="b">
        <v>0</v>
      </c>
      <c r="M2227" t="b">
        <v>0</v>
      </c>
      <c r="N2227">
        <f>IFERROR(INDEX('Company Hitlist'!$AA:$AA,MATCH(D2227,'Company Hitlist'!$A:$A,0)),)</f>
        <v/>
      </c>
      <c r="O2227">
        <f>IFERROR(INDEX('Company Hitlist'!$N:$N,MATCH(D2227,'Company Hitlist'!$A:$A,0)),)</f>
        <v/>
      </c>
      <c r="Q2227" t="inlineStr">
        <is>
          <t>todo</t>
        </is>
      </c>
    </row>
    <row r="2228">
      <c r="A2228" t="inlineStr">
        <is>
          <t>Koray Kose</t>
        </is>
      </c>
      <c r="B2228" t="inlineStr">
        <is>
          <t>Attendee</t>
        </is>
      </c>
      <c r="C2228" t="inlineStr">
        <is>
          <t>CEO</t>
        </is>
      </c>
      <c r="D2228" t="inlineStr">
        <is>
          <t>Kose Advisory</t>
        </is>
      </c>
      <c r="E2228" t="inlineStr">
        <is>
          <t>United States</t>
        </is>
      </c>
      <c r="H2228" t="n">
        <v>6</v>
      </c>
      <c r="I2228" t="b">
        <v>0</v>
      </c>
      <c r="J2228" t="b">
        <v>1</v>
      </c>
      <c r="K2228" t="b">
        <v>0</v>
      </c>
      <c r="L2228" t="b">
        <v>0</v>
      </c>
      <c r="M2228" t="b">
        <v>0</v>
      </c>
      <c r="N2228">
        <f>IFERROR(INDEX('Company Hitlist'!$AA:$AA,MATCH(D2228,'Company Hitlist'!$A:$A,0)),)</f>
        <v/>
      </c>
      <c r="O2228">
        <f>IFERROR(INDEX('Company Hitlist'!$N:$N,MATCH(D2228,'Company Hitlist'!$A:$A,0)),)</f>
        <v/>
      </c>
      <c r="Q2228" t="inlineStr">
        <is>
          <t>todo</t>
        </is>
      </c>
    </row>
    <row r="2229">
      <c r="A2229" t="inlineStr">
        <is>
          <t>David Kron</t>
        </is>
      </c>
      <c r="B2229" t="inlineStr">
        <is>
          <t>Attendee</t>
        </is>
      </c>
      <c r="C2229" t="inlineStr">
        <is>
          <t>President</t>
        </is>
      </c>
      <c r="D2229" t="inlineStr">
        <is>
          <t>Kron Chocolatier</t>
        </is>
      </c>
      <c r="H2229" t="n">
        <v>6</v>
      </c>
      <c r="I2229" t="b">
        <v>0</v>
      </c>
      <c r="J2229" t="b">
        <v>1</v>
      </c>
      <c r="K2229" t="b">
        <v>0</v>
      </c>
      <c r="L2229" t="b">
        <v>0</v>
      </c>
      <c r="M2229" t="b">
        <v>0</v>
      </c>
      <c r="N2229">
        <f>IFERROR(INDEX('Company Hitlist'!$AA:$AA,MATCH(D2229,'Company Hitlist'!$A:$A,0)),)</f>
        <v/>
      </c>
      <c r="O2229">
        <f>IFERROR(INDEX('Company Hitlist'!$N:$N,MATCH(D2229,'Company Hitlist'!$A:$A,0)),)</f>
        <v/>
      </c>
      <c r="Q2229" t="inlineStr">
        <is>
          <t>todo</t>
        </is>
      </c>
    </row>
    <row r="2230">
      <c r="A2230" t="inlineStr">
        <is>
          <t>David Cornett</t>
        </is>
      </c>
      <c r="B2230" t="inlineStr">
        <is>
          <t>Attendee</t>
        </is>
      </c>
      <c r="C2230" t="inlineStr">
        <is>
          <t>VP Healthcare Americas</t>
        </is>
      </c>
      <c r="D2230" t="inlineStr">
        <is>
          <t>Kuehne + Nagel</t>
        </is>
      </c>
      <c r="E2230" t="inlineStr">
        <is>
          <t>United States</t>
        </is>
      </c>
      <c r="F2230" t="inlineStr">
        <is>
          <t>Yes</t>
        </is>
      </c>
      <c r="H2230" t="n">
        <v>6</v>
      </c>
      <c r="I2230" t="b">
        <v>0</v>
      </c>
      <c r="J2230" t="b">
        <v>1</v>
      </c>
      <c r="K2230" t="b">
        <v>0</v>
      </c>
      <c r="L2230" t="b">
        <v>0</v>
      </c>
      <c r="M2230" t="b">
        <v>0</v>
      </c>
      <c r="N2230">
        <f>IFERROR(INDEX('Company Hitlist'!$AA:$AA,MATCH(D2230,'Company Hitlist'!$A:$A,0)),)</f>
        <v/>
      </c>
      <c r="O2230">
        <f>IFERROR(INDEX('Company Hitlist'!$N:$N,MATCH(D2230,'Company Hitlist'!$A:$A,0)),)</f>
        <v/>
      </c>
      <c r="Q2230" t="inlineStr">
        <is>
          <t>todo</t>
        </is>
      </c>
    </row>
    <row r="2231">
      <c r="A2231" t="inlineStr">
        <is>
          <t>Donald Potter</t>
        </is>
      </c>
      <c r="B2231" t="inlineStr">
        <is>
          <t>Attendee</t>
        </is>
      </c>
      <c r="C2231" t="inlineStr">
        <is>
          <t>VP Consumer Americas</t>
        </is>
      </c>
      <c r="D2231" t="inlineStr">
        <is>
          <t>Kuehne + Nagel</t>
        </is>
      </c>
      <c r="E2231" t="inlineStr">
        <is>
          <t>United States</t>
        </is>
      </c>
      <c r="F2231" t="inlineStr">
        <is>
          <t>Yes</t>
        </is>
      </c>
      <c r="H2231" t="n">
        <v>6</v>
      </c>
      <c r="I2231" t="b">
        <v>0</v>
      </c>
      <c r="J2231" t="b">
        <v>1</v>
      </c>
      <c r="K2231" t="b">
        <v>0</v>
      </c>
      <c r="L2231" t="b">
        <v>0</v>
      </c>
      <c r="M2231" t="b">
        <v>0</v>
      </c>
      <c r="N2231">
        <f>IFERROR(INDEX('Company Hitlist'!$AA:$AA,MATCH(D2231,'Company Hitlist'!$A:$A,0)),)</f>
        <v/>
      </c>
      <c r="O2231">
        <f>IFERROR(INDEX('Company Hitlist'!$N:$N,MATCH(D2231,'Company Hitlist'!$A:$A,0)),)</f>
        <v/>
      </c>
      <c r="Q2231" t="inlineStr">
        <is>
          <t>todo</t>
        </is>
      </c>
    </row>
    <row r="2232">
      <c r="A2232" t="inlineStr">
        <is>
          <t>Liam Harris</t>
        </is>
      </c>
      <c r="B2232" t="inlineStr">
        <is>
          <t>Attendee</t>
        </is>
      </c>
      <c r="C2232" t="inlineStr">
        <is>
          <t>VP Technology Americas</t>
        </is>
      </c>
      <c r="D2232" t="inlineStr">
        <is>
          <t>Kuehne + Nagel</t>
        </is>
      </c>
      <c r="E2232" t="inlineStr">
        <is>
          <t>United States</t>
        </is>
      </c>
      <c r="F2232" t="inlineStr">
        <is>
          <t>Yes</t>
        </is>
      </c>
      <c r="H2232" t="n">
        <v>6</v>
      </c>
      <c r="I2232" t="b">
        <v>0</v>
      </c>
      <c r="J2232" t="b">
        <v>1</v>
      </c>
      <c r="K2232" t="b">
        <v>0</v>
      </c>
      <c r="L2232" t="b">
        <v>0</v>
      </c>
      <c r="M2232" t="b">
        <v>0</v>
      </c>
      <c r="N2232">
        <f>IFERROR(INDEX('Company Hitlist'!$AA:$AA,MATCH(D2232,'Company Hitlist'!$A:$A,0)),)</f>
        <v/>
      </c>
      <c r="O2232">
        <f>IFERROR(INDEX('Company Hitlist'!$N:$N,MATCH(D2232,'Company Hitlist'!$A:$A,0)),)</f>
        <v/>
      </c>
      <c r="Q2232" t="inlineStr">
        <is>
          <t>todo</t>
        </is>
      </c>
    </row>
    <row r="2233">
      <c r="A2233" t="inlineStr">
        <is>
          <t>Maggie Barnett</t>
        </is>
      </c>
      <c r="B2233" t="inlineStr">
        <is>
          <t>Attendee</t>
        </is>
      </c>
      <c r="C2233" t="inlineStr">
        <is>
          <t>CEO</t>
        </is>
      </c>
      <c r="D2233" t="inlineStr">
        <is>
          <t>LVK</t>
        </is>
      </c>
      <c r="E2233" t="inlineStr">
        <is>
          <t>United States</t>
        </is>
      </c>
      <c r="F2233" t="inlineStr">
        <is>
          <t>Yes</t>
        </is>
      </c>
      <c r="H2233" t="n">
        <v>6</v>
      </c>
      <c r="I2233" t="b">
        <v>0</v>
      </c>
      <c r="J2233" t="b">
        <v>1</v>
      </c>
      <c r="K2233" t="b">
        <v>0</v>
      </c>
      <c r="L2233" t="b">
        <v>0</v>
      </c>
      <c r="M2233" t="b">
        <v>0</v>
      </c>
      <c r="N2233">
        <f>IFERROR(INDEX('Company Hitlist'!$AA:$AA,MATCH(D2233,'Company Hitlist'!$A:$A,0)),)</f>
        <v/>
      </c>
      <c r="O2233">
        <f>IFERROR(INDEX('Company Hitlist'!$N:$N,MATCH(D2233,'Company Hitlist'!$A:$A,0)),)</f>
        <v/>
      </c>
      <c r="Q2233" t="inlineStr">
        <is>
          <t>todo</t>
        </is>
      </c>
    </row>
    <row r="2234">
      <c r="A2234" t="inlineStr">
        <is>
          <t>Lee Rector</t>
        </is>
      </c>
      <c r="B2234" t="inlineStr">
        <is>
          <t>Attendee</t>
        </is>
      </c>
      <c r="C2234" t="inlineStr">
        <is>
          <t>CEO</t>
        </is>
      </c>
      <c r="D2234" t="inlineStr">
        <is>
          <t>LaborAI</t>
        </is>
      </c>
      <c r="E2234" t="inlineStr">
        <is>
          <t>United States</t>
        </is>
      </c>
      <c r="F2234" t="inlineStr">
        <is>
          <t>Yes</t>
        </is>
      </c>
      <c r="H2234" t="n">
        <v>6</v>
      </c>
      <c r="I2234" t="b">
        <v>0</v>
      </c>
      <c r="J2234" t="b">
        <v>1</v>
      </c>
      <c r="K2234" t="b">
        <v>0</v>
      </c>
      <c r="L2234" t="b">
        <v>0</v>
      </c>
      <c r="M2234" t="b">
        <v>0</v>
      </c>
      <c r="N2234">
        <f>IFERROR(INDEX('Company Hitlist'!$AA:$AA,MATCH(D2234,'Company Hitlist'!$A:$A,0)),)</f>
        <v/>
      </c>
      <c r="O2234">
        <f>IFERROR(INDEX('Company Hitlist'!$N:$N,MATCH(D2234,'Company Hitlist'!$A:$A,0)),)</f>
        <v/>
      </c>
      <c r="Q2234" t="inlineStr">
        <is>
          <t>todo</t>
        </is>
      </c>
    </row>
    <row r="2235">
      <c r="A2235" t="inlineStr">
        <is>
          <t>Dragan Ninić</t>
        </is>
      </c>
      <c r="B2235" t="inlineStr">
        <is>
          <t>Attendee</t>
        </is>
      </c>
      <c r="C2235" t="inlineStr">
        <is>
          <t>VP, Strategic Development</t>
        </is>
      </c>
      <c r="D2235" t="inlineStr">
        <is>
          <t>Lanaco</t>
        </is>
      </c>
      <c r="H2235" t="n">
        <v>6</v>
      </c>
      <c r="I2235" t="b">
        <v>0</v>
      </c>
      <c r="J2235" t="b">
        <v>1</v>
      </c>
      <c r="K2235" t="b">
        <v>0</v>
      </c>
      <c r="L2235" t="b">
        <v>0</v>
      </c>
      <c r="M2235" t="b">
        <v>0</v>
      </c>
      <c r="N2235">
        <f>IFERROR(INDEX('Company Hitlist'!$AA:$AA,MATCH(D2235,'Company Hitlist'!$A:$A,0)),)</f>
        <v/>
      </c>
      <c r="O2235">
        <f>IFERROR(INDEX('Company Hitlist'!$N:$N,MATCH(D2235,'Company Hitlist'!$A:$A,0)),)</f>
        <v/>
      </c>
      <c r="Q2235" t="inlineStr">
        <is>
          <t>todo</t>
        </is>
      </c>
    </row>
    <row r="2236">
      <c r="A2236" t="inlineStr">
        <is>
          <t>Joe Chaltry</t>
        </is>
      </c>
      <c r="B2236" t="inlineStr">
        <is>
          <t>Attendee</t>
        </is>
      </c>
      <c r="C2236" t="inlineStr">
        <is>
          <t>Vice President, Capacity</t>
        </is>
      </c>
      <c r="D2236" t="inlineStr">
        <is>
          <t>Landstar</t>
        </is>
      </c>
      <c r="F2236" t="inlineStr">
        <is>
          <t>Yes</t>
        </is>
      </c>
      <c r="H2236" t="n">
        <v>6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  <c r="N2236">
        <f>IFERROR(INDEX('Company Hitlist'!$AA:$AA,MATCH(D2236,'Company Hitlist'!$A:$A,0)),)</f>
        <v/>
      </c>
      <c r="O2236">
        <f>IFERROR(INDEX('Company Hitlist'!$N:$N,MATCH(D2236,'Company Hitlist'!$A:$A,0)),)</f>
        <v/>
      </c>
      <c r="Q2236" t="inlineStr">
        <is>
          <t>todo</t>
        </is>
      </c>
    </row>
    <row r="2237">
      <c r="A2237" t="inlineStr">
        <is>
          <t>Doug Schwartz</t>
        </is>
      </c>
      <c r="B2237" t="inlineStr">
        <is>
          <t>Attendee</t>
        </is>
      </c>
      <c r="C2237" t="inlineStr">
        <is>
          <t>CEO &amp; Founder</t>
        </is>
      </c>
      <c r="D2237" t="inlineStr">
        <is>
          <t>Last Mile Solutions, LLC</t>
        </is>
      </c>
      <c r="E2237" t="inlineStr">
        <is>
          <t>United States</t>
        </is>
      </c>
      <c r="F2237" t="inlineStr">
        <is>
          <t>Yes</t>
        </is>
      </c>
      <c r="H2237" t="n">
        <v>6</v>
      </c>
      <c r="I2237" t="b">
        <v>0</v>
      </c>
      <c r="J2237" t="b">
        <v>1</v>
      </c>
      <c r="K2237" t="b">
        <v>0</v>
      </c>
      <c r="L2237" t="b">
        <v>0</v>
      </c>
      <c r="M2237" t="b">
        <v>0</v>
      </c>
      <c r="N2237">
        <f>IFERROR(INDEX('Company Hitlist'!$AA:$AA,MATCH(D2237,'Company Hitlist'!$A:$A,0)),)</f>
        <v/>
      </c>
      <c r="O2237">
        <f>IFERROR(INDEX('Company Hitlist'!$N:$N,MATCH(D2237,'Company Hitlist'!$A:$A,0)),)</f>
        <v/>
      </c>
      <c r="Q2237" t="inlineStr">
        <is>
          <t>todo</t>
        </is>
      </c>
    </row>
    <row r="2238">
      <c r="A2238" t="inlineStr">
        <is>
          <t>Tom Gasparini</t>
        </is>
      </c>
      <c r="B2238" t="inlineStr">
        <is>
          <t>Attendee</t>
        </is>
      </c>
      <c r="C2238" t="inlineStr">
        <is>
          <t>Founder / President</t>
        </is>
      </c>
      <c r="D2238" t="inlineStr">
        <is>
          <t>Last Mile Solutions, LLC</t>
        </is>
      </c>
      <c r="E2238" t="inlineStr">
        <is>
          <t>United States</t>
        </is>
      </c>
      <c r="F2238" t="inlineStr">
        <is>
          <t>Yes</t>
        </is>
      </c>
      <c r="H2238" t="n">
        <v>6</v>
      </c>
      <c r="I2238" t="b">
        <v>0</v>
      </c>
      <c r="J2238" t="b">
        <v>1</v>
      </c>
      <c r="K2238" t="b">
        <v>0</v>
      </c>
      <c r="L2238" t="b">
        <v>0</v>
      </c>
      <c r="M2238" t="b">
        <v>0</v>
      </c>
      <c r="N2238">
        <f>IFERROR(INDEX('Company Hitlist'!$AA:$AA,MATCH(D2238,'Company Hitlist'!$A:$A,0)),)</f>
        <v/>
      </c>
      <c r="O2238">
        <f>IFERROR(INDEX('Company Hitlist'!$N:$N,MATCH(D2238,'Company Hitlist'!$A:$A,0)),)</f>
        <v/>
      </c>
      <c r="Q2238" t="inlineStr">
        <is>
          <t>todo</t>
        </is>
      </c>
    </row>
    <row r="2239">
      <c r="A2239" t="inlineStr">
        <is>
          <t>David Bond</t>
        </is>
      </c>
      <c r="B2239" t="inlineStr">
        <is>
          <t>Attendee</t>
        </is>
      </c>
      <c r="C2239" t="inlineStr">
        <is>
          <t>Executive Vice President</t>
        </is>
      </c>
      <c r="D2239" t="inlineStr">
        <is>
          <t>Lazer Logisitcs Inc</t>
        </is>
      </c>
      <c r="E2239" t="inlineStr">
        <is>
          <t>United States</t>
        </is>
      </c>
      <c r="F2239" t="inlineStr">
        <is>
          <t>Yes</t>
        </is>
      </c>
      <c r="H2239" t="n">
        <v>6</v>
      </c>
      <c r="I2239" t="b">
        <v>0</v>
      </c>
      <c r="J2239" t="b">
        <v>1</v>
      </c>
      <c r="K2239" t="b">
        <v>0</v>
      </c>
      <c r="L2239" t="b">
        <v>0</v>
      </c>
      <c r="M2239" t="b">
        <v>0</v>
      </c>
      <c r="N2239">
        <f>IFERROR(INDEX('Company Hitlist'!$AA:$AA,MATCH(D2239,'Company Hitlist'!$A:$A,0)),)</f>
        <v/>
      </c>
      <c r="O2239">
        <f>IFERROR(INDEX('Company Hitlist'!$N:$N,MATCH(D2239,'Company Hitlist'!$A:$A,0)),)</f>
        <v/>
      </c>
      <c r="Q2239" t="inlineStr">
        <is>
          <t>todo</t>
        </is>
      </c>
    </row>
    <row r="2240">
      <c r="A2240" t="inlineStr">
        <is>
          <t>Chris Bennett</t>
        </is>
      </c>
      <c r="B2240" t="inlineStr">
        <is>
          <t>Attendee</t>
        </is>
      </c>
      <c r="C2240" t="inlineStr">
        <is>
          <t>Vice President of EV, Energy, and Sustainability</t>
        </is>
      </c>
      <c r="D2240" t="inlineStr">
        <is>
          <t>Lazer Logistics</t>
        </is>
      </c>
      <c r="E2240" t="inlineStr">
        <is>
          <t>United States</t>
        </is>
      </c>
      <c r="F2240" t="inlineStr">
        <is>
          <t>Yes</t>
        </is>
      </c>
      <c r="G2240" t="inlineStr">
        <is>
          <t>750000000</t>
        </is>
      </c>
      <c r="H2240" t="n">
        <v>6</v>
      </c>
      <c r="I2240" t="b">
        <v>0</v>
      </c>
      <c r="J2240" t="b">
        <v>1</v>
      </c>
      <c r="K2240" t="b">
        <v>0</v>
      </c>
      <c r="L2240" t="b">
        <v>0</v>
      </c>
      <c r="M2240" t="b">
        <v>0</v>
      </c>
      <c r="N2240">
        <f>IFERROR(INDEX('Company Hitlist'!$AA:$AA,MATCH(D2240,'Company Hitlist'!$A:$A,0)),)</f>
        <v/>
      </c>
      <c r="O2240">
        <f>IFERROR(INDEX('Company Hitlist'!$N:$N,MATCH(D2240,'Company Hitlist'!$A:$A,0)),)</f>
        <v/>
      </c>
      <c r="Q2240" t="inlineStr">
        <is>
          <t>todo</t>
        </is>
      </c>
    </row>
    <row r="2241">
      <c r="A2241" t="inlineStr">
        <is>
          <t>Craig Poropat</t>
        </is>
      </c>
      <c r="B2241" t="inlineStr">
        <is>
          <t>Attendee</t>
        </is>
      </c>
      <c r="C2241" t="inlineStr">
        <is>
          <t>Senior Vice President</t>
        </is>
      </c>
      <c r="D2241" t="inlineStr">
        <is>
          <t>Lee &amp; Associates - LA - LB</t>
        </is>
      </c>
      <c r="E2241" t="inlineStr">
        <is>
          <t>United States</t>
        </is>
      </c>
      <c r="H2241" t="n">
        <v>6</v>
      </c>
      <c r="I2241" t="b">
        <v>0</v>
      </c>
      <c r="J2241" t="b">
        <v>1</v>
      </c>
      <c r="K2241" t="b">
        <v>0</v>
      </c>
      <c r="L2241" t="b">
        <v>0</v>
      </c>
      <c r="M2241" t="b">
        <v>0</v>
      </c>
      <c r="N2241">
        <f>IFERROR(INDEX('Company Hitlist'!$AA:$AA,MATCH(D2241,'Company Hitlist'!$A:$A,0)),)</f>
        <v/>
      </c>
      <c r="O2241">
        <f>IFERROR(INDEX('Company Hitlist'!$N:$N,MATCH(D2241,'Company Hitlist'!$A:$A,0)),)</f>
        <v/>
      </c>
      <c r="Q2241" t="inlineStr">
        <is>
          <t>todo</t>
        </is>
      </c>
    </row>
    <row r="2242">
      <c r="A2242" t="inlineStr">
        <is>
          <t>Joseph Stanko</t>
        </is>
      </c>
      <c r="B2242" t="inlineStr">
        <is>
          <t>Attendee</t>
        </is>
      </c>
      <c r="C2242" t="inlineStr">
        <is>
          <t>Senior Vice President</t>
        </is>
      </c>
      <c r="D2242" t="inlineStr">
        <is>
          <t>Lee &amp; Associates - LA - LB</t>
        </is>
      </c>
      <c r="E2242" t="inlineStr">
        <is>
          <t>United States</t>
        </is>
      </c>
      <c r="H2242" t="n">
        <v>6</v>
      </c>
      <c r="I2242" t="b">
        <v>0</v>
      </c>
      <c r="J2242" t="b">
        <v>1</v>
      </c>
      <c r="K2242" t="b">
        <v>0</v>
      </c>
      <c r="L2242" t="b">
        <v>0</v>
      </c>
      <c r="M2242" t="b">
        <v>0</v>
      </c>
      <c r="N2242">
        <f>IFERROR(INDEX('Company Hitlist'!$AA:$AA,MATCH(D2242,'Company Hitlist'!$A:$A,0)),)</f>
        <v/>
      </c>
      <c r="O2242">
        <f>IFERROR(INDEX('Company Hitlist'!$N:$N,MATCH(D2242,'Company Hitlist'!$A:$A,0)),)</f>
        <v/>
      </c>
      <c r="Q2242" t="inlineStr">
        <is>
          <t>todo</t>
        </is>
      </c>
    </row>
    <row r="2243">
      <c r="A2243" t="inlineStr">
        <is>
          <t>Anneke Gambina</t>
        </is>
      </c>
      <c r="B2243" t="inlineStr">
        <is>
          <t>Attendee</t>
        </is>
      </c>
      <c r="C2243" t="inlineStr">
        <is>
          <t>COO</t>
        </is>
      </c>
      <c r="D2243" t="inlineStr">
        <is>
          <t>Left Brain Logistics</t>
        </is>
      </c>
      <c r="E2243" t="inlineStr">
        <is>
          <t>United States</t>
        </is>
      </c>
      <c r="F2243" t="inlineStr">
        <is>
          <t>Yes</t>
        </is>
      </c>
      <c r="H2243" t="n">
        <v>6</v>
      </c>
      <c r="I2243" t="b">
        <v>0</v>
      </c>
      <c r="J2243" t="b">
        <v>1</v>
      </c>
      <c r="K2243" t="b">
        <v>0</v>
      </c>
      <c r="L2243" t="b">
        <v>0</v>
      </c>
      <c r="M2243" t="b">
        <v>0</v>
      </c>
      <c r="N2243">
        <f>IFERROR(INDEX('Company Hitlist'!$AA:$AA,MATCH(D2243,'Company Hitlist'!$A:$A,0)),)</f>
        <v/>
      </c>
      <c r="O2243">
        <f>IFERROR(INDEX('Company Hitlist'!$N:$N,MATCH(D2243,'Company Hitlist'!$A:$A,0)),)</f>
        <v/>
      </c>
      <c r="Q2243" t="inlineStr">
        <is>
          <t>todo</t>
        </is>
      </c>
    </row>
    <row r="2244">
      <c r="A2244" t="inlineStr">
        <is>
          <t>Walter Umana</t>
        </is>
      </c>
      <c r="B2244" t="inlineStr">
        <is>
          <t>Attendee</t>
        </is>
      </c>
      <c r="C2244" t="inlineStr">
        <is>
          <t>CEO</t>
        </is>
      </c>
      <c r="D2244" t="inlineStr">
        <is>
          <t>Legacy Drayage Inc.</t>
        </is>
      </c>
      <c r="E2244" t="inlineStr">
        <is>
          <t>United States</t>
        </is>
      </c>
      <c r="F2244" t="inlineStr">
        <is>
          <t>Yes</t>
        </is>
      </c>
      <c r="H2244" t="n">
        <v>6</v>
      </c>
      <c r="I2244" t="b">
        <v>0</v>
      </c>
      <c r="J2244" t="b">
        <v>1</v>
      </c>
      <c r="K2244" t="b">
        <v>0</v>
      </c>
      <c r="L2244" t="b">
        <v>0</v>
      </c>
      <c r="M2244" t="b">
        <v>0</v>
      </c>
      <c r="N2244">
        <f>IFERROR(INDEX('Company Hitlist'!$AA:$AA,MATCH(D2244,'Company Hitlist'!$A:$A,0)),)</f>
        <v/>
      </c>
      <c r="O2244">
        <f>IFERROR(INDEX('Company Hitlist'!$N:$N,MATCH(D2244,'Company Hitlist'!$A:$A,0)),)</f>
        <v/>
      </c>
      <c r="Q2244" t="inlineStr">
        <is>
          <t>todo</t>
        </is>
      </c>
    </row>
    <row r="2245">
      <c r="A2245" t="inlineStr">
        <is>
          <t>Alisha McNary</t>
        </is>
      </c>
      <c r="B2245" t="inlineStr">
        <is>
          <t>Attendee</t>
        </is>
      </c>
      <c r="C2245" t="inlineStr">
        <is>
          <t>VP of Strategic Partnerships</t>
        </is>
      </c>
      <c r="D2245" t="inlineStr">
        <is>
          <t>Let's Talk Supply Chain</t>
        </is>
      </c>
      <c r="E2245" t="inlineStr">
        <is>
          <t>United States</t>
        </is>
      </c>
      <c r="H2245" t="n">
        <v>6</v>
      </c>
      <c r="I2245" t="b">
        <v>0</v>
      </c>
      <c r="J2245" t="b">
        <v>1</v>
      </c>
      <c r="K2245" t="b">
        <v>0</v>
      </c>
      <c r="L2245" t="b">
        <v>0</v>
      </c>
      <c r="M2245" t="b">
        <v>0</v>
      </c>
      <c r="N2245">
        <f>IFERROR(INDEX('Company Hitlist'!$AA:$AA,MATCH(D2245,'Company Hitlist'!$A:$A,0)),)</f>
        <v/>
      </c>
      <c r="O2245">
        <f>IFERROR(INDEX('Company Hitlist'!$N:$N,MATCH(D2245,'Company Hitlist'!$A:$A,0)),)</f>
        <v/>
      </c>
      <c r="Q2245" t="inlineStr">
        <is>
          <t>todo</t>
        </is>
      </c>
    </row>
    <row r="2246">
      <c r="A2246" t="inlineStr">
        <is>
          <t>Gero Keil</t>
        </is>
      </c>
      <c r="B2246" t="inlineStr">
        <is>
          <t>Attendee</t>
        </is>
      </c>
      <c r="C2246" t="inlineStr">
        <is>
          <t>Co-Founder &amp; CEO</t>
        </is>
      </c>
      <c r="D2246" t="inlineStr">
        <is>
          <t>Levity AI</t>
        </is>
      </c>
      <c r="E2246" t="inlineStr">
        <is>
          <t>Germany</t>
        </is>
      </c>
      <c r="F2246" t="inlineStr">
        <is>
          <t>Yes</t>
        </is>
      </c>
      <c r="H2246" t="n">
        <v>6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>
        <f>IFERROR(INDEX('Company Hitlist'!$AA:$AA,MATCH(D2246,'Company Hitlist'!$A:$A,0)),)</f>
        <v/>
      </c>
      <c r="O2246">
        <f>IFERROR(INDEX('Company Hitlist'!$N:$N,MATCH(D2246,'Company Hitlist'!$A:$A,0)),)</f>
        <v/>
      </c>
      <c r="Q2246" t="inlineStr">
        <is>
          <t>todo</t>
        </is>
      </c>
    </row>
    <row r="2247">
      <c r="A2247" t="inlineStr">
        <is>
          <t>Anthony Firmani</t>
        </is>
      </c>
      <c r="B2247" t="inlineStr">
        <is>
          <t>Attendee</t>
        </is>
      </c>
      <c r="C2247" t="inlineStr">
        <is>
          <t>COO</t>
        </is>
      </c>
      <c r="D2247" t="inlineStr">
        <is>
          <t>Light &amp; Wonder</t>
        </is>
      </c>
      <c r="H2247" t="n">
        <v>6</v>
      </c>
      <c r="I2247" t="b">
        <v>0</v>
      </c>
      <c r="J2247" t="b">
        <v>1</v>
      </c>
      <c r="K2247" t="b">
        <v>0</v>
      </c>
      <c r="L2247" t="b">
        <v>0</v>
      </c>
      <c r="M2247" t="b">
        <v>0</v>
      </c>
      <c r="N2247">
        <f>IFERROR(INDEX('Company Hitlist'!$AA:$AA,MATCH(D2247,'Company Hitlist'!$A:$A,0)),)</f>
        <v/>
      </c>
      <c r="O2247">
        <f>IFERROR(INDEX('Company Hitlist'!$N:$N,MATCH(D2247,'Company Hitlist'!$A:$A,0)),)</f>
        <v/>
      </c>
      <c r="Q2247" t="inlineStr">
        <is>
          <t>todo</t>
        </is>
      </c>
    </row>
    <row r="2248">
      <c r="A2248" t="inlineStr">
        <is>
          <t>Derrick Hamilton</t>
        </is>
      </c>
      <c r="B2248" t="inlineStr">
        <is>
          <t>Attendee</t>
        </is>
      </c>
      <c r="C2248" t="inlineStr">
        <is>
          <t>Vice President, Field Services</t>
        </is>
      </c>
      <c r="D2248" t="inlineStr">
        <is>
          <t>Light &amp; Wonder</t>
        </is>
      </c>
      <c r="H2248" t="n">
        <v>6</v>
      </c>
      <c r="I2248" t="b">
        <v>0</v>
      </c>
      <c r="J2248" t="b">
        <v>1</v>
      </c>
      <c r="K2248" t="b">
        <v>0</v>
      </c>
      <c r="L2248" t="b">
        <v>0</v>
      </c>
      <c r="M2248" t="b">
        <v>0</v>
      </c>
      <c r="N2248">
        <f>IFERROR(INDEX('Company Hitlist'!$AA:$AA,MATCH(D2248,'Company Hitlist'!$A:$A,0)),)</f>
        <v/>
      </c>
      <c r="O2248">
        <f>IFERROR(INDEX('Company Hitlist'!$N:$N,MATCH(D2248,'Company Hitlist'!$A:$A,0)),)</f>
        <v/>
      </c>
      <c r="Q2248" t="inlineStr">
        <is>
          <t>todo</t>
        </is>
      </c>
    </row>
    <row r="2249">
      <c r="A2249" t="inlineStr">
        <is>
          <t>Srijan Kumar</t>
        </is>
      </c>
      <c r="B2249" t="inlineStr">
        <is>
          <t>Attendee</t>
        </is>
      </c>
      <c r="C2249" t="inlineStr">
        <is>
          <t>CEO</t>
        </is>
      </c>
      <c r="D2249" t="inlineStr">
        <is>
          <t>Lighthouz AI</t>
        </is>
      </c>
      <c r="E2249" t="inlineStr">
        <is>
          <t>United States</t>
        </is>
      </c>
      <c r="F2249" t="inlineStr">
        <is>
          <t>Yes</t>
        </is>
      </c>
      <c r="H2249" t="n">
        <v>6</v>
      </c>
      <c r="I2249" t="b">
        <v>0</v>
      </c>
      <c r="J2249" t="b">
        <v>1</v>
      </c>
      <c r="K2249" t="b">
        <v>0</v>
      </c>
      <c r="L2249" t="b">
        <v>0</v>
      </c>
      <c r="M2249" t="b">
        <v>0</v>
      </c>
      <c r="N2249">
        <f>IFERROR(INDEX('Company Hitlist'!$AA:$AA,MATCH(D2249,'Company Hitlist'!$A:$A,0)),)</f>
        <v/>
      </c>
      <c r="O2249">
        <f>IFERROR(INDEX('Company Hitlist'!$N:$N,MATCH(D2249,'Company Hitlist'!$A:$A,0)),)</f>
        <v/>
      </c>
      <c r="Q2249" t="inlineStr">
        <is>
          <t>todo</t>
        </is>
      </c>
    </row>
    <row r="2250">
      <c r="A2250" t="inlineStr">
        <is>
          <t>Suzanne Drumwright</t>
        </is>
      </c>
      <c r="B2250" t="inlineStr">
        <is>
          <t>Attendee</t>
        </is>
      </c>
      <c r="C2250" t="inlineStr">
        <is>
          <t>COO/Co-founder</t>
        </is>
      </c>
      <c r="D2250" t="inlineStr">
        <is>
          <t>Limber Robotics</t>
        </is>
      </c>
      <c r="E2250" t="inlineStr">
        <is>
          <t>United States</t>
        </is>
      </c>
      <c r="F2250" t="inlineStr">
        <is>
          <t>Yes</t>
        </is>
      </c>
      <c r="H2250" t="n">
        <v>6</v>
      </c>
      <c r="I2250" t="b">
        <v>0</v>
      </c>
      <c r="J2250" t="b">
        <v>1</v>
      </c>
      <c r="K2250" t="b">
        <v>0</v>
      </c>
      <c r="L2250" t="b">
        <v>0</v>
      </c>
      <c r="M2250" t="b">
        <v>0</v>
      </c>
      <c r="N2250">
        <f>IFERROR(INDEX('Company Hitlist'!$AA:$AA,MATCH(D2250,'Company Hitlist'!$A:$A,0)),)</f>
        <v/>
      </c>
      <c r="O2250">
        <f>IFERROR(INDEX('Company Hitlist'!$N:$N,MATCH(D2250,'Company Hitlist'!$A:$A,0)),)</f>
        <v/>
      </c>
      <c r="Q2250" t="inlineStr">
        <is>
          <t>todo</t>
        </is>
      </c>
    </row>
    <row r="2251">
      <c r="A2251" t="inlineStr">
        <is>
          <t>Ryan Frey</t>
        </is>
      </c>
      <c r="B2251" t="inlineStr">
        <is>
          <t>Attendee</t>
        </is>
      </c>
      <c r="C2251" t="inlineStr">
        <is>
          <t>COO</t>
        </is>
      </c>
      <c r="D2251" t="inlineStr">
        <is>
          <t>Lion Energy</t>
        </is>
      </c>
      <c r="E2251" t="inlineStr">
        <is>
          <t>United States</t>
        </is>
      </c>
      <c r="F2251" t="inlineStr">
        <is>
          <t>Yes</t>
        </is>
      </c>
      <c r="H2251" t="n">
        <v>6</v>
      </c>
      <c r="I2251" t="b">
        <v>0</v>
      </c>
      <c r="J2251" t="b">
        <v>1</v>
      </c>
      <c r="K2251" t="b">
        <v>0</v>
      </c>
      <c r="L2251" t="b">
        <v>0</v>
      </c>
      <c r="M2251" t="b">
        <v>0</v>
      </c>
      <c r="N2251">
        <f>IFERROR(INDEX('Company Hitlist'!$AA:$AA,MATCH(D2251,'Company Hitlist'!$A:$A,0)),)</f>
        <v/>
      </c>
      <c r="O2251">
        <f>IFERROR(INDEX('Company Hitlist'!$N:$N,MATCH(D2251,'Company Hitlist'!$A:$A,0)),)</f>
        <v/>
      </c>
      <c r="Q2251" t="inlineStr">
        <is>
          <t>todo</t>
        </is>
      </c>
    </row>
    <row r="2252">
      <c r="A2252" t="inlineStr">
        <is>
          <t>Jes Crownover</t>
        </is>
      </c>
      <c r="B2252" t="inlineStr">
        <is>
          <t>Attendee</t>
        </is>
      </c>
      <c r="C2252" t="inlineStr">
        <is>
          <t>VP, eCommerce &amp; Digital Solutons</t>
        </is>
      </c>
      <c r="D2252" t="inlineStr">
        <is>
          <t>Livingston</t>
        </is>
      </c>
      <c r="E2252" t="inlineStr">
        <is>
          <t>United States</t>
        </is>
      </c>
      <c r="H2252" t="n">
        <v>6</v>
      </c>
      <c r="I2252" t="b">
        <v>0</v>
      </c>
      <c r="J2252" t="b">
        <v>1</v>
      </c>
      <c r="K2252" t="b">
        <v>0</v>
      </c>
      <c r="L2252" t="b">
        <v>0</v>
      </c>
      <c r="M2252" t="b">
        <v>0</v>
      </c>
      <c r="N2252">
        <f>IFERROR(INDEX('Company Hitlist'!$AA:$AA,MATCH(D2252,'Company Hitlist'!$A:$A,0)),)</f>
        <v/>
      </c>
      <c r="O2252">
        <f>IFERROR(INDEX('Company Hitlist'!$N:$N,MATCH(D2252,'Company Hitlist'!$A:$A,0)),)</f>
        <v/>
      </c>
      <c r="Q2252" t="inlineStr">
        <is>
          <t>todo</t>
        </is>
      </c>
    </row>
    <row r="2253">
      <c r="A2253" t="inlineStr">
        <is>
          <t>Ciaran Doherty</t>
        </is>
      </c>
      <c r="B2253" t="inlineStr">
        <is>
          <t>Attendee</t>
        </is>
      </c>
      <c r="C2253" t="inlineStr">
        <is>
          <t>CEO</t>
        </is>
      </c>
      <c r="D2253" t="inlineStr">
        <is>
          <t>Loadar</t>
        </is>
      </c>
      <c r="E2253" t="inlineStr">
        <is>
          <t>United Kingdom</t>
        </is>
      </c>
      <c r="F2253" t="inlineStr">
        <is>
          <t>Yes</t>
        </is>
      </c>
      <c r="H2253" t="n">
        <v>6</v>
      </c>
      <c r="I2253" t="b">
        <v>0</v>
      </c>
      <c r="J2253" t="b">
        <v>1</v>
      </c>
      <c r="K2253" t="b">
        <v>0</v>
      </c>
      <c r="L2253" t="b">
        <v>0</v>
      </c>
      <c r="M2253" t="b">
        <v>0</v>
      </c>
      <c r="N2253">
        <f>IFERROR(INDEX('Company Hitlist'!$AA:$AA,MATCH(D2253,'Company Hitlist'!$A:$A,0)),)</f>
        <v/>
      </c>
      <c r="O2253">
        <f>IFERROR(INDEX('Company Hitlist'!$N:$N,MATCH(D2253,'Company Hitlist'!$A:$A,0)),)</f>
        <v/>
      </c>
      <c r="Q2253" t="inlineStr">
        <is>
          <t>todo</t>
        </is>
      </c>
    </row>
    <row r="2254">
      <c r="A2254" t="inlineStr">
        <is>
          <t>Jim Heide</t>
        </is>
      </c>
      <c r="B2254" t="inlineStr">
        <is>
          <t>Attendee</t>
        </is>
      </c>
      <c r="C2254" t="inlineStr">
        <is>
          <t>COO &amp; Cofounder</t>
        </is>
      </c>
      <c r="D2254" t="inlineStr">
        <is>
          <t>Loadsure</t>
        </is>
      </c>
      <c r="E2254" t="inlineStr">
        <is>
          <t>United States</t>
        </is>
      </c>
      <c r="H2254" t="n">
        <v>6</v>
      </c>
      <c r="I2254" t="b">
        <v>0</v>
      </c>
      <c r="J2254" t="b">
        <v>1</v>
      </c>
      <c r="K2254" t="b">
        <v>0</v>
      </c>
      <c r="L2254" t="b">
        <v>0</v>
      </c>
      <c r="M2254" t="b">
        <v>0</v>
      </c>
      <c r="N2254">
        <f>IFERROR(INDEX('Company Hitlist'!$AA:$AA,MATCH(D2254,'Company Hitlist'!$A:$A,0)),)</f>
        <v/>
      </c>
      <c r="O2254">
        <f>IFERROR(INDEX('Company Hitlist'!$N:$N,MATCH(D2254,'Company Hitlist'!$A:$A,0)),)</f>
        <v/>
      </c>
      <c r="Q2254" t="inlineStr">
        <is>
          <t>todo</t>
        </is>
      </c>
    </row>
    <row r="2255">
      <c r="A2255" t="inlineStr">
        <is>
          <t>Taylor Walker</t>
        </is>
      </c>
      <c r="B2255" t="inlineStr">
        <is>
          <t>Attendee</t>
        </is>
      </c>
      <c r="C2255" t="inlineStr">
        <is>
          <t>Chief Insurance Officer</t>
        </is>
      </c>
      <c r="D2255" t="inlineStr">
        <is>
          <t>Loadsure</t>
        </is>
      </c>
      <c r="E2255" t="inlineStr">
        <is>
          <t>United States</t>
        </is>
      </c>
      <c r="H2255" t="n">
        <v>6</v>
      </c>
      <c r="I2255" t="b">
        <v>0</v>
      </c>
      <c r="J2255" t="b">
        <v>1</v>
      </c>
      <c r="K2255" t="b">
        <v>0</v>
      </c>
      <c r="L2255" t="b">
        <v>0</v>
      </c>
      <c r="M2255" t="b">
        <v>0</v>
      </c>
      <c r="N2255">
        <f>IFERROR(INDEX('Company Hitlist'!$AA:$AA,MATCH(D2255,'Company Hitlist'!$A:$A,0)),)</f>
        <v/>
      </c>
      <c r="O2255">
        <f>IFERROR(INDEX('Company Hitlist'!$N:$N,MATCH(D2255,'Company Hitlist'!$A:$A,0)),)</f>
        <v/>
      </c>
      <c r="Q2255" t="inlineStr">
        <is>
          <t>todo</t>
        </is>
      </c>
    </row>
    <row r="2256">
      <c r="A2256" t="inlineStr">
        <is>
          <t>Jannis Dargel</t>
        </is>
      </c>
      <c r="B2256" t="inlineStr">
        <is>
          <t>Attendee</t>
        </is>
      </c>
      <c r="C2256" t="inlineStr">
        <is>
          <t>Co-Founder &amp; COO</t>
        </is>
      </c>
      <c r="D2256" t="inlineStr">
        <is>
          <t>Locad</t>
        </is>
      </c>
      <c r="E2256" t="inlineStr">
        <is>
          <t>United States</t>
        </is>
      </c>
      <c r="F2256" t="inlineStr">
        <is>
          <t>Yes</t>
        </is>
      </c>
      <c r="H2256" t="n">
        <v>6</v>
      </c>
      <c r="I2256" t="b">
        <v>0</v>
      </c>
      <c r="J2256" t="b">
        <v>1</v>
      </c>
      <c r="K2256" t="b">
        <v>0</v>
      </c>
      <c r="L2256" t="b">
        <v>0</v>
      </c>
      <c r="M2256" t="b">
        <v>0</v>
      </c>
      <c r="N2256">
        <f>IFERROR(INDEX('Company Hitlist'!$AA:$AA,MATCH(D2256,'Company Hitlist'!$A:$A,0)),)</f>
        <v/>
      </c>
      <c r="O2256">
        <f>IFERROR(INDEX('Company Hitlist'!$N:$N,MATCH(D2256,'Company Hitlist'!$A:$A,0)),)</f>
        <v/>
      </c>
      <c r="Q2256" t="inlineStr">
        <is>
          <t>todo</t>
        </is>
      </c>
    </row>
    <row r="2257">
      <c r="A2257" t="inlineStr">
        <is>
          <t>Dustin Gray</t>
        </is>
      </c>
      <c r="B2257" t="inlineStr">
        <is>
          <t>Attendee</t>
        </is>
      </c>
      <c r="C2257" t="inlineStr">
        <is>
          <t>VP, Distributions Solutions Engineering</t>
        </is>
      </c>
      <c r="D2257" t="inlineStr">
        <is>
          <t>Locus Robotics</t>
        </is>
      </c>
      <c r="E2257" t="inlineStr">
        <is>
          <t>United States</t>
        </is>
      </c>
      <c r="F2257" t="inlineStr">
        <is>
          <t>Yes</t>
        </is>
      </c>
      <c r="G2257" t="inlineStr">
        <is>
          <t>100000000</t>
        </is>
      </c>
      <c r="H2257" t="n">
        <v>6</v>
      </c>
      <c r="I2257" t="b">
        <v>0</v>
      </c>
      <c r="J2257" t="b">
        <v>1</v>
      </c>
      <c r="K2257" t="b">
        <v>0</v>
      </c>
      <c r="L2257" t="b">
        <v>0</v>
      </c>
      <c r="M2257" t="b">
        <v>0</v>
      </c>
      <c r="N2257">
        <f>IFERROR(INDEX('Company Hitlist'!$AA:$AA,MATCH(D2257,'Company Hitlist'!$A:$A,0)),)</f>
        <v/>
      </c>
      <c r="O2257">
        <f>IFERROR(INDEX('Company Hitlist'!$N:$N,MATCH(D2257,'Company Hitlist'!$A:$A,0)),)</f>
        <v/>
      </c>
      <c r="Q2257" t="inlineStr">
        <is>
          <t>todo</t>
        </is>
      </c>
    </row>
    <row r="2258">
      <c r="A2258" t="inlineStr">
        <is>
          <t>Dennis Palma Albuquerque</t>
        </is>
      </c>
      <c r="B2258" t="inlineStr">
        <is>
          <t>Attendee</t>
        </is>
      </c>
      <c r="C2258" t="inlineStr">
        <is>
          <t>Head of Commercial Strategy</t>
        </is>
      </c>
      <c r="D2258" t="inlineStr">
        <is>
          <t>Logineer</t>
        </is>
      </c>
      <c r="E2258" t="inlineStr">
        <is>
          <t>United States</t>
        </is>
      </c>
      <c r="F2258" t="inlineStr">
        <is>
          <t>Yes</t>
        </is>
      </c>
      <c r="H2258" t="n">
        <v>6</v>
      </c>
      <c r="I2258" t="b">
        <v>0</v>
      </c>
      <c r="J2258" t="b">
        <v>1</v>
      </c>
      <c r="K2258" t="b">
        <v>0</v>
      </c>
      <c r="L2258" t="b">
        <v>0</v>
      </c>
      <c r="M2258" t="b">
        <v>0</v>
      </c>
      <c r="N2258">
        <f>IFERROR(INDEX('Company Hitlist'!$AA:$AA,MATCH(D2258,'Company Hitlist'!$A:$A,0)),)</f>
        <v/>
      </c>
      <c r="O2258">
        <f>IFERROR(INDEX('Company Hitlist'!$N:$N,MATCH(D2258,'Company Hitlist'!$A:$A,0)),)</f>
        <v/>
      </c>
      <c r="Q2258" t="inlineStr">
        <is>
          <t>todo</t>
        </is>
      </c>
    </row>
    <row r="2259">
      <c r="A2259" t="inlineStr">
        <is>
          <t>Mark Boedecker</t>
        </is>
      </c>
      <c r="B2259" t="inlineStr">
        <is>
          <t>Attendee</t>
        </is>
      </c>
      <c r="C2259" t="inlineStr">
        <is>
          <t>COO</t>
        </is>
      </c>
      <c r="D2259" t="inlineStr">
        <is>
          <t>LogistiVIEW</t>
        </is>
      </c>
      <c r="E2259" t="inlineStr">
        <is>
          <t>United States</t>
        </is>
      </c>
      <c r="F2259" t="inlineStr">
        <is>
          <t>Yes</t>
        </is>
      </c>
      <c r="H2259" t="n">
        <v>6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  <c r="N2259">
        <f>IFERROR(INDEX('Company Hitlist'!$AA:$AA,MATCH(D2259,'Company Hitlist'!$A:$A,0)),)</f>
        <v/>
      </c>
      <c r="O2259">
        <f>IFERROR(INDEX('Company Hitlist'!$N:$N,MATCH(D2259,'Company Hitlist'!$A:$A,0)),)</f>
        <v/>
      </c>
      <c r="Q2259" t="inlineStr">
        <is>
          <t>todo</t>
        </is>
      </c>
    </row>
    <row r="2260">
      <c r="A2260" t="inlineStr">
        <is>
          <t>Seth Patin</t>
        </is>
      </c>
      <c r="B2260" t="inlineStr">
        <is>
          <t>Attendee</t>
        </is>
      </c>
      <c r="C2260" t="inlineStr">
        <is>
          <t>CEO</t>
        </is>
      </c>
      <c r="D2260" t="inlineStr">
        <is>
          <t>LogistiVIEW</t>
        </is>
      </c>
      <c r="E2260" t="inlineStr">
        <is>
          <t>United States</t>
        </is>
      </c>
      <c r="F2260" t="inlineStr">
        <is>
          <t>Yes</t>
        </is>
      </c>
      <c r="H2260" t="n">
        <v>6</v>
      </c>
      <c r="I2260" t="b">
        <v>0</v>
      </c>
      <c r="J2260" t="b">
        <v>1</v>
      </c>
      <c r="K2260" t="b">
        <v>0</v>
      </c>
      <c r="L2260" t="b">
        <v>0</v>
      </c>
      <c r="M2260" t="b">
        <v>0</v>
      </c>
      <c r="N2260">
        <f>IFERROR(INDEX('Company Hitlist'!$AA:$AA,MATCH(D2260,'Company Hitlist'!$A:$A,0)),)</f>
        <v/>
      </c>
      <c r="O2260">
        <f>IFERROR(INDEX('Company Hitlist'!$N:$N,MATCH(D2260,'Company Hitlist'!$A:$A,0)),)</f>
        <v/>
      </c>
      <c r="Q2260" t="inlineStr">
        <is>
          <t>todo</t>
        </is>
      </c>
    </row>
    <row r="2261">
      <c r="A2261" t="inlineStr">
        <is>
          <t>Jonathan Ackerman</t>
        </is>
      </c>
      <c r="B2261" t="inlineStr">
        <is>
          <t>Attendee</t>
        </is>
      </c>
      <c r="C2261" t="inlineStr">
        <is>
          <t>Senior Vice President</t>
        </is>
      </c>
      <c r="D2261" t="inlineStr">
        <is>
          <t>Logistics Plus Inc</t>
        </is>
      </c>
      <c r="E2261" t="inlineStr">
        <is>
          <t>United States</t>
        </is>
      </c>
      <c r="F2261" t="inlineStr">
        <is>
          <t>Yes</t>
        </is>
      </c>
      <c r="H2261" t="n">
        <v>6</v>
      </c>
      <c r="I2261" t="b">
        <v>0</v>
      </c>
      <c r="J2261" t="b">
        <v>1</v>
      </c>
      <c r="K2261" t="b">
        <v>0</v>
      </c>
      <c r="L2261" t="b">
        <v>0</v>
      </c>
      <c r="M2261" t="b">
        <v>0</v>
      </c>
      <c r="N2261">
        <f>IFERROR(INDEX('Company Hitlist'!$AA:$AA,MATCH(D2261,'Company Hitlist'!$A:$A,0)),)</f>
        <v/>
      </c>
      <c r="O2261">
        <f>IFERROR(INDEX('Company Hitlist'!$N:$N,MATCH(D2261,'Company Hitlist'!$A:$A,0)),)</f>
        <v/>
      </c>
      <c r="Q2261" t="inlineStr">
        <is>
          <t>todo</t>
        </is>
      </c>
    </row>
    <row r="2262">
      <c r="A2262" t="inlineStr">
        <is>
          <t>Jonathan Evans</t>
        </is>
      </c>
      <c r="B2262" t="inlineStr">
        <is>
          <t>Attendee</t>
        </is>
      </c>
      <c r="C2262" t="inlineStr">
        <is>
          <t>VP</t>
        </is>
      </c>
      <c r="D2262" t="inlineStr">
        <is>
          <t>Logistics Plus Inc</t>
        </is>
      </c>
      <c r="F2262" t="inlineStr">
        <is>
          <t>Yes</t>
        </is>
      </c>
      <c r="H2262" t="n">
        <v>6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>
        <f>IFERROR(INDEX('Company Hitlist'!$AA:$AA,MATCH(D2262,'Company Hitlist'!$A:$A,0)),)</f>
        <v/>
      </c>
      <c r="O2262">
        <f>IFERROR(INDEX('Company Hitlist'!$N:$N,MATCH(D2262,'Company Hitlist'!$A:$A,0)),)</f>
        <v/>
      </c>
      <c r="Q2262" t="inlineStr">
        <is>
          <t>todo</t>
        </is>
      </c>
    </row>
    <row r="2263">
      <c r="A2263" t="inlineStr">
        <is>
          <t>Daniel Adams</t>
        </is>
      </c>
      <c r="B2263" t="inlineStr">
        <is>
          <t>Attendee</t>
        </is>
      </c>
      <c r="C2263" t="inlineStr">
        <is>
          <t>COO</t>
        </is>
      </c>
      <c r="D2263" t="inlineStr">
        <is>
          <t>Logistics Technology HQ Corporation (LTHQ)</t>
        </is>
      </c>
      <c r="E2263" t="inlineStr">
        <is>
          <t>United States</t>
        </is>
      </c>
      <c r="F2263" t="inlineStr">
        <is>
          <t>Yes</t>
        </is>
      </c>
      <c r="H2263" t="n">
        <v>6</v>
      </c>
      <c r="I2263" t="b">
        <v>0</v>
      </c>
      <c r="J2263" t="b">
        <v>1</v>
      </c>
      <c r="K2263" t="b">
        <v>0</v>
      </c>
      <c r="L2263" t="b">
        <v>0</v>
      </c>
      <c r="M2263" t="b">
        <v>0</v>
      </c>
      <c r="N2263">
        <f>IFERROR(INDEX('Company Hitlist'!$AA:$AA,MATCH(D2263,'Company Hitlist'!$A:$A,0)),)</f>
        <v/>
      </c>
      <c r="O2263">
        <f>IFERROR(INDEX('Company Hitlist'!$N:$N,MATCH(D2263,'Company Hitlist'!$A:$A,0)),)</f>
        <v/>
      </c>
      <c r="Q2263" t="inlineStr">
        <is>
          <t>todo</t>
        </is>
      </c>
    </row>
    <row r="2264">
      <c r="A2264" t="inlineStr">
        <is>
          <t>Timothy Kravitz</t>
        </is>
      </c>
      <c r="B2264" t="inlineStr">
        <is>
          <t>Attendee</t>
        </is>
      </c>
      <c r="C2264" t="inlineStr">
        <is>
          <t>CEO/CTO</t>
        </is>
      </c>
      <c r="D2264" t="inlineStr">
        <is>
          <t>Logistics Technology HQ Corporation (LTHQ)</t>
        </is>
      </c>
      <c r="E2264" t="inlineStr">
        <is>
          <t>United States</t>
        </is>
      </c>
      <c r="F2264" t="inlineStr">
        <is>
          <t>Yes</t>
        </is>
      </c>
      <c r="H2264" t="n">
        <v>6</v>
      </c>
      <c r="I2264" t="b">
        <v>0</v>
      </c>
      <c r="J2264" t="b">
        <v>1</v>
      </c>
      <c r="K2264" t="b">
        <v>0</v>
      </c>
      <c r="L2264" t="b">
        <v>0</v>
      </c>
      <c r="M2264" t="b">
        <v>0</v>
      </c>
      <c r="N2264">
        <f>IFERROR(INDEX('Company Hitlist'!$AA:$AA,MATCH(D2264,'Company Hitlist'!$A:$A,0)),)</f>
        <v/>
      </c>
      <c r="O2264">
        <f>IFERROR(INDEX('Company Hitlist'!$N:$N,MATCH(D2264,'Company Hitlist'!$A:$A,0)),)</f>
        <v/>
      </c>
      <c r="Q2264" t="inlineStr">
        <is>
          <t>todo</t>
        </is>
      </c>
    </row>
    <row r="2265">
      <c r="A2265" t="inlineStr">
        <is>
          <t>Bill Paul</t>
        </is>
      </c>
      <c r="B2265" t="inlineStr">
        <is>
          <t>Attendee</t>
        </is>
      </c>
      <c r="C2265" t="inlineStr">
        <is>
          <t>CEO</t>
        </is>
      </c>
      <c r="D2265" t="inlineStr">
        <is>
          <t>Logitalent</t>
        </is>
      </c>
      <c r="E2265" t="inlineStr">
        <is>
          <t>United States</t>
        </is>
      </c>
      <c r="H2265" t="n">
        <v>6</v>
      </c>
      <c r="I2265" t="b">
        <v>0</v>
      </c>
      <c r="J2265" t="b">
        <v>1</v>
      </c>
      <c r="K2265" t="b">
        <v>0</v>
      </c>
      <c r="L2265" t="b">
        <v>0</v>
      </c>
      <c r="M2265" t="b">
        <v>0</v>
      </c>
      <c r="N2265">
        <f>IFERROR(INDEX('Company Hitlist'!$AA:$AA,MATCH(D2265,'Company Hitlist'!$A:$A,0)),)</f>
        <v/>
      </c>
      <c r="O2265">
        <f>IFERROR(INDEX('Company Hitlist'!$N:$N,MATCH(D2265,'Company Hitlist'!$A:$A,0)),)</f>
        <v/>
      </c>
      <c r="Q2265" t="inlineStr">
        <is>
          <t>todo</t>
        </is>
      </c>
    </row>
    <row r="2266">
      <c r="A2266" t="inlineStr">
        <is>
          <t>Ryan Paul</t>
        </is>
      </c>
      <c r="B2266" t="inlineStr">
        <is>
          <t>Attendee</t>
        </is>
      </c>
      <c r="C2266" t="inlineStr">
        <is>
          <t>President</t>
        </is>
      </c>
      <c r="D2266" t="inlineStr">
        <is>
          <t>Logitalent</t>
        </is>
      </c>
      <c r="E2266" t="inlineStr">
        <is>
          <t>United States</t>
        </is>
      </c>
      <c r="H2266" t="n">
        <v>6</v>
      </c>
      <c r="I2266" t="b">
        <v>0</v>
      </c>
      <c r="J2266" t="b">
        <v>1</v>
      </c>
      <c r="K2266" t="b">
        <v>0</v>
      </c>
      <c r="L2266" t="b">
        <v>0</v>
      </c>
      <c r="M2266" t="b">
        <v>0</v>
      </c>
      <c r="N2266">
        <f>IFERROR(INDEX('Company Hitlist'!$AA:$AA,MATCH(D2266,'Company Hitlist'!$A:$A,0)),)</f>
        <v/>
      </c>
      <c r="O2266">
        <f>IFERROR(INDEX('Company Hitlist'!$N:$N,MATCH(D2266,'Company Hitlist'!$A:$A,0)),)</f>
        <v/>
      </c>
      <c r="Q2266" t="inlineStr">
        <is>
          <t>todo</t>
        </is>
      </c>
    </row>
    <row r="2267">
      <c r="A2267" t="inlineStr">
        <is>
          <t>Valerie Carlson</t>
        </is>
      </c>
      <c r="B2267" t="inlineStr">
        <is>
          <t>Attendee</t>
        </is>
      </c>
      <c r="C2267" t="inlineStr">
        <is>
          <t>Vice President of Talent Acquisition</t>
        </is>
      </c>
      <c r="D2267" t="inlineStr">
        <is>
          <t>Logitalent</t>
        </is>
      </c>
      <c r="E2267" t="inlineStr">
        <is>
          <t>United States</t>
        </is>
      </c>
      <c r="H2267" t="n">
        <v>6</v>
      </c>
      <c r="I2267" t="b">
        <v>0</v>
      </c>
      <c r="J2267" t="b">
        <v>1</v>
      </c>
      <c r="K2267" t="b">
        <v>0</v>
      </c>
      <c r="L2267" t="b">
        <v>0</v>
      </c>
      <c r="M2267" t="b">
        <v>0</v>
      </c>
      <c r="N2267">
        <f>IFERROR(INDEX('Company Hitlist'!$AA:$AA,MATCH(D2267,'Company Hitlist'!$A:$A,0)),)</f>
        <v/>
      </c>
      <c r="O2267">
        <f>IFERROR(INDEX('Company Hitlist'!$N:$N,MATCH(D2267,'Company Hitlist'!$A:$A,0)),)</f>
        <v/>
      </c>
      <c r="Q2267" t="inlineStr">
        <is>
          <t>todo</t>
        </is>
      </c>
    </row>
    <row r="2268">
      <c r="A2268" t="inlineStr">
        <is>
          <t>Althea Roberts Fenton</t>
        </is>
      </c>
      <c r="B2268" t="inlineStr">
        <is>
          <t>Attendee</t>
        </is>
      </c>
      <c r="C2268" t="inlineStr">
        <is>
          <t>CSO - VP Life Sciences &amp; Automation</t>
        </is>
      </c>
      <c r="D2268" t="inlineStr">
        <is>
          <t>Logitalent Life Sciences</t>
        </is>
      </c>
      <c r="E2268" t="inlineStr">
        <is>
          <t>United States</t>
        </is>
      </c>
      <c r="H2268" t="n">
        <v>6</v>
      </c>
      <c r="I2268" t="b">
        <v>0</v>
      </c>
      <c r="J2268" t="b">
        <v>1</v>
      </c>
      <c r="K2268" t="b">
        <v>0</v>
      </c>
      <c r="L2268" t="b">
        <v>0</v>
      </c>
      <c r="M2268" t="b">
        <v>0</v>
      </c>
      <c r="N2268">
        <f>IFERROR(INDEX('Company Hitlist'!$AA:$AA,MATCH(D2268,'Company Hitlist'!$A:$A,0)),)</f>
        <v/>
      </c>
      <c r="O2268">
        <f>IFERROR(INDEX('Company Hitlist'!$N:$N,MATCH(D2268,'Company Hitlist'!$A:$A,0)),)</f>
        <v/>
      </c>
      <c r="Q2268" t="inlineStr">
        <is>
          <t>todo</t>
        </is>
      </c>
    </row>
    <row r="2269">
      <c r="A2269" t="inlineStr">
        <is>
          <t>Ford Easley</t>
        </is>
      </c>
      <c r="B2269" t="inlineStr">
        <is>
          <t>Attendee</t>
        </is>
      </c>
      <c r="C2269" t="inlineStr">
        <is>
          <t>Vice President</t>
        </is>
      </c>
      <c r="D2269" t="inlineStr">
        <is>
          <t>Lone View Capital</t>
        </is>
      </c>
      <c r="E2269" t="inlineStr">
        <is>
          <t>United States</t>
        </is>
      </c>
      <c r="H2269" t="n">
        <v>6</v>
      </c>
      <c r="I2269" t="b">
        <v>0</v>
      </c>
      <c r="J2269" t="b">
        <v>1</v>
      </c>
      <c r="K2269" t="b">
        <v>0</v>
      </c>
      <c r="L2269" t="b">
        <v>0</v>
      </c>
      <c r="M2269" t="b">
        <v>0</v>
      </c>
      <c r="N2269">
        <f>IFERROR(INDEX('Company Hitlist'!$AA:$AA,MATCH(D2269,'Company Hitlist'!$A:$A,0)),)</f>
        <v/>
      </c>
      <c r="O2269">
        <f>IFERROR(INDEX('Company Hitlist'!$N:$N,MATCH(D2269,'Company Hitlist'!$A:$A,0)),)</f>
        <v/>
      </c>
      <c r="Q2269" t="inlineStr">
        <is>
          <t>todo</t>
        </is>
      </c>
    </row>
    <row r="2270">
      <c r="A2270" t="inlineStr">
        <is>
          <t>Tony D'Angelo</t>
        </is>
      </c>
      <c r="B2270" t="inlineStr">
        <is>
          <t>Attendee</t>
        </is>
      </c>
      <c r="C2270" t="inlineStr">
        <is>
          <t>CSO</t>
        </is>
      </c>
      <c r="D2270" t="inlineStr">
        <is>
          <t>Loren Data Corp</t>
        </is>
      </c>
      <c r="E2270" t="inlineStr">
        <is>
          <t>United States</t>
        </is>
      </c>
      <c r="F2270" t="inlineStr">
        <is>
          <t>Yes</t>
        </is>
      </c>
      <c r="H2270" t="n">
        <v>6</v>
      </c>
      <c r="I2270" t="b">
        <v>0</v>
      </c>
      <c r="J2270" t="b">
        <v>1</v>
      </c>
      <c r="K2270" t="b">
        <v>0</v>
      </c>
      <c r="L2270" t="b">
        <v>0</v>
      </c>
      <c r="M2270" t="b">
        <v>0</v>
      </c>
      <c r="N2270">
        <f>IFERROR(INDEX('Company Hitlist'!$AA:$AA,MATCH(D2270,'Company Hitlist'!$A:$A,0)),)</f>
        <v/>
      </c>
      <c r="O2270">
        <f>IFERROR(INDEX('Company Hitlist'!$N:$N,MATCH(D2270,'Company Hitlist'!$A:$A,0)),)</f>
        <v/>
      </c>
      <c r="Q2270" t="inlineStr">
        <is>
          <t>todo</t>
        </is>
      </c>
    </row>
    <row r="2271">
      <c r="A2271" t="inlineStr">
        <is>
          <t>Michael Myers</t>
        </is>
      </c>
      <c r="B2271" t="inlineStr">
        <is>
          <t>Attendee</t>
        </is>
      </c>
      <c r="C2271" t="inlineStr">
        <is>
          <t>CEO &amp; Founder</t>
        </is>
      </c>
      <c r="D2271" t="inlineStr">
        <is>
          <t>Lully.ai</t>
        </is>
      </c>
      <c r="E2271" t="inlineStr">
        <is>
          <t>United States</t>
        </is>
      </c>
      <c r="F2271" t="inlineStr">
        <is>
          <t>Yes</t>
        </is>
      </c>
      <c r="H2271" t="n">
        <v>6</v>
      </c>
      <c r="I2271" t="b">
        <v>0</v>
      </c>
      <c r="J2271" t="b">
        <v>1</v>
      </c>
      <c r="K2271" t="b">
        <v>0</v>
      </c>
      <c r="L2271" t="b">
        <v>0</v>
      </c>
      <c r="M2271" t="b">
        <v>0</v>
      </c>
      <c r="N2271">
        <f>IFERROR(INDEX('Company Hitlist'!$AA:$AA,MATCH(D2271,'Company Hitlist'!$A:$A,0)),)</f>
        <v/>
      </c>
      <c r="O2271">
        <f>IFERROR(INDEX('Company Hitlist'!$N:$N,MATCH(D2271,'Company Hitlist'!$A:$A,0)),)</f>
        <v/>
      </c>
      <c r="Q2271" t="inlineStr">
        <is>
          <t>todo</t>
        </is>
      </c>
    </row>
    <row r="2272">
      <c r="A2272" t="inlineStr">
        <is>
          <t>Scott Thomson</t>
        </is>
      </c>
      <c r="B2272" t="inlineStr">
        <is>
          <t>Attendee</t>
        </is>
      </c>
      <c r="C2272" t="inlineStr">
        <is>
          <t>Vice President, Information Technology</t>
        </is>
      </c>
      <c r="D2272" t="inlineStr">
        <is>
          <t>Lynden</t>
        </is>
      </c>
      <c r="F2272" t="inlineStr">
        <is>
          <t>Yes</t>
        </is>
      </c>
      <c r="H2272" t="n">
        <v>6</v>
      </c>
      <c r="I2272" t="b">
        <v>0</v>
      </c>
      <c r="J2272" t="b">
        <v>1</v>
      </c>
      <c r="K2272" t="b">
        <v>0</v>
      </c>
      <c r="L2272" t="b">
        <v>0</v>
      </c>
      <c r="M2272" t="b">
        <v>0</v>
      </c>
      <c r="N2272">
        <f>IFERROR(INDEX('Company Hitlist'!$AA:$AA,MATCH(D2272,'Company Hitlist'!$A:$A,0)),)</f>
        <v/>
      </c>
      <c r="O2272">
        <f>IFERROR(INDEX('Company Hitlist'!$N:$N,MATCH(D2272,'Company Hitlist'!$A:$A,0)),)</f>
        <v/>
      </c>
      <c r="Q2272" t="inlineStr">
        <is>
          <t>todo</t>
        </is>
      </c>
    </row>
    <row r="2273">
      <c r="A2273" t="inlineStr">
        <is>
          <t>Allen Thomas</t>
        </is>
      </c>
      <c r="B2273" t="inlineStr">
        <is>
          <t>Attendee</t>
        </is>
      </c>
      <c r="C2273" t="inlineStr">
        <is>
          <t>Chief Commercial Officer</t>
        </is>
      </c>
      <c r="D2273" t="inlineStr">
        <is>
          <t>Lynxis</t>
        </is>
      </c>
      <c r="E2273" t="inlineStr">
        <is>
          <t>United States</t>
        </is>
      </c>
      <c r="F2273" t="inlineStr">
        <is>
          <t>Yes</t>
        </is>
      </c>
      <c r="H2273" t="n">
        <v>6</v>
      </c>
      <c r="I2273" t="b">
        <v>0</v>
      </c>
      <c r="J2273" t="b">
        <v>1</v>
      </c>
      <c r="K2273" t="b">
        <v>0</v>
      </c>
      <c r="L2273" t="b">
        <v>0</v>
      </c>
      <c r="M2273" t="b">
        <v>0</v>
      </c>
      <c r="N2273">
        <f>IFERROR(INDEX('Company Hitlist'!$AA:$AA,MATCH(D2273,'Company Hitlist'!$A:$A,0)),)</f>
        <v/>
      </c>
      <c r="O2273">
        <f>IFERROR(INDEX('Company Hitlist'!$N:$N,MATCH(D2273,'Company Hitlist'!$A:$A,0)),)</f>
        <v/>
      </c>
      <c r="Q2273" t="inlineStr">
        <is>
          <t>todo</t>
        </is>
      </c>
    </row>
    <row r="2274">
      <c r="A2274" t="inlineStr">
        <is>
          <t>Larry Cuddy</t>
        </is>
      </c>
      <c r="B2274" t="inlineStr">
        <is>
          <t>Attendee</t>
        </is>
      </c>
      <c r="C2274" t="inlineStr">
        <is>
          <t>CEO</t>
        </is>
      </c>
      <c r="D2274" t="inlineStr">
        <is>
          <t>Lynxis</t>
        </is>
      </c>
      <c r="E2274" t="inlineStr">
        <is>
          <t>United States</t>
        </is>
      </c>
      <c r="F2274" t="inlineStr">
        <is>
          <t>Yes</t>
        </is>
      </c>
      <c r="H2274" t="n">
        <v>6</v>
      </c>
      <c r="I2274" t="b">
        <v>0</v>
      </c>
      <c r="J2274" t="b">
        <v>1</v>
      </c>
      <c r="K2274" t="b">
        <v>0</v>
      </c>
      <c r="L2274" t="b">
        <v>0</v>
      </c>
      <c r="M2274" t="b">
        <v>0</v>
      </c>
      <c r="N2274">
        <f>IFERROR(INDEX('Company Hitlist'!$AA:$AA,MATCH(D2274,'Company Hitlist'!$A:$A,0)),)</f>
        <v/>
      </c>
      <c r="O2274">
        <f>IFERROR(INDEX('Company Hitlist'!$N:$N,MATCH(D2274,'Company Hitlist'!$A:$A,0)),)</f>
        <v/>
      </c>
      <c r="Q2274" t="inlineStr">
        <is>
          <t>todo</t>
        </is>
      </c>
    </row>
    <row r="2275">
      <c r="A2275" t="inlineStr">
        <is>
          <t>Mark Traynor</t>
        </is>
      </c>
      <c r="B2275" t="inlineStr">
        <is>
          <t>Attendee</t>
        </is>
      </c>
      <c r="C2275" t="inlineStr">
        <is>
          <t>CTO</t>
        </is>
      </c>
      <c r="D2275" t="inlineStr">
        <is>
          <t>Lynxis</t>
        </is>
      </c>
      <c r="E2275" t="inlineStr">
        <is>
          <t>United States</t>
        </is>
      </c>
      <c r="F2275" t="inlineStr">
        <is>
          <t>Yes</t>
        </is>
      </c>
      <c r="H2275" t="n">
        <v>6</v>
      </c>
      <c r="I2275" t="b">
        <v>0</v>
      </c>
      <c r="J2275" t="b">
        <v>1</v>
      </c>
      <c r="K2275" t="b">
        <v>0</v>
      </c>
      <c r="L2275" t="b">
        <v>0</v>
      </c>
      <c r="M2275" t="b">
        <v>0</v>
      </c>
      <c r="N2275">
        <f>IFERROR(INDEX('Company Hitlist'!$AA:$AA,MATCH(D2275,'Company Hitlist'!$A:$A,0)),)</f>
        <v/>
      </c>
      <c r="O2275">
        <f>IFERROR(INDEX('Company Hitlist'!$N:$N,MATCH(D2275,'Company Hitlist'!$A:$A,0)),)</f>
        <v/>
      </c>
      <c r="Q2275" t="inlineStr">
        <is>
          <t>todo</t>
        </is>
      </c>
    </row>
    <row r="2276">
      <c r="A2276" t="inlineStr">
        <is>
          <t>Nils Johan Ekman</t>
        </is>
      </c>
      <c r="B2276" t="inlineStr">
        <is>
          <t>Attendee</t>
        </is>
      </c>
      <c r="C2276" t="inlineStr">
        <is>
          <t>General Manager</t>
        </is>
      </c>
      <c r="D2276" t="inlineStr">
        <is>
          <t>MCE Distributors</t>
        </is>
      </c>
      <c r="E2276" t="inlineStr">
        <is>
          <t>United States</t>
        </is>
      </c>
      <c r="H2276" t="n">
        <v>6</v>
      </c>
      <c r="I2276" t="b">
        <v>0</v>
      </c>
      <c r="J2276" t="b">
        <v>1</v>
      </c>
      <c r="K2276" t="b">
        <v>0</v>
      </c>
      <c r="L2276" t="b">
        <v>0</v>
      </c>
      <c r="M2276" t="b">
        <v>0</v>
      </c>
      <c r="N2276">
        <f>IFERROR(INDEX('Company Hitlist'!$AA:$AA,MATCH(D2276,'Company Hitlist'!$A:$A,0)),)</f>
        <v/>
      </c>
      <c r="O2276">
        <f>IFERROR(INDEX('Company Hitlist'!$N:$N,MATCH(D2276,'Company Hitlist'!$A:$A,0)),)</f>
        <v/>
      </c>
      <c r="Q2276" t="inlineStr">
        <is>
          <t>todo</t>
        </is>
      </c>
    </row>
    <row r="2277">
      <c r="A2277" t="inlineStr">
        <is>
          <t>John Paxton</t>
        </is>
      </c>
      <c r="B2277" t="inlineStr">
        <is>
          <t>Attendee</t>
        </is>
      </c>
      <c r="C2277" t="inlineStr">
        <is>
          <t>CEO</t>
        </is>
      </c>
      <c r="D2277" t="inlineStr">
        <is>
          <t>MHI</t>
        </is>
      </c>
      <c r="E2277" t="inlineStr">
        <is>
          <t>United States</t>
        </is>
      </c>
      <c r="H2277" t="n">
        <v>6</v>
      </c>
      <c r="I2277" t="b">
        <v>0</v>
      </c>
      <c r="J2277" t="b">
        <v>1</v>
      </c>
      <c r="K2277" t="b">
        <v>0</v>
      </c>
      <c r="L2277" t="b">
        <v>0</v>
      </c>
      <c r="M2277" t="b">
        <v>0</v>
      </c>
      <c r="N2277">
        <f>IFERROR(INDEX('Company Hitlist'!$AA:$AA,MATCH(D2277,'Company Hitlist'!$A:$A,0)),)</f>
        <v/>
      </c>
      <c r="O2277">
        <f>IFERROR(INDEX('Company Hitlist'!$N:$N,MATCH(D2277,'Company Hitlist'!$A:$A,0)),)</f>
        <v/>
      </c>
      <c r="Q2277" t="inlineStr">
        <is>
          <t>todo</t>
        </is>
      </c>
    </row>
    <row r="2278">
      <c r="A2278" t="inlineStr">
        <is>
          <t>Artur Alves</t>
        </is>
      </c>
      <c r="B2278" t="inlineStr">
        <is>
          <t>Attendee</t>
        </is>
      </c>
      <c r="C2278" t="inlineStr">
        <is>
          <t>CEO / Co-founder</t>
        </is>
      </c>
      <c r="D2278" t="inlineStr">
        <is>
          <t>MIXMOVE</t>
        </is>
      </c>
      <c r="E2278" t="inlineStr">
        <is>
          <t>Portugal</t>
        </is>
      </c>
      <c r="F2278" t="inlineStr">
        <is>
          <t>Yes</t>
        </is>
      </c>
      <c r="H2278" t="n">
        <v>6</v>
      </c>
      <c r="I2278" t="b">
        <v>0</v>
      </c>
      <c r="J2278" t="b">
        <v>1</v>
      </c>
      <c r="K2278" t="b">
        <v>0</v>
      </c>
      <c r="L2278" t="b">
        <v>0</v>
      </c>
      <c r="M2278" t="b">
        <v>0</v>
      </c>
      <c r="N2278">
        <f>IFERROR(INDEX('Company Hitlist'!$AA:$AA,MATCH(D2278,'Company Hitlist'!$A:$A,0)),)</f>
        <v/>
      </c>
      <c r="O2278">
        <f>IFERROR(INDEX('Company Hitlist'!$N:$N,MATCH(D2278,'Company Hitlist'!$A:$A,0)),)</f>
        <v/>
      </c>
      <c r="Q2278" t="inlineStr">
        <is>
          <t>todo</t>
        </is>
      </c>
    </row>
    <row r="2279">
      <c r="A2279" t="inlineStr">
        <is>
          <t>Clay Million</t>
        </is>
      </c>
      <c r="B2279" t="inlineStr">
        <is>
          <t>Attendee</t>
        </is>
      </c>
      <c r="C2279" t="inlineStr">
        <is>
          <t>GM - Charleston</t>
        </is>
      </c>
      <c r="D2279" t="inlineStr">
        <is>
          <t>MLM Transport</t>
        </is>
      </c>
      <c r="F2279" t="inlineStr">
        <is>
          <t>Yes</t>
        </is>
      </c>
      <c r="H2279" t="n">
        <v>6</v>
      </c>
      <c r="I2279" t="b">
        <v>0</v>
      </c>
      <c r="J2279" t="b">
        <v>1</v>
      </c>
      <c r="K2279" t="b">
        <v>0</v>
      </c>
      <c r="L2279" t="b">
        <v>0</v>
      </c>
      <c r="M2279" t="b">
        <v>0</v>
      </c>
      <c r="N2279">
        <f>IFERROR(INDEX('Company Hitlist'!$AA:$AA,MATCH(D2279,'Company Hitlist'!$A:$A,0)),)</f>
        <v/>
      </c>
      <c r="O2279">
        <f>IFERROR(INDEX('Company Hitlist'!$N:$N,MATCH(D2279,'Company Hitlist'!$A:$A,0)),)</f>
        <v/>
      </c>
      <c r="Q2279" t="inlineStr">
        <is>
          <t>todo</t>
        </is>
      </c>
    </row>
    <row r="2280">
      <c r="A2280" t="inlineStr">
        <is>
          <t>Kamyar Asadibeiky</t>
        </is>
      </c>
      <c r="B2280" t="inlineStr">
        <is>
          <t>Attendee</t>
        </is>
      </c>
      <c r="C2280" t="inlineStr">
        <is>
          <t>President &amp; CEO</t>
        </is>
      </c>
      <c r="D2280" t="inlineStr">
        <is>
          <t>Machool Technologies Ltd.</t>
        </is>
      </c>
      <c r="E2280" t="inlineStr">
        <is>
          <t>Canada</t>
        </is>
      </c>
      <c r="F2280" t="inlineStr">
        <is>
          <t>Yes</t>
        </is>
      </c>
      <c r="H2280" t="n">
        <v>6</v>
      </c>
      <c r="I2280" t="b">
        <v>0</v>
      </c>
      <c r="J2280" t="b">
        <v>1</v>
      </c>
      <c r="K2280" t="b">
        <v>0</v>
      </c>
      <c r="L2280" t="b">
        <v>0</v>
      </c>
      <c r="M2280" t="b">
        <v>0</v>
      </c>
      <c r="N2280">
        <f>IFERROR(INDEX('Company Hitlist'!$AA:$AA,MATCH(D2280,'Company Hitlist'!$A:$A,0)),)</f>
        <v/>
      </c>
      <c r="O2280">
        <f>IFERROR(INDEX('Company Hitlist'!$N:$N,MATCH(D2280,'Company Hitlist'!$A:$A,0)),)</f>
        <v/>
      </c>
      <c r="Q2280" t="inlineStr">
        <is>
          <t>todo</t>
        </is>
      </c>
    </row>
    <row r="2281">
      <c r="A2281" t="inlineStr">
        <is>
          <t>Adam Cunha</t>
        </is>
      </c>
      <c r="B2281" t="inlineStr">
        <is>
          <t>Attendee</t>
        </is>
      </c>
      <c r="C2281" t="inlineStr">
        <is>
          <t>NAM Head of Strategic Clients - FMCG/Chem</t>
        </is>
      </c>
      <c r="D2281" t="inlineStr">
        <is>
          <t>Maersk</t>
        </is>
      </c>
      <c r="E2281" t="inlineStr">
        <is>
          <t>United States</t>
        </is>
      </c>
      <c r="F2281" t="inlineStr">
        <is>
          <t>Yes</t>
        </is>
      </c>
      <c r="G2281" t="inlineStr">
        <is>
          <t>$61B (2024; projected $65B in 2025)</t>
        </is>
      </c>
      <c r="H2281" t="n">
        <v>6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  <c r="N2281">
        <f>IFERROR(INDEX('Company Hitlist'!$AA:$AA,MATCH(D2281,'Company Hitlist'!$A:$A,0)),)</f>
        <v/>
      </c>
      <c r="O2281">
        <f>IFERROR(INDEX('Company Hitlist'!$N:$N,MATCH(D2281,'Company Hitlist'!$A:$A,0)),)</f>
        <v/>
      </c>
      <c r="Q2281" t="inlineStr">
        <is>
          <t>todo</t>
        </is>
      </c>
    </row>
    <row r="2282">
      <c r="A2282" t="inlineStr">
        <is>
          <t>Puneet Vaid</t>
        </is>
      </c>
      <c r="B2282" t="inlineStr">
        <is>
          <t>Attendee</t>
        </is>
      </c>
      <c r="C2282" t="inlineStr">
        <is>
          <t>Head of Pricing &amp; Carrier Strategy - eCommerce</t>
        </is>
      </c>
      <c r="D2282" t="inlineStr">
        <is>
          <t>Maersk</t>
        </is>
      </c>
      <c r="E2282" t="inlineStr">
        <is>
          <t>United States</t>
        </is>
      </c>
      <c r="F2282" t="inlineStr">
        <is>
          <t>Yes</t>
        </is>
      </c>
      <c r="G2282" t="inlineStr">
        <is>
          <t>$61B (2024; projected $65B in 2025)</t>
        </is>
      </c>
      <c r="H2282" t="n">
        <v>6</v>
      </c>
      <c r="I2282" t="b">
        <v>0</v>
      </c>
      <c r="J2282" t="b">
        <v>1</v>
      </c>
      <c r="K2282" t="b">
        <v>0</v>
      </c>
      <c r="L2282" t="b">
        <v>0</v>
      </c>
      <c r="M2282" t="b">
        <v>0</v>
      </c>
      <c r="N2282">
        <f>IFERROR(INDEX('Company Hitlist'!$AA:$AA,MATCH(D2282,'Company Hitlist'!$A:$A,0)),)</f>
        <v/>
      </c>
      <c r="O2282">
        <f>IFERROR(INDEX('Company Hitlist'!$N:$N,MATCH(D2282,'Company Hitlist'!$A:$A,0)),)</f>
        <v/>
      </c>
      <c r="Q2282" t="inlineStr">
        <is>
          <t>todo</t>
        </is>
      </c>
    </row>
    <row r="2283">
      <c r="A2283" t="inlineStr">
        <is>
          <t>Eric Ingram</t>
        </is>
      </c>
      <c r="B2283" t="inlineStr">
        <is>
          <t>Attendee</t>
        </is>
      </c>
      <c r="C2283" t="inlineStr">
        <is>
          <t>CFO</t>
        </is>
      </c>
      <c r="D2283" t="inlineStr">
        <is>
          <t>Magaya</t>
        </is>
      </c>
      <c r="E2283" t="inlineStr">
        <is>
          <t>United States</t>
        </is>
      </c>
      <c r="F2283" t="inlineStr">
        <is>
          <t>Yes</t>
        </is>
      </c>
      <c r="H2283" t="n">
        <v>6</v>
      </c>
      <c r="I2283" t="b">
        <v>0</v>
      </c>
      <c r="J2283" t="b">
        <v>1</v>
      </c>
      <c r="K2283" t="b">
        <v>0</v>
      </c>
      <c r="L2283" t="b">
        <v>0</v>
      </c>
      <c r="M2283" t="b">
        <v>0</v>
      </c>
      <c r="N2283">
        <f>IFERROR(INDEX('Company Hitlist'!$AA:$AA,MATCH(D2283,'Company Hitlist'!$A:$A,0)),)</f>
        <v/>
      </c>
      <c r="O2283">
        <f>IFERROR(INDEX('Company Hitlist'!$N:$N,MATCH(D2283,'Company Hitlist'!$A:$A,0)),)</f>
        <v/>
      </c>
      <c r="Q2283" t="inlineStr">
        <is>
          <t>todo</t>
        </is>
      </c>
    </row>
    <row r="2284">
      <c r="A2284" t="inlineStr">
        <is>
          <t>Sarah Dean</t>
        </is>
      </c>
      <c r="B2284" t="inlineStr">
        <is>
          <t>Attendee</t>
        </is>
      </c>
      <c r="C2284" t="inlineStr">
        <is>
          <t>VP</t>
        </is>
      </c>
      <c r="D2284" t="inlineStr">
        <is>
          <t>Maiden Drayage</t>
        </is>
      </c>
      <c r="F2284" t="inlineStr">
        <is>
          <t>Yes</t>
        </is>
      </c>
      <c r="H2284" t="n">
        <v>6</v>
      </c>
      <c r="I2284" t="b">
        <v>0</v>
      </c>
      <c r="J2284" t="b">
        <v>1</v>
      </c>
      <c r="K2284" t="b">
        <v>0</v>
      </c>
      <c r="L2284" t="b">
        <v>0</v>
      </c>
      <c r="M2284" t="b">
        <v>0</v>
      </c>
      <c r="N2284">
        <f>IFERROR(INDEX('Company Hitlist'!$AA:$AA,MATCH(D2284,'Company Hitlist'!$A:$A,0)),)</f>
        <v/>
      </c>
      <c r="O2284">
        <f>IFERROR(INDEX('Company Hitlist'!$N:$N,MATCH(D2284,'Company Hitlist'!$A:$A,0)),)</f>
        <v/>
      </c>
      <c r="Q2284" t="inlineStr">
        <is>
          <t>todo</t>
        </is>
      </c>
    </row>
    <row r="2285">
      <c r="A2285" t="inlineStr">
        <is>
          <t>Domenic Prinzivalli</t>
        </is>
      </c>
      <c r="B2285" t="inlineStr">
        <is>
          <t>Attendee</t>
        </is>
      </c>
      <c r="C2285" t="inlineStr">
        <is>
          <t>President</t>
        </is>
      </c>
      <c r="D2285" t="inlineStr">
        <is>
          <t>Mammoth</t>
        </is>
      </c>
      <c r="F2285" t="inlineStr">
        <is>
          <t>Yes</t>
        </is>
      </c>
      <c r="H2285" t="n">
        <v>6</v>
      </c>
      <c r="I2285" t="b">
        <v>0</v>
      </c>
      <c r="J2285" t="b">
        <v>1</v>
      </c>
      <c r="K2285" t="b">
        <v>0</v>
      </c>
      <c r="L2285" t="b">
        <v>0</v>
      </c>
      <c r="M2285" t="b">
        <v>0</v>
      </c>
      <c r="N2285">
        <f>IFERROR(INDEX('Company Hitlist'!$AA:$AA,MATCH(D2285,'Company Hitlist'!$A:$A,0)),)</f>
        <v/>
      </c>
      <c r="O2285">
        <f>IFERROR(INDEX('Company Hitlist'!$N:$N,MATCH(D2285,'Company Hitlist'!$A:$A,0)),)</f>
        <v/>
      </c>
      <c r="Q2285" t="inlineStr">
        <is>
          <t>todo</t>
        </is>
      </c>
    </row>
    <row r="2286">
      <c r="A2286" t="inlineStr">
        <is>
          <t>Cole Wenzel</t>
        </is>
      </c>
      <c r="B2286" t="inlineStr">
        <is>
          <t>Attendee</t>
        </is>
      </c>
      <c r="C2286" t="inlineStr">
        <is>
          <t>SVP Customer</t>
        </is>
      </c>
      <c r="D2286" t="inlineStr">
        <is>
          <t>Manifest.eco</t>
        </is>
      </c>
      <c r="E2286" t="inlineStr">
        <is>
          <t>United States</t>
        </is>
      </c>
      <c r="F2286" t="inlineStr">
        <is>
          <t>Yes</t>
        </is>
      </c>
      <c r="H2286" t="n">
        <v>6</v>
      </c>
      <c r="I2286" t="b">
        <v>0</v>
      </c>
      <c r="J2286" t="b">
        <v>1</v>
      </c>
      <c r="K2286" t="b">
        <v>0</v>
      </c>
      <c r="L2286" t="b">
        <v>0</v>
      </c>
      <c r="M2286" t="b">
        <v>0</v>
      </c>
      <c r="N2286">
        <f>IFERROR(INDEX('Company Hitlist'!$AA:$AA,MATCH(D2286,'Company Hitlist'!$A:$A,0)),)</f>
        <v/>
      </c>
      <c r="O2286">
        <f>IFERROR(INDEX('Company Hitlist'!$N:$N,MATCH(D2286,'Company Hitlist'!$A:$A,0)),)</f>
        <v/>
      </c>
      <c r="Q2286" t="inlineStr">
        <is>
          <t>todo</t>
        </is>
      </c>
    </row>
    <row r="2287">
      <c r="A2287" t="inlineStr">
        <is>
          <t>George Wojciechowski</t>
        </is>
      </c>
      <c r="B2287" t="inlineStr">
        <is>
          <t>Attendee</t>
        </is>
      </c>
      <c r="C2287" t="inlineStr">
        <is>
          <t>CEO</t>
        </is>
      </c>
      <c r="D2287" t="inlineStr">
        <is>
          <t>Manifest.eco</t>
        </is>
      </c>
      <c r="E2287" t="inlineStr">
        <is>
          <t>United States</t>
        </is>
      </c>
      <c r="F2287" t="inlineStr">
        <is>
          <t>Yes</t>
        </is>
      </c>
      <c r="H2287" t="n">
        <v>6</v>
      </c>
      <c r="I2287" t="b">
        <v>0</v>
      </c>
      <c r="J2287" t="b">
        <v>1</v>
      </c>
      <c r="K2287" t="b">
        <v>0</v>
      </c>
      <c r="L2287" t="b">
        <v>0</v>
      </c>
      <c r="M2287" t="b">
        <v>0</v>
      </c>
      <c r="N2287">
        <f>IFERROR(INDEX('Company Hitlist'!$AA:$AA,MATCH(D2287,'Company Hitlist'!$A:$A,0)),)</f>
        <v/>
      </c>
      <c r="O2287">
        <f>IFERROR(INDEX('Company Hitlist'!$N:$N,MATCH(D2287,'Company Hitlist'!$A:$A,0)),)</f>
        <v/>
      </c>
      <c r="Q2287" t="inlineStr">
        <is>
          <t>todo</t>
        </is>
      </c>
    </row>
    <row r="2288">
      <c r="A2288" t="inlineStr">
        <is>
          <t>Robert Sixsmith</t>
        </is>
      </c>
      <c r="B2288" t="inlineStr">
        <is>
          <t>Attendee</t>
        </is>
      </c>
      <c r="C2288" t="inlineStr">
        <is>
          <t>COO</t>
        </is>
      </c>
      <c r="D2288" t="inlineStr">
        <is>
          <t>Manifest.eco</t>
        </is>
      </c>
      <c r="E2288" t="inlineStr">
        <is>
          <t>United States</t>
        </is>
      </c>
      <c r="F2288" t="inlineStr">
        <is>
          <t>Yes</t>
        </is>
      </c>
      <c r="H2288" t="n">
        <v>6</v>
      </c>
      <c r="I2288" t="b">
        <v>0</v>
      </c>
      <c r="J2288" t="b">
        <v>1</v>
      </c>
      <c r="K2288" t="b">
        <v>0</v>
      </c>
      <c r="L2288" t="b">
        <v>0</v>
      </c>
      <c r="M2288" t="b">
        <v>0</v>
      </c>
      <c r="N2288">
        <f>IFERROR(INDEX('Company Hitlist'!$AA:$AA,MATCH(D2288,'Company Hitlist'!$A:$A,0)),)</f>
        <v/>
      </c>
      <c r="O2288">
        <f>IFERROR(INDEX('Company Hitlist'!$N:$N,MATCH(D2288,'Company Hitlist'!$A:$A,0)),)</f>
        <v/>
      </c>
      <c r="Q2288" t="inlineStr">
        <is>
          <t>todo</t>
        </is>
      </c>
    </row>
    <row r="2289">
      <c r="A2289" t="inlineStr">
        <is>
          <t>Oliver Jones</t>
        </is>
      </c>
      <c r="B2289" t="inlineStr">
        <is>
          <t>Attendee</t>
        </is>
      </c>
      <c r="C2289" t="inlineStr">
        <is>
          <t>CEO</t>
        </is>
      </c>
      <c r="D2289" t="inlineStr">
        <is>
          <t>Manifold</t>
        </is>
      </c>
      <c r="E2289" t="inlineStr">
        <is>
          <t>United States</t>
        </is>
      </c>
      <c r="F2289" t="inlineStr">
        <is>
          <t>Yes</t>
        </is>
      </c>
      <c r="H2289" t="n">
        <v>6</v>
      </c>
      <c r="I2289" t="b">
        <v>0</v>
      </c>
      <c r="J2289" t="b">
        <v>1</v>
      </c>
      <c r="K2289" t="b">
        <v>0</v>
      </c>
      <c r="L2289" t="b">
        <v>0</v>
      </c>
      <c r="M2289" t="b">
        <v>0</v>
      </c>
      <c r="N2289">
        <f>IFERROR(INDEX('Company Hitlist'!$AA:$AA,MATCH(D2289,'Company Hitlist'!$A:$A,0)),)</f>
        <v/>
      </c>
      <c r="O2289">
        <f>IFERROR(INDEX('Company Hitlist'!$N:$N,MATCH(D2289,'Company Hitlist'!$A:$A,0)),)</f>
        <v/>
      </c>
      <c r="Q2289" t="inlineStr">
        <is>
          <t>todo</t>
        </is>
      </c>
    </row>
    <row r="2290">
      <c r="A2290" t="inlineStr">
        <is>
          <t>Maxwell Fenger</t>
        </is>
      </c>
      <c r="B2290" t="inlineStr">
        <is>
          <t>Attendee</t>
        </is>
      </c>
      <c r="C2290" t="inlineStr">
        <is>
          <t>President</t>
        </is>
      </c>
      <c r="D2290" t="inlineStr">
        <is>
          <t>Map Transit</t>
        </is>
      </c>
      <c r="F2290" t="inlineStr">
        <is>
          <t>Yes</t>
        </is>
      </c>
      <c r="H2290" t="n">
        <v>6</v>
      </c>
      <c r="I2290" t="b">
        <v>0</v>
      </c>
      <c r="J2290" t="b">
        <v>1</v>
      </c>
      <c r="K2290" t="b">
        <v>0</v>
      </c>
      <c r="L2290" t="b">
        <v>0</v>
      </c>
      <c r="M2290" t="b">
        <v>0</v>
      </c>
      <c r="N2290">
        <f>IFERROR(INDEX('Company Hitlist'!$AA:$AA,MATCH(D2290,'Company Hitlist'!$A:$A,0)),)</f>
        <v/>
      </c>
      <c r="O2290">
        <f>IFERROR(INDEX('Company Hitlist'!$N:$N,MATCH(D2290,'Company Hitlist'!$A:$A,0)),)</f>
        <v/>
      </c>
      <c r="Q2290" t="inlineStr">
        <is>
          <t>todo</t>
        </is>
      </c>
    </row>
    <row r="2291">
      <c r="A2291" t="inlineStr">
        <is>
          <t>Doug Berger</t>
        </is>
      </c>
      <c r="B2291" t="inlineStr">
        <is>
          <t>Attendee</t>
        </is>
      </c>
      <c r="C2291" t="inlineStr">
        <is>
          <t>GM</t>
        </is>
      </c>
      <c r="D2291" t="inlineStr">
        <is>
          <t>MapQuest</t>
        </is>
      </c>
      <c r="E2291" t="inlineStr">
        <is>
          <t>United States</t>
        </is>
      </c>
      <c r="H2291" t="n">
        <v>6</v>
      </c>
      <c r="I2291" t="b">
        <v>0</v>
      </c>
      <c r="J2291" t="b">
        <v>1</v>
      </c>
      <c r="K2291" t="b">
        <v>0</v>
      </c>
      <c r="L2291" t="b">
        <v>0</v>
      </c>
      <c r="M2291" t="b">
        <v>0</v>
      </c>
      <c r="N2291">
        <f>IFERROR(INDEX('Company Hitlist'!$AA:$AA,MATCH(D2291,'Company Hitlist'!$A:$A,0)),)</f>
        <v/>
      </c>
      <c r="O2291">
        <f>IFERROR(INDEX('Company Hitlist'!$N:$N,MATCH(D2291,'Company Hitlist'!$A:$A,0)),)</f>
        <v/>
      </c>
      <c r="Q2291" t="inlineStr">
        <is>
          <t>todo</t>
        </is>
      </c>
    </row>
    <row r="2292">
      <c r="A2292" t="inlineStr">
        <is>
          <t>Walter Baum</t>
        </is>
      </c>
      <c r="B2292" t="inlineStr">
        <is>
          <t>Attendee</t>
        </is>
      </c>
      <c r="C2292" t="inlineStr">
        <is>
          <t>VP</t>
        </is>
      </c>
      <c r="D2292" t="inlineStr">
        <is>
          <t>MapQuest</t>
        </is>
      </c>
      <c r="E2292" t="inlineStr">
        <is>
          <t>United States</t>
        </is>
      </c>
      <c r="H2292" t="n">
        <v>6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  <c r="N2292">
        <f>IFERROR(INDEX('Company Hitlist'!$AA:$AA,MATCH(D2292,'Company Hitlist'!$A:$A,0)),)</f>
        <v/>
      </c>
      <c r="O2292">
        <f>IFERROR(INDEX('Company Hitlist'!$N:$N,MATCH(D2292,'Company Hitlist'!$A:$A,0)),)</f>
        <v/>
      </c>
      <c r="Q2292" t="inlineStr">
        <is>
          <t>todo</t>
        </is>
      </c>
    </row>
    <row r="2293">
      <c r="A2293" t="inlineStr">
        <is>
          <t>Abbas Azher</t>
        </is>
      </c>
      <c r="B2293" t="inlineStr">
        <is>
          <t>Attendee</t>
        </is>
      </c>
      <c r="C2293" t="inlineStr">
        <is>
          <t>CEO</t>
        </is>
      </c>
      <c r="D2293" t="inlineStr">
        <is>
          <t>Maritime Logistics</t>
        </is>
      </c>
      <c r="F2293" t="inlineStr">
        <is>
          <t>Yes</t>
        </is>
      </c>
      <c r="H2293" t="n">
        <v>6</v>
      </c>
      <c r="I2293" t="b">
        <v>0</v>
      </c>
      <c r="J2293" t="b">
        <v>1</v>
      </c>
      <c r="K2293" t="b">
        <v>0</v>
      </c>
      <c r="L2293" t="b">
        <v>0</v>
      </c>
      <c r="M2293" t="b">
        <v>0</v>
      </c>
      <c r="N2293">
        <f>IFERROR(INDEX('Company Hitlist'!$AA:$AA,MATCH(D2293,'Company Hitlist'!$A:$A,0)),)</f>
        <v/>
      </c>
      <c r="O2293">
        <f>IFERROR(INDEX('Company Hitlist'!$N:$N,MATCH(D2293,'Company Hitlist'!$A:$A,0)),)</f>
        <v/>
      </c>
      <c r="Q2293" t="inlineStr">
        <is>
          <t>todo</t>
        </is>
      </c>
    </row>
    <row r="2294">
      <c r="A2294" t="inlineStr">
        <is>
          <t>Thiago Veiga</t>
        </is>
      </c>
      <c r="B2294" t="inlineStr">
        <is>
          <t>Attendee</t>
        </is>
      </c>
      <c r="C2294" t="inlineStr">
        <is>
          <t>Global VP, Digital Core and CIO End-to-End Value Chain</t>
        </is>
      </c>
      <c r="D2294" t="inlineStr">
        <is>
          <t>Mars Snacking</t>
        </is>
      </c>
      <c r="F2294" t="inlineStr">
        <is>
          <t>Yes</t>
        </is>
      </c>
      <c r="H2294" t="n">
        <v>6</v>
      </c>
      <c r="I2294" t="b">
        <v>0</v>
      </c>
      <c r="J2294" t="b">
        <v>1</v>
      </c>
      <c r="K2294" t="b">
        <v>0</v>
      </c>
      <c r="L2294" t="b">
        <v>0</v>
      </c>
      <c r="M2294" t="b">
        <v>0</v>
      </c>
      <c r="N2294">
        <f>IFERROR(INDEX('Company Hitlist'!$AA:$AA,MATCH(D2294,'Company Hitlist'!$A:$A,0)),)</f>
        <v/>
      </c>
      <c r="O2294">
        <f>IFERROR(INDEX('Company Hitlist'!$N:$N,MATCH(D2294,'Company Hitlist'!$A:$A,0)),)</f>
        <v/>
      </c>
      <c r="Q2294" t="inlineStr">
        <is>
          <t>todo</t>
        </is>
      </c>
    </row>
    <row r="2295">
      <c r="A2295" t="inlineStr">
        <is>
          <t>Florian Selch</t>
        </is>
      </c>
      <c r="B2295" t="inlineStr">
        <is>
          <t>Attendee</t>
        </is>
      </c>
      <c r="C2295" t="inlineStr">
        <is>
          <t>CEO and Co-Founder</t>
        </is>
      </c>
      <c r="D2295" t="inlineStr">
        <is>
          <t>Masters of Supply Chain</t>
        </is>
      </c>
      <c r="E2295" t="inlineStr">
        <is>
          <t>United States</t>
        </is>
      </c>
      <c r="H2295" t="n">
        <v>6</v>
      </c>
      <c r="I2295" t="b">
        <v>0</v>
      </c>
      <c r="J2295" t="b">
        <v>1</v>
      </c>
      <c r="K2295" t="b">
        <v>0</v>
      </c>
      <c r="L2295" t="b">
        <v>0</v>
      </c>
      <c r="M2295" t="b">
        <v>0</v>
      </c>
      <c r="N2295">
        <f>IFERROR(INDEX('Company Hitlist'!$AA:$AA,MATCH(D2295,'Company Hitlist'!$A:$A,0)),)</f>
        <v/>
      </c>
      <c r="O2295">
        <f>IFERROR(INDEX('Company Hitlist'!$N:$N,MATCH(D2295,'Company Hitlist'!$A:$A,0)),)</f>
        <v/>
      </c>
      <c r="Q2295" t="inlineStr">
        <is>
          <t>todo</t>
        </is>
      </c>
    </row>
    <row r="2296">
      <c r="A2296" t="inlineStr">
        <is>
          <t>Dave Blanchard</t>
        </is>
      </c>
      <c r="B2296" t="inlineStr">
        <is>
          <t>Attendee</t>
        </is>
      </c>
      <c r="C2296" t="inlineStr">
        <is>
          <t>Head of Content</t>
        </is>
      </c>
      <c r="D2296" t="inlineStr">
        <is>
          <t>Material Handling &amp; Logistics</t>
        </is>
      </c>
      <c r="F2296" t="inlineStr">
        <is>
          <t>Yes</t>
        </is>
      </c>
      <c r="H2296" t="n">
        <v>6</v>
      </c>
      <c r="I2296" t="b">
        <v>0</v>
      </c>
      <c r="J2296" t="b">
        <v>1</v>
      </c>
      <c r="K2296" t="b">
        <v>0</v>
      </c>
      <c r="L2296" t="b">
        <v>0</v>
      </c>
      <c r="M2296" t="b">
        <v>0</v>
      </c>
      <c r="N2296">
        <f>IFERROR(INDEX('Company Hitlist'!$AA:$AA,MATCH(D2296,'Company Hitlist'!$A:$A,0)),)</f>
        <v/>
      </c>
      <c r="O2296">
        <f>IFERROR(INDEX('Company Hitlist'!$N:$N,MATCH(D2296,'Company Hitlist'!$A:$A,0)),)</f>
        <v/>
      </c>
      <c r="Q2296" t="inlineStr">
        <is>
          <t>todo</t>
        </is>
      </c>
    </row>
    <row r="2297">
      <c r="A2297" t="inlineStr">
        <is>
          <t>Raquel Sagrera</t>
        </is>
      </c>
      <c r="B2297" t="inlineStr">
        <is>
          <t>Attendee</t>
        </is>
      </c>
      <c r="C2297" t="inlineStr">
        <is>
          <t>VP Partnerships</t>
        </is>
      </c>
      <c r="D2297" t="inlineStr">
        <is>
          <t>Matyse</t>
        </is>
      </c>
      <c r="F2297" t="inlineStr">
        <is>
          <t>Yes</t>
        </is>
      </c>
      <c r="H2297" t="n">
        <v>6</v>
      </c>
      <c r="I2297" t="b">
        <v>0</v>
      </c>
      <c r="J2297" t="b">
        <v>1</v>
      </c>
      <c r="K2297" t="b">
        <v>0</v>
      </c>
      <c r="L2297" t="b">
        <v>0</v>
      </c>
      <c r="M2297" t="b">
        <v>0</v>
      </c>
      <c r="N2297">
        <f>IFERROR(INDEX('Company Hitlist'!$AA:$AA,MATCH(D2297,'Company Hitlist'!$A:$A,0)),)</f>
        <v/>
      </c>
      <c r="O2297">
        <f>IFERROR(INDEX('Company Hitlist'!$N:$N,MATCH(D2297,'Company Hitlist'!$A:$A,0)),)</f>
        <v/>
      </c>
      <c r="Q2297" t="inlineStr">
        <is>
          <t>todo</t>
        </is>
      </c>
    </row>
    <row r="2298">
      <c r="A2298" t="inlineStr">
        <is>
          <t>gary stannard</t>
        </is>
      </c>
      <c r="B2298" t="inlineStr">
        <is>
          <t>Attendee</t>
        </is>
      </c>
      <c r="C2298" t="inlineStr">
        <is>
          <t>CEO</t>
        </is>
      </c>
      <c r="D2298" t="inlineStr">
        <is>
          <t>Maxiloda</t>
        </is>
      </c>
      <c r="E2298" t="inlineStr">
        <is>
          <t>New Zealand</t>
        </is>
      </c>
      <c r="F2298" t="inlineStr">
        <is>
          <t>Yes</t>
        </is>
      </c>
      <c r="H2298" t="n">
        <v>6</v>
      </c>
      <c r="I2298" t="b">
        <v>0</v>
      </c>
      <c r="J2298" t="b">
        <v>1</v>
      </c>
      <c r="K2298" t="b">
        <v>0</v>
      </c>
      <c r="L2298" t="b">
        <v>0</v>
      </c>
      <c r="M2298" t="b">
        <v>0</v>
      </c>
      <c r="N2298">
        <f>IFERROR(INDEX('Company Hitlist'!$AA:$AA,MATCH(D2298,'Company Hitlist'!$A:$A,0)),)</f>
        <v/>
      </c>
      <c r="O2298">
        <f>IFERROR(INDEX('Company Hitlist'!$N:$N,MATCH(D2298,'Company Hitlist'!$A:$A,0)),)</f>
        <v/>
      </c>
      <c r="Q2298" t="inlineStr">
        <is>
          <t>todo</t>
        </is>
      </c>
    </row>
    <row r="2299">
      <c r="A2299" t="inlineStr">
        <is>
          <t>Rob Olsen</t>
        </is>
      </c>
      <c r="B2299" t="inlineStr">
        <is>
          <t>Attendee</t>
        </is>
      </c>
      <c r="C2299" t="inlineStr">
        <is>
          <t>VP Business Develpment</t>
        </is>
      </c>
      <c r="D2299" t="inlineStr">
        <is>
          <t>McClain &amp; Associates</t>
        </is>
      </c>
      <c r="E2299" t="inlineStr">
        <is>
          <t>United States</t>
        </is>
      </c>
      <c r="H2299" t="n">
        <v>6</v>
      </c>
      <c r="I2299" t="b">
        <v>0</v>
      </c>
      <c r="J2299" t="b">
        <v>1</v>
      </c>
      <c r="K2299" t="b">
        <v>0</v>
      </c>
      <c r="L2299" t="b">
        <v>0</v>
      </c>
      <c r="M2299" t="b">
        <v>0</v>
      </c>
      <c r="N2299">
        <f>IFERROR(INDEX('Company Hitlist'!$AA:$AA,MATCH(D2299,'Company Hitlist'!$A:$A,0)),)</f>
        <v/>
      </c>
      <c r="O2299">
        <f>IFERROR(INDEX('Company Hitlist'!$N:$N,MATCH(D2299,'Company Hitlist'!$A:$A,0)),)</f>
        <v/>
      </c>
      <c r="Q2299" t="inlineStr">
        <is>
          <t>todo</t>
        </is>
      </c>
    </row>
    <row r="2300">
      <c r="A2300" t="inlineStr">
        <is>
          <t>Dan McClain</t>
        </is>
      </c>
      <c r="B2300" t="inlineStr">
        <is>
          <t>Attendee</t>
        </is>
      </c>
      <c r="C2300" t="inlineStr">
        <is>
          <t>President</t>
        </is>
      </c>
      <c r="D2300" t="inlineStr">
        <is>
          <t>McClain &amp; Associates</t>
        </is>
      </c>
      <c r="H2300" t="n">
        <v>6</v>
      </c>
      <c r="I2300" t="b">
        <v>0</v>
      </c>
      <c r="J2300" t="b">
        <v>1</v>
      </c>
      <c r="K2300" t="b">
        <v>0</v>
      </c>
      <c r="L2300" t="b">
        <v>0</v>
      </c>
      <c r="M2300" t="b">
        <v>0</v>
      </c>
      <c r="N2300">
        <f>IFERROR(INDEX('Company Hitlist'!$AA:$AA,MATCH(D2300,'Company Hitlist'!$A:$A,0)),)</f>
        <v/>
      </c>
      <c r="O2300">
        <f>IFERROR(INDEX('Company Hitlist'!$N:$N,MATCH(D2300,'Company Hitlist'!$A:$A,0)),)</f>
        <v/>
      </c>
      <c r="Q2300" t="inlineStr">
        <is>
          <t>todo</t>
        </is>
      </c>
    </row>
    <row r="2301">
      <c r="A2301" t="inlineStr">
        <is>
          <t>Eric E. Thornton</t>
        </is>
      </c>
      <c r="B2301" t="inlineStr">
        <is>
          <t>Attendee</t>
        </is>
      </c>
      <c r="C2301" t="inlineStr">
        <is>
          <t>Executive Vice President</t>
        </is>
      </c>
      <c r="D2301" t="inlineStr">
        <is>
          <t>McClay's</t>
        </is>
      </c>
      <c r="E2301" t="inlineStr">
        <is>
          <t>United States</t>
        </is>
      </c>
      <c r="F2301" t="inlineStr">
        <is>
          <t>Yes</t>
        </is>
      </c>
      <c r="H2301" t="n">
        <v>6</v>
      </c>
      <c r="I2301" t="b">
        <v>0</v>
      </c>
      <c r="J2301" t="b">
        <v>1</v>
      </c>
      <c r="K2301" t="b">
        <v>0</v>
      </c>
      <c r="L2301" t="b">
        <v>0</v>
      </c>
      <c r="M2301" t="b">
        <v>0</v>
      </c>
      <c r="N2301">
        <f>IFERROR(INDEX('Company Hitlist'!$AA:$AA,MATCH(D2301,'Company Hitlist'!$A:$A,0)),)</f>
        <v/>
      </c>
      <c r="O2301">
        <f>IFERROR(INDEX('Company Hitlist'!$N:$N,MATCH(D2301,'Company Hitlist'!$A:$A,0)),)</f>
        <v/>
      </c>
      <c r="Q2301" t="inlineStr">
        <is>
          <t>todo</t>
        </is>
      </c>
    </row>
    <row r="2302">
      <c r="A2302" t="inlineStr">
        <is>
          <t>Hamilton Bridges</t>
        </is>
      </c>
      <c r="B2302" t="inlineStr">
        <is>
          <t>Attendee</t>
        </is>
      </c>
      <c r="C2302" t="inlineStr">
        <is>
          <t>Vice President</t>
        </is>
      </c>
      <c r="D2302" t="inlineStr">
        <is>
          <t>McGriff</t>
        </is>
      </c>
      <c r="E2302" t="inlineStr">
        <is>
          <t>United States</t>
        </is>
      </c>
      <c r="H2302" t="n">
        <v>6</v>
      </c>
      <c r="I2302" t="b">
        <v>0</v>
      </c>
      <c r="J2302" t="b">
        <v>1</v>
      </c>
      <c r="K2302" t="b">
        <v>0</v>
      </c>
      <c r="L2302" t="b">
        <v>0</v>
      </c>
      <c r="M2302" t="b">
        <v>0</v>
      </c>
      <c r="N2302">
        <f>IFERROR(INDEX('Company Hitlist'!$AA:$AA,MATCH(D2302,'Company Hitlist'!$A:$A,0)),)</f>
        <v/>
      </c>
      <c r="O2302">
        <f>IFERROR(INDEX('Company Hitlist'!$N:$N,MATCH(D2302,'Company Hitlist'!$A:$A,0)),)</f>
        <v/>
      </c>
      <c r="Q2302" t="inlineStr">
        <is>
          <t>todo</t>
        </is>
      </c>
    </row>
    <row r="2303">
      <c r="A2303" t="inlineStr">
        <is>
          <t>Ben Morgan</t>
        </is>
      </c>
      <c r="B2303" t="inlineStr">
        <is>
          <t>Attendee</t>
        </is>
      </c>
      <c r="C2303" t="inlineStr">
        <is>
          <t>Vice President</t>
        </is>
      </c>
      <c r="D2303" t="inlineStr">
        <is>
          <t>McGriff Specialty</t>
        </is>
      </c>
      <c r="E2303" t="inlineStr">
        <is>
          <t>United States</t>
        </is>
      </c>
      <c r="H2303" t="n">
        <v>6</v>
      </c>
      <c r="I2303" t="b">
        <v>0</v>
      </c>
      <c r="J2303" t="b">
        <v>1</v>
      </c>
      <c r="K2303" t="b">
        <v>0</v>
      </c>
      <c r="L2303" t="b">
        <v>0</v>
      </c>
      <c r="M2303" t="b">
        <v>0</v>
      </c>
      <c r="N2303">
        <f>IFERROR(INDEX('Company Hitlist'!$AA:$AA,MATCH(D2303,'Company Hitlist'!$A:$A,0)),)</f>
        <v/>
      </c>
      <c r="O2303">
        <f>IFERROR(INDEX('Company Hitlist'!$N:$N,MATCH(D2303,'Company Hitlist'!$A:$A,0)),)</f>
        <v/>
      </c>
      <c r="Q2303" t="inlineStr">
        <is>
          <t>todo</t>
        </is>
      </c>
    </row>
    <row r="2304">
      <c r="A2304" t="inlineStr">
        <is>
          <t>Ross Grier</t>
        </is>
      </c>
      <c r="B2304" t="inlineStr">
        <is>
          <t>Attendee</t>
        </is>
      </c>
      <c r="C2304" t="inlineStr">
        <is>
          <t>President</t>
        </is>
      </c>
      <c r="D2304" t="inlineStr">
        <is>
          <t>McLane Foodservice</t>
        </is>
      </c>
      <c r="F2304" t="inlineStr">
        <is>
          <t>Yes</t>
        </is>
      </c>
      <c r="H2304" t="n">
        <v>6</v>
      </c>
      <c r="I2304" t="b">
        <v>0</v>
      </c>
      <c r="J2304" t="b">
        <v>1</v>
      </c>
      <c r="K2304" t="b">
        <v>0</v>
      </c>
      <c r="L2304" t="b">
        <v>0</v>
      </c>
      <c r="M2304" t="b">
        <v>0</v>
      </c>
      <c r="N2304">
        <f>IFERROR(INDEX('Company Hitlist'!$AA:$AA,MATCH(D2304,'Company Hitlist'!$A:$A,0)),)</f>
        <v/>
      </c>
      <c r="O2304">
        <f>IFERROR(INDEX('Company Hitlist'!$N:$N,MATCH(D2304,'Company Hitlist'!$A:$A,0)),)</f>
        <v/>
      </c>
      <c r="Q2304" t="inlineStr">
        <is>
          <t>todo</t>
        </is>
      </c>
    </row>
    <row r="2305">
      <c r="A2305" t="inlineStr">
        <is>
          <t>Greg Kent</t>
        </is>
      </c>
      <c r="B2305" t="inlineStr">
        <is>
          <t>Attendee</t>
        </is>
      </c>
      <c r="C2305" t="inlineStr">
        <is>
          <t>President</t>
        </is>
      </c>
      <c r="D2305" t="inlineStr">
        <is>
          <t>Medallion Enterprises Inc.</t>
        </is>
      </c>
      <c r="F2305" t="inlineStr">
        <is>
          <t>Yes</t>
        </is>
      </c>
      <c r="H2305" t="n">
        <v>6</v>
      </c>
      <c r="I2305" t="b">
        <v>0</v>
      </c>
      <c r="J2305" t="b">
        <v>1</v>
      </c>
      <c r="K2305" t="b">
        <v>0</v>
      </c>
      <c r="L2305" t="b">
        <v>0</v>
      </c>
      <c r="M2305" t="b">
        <v>0</v>
      </c>
      <c r="N2305">
        <f>IFERROR(INDEX('Company Hitlist'!$AA:$AA,MATCH(D2305,'Company Hitlist'!$A:$A,0)),)</f>
        <v/>
      </c>
      <c r="O2305">
        <f>IFERROR(INDEX('Company Hitlist'!$N:$N,MATCH(D2305,'Company Hitlist'!$A:$A,0)),)</f>
        <v/>
      </c>
      <c r="Q2305" t="inlineStr">
        <is>
          <t>todo</t>
        </is>
      </c>
    </row>
    <row r="2306">
      <c r="A2306" t="inlineStr">
        <is>
          <t>Andrew Haner</t>
        </is>
      </c>
      <c r="B2306" t="inlineStr">
        <is>
          <t>Attendee</t>
        </is>
      </c>
      <c r="C2306" t="inlineStr">
        <is>
          <t>COO</t>
        </is>
      </c>
      <c r="D2306" t="inlineStr">
        <is>
          <t>Medusa Distribution</t>
        </is>
      </c>
      <c r="E2306" t="inlineStr">
        <is>
          <t>United States</t>
        </is>
      </c>
      <c r="F2306" t="inlineStr">
        <is>
          <t>Yes</t>
        </is>
      </c>
      <c r="H2306" t="n">
        <v>6</v>
      </c>
      <c r="I2306" t="b">
        <v>0</v>
      </c>
      <c r="J2306" t="b">
        <v>1</v>
      </c>
      <c r="K2306" t="b">
        <v>0</v>
      </c>
      <c r="L2306" t="b">
        <v>0</v>
      </c>
      <c r="M2306" t="b">
        <v>0</v>
      </c>
      <c r="N2306">
        <f>IFERROR(INDEX('Company Hitlist'!$AA:$AA,MATCH(D2306,'Company Hitlist'!$A:$A,0)),)</f>
        <v/>
      </c>
      <c r="O2306">
        <f>IFERROR(INDEX('Company Hitlist'!$N:$N,MATCH(D2306,'Company Hitlist'!$A:$A,0)),)</f>
        <v/>
      </c>
      <c r="Q2306" t="inlineStr">
        <is>
          <t>todo</t>
        </is>
      </c>
    </row>
    <row r="2307">
      <c r="A2307" t="inlineStr">
        <is>
          <t>Dhaman Rakhra</t>
        </is>
      </c>
      <c r="B2307" t="inlineStr">
        <is>
          <t>Attendee</t>
        </is>
      </c>
      <c r="C2307" t="inlineStr">
        <is>
          <t>Chief Executive Officer</t>
        </is>
      </c>
      <c r="D2307" t="inlineStr">
        <is>
          <t>Melrose</t>
        </is>
      </c>
      <c r="E2307" t="inlineStr">
        <is>
          <t>United States</t>
        </is>
      </c>
      <c r="H2307" t="n">
        <v>6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  <c r="N2307">
        <f>IFERROR(INDEX('Company Hitlist'!$AA:$AA,MATCH(D2307,'Company Hitlist'!$A:$A,0)),)</f>
        <v/>
      </c>
      <c r="O2307">
        <f>IFERROR(INDEX('Company Hitlist'!$N:$N,MATCH(D2307,'Company Hitlist'!$A:$A,0)),)</f>
        <v/>
      </c>
      <c r="Q2307" t="inlineStr">
        <is>
          <t>todo</t>
        </is>
      </c>
    </row>
    <row r="2308">
      <c r="A2308" t="inlineStr">
        <is>
          <t>Khalid Karim</t>
        </is>
      </c>
      <c r="B2308" t="inlineStr">
        <is>
          <t>Attendee</t>
        </is>
      </c>
      <c r="C2308" t="inlineStr">
        <is>
          <t>Chief Technology Officer</t>
        </is>
      </c>
      <c r="D2308" t="inlineStr">
        <is>
          <t>Melrose</t>
        </is>
      </c>
      <c r="E2308" t="inlineStr">
        <is>
          <t>United States</t>
        </is>
      </c>
      <c r="H2308" t="n">
        <v>6</v>
      </c>
      <c r="I2308" t="b">
        <v>0</v>
      </c>
      <c r="J2308" t="b">
        <v>1</v>
      </c>
      <c r="K2308" t="b">
        <v>0</v>
      </c>
      <c r="L2308" t="b">
        <v>0</v>
      </c>
      <c r="M2308" t="b">
        <v>0</v>
      </c>
      <c r="N2308">
        <f>IFERROR(INDEX('Company Hitlist'!$AA:$AA,MATCH(D2308,'Company Hitlist'!$A:$A,0)),)</f>
        <v/>
      </c>
      <c r="O2308">
        <f>IFERROR(INDEX('Company Hitlist'!$N:$N,MATCH(D2308,'Company Hitlist'!$A:$A,0)),)</f>
        <v/>
      </c>
      <c r="Q2308" t="inlineStr">
        <is>
          <t>todo</t>
        </is>
      </c>
    </row>
    <row r="2309">
      <c r="A2309" t="inlineStr">
        <is>
          <t>Corey Goux</t>
        </is>
      </c>
      <c r="B2309" t="inlineStr">
        <is>
          <t>Attendee</t>
        </is>
      </c>
      <c r="C2309" t="inlineStr">
        <is>
          <t>Chief Information Officer</t>
        </is>
      </c>
      <c r="D2309" t="inlineStr">
        <is>
          <t>Mesilla Valley Transportation</t>
        </is>
      </c>
      <c r="F2309" t="inlineStr">
        <is>
          <t>Yes</t>
        </is>
      </c>
      <c r="H2309" t="n">
        <v>6</v>
      </c>
      <c r="I2309" t="b">
        <v>0</v>
      </c>
      <c r="J2309" t="b">
        <v>1</v>
      </c>
      <c r="K2309" t="b">
        <v>0</v>
      </c>
      <c r="L2309" t="b">
        <v>0</v>
      </c>
      <c r="M2309" t="b">
        <v>0</v>
      </c>
      <c r="N2309">
        <f>IFERROR(INDEX('Company Hitlist'!$AA:$AA,MATCH(D2309,'Company Hitlist'!$A:$A,0)),)</f>
        <v/>
      </c>
      <c r="O2309">
        <f>IFERROR(INDEX('Company Hitlist'!$N:$N,MATCH(D2309,'Company Hitlist'!$A:$A,0)),)</f>
        <v/>
      </c>
      <c r="Q2309" t="inlineStr">
        <is>
          <t>todo</t>
        </is>
      </c>
    </row>
    <row r="2310">
      <c r="A2310" t="inlineStr">
        <is>
          <t>Sean Cowie</t>
        </is>
      </c>
      <c r="B2310" t="inlineStr">
        <is>
          <t>Attendee</t>
        </is>
      </c>
      <c r="C2310" t="inlineStr">
        <is>
          <t>VP Customer Solutions</t>
        </is>
      </c>
      <c r="D2310" t="inlineStr">
        <is>
          <t>Metro Supply Chain</t>
        </is>
      </c>
      <c r="E2310" t="inlineStr">
        <is>
          <t>Canada</t>
        </is>
      </c>
      <c r="F2310" t="inlineStr">
        <is>
          <t>Yes</t>
        </is>
      </c>
      <c r="H2310" t="n">
        <v>6</v>
      </c>
      <c r="I2310" t="b">
        <v>0</v>
      </c>
      <c r="J2310" t="b">
        <v>1</v>
      </c>
      <c r="K2310" t="b">
        <v>0</v>
      </c>
      <c r="L2310" t="b">
        <v>0</v>
      </c>
      <c r="M2310" t="b">
        <v>0</v>
      </c>
      <c r="N2310">
        <f>IFERROR(INDEX('Company Hitlist'!$AA:$AA,MATCH(D2310,'Company Hitlist'!$A:$A,0)),)</f>
        <v/>
      </c>
      <c r="O2310">
        <f>IFERROR(INDEX('Company Hitlist'!$N:$N,MATCH(D2310,'Company Hitlist'!$A:$A,0)),)</f>
        <v/>
      </c>
      <c r="Q2310" t="inlineStr">
        <is>
          <t>todo</t>
        </is>
      </c>
    </row>
    <row r="2311">
      <c r="A2311" t="inlineStr">
        <is>
          <t>Pierre Lutfy</t>
        </is>
      </c>
      <c r="B2311" t="inlineStr">
        <is>
          <t>Attendee</t>
        </is>
      </c>
      <c r="C2311" t="inlineStr">
        <is>
          <t>Chief Development Officer</t>
        </is>
      </c>
      <c r="D2311" t="inlineStr">
        <is>
          <t>Metro Supply Chain</t>
        </is>
      </c>
      <c r="F2311" t="inlineStr">
        <is>
          <t>Yes</t>
        </is>
      </c>
      <c r="H2311" t="n">
        <v>6</v>
      </c>
      <c r="I2311" t="b">
        <v>0</v>
      </c>
      <c r="J2311" t="b">
        <v>1</v>
      </c>
      <c r="K2311" t="b">
        <v>0</v>
      </c>
      <c r="L2311" t="b">
        <v>0</v>
      </c>
      <c r="M2311" t="b">
        <v>0</v>
      </c>
      <c r="N2311">
        <f>IFERROR(INDEX('Company Hitlist'!$AA:$AA,MATCH(D2311,'Company Hitlist'!$A:$A,0)),)</f>
        <v/>
      </c>
      <c r="O2311">
        <f>IFERROR(INDEX('Company Hitlist'!$N:$N,MATCH(D2311,'Company Hitlist'!$A:$A,0)),)</f>
        <v/>
      </c>
      <c r="Q2311" t="inlineStr">
        <is>
          <t>todo</t>
        </is>
      </c>
    </row>
    <row r="2312">
      <c r="A2312" t="inlineStr">
        <is>
          <t>Rory Swikle</t>
        </is>
      </c>
      <c r="B2312" t="inlineStr">
        <is>
          <t>Attendee</t>
        </is>
      </c>
      <c r="C2312" t="inlineStr">
        <is>
          <t>Senior Vice President</t>
        </is>
      </c>
      <c r="D2312" t="inlineStr">
        <is>
          <t>MikeWorldWide</t>
        </is>
      </c>
      <c r="E2312" t="inlineStr">
        <is>
          <t>United States</t>
        </is>
      </c>
      <c r="H2312" t="n">
        <v>6</v>
      </c>
      <c r="I2312" t="b">
        <v>0</v>
      </c>
      <c r="J2312" t="b">
        <v>1</v>
      </c>
      <c r="K2312" t="b">
        <v>0</v>
      </c>
      <c r="L2312" t="b">
        <v>0</v>
      </c>
      <c r="M2312" t="b">
        <v>0</v>
      </c>
      <c r="N2312">
        <f>IFERROR(INDEX('Company Hitlist'!$AA:$AA,MATCH(D2312,'Company Hitlist'!$A:$A,0)),)</f>
        <v/>
      </c>
      <c r="O2312">
        <f>IFERROR(INDEX('Company Hitlist'!$N:$N,MATCH(D2312,'Company Hitlist'!$A:$A,0)),)</f>
        <v/>
      </c>
      <c r="Q2312" t="inlineStr">
        <is>
          <t>todo</t>
        </is>
      </c>
    </row>
    <row r="2313">
      <c r="A2313" t="inlineStr">
        <is>
          <t>Daniel Rivera</t>
        </is>
      </c>
      <c r="B2313" t="inlineStr">
        <is>
          <t>Attendee</t>
        </is>
      </c>
      <c r="C2313" t="inlineStr">
        <is>
          <t>Head of Data &amp; Analytics</t>
        </is>
      </c>
      <c r="D2313" t="inlineStr">
        <is>
          <t>Million Dollar Baby</t>
        </is>
      </c>
      <c r="F2313" t="inlineStr">
        <is>
          <t>Yes</t>
        </is>
      </c>
      <c r="H2313" t="n">
        <v>6</v>
      </c>
      <c r="I2313" t="b">
        <v>0</v>
      </c>
      <c r="J2313" t="b">
        <v>1</v>
      </c>
      <c r="K2313" t="b">
        <v>0</v>
      </c>
      <c r="L2313" t="b">
        <v>0</v>
      </c>
      <c r="M2313" t="b">
        <v>0</v>
      </c>
      <c r="N2313">
        <f>IFERROR(INDEX('Company Hitlist'!$AA:$AA,MATCH(D2313,'Company Hitlist'!$A:$A,0)),)</f>
        <v/>
      </c>
      <c r="O2313">
        <f>IFERROR(INDEX('Company Hitlist'!$N:$N,MATCH(D2313,'Company Hitlist'!$A:$A,0)),)</f>
        <v/>
      </c>
      <c r="Q2313" t="inlineStr">
        <is>
          <t>todo</t>
        </is>
      </c>
    </row>
    <row r="2314">
      <c r="A2314" t="inlineStr">
        <is>
          <t>Julia Bedanova</t>
        </is>
      </c>
      <c r="B2314" t="inlineStr">
        <is>
          <t>Attendee</t>
        </is>
      </c>
      <c r="C2314" t="inlineStr">
        <is>
          <t>COO</t>
        </is>
      </c>
      <c r="D2314" t="inlineStr">
        <is>
          <t>Million Dollar Baby</t>
        </is>
      </c>
      <c r="F2314" t="inlineStr">
        <is>
          <t>Yes</t>
        </is>
      </c>
      <c r="H2314" t="n">
        <v>6</v>
      </c>
      <c r="I2314" t="b">
        <v>0</v>
      </c>
      <c r="J2314" t="b">
        <v>1</v>
      </c>
      <c r="K2314" t="b">
        <v>0</v>
      </c>
      <c r="L2314" t="b">
        <v>0</v>
      </c>
      <c r="M2314" t="b">
        <v>0</v>
      </c>
      <c r="N2314">
        <f>IFERROR(INDEX('Company Hitlist'!$AA:$AA,MATCH(D2314,'Company Hitlist'!$A:$A,0)),)</f>
        <v/>
      </c>
      <c r="O2314">
        <f>IFERROR(INDEX('Company Hitlist'!$N:$N,MATCH(D2314,'Company Hitlist'!$A:$A,0)),)</f>
        <v/>
      </c>
      <c r="Q2314" t="inlineStr">
        <is>
          <t>todo</t>
        </is>
      </c>
    </row>
    <row r="2315">
      <c r="A2315" t="inlineStr">
        <is>
          <t>Mark Rakoski</t>
        </is>
      </c>
      <c r="B2315" t="inlineStr">
        <is>
          <t>Attendee</t>
        </is>
      </c>
      <c r="C2315" t="inlineStr">
        <is>
          <t>VP Advanced Engineering</t>
        </is>
      </c>
      <c r="D2315" t="inlineStr">
        <is>
          <t>Mitsubishi Electric Automotive America</t>
        </is>
      </c>
      <c r="E2315" t="inlineStr">
        <is>
          <t>United States</t>
        </is>
      </c>
      <c r="H2315" t="n">
        <v>6</v>
      </c>
      <c r="I2315" t="b">
        <v>0</v>
      </c>
      <c r="J2315" t="b">
        <v>1</v>
      </c>
      <c r="K2315" t="b">
        <v>0</v>
      </c>
      <c r="L2315" t="b">
        <v>0</v>
      </c>
      <c r="M2315" t="b">
        <v>0</v>
      </c>
      <c r="N2315">
        <f>IFERROR(INDEX('Company Hitlist'!$AA:$AA,MATCH(D2315,'Company Hitlist'!$A:$A,0)),)</f>
        <v/>
      </c>
      <c r="O2315">
        <f>IFERROR(INDEX('Company Hitlist'!$N:$N,MATCH(D2315,'Company Hitlist'!$A:$A,0)),)</f>
        <v/>
      </c>
      <c r="Q2315" t="inlineStr">
        <is>
          <t>todo</t>
        </is>
      </c>
    </row>
    <row r="2316">
      <c r="A2316" t="inlineStr">
        <is>
          <t>Jonah Turner</t>
        </is>
      </c>
      <c r="B2316" t="inlineStr">
        <is>
          <t>Attendee</t>
        </is>
      </c>
      <c r="C2316" t="inlineStr">
        <is>
          <t>Innovation Head</t>
        </is>
      </c>
      <c r="D2316" t="inlineStr">
        <is>
          <t>Molson Coors Beverage Company</t>
        </is>
      </c>
      <c r="E2316" t="inlineStr">
        <is>
          <t>United States</t>
        </is>
      </c>
      <c r="F2316" t="inlineStr">
        <is>
          <t>Yes</t>
        </is>
      </c>
      <c r="H2316" t="n">
        <v>6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>
        <f>IFERROR(INDEX('Company Hitlist'!$AA:$AA,MATCH(D2316,'Company Hitlist'!$A:$A,0)),)</f>
        <v/>
      </c>
      <c r="O2316">
        <f>IFERROR(INDEX('Company Hitlist'!$N:$N,MATCH(D2316,'Company Hitlist'!$A:$A,0)),)</f>
        <v/>
      </c>
      <c r="Q2316" t="inlineStr">
        <is>
          <t>todo</t>
        </is>
      </c>
    </row>
    <row r="2317">
      <c r="A2317" t="inlineStr">
        <is>
          <t>Alex Stankie</t>
        </is>
      </c>
      <c r="B2317" t="inlineStr">
        <is>
          <t>Attendee</t>
        </is>
      </c>
      <c r="C2317" t="inlineStr">
        <is>
          <t>COO</t>
        </is>
      </c>
      <c r="D2317" t="inlineStr">
        <is>
          <t>Moment</t>
        </is>
      </c>
      <c r="F2317" t="inlineStr">
        <is>
          <t>Yes</t>
        </is>
      </c>
      <c r="H2317" t="n">
        <v>6</v>
      </c>
      <c r="I2317" t="b">
        <v>0</v>
      </c>
      <c r="J2317" t="b">
        <v>1</v>
      </c>
      <c r="K2317" t="b">
        <v>0</v>
      </c>
      <c r="L2317" t="b">
        <v>0</v>
      </c>
      <c r="M2317" t="b">
        <v>0</v>
      </c>
      <c r="N2317">
        <f>IFERROR(INDEX('Company Hitlist'!$AA:$AA,MATCH(D2317,'Company Hitlist'!$A:$A,0)),)</f>
        <v/>
      </c>
      <c r="O2317">
        <f>IFERROR(INDEX('Company Hitlist'!$N:$N,MATCH(D2317,'Company Hitlist'!$A:$A,0)),)</f>
        <v/>
      </c>
      <c r="Q2317" t="inlineStr">
        <is>
          <t>todo</t>
        </is>
      </c>
    </row>
    <row r="2318">
      <c r="A2318" t="inlineStr">
        <is>
          <t>Scott Dulany</t>
        </is>
      </c>
      <c r="B2318" t="inlineStr">
        <is>
          <t>Attendee</t>
        </is>
      </c>
      <c r="C2318" t="inlineStr">
        <is>
          <t>Chief Operating Officer</t>
        </is>
      </c>
      <c r="D2318" t="inlineStr">
        <is>
          <t>Mugsy</t>
        </is>
      </c>
      <c r="E2318" t="inlineStr">
        <is>
          <t>United States</t>
        </is>
      </c>
      <c r="F2318" t="inlineStr">
        <is>
          <t>Yes</t>
        </is>
      </c>
      <c r="H2318" t="n">
        <v>6</v>
      </c>
      <c r="I2318" t="b">
        <v>0</v>
      </c>
      <c r="J2318" t="b">
        <v>1</v>
      </c>
      <c r="K2318" t="b">
        <v>0</v>
      </c>
      <c r="L2318" t="b">
        <v>0</v>
      </c>
      <c r="M2318" t="b">
        <v>0</v>
      </c>
      <c r="N2318">
        <f>IFERROR(INDEX('Company Hitlist'!$AA:$AA,MATCH(D2318,'Company Hitlist'!$A:$A,0)),)</f>
        <v/>
      </c>
      <c r="O2318">
        <f>IFERROR(INDEX('Company Hitlist'!$N:$N,MATCH(D2318,'Company Hitlist'!$A:$A,0)),)</f>
        <v/>
      </c>
      <c r="Q2318" t="inlineStr">
        <is>
          <t>todo</t>
        </is>
      </c>
    </row>
    <row r="2319">
      <c r="A2319" t="inlineStr">
        <is>
          <t>Peter Besard</t>
        </is>
      </c>
      <c r="B2319" t="inlineStr">
        <is>
          <t>Attendee</t>
        </is>
      </c>
      <c r="C2319" t="inlineStr">
        <is>
          <t>CEO &amp; Founder</t>
        </is>
      </c>
      <c r="D2319" t="inlineStr">
        <is>
          <t>Multipowr</t>
        </is>
      </c>
      <c r="E2319" t="inlineStr">
        <is>
          <t>Belgium</t>
        </is>
      </c>
      <c r="F2319" t="inlineStr">
        <is>
          <t>Yes</t>
        </is>
      </c>
      <c r="H2319" t="n">
        <v>6</v>
      </c>
      <c r="I2319" t="b">
        <v>0</v>
      </c>
      <c r="J2319" t="b">
        <v>1</v>
      </c>
      <c r="K2319" t="b">
        <v>0</v>
      </c>
      <c r="L2319" t="b">
        <v>0</v>
      </c>
      <c r="M2319" t="b">
        <v>0</v>
      </c>
      <c r="N2319">
        <f>IFERROR(INDEX('Company Hitlist'!$AA:$AA,MATCH(D2319,'Company Hitlist'!$A:$A,0)),)</f>
        <v/>
      </c>
      <c r="O2319">
        <f>IFERROR(INDEX('Company Hitlist'!$N:$N,MATCH(D2319,'Company Hitlist'!$A:$A,0)),)</f>
        <v/>
      </c>
      <c r="Q2319" t="inlineStr">
        <is>
          <t>todo</t>
        </is>
      </c>
    </row>
    <row r="2320">
      <c r="A2320" t="inlineStr">
        <is>
          <t>Chris Schied</t>
        </is>
      </c>
      <c r="B2320" t="inlineStr">
        <is>
          <t>Attendee</t>
        </is>
      </c>
      <c r="C2320" t="inlineStr">
        <is>
          <t>Co-Founder &amp; Chief Product Officer</t>
        </is>
      </c>
      <c r="D2320" t="inlineStr">
        <is>
          <t>MyCarrier, LLC</t>
        </is>
      </c>
      <c r="E2320" t="inlineStr">
        <is>
          <t>United States</t>
        </is>
      </c>
      <c r="F2320" t="inlineStr">
        <is>
          <t>Yes</t>
        </is>
      </c>
      <c r="H2320" t="n">
        <v>6</v>
      </c>
      <c r="I2320" t="b">
        <v>0</v>
      </c>
      <c r="J2320" t="b">
        <v>1</v>
      </c>
      <c r="K2320" t="b">
        <v>0</v>
      </c>
      <c r="L2320" t="b">
        <v>0</v>
      </c>
      <c r="M2320" t="b">
        <v>0</v>
      </c>
      <c r="N2320">
        <f>IFERROR(INDEX('Company Hitlist'!$AA:$AA,MATCH(D2320,'Company Hitlist'!$A:$A,0)),)</f>
        <v/>
      </c>
      <c r="O2320">
        <f>IFERROR(INDEX('Company Hitlist'!$N:$N,MATCH(D2320,'Company Hitlist'!$A:$A,0)),)</f>
        <v/>
      </c>
      <c r="Q2320" t="inlineStr">
        <is>
          <t>todo</t>
        </is>
      </c>
    </row>
    <row r="2321">
      <c r="A2321" t="inlineStr">
        <is>
          <t>Michael Bookout</t>
        </is>
      </c>
      <c r="B2321" t="inlineStr">
        <is>
          <t>Attendee</t>
        </is>
      </c>
      <c r="C2321" t="inlineStr">
        <is>
          <t>CEO</t>
        </is>
      </c>
      <c r="D2321" t="inlineStr">
        <is>
          <t>MyCarrier, LLC</t>
        </is>
      </c>
      <c r="E2321" t="inlineStr">
        <is>
          <t>United States</t>
        </is>
      </c>
      <c r="F2321" t="inlineStr">
        <is>
          <t>Yes</t>
        </is>
      </c>
      <c r="H2321" t="n">
        <v>6</v>
      </c>
      <c r="I2321" t="b">
        <v>0</v>
      </c>
      <c r="J2321" t="b">
        <v>1</v>
      </c>
      <c r="K2321" t="b">
        <v>0</v>
      </c>
      <c r="L2321" t="b">
        <v>0</v>
      </c>
      <c r="M2321" t="b">
        <v>0</v>
      </c>
      <c r="N2321">
        <f>IFERROR(INDEX('Company Hitlist'!$AA:$AA,MATCH(D2321,'Company Hitlist'!$A:$A,0)),)</f>
        <v/>
      </c>
      <c r="O2321">
        <f>IFERROR(INDEX('Company Hitlist'!$N:$N,MATCH(D2321,'Company Hitlist'!$A:$A,0)),)</f>
        <v/>
      </c>
      <c r="Q2321" t="inlineStr">
        <is>
          <t>todo</t>
        </is>
      </c>
    </row>
    <row r="2322">
      <c r="A2322" t="inlineStr">
        <is>
          <t>Drew Charles</t>
        </is>
      </c>
      <c r="B2322" t="inlineStr">
        <is>
          <t>Attendee</t>
        </is>
      </c>
      <c r="C2322" t="inlineStr">
        <is>
          <t>VP, Commercial Strategy</t>
        </is>
      </c>
      <c r="D2322" t="inlineStr">
        <is>
          <t>MySavant.ai</t>
        </is>
      </c>
      <c r="E2322" t="inlineStr">
        <is>
          <t>United States</t>
        </is>
      </c>
      <c r="F2322" t="inlineStr">
        <is>
          <t>Yes</t>
        </is>
      </c>
      <c r="H2322" t="n">
        <v>6</v>
      </c>
      <c r="I2322" t="b">
        <v>0</v>
      </c>
      <c r="J2322" t="b">
        <v>1</v>
      </c>
      <c r="K2322" t="b">
        <v>0</v>
      </c>
      <c r="L2322" t="b">
        <v>0</v>
      </c>
      <c r="M2322" t="b">
        <v>0</v>
      </c>
      <c r="N2322">
        <f>IFERROR(INDEX('Company Hitlist'!$AA:$AA,MATCH(D2322,'Company Hitlist'!$A:$A,0)),)</f>
        <v/>
      </c>
      <c r="O2322">
        <f>IFERROR(INDEX('Company Hitlist'!$N:$N,MATCH(D2322,'Company Hitlist'!$A:$A,0)),)</f>
        <v/>
      </c>
      <c r="Q2322" t="inlineStr">
        <is>
          <t>todo</t>
        </is>
      </c>
    </row>
    <row r="2323">
      <c r="A2323" t="inlineStr">
        <is>
          <t>Hunter Bell</t>
        </is>
      </c>
      <c r="B2323" t="inlineStr">
        <is>
          <t>Attendee</t>
        </is>
      </c>
      <c r="C2323" t="inlineStr">
        <is>
          <t>CEO</t>
        </is>
      </c>
      <c r="D2323" t="inlineStr">
        <is>
          <t>MySavant.ai</t>
        </is>
      </c>
      <c r="E2323" t="inlineStr">
        <is>
          <t>United States</t>
        </is>
      </c>
      <c r="F2323" t="inlineStr">
        <is>
          <t>Yes</t>
        </is>
      </c>
      <c r="H2323" t="n">
        <v>6</v>
      </c>
      <c r="I2323" t="b">
        <v>0</v>
      </c>
      <c r="J2323" t="b">
        <v>1</v>
      </c>
      <c r="K2323" t="b">
        <v>0</v>
      </c>
      <c r="L2323" t="b">
        <v>0</v>
      </c>
      <c r="M2323" t="b">
        <v>0</v>
      </c>
      <c r="N2323">
        <f>IFERROR(INDEX('Company Hitlist'!$AA:$AA,MATCH(D2323,'Company Hitlist'!$A:$A,0)),)</f>
        <v/>
      </c>
      <c r="O2323">
        <f>IFERROR(INDEX('Company Hitlist'!$N:$N,MATCH(D2323,'Company Hitlist'!$A:$A,0)),)</f>
        <v/>
      </c>
      <c r="Q2323" t="inlineStr">
        <is>
          <t>todo</t>
        </is>
      </c>
    </row>
    <row r="2324">
      <c r="A2324" t="inlineStr">
        <is>
          <t>Adam Isenberg</t>
        </is>
      </c>
      <c r="B2324" t="inlineStr">
        <is>
          <t>Attendee</t>
        </is>
      </c>
      <c r="C2324" t="inlineStr">
        <is>
          <t>Senior Vice President of Strategic Partnerships</t>
        </is>
      </c>
      <c r="D2324" t="inlineStr">
        <is>
          <t>NAW</t>
        </is>
      </c>
      <c r="E2324" t="inlineStr">
        <is>
          <t>United States</t>
        </is>
      </c>
      <c r="H2324" t="n">
        <v>6</v>
      </c>
      <c r="I2324" t="b">
        <v>0</v>
      </c>
      <c r="J2324" t="b">
        <v>1</v>
      </c>
      <c r="K2324" t="b">
        <v>0</v>
      </c>
      <c r="L2324" t="b">
        <v>0</v>
      </c>
      <c r="M2324" t="b">
        <v>0</v>
      </c>
      <c r="N2324">
        <f>IFERROR(INDEX('Company Hitlist'!$AA:$AA,MATCH(D2324,'Company Hitlist'!$A:$A,0)),)</f>
        <v/>
      </c>
      <c r="O2324">
        <f>IFERROR(INDEX('Company Hitlist'!$N:$N,MATCH(D2324,'Company Hitlist'!$A:$A,0)),)</f>
        <v/>
      </c>
      <c r="Q2324" t="inlineStr">
        <is>
          <t>todo</t>
        </is>
      </c>
    </row>
    <row r="2325">
      <c r="A2325" t="inlineStr">
        <is>
          <t>Kevin Patterson</t>
        </is>
      </c>
      <c r="B2325" t="inlineStr">
        <is>
          <t>Attendee</t>
        </is>
      </c>
      <c r="C2325" t="inlineStr">
        <is>
          <t>President</t>
        </is>
      </c>
      <c r="D2325" t="inlineStr">
        <is>
          <t>NFI Distribution</t>
        </is>
      </c>
      <c r="F2325" t="inlineStr">
        <is>
          <t>Yes</t>
        </is>
      </c>
      <c r="H2325" t="n">
        <v>6</v>
      </c>
      <c r="I2325" t="b">
        <v>0</v>
      </c>
      <c r="J2325" t="b">
        <v>1</v>
      </c>
      <c r="K2325" t="b">
        <v>0</v>
      </c>
      <c r="L2325" t="b">
        <v>0</v>
      </c>
      <c r="M2325" t="b">
        <v>0</v>
      </c>
      <c r="N2325">
        <f>IFERROR(INDEX('Company Hitlist'!$AA:$AA,MATCH(D2325,'Company Hitlist'!$A:$A,0)),)</f>
        <v/>
      </c>
      <c r="O2325">
        <f>IFERROR(INDEX('Company Hitlist'!$N:$N,MATCH(D2325,'Company Hitlist'!$A:$A,0)),)</f>
        <v/>
      </c>
      <c r="Q2325" t="inlineStr">
        <is>
          <t>todo</t>
        </is>
      </c>
    </row>
    <row r="2326">
      <c r="A2326" t="inlineStr">
        <is>
          <t>Rudee Bertie</t>
        </is>
      </c>
      <c r="B2326" t="inlineStr">
        <is>
          <t>Attendee</t>
        </is>
      </c>
      <c r="C2326" t="inlineStr">
        <is>
          <t>CEO</t>
        </is>
      </c>
      <c r="D2326" t="inlineStr">
        <is>
          <t>NONEXE LTD</t>
        </is>
      </c>
      <c r="E2326" t="inlineStr">
        <is>
          <t>United Kingdom</t>
        </is>
      </c>
      <c r="F2326" t="inlineStr">
        <is>
          <t>Yes</t>
        </is>
      </c>
      <c r="H2326" t="n">
        <v>6</v>
      </c>
      <c r="I2326" t="b">
        <v>0</v>
      </c>
      <c r="J2326" t="b">
        <v>1</v>
      </c>
      <c r="K2326" t="b">
        <v>0</v>
      </c>
      <c r="L2326" t="b">
        <v>0</v>
      </c>
      <c r="M2326" t="b">
        <v>0</v>
      </c>
      <c r="N2326">
        <f>IFERROR(INDEX('Company Hitlist'!$AA:$AA,MATCH(D2326,'Company Hitlist'!$A:$A,0)),)</f>
        <v/>
      </c>
      <c r="O2326">
        <f>IFERROR(INDEX('Company Hitlist'!$N:$N,MATCH(D2326,'Company Hitlist'!$A:$A,0)),)</f>
        <v/>
      </c>
      <c r="Q2326" t="inlineStr">
        <is>
          <t>todo</t>
        </is>
      </c>
    </row>
    <row r="2327">
      <c r="A2327" t="inlineStr">
        <is>
          <t>Jon Hoch</t>
        </is>
      </c>
      <c r="B2327" t="inlineStr">
        <is>
          <t>Attendee</t>
        </is>
      </c>
      <c r="C2327" t="inlineStr">
        <is>
          <t>COO</t>
        </is>
      </c>
      <c r="D2327" t="inlineStr">
        <is>
          <t>NRS</t>
        </is>
      </c>
      <c r="F2327" t="inlineStr">
        <is>
          <t>Yes</t>
        </is>
      </c>
      <c r="H2327" t="n">
        <v>6</v>
      </c>
      <c r="I2327" t="b">
        <v>0</v>
      </c>
      <c r="J2327" t="b">
        <v>1</v>
      </c>
      <c r="K2327" t="b">
        <v>0</v>
      </c>
      <c r="L2327" t="b">
        <v>0</v>
      </c>
      <c r="M2327" t="b">
        <v>0</v>
      </c>
      <c r="N2327">
        <f>IFERROR(INDEX('Company Hitlist'!$AA:$AA,MATCH(D2327,'Company Hitlist'!$A:$A,0)),)</f>
        <v/>
      </c>
      <c r="O2327">
        <f>IFERROR(INDEX('Company Hitlist'!$N:$N,MATCH(D2327,'Company Hitlist'!$A:$A,0)),)</f>
        <v/>
      </c>
      <c r="Q2327" t="inlineStr">
        <is>
          <t>todo</t>
        </is>
      </c>
    </row>
    <row r="2328">
      <c r="A2328" t="inlineStr">
        <is>
          <t>Alex Fritz</t>
        </is>
      </c>
      <c r="B2328" t="inlineStr">
        <is>
          <t>Attendee</t>
        </is>
      </c>
      <c r="C2328" t="inlineStr">
        <is>
          <t>CFO</t>
        </is>
      </c>
      <c r="D2328" t="inlineStr">
        <is>
          <t>NT Logistics</t>
        </is>
      </c>
      <c r="F2328" t="inlineStr">
        <is>
          <t>Yes</t>
        </is>
      </c>
      <c r="H2328" t="n">
        <v>6</v>
      </c>
      <c r="I2328" t="b">
        <v>0</v>
      </c>
      <c r="J2328" t="b">
        <v>1</v>
      </c>
      <c r="K2328" t="b">
        <v>0</v>
      </c>
      <c r="L2328" t="b">
        <v>0</v>
      </c>
      <c r="M2328" t="b">
        <v>0</v>
      </c>
      <c r="N2328">
        <f>IFERROR(INDEX('Company Hitlist'!$AA:$AA,MATCH(D2328,'Company Hitlist'!$A:$A,0)),)</f>
        <v/>
      </c>
      <c r="O2328">
        <f>IFERROR(INDEX('Company Hitlist'!$N:$N,MATCH(D2328,'Company Hitlist'!$A:$A,0)),)</f>
        <v/>
      </c>
      <c r="Q2328" t="inlineStr">
        <is>
          <t>todo</t>
        </is>
      </c>
    </row>
    <row r="2329">
      <c r="A2329" t="inlineStr">
        <is>
          <t>Lynn Gravley</t>
        </is>
      </c>
      <c r="B2329" t="inlineStr">
        <is>
          <t>Attendee</t>
        </is>
      </c>
      <c r="C2329" t="inlineStr">
        <is>
          <t>CEO</t>
        </is>
      </c>
      <c r="D2329" t="inlineStr">
        <is>
          <t>NT Logistics</t>
        </is>
      </c>
      <c r="F2329" t="inlineStr">
        <is>
          <t>Yes</t>
        </is>
      </c>
      <c r="H2329" t="n">
        <v>6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  <c r="N2329">
        <f>IFERROR(INDEX('Company Hitlist'!$AA:$AA,MATCH(D2329,'Company Hitlist'!$A:$A,0)),)</f>
        <v/>
      </c>
      <c r="O2329">
        <f>IFERROR(INDEX('Company Hitlist'!$N:$N,MATCH(D2329,'Company Hitlist'!$A:$A,0)),)</f>
        <v/>
      </c>
      <c r="Q2329" t="inlineStr">
        <is>
          <t>todo</t>
        </is>
      </c>
    </row>
    <row r="2330">
      <c r="A2330" t="inlineStr">
        <is>
          <t>Glen Ives</t>
        </is>
      </c>
      <c r="B2330" t="inlineStr">
        <is>
          <t>Attendee</t>
        </is>
      </c>
      <c r="C2330" t="inlineStr">
        <is>
          <t>SVP, Commercial</t>
        </is>
      </c>
      <c r="D2330" t="inlineStr">
        <is>
          <t>NYSHEX</t>
        </is>
      </c>
      <c r="E2330" t="inlineStr">
        <is>
          <t>United States</t>
        </is>
      </c>
      <c r="F2330" t="inlineStr">
        <is>
          <t>Yes</t>
        </is>
      </c>
      <c r="H2330" t="n">
        <v>6</v>
      </c>
      <c r="I2330" t="b">
        <v>0</v>
      </c>
      <c r="J2330" t="b">
        <v>1</v>
      </c>
      <c r="K2330" t="b">
        <v>0</v>
      </c>
      <c r="L2330" t="b">
        <v>0</v>
      </c>
      <c r="M2330" t="b">
        <v>0</v>
      </c>
      <c r="N2330">
        <f>IFERROR(INDEX('Company Hitlist'!$AA:$AA,MATCH(D2330,'Company Hitlist'!$A:$A,0)),)</f>
        <v/>
      </c>
      <c r="O2330">
        <f>IFERROR(INDEX('Company Hitlist'!$N:$N,MATCH(D2330,'Company Hitlist'!$A:$A,0)),)</f>
        <v/>
      </c>
      <c r="Q2330" t="inlineStr">
        <is>
          <t>todo</t>
        </is>
      </c>
    </row>
    <row r="2331">
      <c r="A2331" t="inlineStr">
        <is>
          <t>Karina Cooper</t>
        </is>
      </c>
      <c r="B2331" t="inlineStr">
        <is>
          <t>Attendee</t>
        </is>
      </c>
      <c r="C2331" t="inlineStr">
        <is>
          <t>VP of Commercial</t>
        </is>
      </c>
      <c r="D2331" t="inlineStr">
        <is>
          <t>NYSHEX, LLC</t>
        </is>
      </c>
      <c r="E2331" t="inlineStr">
        <is>
          <t>United States</t>
        </is>
      </c>
      <c r="F2331" t="inlineStr">
        <is>
          <t>Yes</t>
        </is>
      </c>
      <c r="H2331" t="n">
        <v>6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  <c r="N2331">
        <f>IFERROR(INDEX('Company Hitlist'!$AA:$AA,MATCH(D2331,'Company Hitlist'!$A:$A,0)),)</f>
        <v/>
      </c>
      <c r="O2331">
        <f>IFERROR(INDEX('Company Hitlist'!$N:$N,MATCH(D2331,'Company Hitlist'!$A:$A,0)),)</f>
        <v/>
      </c>
      <c r="Q2331" t="inlineStr">
        <is>
          <t>todo</t>
        </is>
      </c>
    </row>
    <row r="2332">
      <c r="A2332" t="inlineStr">
        <is>
          <t>Lindsey Billing</t>
        </is>
      </c>
      <c r="B2332" t="inlineStr">
        <is>
          <t>Attendee</t>
        </is>
      </c>
      <c r="C2332" t="inlineStr">
        <is>
          <t>EVP, Technology</t>
        </is>
      </c>
      <c r="D2332" t="inlineStr">
        <is>
          <t>National Logistics Services</t>
        </is>
      </c>
      <c r="F2332" t="inlineStr">
        <is>
          <t>Yes</t>
        </is>
      </c>
      <c r="H2332" t="n">
        <v>6</v>
      </c>
      <c r="I2332" t="b">
        <v>0</v>
      </c>
      <c r="J2332" t="b">
        <v>1</v>
      </c>
      <c r="K2332" t="b">
        <v>0</v>
      </c>
      <c r="L2332" t="b">
        <v>0</v>
      </c>
      <c r="M2332" t="b">
        <v>0</v>
      </c>
      <c r="N2332">
        <f>IFERROR(INDEX('Company Hitlist'!$AA:$AA,MATCH(D2332,'Company Hitlist'!$A:$A,0)),)</f>
        <v/>
      </c>
      <c r="O2332">
        <f>IFERROR(INDEX('Company Hitlist'!$N:$N,MATCH(D2332,'Company Hitlist'!$A:$A,0)),)</f>
        <v/>
      </c>
      <c r="Q2332" t="inlineStr">
        <is>
          <t>todo</t>
        </is>
      </c>
    </row>
    <row r="2333">
      <c r="A2333" t="inlineStr">
        <is>
          <t>Eric Krueger</t>
        </is>
      </c>
      <c r="B2333" t="inlineStr">
        <is>
          <t>Attendee</t>
        </is>
      </c>
      <c r="C2333" t="inlineStr">
        <is>
          <t>CEO and Co-founder</t>
        </is>
      </c>
      <c r="D2333" t="inlineStr">
        <is>
          <t>Navix</t>
        </is>
      </c>
      <c r="F2333" t="inlineStr">
        <is>
          <t>Yes</t>
        </is>
      </c>
      <c r="H2333" t="n">
        <v>6</v>
      </c>
      <c r="I2333" t="b">
        <v>0</v>
      </c>
      <c r="J2333" t="b">
        <v>1</v>
      </c>
      <c r="K2333" t="b">
        <v>0</v>
      </c>
      <c r="L2333" t="b">
        <v>0</v>
      </c>
      <c r="M2333" t="b">
        <v>0</v>
      </c>
      <c r="N2333">
        <f>IFERROR(INDEX('Company Hitlist'!$AA:$AA,MATCH(D2333,'Company Hitlist'!$A:$A,0)),)</f>
        <v/>
      </c>
      <c r="O2333">
        <f>IFERROR(INDEX('Company Hitlist'!$N:$N,MATCH(D2333,'Company Hitlist'!$A:$A,0)),)</f>
        <v/>
      </c>
      <c r="Q2333" t="inlineStr">
        <is>
          <t>todo</t>
        </is>
      </c>
    </row>
    <row r="2334">
      <c r="A2334" t="inlineStr">
        <is>
          <t>Tamara Draeger</t>
        </is>
      </c>
      <c r="B2334" t="inlineStr">
        <is>
          <t>Attendee</t>
        </is>
      </c>
      <c r="C2334" t="inlineStr">
        <is>
          <t>President</t>
        </is>
      </c>
      <c r="D2334" t="inlineStr">
        <is>
          <t>Nebraska Warehouse Co.</t>
        </is>
      </c>
      <c r="F2334" t="inlineStr">
        <is>
          <t>Yes</t>
        </is>
      </c>
      <c r="H2334" t="n">
        <v>6</v>
      </c>
      <c r="I2334" t="b">
        <v>0</v>
      </c>
      <c r="J2334" t="b">
        <v>1</v>
      </c>
      <c r="K2334" t="b">
        <v>0</v>
      </c>
      <c r="L2334" t="b">
        <v>0</v>
      </c>
      <c r="M2334" t="b">
        <v>0</v>
      </c>
      <c r="N2334">
        <f>IFERROR(INDEX('Company Hitlist'!$AA:$AA,MATCH(D2334,'Company Hitlist'!$A:$A,0)),)</f>
        <v/>
      </c>
      <c r="O2334">
        <f>IFERROR(INDEX('Company Hitlist'!$N:$N,MATCH(D2334,'Company Hitlist'!$A:$A,0)),)</f>
        <v/>
      </c>
      <c r="Q2334" t="inlineStr">
        <is>
          <t>todo</t>
        </is>
      </c>
    </row>
    <row r="2335">
      <c r="A2335" t="inlineStr">
        <is>
          <t>Neil Arnott</t>
        </is>
      </c>
      <c r="B2335" t="inlineStr">
        <is>
          <t>Attendee</t>
        </is>
      </c>
      <c r="C2335" t="inlineStr">
        <is>
          <t>President</t>
        </is>
      </c>
      <c r="D2335" t="inlineStr">
        <is>
          <t>Neil’s Natterings</t>
        </is>
      </c>
      <c r="E2335" t="inlineStr">
        <is>
          <t>Canada</t>
        </is>
      </c>
      <c r="H2335" t="n">
        <v>6</v>
      </c>
      <c r="I2335" t="b">
        <v>0</v>
      </c>
      <c r="J2335" t="b">
        <v>1</v>
      </c>
      <c r="K2335" t="b">
        <v>0</v>
      </c>
      <c r="L2335" t="b">
        <v>0</v>
      </c>
      <c r="M2335" t="b">
        <v>0</v>
      </c>
      <c r="N2335">
        <f>IFERROR(INDEX('Company Hitlist'!$AA:$AA,MATCH(D2335,'Company Hitlist'!$A:$A,0)),)</f>
        <v/>
      </c>
      <c r="O2335">
        <f>IFERROR(INDEX('Company Hitlist'!$N:$N,MATCH(D2335,'Company Hitlist'!$A:$A,0)),)</f>
        <v/>
      </c>
      <c r="Q2335" t="inlineStr">
        <is>
          <t>todo</t>
        </is>
      </c>
    </row>
    <row r="2336">
      <c r="A2336" t="inlineStr">
        <is>
          <t>Mike Fahy</t>
        </is>
      </c>
      <c r="B2336" t="inlineStr">
        <is>
          <t>Attendee</t>
        </is>
      </c>
      <c r="C2336" t="inlineStr">
        <is>
          <t>Chief Executive Officer</t>
        </is>
      </c>
      <c r="D2336" t="inlineStr">
        <is>
          <t>Neovia Logistics</t>
        </is>
      </c>
      <c r="E2336" t="inlineStr">
        <is>
          <t>United States</t>
        </is>
      </c>
      <c r="F2336" t="inlineStr">
        <is>
          <t>Yes</t>
        </is>
      </c>
      <c r="G2336" t="inlineStr">
        <is>
          <t>$2.4 billion (2025)</t>
        </is>
      </c>
      <c r="H2336" t="n">
        <v>6</v>
      </c>
      <c r="I2336" t="b">
        <v>0</v>
      </c>
      <c r="J2336" t="b">
        <v>1</v>
      </c>
      <c r="K2336" t="b">
        <v>0</v>
      </c>
      <c r="L2336" t="b">
        <v>0</v>
      </c>
      <c r="M2336" t="b">
        <v>0</v>
      </c>
      <c r="N2336">
        <f>IFERROR(INDEX('Company Hitlist'!$AA:$AA,MATCH(D2336,'Company Hitlist'!$A:$A,0)),)</f>
        <v/>
      </c>
      <c r="O2336">
        <f>IFERROR(INDEX('Company Hitlist'!$N:$N,MATCH(D2336,'Company Hitlist'!$A:$A,0)),)</f>
        <v/>
      </c>
      <c r="Q2336" t="inlineStr">
        <is>
          <t>todo</t>
        </is>
      </c>
    </row>
    <row r="2337">
      <c r="A2337" t="inlineStr">
        <is>
          <t>Charles Eisenbarth</t>
        </is>
      </c>
      <c r="B2337" t="inlineStr">
        <is>
          <t>Attendee</t>
        </is>
      </c>
      <c r="C2337" t="inlineStr">
        <is>
          <t>Solutions Chief and Officer</t>
        </is>
      </c>
      <c r="D2337" t="inlineStr">
        <is>
          <t>Nest Bedding</t>
        </is>
      </c>
      <c r="E2337" t="inlineStr">
        <is>
          <t>United States</t>
        </is>
      </c>
      <c r="F2337" t="inlineStr">
        <is>
          <t>Yes</t>
        </is>
      </c>
      <c r="H2337" t="n">
        <v>6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>
        <f>IFERROR(INDEX('Company Hitlist'!$AA:$AA,MATCH(D2337,'Company Hitlist'!$A:$A,0)),)</f>
        <v/>
      </c>
      <c r="O2337">
        <f>IFERROR(INDEX('Company Hitlist'!$N:$N,MATCH(D2337,'Company Hitlist'!$A:$A,0)),)</f>
        <v/>
      </c>
      <c r="Q2337" t="inlineStr">
        <is>
          <t>todo</t>
        </is>
      </c>
    </row>
    <row r="2338">
      <c r="A2338" t="inlineStr">
        <is>
          <t>John Verdon</t>
        </is>
      </c>
      <c r="B2338" t="inlineStr">
        <is>
          <t>Attendee</t>
        </is>
      </c>
      <c r="C2338" t="inlineStr">
        <is>
          <t>Chief Commercial Officer</t>
        </is>
      </c>
      <c r="D2338" t="inlineStr">
        <is>
          <t>Nevoya</t>
        </is>
      </c>
      <c r="E2338" t="inlineStr">
        <is>
          <t>United States</t>
        </is>
      </c>
      <c r="F2338" t="inlineStr">
        <is>
          <t>Yes</t>
        </is>
      </c>
      <c r="H2338" t="n">
        <v>6</v>
      </c>
      <c r="I2338" t="b">
        <v>0</v>
      </c>
      <c r="J2338" t="b">
        <v>1</v>
      </c>
      <c r="K2338" t="b">
        <v>0</v>
      </c>
      <c r="L2338" t="b">
        <v>0</v>
      </c>
      <c r="M2338" t="b">
        <v>0</v>
      </c>
      <c r="N2338">
        <f>IFERROR(INDEX('Company Hitlist'!$AA:$AA,MATCH(D2338,'Company Hitlist'!$A:$A,0)),)</f>
        <v/>
      </c>
      <c r="O2338">
        <f>IFERROR(INDEX('Company Hitlist'!$N:$N,MATCH(D2338,'Company Hitlist'!$A:$A,0)),)</f>
        <v/>
      </c>
      <c r="Q2338" t="inlineStr">
        <is>
          <t>todo</t>
        </is>
      </c>
    </row>
    <row r="2339">
      <c r="A2339" t="inlineStr">
        <is>
          <t>Rod Annis</t>
        </is>
      </c>
      <c r="B2339" t="inlineStr">
        <is>
          <t>Attendee</t>
        </is>
      </c>
      <c r="C2339" t="inlineStr">
        <is>
          <t>President</t>
        </is>
      </c>
      <c r="D2339" t="inlineStr">
        <is>
          <t>New Hawk Xpress/Evans Network</t>
        </is>
      </c>
      <c r="F2339" t="inlineStr">
        <is>
          <t>Yes</t>
        </is>
      </c>
      <c r="H2339" t="n">
        <v>6</v>
      </c>
      <c r="I2339" t="b">
        <v>0</v>
      </c>
      <c r="J2339" t="b">
        <v>1</v>
      </c>
      <c r="K2339" t="b">
        <v>0</v>
      </c>
      <c r="L2339" t="b">
        <v>0</v>
      </c>
      <c r="M2339" t="b">
        <v>0</v>
      </c>
      <c r="N2339">
        <f>IFERROR(INDEX('Company Hitlist'!$AA:$AA,MATCH(D2339,'Company Hitlist'!$A:$A,0)),)</f>
        <v/>
      </c>
      <c r="O2339">
        <f>IFERROR(INDEX('Company Hitlist'!$N:$N,MATCH(D2339,'Company Hitlist'!$A:$A,0)),)</f>
        <v/>
      </c>
      <c r="Q2339" t="inlineStr">
        <is>
          <t>todo</t>
        </is>
      </c>
    </row>
    <row r="2340">
      <c r="A2340" t="inlineStr">
        <is>
          <t>Christina Estrella</t>
        </is>
      </c>
      <c r="B2340" t="inlineStr">
        <is>
          <t>Attendee</t>
        </is>
      </c>
      <c r="C2340" t="inlineStr">
        <is>
          <t>CEO &amp; Founder</t>
        </is>
      </c>
      <c r="D2340" t="inlineStr">
        <is>
          <t>Newbie Foods</t>
        </is>
      </c>
      <c r="F2340" t="inlineStr">
        <is>
          <t>Yes</t>
        </is>
      </c>
      <c r="H2340" t="n">
        <v>6</v>
      </c>
      <c r="I2340" t="b">
        <v>0</v>
      </c>
      <c r="J2340" t="b">
        <v>1</v>
      </c>
      <c r="K2340" t="b">
        <v>0</v>
      </c>
      <c r="L2340" t="b">
        <v>0</v>
      </c>
      <c r="M2340" t="b">
        <v>0</v>
      </c>
      <c r="N2340">
        <f>IFERROR(INDEX('Company Hitlist'!$AA:$AA,MATCH(D2340,'Company Hitlist'!$A:$A,0)),)</f>
        <v/>
      </c>
      <c r="O2340">
        <f>IFERROR(INDEX('Company Hitlist'!$N:$N,MATCH(D2340,'Company Hitlist'!$A:$A,0)),)</f>
        <v/>
      </c>
      <c r="Q2340" t="inlineStr">
        <is>
          <t>todo</t>
        </is>
      </c>
    </row>
    <row r="2341">
      <c r="A2341" t="inlineStr">
        <is>
          <t>Daniel Bailey</t>
        </is>
      </c>
      <c r="B2341" t="inlineStr">
        <is>
          <t>Attendee</t>
        </is>
      </c>
      <c r="C2341" t="inlineStr">
        <is>
          <t>CEO</t>
        </is>
      </c>
      <c r="D2341" t="inlineStr">
        <is>
          <t>Nexcade AI</t>
        </is>
      </c>
      <c r="E2341" t="inlineStr">
        <is>
          <t>United Kingdom</t>
        </is>
      </c>
      <c r="F2341" t="inlineStr">
        <is>
          <t>Yes</t>
        </is>
      </c>
      <c r="H2341" t="n">
        <v>6</v>
      </c>
      <c r="I2341" t="b">
        <v>0</v>
      </c>
      <c r="J2341" t="b">
        <v>1</v>
      </c>
      <c r="K2341" t="b">
        <v>0</v>
      </c>
      <c r="L2341" t="b">
        <v>0</v>
      </c>
      <c r="M2341" t="b">
        <v>0</v>
      </c>
      <c r="N2341">
        <f>IFERROR(INDEX('Company Hitlist'!$AA:$AA,MATCH(D2341,'Company Hitlist'!$A:$A,0)),)</f>
        <v/>
      </c>
      <c r="O2341">
        <f>IFERROR(INDEX('Company Hitlist'!$N:$N,MATCH(D2341,'Company Hitlist'!$A:$A,0)),)</f>
        <v/>
      </c>
      <c r="Q2341" t="inlineStr">
        <is>
          <t>todo</t>
        </is>
      </c>
    </row>
    <row r="2342">
      <c r="A2342" t="inlineStr">
        <is>
          <t>Anthony Moniello</t>
        </is>
      </c>
      <c r="B2342" t="inlineStr">
        <is>
          <t>Attendee</t>
        </is>
      </c>
      <c r="C2342" t="inlineStr">
        <is>
          <t>CEO</t>
        </is>
      </c>
      <c r="D2342" t="inlineStr">
        <is>
          <t>Next Century Spirits</t>
        </is>
      </c>
      <c r="F2342" t="inlineStr">
        <is>
          <t>Yes</t>
        </is>
      </c>
      <c r="H2342" t="n">
        <v>6</v>
      </c>
      <c r="I2342" t="b">
        <v>0</v>
      </c>
      <c r="J2342" t="b">
        <v>1</v>
      </c>
      <c r="K2342" t="b">
        <v>0</v>
      </c>
      <c r="L2342" t="b">
        <v>0</v>
      </c>
      <c r="M2342" t="b">
        <v>0</v>
      </c>
      <c r="N2342">
        <f>IFERROR(INDEX('Company Hitlist'!$AA:$AA,MATCH(D2342,'Company Hitlist'!$A:$A,0)),)</f>
        <v/>
      </c>
      <c r="O2342">
        <f>IFERROR(INDEX('Company Hitlist'!$N:$N,MATCH(D2342,'Company Hitlist'!$A:$A,0)),)</f>
        <v/>
      </c>
      <c r="Q2342" t="inlineStr">
        <is>
          <t>todo</t>
        </is>
      </c>
    </row>
    <row r="2343">
      <c r="A2343" t="inlineStr">
        <is>
          <t>Ryan Polakoff</t>
        </is>
      </c>
      <c r="B2343" t="inlineStr">
        <is>
          <t>Attendee</t>
        </is>
      </c>
      <c r="C2343" t="inlineStr">
        <is>
          <t>President &amp; CEO</t>
        </is>
      </c>
      <c r="D2343" t="inlineStr">
        <is>
          <t>Nexterus</t>
        </is>
      </c>
      <c r="H2343" t="n">
        <v>6</v>
      </c>
      <c r="I2343" t="b">
        <v>0</v>
      </c>
      <c r="J2343" t="b">
        <v>1</v>
      </c>
      <c r="K2343" t="b">
        <v>0</v>
      </c>
      <c r="L2343" t="b">
        <v>0</v>
      </c>
      <c r="M2343" t="b">
        <v>0</v>
      </c>
      <c r="N2343">
        <f>IFERROR(INDEX('Company Hitlist'!$AA:$AA,MATCH(D2343,'Company Hitlist'!$A:$A,0)),)</f>
        <v/>
      </c>
      <c r="O2343">
        <f>IFERROR(INDEX('Company Hitlist'!$N:$N,MATCH(D2343,'Company Hitlist'!$A:$A,0)),)</f>
        <v/>
      </c>
      <c r="Q2343" t="inlineStr">
        <is>
          <t>todo</t>
        </is>
      </c>
    </row>
    <row r="2344">
      <c r="A2344" t="inlineStr">
        <is>
          <t>Ilia Smolov</t>
        </is>
      </c>
      <c r="B2344" t="inlineStr">
        <is>
          <t>Attendee</t>
        </is>
      </c>
      <c r="C2344" t="inlineStr">
        <is>
          <t>CEO</t>
        </is>
      </c>
      <c r="D2344" t="inlineStr">
        <is>
          <t>Node Systems Inc</t>
        </is>
      </c>
      <c r="E2344" t="inlineStr">
        <is>
          <t>United States</t>
        </is>
      </c>
      <c r="F2344" t="inlineStr">
        <is>
          <t>Yes</t>
        </is>
      </c>
      <c r="H2344" t="n">
        <v>6</v>
      </c>
      <c r="I2344" t="b">
        <v>0</v>
      </c>
      <c r="J2344" t="b">
        <v>1</v>
      </c>
      <c r="K2344" t="b">
        <v>0</v>
      </c>
      <c r="L2344" t="b">
        <v>0</v>
      </c>
      <c r="M2344" t="b">
        <v>0</v>
      </c>
      <c r="N2344">
        <f>IFERROR(INDEX('Company Hitlist'!$AA:$AA,MATCH(D2344,'Company Hitlist'!$A:$A,0)),)</f>
        <v/>
      </c>
      <c r="O2344">
        <f>IFERROR(INDEX('Company Hitlist'!$N:$N,MATCH(D2344,'Company Hitlist'!$A:$A,0)),)</f>
        <v/>
      </c>
      <c r="Q2344" t="inlineStr">
        <is>
          <t>todo</t>
        </is>
      </c>
    </row>
    <row r="2345">
      <c r="A2345" t="inlineStr">
        <is>
          <t>Nikita Rushmanov</t>
        </is>
      </c>
      <c r="B2345" t="inlineStr">
        <is>
          <t>Attendee</t>
        </is>
      </c>
      <c r="C2345" t="inlineStr">
        <is>
          <t>CTO</t>
        </is>
      </c>
      <c r="D2345" t="inlineStr">
        <is>
          <t>Node Systems Inc</t>
        </is>
      </c>
      <c r="E2345" t="inlineStr">
        <is>
          <t>United States</t>
        </is>
      </c>
      <c r="F2345" t="inlineStr">
        <is>
          <t>Yes</t>
        </is>
      </c>
      <c r="H2345" t="n">
        <v>6</v>
      </c>
      <c r="I2345" t="b">
        <v>0</v>
      </c>
      <c r="J2345" t="b">
        <v>1</v>
      </c>
      <c r="K2345" t="b">
        <v>0</v>
      </c>
      <c r="L2345" t="b">
        <v>0</v>
      </c>
      <c r="M2345" t="b">
        <v>0</v>
      </c>
      <c r="N2345">
        <f>IFERROR(INDEX('Company Hitlist'!$AA:$AA,MATCH(D2345,'Company Hitlist'!$A:$A,0)),)</f>
        <v/>
      </c>
      <c r="O2345">
        <f>IFERROR(INDEX('Company Hitlist'!$N:$N,MATCH(D2345,'Company Hitlist'!$A:$A,0)),)</f>
        <v/>
      </c>
      <c r="Q2345" t="inlineStr">
        <is>
          <t>todo</t>
        </is>
      </c>
    </row>
    <row r="2346">
      <c r="A2346" t="inlineStr">
        <is>
          <t>Madeline McIntyre</t>
        </is>
      </c>
      <c r="B2346" t="inlineStr">
        <is>
          <t>Attendee</t>
        </is>
      </c>
      <c r="C2346" t="inlineStr">
        <is>
          <t>CEO</t>
        </is>
      </c>
      <c r="D2346" t="inlineStr">
        <is>
          <t>Nok Recommerce</t>
        </is>
      </c>
      <c r="E2346" t="inlineStr">
        <is>
          <t>United States</t>
        </is>
      </c>
      <c r="F2346" t="inlineStr">
        <is>
          <t>Yes</t>
        </is>
      </c>
      <c r="H2346" t="n">
        <v>6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  <c r="N2346">
        <f>IFERROR(INDEX('Company Hitlist'!$AA:$AA,MATCH(D2346,'Company Hitlist'!$A:$A,0)),)</f>
        <v/>
      </c>
      <c r="O2346">
        <f>IFERROR(INDEX('Company Hitlist'!$N:$N,MATCH(D2346,'Company Hitlist'!$A:$A,0)),)</f>
        <v/>
      </c>
      <c r="Q2346" t="inlineStr">
        <is>
          <t>todo</t>
        </is>
      </c>
    </row>
    <row r="2347">
      <c r="A2347" t="inlineStr">
        <is>
          <t>Mina De Olivera</t>
        </is>
      </c>
      <c r="B2347" t="inlineStr">
        <is>
          <t>Attendee</t>
        </is>
      </c>
      <c r="C2347" t="inlineStr">
        <is>
          <t>VP Digital</t>
        </is>
      </c>
      <c r="D2347" t="inlineStr">
        <is>
          <t>Norfolk Southern</t>
        </is>
      </c>
      <c r="F2347" t="inlineStr">
        <is>
          <t>Yes</t>
        </is>
      </c>
      <c r="H2347" t="n">
        <v>6</v>
      </c>
      <c r="I2347" t="b">
        <v>0</v>
      </c>
      <c r="J2347" t="b">
        <v>1</v>
      </c>
      <c r="K2347" t="b">
        <v>0</v>
      </c>
      <c r="L2347" t="b">
        <v>0</v>
      </c>
      <c r="M2347" t="b">
        <v>0</v>
      </c>
      <c r="N2347">
        <f>IFERROR(INDEX('Company Hitlist'!$AA:$AA,MATCH(D2347,'Company Hitlist'!$A:$A,0)),)</f>
        <v/>
      </c>
      <c r="O2347">
        <f>IFERROR(INDEX('Company Hitlist'!$N:$N,MATCH(D2347,'Company Hitlist'!$A:$A,0)),)</f>
        <v/>
      </c>
      <c r="Q2347" t="inlineStr">
        <is>
          <t>todo</t>
        </is>
      </c>
    </row>
    <row r="2348">
      <c r="A2348" t="inlineStr">
        <is>
          <t>Greg Younghans</t>
        </is>
      </c>
      <c r="B2348" t="inlineStr">
        <is>
          <t>Attendee</t>
        </is>
      </c>
      <c r="C2348" t="inlineStr">
        <is>
          <t>President</t>
        </is>
      </c>
      <c r="D2348" t="inlineStr">
        <is>
          <t>Novo Logistics</t>
        </is>
      </c>
      <c r="E2348" t="inlineStr">
        <is>
          <t>United States</t>
        </is>
      </c>
      <c r="F2348" t="inlineStr">
        <is>
          <t>Yes</t>
        </is>
      </c>
      <c r="H2348" t="n">
        <v>6</v>
      </c>
      <c r="I2348" t="b">
        <v>0</v>
      </c>
      <c r="J2348" t="b">
        <v>1</v>
      </c>
      <c r="K2348" t="b">
        <v>0</v>
      </c>
      <c r="L2348" t="b">
        <v>0</v>
      </c>
      <c r="M2348" t="b">
        <v>0</v>
      </c>
      <c r="N2348">
        <f>IFERROR(INDEX('Company Hitlist'!$AA:$AA,MATCH(D2348,'Company Hitlist'!$A:$A,0)),)</f>
        <v/>
      </c>
      <c r="O2348">
        <f>IFERROR(INDEX('Company Hitlist'!$N:$N,MATCH(D2348,'Company Hitlist'!$A:$A,0)),)</f>
        <v/>
      </c>
      <c r="Q2348" t="inlineStr">
        <is>
          <t>todo</t>
        </is>
      </c>
    </row>
    <row r="2349">
      <c r="A2349" t="inlineStr">
        <is>
          <t>Jason Tham</t>
        </is>
      </c>
      <c r="B2349" t="inlineStr">
        <is>
          <t>Attendee</t>
        </is>
      </c>
      <c r="C2349" t="inlineStr">
        <is>
          <t>Chief Innovation Officer, Founder</t>
        </is>
      </c>
      <c r="D2349" t="inlineStr">
        <is>
          <t>Nulogy</t>
        </is>
      </c>
      <c r="E2349" t="inlineStr">
        <is>
          <t>Canada</t>
        </is>
      </c>
      <c r="F2349" t="inlineStr">
        <is>
          <t>Yes</t>
        </is>
      </c>
      <c r="H2349" t="n">
        <v>6</v>
      </c>
      <c r="I2349" t="b">
        <v>0</v>
      </c>
      <c r="J2349" t="b">
        <v>1</v>
      </c>
      <c r="K2349" t="b">
        <v>0</v>
      </c>
      <c r="L2349" t="b">
        <v>0</v>
      </c>
      <c r="M2349" t="b">
        <v>0</v>
      </c>
      <c r="N2349">
        <f>IFERROR(INDEX('Company Hitlist'!$AA:$AA,MATCH(D2349,'Company Hitlist'!$A:$A,0)),)</f>
        <v/>
      </c>
      <c r="O2349">
        <f>IFERROR(INDEX('Company Hitlist'!$N:$N,MATCH(D2349,'Company Hitlist'!$A:$A,0)),)</f>
        <v/>
      </c>
      <c r="Q2349" t="inlineStr">
        <is>
          <t>todo</t>
        </is>
      </c>
    </row>
    <row r="2350">
      <c r="A2350" t="inlineStr">
        <is>
          <t>Julian Chuang</t>
        </is>
      </c>
      <c r="B2350" t="inlineStr">
        <is>
          <t>Attendee</t>
        </is>
      </c>
      <c r="C2350" t="inlineStr">
        <is>
          <t>Regional IT &amp; IS Head</t>
        </is>
      </c>
      <c r="D2350" t="inlineStr">
        <is>
          <t>OEC Group</t>
        </is>
      </c>
      <c r="F2350" t="inlineStr">
        <is>
          <t>Yes</t>
        </is>
      </c>
      <c r="H2350" t="n">
        <v>6</v>
      </c>
      <c r="I2350" t="b">
        <v>0</v>
      </c>
      <c r="J2350" t="b">
        <v>1</v>
      </c>
      <c r="K2350" t="b">
        <v>0</v>
      </c>
      <c r="L2350" t="b">
        <v>0</v>
      </c>
      <c r="M2350" t="b">
        <v>0</v>
      </c>
      <c r="N2350">
        <f>IFERROR(INDEX('Company Hitlist'!$AA:$AA,MATCH(D2350,'Company Hitlist'!$A:$A,0)),)</f>
        <v/>
      </c>
      <c r="O2350">
        <f>IFERROR(INDEX('Company Hitlist'!$N:$N,MATCH(D2350,'Company Hitlist'!$A:$A,0)),)</f>
        <v/>
      </c>
      <c r="Q2350" t="inlineStr">
        <is>
          <t>todo</t>
        </is>
      </c>
    </row>
    <row r="2351">
      <c r="A2351" t="inlineStr">
        <is>
          <t>John Berry</t>
        </is>
      </c>
      <c r="B2351" t="inlineStr">
        <is>
          <t>Attendee</t>
        </is>
      </c>
      <c r="C2351" t="inlineStr">
        <is>
          <t>Senior Vice President of IT</t>
        </is>
      </c>
      <c r="D2351" t="inlineStr">
        <is>
          <t>OEC Group (Canada)</t>
        </is>
      </c>
      <c r="F2351" t="inlineStr">
        <is>
          <t>Yes</t>
        </is>
      </c>
      <c r="H2351" t="n">
        <v>6</v>
      </c>
      <c r="I2351" t="b">
        <v>0</v>
      </c>
      <c r="J2351" t="b">
        <v>1</v>
      </c>
      <c r="K2351" t="b">
        <v>0</v>
      </c>
      <c r="L2351" t="b">
        <v>0</v>
      </c>
      <c r="M2351" t="b">
        <v>0</v>
      </c>
      <c r="N2351">
        <f>IFERROR(INDEX('Company Hitlist'!$AA:$AA,MATCH(D2351,'Company Hitlist'!$A:$A,0)),)</f>
        <v/>
      </c>
      <c r="O2351">
        <f>IFERROR(INDEX('Company Hitlist'!$N:$N,MATCH(D2351,'Company Hitlist'!$A:$A,0)),)</f>
        <v/>
      </c>
      <c r="Q2351" t="inlineStr">
        <is>
          <t>todo</t>
        </is>
      </c>
    </row>
    <row r="2352">
      <c r="A2352" t="inlineStr">
        <is>
          <t>Ricky Giovannone</t>
        </is>
      </c>
      <c r="B2352" t="inlineStr">
        <is>
          <t>Attendee</t>
        </is>
      </c>
      <c r="C2352" t="inlineStr">
        <is>
          <t>President</t>
        </is>
      </c>
      <c r="D2352" t="inlineStr">
        <is>
          <t>OOCL Logistic</t>
        </is>
      </c>
      <c r="E2352" t="inlineStr">
        <is>
          <t>United States</t>
        </is>
      </c>
      <c r="F2352" t="inlineStr">
        <is>
          <t>Yes</t>
        </is>
      </c>
      <c r="H2352" t="n">
        <v>6</v>
      </c>
      <c r="I2352" t="b">
        <v>0</v>
      </c>
      <c r="J2352" t="b">
        <v>1</v>
      </c>
      <c r="K2352" t="b">
        <v>0</v>
      </c>
      <c r="L2352" t="b">
        <v>0</v>
      </c>
      <c r="M2352" t="b">
        <v>0</v>
      </c>
      <c r="N2352">
        <f>IFERROR(INDEX('Company Hitlist'!$AA:$AA,MATCH(D2352,'Company Hitlist'!$A:$A,0)),)</f>
        <v/>
      </c>
      <c r="O2352">
        <f>IFERROR(INDEX('Company Hitlist'!$N:$N,MATCH(D2352,'Company Hitlist'!$A:$A,0)),)</f>
        <v/>
      </c>
      <c r="Q2352" t="inlineStr">
        <is>
          <t>todo</t>
        </is>
      </c>
    </row>
    <row r="2353">
      <c r="A2353" t="inlineStr">
        <is>
          <t>Tom Donnelly</t>
        </is>
      </c>
      <c r="B2353" t="inlineStr">
        <is>
          <t>Attendee</t>
        </is>
      </c>
      <c r="C2353" t="inlineStr">
        <is>
          <t>VP of Business Process Systems</t>
        </is>
      </c>
      <c r="D2353" t="inlineStr">
        <is>
          <t>OOCL Logistics</t>
        </is>
      </c>
      <c r="E2353" t="inlineStr">
        <is>
          <t>United States</t>
        </is>
      </c>
      <c r="F2353" t="inlineStr">
        <is>
          <t>Yes</t>
        </is>
      </c>
      <c r="H2353" t="n">
        <v>6</v>
      </c>
      <c r="I2353" t="b">
        <v>0</v>
      </c>
      <c r="J2353" t="b">
        <v>1</v>
      </c>
      <c r="K2353" t="b">
        <v>0</v>
      </c>
      <c r="L2353" t="b">
        <v>0</v>
      </c>
      <c r="M2353" t="b">
        <v>0</v>
      </c>
      <c r="N2353">
        <f>IFERROR(INDEX('Company Hitlist'!$AA:$AA,MATCH(D2353,'Company Hitlist'!$A:$A,0)),)</f>
        <v/>
      </c>
      <c r="O2353">
        <f>IFERROR(INDEX('Company Hitlist'!$N:$N,MATCH(D2353,'Company Hitlist'!$A:$A,0)),)</f>
        <v/>
      </c>
      <c r="Q2353" t="inlineStr">
        <is>
          <t>todo</t>
        </is>
      </c>
    </row>
    <row r="2354">
      <c r="A2354" t="inlineStr">
        <is>
          <t>Brent Evans</t>
        </is>
      </c>
      <c r="B2354" t="inlineStr">
        <is>
          <t>Attendee</t>
        </is>
      </c>
      <c r="C2354" t="inlineStr">
        <is>
          <t>Vice President - Emerging Products</t>
        </is>
      </c>
      <c r="D2354" t="inlineStr">
        <is>
          <t>OTR Solutions</t>
        </is>
      </c>
      <c r="E2354" t="inlineStr">
        <is>
          <t>United States</t>
        </is>
      </c>
      <c r="H2354" t="n">
        <v>6</v>
      </c>
      <c r="I2354" t="b">
        <v>0</v>
      </c>
      <c r="J2354" t="b">
        <v>1</v>
      </c>
      <c r="K2354" t="b">
        <v>0</v>
      </c>
      <c r="L2354" t="b">
        <v>0</v>
      </c>
      <c r="M2354" t="b">
        <v>0</v>
      </c>
      <c r="N2354">
        <f>IFERROR(INDEX('Company Hitlist'!$AA:$AA,MATCH(D2354,'Company Hitlist'!$A:$A,0)),)</f>
        <v/>
      </c>
      <c r="O2354">
        <f>IFERROR(INDEX('Company Hitlist'!$N:$N,MATCH(D2354,'Company Hitlist'!$A:$A,0)),)</f>
        <v/>
      </c>
      <c r="Q2354" t="inlineStr">
        <is>
          <t>todo</t>
        </is>
      </c>
    </row>
    <row r="2355">
      <c r="A2355" t="inlineStr">
        <is>
          <t>Jonathan McCormack</t>
        </is>
      </c>
      <c r="B2355" t="inlineStr">
        <is>
          <t>Attendee</t>
        </is>
      </c>
      <c r="C2355" t="inlineStr">
        <is>
          <t>Senior Vice President - Broker Services</t>
        </is>
      </c>
      <c r="D2355" t="inlineStr">
        <is>
          <t>OTR Solutions</t>
        </is>
      </c>
      <c r="E2355" t="inlineStr">
        <is>
          <t>United States</t>
        </is>
      </c>
      <c r="H2355" t="n">
        <v>6</v>
      </c>
      <c r="I2355" t="b">
        <v>0</v>
      </c>
      <c r="J2355" t="b">
        <v>1</v>
      </c>
      <c r="K2355" t="b">
        <v>0</v>
      </c>
      <c r="L2355" t="b">
        <v>0</v>
      </c>
      <c r="M2355" t="b">
        <v>0</v>
      </c>
      <c r="N2355">
        <f>IFERROR(INDEX('Company Hitlist'!$AA:$AA,MATCH(D2355,'Company Hitlist'!$A:$A,0)),)</f>
        <v/>
      </c>
      <c r="O2355">
        <f>IFERROR(INDEX('Company Hitlist'!$N:$N,MATCH(D2355,'Company Hitlist'!$A:$A,0)),)</f>
        <v/>
      </c>
      <c r="Q2355" t="inlineStr">
        <is>
          <t>todo</t>
        </is>
      </c>
    </row>
    <row r="2356">
      <c r="A2356" t="inlineStr">
        <is>
          <t>Jeff Smith</t>
        </is>
      </c>
      <c r="B2356" t="inlineStr">
        <is>
          <t>Attendee</t>
        </is>
      </c>
      <c r="C2356" t="inlineStr">
        <is>
          <t>Chief Executive Officer</t>
        </is>
      </c>
      <c r="D2356" t="inlineStr">
        <is>
          <t>OVO Logistics</t>
        </is>
      </c>
      <c r="F2356" t="inlineStr">
        <is>
          <t>Yes</t>
        </is>
      </c>
      <c r="H2356" t="n">
        <v>6</v>
      </c>
      <c r="I2356" t="b">
        <v>0</v>
      </c>
      <c r="J2356" t="b">
        <v>1</v>
      </c>
      <c r="K2356" t="b">
        <v>0</v>
      </c>
      <c r="L2356" t="b">
        <v>0</v>
      </c>
      <c r="M2356" t="b">
        <v>0</v>
      </c>
      <c r="N2356">
        <f>IFERROR(INDEX('Company Hitlist'!$AA:$AA,MATCH(D2356,'Company Hitlist'!$A:$A,0)),)</f>
        <v/>
      </c>
      <c r="O2356">
        <f>IFERROR(INDEX('Company Hitlist'!$N:$N,MATCH(D2356,'Company Hitlist'!$A:$A,0)),)</f>
        <v/>
      </c>
      <c r="Q2356" t="inlineStr">
        <is>
          <t>todo</t>
        </is>
      </c>
    </row>
    <row r="2357">
      <c r="A2357" t="inlineStr">
        <is>
          <t>Eric Vander Pol</t>
        </is>
      </c>
      <c r="B2357" t="inlineStr">
        <is>
          <t>Attendee</t>
        </is>
      </c>
      <c r="C2357" t="inlineStr">
        <is>
          <t>Co-President</t>
        </is>
      </c>
      <c r="D2357" t="inlineStr">
        <is>
          <t>Oak Harbor Freight Lines</t>
        </is>
      </c>
      <c r="F2357" t="inlineStr">
        <is>
          <t>Yes</t>
        </is>
      </c>
      <c r="H2357" t="n">
        <v>6</v>
      </c>
      <c r="I2357" t="b">
        <v>0</v>
      </c>
      <c r="J2357" t="b">
        <v>1</v>
      </c>
      <c r="K2357" t="b">
        <v>0</v>
      </c>
      <c r="L2357" t="b">
        <v>0</v>
      </c>
      <c r="M2357" t="b">
        <v>0</v>
      </c>
      <c r="N2357">
        <f>IFERROR(INDEX('Company Hitlist'!$AA:$AA,MATCH(D2357,'Company Hitlist'!$A:$A,0)),)</f>
        <v/>
      </c>
      <c r="O2357">
        <f>IFERROR(INDEX('Company Hitlist'!$N:$N,MATCH(D2357,'Company Hitlist'!$A:$A,0)),)</f>
        <v/>
      </c>
      <c r="Q2357" t="inlineStr">
        <is>
          <t>todo</t>
        </is>
      </c>
    </row>
    <row r="2358">
      <c r="A2358" t="inlineStr">
        <is>
          <t>Albrecht Grell</t>
        </is>
      </c>
      <c r="B2358" t="inlineStr">
        <is>
          <t>Attendee</t>
        </is>
      </c>
      <c r="C2358" t="inlineStr">
        <is>
          <t>CEO</t>
        </is>
      </c>
      <c r="D2358" t="inlineStr">
        <is>
          <t>OceanScore</t>
        </is>
      </c>
      <c r="E2358" t="inlineStr">
        <is>
          <t>Germany</t>
        </is>
      </c>
      <c r="F2358" t="inlineStr">
        <is>
          <t>Yes</t>
        </is>
      </c>
      <c r="H2358" t="n">
        <v>6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  <c r="N2358">
        <f>IFERROR(INDEX('Company Hitlist'!$AA:$AA,MATCH(D2358,'Company Hitlist'!$A:$A,0)),)</f>
        <v/>
      </c>
      <c r="O2358">
        <f>IFERROR(INDEX('Company Hitlist'!$N:$N,MATCH(D2358,'Company Hitlist'!$A:$A,0)),)</f>
        <v/>
      </c>
      <c r="Q2358" t="inlineStr">
        <is>
          <t>todo</t>
        </is>
      </c>
    </row>
    <row r="2359">
      <c r="A2359" t="inlineStr">
        <is>
          <t>Brent Combs</t>
        </is>
      </c>
      <c r="B2359" t="inlineStr">
        <is>
          <t>Attendee</t>
        </is>
      </c>
      <c r="C2359" t="inlineStr">
        <is>
          <t>President</t>
        </is>
      </c>
      <c r="D2359" t="inlineStr">
        <is>
          <t>OfficeWorld</t>
        </is>
      </c>
      <c r="H2359" t="n">
        <v>6</v>
      </c>
      <c r="I2359" t="b">
        <v>0</v>
      </c>
      <c r="J2359" t="b">
        <v>1</v>
      </c>
      <c r="K2359" t="b">
        <v>0</v>
      </c>
      <c r="L2359" t="b">
        <v>0</v>
      </c>
      <c r="M2359" t="b">
        <v>0</v>
      </c>
      <c r="N2359">
        <f>IFERROR(INDEX('Company Hitlist'!$AA:$AA,MATCH(D2359,'Company Hitlist'!$A:$A,0)),)</f>
        <v/>
      </c>
      <c r="O2359">
        <f>IFERROR(INDEX('Company Hitlist'!$N:$N,MATCH(D2359,'Company Hitlist'!$A:$A,0)),)</f>
        <v/>
      </c>
      <c r="Q2359" t="inlineStr">
        <is>
          <t>todo</t>
        </is>
      </c>
    </row>
    <row r="2360">
      <c r="A2360" t="inlineStr">
        <is>
          <t>Marc Gyöngyösi</t>
        </is>
      </c>
      <c r="B2360" t="inlineStr">
        <is>
          <t>Attendee</t>
        </is>
      </c>
      <c r="C2360" t="inlineStr">
        <is>
          <t>CEO &amp; Founder</t>
        </is>
      </c>
      <c r="D2360" t="inlineStr">
        <is>
          <t>OneTrack</t>
        </is>
      </c>
      <c r="E2360" t="inlineStr">
        <is>
          <t>United States</t>
        </is>
      </c>
      <c r="F2360" t="inlineStr">
        <is>
          <t>Yes</t>
        </is>
      </c>
      <c r="H2360" t="n">
        <v>6</v>
      </c>
      <c r="I2360" t="b">
        <v>0</v>
      </c>
      <c r="J2360" t="b">
        <v>1</v>
      </c>
      <c r="K2360" t="b">
        <v>0</v>
      </c>
      <c r="L2360" t="b">
        <v>0</v>
      </c>
      <c r="M2360" t="b">
        <v>0</v>
      </c>
      <c r="N2360">
        <f>IFERROR(INDEX('Company Hitlist'!$AA:$AA,MATCH(D2360,'Company Hitlist'!$A:$A,0)),)</f>
        <v/>
      </c>
      <c r="O2360">
        <f>IFERROR(INDEX('Company Hitlist'!$N:$N,MATCH(D2360,'Company Hitlist'!$A:$A,0)),)</f>
        <v/>
      </c>
      <c r="Q2360" t="inlineStr">
        <is>
          <t>todo</t>
        </is>
      </c>
    </row>
    <row r="2361">
      <c r="A2361" t="inlineStr">
        <is>
          <t>Mark Weisensee</t>
        </is>
      </c>
      <c r="B2361" t="inlineStr">
        <is>
          <t>Attendee</t>
        </is>
      </c>
      <c r="C2361" t="inlineStr">
        <is>
          <t>CEO</t>
        </is>
      </c>
      <c r="D2361" t="inlineStr">
        <is>
          <t>OpenRoad Global</t>
        </is>
      </c>
      <c r="E2361" t="inlineStr">
        <is>
          <t>United States</t>
        </is>
      </c>
      <c r="F2361" t="inlineStr">
        <is>
          <t>Yes</t>
        </is>
      </c>
      <c r="H2361" t="n">
        <v>6</v>
      </c>
      <c r="I2361" t="b">
        <v>0</v>
      </c>
      <c r="J2361" t="b">
        <v>1</v>
      </c>
      <c r="K2361" t="b">
        <v>0</v>
      </c>
      <c r="L2361" t="b">
        <v>0</v>
      </c>
      <c r="M2361" t="b">
        <v>0</v>
      </c>
      <c r="N2361">
        <f>IFERROR(INDEX('Company Hitlist'!$AA:$AA,MATCH(D2361,'Company Hitlist'!$A:$A,0)),)</f>
        <v/>
      </c>
      <c r="O2361">
        <f>IFERROR(INDEX('Company Hitlist'!$N:$N,MATCH(D2361,'Company Hitlist'!$A:$A,0)),)</f>
        <v/>
      </c>
      <c r="Q2361" t="inlineStr">
        <is>
          <t>todo</t>
        </is>
      </c>
    </row>
    <row r="2362">
      <c r="A2362" t="inlineStr">
        <is>
          <t>Jason Aristides</t>
        </is>
      </c>
      <c r="B2362" t="inlineStr">
        <is>
          <t>Attendee</t>
        </is>
      </c>
      <c r="C2362" t="inlineStr">
        <is>
          <t>CEO</t>
        </is>
      </c>
      <c r="D2362" t="inlineStr">
        <is>
          <t>OpenTug</t>
        </is>
      </c>
      <c r="E2362" t="inlineStr">
        <is>
          <t>United States</t>
        </is>
      </c>
      <c r="F2362" t="inlineStr">
        <is>
          <t>Yes</t>
        </is>
      </c>
      <c r="H2362" t="n">
        <v>6</v>
      </c>
      <c r="I2362" t="b">
        <v>0</v>
      </c>
      <c r="J2362" t="b">
        <v>1</v>
      </c>
      <c r="K2362" t="b">
        <v>0</v>
      </c>
      <c r="L2362" t="b">
        <v>0</v>
      </c>
      <c r="M2362" t="b">
        <v>0</v>
      </c>
      <c r="N2362">
        <f>IFERROR(INDEX('Company Hitlist'!$AA:$AA,MATCH(D2362,'Company Hitlist'!$A:$A,0)),)</f>
        <v/>
      </c>
      <c r="O2362">
        <f>IFERROR(INDEX('Company Hitlist'!$N:$N,MATCH(D2362,'Company Hitlist'!$A:$A,0)),)</f>
        <v/>
      </c>
      <c r="Q2362" t="inlineStr">
        <is>
          <t>todo</t>
        </is>
      </c>
    </row>
    <row r="2363">
      <c r="A2363" t="inlineStr">
        <is>
          <t>Len Braudis</t>
        </is>
      </c>
      <c r="B2363" t="inlineStr">
        <is>
          <t>Attendee</t>
        </is>
      </c>
      <c r="C2363" t="inlineStr">
        <is>
          <t>CEO</t>
        </is>
      </c>
      <c r="D2363" t="inlineStr">
        <is>
          <t>Optima Overnight</t>
        </is>
      </c>
      <c r="F2363" t="inlineStr">
        <is>
          <t>Yes</t>
        </is>
      </c>
      <c r="G2363" t="inlineStr">
        <is>
          <t>$27 million (2025)</t>
        </is>
      </c>
      <c r="H2363" t="n">
        <v>6</v>
      </c>
      <c r="I2363" t="b">
        <v>0</v>
      </c>
      <c r="J2363" t="b">
        <v>1</v>
      </c>
      <c r="K2363" t="b">
        <v>0</v>
      </c>
      <c r="L2363" t="b">
        <v>0</v>
      </c>
      <c r="M2363" t="b">
        <v>0</v>
      </c>
      <c r="N2363">
        <f>IFERROR(INDEX('Company Hitlist'!$AA:$AA,MATCH(D2363,'Company Hitlist'!$A:$A,0)),)</f>
        <v/>
      </c>
      <c r="O2363">
        <f>IFERROR(INDEX('Company Hitlist'!$N:$N,MATCH(D2363,'Company Hitlist'!$A:$A,0)),)</f>
        <v/>
      </c>
      <c r="Q2363" t="inlineStr">
        <is>
          <t>todo</t>
        </is>
      </c>
    </row>
    <row r="2364">
      <c r="A2364" t="inlineStr">
        <is>
          <t>Ed Stockman</t>
        </is>
      </c>
      <c r="B2364" t="inlineStr">
        <is>
          <t>Attendee</t>
        </is>
      </c>
      <c r="C2364" t="inlineStr">
        <is>
          <t>CEO</t>
        </is>
      </c>
      <c r="D2364" t="inlineStr">
        <is>
          <t>Optimus</t>
        </is>
      </c>
      <c r="E2364" t="inlineStr">
        <is>
          <t>United States</t>
        </is>
      </c>
      <c r="F2364" t="inlineStr">
        <is>
          <t>Yes</t>
        </is>
      </c>
      <c r="H2364" t="n">
        <v>6</v>
      </c>
      <c r="I2364" t="b">
        <v>0</v>
      </c>
      <c r="J2364" t="b">
        <v>1</v>
      </c>
      <c r="K2364" t="b">
        <v>0</v>
      </c>
      <c r="L2364" t="b">
        <v>0</v>
      </c>
      <c r="M2364" t="b">
        <v>0</v>
      </c>
      <c r="N2364">
        <f>IFERROR(INDEX('Company Hitlist'!$AA:$AA,MATCH(D2364,'Company Hitlist'!$A:$A,0)),)</f>
        <v/>
      </c>
      <c r="O2364">
        <f>IFERROR(INDEX('Company Hitlist'!$N:$N,MATCH(D2364,'Company Hitlist'!$A:$A,0)),)</f>
        <v/>
      </c>
      <c r="Q2364" t="inlineStr">
        <is>
          <t>todo</t>
        </is>
      </c>
    </row>
    <row r="2365">
      <c r="A2365" t="inlineStr">
        <is>
          <t>Mark Wells</t>
        </is>
      </c>
      <c r="B2365" t="inlineStr">
        <is>
          <t>Attendee</t>
        </is>
      </c>
      <c r="C2365" t="inlineStr">
        <is>
          <t>VP Americas</t>
        </is>
      </c>
      <c r="D2365" t="inlineStr">
        <is>
          <t>Optiyol</t>
        </is>
      </c>
      <c r="E2365" t="inlineStr">
        <is>
          <t>United States</t>
        </is>
      </c>
      <c r="F2365" t="inlineStr">
        <is>
          <t>Yes</t>
        </is>
      </c>
      <c r="H2365" t="n">
        <v>6</v>
      </c>
      <c r="I2365" t="b">
        <v>0</v>
      </c>
      <c r="J2365" t="b">
        <v>1</v>
      </c>
      <c r="K2365" t="b">
        <v>0</v>
      </c>
      <c r="L2365" t="b">
        <v>0</v>
      </c>
      <c r="M2365" t="b">
        <v>0</v>
      </c>
      <c r="N2365">
        <f>IFERROR(INDEX('Company Hitlist'!$AA:$AA,MATCH(D2365,'Company Hitlist'!$A:$A,0)),)</f>
        <v/>
      </c>
      <c r="O2365">
        <f>IFERROR(INDEX('Company Hitlist'!$N:$N,MATCH(D2365,'Company Hitlist'!$A:$A,0)),)</f>
        <v/>
      </c>
      <c r="Q2365" t="inlineStr">
        <is>
          <t>todo</t>
        </is>
      </c>
    </row>
    <row r="2366">
      <c r="A2366" t="inlineStr">
        <is>
          <t>Olivier Roubi</t>
        </is>
      </c>
      <c r="B2366" t="inlineStr">
        <is>
          <t>Attendee</t>
        </is>
      </c>
      <c r="C2366" t="inlineStr">
        <is>
          <t>Vice President Rental &amp; Leasing</t>
        </is>
      </c>
      <c r="D2366" t="inlineStr">
        <is>
          <t>Orange EV</t>
        </is>
      </c>
      <c r="E2366" t="inlineStr">
        <is>
          <t>United States</t>
        </is>
      </c>
      <c r="F2366" t="inlineStr">
        <is>
          <t>Yes</t>
        </is>
      </c>
      <c r="H2366" t="n">
        <v>6</v>
      </c>
      <c r="I2366" t="b">
        <v>0</v>
      </c>
      <c r="J2366" t="b">
        <v>1</v>
      </c>
      <c r="K2366" t="b">
        <v>0</v>
      </c>
      <c r="L2366" t="b">
        <v>0</v>
      </c>
      <c r="M2366" t="b">
        <v>0</v>
      </c>
      <c r="N2366">
        <f>IFERROR(INDEX('Company Hitlist'!$AA:$AA,MATCH(D2366,'Company Hitlist'!$A:$A,0)),)</f>
        <v/>
      </c>
      <c r="O2366">
        <f>IFERROR(INDEX('Company Hitlist'!$N:$N,MATCH(D2366,'Company Hitlist'!$A:$A,0)),)</f>
        <v/>
      </c>
      <c r="Q2366" t="inlineStr">
        <is>
          <t>todo</t>
        </is>
      </c>
    </row>
    <row r="2367">
      <c r="A2367" t="inlineStr">
        <is>
          <t>Padhu Raman</t>
        </is>
      </c>
      <c r="B2367" t="inlineStr">
        <is>
          <t>Attendee</t>
        </is>
      </c>
      <c r="C2367" t="inlineStr">
        <is>
          <t>CEO and Co-Founder</t>
        </is>
      </c>
      <c r="D2367" t="inlineStr">
        <is>
          <t>Osa Commerce</t>
        </is>
      </c>
      <c r="F2367" t="inlineStr">
        <is>
          <t>Yes</t>
        </is>
      </c>
      <c r="H2367" t="n">
        <v>6</v>
      </c>
      <c r="I2367" t="b">
        <v>0</v>
      </c>
      <c r="J2367" t="b">
        <v>1</v>
      </c>
      <c r="K2367" t="b">
        <v>0</v>
      </c>
      <c r="L2367" t="b">
        <v>0</v>
      </c>
      <c r="M2367" t="b">
        <v>0</v>
      </c>
      <c r="N2367">
        <f>IFERROR(INDEX('Company Hitlist'!$AA:$AA,MATCH(D2367,'Company Hitlist'!$A:$A,0)),)</f>
        <v/>
      </c>
      <c r="O2367">
        <f>IFERROR(INDEX('Company Hitlist'!$N:$N,MATCH(D2367,'Company Hitlist'!$A:$A,0)),)</f>
        <v/>
      </c>
      <c r="Q2367" t="inlineStr">
        <is>
          <t>todo</t>
        </is>
      </c>
    </row>
    <row r="2368">
      <c r="A2368" t="inlineStr">
        <is>
          <t>Francisco Balderrama</t>
        </is>
      </c>
      <c r="B2368" t="inlineStr">
        <is>
          <t>Attendee</t>
        </is>
      </c>
      <c r="C2368" t="inlineStr">
        <is>
          <t>CEO</t>
        </is>
      </c>
      <c r="D2368" t="inlineStr">
        <is>
          <t>Otto Express LLC</t>
        </is>
      </c>
      <c r="F2368" t="inlineStr">
        <is>
          <t>Yes</t>
        </is>
      </c>
      <c r="H2368" t="n">
        <v>6</v>
      </c>
      <c r="I2368" t="b">
        <v>0</v>
      </c>
      <c r="J2368" t="b">
        <v>1</v>
      </c>
      <c r="K2368" t="b">
        <v>0</v>
      </c>
      <c r="L2368" t="b">
        <v>0</v>
      </c>
      <c r="M2368" t="b">
        <v>0</v>
      </c>
      <c r="N2368">
        <f>IFERROR(INDEX('Company Hitlist'!$AA:$AA,MATCH(D2368,'Company Hitlist'!$A:$A,0)),)</f>
        <v/>
      </c>
      <c r="O2368">
        <f>IFERROR(INDEX('Company Hitlist'!$N:$N,MATCH(D2368,'Company Hitlist'!$A:$A,0)),)</f>
        <v/>
      </c>
      <c r="Q2368" t="inlineStr">
        <is>
          <t>todo</t>
        </is>
      </c>
    </row>
    <row r="2369">
      <c r="A2369" t="inlineStr">
        <is>
          <t>Michelle Harris</t>
        </is>
      </c>
      <c r="B2369" t="inlineStr">
        <is>
          <t>Attendee</t>
        </is>
      </c>
      <c r="C2369" t="inlineStr">
        <is>
          <t>President and CEO</t>
        </is>
      </c>
      <c r="D2369" t="inlineStr">
        <is>
          <t>Our Serviceworks</t>
        </is>
      </c>
      <c r="E2369" t="inlineStr">
        <is>
          <t>United States</t>
        </is>
      </c>
      <c r="F2369" t="inlineStr">
        <is>
          <t>Yes</t>
        </is>
      </c>
      <c r="H2369" t="n">
        <v>6</v>
      </c>
      <c r="I2369" t="b">
        <v>0</v>
      </c>
      <c r="J2369" t="b">
        <v>1</v>
      </c>
      <c r="K2369" t="b">
        <v>0</v>
      </c>
      <c r="L2369" t="b">
        <v>0</v>
      </c>
      <c r="M2369" t="b">
        <v>0</v>
      </c>
      <c r="N2369">
        <f>IFERROR(INDEX('Company Hitlist'!$AA:$AA,MATCH(D2369,'Company Hitlist'!$A:$A,0)),)</f>
        <v/>
      </c>
      <c r="O2369">
        <f>IFERROR(INDEX('Company Hitlist'!$N:$N,MATCH(D2369,'Company Hitlist'!$A:$A,0)),)</f>
        <v/>
      </c>
      <c r="Q2369" t="inlineStr">
        <is>
          <t>todo</t>
        </is>
      </c>
    </row>
    <row r="2370">
      <c r="A2370" t="inlineStr">
        <is>
          <t>Michael Conley</t>
        </is>
      </c>
      <c r="B2370" t="inlineStr">
        <is>
          <t>Attendee</t>
        </is>
      </c>
      <c r="C2370" t="inlineStr">
        <is>
          <t>COO</t>
        </is>
      </c>
      <c r="D2370" t="inlineStr">
        <is>
          <t>Outerspace</t>
        </is>
      </c>
      <c r="E2370" t="inlineStr">
        <is>
          <t>United States</t>
        </is>
      </c>
      <c r="F2370" t="inlineStr">
        <is>
          <t>Yes</t>
        </is>
      </c>
      <c r="H2370" t="n">
        <v>6</v>
      </c>
      <c r="I2370" t="b">
        <v>0</v>
      </c>
      <c r="J2370" t="b">
        <v>1</v>
      </c>
      <c r="K2370" t="b">
        <v>0</v>
      </c>
      <c r="L2370" t="b">
        <v>0</v>
      </c>
      <c r="M2370" t="b">
        <v>0</v>
      </c>
      <c r="N2370">
        <f>IFERROR(INDEX('Company Hitlist'!$AA:$AA,MATCH(D2370,'Company Hitlist'!$A:$A,0)),)</f>
        <v/>
      </c>
      <c r="O2370">
        <f>IFERROR(INDEX('Company Hitlist'!$N:$N,MATCH(D2370,'Company Hitlist'!$A:$A,0)),)</f>
        <v/>
      </c>
      <c r="Q2370" t="inlineStr">
        <is>
          <t>todo</t>
        </is>
      </c>
    </row>
    <row r="2371">
      <c r="A2371" t="inlineStr">
        <is>
          <t>Daniel Chulsky</t>
        </is>
      </c>
      <c r="B2371" t="inlineStr">
        <is>
          <t>Attendee</t>
        </is>
      </c>
      <c r="C2371" t="inlineStr">
        <is>
          <t>CFO</t>
        </is>
      </c>
      <c r="D2371" t="inlineStr">
        <is>
          <t>Outerspace</t>
        </is>
      </c>
      <c r="F2371" t="inlineStr">
        <is>
          <t>Yes</t>
        </is>
      </c>
      <c r="H2371" t="n">
        <v>6</v>
      </c>
      <c r="I2371" t="b">
        <v>0</v>
      </c>
      <c r="J2371" t="b">
        <v>1</v>
      </c>
      <c r="K2371" t="b">
        <v>0</v>
      </c>
      <c r="L2371" t="b">
        <v>0</v>
      </c>
      <c r="M2371" t="b">
        <v>0</v>
      </c>
      <c r="N2371">
        <f>IFERROR(INDEX('Company Hitlist'!$AA:$AA,MATCH(D2371,'Company Hitlist'!$A:$A,0)),)</f>
        <v/>
      </c>
      <c r="O2371">
        <f>IFERROR(INDEX('Company Hitlist'!$N:$N,MATCH(D2371,'Company Hitlist'!$A:$A,0)),)</f>
        <v/>
      </c>
      <c r="Q2371" t="inlineStr">
        <is>
          <t>todo</t>
        </is>
      </c>
    </row>
    <row r="2372">
      <c r="A2372" t="inlineStr">
        <is>
          <t>Andrew Smith</t>
        </is>
      </c>
      <c r="B2372" t="inlineStr">
        <is>
          <t>Attendee</t>
        </is>
      </c>
      <c r="C2372" t="inlineStr">
        <is>
          <t>CEO</t>
        </is>
      </c>
      <c r="D2372" t="inlineStr">
        <is>
          <t>Outrider</t>
        </is>
      </c>
      <c r="E2372" t="inlineStr">
        <is>
          <t>United States</t>
        </is>
      </c>
      <c r="H2372" t="n">
        <v>6</v>
      </c>
      <c r="I2372" t="b">
        <v>0</v>
      </c>
      <c r="J2372" t="b">
        <v>1</v>
      </c>
      <c r="K2372" t="b">
        <v>0</v>
      </c>
      <c r="L2372" t="b">
        <v>0</v>
      </c>
      <c r="M2372" t="b">
        <v>0</v>
      </c>
      <c r="N2372">
        <f>IFERROR(INDEX('Company Hitlist'!$AA:$AA,MATCH(D2372,'Company Hitlist'!$A:$A,0)),)</f>
        <v/>
      </c>
      <c r="O2372">
        <f>IFERROR(INDEX('Company Hitlist'!$N:$N,MATCH(D2372,'Company Hitlist'!$A:$A,0)),)</f>
        <v/>
      </c>
      <c r="Q2372" t="inlineStr">
        <is>
          <t>todo</t>
        </is>
      </c>
    </row>
    <row r="2373">
      <c r="A2373" t="inlineStr">
        <is>
          <t>Andrew Park</t>
        </is>
      </c>
      <c r="B2373" t="inlineStr">
        <is>
          <t>Attendee</t>
        </is>
      </c>
      <c r="C2373" t="inlineStr">
        <is>
          <t>President &amp; CEO</t>
        </is>
      </c>
      <c r="D2373" t="inlineStr">
        <is>
          <t>P.B. Industries</t>
        </is>
      </c>
      <c r="E2373" t="inlineStr">
        <is>
          <t>United States</t>
        </is>
      </c>
      <c r="H2373" t="n">
        <v>6</v>
      </c>
      <c r="I2373" t="b">
        <v>0</v>
      </c>
      <c r="J2373" t="b">
        <v>1</v>
      </c>
      <c r="K2373" t="b">
        <v>0</v>
      </c>
      <c r="L2373" t="b">
        <v>0</v>
      </c>
      <c r="M2373" t="b">
        <v>0</v>
      </c>
      <c r="N2373">
        <f>IFERROR(INDEX('Company Hitlist'!$AA:$AA,MATCH(D2373,'Company Hitlist'!$A:$A,0)),)</f>
        <v/>
      </c>
      <c r="O2373">
        <f>IFERROR(INDEX('Company Hitlist'!$N:$N,MATCH(D2373,'Company Hitlist'!$A:$A,0)),)</f>
        <v/>
      </c>
      <c r="Q2373" t="inlineStr">
        <is>
          <t>todo</t>
        </is>
      </c>
    </row>
    <row r="2374">
      <c r="A2374" t="inlineStr">
        <is>
          <t>Jasmine Han</t>
        </is>
      </c>
      <c r="B2374" t="inlineStr">
        <is>
          <t>Attendee</t>
        </is>
      </c>
      <c r="C2374" t="inlineStr">
        <is>
          <t>COO</t>
        </is>
      </c>
      <c r="D2374" t="inlineStr">
        <is>
          <t>P.B. Industries</t>
        </is>
      </c>
      <c r="E2374" t="inlineStr">
        <is>
          <t>United States</t>
        </is>
      </c>
      <c r="H2374" t="n">
        <v>6</v>
      </c>
      <c r="I2374" t="b">
        <v>0</v>
      </c>
      <c r="J2374" t="b">
        <v>1</v>
      </c>
      <c r="K2374" t="b">
        <v>0</v>
      </c>
      <c r="L2374" t="b">
        <v>0</v>
      </c>
      <c r="M2374" t="b">
        <v>0</v>
      </c>
      <c r="N2374">
        <f>IFERROR(INDEX('Company Hitlist'!$AA:$AA,MATCH(D2374,'Company Hitlist'!$A:$A,0)),)</f>
        <v/>
      </c>
      <c r="O2374">
        <f>IFERROR(INDEX('Company Hitlist'!$N:$N,MATCH(D2374,'Company Hitlist'!$A:$A,0)),)</f>
        <v/>
      </c>
      <c r="Q2374" t="inlineStr">
        <is>
          <t>todo</t>
        </is>
      </c>
    </row>
    <row r="2375">
      <c r="A2375" t="inlineStr">
        <is>
          <t>Mark Hill</t>
        </is>
      </c>
      <c r="B2375" t="inlineStr">
        <is>
          <t>Attendee</t>
        </is>
      </c>
      <c r="C2375" t="inlineStr">
        <is>
          <t>CEO</t>
        </is>
      </c>
      <c r="D2375" t="inlineStr">
        <is>
          <t>PCS Software</t>
        </is>
      </c>
      <c r="E2375" t="inlineStr">
        <is>
          <t>United States</t>
        </is>
      </c>
      <c r="F2375" t="inlineStr">
        <is>
          <t>Yes</t>
        </is>
      </c>
      <c r="H2375" t="n">
        <v>6</v>
      </c>
      <c r="I2375" t="b">
        <v>0</v>
      </c>
      <c r="J2375" t="b">
        <v>1</v>
      </c>
      <c r="K2375" t="b">
        <v>0</v>
      </c>
      <c r="L2375" t="b">
        <v>0</v>
      </c>
      <c r="M2375" t="b">
        <v>0</v>
      </c>
      <c r="N2375">
        <f>IFERROR(INDEX('Company Hitlist'!$AA:$AA,MATCH(D2375,'Company Hitlist'!$A:$A,0)),)</f>
        <v/>
      </c>
      <c r="O2375">
        <f>IFERROR(INDEX('Company Hitlist'!$N:$N,MATCH(D2375,'Company Hitlist'!$A:$A,0)),)</f>
        <v/>
      </c>
      <c r="Q2375" t="inlineStr">
        <is>
          <t>todo</t>
        </is>
      </c>
    </row>
    <row r="2376">
      <c r="A2376" t="inlineStr">
        <is>
          <t>Christian Lach</t>
        </is>
      </c>
      <c r="B2376" t="inlineStr">
        <is>
          <t>Attendee</t>
        </is>
      </c>
      <c r="C2376" t="inlineStr">
        <is>
          <t>Project Manager to the CEO</t>
        </is>
      </c>
      <c r="D2376" t="inlineStr">
        <is>
          <t>PLS Logistics Services</t>
        </is>
      </c>
      <c r="E2376" t="inlineStr">
        <is>
          <t>United States</t>
        </is>
      </c>
      <c r="F2376" t="inlineStr">
        <is>
          <t>Yes</t>
        </is>
      </c>
      <c r="H2376" t="n">
        <v>6</v>
      </c>
      <c r="I2376" t="b">
        <v>0</v>
      </c>
      <c r="J2376" t="b">
        <v>1</v>
      </c>
      <c r="K2376" t="b">
        <v>0</v>
      </c>
      <c r="L2376" t="b">
        <v>0</v>
      </c>
      <c r="M2376" t="b">
        <v>0</v>
      </c>
      <c r="N2376">
        <f>IFERROR(INDEX('Company Hitlist'!$AA:$AA,MATCH(D2376,'Company Hitlist'!$A:$A,0)),)</f>
        <v/>
      </c>
      <c r="O2376">
        <f>IFERROR(INDEX('Company Hitlist'!$N:$N,MATCH(D2376,'Company Hitlist'!$A:$A,0)),)</f>
        <v/>
      </c>
      <c r="Q2376" t="inlineStr">
        <is>
          <t>todo</t>
        </is>
      </c>
    </row>
    <row r="2377">
      <c r="A2377" t="inlineStr">
        <is>
          <t>Josh Lightcap</t>
        </is>
      </c>
      <c r="B2377" t="inlineStr">
        <is>
          <t>Attendee</t>
        </is>
      </c>
      <c r="C2377" t="inlineStr">
        <is>
          <t>VP, Product Development</t>
        </is>
      </c>
      <c r="D2377" t="inlineStr">
        <is>
          <t>PLS Logistics Services</t>
        </is>
      </c>
      <c r="E2377" t="inlineStr">
        <is>
          <t>United States</t>
        </is>
      </c>
      <c r="F2377" t="inlineStr">
        <is>
          <t>Yes</t>
        </is>
      </c>
      <c r="H2377" t="n">
        <v>6</v>
      </c>
      <c r="I2377" t="b">
        <v>0</v>
      </c>
      <c r="J2377" t="b">
        <v>1</v>
      </c>
      <c r="K2377" t="b">
        <v>0</v>
      </c>
      <c r="L2377" t="b">
        <v>0</v>
      </c>
      <c r="M2377" t="b">
        <v>0</v>
      </c>
      <c r="N2377">
        <f>IFERROR(INDEX('Company Hitlist'!$AA:$AA,MATCH(D2377,'Company Hitlist'!$A:$A,0)),)</f>
        <v/>
      </c>
      <c r="O2377">
        <f>IFERROR(INDEX('Company Hitlist'!$N:$N,MATCH(D2377,'Company Hitlist'!$A:$A,0)),)</f>
        <v/>
      </c>
      <c r="Q2377" t="inlineStr">
        <is>
          <t>todo</t>
        </is>
      </c>
    </row>
    <row r="2378">
      <c r="A2378" t="inlineStr">
        <is>
          <t>Ashley Markow</t>
        </is>
      </c>
      <c r="B2378" t="inlineStr">
        <is>
          <t>Attendee</t>
        </is>
      </c>
      <c r="C2378" t="inlineStr">
        <is>
          <t>Vice President</t>
        </is>
      </c>
      <c r="D2378" t="inlineStr">
        <is>
          <t>PSG Equity</t>
        </is>
      </c>
      <c r="E2378" t="inlineStr">
        <is>
          <t>United States</t>
        </is>
      </c>
      <c r="H2378" t="n">
        <v>6</v>
      </c>
      <c r="I2378" t="b">
        <v>0</v>
      </c>
      <c r="J2378" t="b">
        <v>1</v>
      </c>
      <c r="K2378" t="b">
        <v>0</v>
      </c>
      <c r="L2378" t="b">
        <v>0</v>
      </c>
      <c r="M2378" t="b">
        <v>0</v>
      </c>
      <c r="N2378">
        <f>IFERROR(INDEX('Company Hitlist'!$AA:$AA,MATCH(D2378,'Company Hitlist'!$A:$A,0)),)</f>
        <v/>
      </c>
      <c r="O2378">
        <f>IFERROR(INDEX('Company Hitlist'!$N:$N,MATCH(D2378,'Company Hitlist'!$A:$A,0)),)</f>
        <v/>
      </c>
      <c r="Q2378" t="inlineStr">
        <is>
          <t>todo</t>
        </is>
      </c>
    </row>
    <row r="2379">
      <c r="A2379" t="inlineStr">
        <is>
          <t>Paul Gibbs</t>
        </is>
      </c>
      <c r="B2379" t="inlineStr">
        <is>
          <t>Attendee</t>
        </is>
      </c>
      <c r="C2379" t="inlineStr">
        <is>
          <t>CEO</t>
        </is>
      </c>
      <c r="D2379" t="inlineStr">
        <is>
          <t>PTS Logistics, Inc</t>
        </is>
      </c>
      <c r="E2379" t="inlineStr">
        <is>
          <t>United States</t>
        </is>
      </c>
      <c r="F2379" t="inlineStr">
        <is>
          <t>Yes</t>
        </is>
      </c>
      <c r="H2379" t="n">
        <v>6</v>
      </c>
      <c r="I2379" t="b">
        <v>0</v>
      </c>
      <c r="J2379" t="b">
        <v>1</v>
      </c>
      <c r="K2379" t="b">
        <v>0</v>
      </c>
      <c r="L2379" t="b">
        <v>0</v>
      </c>
      <c r="M2379" t="b">
        <v>0</v>
      </c>
      <c r="N2379">
        <f>IFERROR(INDEX('Company Hitlist'!$AA:$AA,MATCH(D2379,'Company Hitlist'!$A:$A,0)),)</f>
        <v/>
      </c>
      <c r="O2379">
        <f>IFERROR(INDEX('Company Hitlist'!$N:$N,MATCH(D2379,'Company Hitlist'!$A:$A,0)),)</f>
        <v/>
      </c>
      <c r="Q2379" t="inlineStr">
        <is>
          <t>todo</t>
        </is>
      </c>
    </row>
    <row r="2380">
      <c r="A2380" t="inlineStr">
        <is>
          <t>Thomas Kircheis</t>
        </is>
      </c>
      <c r="B2380" t="inlineStr">
        <is>
          <t>Attendee</t>
        </is>
      </c>
      <c r="C2380" t="inlineStr">
        <is>
          <t>CEO</t>
        </is>
      </c>
      <c r="D2380" t="inlineStr">
        <is>
          <t>PULPO WMS</t>
        </is>
      </c>
      <c r="E2380" t="inlineStr">
        <is>
          <t>United States</t>
        </is>
      </c>
      <c r="F2380" t="inlineStr">
        <is>
          <t>Yes</t>
        </is>
      </c>
      <c r="H2380" t="n">
        <v>6</v>
      </c>
      <c r="I2380" t="b">
        <v>0</v>
      </c>
      <c r="J2380" t="b">
        <v>1</v>
      </c>
      <c r="K2380" t="b">
        <v>0</v>
      </c>
      <c r="L2380" t="b">
        <v>0</v>
      </c>
      <c r="M2380" t="b">
        <v>0</v>
      </c>
      <c r="N2380">
        <f>IFERROR(INDEX('Company Hitlist'!$AA:$AA,MATCH(D2380,'Company Hitlist'!$A:$A,0)),)</f>
        <v/>
      </c>
      <c r="O2380">
        <f>IFERROR(INDEX('Company Hitlist'!$N:$N,MATCH(D2380,'Company Hitlist'!$A:$A,0)),)</f>
        <v/>
      </c>
      <c r="Q2380" t="inlineStr">
        <is>
          <t>todo</t>
        </is>
      </c>
    </row>
    <row r="2381">
      <c r="A2381" t="inlineStr">
        <is>
          <t>Leeds Rising</t>
        </is>
      </c>
      <c r="B2381" t="inlineStr">
        <is>
          <t>Attendee</t>
        </is>
      </c>
      <c r="C2381" t="inlineStr">
        <is>
          <t>CEO</t>
        </is>
      </c>
      <c r="D2381" t="inlineStr">
        <is>
          <t>Palace</t>
        </is>
      </c>
      <c r="E2381" t="inlineStr">
        <is>
          <t>United States</t>
        </is>
      </c>
      <c r="F2381" t="inlineStr">
        <is>
          <t>Yes</t>
        </is>
      </c>
      <c r="H2381" t="n">
        <v>6</v>
      </c>
      <c r="I2381" t="b">
        <v>0</v>
      </c>
      <c r="J2381" t="b">
        <v>1</v>
      </c>
      <c r="K2381" t="b">
        <v>0</v>
      </c>
      <c r="L2381" t="b">
        <v>0</v>
      </c>
      <c r="M2381" t="b">
        <v>0</v>
      </c>
      <c r="N2381">
        <f>IFERROR(INDEX('Company Hitlist'!$AA:$AA,MATCH(D2381,'Company Hitlist'!$A:$A,0)),)</f>
        <v/>
      </c>
      <c r="O2381">
        <f>IFERROR(INDEX('Company Hitlist'!$N:$N,MATCH(D2381,'Company Hitlist'!$A:$A,0)),)</f>
        <v/>
      </c>
      <c r="Q2381" t="inlineStr">
        <is>
          <t>todo</t>
        </is>
      </c>
    </row>
    <row r="2382">
      <c r="A2382" t="inlineStr">
        <is>
          <t>Guillermo “Billy” Tillero</t>
        </is>
      </c>
      <c r="B2382" t="inlineStr">
        <is>
          <t>Attendee</t>
        </is>
      </c>
      <c r="C2382" t="inlineStr">
        <is>
          <t>coFounder CFO</t>
        </is>
      </c>
      <c r="D2382" t="inlineStr">
        <is>
          <t>Palletized</t>
        </is>
      </c>
      <c r="E2382" t="inlineStr">
        <is>
          <t>United States</t>
        </is>
      </c>
      <c r="F2382" t="inlineStr">
        <is>
          <t>Yes</t>
        </is>
      </c>
      <c r="H2382" t="n">
        <v>6</v>
      </c>
      <c r="I2382" t="b">
        <v>0</v>
      </c>
      <c r="J2382" t="b">
        <v>1</v>
      </c>
      <c r="K2382" t="b">
        <v>0</v>
      </c>
      <c r="L2382" t="b">
        <v>0</v>
      </c>
      <c r="M2382" t="b">
        <v>0</v>
      </c>
      <c r="N2382">
        <f>IFERROR(INDEX('Company Hitlist'!$AA:$AA,MATCH(D2382,'Company Hitlist'!$A:$A,0)),)</f>
        <v/>
      </c>
      <c r="O2382">
        <f>IFERROR(INDEX('Company Hitlist'!$N:$N,MATCH(D2382,'Company Hitlist'!$A:$A,0)),)</f>
        <v/>
      </c>
      <c r="Q2382" t="inlineStr">
        <is>
          <t>todo</t>
        </is>
      </c>
    </row>
    <row r="2383">
      <c r="A2383" t="inlineStr">
        <is>
          <t>Maximiliano Trujillo</t>
        </is>
      </c>
      <c r="B2383" t="inlineStr">
        <is>
          <t>Attendee</t>
        </is>
      </c>
      <c r="C2383" t="inlineStr">
        <is>
          <t>CoFounder CEO</t>
        </is>
      </c>
      <c r="D2383" t="inlineStr">
        <is>
          <t>Palletized</t>
        </is>
      </c>
      <c r="E2383" t="inlineStr">
        <is>
          <t>United States</t>
        </is>
      </c>
      <c r="F2383" t="inlineStr">
        <is>
          <t>Yes</t>
        </is>
      </c>
      <c r="H2383" t="n">
        <v>6</v>
      </c>
      <c r="I2383" t="b">
        <v>0</v>
      </c>
      <c r="J2383" t="b">
        <v>1</v>
      </c>
      <c r="K2383" t="b">
        <v>0</v>
      </c>
      <c r="L2383" t="b">
        <v>0</v>
      </c>
      <c r="M2383" t="b">
        <v>0</v>
      </c>
      <c r="N2383">
        <f>IFERROR(INDEX('Company Hitlist'!$AA:$AA,MATCH(D2383,'Company Hitlist'!$A:$A,0)),)</f>
        <v/>
      </c>
      <c r="O2383">
        <f>IFERROR(INDEX('Company Hitlist'!$N:$N,MATCH(D2383,'Company Hitlist'!$A:$A,0)),)</f>
        <v/>
      </c>
      <c r="Q2383" t="inlineStr">
        <is>
          <t>todo</t>
        </is>
      </c>
    </row>
    <row r="2384">
      <c r="A2384" t="inlineStr">
        <is>
          <t>Derek DeGroot</t>
        </is>
      </c>
      <c r="B2384" t="inlineStr">
        <is>
          <t>Attendee</t>
        </is>
      </c>
      <c r="C2384" t="inlineStr">
        <is>
          <t>CFO</t>
        </is>
      </c>
      <c r="D2384" t="inlineStr">
        <is>
          <t>Pamona Farming</t>
        </is>
      </c>
      <c r="H2384" t="n">
        <v>6</v>
      </c>
      <c r="I2384" t="b">
        <v>0</v>
      </c>
      <c r="J2384" t="b">
        <v>1</v>
      </c>
      <c r="K2384" t="b">
        <v>0</v>
      </c>
      <c r="L2384" t="b">
        <v>0</v>
      </c>
      <c r="M2384" t="b">
        <v>0</v>
      </c>
      <c r="N2384">
        <f>IFERROR(INDEX('Company Hitlist'!$AA:$AA,MATCH(D2384,'Company Hitlist'!$A:$A,0)),)</f>
        <v/>
      </c>
      <c r="O2384">
        <f>IFERROR(INDEX('Company Hitlist'!$N:$N,MATCH(D2384,'Company Hitlist'!$A:$A,0)),)</f>
        <v/>
      </c>
      <c r="Q2384" t="inlineStr">
        <is>
          <t>todo</t>
        </is>
      </c>
    </row>
    <row r="2385">
      <c r="A2385" t="inlineStr">
        <is>
          <t>Jared Stedl</t>
        </is>
      </c>
      <c r="B2385" t="inlineStr">
        <is>
          <t>Attendee</t>
        </is>
      </c>
      <c r="C2385" t="inlineStr">
        <is>
          <t>Chief Commercial Officer</t>
        </is>
      </c>
      <c r="D2385" t="inlineStr">
        <is>
          <t>Paper Transport</t>
        </is>
      </c>
      <c r="E2385" t="inlineStr">
        <is>
          <t>United States</t>
        </is>
      </c>
      <c r="F2385" t="inlineStr">
        <is>
          <t>Yes</t>
        </is>
      </c>
      <c r="H2385" t="n">
        <v>6</v>
      </c>
      <c r="I2385" t="b">
        <v>0</v>
      </c>
      <c r="J2385" t="b">
        <v>1</v>
      </c>
      <c r="K2385" t="b">
        <v>0</v>
      </c>
      <c r="L2385" t="b">
        <v>0</v>
      </c>
      <c r="M2385" t="b">
        <v>0</v>
      </c>
      <c r="N2385">
        <f>IFERROR(INDEX('Company Hitlist'!$AA:$AA,MATCH(D2385,'Company Hitlist'!$A:$A,0)),)</f>
        <v/>
      </c>
      <c r="O2385">
        <f>IFERROR(INDEX('Company Hitlist'!$N:$N,MATCH(D2385,'Company Hitlist'!$A:$A,0)),)</f>
        <v/>
      </c>
      <c r="Q2385" t="inlineStr">
        <is>
          <t>todo</t>
        </is>
      </c>
    </row>
    <row r="2386">
      <c r="A2386" t="inlineStr">
        <is>
          <t>Gavin Stoddard</t>
        </is>
      </c>
      <c r="B2386" t="inlineStr">
        <is>
          <t>Attendee</t>
        </is>
      </c>
      <c r="C2386" t="inlineStr">
        <is>
          <t>President &amp; CEO</t>
        </is>
      </c>
      <c r="D2386" t="inlineStr">
        <is>
          <t>Parke &amp; Son, Inc.</t>
        </is>
      </c>
      <c r="E2386" t="inlineStr">
        <is>
          <t>United States</t>
        </is>
      </c>
      <c r="H2386" t="n">
        <v>6</v>
      </c>
      <c r="I2386" t="b">
        <v>0</v>
      </c>
      <c r="J2386" t="b">
        <v>1</v>
      </c>
      <c r="K2386" t="b">
        <v>0</v>
      </c>
      <c r="L2386" t="b">
        <v>0</v>
      </c>
      <c r="M2386" t="b">
        <v>0</v>
      </c>
      <c r="N2386">
        <f>IFERROR(INDEX('Company Hitlist'!$AA:$AA,MATCH(D2386,'Company Hitlist'!$A:$A,0)),)</f>
        <v/>
      </c>
      <c r="O2386">
        <f>IFERROR(INDEX('Company Hitlist'!$N:$N,MATCH(D2386,'Company Hitlist'!$A:$A,0)),)</f>
        <v/>
      </c>
      <c r="Q2386" t="inlineStr">
        <is>
          <t>todo</t>
        </is>
      </c>
    </row>
    <row r="2387">
      <c r="A2387" t="inlineStr">
        <is>
          <t>Robert Shaunnessey</t>
        </is>
      </c>
      <c r="B2387" t="inlineStr">
        <is>
          <t>Attendee</t>
        </is>
      </c>
      <c r="C2387" t="inlineStr">
        <is>
          <t>Vice President</t>
        </is>
      </c>
      <c r="D2387" t="inlineStr">
        <is>
          <t>Partners Warehouse</t>
        </is>
      </c>
      <c r="E2387" t="inlineStr">
        <is>
          <t>United States</t>
        </is>
      </c>
      <c r="F2387" t="inlineStr">
        <is>
          <t>Yes</t>
        </is>
      </c>
      <c r="H2387" t="n">
        <v>6</v>
      </c>
      <c r="I2387" t="b">
        <v>0</v>
      </c>
      <c r="J2387" t="b">
        <v>1</v>
      </c>
      <c r="K2387" t="b">
        <v>0</v>
      </c>
      <c r="L2387" t="b">
        <v>0</v>
      </c>
      <c r="M2387" t="b">
        <v>0</v>
      </c>
      <c r="N2387">
        <f>IFERROR(INDEX('Company Hitlist'!$AA:$AA,MATCH(D2387,'Company Hitlist'!$A:$A,0)),)</f>
        <v/>
      </c>
      <c r="O2387">
        <f>IFERROR(INDEX('Company Hitlist'!$N:$N,MATCH(D2387,'Company Hitlist'!$A:$A,0)),)</f>
        <v/>
      </c>
      <c r="Q2387" t="inlineStr">
        <is>
          <t>todo</t>
        </is>
      </c>
    </row>
    <row r="2388">
      <c r="A2388" t="inlineStr">
        <is>
          <t>Penny Chen</t>
        </is>
      </c>
      <c r="B2388" t="inlineStr">
        <is>
          <t>Attendee</t>
        </is>
      </c>
      <c r="C2388" t="inlineStr">
        <is>
          <t>CEO</t>
        </is>
      </c>
      <c r="D2388" t="inlineStr">
        <is>
          <t>Pax</t>
        </is>
      </c>
      <c r="E2388" t="inlineStr">
        <is>
          <t>United States</t>
        </is>
      </c>
      <c r="F2388" t="inlineStr">
        <is>
          <t>Yes</t>
        </is>
      </c>
      <c r="H2388" t="n">
        <v>6</v>
      </c>
      <c r="I2388" t="b">
        <v>0</v>
      </c>
      <c r="J2388" t="b">
        <v>1</v>
      </c>
      <c r="K2388" t="b">
        <v>0</v>
      </c>
      <c r="L2388" t="b">
        <v>0</v>
      </c>
      <c r="M2388" t="b">
        <v>0</v>
      </c>
      <c r="N2388">
        <f>IFERROR(INDEX('Company Hitlist'!$AA:$AA,MATCH(D2388,'Company Hitlist'!$A:$A,0)),)</f>
        <v/>
      </c>
      <c r="O2388">
        <f>IFERROR(INDEX('Company Hitlist'!$N:$N,MATCH(D2388,'Company Hitlist'!$A:$A,0)),)</f>
        <v/>
      </c>
      <c r="Q2388" t="inlineStr">
        <is>
          <t>todo</t>
        </is>
      </c>
    </row>
    <row r="2389">
      <c r="A2389" t="inlineStr">
        <is>
          <t>Dennis Monts</t>
        </is>
      </c>
      <c r="B2389" t="inlineStr">
        <is>
          <t>Attendee</t>
        </is>
      </c>
      <c r="C2389" t="inlineStr">
        <is>
          <t>President and Chief Operating Officer</t>
        </is>
      </c>
      <c r="D2389" t="inlineStr">
        <is>
          <t>PayCargo Labs, LLC</t>
        </is>
      </c>
      <c r="E2389" t="inlineStr">
        <is>
          <t>United States</t>
        </is>
      </c>
      <c r="F2389" t="inlineStr">
        <is>
          <t>Yes</t>
        </is>
      </c>
      <c r="H2389" t="n">
        <v>6</v>
      </c>
      <c r="I2389" t="b">
        <v>0</v>
      </c>
      <c r="J2389" t="b">
        <v>1</v>
      </c>
      <c r="K2389" t="b">
        <v>0</v>
      </c>
      <c r="L2389" t="b">
        <v>0</v>
      </c>
      <c r="M2389" t="b">
        <v>0</v>
      </c>
      <c r="N2389">
        <f>IFERROR(INDEX('Company Hitlist'!$AA:$AA,MATCH(D2389,'Company Hitlist'!$A:$A,0)),)</f>
        <v/>
      </c>
      <c r="O2389">
        <f>IFERROR(INDEX('Company Hitlist'!$N:$N,MATCH(D2389,'Company Hitlist'!$A:$A,0)),)</f>
        <v/>
      </c>
      <c r="Q2389" t="inlineStr">
        <is>
          <t>todo</t>
        </is>
      </c>
    </row>
    <row r="2390">
      <c r="A2390" t="inlineStr">
        <is>
          <t>Raphael Cyjon</t>
        </is>
      </c>
      <c r="B2390" t="inlineStr">
        <is>
          <t>Attendee</t>
        </is>
      </c>
      <c r="C2390" t="inlineStr">
        <is>
          <t>Transf Vice President</t>
        </is>
      </c>
      <c r="D2390" t="inlineStr">
        <is>
          <t>PepsiCo</t>
        </is>
      </c>
      <c r="F2390" t="inlineStr">
        <is>
          <t>Yes</t>
        </is>
      </c>
      <c r="H2390" t="n">
        <v>6</v>
      </c>
      <c r="I2390" t="b">
        <v>0</v>
      </c>
      <c r="J2390" t="b">
        <v>1</v>
      </c>
      <c r="K2390" t="b">
        <v>0</v>
      </c>
      <c r="L2390" t="b">
        <v>0</v>
      </c>
      <c r="M2390" t="b">
        <v>0</v>
      </c>
      <c r="N2390">
        <f>IFERROR(INDEX('Company Hitlist'!$AA:$AA,MATCH(D2390,'Company Hitlist'!$A:$A,0)),)</f>
        <v/>
      </c>
      <c r="O2390">
        <f>IFERROR(INDEX('Company Hitlist'!$N:$N,MATCH(D2390,'Company Hitlist'!$A:$A,0)),)</f>
        <v/>
      </c>
      <c r="Q2390" t="inlineStr">
        <is>
          <t>todo</t>
        </is>
      </c>
    </row>
    <row r="2391">
      <c r="A2391" t="inlineStr">
        <is>
          <t>Alejandro Cusco</t>
        </is>
      </c>
      <c r="B2391" t="inlineStr">
        <is>
          <t>Attendee</t>
        </is>
      </c>
      <c r="C2391" t="inlineStr">
        <is>
          <t>Executive Vice President</t>
        </is>
      </c>
      <c r="D2391" t="inlineStr">
        <is>
          <t>Petrafi</t>
        </is>
      </c>
      <c r="E2391" t="inlineStr">
        <is>
          <t>United States</t>
        </is>
      </c>
      <c r="H2391" t="n">
        <v>6</v>
      </c>
      <c r="I2391" t="b">
        <v>0</v>
      </c>
      <c r="J2391" t="b">
        <v>1</v>
      </c>
      <c r="K2391" t="b">
        <v>0</v>
      </c>
      <c r="L2391" t="b">
        <v>0</v>
      </c>
      <c r="M2391" t="b">
        <v>0</v>
      </c>
      <c r="N2391">
        <f>IFERROR(INDEX('Company Hitlist'!$AA:$AA,MATCH(D2391,'Company Hitlist'!$A:$A,0)),)</f>
        <v/>
      </c>
      <c r="O2391">
        <f>IFERROR(INDEX('Company Hitlist'!$N:$N,MATCH(D2391,'Company Hitlist'!$A:$A,0)),)</f>
        <v/>
      </c>
      <c r="Q2391" t="inlineStr">
        <is>
          <t>todo</t>
        </is>
      </c>
    </row>
    <row r="2392">
      <c r="A2392" t="inlineStr">
        <is>
          <t>Ricardo Vargas</t>
        </is>
      </c>
      <c r="B2392" t="inlineStr">
        <is>
          <t>Attendee</t>
        </is>
      </c>
      <c r="C2392" t="inlineStr">
        <is>
          <t>COO</t>
        </is>
      </c>
      <c r="D2392" t="inlineStr">
        <is>
          <t>Petrafi</t>
        </is>
      </c>
      <c r="E2392" t="inlineStr">
        <is>
          <t>United States</t>
        </is>
      </c>
      <c r="H2392" t="n">
        <v>6</v>
      </c>
      <c r="I2392" t="b">
        <v>0</v>
      </c>
      <c r="J2392" t="b">
        <v>1</v>
      </c>
      <c r="K2392" t="b">
        <v>0</v>
      </c>
      <c r="L2392" t="b">
        <v>0</v>
      </c>
      <c r="M2392" t="b">
        <v>0</v>
      </c>
      <c r="N2392">
        <f>IFERROR(INDEX('Company Hitlist'!$AA:$AA,MATCH(D2392,'Company Hitlist'!$A:$A,0)),)</f>
        <v/>
      </c>
      <c r="O2392">
        <f>IFERROR(INDEX('Company Hitlist'!$N:$N,MATCH(D2392,'Company Hitlist'!$A:$A,0)),)</f>
        <v/>
      </c>
      <c r="Q2392" t="inlineStr">
        <is>
          <t>todo</t>
        </is>
      </c>
    </row>
    <row r="2393">
      <c r="A2393" t="inlineStr">
        <is>
          <t>Brian Smith</t>
        </is>
      </c>
      <c r="B2393" t="inlineStr">
        <is>
          <t>Attendee</t>
        </is>
      </c>
      <c r="C2393" t="inlineStr">
        <is>
          <t>Chief Commercial Officer</t>
        </is>
      </c>
      <c r="D2393" t="inlineStr">
        <is>
          <t>Phoenix Assurance</t>
        </is>
      </c>
      <c r="E2393" t="inlineStr">
        <is>
          <t>United States</t>
        </is>
      </c>
      <c r="H2393" t="n">
        <v>6</v>
      </c>
      <c r="I2393" t="b">
        <v>0</v>
      </c>
      <c r="J2393" t="b">
        <v>1</v>
      </c>
      <c r="K2393" t="b">
        <v>0</v>
      </c>
      <c r="L2393" t="b">
        <v>0</v>
      </c>
      <c r="M2393" t="b">
        <v>0</v>
      </c>
      <c r="N2393">
        <f>IFERROR(INDEX('Company Hitlist'!$AA:$AA,MATCH(D2393,'Company Hitlist'!$A:$A,0)),)</f>
        <v/>
      </c>
      <c r="O2393">
        <f>IFERROR(INDEX('Company Hitlist'!$N:$N,MATCH(D2393,'Company Hitlist'!$A:$A,0)),)</f>
        <v/>
      </c>
      <c r="Q2393" t="inlineStr">
        <is>
          <t>todo</t>
        </is>
      </c>
    </row>
    <row r="2394">
      <c r="A2394" t="inlineStr">
        <is>
          <t>Arthi Makhija</t>
        </is>
      </c>
      <c r="B2394" t="inlineStr">
        <is>
          <t>Attendee</t>
        </is>
      </c>
      <c r="C2394" t="inlineStr">
        <is>
          <t>Co-Founder, CEO</t>
        </is>
      </c>
      <c r="D2394" t="inlineStr">
        <is>
          <t>Pinch AI</t>
        </is>
      </c>
      <c r="E2394" t="inlineStr">
        <is>
          <t>United States</t>
        </is>
      </c>
      <c r="F2394" t="inlineStr">
        <is>
          <t>Yes</t>
        </is>
      </c>
      <c r="H2394" t="n">
        <v>6</v>
      </c>
      <c r="I2394" t="b">
        <v>0</v>
      </c>
      <c r="J2394" t="b">
        <v>1</v>
      </c>
      <c r="K2394" t="b">
        <v>0</v>
      </c>
      <c r="L2394" t="b">
        <v>0</v>
      </c>
      <c r="M2394" t="b">
        <v>0</v>
      </c>
      <c r="N2394">
        <f>IFERROR(INDEX('Company Hitlist'!$AA:$AA,MATCH(D2394,'Company Hitlist'!$A:$A,0)),)</f>
        <v/>
      </c>
      <c r="O2394">
        <f>IFERROR(INDEX('Company Hitlist'!$N:$N,MATCH(D2394,'Company Hitlist'!$A:$A,0)),)</f>
        <v/>
      </c>
      <c r="Q2394" t="inlineStr">
        <is>
          <t>todo</t>
        </is>
      </c>
    </row>
    <row r="2395">
      <c r="A2395" t="inlineStr">
        <is>
          <t>Jayan Tharayil</t>
        </is>
      </c>
      <c r="B2395" t="inlineStr">
        <is>
          <t>Attendee</t>
        </is>
      </c>
      <c r="C2395" t="inlineStr">
        <is>
          <t>Co-Founder, COO</t>
        </is>
      </c>
      <c r="D2395" t="inlineStr">
        <is>
          <t>Pinch AI</t>
        </is>
      </c>
      <c r="E2395" t="inlineStr">
        <is>
          <t>United States</t>
        </is>
      </c>
      <c r="F2395" t="inlineStr">
        <is>
          <t>Yes</t>
        </is>
      </c>
      <c r="H2395" t="n">
        <v>6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  <c r="N2395">
        <f>IFERROR(INDEX('Company Hitlist'!$AA:$AA,MATCH(D2395,'Company Hitlist'!$A:$A,0)),)</f>
        <v/>
      </c>
      <c r="O2395">
        <f>IFERROR(INDEX('Company Hitlist'!$N:$N,MATCH(D2395,'Company Hitlist'!$A:$A,0)),)</f>
        <v/>
      </c>
      <c r="Q2395" t="inlineStr">
        <is>
          <t>todo</t>
        </is>
      </c>
    </row>
    <row r="2396">
      <c r="A2396" t="inlineStr">
        <is>
          <t>John Ferguson</t>
        </is>
      </c>
      <c r="B2396" t="inlineStr">
        <is>
          <t>Attendee</t>
        </is>
      </c>
      <c r="C2396" t="inlineStr">
        <is>
          <t>Founder &amp; CEO</t>
        </is>
      </c>
      <c r="D2396" t="inlineStr">
        <is>
          <t>Pivot Supply Chain Solutions, Inc</t>
        </is>
      </c>
      <c r="E2396" t="inlineStr">
        <is>
          <t>United States</t>
        </is>
      </c>
      <c r="H2396" t="n">
        <v>6</v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  <c r="N2396">
        <f>IFERROR(INDEX('Company Hitlist'!$AA:$AA,MATCH(D2396,'Company Hitlist'!$A:$A,0)),)</f>
        <v/>
      </c>
      <c r="O2396">
        <f>IFERROR(INDEX('Company Hitlist'!$N:$N,MATCH(D2396,'Company Hitlist'!$A:$A,0)),)</f>
        <v/>
      </c>
      <c r="Q2396" t="inlineStr">
        <is>
          <t>todo</t>
        </is>
      </c>
    </row>
    <row r="2397">
      <c r="A2397" t="inlineStr">
        <is>
          <t>Naval Rajpurkar</t>
        </is>
      </c>
      <c r="B2397" t="inlineStr">
        <is>
          <t>Attendee</t>
        </is>
      </c>
      <c r="C2397" t="inlineStr">
        <is>
          <t>COO</t>
        </is>
      </c>
      <c r="D2397" t="inlineStr">
        <is>
          <t>Pivot Supply Chain Solutions, Inc</t>
        </is>
      </c>
      <c r="E2397" t="inlineStr">
        <is>
          <t>United States</t>
        </is>
      </c>
      <c r="H2397" t="n">
        <v>6</v>
      </c>
      <c r="I2397" t="b">
        <v>0</v>
      </c>
      <c r="J2397" t="b">
        <v>1</v>
      </c>
      <c r="K2397" t="b">
        <v>0</v>
      </c>
      <c r="L2397" t="b">
        <v>0</v>
      </c>
      <c r="M2397" t="b">
        <v>0</v>
      </c>
      <c r="N2397">
        <f>IFERROR(INDEX('Company Hitlist'!$AA:$AA,MATCH(D2397,'Company Hitlist'!$A:$A,0)),)</f>
        <v/>
      </c>
      <c r="O2397">
        <f>IFERROR(INDEX('Company Hitlist'!$N:$N,MATCH(D2397,'Company Hitlist'!$A:$A,0)),)</f>
        <v/>
      </c>
      <c r="Q2397" t="inlineStr">
        <is>
          <t>todo</t>
        </is>
      </c>
    </row>
    <row r="2398">
      <c r="A2398" t="inlineStr">
        <is>
          <t>Majd Karafan</t>
        </is>
      </c>
      <c r="B2398" t="inlineStr">
        <is>
          <t>Attendee</t>
        </is>
      </c>
      <c r="C2398" t="inlineStr">
        <is>
          <t>Chief Product &amp; Science Officer</t>
        </is>
      </c>
      <c r="D2398" t="inlineStr">
        <is>
          <t>Plantryx</t>
        </is>
      </c>
      <c r="E2398" t="inlineStr">
        <is>
          <t>United States</t>
        </is>
      </c>
      <c r="F2398" t="inlineStr">
        <is>
          <t>Yes</t>
        </is>
      </c>
      <c r="H2398" t="n">
        <v>6</v>
      </c>
      <c r="I2398" t="b">
        <v>0</v>
      </c>
      <c r="J2398" t="b">
        <v>1</v>
      </c>
      <c r="K2398" t="b">
        <v>0</v>
      </c>
      <c r="L2398" t="b">
        <v>0</v>
      </c>
      <c r="M2398" t="b">
        <v>0</v>
      </c>
      <c r="N2398">
        <f>IFERROR(INDEX('Company Hitlist'!$AA:$AA,MATCH(D2398,'Company Hitlist'!$A:$A,0)),)</f>
        <v/>
      </c>
      <c r="O2398">
        <f>IFERROR(INDEX('Company Hitlist'!$N:$N,MATCH(D2398,'Company Hitlist'!$A:$A,0)),)</f>
        <v/>
      </c>
      <c r="Q2398" t="inlineStr">
        <is>
          <t>todo</t>
        </is>
      </c>
    </row>
    <row r="2399">
      <c r="A2399" t="inlineStr">
        <is>
          <t>Kevin Li</t>
        </is>
      </c>
      <c r="B2399" t="inlineStr">
        <is>
          <t>Attendee</t>
        </is>
      </c>
      <c r="C2399" t="inlineStr">
        <is>
          <t>Co-founder &amp; COO</t>
        </is>
      </c>
      <c r="D2399" t="inlineStr">
        <is>
          <t>Pluto</t>
        </is>
      </c>
      <c r="F2399" t="inlineStr">
        <is>
          <t>Yes</t>
        </is>
      </c>
      <c r="G2399" t="inlineStr">
        <is>
          <t>$1.9M (2025 est.; &lt; $5M)</t>
        </is>
      </c>
      <c r="H2399" t="n">
        <v>6</v>
      </c>
      <c r="I2399" t="b">
        <v>0</v>
      </c>
      <c r="J2399" t="b">
        <v>1</v>
      </c>
      <c r="K2399" t="b">
        <v>0</v>
      </c>
      <c r="L2399" t="b">
        <v>0</v>
      </c>
      <c r="M2399" t="b">
        <v>0</v>
      </c>
      <c r="N2399">
        <f>IFERROR(INDEX('Company Hitlist'!$AA:$AA,MATCH(D2399,'Company Hitlist'!$A:$A,0)),)</f>
        <v/>
      </c>
      <c r="O2399">
        <f>IFERROR(INDEX('Company Hitlist'!$N:$N,MATCH(D2399,'Company Hitlist'!$A:$A,0)),)</f>
        <v/>
      </c>
      <c r="Q2399" t="inlineStr">
        <is>
          <t>todo</t>
        </is>
      </c>
    </row>
    <row r="2400">
      <c r="A2400" t="inlineStr">
        <is>
          <t>Jorge Gonzalez</t>
        </is>
      </c>
      <c r="B2400" t="inlineStr">
        <is>
          <t>Attendee</t>
        </is>
      </c>
      <c r="C2400" t="inlineStr">
        <is>
          <t>CEO</t>
        </is>
      </c>
      <c r="D2400" t="inlineStr">
        <is>
          <t>Polar Box</t>
        </is>
      </c>
      <c r="E2400" t="inlineStr">
        <is>
          <t>Mexico</t>
        </is>
      </c>
      <c r="H2400" t="n">
        <v>6</v>
      </c>
      <c r="I2400" t="b">
        <v>0</v>
      </c>
      <c r="J2400" t="b">
        <v>1</v>
      </c>
      <c r="K2400" t="b">
        <v>0</v>
      </c>
      <c r="L2400" t="b">
        <v>0</v>
      </c>
      <c r="M2400" t="b">
        <v>0</v>
      </c>
      <c r="N2400">
        <f>IFERROR(INDEX('Company Hitlist'!$AA:$AA,MATCH(D2400,'Company Hitlist'!$A:$A,0)),)</f>
        <v/>
      </c>
      <c r="O2400">
        <f>IFERROR(INDEX('Company Hitlist'!$N:$N,MATCH(D2400,'Company Hitlist'!$A:$A,0)),)</f>
        <v/>
      </c>
      <c r="Q2400" t="inlineStr">
        <is>
          <t>todo</t>
        </is>
      </c>
    </row>
    <row r="2401">
      <c r="A2401" t="inlineStr">
        <is>
          <t>Dave Brajkovich</t>
        </is>
      </c>
      <c r="B2401" t="inlineStr">
        <is>
          <t>Attendee</t>
        </is>
      </c>
      <c r="C2401" t="inlineStr">
        <is>
          <t>Chief Technology Officer</t>
        </is>
      </c>
      <c r="D2401" t="inlineStr">
        <is>
          <t>Polaris Transport</t>
        </is>
      </c>
      <c r="E2401" t="inlineStr">
        <is>
          <t>Canada</t>
        </is>
      </c>
      <c r="F2401" t="inlineStr">
        <is>
          <t>Yes</t>
        </is>
      </c>
      <c r="H2401" t="n">
        <v>6</v>
      </c>
      <c r="I2401" t="b">
        <v>0</v>
      </c>
      <c r="J2401" t="b">
        <v>1</v>
      </c>
      <c r="K2401" t="b">
        <v>0</v>
      </c>
      <c r="L2401" t="b">
        <v>0</v>
      </c>
      <c r="M2401" t="b">
        <v>0</v>
      </c>
      <c r="N2401">
        <f>IFERROR(INDEX('Company Hitlist'!$AA:$AA,MATCH(D2401,'Company Hitlist'!$A:$A,0)),)</f>
        <v/>
      </c>
      <c r="O2401">
        <f>IFERROR(INDEX('Company Hitlist'!$N:$N,MATCH(D2401,'Company Hitlist'!$A:$A,0)),)</f>
        <v/>
      </c>
      <c r="Q2401" t="inlineStr">
        <is>
          <t>todo</t>
        </is>
      </c>
    </row>
    <row r="2402">
      <c r="A2402" t="inlineStr">
        <is>
          <t>Raul Alfonso</t>
        </is>
      </c>
      <c r="B2402" t="inlineStr">
        <is>
          <t>Attendee</t>
        </is>
      </c>
      <c r="C2402" t="inlineStr">
        <is>
          <t>Executive VP/CCO</t>
        </is>
      </c>
      <c r="D2402" t="inlineStr">
        <is>
          <t>Port Tampa Bay</t>
        </is>
      </c>
      <c r="E2402" t="inlineStr">
        <is>
          <t>United States</t>
        </is>
      </c>
      <c r="F2402" t="inlineStr">
        <is>
          <t>Yes</t>
        </is>
      </c>
      <c r="H2402" t="n">
        <v>6</v>
      </c>
      <c r="I2402" t="b">
        <v>0</v>
      </c>
      <c r="J2402" t="b">
        <v>1</v>
      </c>
      <c r="K2402" t="b">
        <v>0</v>
      </c>
      <c r="L2402" t="b">
        <v>0</v>
      </c>
      <c r="M2402" t="b">
        <v>0</v>
      </c>
      <c r="N2402">
        <f>IFERROR(INDEX('Company Hitlist'!$AA:$AA,MATCH(D2402,'Company Hitlist'!$A:$A,0)),)</f>
        <v/>
      </c>
      <c r="O2402">
        <f>IFERROR(INDEX('Company Hitlist'!$N:$N,MATCH(D2402,'Company Hitlist'!$A:$A,0)),)</f>
        <v/>
      </c>
      <c r="Q2402" t="inlineStr">
        <is>
          <t>todo</t>
        </is>
      </c>
    </row>
    <row r="2403">
      <c r="A2403" t="inlineStr">
        <is>
          <t>Robert Crump</t>
        </is>
      </c>
      <c r="B2403" t="inlineStr">
        <is>
          <t>Attendee</t>
        </is>
      </c>
      <c r="C2403" t="inlineStr">
        <is>
          <t>CEO</t>
        </is>
      </c>
      <c r="D2403" t="inlineStr">
        <is>
          <t>Porter Logistics</t>
        </is>
      </c>
      <c r="F2403" t="inlineStr">
        <is>
          <t>Yes</t>
        </is>
      </c>
      <c r="H2403" t="n">
        <v>6</v>
      </c>
      <c r="I2403" t="b">
        <v>0</v>
      </c>
      <c r="J2403" t="b">
        <v>1</v>
      </c>
      <c r="K2403" t="b">
        <v>0</v>
      </c>
      <c r="L2403" t="b">
        <v>0</v>
      </c>
      <c r="M2403" t="b">
        <v>0</v>
      </c>
      <c r="N2403">
        <f>IFERROR(INDEX('Company Hitlist'!$AA:$AA,MATCH(D2403,'Company Hitlist'!$A:$A,0)),)</f>
        <v/>
      </c>
      <c r="O2403">
        <f>IFERROR(INDEX('Company Hitlist'!$N:$N,MATCH(D2403,'Company Hitlist'!$A:$A,0)),)</f>
        <v/>
      </c>
      <c r="Q2403" t="inlineStr">
        <is>
          <t>todo</t>
        </is>
      </c>
    </row>
    <row r="2404">
      <c r="A2404" t="inlineStr">
        <is>
          <t>Gustavo Matte</t>
        </is>
      </c>
      <c r="B2404" t="inlineStr">
        <is>
          <t>Attendee</t>
        </is>
      </c>
      <c r="C2404" t="inlineStr">
        <is>
          <t>Cofunder &amp; CEO</t>
        </is>
      </c>
      <c r="D2404" t="inlineStr">
        <is>
          <t>Porth</t>
        </is>
      </c>
      <c r="E2404" t="inlineStr">
        <is>
          <t>Mexico</t>
        </is>
      </c>
      <c r="F2404" t="inlineStr">
        <is>
          <t>Yes</t>
        </is>
      </c>
      <c r="H2404" t="n">
        <v>6</v>
      </c>
      <c r="I2404" t="b">
        <v>0</v>
      </c>
      <c r="J2404" t="b">
        <v>1</v>
      </c>
      <c r="K2404" t="b">
        <v>0</v>
      </c>
      <c r="L2404" t="b">
        <v>0</v>
      </c>
      <c r="M2404" t="b">
        <v>0</v>
      </c>
      <c r="N2404">
        <f>IFERROR(INDEX('Company Hitlist'!$AA:$AA,MATCH(D2404,'Company Hitlist'!$A:$A,0)),)</f>
        <v/>
      </c>
      <c r="O2404">
        <f>IFERROR(INDEX('Company Hitlist'!$N:$N,MATCH(D2404,'Company Hitlist'!$A:$A,0)),)</f>
        <v/>
      </c>
      <c r="Q2404" t="inlineStr">
        <is>
          <t>todo</t>
        </is>
      </c>
    </row>
    <row r="2405">
      <c r="A2405" t="inlineStr">
        <is>
          <t>Amanda Bohl</t>
        </is>
      </c>
      <c r="B2405" t="inlineStr">
        <is>
          <t>Attendee</t>
        </is>
      </c>
      <c r="C2405" t="inlineStr">
        <is>
          <t>CEO</t>
        </is>
      </c>
      <c r="D2405" t="inlineStr">
        <is>
          <t>Primus Solutions / ShipPrimus TMS</t>
        </is>
      </c>
      <c r="E2405" t="inlineStr">
        <is>
          <t>United States</t>
        </is>
      </c>
      <c r="F2405" t="inlineStr">
        <is>
          <t>Yes</t>
        </is>
      </c>
      <c r="H2405" t="n">
        <v>6</v>
      </c>
      <c r="I2405" t="b">
        <v>0</v>
      </c>
      <c r="J2405" t="b">
        <v>1</v>
      </c>
      <c r="K2405" t="b">
        <v>0</v>
      </c>
      <c r="L2405" t="b">
        <v>0</v>
      </c>
      <c r="M2405" t="b">
        <v>0</v>
      </c>
      <c r="N2405">
        <f>IFERROR(INDEX('Company Hitlist'!$AA:$AA,MATCH(D2405,'Company Hitlist'!$A:$A,0)),)</f>
        <v/>
      </c>
      <c r="O2405">
        <f>IFERROR(INDEX('Company Hitlist'!$N:$N,MATCH(D2405,'Company Hitlist'!$A:$A,0)),)</f>
        <v/>
      </c>
      <c r="Q2405" t="inlineStr">
        <is>
          <t>todo</t>
        </is>
      </c>
    </row>
    <row r="2406">
      <c r="A2406" t="inlineStr">
        <is>
          <t>Brendan Barry, LCB, CCS</t>
        </is>
      </c>
      <c r="B2406" t="inlineStr">
        <is>
          <t>Attendee</t>
        </is>
      </c>
      <c r="C2406" t="inlineStr">
        <is>
          <t>Vice President</t>
        </is>
      </c>
      <c r="D2406" t="inlineStr">
        <is>
          <t>Priority Express, Inc.</t>
        </is>
      </c>
      <c r="E2406" t="inlineStr">
        <is>
          <t>United States</t>
        </is>
      </c>
      <c r="F2406" t="inlineStr">
        <is>
          <t>Yes</t>
        </is>
      </c>
      <c r="H2406" t="n">
        <v>6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  <c r="N2406">
        <f>IFERROR(INDEX('Company Hitlist'!$AA:$AA,MATCH(D2406,'Company Hitlist'!$A:$A,0)),)</f>
        <v/>
      </c>
      <c r="O2406">
        <f>IFERROR(INDEX('Company Hitlist'!$N:$N,MATCH(D2406,'Company Hitlist'!$A:$A,0)),)</f>
        <v/>
      </c>
      <c r="Q2406" t="inlineStr">
        <is>
          <t>todo</t>
        </is>
      </c>
    </row>
    <row r="2407">
      <c r="A2407" t="inlineStr">
        <is>
          <t>Jeremiah Van Puffelen</t>
        </is>
      </c>
      <c r="B2407" t="inlineStr">
        <is>
          <t>Attendee</t>
        </is>
      </c>
      <c r="C2407" t="inlineStr">
        <is>
          <t>President</t>
        </is>
      </c>
      <c r="D2407" t="inlineStr">
        <is>
          <t>Prism Logistics</t>
        </is>
      </c>
      <c r="E2407" t="inlineStr">
        <is>
          <t>United States</t>
        </is>
      </c>
      <c r="F2407" t="inlineStr">
        <is>
          <t>Yes</t>
        </is>
      </c>
      <c r="H2407" t="n">
        <v>6</v>
      </c>
      <c r="I2407" t="b">
        <v>0</v>
      </c>
      <c r="J2407" t="b">
        <v>1</v>
      </c>
      <c r="K2407" t="b">
        <v>0</v>
      </c>
      <c r="L2407" t="b">
        <v>0</v>
      </c>
      <c r="M2407" t="b">
        <v>0</v>
      </c>
      <c r="N2407">
        <f>IFERROR(INDEX('Company Hitlist'!$AA:$AA,MATCH(D2407,'Company Hitlist'!$A:$A,0)),)</f>
        <v/>
      </c>
      <c r="O2407">
        <f>IFERROR(INDEX('Company Hitlist'!$N:$N,MATCH(D2407,'Company Hitlist'!$A:$A,0)),)</f>
        <v/>
      </c>
      <c r="Q2407" t="inlineStr">
        <is>
          <t>todo</t>
        </is>
      </c>
    </row>
    <row r="2408">
      <c r="A2408" t="inlineStr">
        <is>
          <t>Jeremy Van Puffelen</t>
        </is>
      </c>
      <c r="B2408" t="inlineStr">
        <is>
          <t>Attendee</t>
        </is>
      </c>
      <c r="C2408" t="inlineStr">
        <is>
          <t>President</t>
        </is>
      </c>
      <c r="D2408" t="inlineStr">
        <is>
          <t>Prism Logistics</t>
        </is>
      </c>
      <c r="E2408" t="inlineStr">
        <is>
          <t>United States</t>
        </is>
      </c>
      <c r="F2408" t="inlineStr">
        <is>
          <t>Yes</t>
        </is>
      </c>
      <c r="H2408" t="n">
        <v>6</v>
      </c>
      <c r="I2408" t="b">
        <v>0</v>
      </c>
      <c r="J2408" t="b">
        <v>1</v>
      </c>
      <c r="K2408" t="b">
        <v>0</v>
      </c>
      <c r="L2408" t="b">
        <v>0</v>
      </c>
      <c r="M2408" t="b">
        <v>0</v>
      </c>
      <c r="N2408">
        <f>IFERROR(INDEX('Company Hitlist'!$AA:$AA,MATCH(D2408,'Company Hitlist'!$A:$A,0)),)</f>
        <v/>
      </c>
      <c r="O2408">
        <f>IFERROR(INDEX('Company Hitlist'!$N:$N,MATCH(D2408,'Company Hitlist'!$A:$A,0)),)</f>
        <v/>
      </c>
      <c r="Q2408" t="inlineStr">
        <is>
          <t>todo</t>
        </is>
      </c>
    </row>
    <row r="2409">
      <c r="A2409" t="inlineStr">
        <is>
          <t>Cesar Borges</t>
        </is>
      </c>
      <c r="B2409" t="inlineStr">
        <is>
          <t>Attendee</t>
        </is>
      </c>
      <c r="C2409" t="inlineStr">
        <is>
          <t>COO</t>
        </is>
      </c>
      <c r="D2409" t="inlineStr">
        <is>
          <t>Privalia Brazil</t>
        </is>
      </c>
      <c r="F2409" t="inlineStr">
        <is>
          <t>Yes</t>
        </is>
      </c>
      <c r="H2409" t="n">
        <v>6</v>
      </c>
      <c r="I2409" t="b">
        <v>0</v>
      </c>
      <c r="J2409" t="b">
        <v>1</v>
      </c>
      <c r="K2409" t="b">
        <v>0</v>
      </c>
      <c r="L2409" t="b">
        <v>0</v>
      </c>
      <c r="M2409" t="b">
        <v>0</v>
      </c>
      <c r="N2409">
        <f>IFERROR(INDEX('Company Hitlist'!$AA:$AA,MATCH(D2409,'Company Hitlist'!$A:$A,0)),)</f>
        <v/>
      </c>
      <c r="O2409">
        <f>IFERROR(INDEX('Company Hitlist'!$N:$N,MATCH(D2409,'Company Hitlist'!$A:$A,0)),)</f>
        <v/>
      </c>
      <c r="Q2409" t="inlineStr">
        <is>
          <t>todo</t>
        </is>
      </c>
    </row>
    <row r="2410">
      <c r="A2410" t="inlineStr">
        <is>
          <t>Sean Mueller</t>
        </is>
      </c>
      <c r="B2410" t="inlineStr">
        <is>
          <t>Attendee</t>
        </is>
      </c>
      <c r="C2410" t="inlineStr">
        <is>
          <t>VP</t>
        </is>
      </c>
      <c r="D2410" t="inlineStr">
        <is>
          <t>Prologis</t>
        </is>
      </c>
      <c r="E2410" t="inlineStr">
        <is>
          <t>United States</t>
        </is>
      </c>
      <c r="H2410" t="n">
        <v>6</v>
      </c>
      <c r="I2410" t="b">
        <v>0</v>
      </c>
      <c r="J2410" t="b">
        <v>1</v>
      </c>
      <c r="K2410" t="b">
        <v>0</v>
      </c>
      <c r="L2410" t="b">
        <v>0</v>
      </c>
      <c r="M2410" t="b">
        <v>0</v>
      </c>
      <c r="N2410">
        <f>IFERROR(INDEX('Company Hitlist'!$AA:$AA,MATCH(D2410,'Company Hitlist'!$A:$A,0)),)</f>
        <v/>
      </c>
      <c r="O2410">
        <f>IFERROR(INDEX('Company Hitlist'!$N:$N,MATCH(D2410,'Company Hitlist'!$A:$A,0)),)</f>
        <v/>
      </c>
      <c r="Q2410" t="inlineStr">
        <is>
          <t>todo</t>
        </is>
      </c>
    </row>
    <row r="2411">
      <c r="A2411" t="inlineStr">
        <is>
          <t>Charlie Walker</t>
        </is>
      </c>
      <c r="B2411" t="inlineStr">
        <is>
          <t>Attendee</t>
        </is>
      </c>
      <c r="C2411" t="inlineStr">
        <is>
          <t>Vice President</t>
        </is>
      </c>
      <c r="D2411" t="inlineStr">
        <is>
          <t>Prologis Ventures</t>
        </is>
      </c>
      <c r="E2411" t="inlineStr">
        <is>
          <t>United States</t>
        </is>
      </c>
      <c r="H2411" t="n">
        <v>6</v>
      </c>
      <c r="I2411" t="b">
        <v>0</v>
      </c>
      <c r="J2411" t="b">
        <v>1</v>
      </c>
      <c r="K2411" t="b">
        <v>0</v>
      </c>
      <c r="L2411" t="b">
        <v>0</v>
      </c>
      <c r="M2411" t="b">
        <v>0</v>
      </c>
      <c r="N2411">
        <f>IFERROR(INDEX('Company Hitlist'!$AA:$AA,MATCH(D2411,'Company Hitlist'!$A:$A,0)),)</f>
        <v/>
      </c>
      <c r="O2411">
        <f>IFERROR(INDEX('Company Hitlist'!$N:$N,MATCH(D2411,'Company Hitlist'!$A:$A,0)),)</f>
        <v/>
      </c>
      <c r="Q2411" t="inlineStr">
        <is>
          <t>todo</t>
        </is>
      </c>
    </row>
    <row r="2412">
      <c r="A2412" t="inlineStr">
        <is>
          <t>Victoria Deems</t>
        </is>
      </c>
      <c r="B2412" t="inlineStr">
        <is>
          <t>Attendee</t>
        </is>
      </c>
      <c r="C2412" t="inlineStr">
        <is>
          <t>Head of Community</t>
        </is>
      </c>
      <c r="D2412" t="inlineStr">
        <is>
          <t>Prologis Ventures</t>
        </is>
      </c>
      <c r="E2412" t="inlineStr">
        <is>
          <t>United States</t>
        </is>
      </c>
      <c r="H2412" t="n">
        <v>6</v>
      </c>
      <c r="I2412" t="b">
        <v>0</v>
      </c>
      <c r="J2412" t="b">
        <v>1</v>
      </c>
      <c r="K2412" t="b">
        <v>0</v>
      </c>
      <c r="L2412" t="b">
        <v>0</v>
      </c>
      <c r="M2412" t="b">
        <v>0</v>
      </c>
      <c r="N2412">
        <f>IFERROR(INDEX('Company Hitlist'!$AA:$AA,MATCH(D2412,'Company Hitlist'!$A:$A,0)),)</f>
        <v/>
      </c>
      <c r="O2412">
        <f>IFERROR(INDEX('Company Hitlist'!$N:$N,MATCH(D2412,'Company Hitlist'!$A:$A,0)),)</f>
        <v/>
      </c>
      <c r="Q2412" t="inlineStr">
        <is>
          <t>todo</t>
        </is>
      </c>
    </row>
    <row r="2413">
      <c r="A2413" t="inlineStr">
        <is>
          <t>Ryan Lockwood</t>
        </is>
      </c>
      <c r="B2413" t="inlineStr">
        <is>
          <t>Attendee</t>
        </is>
      </c>
      <c r="C2413" t="inlineStr">
        <is>
          <t>CEO</t>
        </is>
      </c>
      <c r="D2413" t="inlineStr">
        <is>
          <t>Promix Nutrition</t>
        </is>
      </c>
      <c r="F2413" t="inlineStr">
        <is>
          <t>Yes</t>
        </is>
      </c>
      <c r="H2413" t="n">
        <v>6</v>
      </c>
      <c r="I2413" t="b">
        <v>0</v>
      </c>
      <c r="J2413" t="b">
        <v>1</v>
      </c>
      <c r="K2413" t="b">
        <v>0</v>
      </c>
      <c r="L2413" t="b">
        <v>0</v>
      </c>
      <c r="M2413" t="b">
        <v>0</v>
      </c>
      <c r="N2413">
        <f>IFERROR(INDEX('Company Hitlist'!$AA:$AA,MATCH(D2413,'Company Hitlist'!$A:$A,0)),)</f>
        <v/>
      </c>
      <c r="O2413">
        <f>IFERROR(INDEX('Company Hitlist'!$N:$N,MATCH(D2413,'Company Hitlist'!$A:$A,0)),)</f>
        <v/>
      </c>
      <c r="Q2413" t="inlineStr">
        <is>
          <t>todo</t>
        </is>
      </c>
    </row>
    <row r="2414">
      <c r="A2414" t="inlineStr">
        <is>
          <t>Dan Barnett</t>
        </is>
      </c>
      <c r="B2414" t="inlineStr">
        <is>
          <t>Attendee</t>
        </is>
      </c>
      <c r="C2414" t="inlineStr">
        <is>
          <t>CEO</t>
        </is>
      </c>
      <c r="D2414" t="inlineStr">
        <is>
          <t>Promofill</t>
        </is>
      </c>
      <c r="F2414" t="inlineStr">
        <is>
          <t>Yes</t>
        </is>
      </c>
      <c r="H2414" t="n">
        <v>6</v>
      </c>
      <c r="I2414" t="b">
        <v>0</v>
      </c>
      <c r="J2414" t="b">
        <v>1</v>
      </c>
      <c r="K2414" t="b">
        <v>0</v>
      </c>
      <c r="L2414" t="b">
        <v>0</v>
      </c>
      <c r="M2414" t="b">
        <v>0</v>
      </c>
      <c r="N2414">
        <f>IFERROR(INDEX('Company Hitlist'!$AA:$AA,MATCH(D2414,'Company Hitlist'!$A:$A,0)),)</f>
        <v/>
      </c>
      <c r="O2414">
        <f>IFERROR(INDEX('Company Hitlist'!$N:$N,MATCH(D2414,'Company Hitlist'!$A:$A,0)),)</f>
        <v/>
      </c>
      <c r="Q2414" t="inlineStr">
        <is>
          <t>todo</t>
        </is>
      </c>
    </row>
    <row r="2415">
      <c r="A2415" t="inlineStr">
        <is>
          <t>Robert Petti</t>
        </is>
      </c>
      <c r="B2415" t="inlineStr">
        <is>
          <t>Attendee</t>
        </is>
      </c>
      <c r="C2415" t="inlineStr">
        <is>
          <t>CEO</t>
        </is>
      </c>
      <c r="D2415" t="inlineStr">
        <is>
          <t>Prompt Global</t>
        </is>
      </c>
      <c r="E2415" t="inlineStr">
        <is>
          <t>United States</t>
        </is>
      </c>
      <c r="F2415" t="inlineStr">
        <is>
          <t>Yes</t>
        </is>
      </c>
      <c r="H2415" t="n">
        <v>6</v>
      </c>
      <c r="I2415" t="b">
        <v>0</v>
      </c>
      <c r="J2415" t="b">
        <v>1</v>
      </c>
      <c r="K2415" t="b">
        <v>0</v>
      </c>
      <c r="L2415" t="b">
        <v>0</v>
      </c>
      <c r="M2415" t="b">
        <v>0</v>
      </c>
      <c r="N2415">
        <f>IFERROR(INDEX('Company Hitlist'!$AA:$AA,MATCH(D2415,'Company Hitlist'!$A:$A,0)),)</f>
        <v/>
      </c>
      <c r="O2415">
        <f>IFERROR(INDEX('Company Hitlist'!$N:$N,MATCH(D2415,'Company Hitlist'!$A:$A,0)),)</f>
        <v/>
      </c>
      <c r="Q2415" t="inlineStr">
        <is>
          <t>todo</t>
        </is>
      </c>
    </row>
    <row r="2416">
      <c r="A2416" t="inlineStr">
        <is>
          <t>Patrick McGlynn</t>
        </is>
      </c>
      <c r="B2416" t="inlineStr">
        <is>
          <t>Attendee</t>
        </is>
      </c>
      <c r="C2416" t="inlineStr">
        <is>
          <t>SVP Technology &amp; Systems</t>
        </is>
      </c>
      <c r="D2416" t="inlineStr">
        <is>
          <t>Proponents</t>
        </is>
      </c>
      <c r="H2416" t="n">
        <v>6</v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  <c r="N2416">
        <f>IFERROR(INDEX('Company Hitlist'!$AA:$AA,MATCH(D2416,'Company Hitlist'!$A:$A,0)),)</f>
        <v/>
      </c>
      <c r="O2416">
        <f>IFERROR(INDEX('Company Hitlist'!$N:$N,MATCH(D2416,'Company Hitlist'!$A:$A,0)),)</f>
        <v/>
      </c>
      <c r="Q2416" t="inlineStr">
        <is>
          <t>todo</t>
        </is>
      </c>
    </row>
    <row r="2417">
      <c r="A2417" t="inlineStr">
        <is>
          <t>Dima Yanovsky</t>
        </is>
      </c>
      <c r="B2417" t="inlineStr">
        <is>
          <t>Attendee</t>
        </is>
      </c>
      <c r="C2417" t="inlineStr">
        <is>
          <t>CEO</t>
        </is>
      </c>
      <c r="D2417" t="inlineStr">
        <is>
          <t>Prox</t>
        </is>
      </c>
      <c r="E2417" t="inlineStr">
        <is>
          <t>United States</t>
        </is>
      </c>
      <c r="F2417" t="inlineStr">
        <is>
          <t>Yes</t>
        </is>
      </c>
      <c r="H2417" t="n">
        <v>6</v>
      </c>
      <c r="I2417" t="b">
        <v>0</v>
      </c>
      <c r="J2417" t="b">
        <v>1</v>
      </c>
      <c r="K2417" t="b">
        <v>0</v>
      </c>
      <c r="L2417" t="b">
        <v>0</v>
      </c>
      <c r="M2417" t="b">
        <v>0</v>
      </c>
      <c r="N2417">
        <f>IFERROR(INDEX('Company Hitlist'!$AA:$AA,MATCH(D2417,'Company Hitlist'!$A:$A,0)),)</f>
        <v/>
      </c>
      <c r="O2417">
        <f>IFERROR(INDEX('Company Hitlist'!$N:$N,MATCH(D2417,'Company Hitlist'!$A:$A,0)),)</f>
        <v/>
      </c>
      <c r="Q2417" t="inlineStr">
        <is>
          <t>todo</t>
        </is>
      </c>
    </row>
    <row r="2418">
      <c r="A2418" t="inlineStr">
        <is>
          <t>Greg Makodzeba</t>
        </is>
      </c>
      <c r="B2418" t="inlineStr">
        <is>
          <t>Attendee</t>
        </is>
      </c>
      <c r="C2418" t="inlineStr">
        <is>
          <t>COO</t>
        </is>
      </c>
      <c r="D2418" t="inlineStr">
        <is>
          <t>Prox Technologies, Inc.</t>
        </is>
      </c>
      <c r="E2418" t="inlineStr">
        <is>
          <t>United States</t>
        </is>
      </c>
      <c r="F2418" t="inlineStr">
        <is>
          <t>Yes</t>
        </is>
      </c>
      <c r="H2418" t="n">
        <v>6</v>
      </c>
      <c r="I2418" t="b">
        <v>0</v>
      </c>
      <c r="J2418" t="b">
        <v>1</v>
      </c>
      <c r="K2418" t="b">
        <v>0</v>
      </c>
      <c r="L2418" t="b">
        <v>0</v>
      </c>
      <c r="M2418" t="b">
        <v>0</v>
      </c>
      <c r="N2418">
        <f>IFERROR(INDEX('Company Hitlist'!$AA:$AA,MATCH(D2418,'Company Hitlist'!$A:$A,0)),)</f>
        <v/>
      </c>
      <c r="O2418">
        <f>IFERROR(INDEX('Company Hitlist'!$N:$N,MATCH(D2418,'Company Hitlist'!$A:$A,0)),)</f>
        <v/>
      </c>
      <c r="Q2418" t="inlineStr">
        <is>
          <t>todo</t>
        </is>
      </c>
    </row>
    <row r="2419">
      <c r="A2419" t="inlineStr">
        <is>
          <t>Davide Lovison</t>
        </is>
      </c>
      <c r="B2419" t="inlineStr">
        <is>
          <t>Attendee</t>
        </is>
      </c>
      <c r="C2419" t="inlineStr">
        <is>
          <t>Head of Delivery</t>
        </is>
      </c>
      <c r="D2419" t="inlineStr">
        <is>
          <t>Prozis</t>
        </is>
      </c>
      <c r="F2419" t="inlineStr">
        <is>
          <t>Yes</t>
        </is>
      </c>
      <c r="H2419" t="n">
        <v>6</v>
      </c>
      <c r="I2419" t="b">
        <v>0</v>
      </c>
      <c r="J2419" t="b">
        <v>1</v>
      </c>
      <c r="K2419" t="b">
        <v>0</v>
      </c>
      <c r="L2419" t="b">
        <v>0</v>
      </c>
      <c r="M2419" t="b">
        <v>0</v>
      </c>
      <c r="N2419">
        <f>IFERROR(INDEX('Company Hitlist'!$AA:$AA,MATCH(D2419,'Company Hitlist'!$A:$A,0)),)</f>
        <v/>
      </c>
      <c r="O2419">
        <f>IFERROR(INDEX('Company Hitlist'!$N:$N,MATCH(D2419,'Company Hitlist'!$A:$A,0)),)</f>
        <v/>
      </c>
      <c r="Q2419" t="inlineStr">
        <is>
          <t>todo</t>
        </is>
      </c>
    </row>
    <row r="2420">
      <c r="A2420" t="inlineStr">
        <is>
          <t>Johnson Wu</t>
        </is>
      </c>
      <c r="B2420" t="inlineStr">
        <is>
          <t>Attendee</t>
        </is>
      </c>
      <c r="C2420" t="inlineStr">
        <is>
          <t>COO</t>
        </is>
      </c>
      <c r="D2420" t="inlineStr">
        <is>
          <t>Purple Rose Supply</t>
        </is>
      </c>
      <c r="H2420" t="n">
        <v>6</v>
      </c>
      <c r="I2420" t="b">
        <v>0</v>
      </c>
      <c r="J2420" t="b">
        <v>1</v>
      </c>
      <c r="K2420" t="b">
        <v>0</v>
      </c>
      <c r="L2420" t="b">
        <v>0</v>
      </c>
      <c r="M2420" t="b">
        <v>0</v>
      </c>
      <c r="N2420">
        <f>IFERROR(INDEX('Company Hitlist'!$AA:$AA,MATCH(D2420,'Company Hitlist'!$A:$A,0)),)</f>
        <v/>
      </c>
      <c r="O2420">
        <f>IFERROR(INDEX('Company Hitlist'!$N:$N,MATCH(D2420,'Company Hitlist'!$A:$A,0)),)</f>
        <v/>
      </c>
      <c r="Q2420" t="inlineStr">
        <is>
          <t>todo</t>
        </is>
      </c>
    </row>
    <row r="2421">
      <c r="A2421" t="inlineStr">
        <is>
          <t>Sidney Quitorio</t>
        </is>
      </c>
      <c r="B2421" t="inlineStr">
        <is>
          <t>Attendee</t>
        </is>
      </c>
      <c r="C2421" t="inlineStr">
        <is>
          <t>CEO</t>
        </is>
      </c>
      <c r="D2421" t="inlineStr">
        <is>
          <t>Purple Rose Supply</t>
        </is>
      </c>
      <c r="H2421" t="n">
        <v>6</v>
      </c>
      <c r="I2421" t="b">
        <v>0</v>
      </c>
      <c r="J2421" t="b">
        <v>1</v>
      </c>
      <c r="K2421" t="b">
        <v>0</v>
      </c>
      <c r="L2421" t="b">
        <v>0</v>
      </c>
      <c r="M2421" t="b">
        <v>0</v>
      </c>
      <c r="N2421">
        <f>IFERROR(INDEX('Company Hitlist'!$AA:$AA,MATCH(D2421,'Company Hitlist'!$A:$A,0)),)</f>
        <v/>
      </c>
      <c r="O2421">
        <f>IFERROR(INDEX('Company Hitlist'!$N:$N,MATCH(D2421,'Company Hitlist'!$A:$A,0)),)</f>
        <v/>
      </c>
      <c r="Q2421" t="inlineStr">
        <is>
          <t>todo</t>
        </is>
      </c>
    </row>
    <row r="2422">
      <c r="A2422" t="inlineStr">
        <is>
          <t>Daniel Jarr</t>
        </is>
      </c>
      <c r="B2422" t="inlineStr">
        <is>
          <t>Attendee</t>
        </is>
      </c>
      <c r="C2422" t="inlineStr">
        <is>
          <t>CEO &amp; Co-Founder</t>
        </is>
      </c>
      <c r="D2422" t="inlineStr">
        <is>
          <t>Pyck GmbH</t>
        </is>
      </c>
      <c r="E2422" t="inlineStr">
        <is>
          <t>Germany</t>
        </is>
      </c>
      <c r="F2422" t="inlineStr">
        <is>
          <t>Yes</t>
        </is>
      </c>
      <c r="H2422" t="n">
        <v>6</v>
      </c>
      <c r="I2422" t="b">
        <v>0</v>
      </c>
      <c r="J2422" t="b">
        <v>1</v>
      </c>
      <c r="K2422" t="b">
        <v>0</v>
      </c>
      <c r="L2422" t="b">
        <v>0</v>
      </c>
      <c r="M2422" t="b">
        <v>0</v>
      </c>
      <c r="N2422">
        <f>IFERROR(INDEX('Company Hitlist'!$AA:$AA,MATCH(D2422,'Company Hitlist'!$A:$A,0)),)</f>
        <v/>
      </c>
      <c r="O2422">
        <f>IFERROR(INDEX('Company Hitlist'!$N:$N,MATCH(D2422,'Company Hitlist'!$A:$A,0)),)</f>
        <v/>
      </c>
      <c r="Q2422" t="inlineStr">
        <is>
          <t>todo</t>
        </is>
      </c>
    </row>
    <row r="2423">
      <c r="A2423" t="inlineStr">
        <is>
          <t>James Drew</t>
        </is>
      </c>
      <c r="B2423" t="inlineStr">
        <is>
          <t>Attendee</t>
        </is>
      </c>
      <c r="C2423" t="inlineStr">
        <is>
          <t>President</t>
        </is>
      </c>
      <c r="D2423" t="inlineStr">
        <is>
          <t>QRC Logistics</t>
        </is>
      </c>
      <c r="F2423" t="inlineStr">
        <is>
          <t>Yes</t>
        </is>
      </c>
      <c r="H2423" t="n">
        <v>6</v>
      </c>
      <c r="I2423" t="b">
        <v>0</v>
      </c>
      <c r="J2423" t="b">
        <v>1</v>
      </c>
      <c r="K2423" t="b">
        <v>0</v>
      </c>
      <c r="L2423" t="b">
        <v>0</v>
      </c>
      <c r="M2423" t="b">
        <v>0</v>
      </c>
      <c r="N2423">
        <f>IFERROR(INDEX('Company Hitlist'!$AA:$AA,MATCH(D2423,'Company Hitlist'!$A:$A,0)),)</f>
        <v/>
      </c>
      <c r="O2423">
        <f>IFERROR(INDEX('Company Hitlist'!$N:$N,MATCH(D2423,'Company Hitlist'!$A:$A,0)),)</f>
        <v/>
      </c>
      <c r="Q2423" t="inlineStr">
        <is>
          <t>todo</t>
        </is>
      </c>
    </row>
    <row r="2424">
      <c r="A2424" t="inlineStr">
        <is>
          <t>Anthony Watson</t>
        </is>
      </c>
      <c r="B2424" t="inlineStr">
        <is>
          <t>Attendee</t>
        </is>
      </c>
      <c r="C2424" t="inlineStr">
        <is>
          <t>CEO</t>
        </is>
      </c>
      <c r="D2424" t="inlineStr">
        <is>
          <t>QUAIL Logistics</t>
        </is>
      </c>
      <c r="E2424" t="inlineStr">
        <is>
          <t>United States</t>
        </is>
      </c>
      <c r="F2424" t="inlineStr">
        <is>
          <t>Yes</t>
        </is>
      </c>
      <c r="H2424" t="n">
        <v>6</v>
      </c>
      <c r="I2424" t="b">
        <v>0</v>
      </c>
      <c r="J2424" t="b">
        <v>1</v>
      </c>
      <c r="K2424" t="b">
        <v>0</v>
      </c>
      <c r="L2424" t="b">
        <v>0</v>
      </c>
      <c r="M2424" t="b">
        <v>0</v>
      </c>
      <c r="N2424">
        <f>IFERROR(INDEX('Company Hitlist'!$AA:$AA,MATCH(D2424,'Company Hitlist'!$A:$A,0)),)</f>
        <v/>
      </c>
      <c r="O2424">
        <f>IFERROR(INDEX('Company Hitlist'!$N:$N,MATCH(D2424,'Company Hitlist'!$A:$A,0)),)</f>
        <v/>
      </c>
      <c r="Q2424" t="inlineStr">
        <is>
          <t>todo</t>
        </is>
      </c>
    </row>
    <row r="2425">
      <c r="A2425" t="inlineStr">
        <is>
          <t>Bong Soo</t>
        </is>
      </c>
      <c r="B2425" t="inlineStr">
        <is>
          <t>Attendee</t>
        </is>
      </c>
      <c r="C2425" t="inlineStr">
        <is>
          <t>Vice President (COO)</t>
        </is>
      </c>
      <c r="D2425" t="inlineStr">
        <is>
          <t>Qcells U.S.A.</t>
        </is>
      </c>
      <c r="F2425" t="inlineStr">
        <is>
          <t>Yes</t>
        </is>
      </c>
      <c r="H2425" t="n">
        <v>6</v>
      </c>
      <c r="I2425" t="b">
        <v>0</v>
      </c>
      <c r="J2425" t="b">
        <v>1</v>
      </c>
      <c r="K2425" t="b">
        <v>0</v>
      </c>
      <c r="L2425" t="b">
        <v>0</v>
      </c>
      <c r="M2425" t="b">
        <v>0</v>
      </c>
      <c r="N2425">
        <f>IFERROR(INDEX('Company Hitlist'!$AA:$AA,MATCH(D2425,'Company Hitlist'!$A:$A,0)),)</f>
        <v/>
      </c>
      <c r="O2425">
        <f>IFERROR(INDEX('Company Hitlist'!$N:$N,MATCH(D2425,'Company Hitlist'!$A:$A,0)),)</f>
        <v/>
      </c>
      <c r="Q2425" t="inlineStr">
        <is>
          <t>todo</t>
        </is>
      </c>
    </row>
    <row r="2426">
      <c r="A2426" t="inlineStr">
        <is>
          <t>Malek Macaron</t>
        </is>
      </c>
      <c r="B2426" t="inlineStr">
        <is>
          <t>Attendee</t>
        </is>
      </c>
      <c r="C2426" t="inlineStr">
        <is>
          <t>EVP Client Solutions</t>
        </is>
      </c>
      <c r="D2426" t="inlineStr">
        <is>
          <t>QuickBox</t>
        </is>
      </c>
      <c r="E2426" t="inlineStr">
        <is>
          <t>United States</t>
        </is>
      </c>
      <c r="F2426" t="inlineStr">
        <is>
          <t>Yes</t>
        </is>
      </c>
      <c r="H2426" t="n">
        <v>6</v>
      </c>
      <c r="I2426" t="b">
        <v>0</v>
      </c>
      <c r="J2426" t="b">
        <v>1</v>
      </c>
      <c r="K2426" t="b">
        <v>0</v>
      </c>
      <c r="L2426" t="b">
        <v>0</v>
      </c>
      <c r="M2426" t="b">
        <v>0</v>
      </c>
      <c r="N2426">
        <f>IFERROR(INDEX('Company Hitlist'!$AA:$AA,MATCH(D2426,'Company Hitlist'!$A:$A,0)),)</f>
        <v/>
      </c>
      <c r="O2426">
        <f>IFERROR(INDEX('Company Hitlist'!$N:$N,MATCH(D2426,'Company Hitlist'!$A:$A,0)),)</f>
        <v/>
      </c>
      <c r="Q2426" t="inlineStr">
        <is>
          <t>todo</t>
        </is>
      </c>
    </row>
    <row r="2427">
      <c r="A2427" t="inlineStr">
        <is>
          <t>Jon Russell</t>
        </is>
      </c>
      <c r="B2427" t="inlineStr">
        <is>
          <t>Attendee</t>
        </is>
      </c>
      <c r="C2427" t="inlineStr">
        <is>
          <t>CEO</t>
        </is>
      </c>
      <c r="D2427" t="inlineStr">
        <is>
          <t>QuikQ</t>
        </is>
      </c>
      <c r="E2427" t="inlineStr">
        <is>
          <t>United States</t>
        </is>
      </c>
      <c r="F2427" t="inlineStr">
        <is>
          <t>Yes</t>
        </is>
      </c>
      <c r="H2427" t="n">
        <v>6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  <c r="N2427">
        <f>IFERROR(INDEX('Company Hitlist'!$AA:$AA,MATCH(D2427,'Company Hitlist'!$A:$A,0)),)</f>
        <v/>
      </c>
      <c r="O2427">
        <f>IFERROR(INDEX('Company Hitlist'!$N:$N,MATCH(D2427,'Company Hitlist'!$A:$A,0)),)</f>
        <v/>
      </c>
      <c r="Q2427" t="inlineStr">
        <is>
          <t>todo</t>
        </is>
      </c>
    </row>
    <row r="2428">
      <c r="A2428" t="inlineStr">
        <is>
          <t>Ed Ackfeld</t>
        </is>
      </c>
      <c r="B2428" t="inlineStr">
        <is>
          <t>Attendee</t>
        </is>
      </c>
      <c r="C2428" t="inlineStr">
        <is>
          <t>Vice President of Strategy</t>
        </is>
      </c>
      <c r="D2428" t="inlineStr">
        <is>
          <t>R+L Global Logistics</t>
        </is>
      </c>
      <c r="E2428" t="inlineStr">
        <is>
          <t>United States</t>
        </is>
      </c>
      <c r="F2428" t="inlineStr">
        <is>
          <t>Yes</t>
        </is>
      </c>
      <c r="H2428" t="n">
        <v>6</v>
      </c>
      <c r="I2428" t="b">
        <v>0</v>
      </c>
      <c r="J2428" t="b">
        <v>1</v>
      </c>
      <c r="K2428" t="b">
        <v>0</v>
      </c>
      <c r="L2428" t="b">
        <v>0</v>
      </c>
      <c r="M2428" t="b">
        <v>0</v>
      </c>
      <c r="N2428">
        <f>IFERROR(INDEX('Company Hitlist'!$AA:$AA,MATCH(D2428,'Company Hitlist'!$A:$A,0)),)</f>
        <v/>
      </c>
      <c r="O2428">
        <f>IFERROR(INDEX('Company Hitlist'!$N:$N,MATCH(D2428,'Company Hitlist'!$A:$A,0)),)</f>
        <v/>
      </c>
      <c r="Q2428" t="inlineStr">
        <is>
          <t>todo</t>
        </is>
      </c>
    </row>
    <row r="2429">
      <c r="A2429" t="inlineStr">
        <is>
          <t>Gregg Bansavage</t>
        </is>
      </c>
      <c r="B2429" t="inlineStr">
        <is>
          <t>Attendee</t>
        </is>
      </c>
      <c r="C2429" t="inlineStr">
        <is>
          <t>CIO</t>
        </is>
      </c>
      <c r="D2429" t="inlineStr">
        <is>
          <t>RBW Logistics</t>
        </is>
      </c>
      <c r="E2429" t="inlineStr">
        <is>
          <t>United States</t>
        </is>
      </c>
      <c r="F2429" t="inlineStr">
        <is>
          <t>Yes</t>
        </is>
      </c>
      <c r="H2429" t="n">
        <v>6</v>
      </c>
      <c r="I2429" t="b">
        <v>0</v>
      </c>
      <c r="J2429" t="b">
        <v>1</v>
      </c>
      <c r="K2429" t="b">
        <v>0</v>
      </c>
      <c r="L2429" t="b">
        <v>0</v>
      </c>
      <c r="M2429" t="b">
        <v>0</v>
      </c>
      <c r="N2429">
        <f>IFERROR(INDEX('Company Hitlist'!$AA:$AA,MATCH(D2429,'Company Hitlist'!$A:$A,0)),)</f>
        <v/>
      </c>
      <c r="O2429">
        <f>IFERROR(INDEX('Company Hitlist'!$N:$N,MATCH(D2429,'Company Hitlist'!$A:$A,0)),)</f>
        <v/>
      </c>
      <c r="Q2429" t="inlineStr">
        <is>
          <t>todo</t>
        </is>
      </c>
    </row>
    <row r="2430">
      <c r="A2430" t="inlineStr">
        <is>
          <t>Brian Heaney</t>
        </is>
      </c>
      <c r="B2430" t="inlineStr">
        <is>
          <t>Attendee</t>
        </is>
      </c>
      <c r="C2430" t="inlineStr">
        <is>
          <t>President</t>
        </is>
      </c>
      <c r="D2430" t="inlineStr">
        <is>
          <t>RCS logistics</t>
        </is>
      </c>
      <c r="F2430" t="inlineStr">
        <is>
          <t>Yes</t>
        </is>
      </c>
      <c r="G2430" t="inlineStr">
        <is>
          <t>$1.6 billion (2025)</t>
        </is>
      </c>
      <c r="H2430" t="n">
        <v>6</v>
      </c>
      <c r="I2430" t="b">
        <v>0</v>
      </c>
      <c r="J2430" t="b">
        <v>1</v>
      </c>
      <c r="K2430" t="b">
        <v>0</v>
      </c>
      <c r="L2430" t="b">
        <v>0</v>
      </c>
      <c r="M2430" t="b">
        <v>0</v>
      </c>
      <c r="N2430">
        <f>IFERROR(INDEX('Company Hitlist'!$AA:$AA,MATCH(D2430,'Company Hitlist'!$A:$A,0)),)</f>
        <v/>
      </c>
      <c r="O2430">
        <f>IFERROR(INDEX('Company Hitlist'!$N:$N,MATCH(D2430,'Company Hitlist'!$A:$A,0)),)</f>
        <v/>
      </c>
      <c r="Q2430" t="inlineStr">
        <is>
          <t>todo</t>
        </is>
      </c>
    </row>
    <row r="2431">
      <c r="A2431" t="inlineStr">
        <is>
          <t>Nate Lourie</t>
        </is>
      </c>
      <c r="B2431" t="inlineStr">
        <is>
          <t>Attendee</t>
        </is>
      </c>
      <c r="C2431" t="inlineStr">
        <is>
          <t>CEO</t>
        </is>
      </c>
      <c r="D2431" t="inlineStr">
        <is>
          <t>RFX</t>
        </is>
      </c>
      <c r="F2431" t="inlineStr">
        <is>
          <t>Yes</t>
        </is>
      </c>
      <c r="H2431" t="n">
        <v>6</v>
      </c>
      <c r="I2431" t="b">
        <v>0</v>
      </c>
      <c r="J2431" t="b">
        <v>1</v>
      </c>
      <c r="K2431" t="b">
        <v>0</v>
      </c>
      <c r="L2431" t="b">
        <v>0</v>
      </c>
      <c r="M2431" t="b">
        <v>0</v>
      </c>
      <c r="N2431">
        <f>IFERROR(INDEX('Company Hitlist'!$AA:$AA,MATCH(D2431,'Company Hitlist'!$A:$A,0)),)</f>
        <v/>
      </c>
      <c r="O2431">
        <f>IFERROR(INDEX('Company Hitlist'!$N:$N,MATCH(D2431,'Company Hitlist'!$A:$A,0)),)</f>
        <v/>
      </c>
      <c r="Q2431" t="inlineStr">
        <is>
          <t>todo</t>
        </is>
      </c>
    </row>
    <row r="2432">
      <c r="A2432" t="inlineStr">
        <is>
          <t>Zach Romano</t>
        </is>
      </c>
      <c r="B2432" t="inlineStr">
        <is>
          <t>Attendee</t>
        </is>
      </c>
      <c r="C2432" t="inlineStr">
        <is>
          <t>Chief Operating Officer</t>
        </is>
      </c>
      <c r="D2432" t="inlineStr">
        <is>
          <t>RL Cold</t>
        </is>
      </c>
      <c r="E2432" t="inlineStr">
        <is>
          <t>United States</t>
        </is>
      </c>
      <c r="H2432" t="n">
        <v>6</v>
      </c>
      <c r="I2432" t="b">
        <v>0</v>
      </c>
      <c r="J2432" t="b">
        <v>1</v>
      </c>
      <c r="K2432" t="b">
        <v>0</v>
      </c>
      <c r="L2432" t="b">
        <v>0</v>
      </c>
      <c r="M2432" t="b">
        <v>0</v>
      </c>
      <c r="N2432">
        <f>IFERROR(INDEX('Company Hitlist'!$AA:$AA,MATCH(D2432,'Company Hitlist'!$A:$A,0)),)</f>
        <v/>
      </c>
      <c r="O2432">
        <f>IFERROR(INDEX('Company Hitlist'!$N:$N,MATCH(D2432,'Company Hitlist'!$A:$A,0)),)</f>
        <v/>
      </c>
      <c r="Q2432" t="inlineStr">
        <is>
          <t>todo</t>
        </is>
      </c>
    </row>
    <row r="2433">
      <c r="A2433" t="inlineStr">
        <is>
          <t>Ben Simmons</t>
        </is>
      </c>
      <c r="B2433" t="inlineStr">
        <is>
          <t>Attendee</t>
        </is>
      </c>
      <c r="C2433" t="inlineStr">
        <is>
          <t>COO</t>
        </is>
      </c>
      <c r="D2433" t="inlineStr">
        <is>
          <t>RL Solutions</t>
        </is>
      </c>
      <c r="F2433" t="inlineStr">
        <is>
          <t>Yes</t>
        </is>
      </c>
      <c r="H2433" t="n">
        <v>6</v>
      </c>
      <c r="I2433" t="b">
        <v>0</v>
      </c>
      <c r="J2433" t="b">
        <v>1</v>
      </c>
      <c r="K2433" t="b">
        <v>0</v>
      </c>
      <c r="L2433" t="b">
        <v>0</v>
      </c>
      <c r="M2433" t="b">
        <v>0</v>
      </c>
      <c r="N2433">
        <f>IFERROR(INDEX('Company Hitlist'!$AA:$AA,MATCH(D2433,'Company Hitlist'!$A:$A,0)),)</f>
        <v/>
      </c>
      <c r="O2433">
        <f>IFERROR(INDEX('Company Hitlist'!$N:$N,MATCH(D2433,'Company Hitlist'!$A:$A,0)),)</f>
        <v/>
      </c>
      <c r="Q2433" t="inlineStr">
        <is>
          <t>todo</t>
        </is>
      </c>
    </row>
    <row r="2434">
      <c r="A2434" t="inlineStr">
        <is>
          <t>Craig Rehak</t>
        </is>
      </c>
      <c r="B2434" t="inlineStr">
        <is>
          <t>Attendee</t>
        </is>
      </c>
      <c r="C2434" t="inlineStr">
        <is>
          <t>President</t>
        </is>
      </c>
      <c r="D2434" t="inlineStr">
        <is>
          <t>RWB Trucking LLC</t>
        </is>
      </c>
      <c r="E2434" t="inlineStr">
        <is>
          <t>United States</t>
        </is>
      </c>
      <c r="F2434" t="inlineStr">
        <is>
          <t>Yes</t>
        </is>
      </c>
      <c r="H2434" t="n">
        <v>6</v>
      </c>
      <c r="I2434" t="b">
        <v>0</v>
      </c>
      <c r="J2434" t="b">
        <v>1</v>
      </c>
      <c r="K2434" t="b">
        <v>0</v>
      </c>
      <c r="L2434" t="b">
        <v>0</v>
      </c>
      <c r="M2434" t="b">
        <v>0</v>
      </c>
      <c r="N2434">
        <f>IFERROR(INDEX('Company Hitlist'!$AA:$AA,MATCH(D2434,'Company Hitlist'!$A:$A,0)),)</f>
        <v/>
      </c>
      <c r="O2434">
        <f>IFERROR(INDEX('Company Hitlist'!$N:$N,MATCH(D2434,'Company Hitlist'!$A:$A,0)),)</f>
        <v/>
      </c>
      <c r="Q2434" t="inlineStr">
        <is>
          <t>todo</t>
        </is>
      </c>
    </row>
    <row r="2435">
      <c r="A2435" t="inlineStr">
        <is>
          <t>James Rehak</t>
        </is>
      </c>
      <c r="B2435" t="inlineStr">
        <is>
          <t>Attendee</t>
        </is>
      </c>
      <c r="C2435" t="inlineStr">
        <is>
          <t>Chief Operating Officer</t>
        </is>
      </c>
      <c r="D2435" t="inlineStr">
        <is>
          <t>RWB Trucking LLC</t>
        </is>
      </c>
      <c r="E2435" t="inlineStr">
        <is>
          <t>United States</t>
        </is>
      </c>
      <c r="F2435" t="inlineStr">
        <is>
          <t>Yes</t>
        </is>
      </c>
      <c r="H2435" t="n">
        <v>6</v>
      </c>
      <c r="I2435" t="b">
        <v>0</v>
      </c>
      <c r="J2435" t="b">
        <v>1</v>
      </c>
      <c r="K2435" t="b">
        <v>0</v>
      </c>
      <c r="L2435" t="b">
        <v>0</v>
      </c>
      <c r="M2435" t="b">
        <v>0</v>
      </c>
      <c r="N2435">
        <f>IFERROR(INDEX('Company Hitlist'!$AA:$AA,MATCH(D2435,'Company Hitlist'!$A:$A,0)),)</f>
        <v/>
      </c>
      <c r="O2435">
        <f>IFERROR(INDEX('Company Hitlist'!$N:$N,MATCH(D2435,'Company Hitlist'!$A:$A,0)),)</f>
        <v/>
      </c>
      <c r="Q2435" t="inlineStr">
        <is>
          <t>todo</t>
        </is>
      </c>
    </row>
    <row r="2436">
      <c r="A2436" t="inlineStr">
        <is>
          <t>Fernando Rabel</t>
        </is>
      </c>
      <c r="B2436" t="inlineStr">
        <is>
          <t>Attendee</t>
        </is>
      </c>
      <c r="C2436" t="inlineStr">
        <is>
          <t>VP strategic accounts</t>
        </is>
      </c>
      <c r="D2436" t="inlineStr">
        <is>
          <t>RXO</t>
        </is>
      </c>
      <c r="E2436" t="inlineStr">
        <is>
          <t>United States</t>
        </is>
      </c>
      <c r="F2436" t="inlineStr">
        <is>
          <t>Yes</t>
        </is>
      </c>
      <c r="H2436" t="n">
        <v>6</v>
      </c>
      <c r="I2436" t="b">
        <v>0</v>
      </c>
      <c r="J2436" t="b">
        <v>1</v>
      </c>
      <c r="K2436" t="b">
        <v>0</v>
      </c>
      <c r="L2436" t="b">
        <v>0</v>
      </c>
      <c r="M2436" t="b">
        <v>0</v>
      </c>
      <c r="N2436">
        <f>IFERROR(INDEX('Company Hitlist'!$AA:$AA,MATCH(D2436,'Company Hitlist'!$A:$A,0)),)</f>
        <v/>
      </c>
      <c r="O2436">
        <f>IFERROR(INDEX('Company Hitlist'!$N:$N,MATCH(D2436,'Company Hitlist'!$A:$A,0)),)</f>
        <v/>
      </c>
      <c r="Q2436" t="inlineStr">
        <is>
          <t>todo</t>
        </is>
      </c>
    </row>
    <row r="2437">
      <c r="A2437" t="inlineStr">
        <is>
          <t>Mika Majapuro</t>
        </is>
      </c>
      <c r="B2437" t="inlineStr">
        <is>
          <t>Attendee</t>
        </is>
      </c>
      <c r="C2437" t="inlineStr">
        <is>
          <t>VP, Strategy</t>
        </is>
      </c>
      <c r="D2437" t="inlineStr">
        <is>
          <t>Railinc</t>
        </is>
      </c>
      <c r="E2437" t="inlineStr">
        <is>
          <t>United States</t>
        </is>
      </c>
      <c r="F2437" t="inlineStr">
        <is>
          <t>Yes</t>
        </is>
      </c>
      <c r="H2437" t="n">
        <v>6</v>
      </c>
      <c r="I2437" t="b">
        <v>0</v>
      </c>
      <c r="J2437" t="b">
        <v>1</v>
      </c>
      <c r="K2437" t="b">
        <v>0</v>
      </c>
      <c r="L2437" t="b">
        <v>0</v>
      </c>
      <c r="M2437" t="b">
        <v>0</v>
      </c>
      <c r="N2437">
        <f>IFERROR(INDEX('Company Hitlist'!$AA:$AA,MATCH(D2437,'Company Hitlist'!$A:$A,0)),)</f>
        <v/>
      </c>
      <c r="O2437">
        <f>IFERROR(INDEX('Company Hitlist'!$N:$N,MATCH(D2437,'Company Hitlist'!$A:$A,0)),)</f>
        <v/>
      </c>
      <c r="Q2437" t="inlineStr">
        <is>
          <t>todo</t>
        </is>
      </c>
    </row>
    <row r="2438">
      <c r="A2438" t="inlineStr">
        <is>
          <t>Brian Mozhdehi</t>
        </is>
      </c>
      <c r="B2438" t="inlineStr">
        <is>
          <t>Attendee</t>
        </is>
      </c>
      <c r="C2438" t="inlineStr">
        <is>
          <t>President / CEO</t>
        </is>
      </c>
      <c r="D2438" t="inlineStr">
        <is>
          <t>Ramp Systems</t>
        </is>
      </c>
      <c r="E2438" t="inlineStr">
        <is>
          <t>United States</t>
        </is>
      </c>
      <c r="F2438" t="inlineStr">
        <is>
          <t>Yes</t>
        </is>
      </c>
      <c r="H2438" t="n">
        <v>6</v>
      </c>
      <c r="I2438" t="b">
        <v>0</v>
      </c>
      <c r="J2438" t="b">
        <v>1</v>
      </c>
      <c r="K2438" t="b">
        <v>0</v>
      </c>
      <c r="L2438" t="b">
        <v>0</v>
      </c>
      <c r="M2438" t="b">
        <v>0</v>
      </c>
      <c r="N2438">
        <f>IFERROR(INDEX('Company Hitlist'!$AA:$AA,MATCH(D2438,'Company Hitlist'!$A:$A,0)),)</f>
        <v/>
      </c>
      <c r="O2438">
        <f>IFERROR(INDEX('Company Hitlist'!$N:$N,MATCH(D2438,'Company Hitlist'!$A:$A,0)),)</f>
        <v/>
      </c>
      <c r="Q2438" t="inlineStr">
        <is>
          <t>todo</t>
        </is>
      </c>
    </row>
    <row r="2439">
      <c r="A2439" t="inlineStr">
        <is>
          <t>Jose Montoya</t>
        </is>
      </c>
      <c r="B2439" t="inlineStr">
        <is>
          <t>Attendee</t>
        </is>
      </c>
      <c r="C2439" t="inlineStr">
        <is>
          <t>COO/CCO</t>
        </is>
      </c>
      <c r="D2439" t="inlineStr">
        <is>
          <t>Ranon Logistics Network</t>
        </is>
      </c>
      <c r="E2439" t="inlineStr">
        <is>
          <t>United States</t>
        </is>
      </c>
      <c r="F2439" t="inlineStr">
        <is>
          <t>Yes</t>
        </is>
      </c>
      <c r="H2439" t="n">
        <v>6</v>
      </c>
      <c r="I2439" t="b">
        <v>0</v>
      </c>
      <c r="J2439" t="b">
        <v>1</v>
      </c>
      <c r="K2439" t="b">
        <v>0</v>
      </c>
      <c r="L2439" t="b">
        <v>0</v>
      </c>
      <c r="M2439" t="b">
        <v>0</v>
      </c>
      <c r="N2439">
        <f>IFERROR(INDEX('Company Hitlist'!$AA:$AA,MATCH(D2439,'Company Hitlist'!$A:$A,0)),)</f>
        <v/>
      </c>
      <c r="O2439">
        <f>IFERROR(INDEX('Company Hitlist'!$N:$N,MATCH(D2439,'Company Hitlist'!$A:$A,0)),)</f>
        <v/>
      </c>
      <c r="Q2439" t="inlineStr">
        <is>
          <t>todo</t>
        </is>
      </c>
    </row>
    <row r="2440">
      <c r="A2440" t="inlineStr">
        <is>
          <t>Seth Tramble</t>
        </is>
      </c>
      <c r="B2440" t="inlineStr">
        <is>
          <t>Attendee</t>
        </is>
      </c>
      <c r="C2440" t="inlineStr">
        <is>
          <t>General Manager</t>
        </is>
      </c>
      <c r="D2440" t="inlineStr">
        <is>
          <t>Rapid KC</t>
        </is>
      </c>
      <c r="E2440" t="inlineStr">
        <is>
          <t>United States</t>
        </is>
      </c>
      <c r="F2440" t="inlineStr">
        <is>
          <t>Yes</t>
        </is>
      </c>
      <c r="H2440" t="n">
        <v>6</v>
      </c>
      <c r="I2440" t="b">
        <v>0</v>
      </c>
      <c r="J2440" t="b">
        <v>1</v>
      </c>
      <c r="K2440" t="b">
        <v>0</v>
      </c>
      <c r="L2440" t="b">
        <v>0</v>
      </c>
      <c r="M2440" t="b">
        <v>0</v>
      </c>
      <c r="N2440">
        <f>IFERROR(INDEX('Company Hitlist'!$AA:$AA,MATCH(D2440,'Company Hitlist'!$A:$A,0)),)</f>
        <v/>
      </c>
      <c r="O2440">
        <f>IFERROR(INDEX('Company Hitlist'!$N:$N,MATCH(D2440,'Company Hitlist'!$A:$A,0)),)</f>
        <v/>
      </c>
      <c r="Q2440" t="inlineStr">
        <is>
          <t>todo</t>
        </is>
      </c>
    </row>
    <row r="2441">
      <c r="A2441" t="inlineStr">
        <is>
          <t>Daniel Erickson</t>
        </is>
      </c>
      <c r="B2441" t="inlineStr">
        <is>
          <t>Attendee</t>
        </is>
      </c>
      <c r="C2441" t="inlineStr">
        <is>
          <t>CEO &amp; Founder</t>
        </is>
      </c>
      <c r="D2441" t="inlineStr">
        <is>
          <t>Rapid KC</t>
        </is>
      </c>
      <c r="E2441" t="inlineStr">
        <is>
          <t>United States</t>
        </is>
      </c>
      <c r="F2441" t="inlineStr">
        <is>
          <t>Yes</t>
        </is>
      </c>
      <c r="H2441" t="n">
        <v>6</v>
      </c>
      <c r="I2441" t="b">
        <v>0</v>
      </c>
      <c r="J2441" t="b">
        <v>1</v>
      </c>
      <c r="K2441" t="b">
        <v>0</v>
      </c>
      <c r="L2441" t="b">
        <v>0</v>
      </c>
      <c r="M2441" t="b">
        <v>0</v>
      </c>
      <c r="N2441">
        <f>IFERROR(INDEX('Company Hitlist'!$AA:$AA,MATCH(D2441,'Company Hitlist'!$A:$A,0)),)</f>
        <v/>
      </c>
      <c r="O2441">
        <f>IFERROR(INDEX('Company Hitlist'!$N:$N,MATCH(D2441,'Company Hitlist'!$A:$A,0)),)</f>
        <v/>
      </c>
      <c r="Q2441" t="inlineStr">
        <is>
          <t>todo</t>
        </is>
      </c>
    </row>
    <row r="2442">
      <c r="A2442" t="inlineStr">
        <is>
          <t>Ray Hsu</t>
        </is>
      </c>
      <c r="B2442" t="inlineStr">
        <is>
          <t>Attendee</t>
        </is>
      </c>
      <c r="C2442" t="inlineStr">
        <is>
          <t>Vice President, Industrial AI Solutions</t>
        </is>
      </c>
      <c r="D2442" t="inlineStr">
        <is>
          <t>RapidCanvas</t>
        </is>
      </c>
      <c r="E2442" t="inlineStr">
        <is>
          <t>United States</t>
        </is>
      </c>
      <c r="F2442" t="inlineStr">
        <is>
          <t>Yes</t>
        </is>
      </c>
      <c r="H2442" t="n">
        <v>6</v>
      </c>
      <c r="I2442" t="b">
        <v>0</v>
      </c>
      <c r="J2442" t="b">
        <v>1</v>
      </c>
      <c r="K2442" t="b">
        <v>0</v>
      </c>
      <c r="L2442" t="b">
        <v>0</v>
      </c>
      <c r="M2442" t="b">
        <v>0</v>
      </c>
      <c r="N2442">
        <f>IFERROR(INDEX('Company Hitlist'!$AA:$AA,MATCH(D2442,'Company Hitlist'!$A:$A,0)),)</f>
        <v/>
      </c>
      <c r="O2442">
        <f>IFERROR(INDEX('Company Hitlist'!$N:$N,MATCH(D2442,'Company Hitlist'!$A:$A,0)),)</f>
        <v/>
      </c>
      <c r="Q2442" t="inlineStr">
        <is>
          <t>todo</t>
        </is>
      </c>
    </row>
    <row r="2443">
      <c r="A2443" t="inlineStr">
        <is>
          <t>Digvijay (DJ) Makwana</t>
        </is>
      </c>
      <c r="B2443" t="inlineStr">
        <is>
          <t>Attendee</t>
        </is>
      </c>
      <c r="C2443" t="inlineStr">
        <is>
          <t>CEO &amp; Founder</t>
        </is>
      </c>
      <c r="D2443" t="inlineStr">
        <is>
          <t>Reason Technologies</t>
        </is>
      </c>
      <c r="E2443" t="inlineStr">
        <is>
          <t>United States</t>
        </is>
      </c>
      <c r="F2443" t="inlineStr">
        <is>
          <t>Yes</t>
        </is>
      </c>
      <c r="H2443" t="n">
        <v>6</v>
      </c>
      <c r="I2443" t="b">
        <v>0</v>
      </c>
      <c r="J2443" t="b">
        <v>1</v>
      </c>
      <c r="K2443" t="b">
        <v>0</v>
      </c>
      <c r="L2443" t="b">
        <v>0</v>
      </c>
      <c r="M2443" t="b">
        <v>0</v>
      </c>
      <c r="N2443">
        <f>IFERROR(INDEX('Company Hitlist'!$AA:$AA,MATCH(D2443,'Company Hitlist'!$A:$A,0)),)</f>
        <v/>
      </c>
      <c r="O2443">
        <f>IFERROR(INDEX('Company Hitlist'!$N:$N,MATCH(D2443,'Company Hitlist'!$A:$A,0)),)</f>
        <v/>
      </c>
      <c r="Q2443" t="inlineStr">
        <is>
          <t>todo</t>
        </is>
      </c>
    </row>
    <row r="2444">
      <c r="A2444" t="inlineStr">
        <is>
          <t>Bertrand Leclercq</t>
        </is>
      </c>
      <c r="B2444" t="inlineStr">
        <is>
          <t>Attendee</t>
        </is>
      </c>
      <c r="C2444" t="inlineStr">
        <is>
          <t>SVP Supply – Europe</t>
        </is>
      </c>
      <c r="D2444" t="inlineStr">
        <is>
          <t>Reckitt</t>
        </is>
      </c>
      <c r="F2444" t="inlineStr">
        <is>
          <t>Yes</t>
        </is>
      </c>
      <c r="H2444" t="n">
        <v>6</v>
      </c>
      <c r="I2444" t="b">
        <v>0</v>
      </c>
      <c r="J2444" t="b">
        <v>1</v>
      </c>
      <c r="K2444" t="b">
        <v>0</v>
      </c>
      <c r="L2444" t="b">
        <v>0</v>
      </c>
      <c r="M2444" t="b">
        <v>0</v>
      </c>
      <c r="N2444">
        <f>IFERROR(INDEX('Company Hitlist'!$AA:$AA,MATCH(D2444,'Company Hitlist'!$A:$A,0)),)</f>
        <v/>
      </c>
      <c r="O2444">
        <f>IFERROR(INDEX('Company Hitlist'!$N:$N,MATCH(D2444,'Company Hitlist'!$A:$A,0)),)</f>
        <v/>
      </c>
      <c r="Q2444" t="inlineStr">
        <is>
          <t>todo</t>
        </is>
      </c>
    </row>
    <row r="2445">
      <c r="A2445" t="inlineStr">
        <is>
          <t>Philip Hampden Smith</t>
        </is>
      </c>
      <c r="B2445" t="inlineStr">
        <is>
          <t>Attendee</t>
        </is>
      </c>
      <c r="C2445" t="inlineStr">
        <is>
          <t>SVP Supply – North America</t>
        </is>
      </c>
      <c r="D2445" t="inlineStr">
        <is>
          <t>Reckitt</t>
        </is>
      </c>
      <c r="F2445" t="inlineStr">
        <is>
          <t>Yes</t>
        </is>
      </c>
      <c r="H2445" t="n">
        <v>6</v>
      </c>
      <c r="I2445" t="b">
        <v>0</v>
      </c>
      <c r="J2445" t="b">
        <v>1</v>
      </c>
      <c r="K2445" t="b">
        <v>0</v>
      </c>
      <c r="L2445" t="b">
        <v>0</v>
      </c>
      <c r="M2445" t="b">
        <v>0</v>
      </c>
      <c r="N2445">
        <f>IFERROR(INDEX('Company Hitlist'!$AA:$AA,MATCH(D2445,'Company Hitlist'!$A:$A,0)),)</f>
        <v/>
      </c>
      <c r="O2445">
        <f>IFERROR(INDEX('Company Hitlist'!$N:$N,MATCH(D2445,'Company Hitlist'!$A:$A,0)),)</f>
        <v/>
      </c>
      <c r="Q2445" t="inlineStr">
        <is>
          <t>todo</t>
        </is>
      </c>
    </row>
    <row r="2446">
      <c r="A2446" t="inlineStr">
        <is>
          <t>Matt Salefski</t>
        </is>
      </c>
      <c r="B2446" t="inlineStr">
        <is>
          <t>Attendee</t>
        </is>
      </c>
      <c r="C2446" t="inlineStr">
        <is>
          <t>CEO</t>
        </is>
      </c>
      <c r="D2446" t="inlineStr">
        <is>
          <t>Rectangle</t>
        </is>
      </c>
      <c r="E2446" t="inlineStr">
        <is>
          <t>United States</t>
        </is>
      </c>
      <c r="F2446" t="inlineStr">
        <is>
          <t>Yes</t>
        </is>
      </c>
      <c r="H2446" t="n">
        <v>6</v>
      </c>
      <c r="I2446" t="b">
        <v>0</v>
      </c>
      <c r="J2446" t="b">
        <v>1</v>
      </c>
      <c r="K2446" t="b">
        <v>0</v>
      </c>
      <c r="L2446" t="b">
        <v>0</v>
      </c>
      <c r="M2446" t="b">
        <v>0</v>
      </c>
      <c r="N2446">
        <f>IFERROR(INDEX('Company Hitlist'!$AA:$AA,MATCH(D2446,'Company Hitlist'!$A:$A,0)),)</f>
        <v/>
      </c>
      <c r="O2446">
        <f>IFERROR(INDEX('Company Hitlist'!$N:$N,MATCH(D2446,'Company Hitlist'!$A:$A,0)),)</f>
        <v/>
      </c>
      <c r="Q2446" t="inlineStr">
        <is>
          <t>todo</t>
        </is>
      </c>
    </row>
    <row r="2447">
      <c r="A2447" t="inlineStr">
        <is>
          <t>Nicholas Antoine</t>
        </is>
      </c>
      <c r="B2447" t="inlineStr">
        <is>
          <t>Attendee</t>
        </is>
      </c>
      <c r="C2447" t="inlineStr">
        <is>
          <t>Co-CEO</t>
        </is>
      </c>
      <c r="D2447" t="inlineStr">
        <is>
          <t>Red Arts Capital</t>
        </is>
      </c>
      <c r="E2447" t="inlineStr">
        <is>
          <t>United States</t>
        </is>
      </c>
      <c r="H2447" t="n">
        <v>6</v>
      </c>
      <c r="I2447" t="b">
        <v>0</v>
      </c>
      <c r="J2447" t="b">
        <v>1</v>
      </c>
      <c r="K2447" t="b">
        <v>0</v>
      </c>
      <c r="L2447" t="b">
        <v>0</v>
      </c>
      <c r="M2447" t="b">
        <v>0</v>
      </c>
      <c r="N2447">
        <f>IFERROR(INDEX('Company Hitlist'!$AA:$AA,MATCH(D2447,'Company Hitlist'!$A:$A,0)),)</f>
        <v/>
      </c>
      <c r="O2447">
        <f>IFERROR(INDEX('Company Hitlist'!$N:$N,MATCH(D2447,'Company Hitlist'!$A:$A,0)),)</f>
        <v/>
      </c>
      <c r="Q2447" t="inlineStr">
        <is>
          <t>todo</t>
        </is>
      </c>
    </row>
    <row r="2448">
      <c r="A2448" t="inlineStr">
        <is>
          <t>Wally Shaw</t>
        </is>
      </c>
      <c r="B2448" t="inlineStr">
        <is>
          <t>Attendee</t>
        </is>
      </c>
      <c r="C2448" t="inlineStr">
        <is>
          <t>CEO</t>
        </is>
      </c>
      <c r="D2448" t="inlineStr">
        <is>
          <t>Red Stag Fulfillment</t>
        </is>
      </c>
      <c r="E2448" t="inlineStr">
        <is>
          <t>United States</t>
        </is>
      </c>
      <c r="F2448" t="inlineStr">
        <is>
          <t>Yes</t>
        </is>
      </c>
      <c r="H2448" t="n">
        <v>6</v>
      </c>
      <c r="I2448" t="b">
        <v>0</v>
      </c>
      <c r="J2448" t="b">
        <v>1</v>
      </c>
      <c r="K2448" t="b">
        <v>0</v>
      </c>
      <c r="L2448" t="b">
        <v>0</v>
      </c>
      <c r="M2448" t="b">
        <v>0</v>
      </c>
      <c r="N2448">
        <f>IFERROR(INDEX('Company Hitlist'!$AA:$AA,MATCH(D2448,'Company Hitlist'!$A:$A,0)),)</f>
        <v/>
      </c>
      <c r="O2448">
        <f>IFERROR(INDEX('Company Hitlist'!$N:$N,MATCH(D2448,'Company Hitlist'!$A:$A,0)),)</f>
        <v/>
      </c>
      <c r="Q2448" t="inlineStr">
        <is>
          <t>todo</t>
        </is>
      </c>
    </row>
    <row r="2449">
      <c r="A2449" t="inlineStr">
        <is>
          <t>Sam Martinez</t>
        </is>
      </c>
      <c r="B2449" t="inlineStr">
        <is>
          <t>Attendee</t>
        </is>
      </c>
      <c r="C2449" t="inlineStr">
        <is>
          <t>Vice President, Modern 4PL Strategy</t>
        </is>
      </c>
      <c r="D2449" t="inlineStr">
        <is>
          <t>Redwood Logistics</t>
        </is>
      </c>
      <c r="E2449" t="inlineStr">
        <is>
          <t>United States</t>
        </is>
      </c>
      <c r="F2449" t="inlineStr">
        <is>
          <t>Yes</t>
        </is>
      </c>
      <c r="G2449" t="inlineStr">
        <is>
          <t>1300000000</t>
        </is>
      </c>
      <c r="H2449" t="n">
        <v>6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  <c r="N2449">
        <f>IFERROR(INDEX('Company Hitlist'!$AA:$AA,MATCH(D2449,'Company Hitlist'!$A:$A,0)),)</f>
        <v/>
      </c>
      <c r="O2449">
        <f>IFERROR(INDEX('Company Hitlist'!$N:$N,MATCH(D2449,'Company Hitlist'!$A:$A,0)),)</f>
        <v/>
      </c>
      <c r="Q2449" t="inlineStr">
        <is>
          <t>todo</t>
        </is>
      </c>
    </row>
    <row r="2450">
      <c r="A2450" t="inlineStr">
        <is>
          <t>Grant Shriver</t>
        </is>
      </c>
      <c r="B2450" t="inlineStr">
        <is>
          <t>Attendee</t>
        </is>
      </c>
      <c r="C2450" t="inlineStr">
        <is>
          <t>President</t>
        </is>
      </c>
      <c r="D2450" t="inlineStr">
        <is>
          <t>Registix</t>
        </is>
      </c>
      <c r="F2450" t="inlineStr">
        <is>
          <t>Yes</t>
        </is>
      </c>
      <c r="H2450" t="n">
        <v>6</v>
      </c>
      <c r="I2450" t="b">
        <v>0</v>
      </c>
      <c r="J2450" t="b">
        <v>1</v>
      </c>
      <c r="K2450" t="b">
        <v>0</v>
      </c>
      <c r="L2450" t="b">
        <v>0</v>
      </c>
      <c r="M2450" t="b">
        <v>0</v>
      </c>
      <c r="N2450">
        <f>IFERROR(INDEX('Company Hitlist'!$AA:$AA,MATCH(D2450,'Company Hitlist'!$A:$A,0)),)</f>
        <v/>
      </c>
      <c r="O2450">
        <f>IFERROR(INDEX('Company Hitlist'!$N:$N,MATCH(D2450,'Company Hitlist'!$A:$A,0)),)</f>
        <v/>
      </c>
      <c r="Q2450" t="inlineStr">
        <is>
          <t>todo</t>
        </is>
      </c>
    </row>
    <row r="2451">
      <c r="A2451" t="inlineStr">
        <is>
          <t>Tam Ayers</t>
        </is>
      </c>
      <c r="B2451" t="inlineStr">
        <is>
          <t>Attendee</t>
        </is>
      </c>
      <c r="C2451" t="inlineStr">
        <is>
          <t>CTO</t>
        </is>
      </c>
      <c r="D2451" t="inlineStr">
        <is>
          <t>Registix</t>
        </is>
      </c>
      <c r="F2451" t="inlineStr">
        <is>
          <t>Yes</t>
        </is>
      </c>
      <c r="H2451" t="n">
        <v>6</v>
      </c>
      <c r="I2451" t="b">
        <v>0</v>
      </c>
      <c r="J2451" t="b">
        <v>1</v>
      </c>
      <c r="K2451" t="b">
        <v>0</v>
      </c>
      <c r="L2451" t="b">
        <v>0</v>
      </c>
      <c r="M2451" t="b">
        <v>0</v>
      </c>
      <c r="N2451">
        <f>IFERROR(INDEX('Company Hitlist'!$AA:$AA,MATCH(D2451,'Company Hitlist'!$A:$A,0)),)</f>
        <v/>
      </c>
      <c r="O2451">
        <f>IFERROR(INDEX('Company Hitlist'!$N:$N,MATCH(D2451,'Company Hitlist'!$A:$A,0)),)</f>
        <v/>
      </c>
      <c r="Q2451" t="inlineStr">
        <is>
          <t>todo</t>
        </is>
      </c>
    </row>
    <row r="2452">
      <c r="A2452" t="inlineStr">
        <is>
          <t>Rob Koppel</t>
        </is>
      </c>
      <c r="B2452" t="inlineStr">
        <is>
          <t>Attendee</t>
        </is>
      </c>
      <c r="C2452" t="inlineStr">
        <is>
          <t>Vice President, Executive Search</t>
        </is>
      </c>
      <c r="D2452" t="inlineStr">
        <is>
          <t>Reimer Associates Inc.</t>
        </is>
      </c>
      <c r="E2452" t="inlineStr">
        <is>
          <t>Canada</t>
        </is>
      </c>
      <c r="H2452" t="n">
        <v>6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>
        <f>IFERROR(INDEX('Company Hitlist'!$AA:$AA,MATCH(D2452,'Company Hitlist'!$A:$A,0)),)</f>
        <v/>
      </c>
      <c r="O2452">
        <f>IFERROR(INDEX('Company Hitlist'!$N:$N,MATCH(D2452,'Company Hitlist'!$A:$A,0)),)</f>
        <v/>
      </c>
      <c r="Q2452" t="inlineStr">
        <is>
          <t>todo</t>
        </is>
      </c>
    </row>
    <row r="2453">
      <c r="A2453" t="inlineStr">
        <is>
          <t>Tongzhou Shi</t>
        </is>
      </c>
      <c r="B2453" t="inlineStr">
        <is>
          <t>Attendee</t>
        </is>
      </c>
      <c r="C2453" t="inlineStr">
        <is>
          <t>Chief Investment Advisor</t>
        </is>
      </c>
      <c r="D2453" t="inlineStr">
        <is>
          <t>Rejoice International</t>
        </is>
      </c>
      <c r="F2453" t="inlineStr">
        <is>
          <t>Yes</t>
        </is>
      </c>
      <c r="H2453" t="n">
        <v>6</v>
      </c>
      <c r="I2453" t="b">
        <v>0</v>
      </c>
      <c r="J2453" t="b">
        <v>1</v>
      </c>
      <c r="K2453" t="b">
        <v>0</v>
      </c>
      <c r="L2453" t="b">
        <v>0</v>
      </c>
      <c r="M2453" t="b">
        <v>0</v>
      </c>
      <c r="N2453">
        <f>IFERROR(INDEX('Company Hitlist'!$AA:$AA,MATCH(D2453,'Company Hitlist'!$A:$A,0)),)</f>
        <v/>
      </c>
      <c r="O2453">
        <f>IFERROR(INDEX('Company Hitlist'!$N:$N,MATCH(D2453,'Company Hitlist'!$A:$A,0)),)</f>
        <v/>
      </c>
      <c r="Q2453" t="inlineStr">
        <is>
          <t>todo</t>
        </is>
      </c>
    </row>
    <row r="2454">
      <c r="A2454" t="inlineStr">
        <is>
          <t>Ronald Ramsey</t>
        </is>
      </c>
      <c r="B2454" t="inlineStr">
        <is>
          <t>Attendee</t>
        </is>
      </c>
      <c r="C2454" t="inlineStr">
        <is>
          <t>Chief Commercial Officer</t>
        </is>
      </c>
      <c r="D2454" t="inlineStr">
        <is>
          <t>Reliance Partners</t>
        </is>
      </c>
      <c r="E2454" t="inlineStr">
        <is>
          <t>United States</t>
        </is>
      </c>
      <c r="H2454" t="n">
        <v>6</v>
      </c>
      <c r="I2454" t="b">
        <v>0</v>
      </c>
      <c r="J2454" t="b">
        <v>1</v>
      </c>
      <c r="K2454" t="b">
        <v>0</v>
      </c>
      <c r="L2454" t="b">
        <v>0</v>
      </c>
      <c r="M2454" t="b">
        <v>0</v>
      </c>
      <c r="N2454">
        <f>IFERROR(INDEX('Company Hitlist'!$AA:$AA,MATCH(D2454,'Company Hitlist'!$A:$A,0)),)</f>
        <v/>
      </c>
      <c r="O2454">
        <f>IFERROR(INDEX('Company Hitlist'!$N:$N,MATCH(D2454,'Company Hitlist'!$A:$A,0)),)</f>
        <v/>
      </c>
      <c r="Q2454" t="inlineStr">
        <is>
          <t>todo</t>
        </is>
      </c>
    </row>
    <row r="2455">
      <c r="A2455" t="inlineStr">
        <is>
          <t>Lance King</t>
        </is>
      </c>
      <c r="B2455" t="inlineStr">
        <is>
          <t>Attendee</t>
        </is>
      </c>
      <c r="C2455" t="inlineStr">
        <is>
          <t>CTO</t>
        </is>
      </c>
      <c r="D2455" t="inlineStr">
        <is>
          <t>Remington Logistics Software</t>
        </is>
      </c>
      <c r="E2455" t="inlineStr">
        <is>
          <t>United States</t>
        </is>
      </c>
      <c r="F2455" t="inlineStr">
        <is>
          <t>Yes</t>
        </is>
      </c>
      <c r="H2455" t="n">
        <v>6</v>
      </c>
      <c r="I2455" t="b">
        <v>0</v>
      </c>
      <c r="J2455" t="b">
        <v>1</v>
      </c>
      <c r="K2455" t="b">
        <v>0</v>
      </c>
      <c r="L2455" t="b">
        <v>0</v>
      </c>
      <c r="M2455" t="b">
        <v>0</v>
      </c>
      <c r="N2455">
        <f>IFERROR(INDEX('Company Hitlist'!$AA:$AA,MATCH(D2455,'Company Hitlist'!$A:$A,0)),)</f>
        <v/>
      </c>
      <c r="O2455">
        <f>IFERROR(INDEX('Company Hitlist'!$N:$N,MATCH(D2455,'Company Hitlist'!$A:$A,0)),)</f>
        <v/>
      </c>
      <c r="Q2455" t="inlineStr">
        <is>
          <t>todo</t>
        </is>
      </c>
    </row>
    <row r="2456">
      <c r="A2456" t="inlineStr">
        <is>
          <t>Ryan Ball</t>
        </is>
      </c>
      <c r="B2456" t="inlineStr">
        <is>
          <t>Attendee</t>
        </is>
      </c>
      <c r="C2456" t="inlineStr">
        <is>
          <t>CEO</t>
        </is>
      </c>
      <c r="D2456" t="inlineStr">
        <is>
          <t>Remington Logistics Software</t>
        </is>
      </c>
      <c r="E2456" t="inlineStr">
        <is>
          <t>United States</t>
        </is>
      </c>
      <c r="F2456" t="inlineStr">
        <is>
          <t>Yes</t>
        </is>
      </c>
      <c r="H2456" t="n">
        <v>6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  <c r="N2456">
        <f>IFERROR(INDEX('Company Hitlist'!$AA:$AA,MATCH(D2456,'Company Hitlist'!$A:$A,0)),)</f>
        <v/>
      </c>
      <c r="O2456">
        <f>IFERROR(INDEX('Company Hitlist'!$N:$N,MATCH(D2456,'Company Hitlist'!$A:$A,0)),)</f>
        <v/>
      </c>
      <c r="Q2456" t="inlineStr">
        <is>
          <t>todo</t>
        </is>
      </c>
    </row>
    <row r="2457">
      <c r="A2457" t="inlineStr">
        <is>
          <t>Tom Dean</t>
        </is>
      </c>
      <c r="B2457" t="inlineStr">
        <is>
          <t>Attendee</t>
        </is>
      </c>
      <c r="C2457" t="inlineStr">
        <is>
          <t>CEO</t>
        </is>
      </c>
      <c r="D2457" t="inlineStr">
        <is>
          <t>Renaissant</t>
        </is>
      </c>
      <c r="E2457" t="inlineStr">
        <is>
          <t>United States</t>
        </is>
      </c>
      <c r="F2457" t="inlineStr">
        <is>
          <t>Yes</t>
        </is>
      </c>
      <c r="H2457" t="n">
        <v>6</v>
      </c>
      <c r="I2457" t="b">
        <v>0</v>
      </c>
      <c r="J2457" t="b">
        <v>1</v>
      </c>
      <c r="K2457" t="b">
        <v>0</v>
      </c>
      <c r="L2457" t="b">
        <v>0</v>
      </c>
      <c r="M2457" t="b">
        <v>0</v>
      </c>
      <c r="N2457">
        <f>IFERROR(INDEX('Company Hitlist'!$AA:$AA,MATCH(D2457,'Company Hitlist'!$A:$A,0)),)</f>
        <v/>
      </c>
      <c r="O2457">
        <f>IFERROR(INDEX('Company Hitlist'!$N:$N,MATCH(D2457,'Company Hitlist'!$A:$A,0)),)</f>
        <v/>
      </c>
      <c r="Q2457" t="inlineStr">
        <is>
          <t>todo</t>
        </is>
      </c>
    </row>
    <row r="2458">
      <c r="A2458" t="inlineStr">
        <is>
          <t>Jordan Silverman</t>
        </is>
      </c>
      <c r="B2458" t="inlineStr">
        <is>
          <t>Attendee</t>
        </is>
      </c>
      <c r="C2458" t="inlineStr">
        <is>
          <t>Co-Founder/COO</t>
        </is>
      </c>
      <c r="D2458" t="inlineStr">
        <is>
          <t>Repurpose</t>
        </is>
      </c>
      <c r="F2458" t="inlineStr">
        <is>
          <t>Yes</t>
        </is>
      </c>
      <c r="H2458" t="n">
        <v>6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  <c r="N2458">
        <f>IFERROR(INDEX('Company Hitlist'!$AA:$AA,MATCH(D2458,'Company Hitlist'!$A:$A,0)),)</f>
        <v/>
      </c>
      <c r="O2458">
        <f>IFERROR(INDEX('Company Hitlist'!$N:$N,MATCH(D2458,'Company Hitlist'!$A:$A,0)),)</f>
        <v/>
      </c>
      <c r="Q2458" t="inlineStr">
        <is>
          <t>todo</t>
        </is>
      </c>
    </row>
    <row r="2459">
      <c r="A2459" t="inlineStr">
        <is>
          <t>Paige Borgman</t>
        </is>
      </c>
      <c r="B2459" t="inlineStr">
        <is>
          <t>Attendee</t>
        </is>
      </c>
      <c r="C2459" t="inlineStr">
        <is>
          <t>SVP</t>
        </is>
      </c>
      <c r="D2459" t="inlineStr">
        <is>
          <t>Reputation Partners</t>
        </is>
      </c>
      <c r="E2459" t="inlineStr">
        <is>
          <t>United States</t>
        </is>
      </c>
      <c r="H2459" t="n">
        <v>6</v>
      </c>
      <c r="I2459" t="b">
        <v>0</v>
      </c>
      <c r="J2459" t="b">
        <v>1</v>
      </c>
      <c r="K2459" t="b">
        <v>0</v>
      </c>
      <c r="L2459" t="b">
        <v>0</v>
      </c>
      <c r="M2459" t="b">
        <v>0</v>
      </c>
      <c r="N2459">
        <f>IFERROR(INDEX('Company Hitlist'!$AA:$AA,MATCH(D2459,'Company Hitlist'!$A:$A,0)),)</f>
        <v/>
      </c>
      <c r="O2459">
        <f>IFERROR(INDEX('Company Hitlist'!$N:$N,MATCH(D2459,'Company Hitlist'!$A:$A,0)),)</f>
        <v/>
      </c>
      <c r="Q2459" t="inlineStr">
        <is>
          <t>todo</t>
        </is>
      </c>
    </row>
    <row r="2460">
      <c r="A2460" t="inlineStr">
        <is>
          <t>Elle Smyth</t>
        </is>
      </c>
      <c r="B2460" t="inlineStr">
        <is>
          <t>Attendee</t>
        </is>
      </c>
      <c r="C2460" t="inlineStr">
        <is>
          <t>CEO / Co-Founder</t>
        </is>
      </c>
      <c r="D2460" t="inlineStr">
        <is>
          <t>RetailReadyAI, Inc.</t>
        </is>
      </c>
      <c r="E2460" t="inlineStr">
        <is>
          <t>United States</t>
        </is>
      </c>
      <c r="F2460" t="inlineStr">
        <is>
          <t>Yes</t>
        </is>
      </c>
      <c r="H2460" t="n">
        <v>6</v>
      </c>
      <c r="I2460" t="b">
        <v>0</v>
      </c>
      <c r="J2460" t="b">
        <v>1</v>
      </c>
      <c r="K2460" t="b">
        <v>0</v>
      </c>
      <c r="L2460" t="b">
        <v>0</v>
      </c>
      <c r="M2460" t="b">
        <v>0</v>
      </c>
      <c r="N2460">
        <f>IFERROR(INDEX('Company Hitlist'!$AA:$AA,MATCH(D2460,'Company Hitlist'!$A:$A,0)),)</f>
        <v/>
      </c>
      <c r="O2460">
        <f>IFERROR(INDEX('Company Hitlist'!$N:$N,MATCH(D2460,'Company Hitlist'!$A:$A,0)),)</f>
        <v/>
      </c>
      <c r="Q2460" t="inlineStr">
        <is>
          <t>todo</t>
        </is>
      </c>
    </row>
    <row r="2461">
      <c r="A2461" t="inlineStr">
        <is>
          <t>Sarah Hamer</t>
        </is>
      </c>
      <c r="B2461" t="inlineStr">
        <is>
          <t>Attendee</t>
        </is>
      </c>
      <c r="C2461" t="inlineStr">
        <is>
          <t>COO / Co-Founder</t>
        </is>
      </c>
      <c r="D2461" t="inlineStr">
        <is>
          <t>RetailReadyAI, Inc.</t>
        </is>
      </c>
      <c r="E2461" t="inlineStr">
        <is>
          <t>United States</t>
        </is>
      </c>
      <c r="F2461" t="inlineStr">
        <is>
          <t>Yes</t>
        </is>
      </c>
      <c r="H2461" t="n">
        <v>6</v>
      </c>
      <c r="I2461" t="b">
        <v>0</v>
      </c>
      <c r="J2461" t="b">
        <v>1</v>
      </c>
      <c r="K2461" t="b">
        <v>0</v>
      </c>
      <c r="L2461" t="b">
        <v>0</v>
      </c>
      <c r="M2461" t="b">
        <v>0</v>
      </c>
      <c r="N2461">
        <f>IFERROR(INDEX('Company Hitlist'!$AA:$AA,MATCH(D2461,'Company Hitlist'!$A:$A,0)),)</f>
        <v/>
      </c>
      <c r="O2461">
        <f>IFERROR(INDEX('Company Hitlist'!$N:$N,MATCH(D2461,'Company Hitlist'!$A:$A,0)),)</f>
        <v/>
      </c>
      <c r="Q2461" t="inlineStr">
        <is>
          <t>todo</t>
        </is>
      </c>
    </row>
    <row r="2462">
      <c r="A2462" t="inlineStr">
        <is>
          <t>Gina Anderson</t>
        </is>
      </c>
      <c r="B2462" t="inlineStr">
        <is>
          <t>Attendee</t>
        </is>
      </c>
      <c r="C2462" t="inlineStr">
        <is>
          <t>Vice President</t>
        </is>
      </c>
      <c r="D2462" t="inlineStr">
        <is>
          <t>Reveel</t>
        </is>
      </c>
      <c r="E2462" t="inlineStr">
        <is>
          <t>United States</t>
        </is>
      </c>
      <c r="F2462" t="inlineStr">
        <is>
          <t>Yes</t>
        </is>
      </c>
      <c r="H2462" t="n">
        <v>6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  <c r="N2462">
        <f>IFERROR(INDEX('Company Hitlist'!$AA:$AA,MATCH(D2462,'Company Hitlist'!$A:$A,0)),)</f>
        <v/>
      </c>
      <c r="O2462">
        <f>IFERROR(INDEX('Company Hitlist'!$N:$N,MATCH(D2462,'Company Hitlist'!$A:$A,0)),)</f>
        <v/>
      </c>
      <c r="Q2462" t="inlineStr">
        <is>
          <t>todo</t>
        </is>
      </c>
    </row>
    <row r="2463">
      <c r="A2463" t="inlineStr">
        <is>
          <t>Ty Walker</t>
        </is>
      </c>
      <c r="B2463" t="inlineStr">
        <is>
          <t>Attendee</t>
        </is>
      </c>
      <c r="C2463" t="inlineStr">
        <is>
          <t>VP, Strategic Accounts</t>
        </is>
      </c>
      <c r="D2463" t="inlineStr">
        <is>
          <t>Reveel</t>
        </is>
      </c>
      <c r="F2463" t="inlineStr">
        <is>
          <t>Yes</t>
        </is>
      </c>
      <c r="H2463" t="n">
        <v>6</v>
      </c>
      <c r="I2463" t="b">
        <v>0</v>
      </c>
      <c r="J2463" t="b">
        <v>1</v>
      </c>
      <c r="K2463" t="b">
        <v>0</v>
      </c>
      <c r="L2463" t="b">
        <v>0</v>
      </c>
      <c r="M2463" t="b">
        <v>0</v>
      </c>
      <c r="N2463">
        <f>IFERROR(INDEX('Company Hitlist'!$AA:$AA,MATCH(D2463,'Company Hitlist'!$A:$A,0)),)</f>
        <v/>
      </c>
      <c r="O2463">
        <f>IFERROR(INDEX('Company Hitlist'!$N:$N,MATCH(D2463,'Company Hitlist'!$A:$A,0)),)</f>
        <v/>
      </c>
      <c r="Q2463" t="inlineStr">
        <is>
          <t>todo</t>
        </is>
      </c>
    </row>
    <row r="2464">
      <c r="A2464" t="inlineStr">
        <is>
          <t>Brian Li</t>
        </is>
      </c>
      <c r="B2464" t="inlineStr">
        <is>
          <t>Attendee</t>
        </is>
      </c>
      <c r="C2464" t="inlineStr">
        <is>
          <t>Co-Founder &amp; CEO</t>
        </is>
      </c>
      <c r="D2464" t="inlineStr">
        <is>
          <t>Revenue Vessel</t>
        </is>
      </c>
      <c r="E2464" t="inlineStr">
        <is>
          <t>United States</t>
        </is>
      </c>
      <c r="F2464" t="inlineStr">
        <is>
          <t>Yes</t>
        </is>
      </c>
      <c r="H2464" t="n">
        <v>6</v>
      </c>
      <c r="I2464" t="b">
        <v>0</v>
      </c>
      <c r="J2464" t="b">
        <v>1</v>
      </c>
      <c r="K2464" t="b">
        <v>0</v>
      </c>
      <c r="L2464" t="b">
        <v>0</v>
      </c>
      <c r="M2464" t="b">
        <v>0</v>
      </c>
      <c r="N2464">
        <f>IFERROR(INDEX('Company Hitlist'!$AA:$AA,MATCH(D2464,'Company Hitlist'!$A:$A,0)),)</f>
        <v/>
      </c>
      <c r="O2464">
        <f>IFERROR(INDEX('Company Hitlist'!$N:$N,MATCH(D2464,'Company Hitlist'!$A:$A,0)),)</f>
        <v/>
      </c>
      <c r="Q2464" t="inlineStr">
        <is>
          <t>todo</t>
        </is>
      </c>
    </row>
    <row r="2465">
      <c r="A2465" t="inlineStr">
        <is>
          <t>Matt Rocha</t>
        </is>
      </c>
      <c r="B2465" t="inlineStr">
        <is>
          <t>Attendee</t>
        </is>
      </c>
      <c r="C2465" t="inlineStr">
        <is>
          <t>Head of Strategic Accounts</t>
        </is>
      </c>
      <c r="D2465" t="inlineStr">
        <is>
          <t>Revenue Vessel</t>
        </is>
      </c>
      <c r="E2465" t="inlineStr">
        <is>
          <t>United States</t>
        </is>
      </c>
      <c r="F2465" t="inlineStr">
        <is>
          <t>Yes</t>
        </is>
      </c>
      <c r="H2465" t="n">
        <v>6</v>
      </c>
      <c r="I2465" t="b">
        <v>0</v>
      </c>
      <c r="J2465" t="b">
        <v>1</v>
      </c>
      <c r="K2465" t="b">
        <v>0</v>
      </c>
      <c r="L2465" t="b">
        <v>0</v>
      </c>
      <c r="M2465" t="b">
        <v>0</v>
      </c>
      <c r="N2465">
        <f>IFERROR(INDEX('Company Hitlist'!$AA:$AA,MATCH(D2465,'Company Hitlist'!$A:$A,0)),)</f>
        <v/>
      </c>
      <c r="O2465">
        <f>IFERROR(INDEX('Company Hitlist'!$N:$N,MATCH(D2465,'Company Hitlist'!$A:$A,0)),)</f>
        <v/>
      </c>
      <c r="Q2465" t="inlineStr">
        <is>
          <t>todo</t>
        </is>
      </c>
    </row>
    <row r="2466">
      <c r="A2466" t="inlineStr">
        <is>
          <t>Noah Stewart</t>
        </is>
      </c>
      <c r="B2466" t="inlineStr">
        <is>
          <t>Attendee</t>
        </is>
      </c>
      <c r="C2466" t="inlineStr">
        <is>
          <t>COO</t>
        </is>
      </c>
      <c r="D2466" t="inlineStr">
        <is>
          <t>Revenue Vessel</t>
        </is>
      </c>
      <c r="E2466" t="inlineStr">
        <is>
          <t>United States</t>
        </is>
      </c>
      <c r="F2466" t="inlineStr">
        <is>
          <t>Yes</t>
        </is>
      </c>
      <c r="H2466" t="n">
        <v>6</v>
      </c>
      <c r="I2466" t="b">
        <v>0</v>
      </c>
      <c r="J2466" t="b">
        <v>1</v>
      </c>
      <c r="K2466" t="b">
        <v>0</v>
      </c>
      <c r="L2466" t="b">
        <v>0</v>
      </c>
      <c r="M2466" t="b">
        <v>0</v>
      </c>
      <c r="N2466">
        <f>IFERROR(INDEX('Company Hitlist'!$AA:$AA,MATCH(D2466,'Company Hitlist'!$A:$A,0)),)</f>
        <v/>
      </c>
      <c r="O2466">
        <f>IFERROR(INDEX('Company Hitlist'!$N:$N,MATCH(D2466,'Company Hitlist'!$A:$A,0)),)</f>
        <v/>
      </c>
      <c r="Q2466" t="inlineStr">
        <is>
          <t>todo</t>
        </is>
      </c>
    </row>
    <row r="2467">
      <c r="A2467" t="inlineStr">
        <is>
          <t>James Adams</t>
        </is>
      </c>
      <c r="B2467" t="inlineStr">
        <is>
          <t>Attendee</t>
        </is>
      </c>
      <c r="C2467" t="inlineStr">
        <is>
          <t>CEO</t>
        </is>
      </c>
      <c r="D2467" t="inlineStr">
        <is>
          <t>Revolution Transport, LLC</t>
        </is>
      </c>
      <c r="E2467" t="inlineStr">
        <is>
          <t>United States</t>
        </is>
      </c>
      <c r="F2467" t="inlineStr">
        <is>
          <t>Yes</t>
        </is>
      </c>
      <c r="H2467" t="n">
        <v>6</v>
      </c>
      <c r="I2467" t="b">
        <v>0</v>
      </c>
      <c r="J2467" t="b">
        <v>1</v>
      </c>
      <c r="K2467" t="b">
        <v>0</v>
      </c>
      <c r="L2467" t="b">
        <v>0</v>
      </c>
      <c r="M2467" t="b">
        <v>0</v>
      </c>
      <c r="N2467">
        <f>IFERROR(INDEX('Company Hitlist'!$AA:$AA,MATCH(D2467,'Company Hitlist'!$A:$A,0)),)</f>
        <v/>
      </c>
      <c r="O2467">
        <f>IFERROR(INDEX('Company Hitlist'!$N:$N,MATCH(D2467,'Company Hitlist'!$A:$A,0)),)</f>
        <v/>
      </c>
      <c r="Q2467" t="inlineStr">
        <is>
          <t>todo</t>
        </is>
      </c>
    </row>
    <row r="2468">
      <c r="A2468" t="inlineStr">
        <is>
          <t>Matt Motsick</t>
        </is>
      </c>
      <c r="B2468" t="inlineStr">
        <is>
          <t>Attendee</t>
        </is>
      </c>
      <c r="C2468" t="inlineStr">
        <is>
          <t>CEO</t>
        </is>
      </c>
      <c r="D2468" t="inlineStr">
        <is>
          <t>Rippey AI</t>
        </is>
      </c>
      <c r="E2468" t="inlineStr">
        <is>
          <t>United States</t>
        </is>
      </c>
      <c r="F2468" t="inlineStr">
        <is>
          <t>Yes</t>
        </is>
      </c>
      <c r="H2468" t="n">
        <v>6</v>
      </c>
      <c r="I2468" t="b">
        <v>0</v>
      </c>
      <c r="J2468" t="b">
        <v>1</v>
      </c>
      <c r="K2468" t="b">
        <v>0</v>
      </c>
      <c r="L2468" t="b">
        <v>0</v>
      </c>
      <c r="M2468" t="b">
        <v>0</v>
      </c>
      <c r="N2468">
        <f>IFERROR(INDEX('Company Hitlist'!$AA:$AA,MATCH(D2468,'Company Hitlist'!$A:$A,0)),)</f>
        <v/>
      </c>
      <c r="O2468">
        <f>IFERROR(INDEX('Company Hitlist'!$N:$N,MATCH(D2468,'Company Hitlist'!$A:$A,0)),)</f>
        <v/>
      </c>
      <c r="Q2468" t="inlineStr">
        <is>
          <t>todo</t>
        </is>
      </c>
    </row>
    <row r="2469">
      <c r="A2469" t="inlineStr">
        <is>
          <t>Nishil Soni</t>
        </is>
      </c>
      <c r="B2469" t="inlineStr">
        <is>
          <t>Attendee</t>
        </is>
      </c>
      <c r="C2469" t="inlineStr">
        <is>
          <t>CEO</t>
        </is>
      </c>
      <c r="D2469" t="inlineStr">
        <is>
          <t>Ritesize</t>
        </is>
      </c>
      <c r="E2469" t="inlineStr">
        <is>
          <t>United States</t>
        </is>
      </c>
      <c r="F2469" t="inlineStr">
        <is>
          <t>Yes</t>
        </is>
      </c>
      <c r="H2469" t="n">
        <v>6</v>
      </c>
      <c r="I2469" t="b">
        <v>0</v>
      </c>
      <c r="J2469" t="b">
        <v>1</v>
      </c>
      <c r="K2469" t="b">
        <v>0</v>
      </c>
      <c r="L2469" t="b">
        <v>0</v>
      </c>
      <c r="M2469" t="b">
        <v>0</v>
      </c>
      <c r="N2469">
        <f>IFERROR(INDEX('Company Hitlist'!$AA:$AA,MATCH(D2469,'Company Hitlist'!$A:$A,0)),)</f>
        <v/>
      </c>
      <c r="O2469">
        <f>IFERROR(INDEX('Company Hitlist'!$N:$N,MATCH(D2469,'Company Hitlist'!$A:$A,0)),)</f>
        <v/>
      </c>
      <c r="Q2469" t="inlineStr">
        <is>
          <t>todo</t>
        </is>
      </c>
    </row>
    <row r="2470">
      <c r="A2470" t="inlineStr">
        <is>
          <t>Lisa Wan</t>
        </is>
      </c>
      <c r="B2470" t="inlineStr">
        <is>
          <t>Attendee</t>
        </is>
      </c>
      <c r="C2470" t="inlineStr">
        <is>
          <t>President</t>
        </is>
      </c>
      <c r="D2470" t="inlineStr">
        <is>
          <t>RoadEx CY Inc.</t>
        </is>
      </c>
      <c r="E2470" t="inlineStr">
        <is>
          <t>United States</t>
        </is>
      </c>
      <c r="F2470" t="inlineStr">
        <is>
          <t>Yes</t>
        </is>
      </c>
      <c r="H2470" t="n">
        <v>6</v>
      </c>
      <c r="I2470" t="b">
        <v>0</v>
      </c>
      <c r="J2470" t="b">
        <v>1</v>
      </c>
      <c r="K2470" t="b">
        <v>0</v>
      </c>
      <c r="L2470" t="b">
        <v>0</v>
      </c>
      <c r="M2470" t="b">
        <v>0</v>
      </c>
      <c r="N2470">
        <f>IFERROR(INDEX('Company Hitlist'!$AA:$AA,MATCH(D2470,'Company Hitlist'!$A:$A,0)),)</f>
        <v/>
      </c>
      <c r="O2470">
        <f>IFERROR(INDEX('Company Hitlist'!$N:$N,MATCH(D2470,'Company Hitlist'!$A:$A,0)),)</f>
        <v/>
      </c>
      <c r="Q2470" t="inlineStr">
        <is>
          <t>todo</t>
        </is>
      </c>
    </row>
    <row r="2471">
      <c r="A2471" t="inlineStr">
        <is>
          <t>Tomasz Jamroz</t>
        </is>
      </c>
      <c r="B2471" t="inlineStr">
        <is>
          <t>Attendee</t>
        </is>
      </c>
      <c r="C2471" t="inlineStr">
        <is>
          <t>Chief Operating Officer</t>
        </is>
      </c>
      <c r="D2471" t="inlineStr">
        <is>
          <t>Roadrunner Transportation Systems</t>
        </is>
      </c>
      <c r="F2471" t="inlineStr">
        <is>
          <t>Yes</t>
        </is>
      </c>
      <c r="H2471" t="n">
        <v>6</v>
      </c>
      <c r="I2471" t="b">
        <v>0</v>
      </c>
      <c r="J2471" t="b">
        <v>1</v>
      </c>
      <c r="K2471" t="b">
        <v>0</v>
      </c>
      <c r="L2471" t="b">
        <v>0</v>
      </c>
      <c r="M2471" t="b">
        <v>0</v>
      </c>
      <c r="N2471">
        <f>IFERROR(INDEX('Company Hitlist'!$AA:$AA,MATCH(D2471,'Company Hitlist'!$A:$A,0)),)</f>
        <v/>
      </c>
      <c r="O2471">
        <f>IFERROR(INDEX('Company Hitlist'!$N:$N,MATCH(D2471,'Company Hitlist'!$A:$A,0)),)</f>
        <v/>
      </c>
      <c r="Q2471" t="inlineStr">
        <is>
          <t>todo</t>
        </is>
      </c>
    </row>
    <row r="2472">
      <c r="A2472" t="inlineStr">
        <is>
          <t>James Jelinek</t>
        </is>
      </c>
      <c r="B2472" t="inlineStr">
        <is>
          <t>Attendee</t>
        </is>
      </c>
      <c r="C2472" t="inlineStr">
        <is>
          <t>President</t>
        </is>
      </c>
      <c r="D2472" t="inlineStr">
        <is>
          <t>Roadtex - an Echo Company</t>
        </is>
      </c>
      <c r="E2472" t="inlineStr">
        <is>
          <t>United States</t>
        </is>
      </c>
      <c r="F2472" t="inlineStr">
        <is>
          <t>Yes</t>
        </is>
      </c>
      <c r="H2472" t="n">
        <v>6</v>
      </c>
      <c r="I2472" t="b">
        <v>0</v>
      </c>
      <c r="J2472" t="b">
        <v>1</v>
      </c>
      <c r="K2472" t="b">
        <v>0</v>
      </c>
      <c r="L2472" t="b">
        <v>0</v>
      </c>
      <c r="M2472" t="b">
        <v>0</v>
      </c>
      <c r="N2472">
        <f>IFERROR(INDEX('Company Hitlist'!$AA:$AA,MATCH(D2472,'Company Hitlist'!$A:$A,0)),)</f>
        <v/>
      </c>
      <c r="O2472">
        <f>IFERROR(INDEX('Company Hitlist'!$N:$N,MATCH(D2472,'Company Hitlist'!$A:$A,0)),)</f>
        <v/>
      </c>
      <c r="Q2472" t="inlineStr">
        <is>
          <t>todo</t>
        </is>
      </c>
    </row>
    <row r="2473">
      <c r="A2473" t="inlineStr">
        <is>
          <t>Leo Russell</t>
        </is>
      </c>
      <c r="B2473" t="inlineStr">
        <is>
          <t>Attendee</t>
        </is>
      </c>
      <c r="C2473" t="inlineStr">
        <is>
          <t>CEO</t>
        </is>
      </c>
      <c r="D2473" t="inlineStr">
        <is>
          <t>Rocket Shippers</t>
        </is>
      </c>
      <c r="F2473" t="inlineStr">
        <is>
          <t>Yes</t>
        </is>
      </c>
      <c r="H2473" t="n">
        <v>6</v>
      </c>
      <c r="I2473" t="b">
        <v>0</v>
      </c>
      <c r="J2473" t="b">
        <v>1</v>
      </c>
      <c r="K2473" t="b">
        <v>0</v>
      </c>
      <c r="L2473" t="b">
        <v>0</v>
      </c>
      <c r="M2473" t="b">
        <v>0</v>
      </c>
      <c r="N2473">
        <f>IFERROR(INDEX('Company Hitlist'!$AA:$AA,MATCH(D2473,'Company Hitlist'!$A:$A,0)),)</f>
        <v/>
      </c>
      <c r="O2473">
        <f>IFERROR(INDEX('Company Hitlist'!$N:$N,MATCH(D2473,'Company Hitlist'!$A:$A,0)),)</f>
        <v/>
      </c>
      <c r="Q2473" t="inlineStr">
        <is>
          <t>todo</t>
        </is>
      </c>
    </row>
    <row r="2474">
      <c r="A2474" t="inlineStr">
        <is>
          <t>John Paape</t>
        </is>
      </c>
      <c r="B2474" t="inlineStr">
        <is>
          <t>Attendee</t>
        </is>
      </c>
      <c r="C2474" t="inlineStr">
        <is>
          <t>CIO/VP Information Technology</t>
        </is>
      </c>
      <c r="D2474" t="inlineStr">
        <is>
          <t>Roehl Transport Inc.</t>
        </is>
      </c>
      <c r="F2474" t="inlineStr">
        <is>
          <t>Yes</t>
        </is>
      </c>
      <c r="H2474" t="n">
        <v>6</v>
      </c>
      <c r="I2474" t="b">
        <v>0</v>
      </c>
      <c r="J2474" t="b">
        <v>1</v>
      </c>
      <c r="K2474" t="b">
        <v>0</v>
      </c>
      <c r="L2474" t="b">
        <v>0</v>
      </c>
      <c r="M2474" t="b">
        <v>0</v>
      </c>
      <c r="N2474">
        <f>IFERROR(INDEX('Company Hitlist'!$AA:$AA,MATCH(D2474,'Company Hitlist'!$A:$A,0)),)</f>
        <v/>
      </c>
      <c r="O2474">
        <f>IFERROR(INDEX('Company Hitlist'!$N:$N,MATCH(D2474,'Company Hitlist'!$A:$A,0)),)</f>
        <v/>
      </c>
      <c r="Q2474" t="inlineStr">
        <is>
          <t>todo</t>
        </is>
      </c>
    </row>
    <row r="2475">
      <c r="A2475" t="inlineStr">
        <is>
          <t>Silvio Rossi</t>
        </is>
      </c>
      <c r="B2475" t="inlineStr">
        <is>
          <t>Attendee</t>
        </is>
      </c>
      <c r="C2475" t="inlineStr">
        <is>
          <t>President</t>
        </is>
      </c>
      <c r="D2475" t="inlineStr">
        <is>
          <t>Rossi Search Partners Inc</t>
        </is>
      </c>
      <c r="E2475" t="inlineStr">
        <is>
          <t>Canada</t>
        </is>
      </c>
      <c r="H2475" t="n">
        <v>6</v>
      </c>
      <c r="I2475" t="b">
        <v>0</v>
      </c>
      <c r="J2475" t="b">
        <v>1</v>
      </c>
      <c r="K2475" t="b">
        <v>0</v>
      </c>
      <c r="L2475" t="b">
        <v>0</v>
      </c>
      <c r="M2475" t="b">
        <v>0</v>
      </c>
      <c r="N2475">
        <f>IFERROR(INDEX('Company Hitlist'!$AA:$AA,MATCH(D2475,'Company Hitlist'!$A:$A,0)),)</f>
        <v/>
      </c>
      <c r="O2475">
        <f>IFERROR(INDEX('Company Hitlist'!$N:$N,MATCH(D2475,'Company Hitlist'!$A:$A,0)),)</f>
        <v/>
      </c>
      <c r="Q2475" t="inlineStr">
        <is>
          <t>todo</t>
        </is>
      </c>
    </row>
    <row r="2476">
      <c r="A2476" t="inlineStr">
        <is>
          <t>Chad Willis</t>
        </is>
      </c>
      <c r="B2476" t="inlineStr">
        <is>
          <t>Attendee</t>
        </is>
      </c>
      <c r="C2476" t="inlineStr">
        <is>
          <t>CIO</t>
        </is>
      </c>
      <c r="D2476" t="inlineStr">
        <is>
          <t>Ruan</t>
        </is>
      </c>
      <c r="F2476" t="inlineStr">
        <is>
          <t>Yes</t>
        </is>
      </c>
      <c r="H2476" t="n">
        <v>6</v>
      </c>
      <c r="I2476" t="b">
        <v>0</v>
      </c>
      <c r="J2476" t="b">
        <v>1</v>
      </c>
      <c r="K2476" t="b">
        <v>0</v>
      </c>
      <c r="L2476" t="b">
        <v>0</v>
      </c>
      <c r="M2476" t="b">
        <v>0</v>
      </c>
      <c r="N2476">
        <f>IFERROR(INDEX('Company Hitlist'!$AA:$AA,MATCH(D2476,'Company Hitlist'!$A:$A,0)),)</f>
        <v/>
      </c>
      <c r="O2476">
        <f>IFERROR(INDEX('Company Hitlist'!$N:$N,MATCH(D2476,'Company Hitlist'!$A:$A,0)),)</f>
        <v/>
      </c>
      <c r="Q2476" t="inlineStr">
        <is>
          <t>todo</t>
        </is>
      </c>
    </row>
    <row r="2477">
      <c r="A2477" t="inlineStr">
        <is>
          <t>Gabe Grifoni</t>
        </is>
      </c>
      <c r="B2477" t="inlineStr">
        <is>
          <t>Attendee</t>
        </is>
      </c>
      <c r="C2477" t="inlineStr">
        <is>
          <t>CEO</t>
        </is>
      </c>
      <c r="D2477" t="inlineStr">
        <is>
          <t>Rufus Labs</t>
        </is>
      </c>
      <c r="E2477" t="inlineStr">
        <is>
          <t>United States</t>
        </is>
      </c>
      <c r="F2477" t="inlineStr">
        <is>
          <t>Yes</t>
        </is>
      </c>
      <c r="H2477" t="n">
        <v>6</v>
      </c>
      <c r="I2477" t="b">
        <v>0</v>
      </c>
      <c r="J2477" t="b">
        <v>1</v>
      </c>
      <c r="K2477" t="b">
        <v>0</v>
      </c>
      <c r="L2477" t="b">
        <v>0</v>
      </c>
      <c r="M2477" t="b">
        <v>0</v>
      </c>
      <c r="N2477">
        <f>IFERROR(INDEX('Company Hitlist'!$AA:$AA,MATCH(D2477,'Company Hitlist'!$A:$A,0)),)</f>
        <v/>
      </c>
      <c r="O2477">
        <f>IFERROR(INDEX('Company Hitlist'!$N:$N,MATCH(D2477,'Company Hitlist'!$A:$A,0)),)</f>
        <v/>
      </c>
      <c r="Q2477" t="inlineStr">
        <is>
          <t>todo</t>
        </is>
      </c>
    </row>
    <row r="2478">
      <c r="A2478" t="inlineStr">
        <is>
          <t>Derrick Morse</t>
        </is>
      </c>
      <c r="B2478" t="inlineStr">
        <is>
          <t>Attendee</t>
        </is>
      </c>
      <c r="C2478" t="inlineStr">
        <is>
          <t>CEO &amp; Founder</t>
        </is>
      </c>
      <c r="D2478" t="inlineStr">
        <is>
          <t>Rugged Robotics</t>
        </is>
      </c>
      <c r="F2478" t="inlineStr">
        <is>
          <t>Yes</t>
        </is>
      </c>
      <c r="H2478" t="n">
        <v>6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>
        <f>IFERROR(INDEX('Company Hitlist'!$AA:$AA,MATCH(D2478,'Company Hitlist'!$A:$A,0)),)</f>
        <v/>
      </c>
      <c r="O2478">
        <f>IFERROR(INDEX('Company Hitlist'!$N:$N,MATCH(D2478,'Company Hitlist'!$A:$A,0)),)</f>
        <v/>
      </c>
      <c r="Q2478" t="inlineStr">
        <is>
          <t>todo</t>
        </is>
      </c>
    </row>
    <row r="2479">
      <c r="A2479" t="inlineStr">
        <is>
          <t>Maggie Fried</t>
        </is>
      </c>
      <c r="B2479" t="inlineStr">
        <is>
          <t>Attendee</t>
        </is>
      </c>
      <c r="C2479" t="inlineStr">
        <is>
          <t>Vice President, Corporate Development</t>
        </is>
      </c>
      <c r="D2479" t="inlineStr">
        <is>
          <t>S2G Investments</t>
        </is>
      </c>
      <c r="E2479" t="inlineStr">
        <is>
          <t>United States</t>
        </is>
      </c>
      <c r="H2479" t="n">
        <v>6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  <c r="N2479">
        <f>IFERROR(INDEX('Company Hitlist'!$AA:$AA,MATCH(D2479,'Company Hitlist'!$A:$A,0)),)</f>
        <v/>
      </c>
      <c r="O2479">
        <f>IFERROR(INDEX('Company Hitlist'!$N:$N,MATCH(D2479,'Company Hitlist'!$A:$A,0)),)</f>
        <v/>
      </c>
      <c r="Q2479" t="inlineStr">
        <is>
          <t>todo</t>
        </is>
      </c>
    </row>
    <row r="2480">
      <c r="A2480" t="inlineStr">
        <is>
          <t>Mitch Worden</t>
        </is>
      </c>
      <c r="B2480" t="inlineStr">
        <is>
          <t>Attendee</t>
        </is>
      </c>
      <c r="C2480" t="inlineStr">
        <is>
          <t>VP of Corporate Development - Energy</t>
        </is>
      </c>
      <c r="D2480" t="inlineStr">
        <is>
          <t>S2G Investments</t>
        </is>
      </c>
      <c r="E2480" t="inlineStr">
        <is>
          <t>United States</t>
        </is>
      </c>
      <c r="H2480" t="n">
        <v>6</v>
      </c>
      <c r="I2480" t="b">
        <v>0</v>
      </c>
      <c r="J2480" t="b">
        <v>1</v>
      </c>
      <c r="K2480" t="b">
        <v>0</v>
      </c>
      <c r="L2480" t="b">
        <v>0</v>
      </c>
      <c r="M2480" t="b">
        <v>0</v>
      </c>
      <c r="N2480">
        <f>IFERROR(INDEX('Company Hitlist'!$AA:$AA,MATCH(D2480,'Company Hitlist'!$A:$A,0)),)</f>
        <v/>
      </c>
      <c r="O2480">
        <f>IFERROR(INDEX('Company Hitlist'!$N:$N,MATCH(D2480,'Company Hitlist'!$A:$A,0)),)</f>
        <v/>
      </c>
      <c r="Q2480" t="inlineStr">
        <is>
          <t>todo</t>
        </is>
      </c>
    </row>
    <row r="2481">
      <c r="A2481" t="inlineStr">
        <is>
          <t>Cory Weikel</t>
        </is>
      </c>
      <c r="B2481" t="inlineStr">
        <is>
          <t>Attendee</t>
        </is>
      </c>
      <c r="C2481" t="inlineStr">
        <is>
          <t>CEO</t>
        </is>
      </c>
      <c r="D2481" t="inlineStr">
        <is>
          <t>SCW</t>
        </is>
      </c>
      <c r="E2481" t="inlineStr">
        <is>
          <t>United States</t>
        </is>
      </c>
      <c r="F2481" t="inlineStr">
        <is>
          <t>Yes</t>
        </is>
      </c>
      <c r="H2481" t="n">
        <v>6</v>
      </c>
      <c r="I2481" t="b">
        <v>0</v>
      </c>
      <c r="J2481" t="b">
        <v>1</v>
      </c>
      <c r="K2481" t="b">
        <v>0</v>
      </c>
      <c r="L2481" t="b">
        <v>0</v>
      </c>
      <c r="M2481" t="b">
        <v>0</v>
      </c>
      <c r="N2481">
        <f>IFERROR(INDEX('Company Hitlist'!$AA:$AA,MATCH(D2481,'Company Hitlist'!$A:$A,0)),)</f>
        <v/>
      </c>
      <c r="O2481">
        <f>IFERROR(INDEX('Company Hitlist'!$N:$N,MATCH(D2481,'Company Hitlist'!$A:$A,0)),)</f>
        <v/>
      </c>
      <c r="Q2481" t="inlineStr">
        <is>
          <t>todo</t>
        </is>
      </c>
    </row>
    <row r="2482">
      <c r="A2482" t="inlineStr">
        <is>
          <t>Salim Tab</t>
        </is>
      </c>
      <c r="B2482" t="inlineStr">
        <is>
          <t>Attendee</t>
        </is>
      </c>
      <c r="C2482" t="inlineStr">
        <is>
          <t>CEO</t>
        </is>
      </c>
      <c r="D2482" t="inlineStr">
        <is>
          <t>SLMCON</t>
        </is>
      </c>
      <c r="E2482" t="inlineStr">
        <is>
          <t>Canada</t>
        </is>
      </c>
      <c r="H2482" t="n">
        <v>6</v>
      </c>
      <c r="I2482" t="b">
        <v>0</v>
      </c>
      <c r="J2482" t="b">
        <v>1</v>
      </c>
      <c r="K2482" t="b">
        <v>0</v>
      </c>
      <c r="L2482" t="b">
        <v>0</v>
      </c>
      <c r="M2482" t="b">
        <v>0</v>
      </c>
      <c r="N2482">
        <f>IFERROR(INDEX('Company Hitlist'!$AA:$AA,MATCH(D2482,'Company Hitlist'!$A:$A,0)),)</f>
        <v/>
      </c>
      <c r="O2482">
        <f>IFERROR(INDEX('Company Hitlist'!$N:$N,MATCH(D2482,'Company Hitlist'!$A:$A,0)),)</f>
        <v/>
      </c>
      <c r="Q2482" t="inlineStr">
        <is>
          <t>todo</t>
        </is>
      </c>
    </row>
    <row r="2483">
      <c r="A2483" t="inlineStr">
        <is>
          <t>Brian Thompson</t>
        </is>
      </c>
      <c r="B2483" t="inlineStr">
        <is>
          <t>Attendee</t>
        </is>
      </c>
      <c r="C2483" t="inlineStr">
        <is>
          <t>Sr. VP of Commercial Strategy</t>
        </is>
      </c>
      <c r="D2483" t="inlineStr">
        <is>
          <t>SMC3</t>
        </is>
      </c>
      <c r="E2483" t="inlineStr">
        <is>
          <t>United States</t>
        </is>
      </c>
      <c r="F2483" t="inlineStr">
        <is>
          <t>Yes</t>
        </is>
      </c>
      <c r="H2483" t="n">
        <v>6</v>
      </c>
      <c r="I2483" t="b">
        <v>0</v>
      </c>
      <c r="J2483" t="b">
        <v>1</v>
      </c>
      <c r="K2483" t="b">
        <v>0</v>
      </c>
      <c r="L2483" t="b">
        <v>0</v>
      </c>
      <c r="M2483" t="b">
        <v>0</v>
      </c>
      <c r="N2483">
        <f>IFERROR(INDEX('Company Hitlist'!$AA:$AA,MATCH(D2483,'Company Hitlist'!$A:$A,0)),)</f>
        <v/>
      </c>
      <c r="O2483">
        <f>IFERROR(INDEX('Company Hitlist'!$N:$N,MATCH(D2483,'Company Hitlist'!$A:$A,0)),)</f>
        <v/>
      </c>
      <c r="Q2483" t="inlineStr">
        <is>
          <t>todo</t>
        </is>
      </c>
    </row>
    <row r="2484">
      <c r="A2484" t="inlineStr">
        <is>
          <t>David Knight</t>
        </is>
      </c>
      <c r="B2484" t="inlineStr">
        <is>
          <t>Attendee</t>
        </is>
      </c>
      <c r="C2484" t="inlineStr">
        <is>
          <t>Sr. VP, Technology &amp; Product Development, CIO</t>
        </is>
      </c>
      <c r="D2484" t="inlineStr">
        <is>
          <t>SMC3</t>
        </is>
      </c>
      <c r="E2484" t="inlineStr">
        <is>
          <t>United States</t>
        </is>
      </c>
      <c r="F2484" t="inlineStr">
        <is>
          <t>Yes</t>
        </is>
      </c>
      <c r="H2484" t="n">
        <v>6</v>
      </c>
      <c r="I2484" t="b">
        <v>0</v>
      </c>
      <c r="J2484" t="b">
        <v>1</v>
      </c>
      <c r="K2484" t="b">
        <v>0</v>
      </c>
      <c r="L2484" t="b">
        <v>0</v>
      </c>
      <c r="M2484" t="b">
        <v>0</v>
      </c>
      <c r="N2484">
        <f>IFERROR(INDEX('Company Hitlist'!$AA:$AA,MATCH(D2484,'Company Hitlist'!$A:$A,0)),)</f>
        <v/>
      </c>
      <c r="O2484">
        <f>IFERROR(INDEX('Company Hitlist'!$N:$N,MATCH(D2484,'Company Hitlist'!$A:$A,0)),)</f>
        <v/>
      </c>
      <c r="Q2484" t="inlineStr">
        <is>
          <t>todo</t>
        </is>
      </c>
    </row>
    <row r="2485">
      <c r="A2485" t="inlineStr">
        <is>
          <t>Brian Pharaoh</t>
        </is>
      </c>
      <c r="B2485" t="inlineStr">
        <is>
          <t>Attendee</t>
        </is>
      </c>
      <c r="C2485" t="inlineStr">
        <is>
          <t>Vice President</t>
        </is>
      </c>
      <c r="D2485" t="inlineStr">
        <is>
          <t>SOAR Transportation Group</t>
        </is>
      </c>
      <c r="E2485" t="inlineStr">
        <is>
          <t>United States</t>
        </is>
      </c>
      <c r="F2485" t="inlineStr">
        <is>
          <t>Yes</t>
        </is>
      </c>
      <c r="H2485" t="n">
        <v>6</v>
      </c>
      <c r="I2485" t="b">
        <v>0</v>
      </c>
      <c r="J2485" t="b">
        <v>1</v>
      </c>
      <c r="K2485" t="b">
        <v>0</v>
      </c>
      <c r="L2485" t="b">
        <v>0</v>
      </c>
      <c r="M2485" t="b">
        <v>0</v>
      </c>
      <c r="N2485">
        <f>IFERROR(INDEX('Company Hitlist'!$AA:$AA,MATCH(D2485,'Company Hitlist'!$A:$A,0)),)</f>
        <v/>
      </c>
      <c r="O2485">
        <f>IFERROR(INDEX('Company Hitlist'!$N:$N,MATCH(D2485,'Company Hitlist'!$A:$A,0)),)</f>
        <v/>
      </c>
      <c r="Q2485" t="inlineStr">
        <is>
          <t>todo</t>
        </is>
      </c>
    </row>
    <row r="2486">
      <c r="A2486" t="inlineStr">
        <is>
          <t>Morgan Anderson</t>
        </is>
      </c>
      <c r="B2486" t="inlineStr">
        <is>
          <t>Attendee</t>
        </is>
      </c>
      <c r="C2486" t="inlineStr">
        <is>
          <t>CEO</t>
        </is>
      </c>
      <c r="D2486" t="inlineStr">
        <is>
          <t>SPARQ360</t>
        </is>
      </c>
      <c r="E2486" t="inlineStr">
        <is>
          <t>United States</t>
        </is>
      </c>
      <c r="H2486" t="n">
        <v>6</v>
      </c>
      <c r="I2486" t="b">
        <v>0</v>
      </c>
      <c r="J2486" t="b">
        <v>1</v>
      </c>
      <c r="K2486" t="b">
        <v>0</v>
      </c>
      <c r="L2486" t="b">
        <v>0</v>
      </c>
      <c r="M2486" t="b">
        <v>0</v>
      </c>
      <c r="N2486">
        <f>IFERROR(INDEX('Company Hitlist'!$AA:$AA,MATCH(D2486,'Company Hitlist'!$A:$A,0)),)</f>
        <v/>
      </c>
      <c r="O2486">
        <f>IFERROR(INDEX('Company Hitlist'!$N:$N,MATCH(D2486,'Company Hitlist'!$A:$A,0)),)</f>
        <v/>
      </c>
      <c r="Q2486" t="inlineStr">
        <is>
          <t>todo</t>
        </is>
      </c>
    </row>
    <row r="2487">
      <c r="A2487" t="inlineStr">
        <is>
          <t>James Lemon</t>
        </is>
      </c>
      <c r="B2487" t="inlineStr">
        <is>
          <t>Attendee</t>
        </is>
      </c>
      <c r="C2487" t="inlineStr">
        <is>
          <t>Vice President of Finance</t>
        </is>
      </c>
      <c r="D2487" t="inlineStr">
        <is>
          <t>SPI Logistics</t>
        </is>
      </c>
      <c r="E2487" t="inlineStr">
        <is>
          <t>Canada</t>
        </is>
      </c>
      <c r="F2487" t="inlineStr">
        <is>
          <t>Yes</t>
        </is>
      </c>
      <c r="H2487" t="n">
        <v>6</v>
      </c>
      <c r="I2487" t="b">
        <v>0</v>
      </c>
      <c r="J2487" t="b">
        <v>1</v>
      </c>
      <c r="K2487" t="b">
        <v>0</v>
      </c>
      <c r="L2487" t="b">
        <v>0</v>
      </c>
      <c r="M2487" t="b">
        <v>0</v>
      </c>
      <c r="N2487">
        <f>IFERROR(INDEX('Company Hitlist'!$AA:$AA,MATCH(D2487,'Company Hitlist'!$A:$A,0)),)</f>
        <v/>
      </c>
      <c r="O2487">
        <f>IFERROR(INDEX('Company Hitlist'!$N:$N,MATCH(D2487,'Company Hitlist'!$A:$A,0)),)</f>
        <v/>
      </c>
      <c r="Q2487" t="inlineStr">
        <is>
          <t>todo</t>
        </is>
      </c>
    </row>
    <row r="2488">
      <c r="A2488" t="inlineStr">
        <is>
          <t>John Strenger</t>
        </is>
      </c>
      <c r="B2488" t="inlineStr">
        <is>
          <t>Attendee</t>
        </is>
      </c>
      <c r="C2488" t="inlineStr">
        <is>
          <t>Vice President, Corp Dev</t>
        </is>
      </c>
      <c r="D2488" t="inlineStr">
        <is>
          <t>SPS Commerce, Inc</t>
        </is>
      </c>
      <c r="E2488" t="inlineStr">
        <is>
          <t>United States</t>
        </is>
      </c>
      <c r="F2488" t="inlineStr">
        <is>
          <t>Yes</t>
        </is>
      </c>
      <c r="H2488" t="n">
        <v>6</v>
      </c>
      <c r="I2488" t="b">
        <v>0</v>
      </c>
      <c r="J2488" t="b">
        <v>1</v>
      </c>
      <c r="K2488" t="b">
        <v>0</v>
      </c>
      <c r="L2488" t="b">
        <v>0</v>
      </c>
      <c r="M2488" t="b">
        <v>0</v>
      </c>
      <c r="N2488">
        <f>IFERROR(INDEX('Company Hitlist'!$AA:$AA,MATCH(D2488,'Company Hitlist'!$A:$A,0)),)</f>
        <v/>
      </c>
      <c r="O2488">
        <f>IFERROR(INDEX('Company Hitlist'!$N:$N,MATCH(D2488,'Company Hitlist'!$A:$A,0)),)</f>
        <v/>
      </c>
      <c r="Q2488" t="inlineStr">
        <is>
          <t>todo</t>
        </is>
      </c>
    </row>
    <row r="2489">
      <c r="A2489" t="inlineStr">
        <is>
          <t>Carlos Carrillo Jr</t>
        </is>
      </c>
      <c r="B2489" t="inlineStr">
        <is>
          <t>Attendee</t>
        </is>
      </c>
      <c r="C2489" t="inlineStr">
        <is>
          <t>CEO &amp; Founder</t>
        </is>
      </c>
      <c r="D2489" t="inlineStr">
        <is>
          <t>SYNTRA</t>
        </is>
      </c>
      <c r="E2489" t="inlineStr">
        <is>
          <t>United States</t>
        </is>
      </c>
      <c r="H2489" t="n">
        <v>6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  <c r="N2489">
        <f>IFERROR(INDEX('Company Hitlist'!$AA:$AA,MATCH(D2489,'Company Hitlist'!$A:$A,0)),)</f>
        <v/>
      </c>
      <c r="O2489">
        <f>IFERROR(INDEX('Company Hitlist'!$N:$N,MATCH(D2489,'Company Hitlist'!$A:$A,0)),)</f>
        <v/>
      </c>
      <c r="Q2489" t="inlineStr">
        <is>
          <t>todo</t>
        </is>
      </c>
    </row>
    <row r="2490">
      <c r="A2490" t="inlineStr">
        <is>
          <t>Mike Sharpe</t>
        </is>
      </c>
      <c r="B2490" t="inlineStr">
        <is>
          <t>Attendee</t>
        </is>
      </c>
      <c r="C2490" t="inlineStr">
        <is>
          <t>Chief Solutions Officer</t>
        </is>
      </c>
      <c r="D2490" t="inlineStr">
        <is>
          <t>SYNTRA SCOTI Platform</t>
        </is>
      </c>
      <c r="H2490" t="n">
        <v>6</v>
      </c>
      <c r="I2490" t="b">
        <v>0</v>
      </c>
      <c r="J2490" t="b">
        <v>1</v>
      </c>
      <c r="K2490" t="b">
        <v>0</v>
      </c>
      <c r="L2490" t="b">
        <v>0</v>
      </c>
      <c r="M2490" t="b">
        <v>0</v>
      </c>
      <c r="N2490">
        <f>IFERROR(INDEX('Company Hitlist'!$AA:$AA,MATCH(D2490,'Company Hitlist'!$A:$A,0)),)</f>
        <v/>
      </c>
      <c r="O2490">
        <f>IFERROR(INDEX('Company Hitlist'!$N:$N,MATCH(D2490,'Company Hitlist'!$A:$A,0)),)</f>
        <v/>
      </c>
      <c r="Q2490" t="inlineStr">
        <is>
          <t>todo</t>
        </is>
      </c>
    </row>
    <row r="2491">
      <c r="A2491" t="inlineStr">
        <is>
          <t>Rob Sinfield</t>
        </is>
      </c>
      <c r="B2491" t="inlineStr">
        <is>
          <t>Attendee</t>
        </is>
      </c>
      <c r="C2491" t="inlineStr">
        <is>
          <t>Global Senior Vice President Product and Head of ERP</t>
        </is>
      </c>
      <c r="D2491" t="inlineStr">
        <is>
          <t>Sage</t>
        </is>
      </c>
      <c r="E2491" t="inlineStr">
        <is>
          <t>United Kingdom</t>
        </is>
      </c>
      <c r="F2491" t="inlineStr">
        <is>
          <t>Yes</t>
        </is>
      </c>
      <c r="H2491" t="n">
        <v>6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  <c r="N2491">
        <f>IFERROR(INDEX('Company Hitlist'!$AA:$AA,MATCH(D2491,'Company Hitlist'!$A:$A,0)),)</f>
        <v/>
      </c>
      <c r="O2491">
        <f>IFERROR(INDEX('Company Hitlist'!$N:$N,MATCH(D2491,'Company Hitlist'!$A:$A,0)),)</f>
        <v/>
      </c>
      <c r="Q2491" t="inlineStr">
        <is>
          <t>todo</t>
        </is>
      </c>
    </row>
    <row r="2492">
      <c r="A2492" t="inlineStr">
        <is>
          <t>Rodney Manzo</t>
        </is>
      </c>
      <c r="B2492" t="inlineStr">
        <is>
          <t>Attendee</t>
        </is>
      </c>
      <c r="C2492" t="inlineStr">
        <is>
          <t>Head of SSCI</t>
        </is>
      </c>
      <c r="D2492" t="inlineStr">
        <is>
          <t>Sage</t>
        </is>
      </c>
      <c r="E2492" t="inlineStr">
        <is>
          <t>United States</t>
        </is>
      </c>
      <c r="F2492" t="inlineStr">
        <is>
          <t>Yes</t>
        </is>
      </c>
      <c r="H2492" t="n">
        <v>6</v>
      </c>
      <c r="I2492" t="b">
        <v>0</v>
      </c>
      <c r="J2492" t="b">
        <v>1</v>
      </c>
      <c r="K2492" t="b">
        <v>0</v>
      </c>
      <c r="L2492" t="b">
        <v>0</v>
      </c>
      <c r="M2492" t="b">
        <v>0</v>
      </c>
      <c r="N2492">
        <f>IFERROR(INDEX('Company Hitlist'!$AA:$AA,MATCH(D2492,'Company Hitlist'!$A:$A,0)),)</f>
        <v/>
      </c>
      <c r="O2492">
        <f>IFERROR(INDEX('Company Hitlist'!$N:$N,MATCH(D2492,'Company Hitlist'!$A:$A,0)),)</f>
        <v/>
      </c>
      <c r="Q2492" t="inlineStr">
        <is>
          <t>todo</t>
        </is>
      </c>
    </row>
    <row r="2493">
      <c r="A2493" t="inlineStr">
        <is>
          <t>Amit Hammer</t>
        </is>
      </c>
      <c r="B2493" t="inlineStr">
        <is>
          <t>Attendee</t>
        </is>
      </c>
      <c r="C2493" t="inlineStr">
        <is>
          <t>CEO</t>
        </is>
      </c>
      <c r="D2493" t="inlineStr">
        <is>
          <t>Salvador Tech</t>
        </is>
      </c>
      <c r="E2493" t="inlineStr">
        <is>
          <t>United States</t>
        </is>
      </c>
      <c r="F2493" t="inlineStr">
        <is>
          <t>Yes</t>
        </is>
      </c>
      <c r="H2493" t="n">
        <v>6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>
        <f>IFERROR(INDEX('Company Hitlist'!$AA:$AA,MATCH(D2493,'Company Hitlist'!$A:$A,0)),)</f>
        <v/>
      </c>
      <c r="O2493">
        <f>IFERROR(INDEX('Company Hitlist'!$N:$N,MATCH(D2493,'Company Hitlist'!$A:$A,0)),)</f>
        <v/>
      </c>
      <c r="Q2493" t="inlineStr">
        <is>
          <t>todo</t>
        </is>
      </c>
    </row>
    <row r="2494">
      <c r="A2494" t="inlineStr">
        <is>
          <t>Joe McCaul</t>
        </is>
      </c>
      <c r="B2494" t="inlineStr">
        <is>
          <t>Attendee</t>
        </is>
      </c>
      <c r="C2494" t="inlineStr">
        <is>
          <t>VP and General Manager of SRM Solutions</t>
        </is>
      </c>
      <c r="D2494" t="inlineStr">
        <is>
          <t>Samsung SDS</t>
        </is>
      </c>
      <c r="F2494" t="inlineStr">
        <is>
          <t>Yes</t>
        </is>
      </c>
      <c r="G2494" t="inlineStr">
        <is>
          <t>$14B (2025 est.)</t>
        </is>
      </c>
      <c r="H2494" t="n">
        <v>6</v>
      </c>
      <c r="I2494" t="b">
        <v>0</v>
      </c>
      <c r="J2494" t="b">
        <v>1</v>
      </c>
      <c r="K2494" t="b">
        <v>0</v>
      </c>
      <c r="L2494" t="b">
        <v>0</v>
      </c>
      <c r="M2494" t="b">
        <v>0</v>
      </c>
      <c r="N2494">
        <f>IFERROR(INDEX('Company Hitlist'!$AA:$AA,MATCH(D2494,'Company Hitlist'!$A:$A,0)),)</f>
        <v/>
      </c>
      <c r="O2494">
        <f>IFERROR(INDEX('Company Hitlist'!$N:$N,MATCH(D2494,'Company Hitlist'!$A:$A,0)),)</f>
        <v/>
      </c>
      <c r="Q2494" t="inlineStr">
        <is>
          <t>todo</t>
        </is>
      </c>
    </row>
    <row r="2495">
      <c r="A2495" t="inlineStr">
        <is>
          <t>Demi Obayomi</t>
        </is>
      </c>
      <c r="B2495" t="inlineStr">
        <is>
          <t>Attendee</t>
        </is>
      </c>
      <c r="C2495" t="inlineStr">
        <is>
          <t>Vice President</t>
        </is>
      </c>
      <c r="D2495" t="inlineStr">
        <is>
          <t>Sapphire Ventures</t>
        </is>
      </c>
      <c r="E2495" t="inlineStr">
        <is>
          <t>United States</t>
        </is>
      </c>
      <c r="H2495" t="n">
        <v>6</v>
      </c>
      <c r="I2495" t="b">
        <v>0</v>
      </c>
      <c r="J2495" t="b">
        <v>1</v>
      </c>
      <c r="K2495" t="b">
        <v>0</v>
      </c>
      <c r="L2495" t="b">
        <v>0</v>
      </c>
      <c r="M2495" t="b">
        <v>0</v>
      </c>
      <c r="N2495">
        <f>IFERROR(INDEX('Company Hitlist'!$AA:$AA,MATCH(D2495,'Company Hitlist'!$A:$A,0)),)</f>
        <v/>
      </c>
      <c r="O2495">
        <f>IFERROR(INDEX('Company Hitlist'!$N:$N,MATCH(D2495,'Company Hitlist'!$A:$A,0)),)</f>
        <v/>
      </c>
      <c r="Q2495" t="inlineStr">
        <is>
          <t>todo</t>
        </is>
      </c>
    </row>
    <row r="2496">
      <c r="A2496" t="inlineStr">
        <is>
          <t>Adam Hill</t>
        </is>
      </c>
      <c r="B2496" t="inlineStr">
        <is>
          <t>Attendee</t>
        </is>
      </c>
      <c r="C2496" t="inlineStr">
        <is>
          <t>CEO</t>
        </is>
      </c>
      <c r="D2496" t="inlineStr">
        <is>
          <t>Scarbrough Global</t>
        </is>
      </c>
      <c r="E2496" t="inlineStr">
        <is>
          <t>United States</t>
        </is>
      </c>
      <c r="F2496" t="inlineStr">
        <is>
          <t>Yes</t>
        </is>
      </c>
      <c r="H2496" t="n">
        <v>6</v>
      </c>
      <c r="I2496" t="b">
        <v>0</v>
      </c>
      <c r="J2496" t="b">
        <v>1</v>
      </c>
      <c r="K2496" t="b">
        <v>0</v>
      </c>
      <c r="L2496" t="b">
        <v>0</v>
      </c>
      <c r="M2496" t="b">
        <v>0</v>
      </c>
      <c r="N2496">
        <f>IFERROR(INDEX('Company Hitlist'!$AA:$AA,MATCH(D2496,'Company Hitlist'!$A:$A,0)),)</f>
        <v/>
      </c>
      <c r="O2496">
        <f>IFERROR(INDEX('Company Hitlist'!$N:$N,MATCH(D2496,'Company Hitlist'!$A:$A,0)),)</f>
        <v/>
      </c>
      <c r="Q2496" t="inlineStr">
        <is>
          <t>todo</t>
        </is>
      </c>
    </row>
    <row r="2497">
      <c r="A2497" t="inlineStr">
        <is>
          <t>Matthew Wilcox</t>
        </is>
      </c>
      <c r="B2497" t="inlineStr">
        <is>
          <t>Attendee</t>
        </is>
      </c>
      <c r="C2497" t="inlineStr">
        <is>
          <t>COO</t>
        </is>
      </c>
      <c r="D2497" t="inlineStr">
        <is>
          <t>Scarbrough Global</t>
        </is>
      </c>
      <c r="E2497" t="inlineStr">
        <is>
          <t>United States</t>
        </is>
      </c>
      <c r="F2497" t="inlineStr">
        <is>
          <t>Yes</t>
        </is>
      </c>
      <c r="H2497" t="n">
        <v>6</v>
      </c>
      <c r="I2497" t="b">
        <v>0</v>
      </c>
      <c r="J2497" t="b">
        <v>1</v>
      </c>
      <c r="K2497" t="b">
        <v>0</v>
      </c>
      <c r="L2497" t="b">
        <v>0</v>
      </c>
      <c r="M2497" t="b">
        <v>0</v>
      </c>
      <c r="N2497">
        <f>IFERROR(INDEX('Company Hitlist'!$AA:$AA,MATCH(D2497,'Company Hitlist'!$A:$A,0)),)</f>
        <v/>
      </c>
      <c r="O2497">
        <f>IFERROR(INDEX('Company Hitlist'!$N:$N,MATCH(D2497,'Company Hitlist'!$A:$A,0)),)</f>
        <v/>
      </c>
      <c r="Q2497" t="inlineStr">
        <is>
          <t>todo</t>
        </is>
      </c>
    </row>
    <row r="2498">
      <c r="A2498" t="inlineStr">
        <is>
          <t>George Yates</t>
        </is>
      </c>
      <c r="B2498" t="inlineStr">
        <is>
          <t>Attendee</t>
        </is>
      </c>
      <c r="C2498" t="inlineStr">
        <is>
          <t>CEO</t>
        </is>
      </c>
      <c r="D2498" t="inlineStr">
        <is>
          <t>Scout Freight</t>
        </is>
      </c>
      <c r="F2498" t="inlineStr">
        <is>
          <t>Yes</t>
        </is>
      </c>
      <c r="H2498" t="n">
        <v>6</v>
      </c>
      <c r="I2498" t="b">
        <v>0</v>
      </c>
      <c r="J2498" t="b">
        <v>1</v>
      </c>
      <c r="K2498" t="b">
        <v>0</v>
      </c>
      <c r="L2498" t="b">
        <v>0</v>
      </c>
      <c r="M2498" t="b">
        <v>0</v>
      </c>
      <c r="N2498">
        <f>IFERROR(INDEX('Company Hitlist'!$AA:$AA,MATCH(D2498,'Company Hitlist'!$A:$A,0)),)</f>
        <v/>
      </c>
      <c r="O2498">
        <f>IFERROR(INDEX('Company Hitlist'!$N:$N,MATCH(D2498,'Company Hitlist'!$A:$A,0)),)</f>
        <v/>
      </c>
      <c r="Q2498" t="inlineStr">
        <is>
          <t>todo</t>
        </is>
      </c>
    </row>
    <row r="2499">
      <c r="A2499" t="inlineStr">
        <is>
          <t>Rory O'Connor</t>
        </is>
      </c>
      <c r="B2499" t="inlineStr">
        <is>
          <t>Attendee</t>
        </is>
      </c>
      <c r="C2499" t="inlineStr">
        <is>
          <t>CEO</t>
        </is>
      </c>
      <c r="D2499" t="inlineStr">
        <is>
          <t>Scurri</t>
        </is>
      </c>
      <c r="E2499" t="inlineStr">
        <is>
          <t>Ireland</t>
        </is>
      </c>
      <c r="F2499" t="inlineStr">
        <is>
          <t>Yes</t>
        </is>
      </c>
      <c r="H2499" t="n">
        <v>6</v>
      </c>
      <c r="I2499" t="b">
        <v>0</v>
      </c>
      <c r="J2499" t="b">
        <v>1</v>
      </c>
      <c r="K2499" t="b">
        <v>0</v>
      </c>
      <c r="L2499" t="b">
        <v>0</v>
      </c>
      <c r="M2499" t="b">
        <v>0</v>
      </c>
      <c r="N2499">
        <f>IFERROR(INDEX('Company Hitlist'!$AA:$AA,MATCH(D2499,'Company Hitlist'!$A:$A,0)),)</f>
        <v/>
      </c>
      <c r="O2499">
        <f>IFERROR(INDEX('Company Hitlist'!$N:$N,MATCH(D2499,'Company Hitlist'!$A:$A,0)),)</f>
        <v/>
      </c>
      <c r="Q2499" t="inlineStr">
        <is>
          <t>todo</t>
        </is>
      </c>
    </row>
    <row r="2500">
      <c r="A2500" t="inlineStr">
        <is>
          <t>Amine Khechfe</t>
        </is>
      </c>
      <c r="B2500" t="inlineStr">
        <is>
          <t>Attendee</t>
        </is>
      </c>
      <c r="C2500" t="inlineStr">
        <is>
          <t>CEO, Advisor, Board</t>
        </is>
      </c>
      <c r="D2500" t="inlineStr">
        <is>
          <t>SeaSky Advisors</t>
        </is>
      </c>
      <c r="E2500" t="inlineStr">
        <is>
          <t>United States</t>
        </is>
      </c>
      <c r="H2500" t="n">
        <v>6</v>
      </c>
      <c r="I2500" t="b">
        <v>0</v>
      </c>
      <c r="J2500" t="b">
        <v>1</v>
      </c>
      <c r="K2500" t="b">
        <v>0</v>
      </c>
      <c r="L2500" t="b">
        <v>0</v>
      </c>
      <c r="M2500" t="b">
        <v>0</v>
      </c>
      <c r="N2500">
        <f>IFERROR(INDEX('Company Hitlist'!$AA:$AA,MATCH(D2500,'Company Hitlist'!$A:$A,0)),)</f>
        <v/>
      </c>
      <c r="O2500">
        <f>IFERROR(INDEX('Company Hitlist'!$N:$N,MATCH(D2500,'Company Hitlist'!$A:$A,0)),)</f>
        <v/>
      </c>
      <c r="Q2500" t="inlineStr">
        <is>
          <t>todo</t>
        </is>
      </c>
    </row>
    <row r="2501">
      <c r="A2501" t="inlineStr">
        <is>
          <t>Brian Helman</t>
        </is>
      </c>
      <c r="B2501" t="inlineStr">
        <is>
          <t>Attendee</t>
        </is>
      </c>
      <c r="C2501" t="inlineStr">
        <is>
          <t>CFO</t>
        </is>
      </c>
      <c r="D2501" t="inlineStr">
        <is>
          <t>Seed Health</t>
        </is>
      </c>
      <c r="F2501" t="inlineStr">
        <is>
          <t>Yes</t>
        </is>
      </c>
      <c r="H2501" t="n">
        <v>6</v>
      </c>
      <c r="I2501" t="b">
        <v>0</v>
      </c>
      <c r="J2501" t="b">
        <v>1</v>
      </c>
      <c r="K2501" t="b">
        <v>0</v>
      </c>
      <c r="L2501" t="b">
        <v>0</v>
      </c>
      <c r="M2501" t="b">
        <v>0</v>
      </c>
      <c r="N2501">
        <f>IFERROR(INDEX('Company Hitlist'!$AA:$AA,MATCH(D2501,'Company Hitlist'!$A:$A,0)),)</f>
        <v/>
      </c>
      <c r="O2501">
        <f>IFERROR(INDEX('Company Hitlist'!$N:$N,MATCH(D2501,'Company Hitlist'!$A:$A,0)),)</f>
        <v/>
      </c>
      <c r="Q2501" t="inlineStr">
        <is>
          <t>todo</t>
        </is>
      </c>
    </row>
    <row r="2502">
      <c r="A2502" t="inlineStr">
        <is>
          <t>Christopher Baker</t>
        </is>
      </c>
      <c r="B2502" t="inlineStr">
        <is>
          <t>Attendee</t>
        </is>
      </c>
      <c r="C2502" t="inlineStr">
        <is>
          <t>CEO</t>
        </is>
      </c>
      <c r="D2502" t="inlineStr">
        <is>
          <t>Seegrid Corporation</t>
        </is>
      </c>
      <c r="E2502" t="inlineStr">
        <is>
          <t>United States</t>
        </is>
      </c>
      <c r="F2502" t="inlineStr">
        <is>
          <t>Yes</t>
        </is>
      </c>
      <c r="H2502" t="n">
        <v>6</v>
      </c>
      <c r="I2502" t="b">
        <v>0</v>
      </c>
      <c r="J2502" t="b">
        <v>1</v>
      </c>
      <c r="K2502" t="b">
        <v>0</v>
      </c>
      <c r="L2502" t="b">
        <v>0</v>
      </c>
      <c r="M2502" t="b">
        <v>0</v>
      </c>
      <c r="N2502">
        <f>IFERROR(INDEX('Company Hitlist'!$AA:$AA,MATCH(D2502,'Company Hitlist'!$A:$A,0)),)</f>
        <v/>
      </c>
      <c r="O2502">
        <f>IFERROR(INDEX('Company Hitlist'!$N:$N,MATCH(D2502,'Company Hitlist'!$A:$A,0)),)</f>
        <v/>
      </c>
      <c r="Q2502" t="inlineStr">
        <is>
          <t>todo</t>
        </is>
      </c>
    </row>
    <row r="2503">
      <c r="A2503" t="inlineStr">
        <is>
          <t>Matt Swanson</t>
        </is>
      </c>
      <c r="B2503" t="inlineStr">
        <is>
          <t>Attendee</t>
        </is>
      </c>
      <c r="C2503" t="inlineStr">
        <is>
          <t>President &amp; CEO</t>
        </is>
      </c>
      <c r="D2503" t="inlineStr">
        <is>
          <t>SelectFlorida</t>
        </is>
      </c>
      <c r="H2503" t="n">
        <v>6</v>
      </c>
      <c r="I2503" t="b">
        <v>0</v>
      </c>
      <c r="J2503" t="b">
        <v>1</v>
      </c>
      <c r="K2503" t="b">
        <v>0</v>
      </c>
      <c r="L2503" t="b">
        <v>0</v>
      </c>
      <c r="M2503" t="b">
        <v>0</v>
      </c>
      <c r="N2503">
        <f>IFERROR(INDEX('Company Hitlist'!$AA:$AA,MATCH(D2503,'Company Hitlist'!$A:$A,0)),)</f>
        <v/>
      </c>
      <c r="O2503">
        <f>IFERROR(INDEX('Company Hitlist'!$N:$N,MATCH(D2503,'Company Hitlist'!$A:$A,0)),)</f>
        <v/>
      </c>
      <c r="Q2503" t="inlineStr">
        <is>
          <t>todo</t>
        </is>
      </c>
    </row>
    <row r="2504">
      <c r="A2504" t="inlineStr">
        <is>
          <t>Jeremy Greenberg</t>
        </is>
      </c>
      <c r="B2504" t="inlineStr">
        <is>
          <t>Attendee</t>
        </is>
      </c>
      <c r="C2504" t="inlineStr">
        <is>
          <t>CEO</t>
        </is>
      </c>
      <c r="D2504" t="inlineStr">
        <is>
          <t>Seller Hardware</t>
        </is>
      </c>
      <c r="E2504" t="inlineStr">
        <is>
          <t>United States</t>
        </is>
      </c>
      <c r="F2504" t="inlineStr">
        <is>
          <t>Yes</t>
        </is>
      </c>
      <c r="H2504" t="n">
        <v>6</v>
      </c>
      <c r="I2504" t="b">
        <v>0</v>
      </c>
      <c r="J2504" t="b">
        <v>1</v>
      </c>
      <c r="K2504" t="b">
        <v>0</v>
      </c>
      <c r="L2504" t="b">
        <v>0</v>
      </c>
      <c r="M2504" t="b">
        <v>0</v>
      </c>
      <c r="N2504">
        <f>IFERROR(INDEX('Company Hitlist'!$AA:$AA,MATCH(D2504,'Company Hitlist'!$A:$A,0)),)</f>
        <v/>
      </c>
      <c r="O2504">
        <f>IFERROR(INDEX('Company Hitlist'!$N:$N,MATCH(D2504,'Company Hitlist'!$A:$A,0)),)</f>
        <v/>
      </c>
      <c r="Q2504" t="inlineStr">
        <is>
          <t>todo</t>
        </is>
      </c>
    </row>
    <row r="2505">
      <c r="A2505" t="inlineStr">
        <is>
          <t>Rob van den Heuvel</t>
        </is>
      </c>
      <c r="B2505" t="inlineStr">
        <is>
          <t>Attendee</t>
        </is>
      </c>
      <c r="C2505" t="inlineStr">
        <is>
          <t>CEO</t>
        </is>
      </c>
      <c r="D2505" t="inlineStr">
        <is>
          <t>Sendcloud</t>
        </is>
      </c>
      <c r="E2505" t="inlineStr">
        <is>
          <t>Netherlands</t>
        </is>
      </c>
      <c r="F2505" t="inlineStr">
        <is>
          <t>Yes</t>
        </is>
      </c>
      <c r="H2505" t="n">
        <v>6</v>
      </c>
      <c r="I2505" t="b">
        <v>0</v>
      </c>
      <c r="J2505" t="b">
        <v>1</v>
      </c>
      <c r="K2505" t="b">
        <v>0</v>
      </c>
      <c r="L2505" t="b">
        <v>0</v>
      </c>
      <c r="M2505" t="b">
        <v>0</v>
      </c>
      <c r="N2505">
        <f>IFERROR(INDEX('Company Hitlist'!$AA:$AA,MATCH(D2505,'Company Hitlist'!$A:$A,0)),)</f>
        <v/>
      </c>
      <c r="O2505">
        <f>IFERROR(INDEX('Company Hitlist'!$N:$N,MATCH(D2505,'Company Hitlist'!$A:$A,0)),)</f>
        <v/>
      </c>
      <c r="Q2505" t="inlineStr">
        <is>
          <t>todo</t>
        </is>
      </c>
    </row>
    <row r="2506">
      <c r="A2506" t="inlineStr">
        <is>
          <t>Ronald Delpeut</t>
        </is>
      </c>
      <c r="B2506" t="inlineStr">
        <is>
          <t>Attendee</t>
        </is>
      </c>
      <c r="C2506" t="inlineStr">
        <is>
          <t>VP Partnerships</t>
        </is>
      </c>
      <c r="D2506" t="inlineStr">
        <is>
          <t>Sendcloud</t>
        </is>
      </c>
      <c r="E2506" t="inlineStr">
        <is>
          <t>Netherlands</t>
        </is>
      </c>
      <c r="F2506" t="inlineStr">
        <is>
          <t>Yes</t>
        </is>
      </c>
      <c r="H2506" t="n">
        <v>6</v>
      </c>
      <c r="I2506" t="b">
        <v>0</v>
      </c>
      <c r="J2506" t="b">
        <v>1</v>
      </c>
      <c r="K2506" t="b">
        <v>0</v>
      </c>
      <c r="L2506" t="b">
        <v>0</v>
      </c>
      <c r="M2506" t="b">
        <v>0</v>
      </c>
      <c r="N2506">
        <f>IFERROR(INDEX('Company Hitlist'!$AA:$AA,MATCH(D2506,'Company Hitlist'!$A:$A,0)),)</f>
        <v/>
      </c>
      <c r="O2506">
        <f>IFERROR(INDEX('Company Hitlist'!$N:$N,MATCH(D2506,'Company Hitlist'!$A:$A,0)),)</f>
        <v/>
      </c>
      <c r="Q2506" t="inlineStr">
        <is>
          <t>todo</t>
        </is>
      </c>
    </row>
    <row r="2507">
      <c r="A2507" t="inlineStr">
        <is>
          <t>Sander Hak</t>
        </is>
      </c>
      <c r="B2507" t="inlineStr">
        <is>
          <t>Attendee</t>
        </is>
      </c>
      <c r="C2507" t="inlineStr">
        <is>
          <t>VP Product</t>
        </is>
      </c>
      <c r="D2507" t="inlineStr">
        <is>
          <t>Sendcloud</t>
        </is>
      </c>
      <c r="E2507" t="inlineStr">
        <is>
          <t>Netherlands</t>
        </is>
      </c>
      <c r="F2507" t="inlineStr">
        <is>
          <t>Yes</t>
        </is>
      </c>
      <c r="H2507" t="n">
        <v>6</v>
      </c>
      <c r="I2507" t="b">
        <v>0</v>
      </c>
      <c r="J2507" t="b">
        <v>1</v>
      </c>
      <c r="K2507" t="b">
        <v>0</v>
      </c>
      <c r="L2507" t="b">
        <v>0</v>
      </c>
      <c r="M2507" t="b">
        <v>0</v>
      </c>
      <c r="N2507">
        <f>IFERROR(INDEX('Company Hitlist'!$AA:$AA,MATCH(D2507,'Company Hitlist'!$A:$A,0)),)</f>
        <v/>
      </c>
      <c r="O2507">
        <f>IFERROR(INDEX('Company Hitlist'!$N:$N,MATCH(D2507,'Company Hitlist'!$A:$A,0)),)</f>
        <v/>
      </c>
      <c r="Q2507" t="inlineStr">
        <is>
          <t>todo</t>
        </is>
      </c>
    </row>
    <row r="2508">
      <c r="A2508" t="inlineStr">
        <is>
          <t>Bob Malley</t>
        </is>
      </c>
      <c r="B2508" t="inlineStr">
        <is>
          <t>Attendee</t>
        </is>
      </c>
      <c r="C2508" t="inlineStr">
        <is>
          <t>CEO</t>
        </is>
      </c>
      <c r="D2508" t="inlineStr">
        <is>
          <t>Sendflex</t>
        </is>
      </c>
      <c r="E2508" t="inlineStr">
        <is>
          <t>United States</t>
        </is>
      </c>
      <c r="F2508" t="inlineStr">
        <is>
          <t>Yes</t>
        </is>
      </c>
      <c r="H2508" t="n">
        <v>6</v>
      </c>
      <c r="I2508" t="b">
        <v>0</v>
      </c>
      <c r="J2508" t="b">
        <v>1</v>
      </c>
      <c r="K2508" t="b">
        <v>0</v>
      </c>
      <c r="L2508" t="b">
        <v>0</v>
      </c>
      <c r="M2508" t="b">
        <v>0</v>
      </c>
      <c r="N2508">
        <f>IFERROR(INDEX('Company Hitlist'!$AA:$AA,MATCH(D2508,'Company Hitlist'!$A:$A,0)),)</f>
        <v/>
      </c>
      <c r="O2508">
        <f>IFERROR(INDEX('Company Hitlist'!$N:$N,MATCH(D2508,'Company Hitlist'!$A:$A,0)),)</f>
        <v/>
      </c>
      <c r="Q2508" t="inlineStr">
        <is>
          <t>todo</t>
        </is>
      </c>
    </row>
    <row r="2509">
      <c r="A2509" t="inlineStr">
        <is>
          <t>Ray Sikka</t>
        </is>
      </c>
      <c r="B2509" t="inlineStr">
        <is>
          <t>Attendee</t>
        </is>
      </c>
      <c r="C2509" t="inlineStr">
        <is>
          <t>CEO</t>
        </is>
      </c>
      <c r="D2509" t="inlineStr">
        <is>
          <t>Sens AI Platforms, Inc</t>
        </is>
      </c>
      <c r="E2509" t="inlineStr">
        <is>
          <t>United States</t>
        </is>
      </c>
      <c r="F2509" t="inlineStr">
        <is>
          <t>Yes</t>
        </is>
      </c>
      <c r="H2509" t="n">
        <v>6</v>
      </c>
      <c r="I2509" t="b">
        <v>0</v>
      </c>
      <c r="J2509" t="b">
        <v>1</v>
      </c>
      <c r="K2509" t="b">
        <v>0</v>
      </c>
      <c r="L2509" t="b">
        <v>0</v>
      </c>
      <c r="M2509" t="b">
        <v>0</v>
      </c>
      <c r="N2509">
        <f>IFERROR(INDEX('Company Hitlist'!$AA:$AA,MATCH(D2509,'Company Hitlist'!$A:$A,0)),)</f>
        <v/>
      </c>
      <c r="O2509">
        <f>IFERROR(INDEX('Company Hitlist'!$N:$N,MATCH(D2509,'Company Hitlist'!$A:$A,0)),)</f>
        <v/>
      </c>
      <c r="Q2509" t="inlineStr">
        <is>
          <t>todo</t>
        </is>
      </c>
    </row>
    <row r="2510">
      <c r="A2510" t="inlineStr">
        <is>
          <t>Rakesh Hegde</t>
        </is>
      </c>
      <c r="B2510" t="inlineStr">
        <is>
          <t>Attendee</t>
        </is>
      </c>
      <c r="C2510" t="inlineStr">
        <is>
          <t>CEO</t>
        </is>
      </c>
      <c r="D2510" t="inlineStr">
        <is>
          <t>Sensigo</t>
        </is>
      </c>
      <c r="E2510" t="inlineStr">
        <is>
          <t>United States</t>
        </is>
      </c>
      <c r="F2510" t="inlineStr">
        <is>
          <t>Yes</t>
        </is>
      </c>
      <c r="H2510" t="n">
        <v>6</v>
      </c>
      <c r="I2510" t="b">
        <v>0</v>
      </c>
      <c r="J2510" t="b">
        <v>1</v>
      </c>
      <c r="K2510" t="b">
        <v>0</v>
      </c>
      <c r="L2510" t="b">
        <v>0</v>
      </c>
      <c r="M2510" t="b">
        <v>0</v>
      </c>
      <c r="N2510">
        <f>IFERROR(INDEX('Company Hitlist'!$AA:$AA,MATCH(D2510,'Company Hitlist'!$A:$A,0)),)</f>
        <v/>
      </c>
      <c r="O2510">
        <f>IFERROR(INDEX('Company Hitlist'!$N:$N,MATCH(D2510,'Company Hitlist'!$A:$A,0)),)</f>
        <v/>
      </c>
      <c r="Q2510" t="inlineStr">
        <is>
          <t>todo</t>
        </is>
      </c>
    </row>
    <row r="2511">
      <c r="A2511" t="inlineStr">
        <is>
          <t>Sung Ho</t>
        </is>
      </c>
      <c r="B2511" t="inlineStr">
        <is>
          <t>Attendee</t>
        </is>
      </c>
      <c r="C2511" t="inlineStr">
        <is>
          <t>President</t>
        </is>
      </c>
      <c r="D2511" t="inlineStr">
        <is>
          <t>Seoyon E-HWA Texas</t>
        </is>
      </c>
      <c r="H2511" t="n">
        <v>6</v>
      </c>
      <c r="I2511" t="b">
        <v>0</v>
      </c>
      <c r="J2511" t="b">
        <v>1</v>
      </c>
      <c r="K2511" t="b">
        <v>0</v>
      </c>
      <c r="L2511" t="b">
        <v>0</v>
      </c>
      <c r="M2511" t="b">
        <v>0</v>
      </c>
      <c r="N2511">
        <f>IFERROR(INDEX('Company Hitlist'!$AA:$AA,MATCH(D2511,'Company Hitlist'!$A:$A,0)),)</f>
        <v/>
      </c>
      <c r="O2511">
        <f>IFERROR(INDEX('Company Hitlist'!$N:$N,MATCH(D2511,'Company Hitlist'!$A:$A,0)),)</f>
        <v/>
      </c>
      <c r="Q2511" t="inlineStr">
        <is>
          <t>todo</t>
        </is>
      </c>
    </row>
    <row r="2512">
      <c r="A2512" t="inlineStr">
        <is>
          <t>John Pidgorodetskiy</t>
        </is>
      </c>
      <c r="B2512" t="inlineStr">
        <is>
          <t>Attendee</t>
        </is>
      </c>
      <c r="C2512" t="inlineStr">
        <is>
          <t>CEO &amp; Founder</t>
        </is>
      </c>
      <c r="D2512" t="inlineStr">
        <is>
          <t>Serve Freight</t>
        </is>
      </c>
      <c r="E2512" t="inlineStr">
        <is>
          <t>United States</t>
        </is>
      </c>
      <c r="F2512" t="inlineStr">
        <is>
          <t>Yes</t>
        </is>
      </c>
      <c r="H2512" t="n">
        <v>6</v>
      </c>
      <c r="I2512" t="b">
        <v>0</v>
      </c>
      <c r="J2512" t="b">
        <v>1</v>
      </c>
      <c r="K2512" t="b">
        <v>0</v>
      </c>
      <c r="L2512" t="b">
        <v>0</v>
      </c>
      <c r="M2512" t="b">
        <v>0</v>
      </c>
      <c r="N2512">
        <f>IFERROR(INDEX('Company Hitlist'!$AA:$AA,MATCH(D2512,'Company Hitlist'!$A:$A,0)),)</f>
        <v/>
      </c>
      <c r="O2512">
        <f>IFERROR(INDEX('Company Hitlist'!$N:$N,MATCH(D2512,'Company Hitlist'!$A:$A,0)),)</f>
        <v/>
      </c>
      <c r="Q2512" t="inlineStr">
        <is>
          <t>todo</t>
        </is>
      </c>
    </row>
    <row r="2513">
      <c r="A2513" t="inlineStr">
        <is>
          <t>Jasper van Leuven</t>
        </is>
      </c>
      <c r="B2513" t="inlineStr">
        <is>
          <t>Attendee</t>
        </is>
      </c>
      <c r="C2513" t="inlineStr">
        <is>
          <t>CTO/Co-Founder</t>
        </is>
      </c>
      <c r="D2513" t="inlineStr">
        <is>
          <t>Servo7</t>
        </is>
      </c>
      <c r="E2513" t="inlineStr">
        <is>
          <t>United States</t>
        </is>
      </c>
      <c r="F2513" t="inlineStr">
        <is>
          <t>Yes</t>
        </is>
      </c>
      <c r="H2513" t="n">
        <v>6</v>
      </c>
      <c r="I2513" t="b">
        <v>0</v>
      </c>
      <c r="J2513" t="b">
        <v>1</v>
      </c>
      <c r="K2513" t="b">
        <v>0</v>
      </c>
      <c r="L2513" t="b">
        <v>0</v>
      </c>
      <c r="M2513" t="b">
        <v>0</v>
      </c>
      <c r="N2513">
        <f>IFERROR(INDEX('Company Hitlist'!$AA:$AA,MATCH(D2513,'Company Hitlist'!$A:$A,0)),)</f>
        <v/>
      </c>
      <c r="O2513">
        <f>IFERROR(INDEX('Company Hitlist'!$N:$N,MATCH(D2513,'Company Hitlist'!$A:$A,0)),)</f>
        <v/>
      </c>
      <c r="Q2513" t="inlineStr">
        <is>
          <t>todo</t>
        </is>
      </c>
    </row>
    <row r="2514">
      <c r="A2514" t="inlineStr">
        <is>
          <t>Pieter Becking</t>
        </is>
      </c>
      <c r="B2514" t="inlineStr">
        <is>
          <t>Attendee</t>
        </is>
      </c>
      <c r="C2514" t="inlineStr">
        <is>
          <t>CEO/Co-Founder</t>
        </is>
      </c>
      <c r="D2514" t="inlineStr">
        <is>
          <t>Servo7</t>
        </is>
      </c>
      <c r="E2514" t="inlineStr">
        <is>
          <t>United States</t>
        </is>
      </c>
      <c r="F2514" t="inlineStr">
        <is>
          <t>Yes</t>
        </is>
      </c>
      <c r="H2514" t="n">
        <v>6</v>
      </c>
      <c r="I2514" t="b">
        <v>0</v>
      </c>
      <c r="J2514" t="b">
        <v>1</v>
      </c>
      <c r="K2514" t="b">
        <v>0</v>
      </c>
      <c r="L2514" t="b">
        <v>0</v>
      </c>
      <c r="M2514" t="b">
        <v>0</v>
      </c>
      <c r="N2514">
        <f>IFERROR(INDEX('Company Hitlist'!$AA:$AA,MATCH(D2514,'Company Hitlist'!$A:$A,0)),)</f>
        <v/>
      </c>
      <c r="O2514">
        <f>IFERROR(INDEX('Company Hitlist'!$N:$N,MATCH(D2514,'Company Hitlist'!$A:$A,0)),)</f>
        <v/>
      </c>
      <c r="Q2514" t="inlineStr">
        <is>
          <t>todo</t>
        </is>
      </c>
    </row>
    <row r="2515">
      <c r="A2515" t="inlineStr">
        <is>
          <t>Aaron Rubin</t>
        </is>
      </c>
      <c r="B2515" t="inlineStr">
        <is>
          <t>Attendee</t>
        </is>
      </c>
      <c r="C2515" t="inlineStr">
        <is>
          <t>CEO</t>
        </is>
      </c>
      <c r="D2515" t="inlineStr">
        <is>
          <t>ShipHero</t>
        </is>
      </c>
      <c r="E2515" t="inlineStr">
        <is>
          <t>United States</t>
        </is>
      </c>
      <c r="F2515" t="inlineStr">
        <is>
          <t>Yes</t>
        </is>
      </c>
      <c r="H2515" t="n">
        <v>6</v>
      </c>
      <c r="I2515" t="b">
        <v>0</v>
      </c>
      <c r="J2515" t="b">
        <v>1</v>
      </c>
      <c r="K2515" t="b">
        <v>0</v>
      </c>
      <c r="L2515" t="b">
        <v>0</v>
      </c>
      <c r="M2515" t="b">
        <v>0</v>
      </c>
      <c r="N2515">
        <f>IFERROR(INDEX('Company Hitlist'!$AA:$AA,MATCH(D2515,'Company Hitlist'!$A:$A,0)),)</f>
        <v/>
      </c>
      <c r="O2515">
        <f>IFERROR(INDEX('Company Hitlist'!$N:$N,MATCH(D2515,'Company Hitlist'!$A:$A,0)),)</f>
        <v/>
      </c>
      <c r="Q2515" t="inlineStr">
        <is>
          <t>todo</t>
        </is>
      </c>
    </row>
    <row r="2516">
      <c r="A2516" t="inlineStr">
        <is>
          <t>Terry Murray</t>
        </is>
      </c>
      <c r="B2516" t="inlineStr">
        <is>
          <t>Attendee</t>
        </is>
      </c>
      <c r="C2516" t="inlineStr">
        <is>
          <t>VP of Carrier Relations</t>
        </is>
      </c>
      <c r="D2516" t="inlineStr">
        <is>
          <t>ShipHub</t>
        </is>
      </c>
      <c r="E2516" t="inlineStr">
        <is>
          <t>United States</t>
        </is>
      </c>
      <c r="F2516" t="inlineStr">
        <is>
          <t>Yes</t>
        </is>
      </c>
      <c r="H2516" t="n">
        <v>6</v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  <c r="N2516">
        <f>IFERROR(INDEX('Company Hitlist'!$AA:$AA,MATCH(D2516,'Company Hitlist'!$A:$A,0)),)</f>
        <v/>
      </c>
      <c r="O2516">
        <f>IFERROR(INDEX('Company Hitlist'!$N:$N,MATCH(D2516,'Company Hitlist'!$A:$A,0)),)</f>
        <v/>
      </c>
      <c r="Q2516" t="inlineStr">
        <is>
          <t>todo</t>
        </is>
      </c>
    </row>
    <row r="2517">
      <c r="A2517" t="inlineStr">
        <is>
          <t>Ivy Li</t>
        </is>
      </c>
      <c r="B2517" t="inlineStr">
        <is>
          <t>Attendee</t>
        </is>
      </c>
      <c r="C2517" t="inlineStr">
        <is>
          <t>COO</t>
        </is>
      </c>
      <c r="D2517" t="inlineStr">
        <is>
          <t>ShipSaving</t>
        </is>
      </c>
      <c r="E2517" t="inlineStr">
        <is>
          <t>United States</t>
        </is>
      </c>
      <c r="F2517" t="inlineStr">
        <is>
          <t>Yes</t>
        </is>
      </c>
      <c r="H2517" t="n">
        <v>6</v>
      </c>
      <c r="I2517" t="b">
        <v>0</v>
      </c>
      <c r="J2517" t="b">
        <v>1</v>
      </c>
      <c r="K2517" t="b">
        <v>0</v>
      </c>
      <c r="L2517" t="b">
        <v>0</v>
      </c>
      <c r="M2517" t="b">
        <v>0</v>
      </c>
      <c r="N2517">
        <f>IFERROR(INDEX('Company Hitlist'!$AA:$AA,MATCH(D2517,'Company Hitlist'!$A:$A,0)),)</f>
        <v/>
      </c>
      <c r="O2517">
        <f>IFERROR(INDEX('Company Hitlist'!$N:$N,MATCH(D2517,'Company Hitlist'!$A:$A,0)),)</f>
        <v/>
      </c>
      <c r="Q2517" t="inlineStr">
        <is>
          <t>todo</t>
        </is>
      </c>
    </row>
    <row r="2518">
      <c r="A2518" t="inlineStr">
        <is>
          <t>David Avidan</t>
        </is>
      </c>
      <c r="B2518" t="inlineStr">
        <is>
          <t>Attendee</t>
        </is>
      </c>
      <c r="C2518" t="inlineStr">
        <is>
          <t>COO</t>
        </is>
      </c>
      <c r="D2518" t="inlineStr">
        <is>
          <t>Shipflow</t>
        </is>
      </c>
      <c r="E2518" t="inlineStr">
        <is>
          <t>United States</t>
        </is>
      </c>
      <c r="F2518" t="inlineStr">
        <is>
          <t>Yes</t>
        </is>
      </c>
      <c r="H2518" t="n">
        <v>6</v>
      </c>
      <c r="I2518" t="b">
        <v>0</v>
      </c>
      <c r="J2518" t="b">
        <v>1</v>
      </c>
      <c r="K2518" t="b">
        <v>0</v>
      </c>
      <c r="L2518" t="b">
        <v>0</v>
      </c>
      <c r="M2518" t="b">
        <v>0</v>
      </c>
      <c r="N2518">
        <f>IFERROR(INDEX('Company Hitlist'!$AA:$AA,MATCH(D2518,'Company Hitlist'!$A:$A,0)),)</f>
        <v/>
      </c>
      <c r="O2518">
        <f>IFERROR(INDEX('Company Hitlist'!$N:$N,MATCH(D2518,'Company Hitlist'!$A:$A,0)),)</f>
        <v/>
      </c>
      <c r="Q2518" t="inlineStr">
        <is>
          <t>todo</t>
        </is>
      </c>
    </row>
    <row r="2519">
      <c r="A2519" t="inlineStr">
        <is>
          <t>Frank Lin</t>
        </is>
      </c>
      <c r="B2519" t="inlineStr">
        <is>
          <t>Attendee</t>
        </is>
      </c>
      <c r="C2519" t="inlineStr">
        <is>
          <t>CEO</t>
        </is>
      </c>
      <c r="D2519" t="inlineStr">
        <is>
          <t>Shipflow</t>
        </is>
      </c>
      <c r="E2519" t="inlineStr">
        <is>
          <t>United States</t>
        </is>
      </c>
      <c r="F2519" t="inlineStr">
        <is>
          <t>Yes</t>
        </is>
      </c>
      <c r="H2519" t="n">
        <v>6</v>
      </c>
      <c r="I2519" t="b">
        <v>0</v>
      </c>
      <c r="J2519" t="b">
        <v>1</v>
      </c>
      <c r="K2519" t="b">
        <v>0</v>
      </c>
      <c r="L2519" t="b">
        <v>0</v>
      </c>
      <c r="M2519" t="b">
        <v>0</v>
      </c>
      <c r="N2519">
        <f>IFERROR(INDEX('Company Hitlist'!$AA:$AA,MATCH(D2519,'Company Hitlist'!$A:$A,0)),)</f>
        <v/>
      </c>
      <c r="O2519">
        <f>IFERROR(INDEX('Company Hitlist'!$N:$N,MATCH(D2519,'Company Hitlist'!$A:$A,0)),)</f>
        <v/>
      </c>
      <c r="Q2519" t="inlineStr">
        <is>
          <t>todo</t>
        </is>
      </c>
    </row>
    <row r="2520">
      <c r="A2520" t="inlineStr">
        <is>
          <t>Ezra Avidan</t>
        </is>
      </c>
      <c r="B2520" t="inlineStr">
        <is>
          <t>Attendee</t>
        </is>
      </c>
      <c r="C2520" t="inlineStr">
        <is>
          <t>CEO</t>
        </is>
      </c>
      <c r="D2520" t="inlineStr">
        <is>
          <t>Shipflow</t>
        </is>
      </c>
      <c r="F2520" t="inlineStr">
        <is>
          <t>Yes</t>
        </is>
      </c>
      <c r="H2520" t="n">
        <v>6</v>
      </c>
      <c r="I2520" t="b">
        <v>0</v>
      </c>
      <c r="J2520" t="b">
        <v>1</v>
      </c>
      <c r="K2520" t="b">
        <v>0</v>
      </c>
      <c r="L2520" t="b">
        <v>0</v>
      </c>
      <c r="M2520" t="b">
        <v>0</v>
      </c>
      <c r="N2520">
        <f>IFERROR(INDEX('Company Hitlist'!$AA:$AA,MATCH(D2520,'Company Hitlist'!$A:$A,0)),)</f>
        <v/>
      </c>
      <c r="O2520">
        <f>IFERROR(INDEX('Company Hitlist'!$N:$N,MATCH(D2520,'Company Hitlist'!$A:$A,0)),)</f>
        <v/>
      </c>
      <c r="Q2520" t="inlineStr">
        <is>
          <t>todo</t>
        </is>
      </c>
    </row>
    <row r="2521">
      <c r="A2521" t="inlineStr">
        <is>
          <t>Gary Mirsky</t>
        </is>
      </c>
      <c r="B2521" t="inlineStr">
        <is>
          <t>Attendee</t>
        </is>
      </c>
      <c r="C2521" t="inlineStr">
        <is>
          <t>VP, Strategy</t>
        </is>
      </c>
      <c r="D2521" t="inlineStr">
        <is>
          <t>Shipfusion</t>
        </is>
      </c>
      <c r="E2521" t="inlineStr">
        <is>
          <t>United States</t>
        </is>
      </c>
      <c r="F2521" t="inlineStr">
        <is>
          <t>Yes</t>
        </is>
      </c>
      <c r="H2521" t="n">
        <v>6</v>
      </c>
      <c r="I2521" t="b">
        <v>0</v>
      </c>
      <c r="J2521" t="b">
        <v>1</v>
      </c>
      <c r="K2521" t="b">
        <v>0</v>
      </c>
      <c r="L2521" t="b">
        <v>0</v>
      </c>
      <c r="M2521" t="b">
        <v>0</v>
      </c>
      <c r="N2521">
        <f>IFERROR(INDEX('Company Hitlist'!$AA:$AA,MATCH(D2521,'Company Hitlist'!$A:$A,0)),)</f>
        <v/>
      </c>
      <c r="O2521">
        <f>IFERROR(INDEX('Company Hitlist'!$N:$N,MATCH(D2521,'Company Hitlist'!$A:$A,0)),)</f>
        <v/>
      </c>
      <c r="Q2521" t="inlineStr">
        <is>
          <t>todo</t>
        </is>
      </c>
    </row>
    <row r="2522">
      <c r="A2522" t="inlineStr">
        <is>
          <t>Blanton Winship</t>
        </is>
      </c>
      <c r="B2522" t="inlineStr">
        <is>
          <t>Attendee</t>
        </is>
      </c>
      <c r="C2522" t="inlineStr">
        <is>
          <t>CEO &amp; Founder</t>
        </is>
      </c>
      <c r="D2522" t="inlineStr">
        <is>
          <t>Shiplify, LLC</t>
        </is>
      </c>
      <c r="E2522" t="inlineStr">
        <is>
          <t>United States</t>
        </is>
      </c>
      <c r="F2522" t="inlineStr">
        <is>
          <t>Yes</t>
        </is>
      </c>
      <c r="H2522" t="n">
        <v>6</v>
      </c>
      <c r="I2522" t="b">
        <v>0</v>
      </c>
      <c r="J2522" t="b">
        <v>1</v>
      </c>
      <c r="K2522" t="b">
        <v>0</v>
      </c>
      <c r="L2522" t="b">
        <v>0</v>
      </c>
      <c r="M2522" t="b">
        <v>0</v>
      </c>
      <c r="N2522">
        <f>IFERROR(INDEX('Company Hitlist'!$AA:$AA,MATCH(D2522,'Company Hitlist'!$A:$A,0)),)</f>
        <v/>
      </c>
      <c r="O2522">
        <f>IFERROR(INDEX('Company Hitlist'!$N:$N,MATCH(D2522,'Company Hitlist'!$A:$A,0)),)</f>
        <v/>
      </c>
      <c r="Q2522" t="inlineStr">
        <is>
          <t>todo</t>
        </is>
      </c>
    </row>
    <row r="2523">
      <c r="A2523" t="inlineStr">
        <is>
          <t>Emree Woods</t>
        </is>
      </c>
      <c r="B2523" t="inlineStr">
        <is>
          <t>Attendee</t>
        </is>
      </c>
      <c r="C2523" t="inlineStr">
        <is>
          <t>CFO</t>
        </is>
      </c>
      <c r="D2523" t="inlineStr">
        <is>
          <t>Shiplify, LLC</t>
        </is>
      </c>
      <c r="E2523" t="inlineStr">
        <is>
          <t>United States</t>
        </is>
      </c>
      <c r="F2523" t="inlineStr">
        <is>
          <t>Yes</t>
        </is>
      </c>
      <c r="H2523" t="n">
        <v>6</v>
      </c>
      <c r="I2523" t="b">
        <v>0</v>
      </c>
      <c r="J2523" t="b">
        <v>1</v>
      </c>
      <c r="K2523" t="b">
        <v>0</v>
      </c>
      <c r="L2523" t="b">
        <v>0</v>
      </c>
      <c r="M2523" t="b">
        <v>0</v>
      </c>
      <c r="N2523">
        <f>IFERROR(INDEX('Company Hitlist'!$AA:$AA,MATCH(D2523,'Company Hitlist'!$A:$A,0)),)</f>
        <v/>
      </c>
      <c r="O2523">
        <f>IFERROR(INDEX('Company Hitlist'!$N:$N,MATCH(D2523,'Company Hitlist'!$A:$A,0)),)</f>
        <v/>
      </c>
      <c r="Q2523" t="inlineStr">
        <is>
          <t>todo</t>
        </is>
      </c>
    </row>
    <row r="2524">
      <c r="A2524" t="inlineStr">
        <is>
          <t>North Winship</t>
        </is>
      </c>
      <c r="B2524" t="inlineStr">
        <is>
          <t>Attendee</t>
        </is>
      </c>
      <c r="C2524" t="inlineStr">
        <is>
          <t>President</t>
        </is>
      </c>
      <c r="D2524" t="inlineStr">
        <is>
          <t>Shiplify, LLC</t>
        </is>
      </c>
      <c r="E2524" t="inlineStr">
        <is>
          <t>United States</t>
        </is>
      </c>
      <c r="F2524" t="inlineStr">
        <is>
          <t>Yes</t>
        </is>
      </c>
      <c r="H2524" t="n">
        <v>6</v>
      </c>
      <c r="I2524" t="b">
        <v>0</v>
      </c>
      <c r="J2524" t="b">
        <v>1</v>
      </c>
      <c r="K2524" t="b">
        <v>0</v>
      </c>
      <c r="L2524" t="b">
        <v>0</v>
      </c>
      <c r="M2524" t="b">
        <v>0</v>
      </c>
      <c r="N2524">
        <f>IFERROR(INDEX('Company Hitlist'!$AA:$AA,MATCH(D2524,'Company Hitlist'!$A:$A,0)),)</f>
        <v/>
      </c>
      <c r="O2524">
        <f>IFERROR(INDEX('Company Hitlist'!$N:$N,MATCH(D2524,'Company Hitlist'!$A:$A,0)),)</f>
        <v/>
      </c>
      <c r="Q2524" t="inlineStr">
        <is>
          <t>todo</t>
        </is>
      </c>
    </row>
    <row r="2525">
      <c r="A2525" t="inlineStr">
        <is>
          <t>Brian Baskin</t>
        </is>
      </c>
      <c r="B2525" t="inlineStr">
        <is>
          <t>Attendee</t>
        </is>
      </c>
      <c r="C2525" t="inlineStr">
        <is>
          <t>CEO</t>
        </is>
      </c>
      <c r="D2525" t="inlineStr">
        <is>
          <t>ShipsALot</t>
        </is>
      </c>
      <c r="E2525" t="inlineStr">
        <is>
          <t>United States</t>
        </is>
      </c>
      <c r="F2525" t="inlineStr">
        <is>
          <t>Yes</t>
        </is>
      </c>
      <c r="H2525" t="n">
        <v>6</v>
      </c>
      <c r="I2525" t="b">
        <v>0</v>
      </c>
      <c r="J2525" t="b">
        <v>1</v>
      </c>
      <c r="K2525" t="b">
        <v>0</v>
      </c>
      <c r="L2525" t="b">
        <v>0</v>
      </c>
      <c r="M2525" t="b">
        <v>0</v>
      </c>
      <c r="N2525">
        <f>IFERROR(INDEX('Company Hitlist'!$AA:$AA,MATCH(D2525,'Company Hitlist'!$A:$A,0)),)</f>
        <v/>
      </c>
      <c r="O2525">
        <f>IFERROR(INDEX('Company Hitlist'!$N:$N,MATCH(D2525,'Company Hitlist'!$A:$A,0)),)</f>
        <v/>
      </c>
      <c r="Q2525" t="inlineStr">
        <is>
          <t>todo</t>
        </is>
      </c>
    </row>
    <row r="2526">
      <c r="A2526" t="inlineStr">
        <is>
          <t>Jarell Habets</t>
        </is>
      </c>
      <c r="B2526" t="inlineStr">
        <is>
          <t>Attendee</t>
        </is>
      </c>
      <c r="C2526" t="inlineStr">
        <is>
          <t>CEO</t>
        </is>
      </c>
      <c r="D2526" t="inlineStr">
        <is>
          <t>Shypple</t>
        </is>
      </c>
      <c r="E2526" t="inlineStr">
        <is>
          <t>Netherlands</t>
        </is>
      </c>
      <c r="F2526" t="inlineStr">
        <is>
          <t>Yes</t>
        </is>
      </c>
      <c r="H2526" t="n">
        <v>6</v>
      </c>
      <c r="I2526" t="b">
        <v>0</v>
      </c>
      <c r="J2526" t="b">
        <v>1</v>
      </c>
      <c r="K2526" t="b">
        <v>0</v>
      </c>
      <c r="L2526" t="b">
        <v>0</v>
      </c>
      <c r="M2526" t="b">
        <v>0</v>
      </c>
      <c r="N2526">
        <f>IFERROR(INDEX('Company Hitlist'!$AA:$AA,MATCH(D2526,'Company Hitlist'!$A:$A,0)),)</f>
        <v/>
      </c>
      <c r="O2526">
        <f>IFERROR(INDEX('Company Hitlist'!$N:$N,MATCH(D2526,'Company Hitlist'!$A:$A,0)),)</f>
        <v/>
      </c>
      <c r="Q2526" t="inlineStr">
        <is>
          <t>todo</t>
        </is>
      </c>
    </row>
    <row r="2527">
      <c r="A2527" t="inlineStr">
        <is>
          <t>Chaekyong Lee</t>
        </is>
      </c>
      <c r="B2527" t="inlineStr">
        <is>
          <t>Attendee</t>
        </is>
      </c>
      <c r="C2527" t="inlineStr">
        <is>
          <t>President</t>
        </is>
      </c>
      <c r="D2527" t="inlineStr">
        <is>
          <t>Simyon NA Corp</t>
        </is>
      </c>
      <c r="F2527" t="inlineStr">
        <is>
          <t>Yes</t>
        </is>
      </c>
      <c r="H2527" t="n">
        <v>6</v>
      </c>
      <c r="I2527" t="b">
        <v>0</v>
      </c>
      <c r="J2527" t="b">
        <v>1</v>
      </c>
      <c r="K2527" t="b">
        <v>0</v>
      </c>
      <c r="L2527" t="b">
        <v>0</v>
      </c>
      <c r="M2527" t="b">
        <v>0</v>
      </c>
      <c r="N2527">
        <f>IFERROR(INDEX('Company Hitlist'!$AA:$AA,MATCH(D2527,'Company Hitlist'!$A:$A,0)),)</f>
        <v/>
      </c>
      <c r="O2527">
        <f>IFERROR(INDEX('Company Hitlist'!$N:$N,MATCH(D2527,'Company Hitlist'!$A:$A,0)),)</f>
        <v/>
      </c>
      <c r="Q2527" t="inlineStr">
        <is>
          <t>todo</t>
        </is>
      </c>
    </row>
    <row r="2528">
      <c r="A2528" t="inlineStr">
        <is>
          <t>Tyler Brown</t>
        </is>
      </c>
      <c r="B2528" t="inlineStr">
        <is>
          <t>Attendee</t>
        </is>
      </c>
      <c r="C2528" t="inlineStr">
        <is>
          <t>President &amp; COO</t>
        </is>
      </c>
      <c r="D2528" t="inlineStr">
        <is>
          <t>SinnovaTek</t>
        </is>
      </c>
      <c r="F2528" t="inlineStr">
        <is>
          <t>Yes</t>
        </is>
      </c>
      <c r="H2528" t="n">
        <v>6</v>
      </c>
      <c r="I2528" t="b">
        <v>0</v>
      </c>
      <c r="J2528" t="b">
        <v>1</v>
      </c>
      <c r="K2528" t="b">
        <v>0</v>
      </c>
      <c r="L2528" t="b">
        <v>0</v>
      </c>
      <c r="M2528" t="b">
        <v>0</v>
      </c>
      <c r="N2528">
        <f>IFERROR(INDEX('Company Hitlist'!$AA:$AA,MATCH(D2528,'Company Hitlist'!$A:$A,0)),)</f>
        <v/>
      </c>
      <c r="O2528">
        <f>IFERROR(INDEX('Company Hitlist'!$N:$N,MATCH(D2528,'Company Hitlist'!$A:$A,0)),)</f>
        <v/>
      </c>
      <c r="Q2528" t="inlineStr">
        <is>
          <t>todo</t>
        </is>
      </c>
    </row>
    <row r="2529">
      <c r="A2529" t="inlineStr">
        <is>
          <t>Chris Perron</t>
        </is>
      </c>
      <c r="B2529" t="inlineStr">
        <is>
          <t>Attendee</t>
        </is>
      </c>
      <c r="C2529" t="inlineStr">
        <is>
          <t>VP</t>
        </is>
      </c>
      <c r="D2529" t="inlineStr">
        <is>
          <t>Sixth Street Growth</t>
        </is>
      </c>
      <c r="E2529" t="inlineStr">
        <is>
          <t>United States</t>
        </is>
      </c>
      <c r="H2529" t="n">
        <v>6</v>
      </c>
      <c r="I2529" t="b">
        <v>0</v>
      </c>
      <c r="J2529" t="b">
        <v>1</v>
      </c>
      <c r="K2529" t="b">
        <v>0</v>
      </c>
      <c r="L2529" t="b">
        <v>0</v>
      </c>
      <c r="M2529" t="b">
        <v>0</v>
      </c>
      <c r="N2529">
        <f>IFERROR(INDEX('Company Hitlist'!$AA:$AA,MATCH(D2529,'Company Hitlist'!$A:$A,0)),)</f>
        <v/>
      </c>
      <c r="O2529">
        <f>IFERROR(INDEX('Company Hitlist'!$N:$N,MATCH(D2529,'Company Hitlist'!$A:$A,0)),)</f>
        <v/>
      </c>
      <c r="Q2529" t="inlineStr">
        <is>
          <t>todo</t>
        </is>
      </c>
    </row>
    <row r="2530">
      <c r="A2530" t="inlineStr">
        <is>
          <t>Vlad Nikalayeu</t>
        </is>
      </c>
      <c r="B2530" t="inlineStr">
        <is>
          <t>Attendee</t>
        </is>
      </c>
      <c r="C2530" t="inlineStr">
        <is>
          <t>CEO</t>
        </is>
      </c>
      <c r="D2530" t="inlineStr">
        <is>
          <t>Skypace</t>
        </is>
      </c>
      <c r="E2530" t="inlineStr">
        <is>
          <t>United States</t>
        </is>
      </c>
      <c r="F2530" t="inlineStr">
        <is>
          <t>Yes</t>
        </is>
      </c>
      <c r="H2530" t="n">
        <v>6</v>
      </c>
      <c r="I2530" t="b">
        <v>0</v>
      </c>
      <c r="J2530" t="b">
        <v>1</v>
      </c>
      <c r="K2530" t="b">
        <v>0</v>
      </c>
      <c r="L2530" t="b">
        <v>0</v>
      </c>
      <c r="M2530" t="b">
        <v>0</v>
      </c>
      <c r="N2530">
        <f>IFERROR(INDEX('Company Hitlist'!$AA:$AA,MATCH(D2530,'Company Hitlist'!$A:$A,0)),)</f>
        <v/>
      </c>
      <c r="O2530">
        <f>IFERROR(INDEX('Company Hitlist'!$N:$N,MATCH(D2530,'Company Hitlist'!$A:$A,0)),)</f>
        <v/>
      </c>
      <c r="Q2530" t="inlineStr">
        <is>
          <t>todo</t>
        </is>
      </c>
    </row>
    <row r="2531">
      <c r="A2531" t="inlineStr">
        <is>
          <t>Brian Lavigne</t>
        </is>
      </c>
      <c r="B2531" t="inlineStr">
        <is>
          <t>Attendee</t>
        </is>
      </c>
      <c r="C2531" t="inlineStr">
        <is>
          <t>VP, Head of Slice Hubs</t>
        </is>
      </c>
      <c r="D2531" t="inlineStr">
        <is>
          <t>Slice</t>
        </is>
      </c>
      <c r="F2531" t="inlineStr">
        <is>
          <t>Yes</t>
        </is>
      </c>
      <c r="H2531" t="n">
        <v>6</v>
      </c>
      <c r="I2531" t="b">
        <v>0</v>
      </c>
      <c r="J2531" t="b">
        <v>1</v>
      </c>
      <c r="K2531" t="b">
        <v>0</v>
      </c>
      <c r="L2531" t="b">
        <v>0</v>
      </c>
      <c r="M2531" t="b">
        <v>0</v>
      </c>
      <c r="N2531">
        <f>IFERROR(INDEX('Company Hitlist'!$AA:$AA,MATCH(D2531,'Company Hitlist'!$A:$A,0)),)</f>
        <v/>
      </c>
      <c r="O2531">
        <f>IFERROR(INDEX('Company Hitlist'!$N:$N,MATCH(D2531,'Company Hitlist'!$A:$A,0)),)</f>
        <v/>
      </c>
      <c r="Q2531" t="inlineStr">
        <is>
          <t>todo</t>
        </is>
      </c>
    </row>
    <row r="2532">
      <c r="A2532" t="inlineStr">
        <is>
          <t>Joe McIntyre</t>
        </is>
      </c>
      <c r="B2532" t="inlineStr">
        <is>
          <t>Attendee</t>
        </is>
      </c>
      <c r="C2532" t="inlineStr">
        <is>
          <t>General Manager</t>
        </is>
      </c>
      <c r="D2532" t="inlineStr">
        <is>
          <t>Slotted</t>
        </is>
      </c>
      <c r="E2532" t="inlineStr">
        <is>
          <t>United States</t>
        </is>
      </c>
      <c r="H2532" t="n">
        <v>6</v>
      </c>
      <c r="I2532" t="b">
        <v>0</v>
      </c>
      <c r="J2532" t="b">
        <v>1</v>
      </c>
      <c r="K2532" t="b">
        <v>0</v>
      </c>
      <c r="L2532" t="b">
        <v>0</v>
      </c>
      <c r="M2532" t="b">
        <v>0</v>
      </c>
      <c r="N2532">
        <f>IFERROR(INDEX('Company Hitlist'!$AA:$AA,MATCH(D2532,'Company Hitlist'!$A:$A,0)),)</f>
        <v/>
      </c>
      <c r="O2532">
        <f>IFERROR(INDEX('Company Hitlist'!$N:$N,MATCH(D2532,'Company Hitlist'!$A:$A,0)),)</f>
        <v/>
      </c>
      <c r="Q2532" t="inlineStr">
        <is>
          <t>todo</t>
        </is>
      </c>
    </row>
    <row r="2533">
      <c r="A2533" t="inlineStr">
        <is>
          <t>Carl Wasinger</t>
        </is>
      </c>
      <c r="B2533" t="inlineStr">
        <is>
          <t>Attendee</t>
        </is>
      </c>
      <c r="C2533" t="inlineStr">
        <is>
          <t>CEO</t>
        </is>
      </c>
      <c r="D2533" t="inlineStr">
        <is>
          <t>Smart Warehousing</t>
        </is>
      </c>
      <c r="F2533" t="inlineStr">
        <is>
          <t>Yes</t>
        </is>
      </c>
      <c r="H2533" t="n">
        <v>6</v>
      </c>
      <c r="I2533" t="b">
        <v>0</v>
      </c>
      <c r="J2533" t="b">
        <v>1</v>
      </c>
      <c r="K2533" t="b">
        <v>0</v>
      </c>
      <c r="L2533" t="b">
        <v>0</v>
      </c>
      <c r="M2533" t="b">
        <v>0</v>
      </c>
      <c r="N2533">
        <f>IFERROR(INDEX('Company Hitlist'!$AA:$AA,MATCH(D2533,'Company Hitlist'!$A:$A,0)),)</f>
        <v/>
      </c>
      <c r="O2533">
        <f>IFERROR(INDEX('Company Hitlist'!$N:$N,MATCH(D2533,'Company Hitlist'!$A:$A,0)),)</f>
        <v/>
      </c>
      <c r="Q2533" t="inlineStr">
        <is>
          <t>todo</t>
        </is>
      </c>
    </row>
    <row r="2534">
      <c r="A2534" t="inlineStr">
        <is>
          <t>Abhay Raut</t>
        </is>
      </c>
      <c r="B2534" t="inlineStr">
        <is>
          <t>Attendee</t>
        </is>
      </c>
      <c r="C2534" t="inlineStr">
        <is>
          <t>President</t>
        </is>
      </c>
      <c r="D2534" t="inlineStr">
        <is>
          <t>SmartBOL</t>
        </is>
      </c>
      <c r="E2534" t="inlineStr">
        <is>
          <t>United States</t>
        </is>
      </c>
      <c r="F2534" t="inlineStr">
        <is>
          <t>Yes</t>
        </is>
      </c>
      <c r="H2534" t="n">
        <v>6</v>
      </c>
      <c r="I2534" t="b">
        <v>0</v>
      </c>
      <c r="J2534" t="b">
        <v>1</v>
      </c>
      <c r="K2534" t="b">
        <v>0</v>
      </c>
      <c r="L2534" t="b">
        <v>0</v>
      </c>
      <c r="M2534" t="b">
        <v>0</v>
      </c>
      <c r="N2534">
        <f>IFERROR(INDEX('Company Hitlist'!$AA:$AA,MATCH(D2534,'Company Hitlist'!$A:$A,0)),)</f>
        <v/>
      </c>
      <c r="O2534">
        <f>IFERROR(INDEX('Company Hitlist'!$N:$N,MATCH(D2534,'Company Hitlist'!$A:$A,0)),)</f>
        <v/>
      </c>
      <c r="Q2534" t="inlineStr">
        <is>
          <t>todo</t>
        </is>
      </c>
    </row>
    <row r="2535">
      <c r="A2535" t="inlineStr">
        <is>
          <t>Thomas Dannunzio</t>
        </is>
      </c>
      <c r="B2535" t="inlineStr">
        <is>
          <t>Attendee</t>
        </is>
      </c>
      <c r="C2535" t="inlineStr">
        <is>
          <t>Velocity Center General Manager</t>
        </is>
      </c>
      <c r="D2535" t="inlineStr">
        <is>
          <t>Snap-on Inc.</t>
        </is>
      </c>
      <c r="H2535" t="n">
        <v>6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  <c r="N2535">
        <f>IFERROR(INDEX('Company Hitlist'!$AA:$AA,MATCH(D2535,'Company Hitlist'!$A:$A,0)),)</f>
        <v/>
      </c>
      <c r="O2535">
        <f>IFERROR(INDEX('Company Hitlist'!$N:$N,MATCH(D2535,'Company Hitlist'!$A:$A,0)),)</f>
        <v/>
      </c>
      <c r="Q2535" t="inlineStr">
        <is>
          <t>todo</t>
        </is>
      </c>
    </row>
    <row r="2536">
      <c r="A2536" t="inlineStr">
        <is>
          <t>Luis Toro</t>
        </is>
      </c>
      <c r="B2536" t="inlineStr">
        <is>
          <t>Attendee</t>
        </is>
      </c>
      <c r="C2536" t="inlineStr">
        <is>
          <t>Chief Information Officer</t>
        </is>
      </c>
      <c r="D2536" t="inlineStr">
        <is>
          <t>Sobel-Westex</t>
        </is>
      </c>
      <c r="E2536" t="inlineStr">
        <is>
          <t>United States</t>
        </is>
      </c>
      <c r="F2536" t="inlineStr">
        <is>
          <t>Yes</t>
        </is>
      </c>
      <c r="H2536" t="n">
        <v>6</v>
      </c>
      <c r="I2536" t="b">
        <v>0</v>
      </c>
      <c r="J2536" t="b">
        <v>1</v>
      </c>
      <c r="K2536" t="b">
        <v>0</v>
      </c>
      <c r="L2536" t="b">
        <v>0</v>
      </c>
      <c r="M2536" t="b">
        <v>0</v>
      </c>
      <c r="N2536">
        <f>IFERROR(INDEX('Company Hitlist'!$AA:$AA,MATCH(D2536,'Company Hitlist'!$A:$A,0)),)</f>
        <v/>
      </c>
      <c r="O2536">
        <f>IFERROR(INDEX('Company Hitlist'!$N:$N,MATCH(D2536,'Company Hitlist'!$A:$A,0)),)</f>
        <v/>
      </c>
      <c r="Q2536" t="inlineStr">
        <is>
          <t>todo</t>
        </is>
      </c>
    </row>
    <row r="2537">
      <c r="A2537" t="inlineStr">
        <is>
          <t>Jenny Perlitch</t>
        </is>
      </c>
      <c r="B2537" t="inlineStr">
        <is>
          <t>Attendee</t>
        </is>
      </c>
      <c r="C2537" t="inlineStr">
        <is>
          <t>CEO</t>
        </is>
      </c>
      <c r="D2537" t="inlineStr">
        <is>
          <t>Soralyx</t>
        </is>
      </c>
      <c r="E2537" t="inlineStr">
        <is>
          <t>Canada</t>
        </is>
      </c>
      <c r="F2537" t="inlineStr">
        <is>
          <t>Yes</t>
        </is>
      </c>
      <c r="H2537" t="n">
        <v>6</v>
      </c>
      <c r="I2537" t="b">
        <v>0</v>
      </c>
      <c r="J2537" t="b">
        <v>1</v>
      </c>
      <c r="K2537" t="b">
        <v>0</v>
      </c>
      <c r="L2537" t="b">
        <v>0</v>
      </c>
      <c r="M2537" t="b">
        <v>0</v>
      </c>
      <c r="N2537">
        <f>IFERROR(INDEX('Company Hitlist'!$AA:$AA,MATCH(D2537,'Company Hitlist'!$A:$A,0)),)</f>
        <v/>
      </c>
      <c r="O2537">
        <f>IFERROR(INDEX('Company Hitlist'!$N:$N,MATCH(D2537,'Company Hitlist'!$A:$A,0)),)</f>
        <v/>
      </c>
      <c r="Q2537" t="inlineStr">
        <is>
          <t>todo</t>
        </is>
      </c>
    </row>
    <row r="2538">
      <c r="A2538" t="inlineStr">
        <is>
          <t>Mariya Perlitch</t>
        </is>
      </c>
      <c r="B2538" t="inlineStr">
        <is>
          <t>Attendee</t>
        </is>
      </c>
      <c r="C2538" t="inlineStr">
        <is>
          <t>CTO</t>
        </is>
      </c>
      <c r="D2538" t="inlineStr">
        <is>
          <t>Soralyx</t>
        </is>
      </c>
      <c r="E2538" t="inlineStr">
        <is>
          <t>Canada</t>
        </is>
      </c>
      <c r="F2538" t="inlineStr">
        <is>
          <t>Yes</t>
        </is>
      </c>
      <c r="H2538" t="n">
        <v>6</v>
      </c>
      <c r="I2538" t="b">
        <v>0</v>
      </c>
      <c r="J2538" t="b">
        <v>1</v>
      </c>
      <c r="K2538" t="b">
        <v>0</v>
      </c>
      <c r="L2538" t="b">
        <v>0</v>
      </c>
      <c r="M2538" t="b">
        <v>0</v>
      </c>
      <c r="N2538">
        <f>IFERROR(INDEX('Company Hitlist'!$AA:$AA,MATCH(D2538,'Company Hitlist'!$A:$A,0)),)</f>
        <v/>
      </c>
      <c r="O2538">
        <f>IFERROR(INDEX('Company Hitlist'!$N:$N,MATCH(D2538,'Company Hitlist'!$A:$A,0)),)</f>
        <v/>
      </c>
      <c r="Q2538" t="inlineStr">
        <is>
          <t>todo</t>
        </is>
      </c>
    </row>
    <row r="2539">
      <c r="A2539" t="inlineStr">
        <is>
          <t>Mike Redden</t>
        </is>
      </c>
      <c r="B2539" t="inlineStr">
        <is>
          <t>Attendee</t>
        </is>
      </c>
      <c r="C2539" t="inlineStr">
        <is>
          <t>VP of National Accounts</t>
        </is>
      </c>
      <c r="D2539" t="inlineStr">
        <is>
          <t>Southeastern Freight Lines</t>
        </is>
      </c>
      <c r="E2539" t="inlineStr">
        <is>
          <t>United States</t>
        </is>
      </c>
      <c r="F2539" t="inlineStr">
        <is>
          <t>Yes</t>
        </is>
      </c>
      <c r="H2539" t="n">
        <v>6</v>
      </c>
      <c r="I2539" t="b">
        <v>0</v>
      </c>
      <c r="J2539" t="b">
        <v>1</v>
      </c>
      <c r="K2539" t="b">
        <v>0</v>
      </c>
      <c r="L2539" t="b">
        <v>0</v>
      </c>
      <c r="M2539" t="b">
        <v>0</v>
      </c>
      <c r="N2539">
        <f>IFERROR(INDEX('Company Hitlist'!$AA:$AA,MATCH(D2539,'Company Hitlist'!$A:$A,0)),)</f>
        <v/>
      </c>
      <c r="O2539">
        <f>IFERROR(INDEX('Company Hitlist'!$N:$N,MATCH(D2539,'Company Hitlist'!$A:$A,0)),)</f>
        <v/>
      </c>
      <c r="Q2539" t="inlineStr">
        <is>
          <t>todo</t>
        </is>
      </c>
    </row>
    <row r="2540">
      <c r="A2540" t="inlineStr">
        <is>
          <t>Matthew Sheen</t>
        </is>
      </c>
      <c r="B2540" t="inlineStr">
        <is>
          <t>Attendee</t>
        </is>
      </c>
      <c r="C2540" t="inlineStr">
        <is>
          <t>CEO</t>
        </is>
      </c>
      <c r="D2540" t="inlineStr">
        <is>
          <t>Sparrow XPL Pty Ltd</t>
        </is>
      </c>
      <c r="E2540" t="inlineStr">
        <is>
          <t>Australia</t>
        </is>
      </c>
      <c r="H2540" t="n">
        <v>6</v>
      </c>
      <c r="I2540" t="b">
        <v>0</v>
      </c>
      <c r="J2540" t="b">
        <v>1</v>
      </c>
      <c r="K2540" t="b">
        <v>0</v>
      </c>
      <c r="L2540" t="b">
        <v>0</v>
      </c>
      <c r="M2540" t="b">
        <v>0</v>
      </c>
      <c r="N2540">
        <f>IFERROR(INDEX('Company Hitlist'!$AA:$AA,MATCH(D2540,'Company Hitlist'!$A:$A,0)),)</f>
        <v/>
      </c>
      <c r="O2540">
        <f>IFERROR(INDEX('Company Hitlist'!$N:$N,MATCH(D2540,'Company Hitlist'!$A:$A,0)),)</f>
        <v/>
      </c>
      <c r="Q2540" t="inlineStr">
        <is>
          <t>todo</t>
        </is>
      </c>
    </row>
    <row r="2541">
      <c r="A2541" t="inlineStr">
        <is>
          <t>Amber Romando</t>
        </is>
      </c>
      <c r="B2541" t="inlineStr">
        <is>
          <t>Attendee</t>
        </is>
      </c>
      <c r="C2541" t="inlineStr">
        <is>
          <t>COO</t>
        </is>
      </c>
      <c r="D2541" t="inlineStr">
        <is>
          <t>Spartan Logistics</t>
        </is>
      </c>
      <c r="E2541" t="inlineStr">
        <is>
          <t>United States</t>
        </is>
      </c>
      <c r="F2541" t="inlineStr">
        <is>
          <t>Yes</t>
        </is>
      </c>
      <c r="H2541" t="n">
        <v>6</v>
      </c>
      <c r="I2541" t="b">
        <v>0</v>
      </c>
      <c r="J2541" t="b">
        <v>1</v>
      </c>
      <c r="K2541" t="b">
        <v>0</v>
      </c>
      <c r="L2541" t="b">
        <v>0</v>
      </c>
      <c r="M2541" t="b">
        <v>0</v>
      </c>
      <c r="N2541">
        <f>IFERROR(INDEX('Company Hitlist'!$AA:$AA,MATCH(D2541,'Company Hitlist'!$A:$A,0)),)</f>
        <v/>
      </c>
      <c r="O2541">
        <f>IFERROR(INDEX('Company Hitlist'!$N:$N,MATCH(D2541,'Company Hitlist'!$A:$A,0)),)</f>
        <v/>
      </c>
      <c r="Q2541" t="inlineStr">
        <is>
          <t>todo</t>
        </is>
      </c>
    </row>
    <row r="2542">
      <c r="A2542" t="inlineStr">
        <is>
          <t>Ronnie Reineke</t>
        </is>
      </c>
      <c r="B2542" t="inlineStr">
        <is>
          <t>Attendee</t>
        </is>
      </c>
      <c r="C2542" t="inlineStr">
        <is>
          <t>COO</t>
        </is>
      </c>
      <c r="D2542" t="inlineStr">
        <is>
          <t>Spartan Logistics</t>
        </is>
      </c>
      <c r="E2542" t="inlineStr">
        <is>
          <t>United States</t>
        </is>
      </c>
      <c r="F2542" t="inlineStr">
        <is>
          <t>Yes</t>
        </is>
      </c>
      <c r="H2542" t="n">
        <v>6</v>
      </c>
      <c r="I2542" t="b">
        <v>0</v>
      </c>
      <c r="J2542" t="b">
        <v>1</v>
      </c>
      <c r="K2542" t="b">
        <v>0</v>
      </c>
      <c r="L2542" t="b">
        <v>0</v>
      </c>
      <c r="M2542" t="b">
        <v>0</v>
      </c>
      <c r="N2542">
        <f>IFERROR(INDEX('Company Hitlist'!$AA:$AA,MATCH(D2542,'Company Hitlist'!$A:$A,0)),)</f>
        <v/>
      </c>
      <c r="O2542">
        <f>IFERROR(INDEX('Company Hitlist'!$N:$N,MATCH(D2542,'Company Hitlist'!$A:$A,0)),)</f>
        <v/>
      </c>
      <c r="Q2542" t="inlineStr">
        <is>
          <t>todo</t>
        </is>
      </c>
    </row>
    <row r="2543">
      <c r="A2543" t="inlineStr">
        <is>
          <t>Tim Cargol</t>
        </is>
      </c>
      <c r="B2543" t="inlineStr">
        <is>
          <t>Attendee</t>
        </is>
      </c>
      <c r="C2543" t="inlineStr">
        <is>
          <t>CEO</t>
        </is>
      </c>
      <c r="D2543" t="inlineStr">
        <is>
          <t>Spectrohm</t>
        </is>
      </c>
      <c r="E2543" t="inlineStr">
        <is>
          <t>United States</t>
        </is>
      </c>
      <c r="F2543" t="inlineStr">
        <is>
          <t>Yes</t>
        </is>
      </c>
      <c r="H2543" t="n">
        <v>6</v>
      </c>
      <c r="I2543" t="b">
        <v>0</v>
      </c>
      <c r="J2543" t="b">
        <v>1</v>
      </c>
      <c r="K2543" t="b">
        <v>0</v>
      </c>
      <c r="L2543" t="b">
        <v>0</v>
      </c>
      <c r="M2543" t="b">
        <v>0</v>
      </c>
      <c r="N2543">
        <f>IFERROR(INDEX('Company Hitlist'!$AA:$AA,MATCH(D2543,'Company Hitlist'!$A:$A,0)),)</f>
        <v/>
      </c>
      <c r="O2543">
        <f>IFERROR(INDEX('Company Hitlist'!$N:$N,MATCH(D2543,'Company Hitlist'!$A:$A,0)),)</f>
        <v/>
      </c>
      <c r="Q2543" t="inlineStr">
        <is>
          <t>todo</t>
        </is>
      </c>
    </row>
    <row r="2544">
      <c r="A2544" t="inlineStr">
        <is>
          <t>Jason Kencevski</t>
        </is>
      </c>
      <c r="B2544" t="inlineStr">
        <is>
          <t>Attendee</t>
        </is>
      </c>
      <c r="C2544" t="inlineStr">
        <is>
          <t>CEO</t>
        </is>
      </c>
      <c r="D2544" t="inlineStr">
        <is>
          <t>Speedmaster</t>
        </is>
      </c>
      <c r="H2544" t="n">
        <v>6</v>
      </c>
      <c r="I2544" t="b">
        <v>0</v>
      </c>
      <c r="J2544" t="b">
        <v>1</v>
      </c>
      <c r="K2544" t="b">
        <v>0</v>
      </c>
      <c r="L2544" t="b">
        <v>0</v>
      </c>
      <c r="M2544" t="b">
        <v>0</v>
      </c>
      <c r="N2544">
        <f>IFERROR(INDEX('Company Hitlist'!$AA:$AA,MATCH(D2544,'Company Hitlist'!$A:$A,0)),)</f>
        <v/>
      </c>
      <c r="O2544">
        <f>IFERROR(INDEX('Company Hitlist'!$N:$N,MATCH(D2544,'Company Hitlist'!$A:$A,0)),)</f>
        <v/>
      </c>
      <c r="Q2544" t="inlineStr">
        <is>
          <t>todo</t>
        </is>
      </c>
    </row>
    <row r="2545">
      <c r="A2545" t="inlineStr">
        <is>
          <t>Melissa Parra</t>
        </is>
      </c>
      <c r="B2545" t="inlineStr">
        <is>
          <t>Attendee</t>
        </is>
      </c>
      <c r="C2545" t="inlineStr">
        <is>
          <t>COO</t>
        </is>
      </c>
      <c r="D2545" t="inlineStr">
        <is>
          <t>Speedmaster</t>
        </is>
      </c>
      <c r="H2545" t="n">
        <v>6</v>
      </c>
      <c r="I2545" t="b">
        <v>0</v>
      </c>
      <c r="J2545" t="b">
        <v>1</v>
      </c>
      <c r="K2545" t="b">
        <v>0</v>
      </c>
      <c r="L2545" t="b">
        <v>0</v>
      </c>
      <c r="M2545" t="b">
        <v>0</v>
      </c>
      <c r="N2545">
        <f>IFERROR(INDEX('Company Hitlist'!$AA:$AA,MATCH(D2545,'Company Hitlist'!$A:$A,0)),)</f>
        <v/>
      </c>
      <c r="O2545">
        <f>IFERROR(INDEX('Company Hitlist'!$N:$N,MATCH(D2545,'Company Hitlist'!$A:$A,0)),)</f>
        <v/>
      </c>
      <c r="Q2545" t="inlineStr">
        <is>
          <t>todo</t>
        </is>
      </c>
    </row>
    <row r="2546">
      <c r="A2546" t="inlineStr">
        <is>
          <t>Carter Tse</t>
        </is>
      </c>
      <c r="B2546" t="inlineStr">
        <is>
          <t>Attendee</t>
        </is>
      </c>
      <c r="C2546" t="inlineStr">
        <is>
          <t>CFO</t>
        </is>
      </c>
      <c r="D2546" t="inlineStr">
        <is>
          <t>Spin LGX</t>
        </is>
      </c>
      <c r="E2546" t="inlineStr">
        <is>
          <t>United States</t>
        </is>
      </c>
      <c r="F2546" t="inlineStr">
        <is>
          <t>Yes</t>
        </is>
      </c>
      <c r="H2546" t="n">
        <v>6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  <c r="N2546">
        <f>IFERROR(INDEX('Company Hitlist'!$AA:$AA,MATCH(D2546,'Company Hitlist'!$A:$A,0)),)</f>
        <v/>
      </c>
      <c r="O2546">
        <f>IFERROR(INDEX('Company Hitlist'!$N:$N,MATCH(D2546,'Company Hitlist'!$A:$A,0)),)</f>
        <v/>
      </c>
      <c r="Q2546" t="inlineStr">
        <is>
          <t>todo</t>
        </is>
      </c>
    </row>
    <row r="2547">
      <c r="A2547" t="inlineStr">
        <is>
          <t>Ben Garvin</t>
        </is>
      </c>
      <c r="B2547" t="inlineStr">
        <is>
          <t>Attendee</t>
        </is>
      </c>
      <c r="C2547" t="inlineStr">
        <is>
          <t>VP of Technology</t>
        </is>
      </c>
      <c r="D2547" t="inlineStr">
        <is>
          <t>Spot</t>
        </is>
      </c>
      <c r="F2547" t="inlineStr">
        <is>
          <t>Yes</t>
        </is>
      </c>
      <c r="H2547" t="n">
        <v>6</v>
      </c>
      <c r="I2547" t="b">
        <v>0</v>
      </c>
      <c r="J2547" t="b">
        <v>1</v>
      </c>
      <c r="K2547" t="b">
        <v>0</v>
      </c>
      <c r="L2547" t="b">
        <v>0</v>
      </c>
      <c r="M2547" t="b">
        <v>0</v>
      </c>
      <c r="N2547">
        <f>IFERROR(INDEX('Company Hitlist'!$AA:$AA,MATCH(D2547,'Company Hitlist'!$A:$A,0)),)</f>
        <v/>
      </c>
      <c r="O2547">
        <f>IFERROR(INDEX('Company Hitlist'!$N:$N,MATCH(D2547,'Company Hitlist'!$A:$A,0)),)</f>
        <v/>
      </c>
      <c r="Q2547" t="inlineStr">
        <is>
          <t>todo</t>
        </is>
      </c>
    </row>
    <row r="2548">
      <c r="A2548" t="inlineStr">
        <is>
          <t>Volker Bargenda</t>
        </is>
      </c>
      <c r="B2548" t="inlineStr">
        <is>
          <t>Attendee</t>
        </is>
      </c>
      <c r="C2548" t="inlineStr">
        <is>
          <t>President</t>
        </is>
      </c>
      <c r="D2548" t="inlineStr">
        <is>
          <t>Standard Logistics</t>
        </is>
      </c>
      <c r="F2548" t="inlineStr">
        <is>
          <t>Yes</t>
        </is>
      </c>
      <c r="H2548" t="n">
        <v>6</v>
      </c>
      <c r="I2548" t="b">
        <v>0</v>
      </c>
      <c r="J2548" t="b">
        <v>1</v>
      </c>
      <c r="K2548" t="b">
        <v>0</v>
      </c>
      <c r="L2548" t="b">
        <v>0</v>
      </c>
      <c r="M2548" t="b">
        <v>0</v>
      </c>
      <c r="N2548">
        <f>IFERROR(INDEX('Company Hitlist'!$AA:$AA,MATCH(D2548,'Company Hitlist'!$A:$A,0)),)</f>
        <v/>
      </c>
      <c r="O2548">
        <f>IFERROR(INDEX('Company Hitlist'!$N:$N,MATCH(D2548,'Company Hitlist'!$A:$A,0)),)</f>
        <v/>
      </c>
      <c r="Q2548" t="inlineStr">
        <is>
          <t>todo</t>
        </is>
      </c>
    </row>
    <row r="2549">
      <c r="A2549" t="inlineStr">
        <is>
          <t>Larry Jimenez</t>
        </is>
      </c>
      <c r="B2549" t="inlineStr">
        <is>
          <t>Attendee</t>
        </is>
      </c>
      <c r="C2549" t="inlineStr">
        <is>
          <t>Vice President</t>
        </is>
      </c>
      <c r="D2549" t="inlineStr">
        <is>
          <t>Star Distribution Systems, Inc.</t>
        </is>
      </c>
      <c r="E2549" t="inlineStr">
        <is>
          <t>United States</t>
        </is>
      </c>
      <c r="F2549" t="inlineStr">
        <is>
          <t>Yes</t>
        </is>
      </c>
      <c r="H2549" t="n">
        <v>6</v>
      </c>
      <c r="I2549" t="b">
        <v>0</v>
      </c>
      <c r="J2549" t="b">
        <v>1</v>
      </c>
      <c r="K2549" t="b">
        <v>0</v>
      </c>
      <c r="L2549" t="b">
        <v>0</v>
      </c>
      <c r="M2549" t="b">
        <v>0</v>
      </c>
      <c r="N2549">
        <f>IFERROR(INDEX('Company Hitlist'!$AA:$AA,MATCH(D2549,'Company Hitlist'!$A:$A,0)),)</f>
        <v/>
      </c>
      <c r="O2549">
        <f>IFERROR(INDEX('Company Hitlist'!$N:$N,MATCH(D2549,'Company Hitlist'!$A:$A,0)),)</f>
        <v/>
      </c>
      <c r="Q2549" t="inlineStr">
        <is>
          <t>todo</t>
        </is>
      </c>
    </row>
    <row r="2550">
      <c r="A2550" t="inlineStr">
        <is>
          <t>Sumeet Trehan</t>
        </is>
      </c>
      <c r="B2550" t="inlineStr">
        <is>
          <t>Attendee</t>
        </is>
      </c>
      <c r="C2550" t="inlineStr">
        <is>
          <t>CEO</t>
        </is>
      </c>
      <c r="D2550" t="inlineStr">
        <is>
          <t>Starboard</t>
        </is>
      </c>
      <c r="H2550" t="n">
        <v>6</v>
      </c>
      <c r="I2550" t="b">
        <v>0</v>
      </c>
      <c r="J2550" t="b">
        <v>1</v>
      </c>
      <c r="K2550" t="b">
        <v>0</v>
      </c>
      <c r="L2550" t="b">
        <v>0</v>
      </c>
      <c r="M2550" t="b">
        <v>0</v>
      </c>
      <c r="N2550">
        <f>IFERROR(INDEX('Company Hitlist'!$AA:$AA,MATCH(D2550,'Company Hitlist'!$A:$A,0)),)</f>
        <v/>
      </c>
      <c r="O2550">
        <f>IFERROR(INDEX('Company Hitlist'!$N:$N,MATCH(D2550,'Company Hitlist'!$A:$A,0)),)</f>
        <v/>
      </c>
      <c r="Q2550" t="inlineStr">
        <is>
          <t>todo</t>
        </is>
      </c>
    </row>
    <row r="2551">
      <c r="A2551" t="inlineStr">
        <is>
          <t>Ryan Doherty</t>
        </is>
      </c>
      <c r="B2551" t="inlineStr">
        <is>
          <t>Attendee</t>
        </is>
      </c>
      <c r="C2551" t="inlineStr">
        <is>
          <t>Executive Vice President</t>
        </is>
      </c>
      <c r="D2551" t="inlineStr">
        <is>
          <t>Steam Logistics</t>
        </is>
      </c>
      <c r="E2551" t="inlineStr">
        <is>
          <t>United States</t>
        </is>
      </c>
      <c r="F2551" t="inlineStr">
        <is>
          <t>Yes</t>
        </is>
      </c>
      <c r="H2551" t="n">
        <v>6</v>
      </c>
      <c r="I2551" t="b">
        <v>0</v>
      </c>
      <c r="J2551" t="b">
        <v>1</v>
      </c>
      <c r="K2551" t="b">
        <v>0</v>
      </c>
      <c r="L2551" t="b">
        <v>0</v>
      </c>
      <c r="M2551" t="b">
        <v>0</v>
      </c>
      <c r="N2551">
        <f>IFERROR(INDEX('Company Hitlist'!$AA:$AA,MATCH(D2551,'Company Hitlist'!$A:$A,0)),)</f>
        <v/>
      </c>
      <c r="O2551">
        <f>IFERROR(INDEX('Company Hitlist'!$N:$N,MATCH(D2551,'Company Hitlist'!$A:$A,0)),)</f>
        <v/>
      </c>
      <c r="Q2551" t="inlineStr">
        <is>
          <t>todo</t>
        </is>
      </c>
    </row>
    <row r="2552">
      <c r="A2552" t="inlineStr">
        <is>
          <t>Spencer Matthews</t>
        </is>
      </c>
      <c r="B2552" t="inlineStr">
        <is>
          <t>Attendee</t>
        </is>
      </c>
      <c r="C2552" t="inlineStr">
        <is>
          <t>Chief Operating Officer</t>
        </is>
      </c>
      <c r="D2552" t="inlineStr">
        <is>
          <t>Stemregen</t>
        </is>
      </c>
      <c r="E2552" t="inlineStr">
        <is>
          <t>United States</t>
        </is>
      </c>
      <c r="F2552" t="inlineStr">
        <is>
          <t>Yes</t>
        </is>
      </c>
      <c r="H2552" t="n">
        <v>6</v>
      </c>
      <c r="I2552" t="b">
        <v>0</v>
      </c>
      <c r="J2552" t="b">
        <v>1</v>
      </c>
      <c r="K2552" t="b">
        <v>0</v>
      </c>
      <c r="L2552" t="b">
        <v>0</v>
      </c>
      <c r="M2552" t="b">
        <v>0</v>
      </c>
      <c r="N2552">
        <f>IFERROR(INDEX('Company Hitlist'!$AA:$AA,MATCH(D2552,'Company Hitlist'!$A:$A,0)),)</f>
        <v/>
      </c>
      <c r="O2552">
        <f>IFERROR(INDEX('Company Hitlist'!$N:$N,MATCH(D2552,'Company Hitlist'!$A:$A,0)),)</f>
        <v/>
      </c>
      <c r="Q2552" t="inlineStr">
        <is>
          <t>todo</t>
        </is>
      </c>
    </row>
    <row r="2553">
      <c r="A2553" t="inlineStr">
        <is>
          <t>Brandon Eaton</t>
        </is>
      </c>
      <c r="B2553" t="inlineStr">
        <is>
          <t>Attendee</t>
        </is>
      </c>
      <c r="C2553" t="inlineStr">
        <is>
          <t>CEO &amp; Co-Founder</t>
        </is>
      </c>
      <c r="D2553" t="inlineStr">
        <is>
          <t>Stinger Bat Co</t>
        </is>
      </c>
      <c r="H2553" t="n">
        <v>6</v>
      </c>
      <c r="I2553" t="b">
        <v>0</v>
      </c>
      <c r="J2553" t="b">
        <v>1</v>
      </c>
      <c r="K2553" t="b">
        <v>0</v>
      </c>
      <c r="L2553" t="b">
        <v>0</v>
      </c>
      <c r="M2553" t="b">
        <v>0</v>
      </c>
      <c r="N2553">
        <f>IFERROR(INDEX('Company Hitlist'!$AA:$AA,MATCH(D2553,'Company Hitlist'!$A:$A,0)),)</f>
        <v/>
      </c>
      <c r="O2553">
        <f>IFERROR(INDEX('Company Hitlist'!$N:$N,MATCH(D2553,'Company Hitlist'!$A:$A,0)),)</f>
        <v/>
      </c>
      <c r="Q2553" t="inlineStr">
        <is>
          <t>todo</t>
        </is>
      </c>
    </row>
    <row r="2554">
      <c r="A2554" t="inlineStr">
        <is>
          <t>Abby Nawrocki</t>
        </is>
      </c>
      <c r="B2554" t="inlineStr">
        <is>
          <t>Attendee</t>
        </is>
      </c>
      <c r="C2554" t="inlineStr">
        <is>
          <t>CEO</t>
        </is>
      </c>
      <c r="D2554" t="inlineStr">
        <is>
          <t>Stock</t>
        </is>
      </c>
      <c r="H2554" t="n">
        <v>6</v>
      </c>
      <c r="I2554" t="b">
        <v>0</v>
      </c>
      <c r="J2554" t="b">
        <v>1</v>
      </c>
      <c r="K2554" t="b">
        <v>0</v>
      </c>
      <c r="L2554" t="b">
        <v>0</v>
      </c>
      <c r="M2554" t="b">
        <v>0</v>
      </c>
      <c r="N2554">
        <f>IFERROR(INDEX('Company Hitlist'!$AA:$AA,MATCH(D2554,'Company Hitlist'!$A:$A,0)),)</f>
        <v/>
      </c>
      <c r="O2554">
        <f>IFERROR(INDEX('Company Hitlist'!$N:$N,MATCH(D2554,'Company Hitlist'!$A:$A,0)),)</f>
        <v/>
      </c>
      <c r="Q2554" t="inlineStr">
        <is>
          <t>todo</t>
        </is>
      </c>
    </row>
    <row r="2555">
      <c r="A2555" t="inlineStr">
        <is>
          <t>Mark Lawver</t>
        </is>
      </c>
      <c r="B2555" t="inlineStr">
        <is>
          <t>Attendee</t>
        </is>
      </c>
      <c r="C2555" t="inlineStr">
        <is>
          <t>General Manager</t>
        </is>
      </c>
      <c r="D2555" t="inlineStr">
        <is>
          <t>Stokes Trucking LLC</t>
        </is>
      </c>
      <c r="E2555" t="inlineStr">
        <is>
          <t>United States</t>
        </is>
      </c>
      <c r="H2555" t="n">
        <v>6</v>
      </c>
      <c r="I2555" t="b">
        <v>0</v>
      </c>
      <c r="J2555" t="b">
        <v>1</v>
      </c>
      <c r="K2555" t="b">
        <v>0</v>
      </c>
      <c r="L2555" t="b">
        <v>0</v>
      </c>
      <c r="M2555" t="b">
        <v>0</v>
      </c>
      <c r="N2555">
        <f>IFERROR(INDEX('Company Hitlist'!$AA:$AA,MATCH(D2555,'Company Hitlist'!$A:$A,0)),)</f>
        <v/>
      </c>
      <c r="O2555">
        <f>IFERROR(INDEX('Company Hitlist'!$N:$N,MATCH(D2555,'Company Hitlist'!$A:$A,0)),)</f>
        <v/>
      </c>
      <c r="Q2555" t="inlineStr">
        <is>
          <t>todo</t>
        </is>
      </c>
    </row>
    <row r="2556">
      <c r="A2556" t="inlineStr">
        <is>
          <t>Jason Luedtke</t>
        </is>
      </c>
      <c r="B2556" t="inlineStr">
        <is>
          <t>Attendee</t>
        </is>
      </c>
      <c r="C2556" t="inlineStr">
        <is>
          <t>CEO</t>
        </is>
      </c>
      <c r="D2556" t="inlineStr">
        <is>
          <t>Stonearch</t>
        </is>
      </c>
      <c r="F2556" t="inlineStr">
        <is>
          <t>Yes</t>
        </is>
      </c>
      <c r="H2556" t="n">
        <v>6</v>
      </c>
      <c r="I2556" t="b">
        <v>0</v>
      </c>
      <c r="J2556" t="b">
        <v>1</v>
      </c>
      <c r="K2556" t="b">
        <v>0</v>
      </c>
      <c r="L2556" t="b">
        <v>0</v>
      </c>
      <c r="M2556" t="b">
        <v>0</v>
      </c>
      <c r="N2556">
        <f>IFERROR(INDEX('Company Hitlist'!$AA:$AA,MATCH(D2556,'Company Hitlist'!$A:$A,0)),)</f>
        <v/>
      </c>
      <c r="O2556">
        <f>IFERROR(INDEX('Company Hitlist'!$N:$N,MATCH(D2556,'Company Hitlist'!$A:$A,0)),)</f>
        <v/>
      </c>
      <c r="Q2556" t="inlineStr">
        <is>
          <t>todo</t>
        </is>
      </c>
    </row>
    <row r="2557">
      <c r="A2557" t="inlineStr">
        <is>
          <t>Andrew Strang</t>
        </is>
      </c>
      <c r="B2557" t="inlineStr">
        <is>
          <t>Attendee</t>
        </is>
      </c>
      <c r="C2557" t="inlineStr">
        <is>
          <t>CEO</t>
        </is>
      </c>
      <c r="D2557" t="inlineStr">
        <is>
          <t>Strang Logistics</t>
        </is>
      </c>
      <c r="E2557" t="inlineStr">
        <is>
          <t>Australia</t>
        </is>
      </c>
      <c r="F2557" t="inlineStr">
        <is>
          <t>Yes</t>
        </is>
      </c>
      <c r="H2557" t="n">
        <v>6</v>
      </c>
      <c r="I2557" t="b">
        <v>0</v>
      </c>
      <c r="J2557" t="b">
        <v>1</v>
      </c>
      <c r="K2557" t="b">
        <v>0</v>
      </c>
      <c r="L2557" t="b">
        <v>0</v>
      </c>
      <c r="M2557" t="b">
        <v>0</v>
      </c>
      <c r="N2557">
        <f>IFERROR(INDEX('Company Hitlist'!$AA:$AA,MATCH(D2557,'Company Hitlist'!$A:$A,0)),)</f>
        <v/>
      </c>
      <c r="O2557">
        <f>IFERROR(INDEX('Company Hitlist'!$N:$N,MATCH(D2557,'Company Hitlist'!$A:$A,0)),)</f>
        <v/>
      </c>
      <c r="Q2557" t="inlineStr">
        <is>
          <t>todo</t>
        </is>
      </c>
    </row>
    <row r="2558">
      <c r="A2558" t="inlineStr">
        <is>
          <t>Sumant Shringari</t>
        </is>
      </c>
      <c r="B2558" t="inlineStr">
        <is>
          <t>Attendee</t>
        </is>
      </c>
      <c r="C2558" t="inlineStr">
        <is>
          <t>CEO and Co-Founder</t>
        </is>
      </c>
      <c r="D2558" t="inlineStr">
        <is>
          <t>Streamline Corp.</t>
        </is>
      </c>
      <c r="E2558" t="inlineStr">
        <is>
          <t>United States</t>
        </is>
      </c>
      <c r="F2558" t="inlineStr">
        <is>
          <t>Yes</t>
        </is>
      </c>
      <c r="H2558" t="n">
        <v>6</v>
      </c>
      <c r="I2558" t="b">
        <v>0</v>
      </c>
      <c r="J2558" t="b">
        <v>1</v>
      </c>
      <c r="K2558" t="b">
        <v>0</v>
      </c>
      <c r="L2558" t="b">
        <v>0</v>
      </c>
      <c r="M2558" t="b">
        <v>0</v>
      </c>
      <c r="N2558">
        <f>IFERROR(INDEX('Company Hitlist'!$AA:$AA,MATCH(D2558,'Company Hitlist'!$A:$A,0)),)</f>
        <v/>
      </c>
      <c r="O2558">
        <f>IFERROR(INDEX('Company Hitlist'!$N:$N,MATCH(D2558,'Company Hitlist'!$A:$A,0)),)</f>
        <v/>
      </c>
      <c r="Q2558" t="inlineStr">
        <is>
          <t>todo</t>
        </is>
      </c>
    </row>
    <row r="2559">
      <c r="A2559" t="inlineStr">
        <is>
          <t>Seth Nishida</t>
        </is>
      </c>
      <c r="B2559" t="inlineStr">
        <is>
          <t>Attendee</t>
        </is>
      </c>
      <c r="C2559" t="inlineStr">
        <is>
          <t>VP, Business Innovation Group</t>
        </is>
      </c>
      <c r="D2559" t="inlineStr">
        <is>
          <t>Sumitomo Corporation of Americas</t>
        </is>
      </c>
      <c r="E2559" t="inlineStr">
        <is>
          <t>United States</t>
        </is>
      </c>
      <c r="H2559" t="n">
        <v>6</v>
      </c>
      <c r="I2559" t="b">
        <v>0</v>
      </c>
      <c r="J2559" t="b">
        <v>1</v>
      </c>
      <c r="K2559" t="b">
        <v>0</v>
      </c>
      <c r="L2559" t="b">
        <v>0</v>
      </c>
      <c r="M2559" t="b">
        <v>0</v>
      </c>
      <c r="N2559">
        <f>IFERROR(INDEX('Company Hitlist'!$AA:$AA,MATCH(D2559,'Company Hitlist'!$A:$A,0)),)</f>
        <v/>
      </c>
      <c r="O2559">
        <f>IFERROR(INDEX('Company Hitlist'!$N:$N,MATCH(D2559,'Company Hitlist'!$A:$A,0)),)</f>
        <v/>
      </c>
      <c r="Q2559" t="inlineStr">
        <is>
          <t>todo</t>
        </is>
      </c>
    </row>
    <row r="2560">
      <c r="A2560" t="inlineStr">
        <is>
          <t>Manjot Singh</t>
        </is>
      </c>
      <c r="B2560" t="inlineStr">
        <is>
          <t>Attendee</t>
        </is>
      </c>
      <c r="C2560" t="inlineStr">
        <is>
          <t>Chief Executive Officer</t>
        </is>
      </c>
      <c r="D2560" t="inlineStr">
        <is>
          <t>SummitEdge</t>
        </is>
      </c>
      <c r="E2560" t="inlineStr">
        <is>
          <t>United States</t>
        </is>
      </c>
      <c r="H2560" t="n">
        <v>6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  <c r="N2560">
        <f>IFERROR(INDEX('Company Hitlist'!$AA:$AA,MATCH(D2560,'Company Hitlist'!$A:$A,0)),)</f>
        <v/>
      </c>
      <c r="O2560">
        <f>IFERROR(INDEX('Company Hitlist'!$N:$N,MATCH(D2560,'Company Hitlist'!$A:$A,0)),)</f>
        <v/>
      </c>
      <c r="Q2560" t="inlineStr">
        <is>
          <t>todo</t>
        </is>
      </c>
    </row>
    <row r="2561">
      <c r="A2561" t="inlineStr">
        <is>
          <t>Marcos Campos</t>
        </is>
      </c>
      <c r="B2561" t="inlineStr">
        <is>
          <t>Attendee</t>
        </is>
      </c>
      <c r="C2561" t="inlineStr">
        <is>
          <t>Head of SCM</t>
        </is>
      </c>
      <c r="D2561" t="inlineStr">
        <is>
          <t>Sun Pharma</t>
        </is>
      </c>
      <c r="H2561" t="n">
        <v>6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  <c r="N2561">
        <f>IFERROR(INDEX('Company Hitlist'!$AA:$AA,MATCH(D2561,'Company Hitlist'!$A:$A,0)),)</f>
        <v/>
      </c>
      <c r="O2561">
        <f>IFERROR(INDEX('Company Hitlist'!$N:$N,MATCH(D2561,'Company Hitlist'!$A:$A,0)),)</f>
        <v/>
      </c>
      <c r="Q2561" t="inlineStr">
        <is>
          <t>todo</t>
        </is>
      </c>
    </row>
    <row r="2562">
      <c r="A2562" t="inlineStr">
        <is>
          <t>Arch Thomason</t>
        </is>
      </c>
      <c r="B2562" t="inlineStr">
        <is>
          <t>Attendee</t>
        </is>
      </c>
      <c r="C2562" t="inlineStr">
        <is>
          <t>CEO</t>
        </is>
      </c>
      <c r="D2562" t="inlineStr">
        <is>
          <t>Sunland Logistics Solutions</t>
        </is>
      </c>
      <c r="F2562" t="inlineStr">
        <is>
          <t>Yes</t>
        </is>
      </c>
      <c r="H2562" t="n">
        <v>6</v>
      </c>
      <c r="I2562" t="b">
        <v>0</v>
      </c>
      <c r="J2562" t="b">
        <v>1</v>
      </c>
      <c r="K2562" t="b">
        <v>0</v>
      </c>
      <c r="L2562" t="b">
        <v>0</v>
      </c>
      <c r="M2562" t="b">
        <v>0</v>
      </c>
      <c r="N2562">
        <f>IFERROR(INDEX('Company Hitlist'!$AA:$AA,MATCH(D2562,'Company Hitlist'!$A:$A,0)),)</f>
        <v/>
      </c>
      <c r="O2562">
        <f>IFERROR(INDEX('Company Hitlist'!$N:$N,MATCH(D2562,'Company Hitlist'!$A:$A,0)),)</f>
        <v/>
      </c>
      <c r="Q2562" t="inlineStr">
        <is>
          <t>todo</t>
        </is>
      </c>
    </row>
    <row r="2563">
      <c r="A2563" t="inlineStr">
        <is>
          <t>John Kuhlmann</t>
        </is>
      </c>
      <c r="B2563" t="inlineStr">
        <is>
          <t>Attendee</t>
        </is>
      </c>
      <c r="C2563" t="inlineStr">
        <is>
          <t>CEO</t>
        </is>
      </c>
      <c r="D2563" t="inlineStr">
        <is>
          <t>Sunnybrook TMS</t>
        </is>
      </c>
      <c r="E2563" t="inlineStr">
        <is>
          <t>United States</t>
        </is>
      </c>
      <c r="F2563" t="inlineStr">
        <is>
          <t>Yes</t>
        </is>
      </c>
      <c r="H2563" t="n">
        <v>6</v>
      </c>
      <c r="I2563" t="b">
        <v>0</v>
      </c>
      <c r="J2563" t="b">
        <v>1</v>
      </c>
      <c r="K2563" t="b">
        <v>0</v>
      </c>
      <c r="L2563" t="b">
        <v>0</v>
      </c>
      <c r="M2563" t="b">
        <v>0</v>
      </c>
      <c r="N2563">
        <f>IFERROR(INDEX('Company Hitlist'!$AA:$AA,MATCH(D2563,'Company Hitlist'!$A:$A,0)),)</f>
        <v/>
      </c>
      <c r="O2563">
        <f>IFERROR(INDEX('Company Hitlist'!$N:$N,MATCH(D2563,'Company Hitlist'!$A:$A,0)),)</f>
        <v/>
      </c>
      <c r="Q2563" t="inlineStr">
        <is>
          <t>todo</t>
        </is>
      </c>
    </row>
    <row r="2564">
      <c r="A2564" t="inlineStr">
        <is>
          <t>Katie Tobias</t>
        </is>
      </c>
      <c r="B2564" t="inlineStr">
        <is>
          <t>Attendee</t>
        </is>
      </c>
      <c r="C2564" t="inlineStr">
        <is>
          <t>Chief Commercial Officer</t>
        </is>
      </c>
      <c r="D2564" t="inlineStr">
        <is>
          <t>SuperCIrcle</t>
        </is>
      </c>
      <c r="F2564" t="inlineStr">
        <is>
          <t>Yes</t>
        </is>
      </c>
      <c r="G2564" t="inlineStr">
        <is>
          <t>6100000</t>
        </is>
      </c>
      <c r="H2564" t="n">
        <v>6</v>
      </c>
      <c r="I2564" t="b">
        <v>0</v>
      </c>
      <c r="J2564" t="b">
        <v>1</v>
      </c>
      <c r="K2564" t="b">
        <v>0</v>
      </c>
      <c r="L2564" t="b">
        <v>0</v>
      </c>
      <c r="M2564" t="b">
        <v>0</v>
      </c>
      <c r="N2564">
        <f>IFERROR(INDEX('Company Hitlist'!$AA:$AA,MATCH(D2564,'Company Hitlist'!$A:$A,0)),)</f>
        <v/>
      </c>
      <c r="O2564">
        <f>IFERROR(INDEX('Company Hitlist'!$N:$N,MATCH(D2564,'Company Hitlist'!$A:$A,0)),)</f>
        <v/>
      </c>
      <c r="Q2564" t="inlineStr">
        <is>
          <t>todo</t>
        </is>
      </c>
    </row>
    <row r="2565">
      <c r="A2565" t="inlineStr">
        <is>
          <t>Carol Park</t>
        </is>
      </c>
      <c r="B2565" t="inlineStr">
        <is>
          <t>Attendee</t>
        </is>
      </c>
      <c r="C2565" t="inlineStr">
        <is>
          <t>Vice President, Inventory Solutions</t>
        </is>
      </c>
      <c r="D2565" t="inlineStr">
        <is>
          <t>SuperCircle</t>
        </is>
      </c>
      <c r="E2565" t="inlineStr">
        <is>
          <t>United States</t>
        </is>
      </c>
      <c r="F2565" t="inlineStr">
        <is>
          <t>Yes</t>
        </is>
      </c>
      <c r="G2565" t="inlineStr">
        <is>
          <t>6100000</t>
        </is>
      </c>
      <c r="H2565" t="n">
        <v>6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  <c r="N2565">
        <f>IFERROR(INDEX('Company Hitlist'!$AA:$AA,MATCH(D2565,'Company Hitlist'!$A:$A,0)),)</f>
        <v/>
      </c>
      <c r="O2565">
        <f>IFERROR(INDEX('Company Hitlist'!$N:$N,MATCH(D2565,'Company Hitlist'!$A:$A,0)),)</f>
        <v/>
      </c>
      <c r="Q2565" t="inlineStr">
        <is>
          <t>todo</t>
        </is>
      </c>
    </row>
    <row r="2566">
      <c r="A2566" t="inlineStr">
        <is>
          <t>Shane Knowles</t>
        </is>
      </c>
      <c r="B2566" t="inlineStr">
        <is>
          <t>Attendee</t>
        </is>
      </c>
      <c r="C2566" t="inlineStr">
        <is>
          <t>Vice President, Post Consumer</t>
        </is>
      </c>
      <c r="D2566" t="inlineStr">
        <is>
          <t>SuperCircle</t>
        </is>
      </c>
      <c r="E2566" t="inlineStr">
        <is>
          <t>United States</t>
        </is>
      </c>
      <c r="F2566" t="inlineStr">
        <is>
          <t>Yes</t>
        </is>
      </c>
      <c r="G2566" t="inlineStr">
        <is>
          <t>6100000</t>
        </is>
      </c>
      <c r="H2566" t="n">
        <v>6</v>
      </c>
      <c r="I2566" t="b">
        <v>0</v>
      </c>
      <c r="J2566" t="b">
        <v>1</v>
      </c>
      <c r="K2566" t="b">
        <v>0</v>
      </c>
      <c r="L2566" t="b">
        <v>0</v>
      </c>
      <c r="M2566" t="b">
        <v>0</v>
      </c>
      <c r="N2566">
        <f>IFERROR(INDEX('Company Hitlist'!$AA:$AA,MATCH(D2566,'Company Hitlist'!$A:$A,0)),)</f>
        <v/>
      </c>
      <c r="O2566">
        <f>IFERROR(INDEX('Company Hitlist'!$N:$N,MATCH(D2566,'Company Hitlist'!$A:$A,0)),)</f>
        <v/>
      </c>
      <c r="Q2566" t="inlineStr">
        <is>
          <t>todo</t>
        </is>
      </c>
    </row>
    <row r="2567">
      <c r="A2567" t="inlineStr">
        <is>
          <t>Chloe Songer</t>
        </is>
      </c>
      <c r="B2567" t="inlineStr">
        <is>
          <t>Attendee</t>
        </is>
      </c>
      <c r="C2567" t="inlineStr">
        <is>
          <t>Co-founder &amp; CEO</t>
        </is>
      </c>
      <c r="D2567" t="inlineStr">
        <is>
          <t>SuperCircle</t>
        </is>
      </c>
      <c r="F2567" t="inlineStr">
        <is>
          <t>Yes</t>
        </is>
      </c>
      <c r="G2567" t="inlineStr">
        <is>
          <t>6100000</t>
        </is>
      </c>
      <c r="H2567" t="n">
        <v>6</v>
      </c>
      <c r="I2567" t="b">
        <v>0</v>
      </c>
      <c r="J2567" t="b">
        <v>1</v>
      </c>
      <c r="K2567" t="b">
        <v>0</v>
      </c>
      <c r="L2567" t="b">
        <v>0</v>
      </c>
      <c r="M2567" t="b">
        <v>0</v>
      </c>
      <c r="N2567">
        <f>IFERROR(INDEX('Company Hitlist'!$AA:$AA,MATCH(D2567,'Company Hitlist'!$A:$A,0)),)</f>
        <v/>
      </c>
      <c r="O2567">
        <f>IFERROR(INDEX('Company Hitlist'!$N:$N,MATCH(D2567,'Company Hitlist'!$A:$A,0)),)</f>
        <v/>
      </c>
      <c r="Q2567" t="inlineStr">
        <is>
          <t>todo</t>
        </is>
      </c>
    </row>
    <row r="2568">
      <c r="A2568" t="inlineStr">
        <is>
          <t>Sean Copeland</t>
        </is>
      </c>
      <c r="B2568" t="inlineStr">
        <is>
          <t>Attendee</t>
        </is>
      </c>
      <c r="C2568" t="inlineStr">
        <is>
          <t>CEO</t>
        </is>
      </c>
      <c r="D2568" t="inlineStr">
        <is>
          <t>Supership</t>
        </is>
      </c>
      <c r="E2568" t="inlineStr">
        <is>
          <t>Canada</t>
        </is>
      </c>
      <c r="F2568" t="inlineStr">
        <is>
          <t>Yes</t>
        </is>
      </c>
      <c r="H2568" t="n">
        <v>6</v>
      </c>
      <c r="I2568" t="b">
        <v>0</v>
      </c>
      <c r="J2568" t="b">
        <v>1</v>
      </c>
      <c r="K2568" t="b">
        <v>0</v>
      </c>
      <c r="L2568" t="b">
        <v>0</v>
      </c>
      <c r="M2568" t="b">
        <v>0</v>
      </c>
      <c r="N2568">
        <f>IFERROR(INDEX('Company Hitlist'!$AA:$AA,MATCH(D2568,'Company Hitlist'!$A:$A,0)),)</f>
        <v/>
      </c>
      <c r="O2568">
        <f>IFERROR(INDEX('Company Hitlist'!$N:$N,MATCH(D2568,'Company Hitlist'!$A:$A,0)),)</f>
        <v/>
      </c>
      <c r="Q2568" t="inlineStr">
        <is>
          <t>todo</t>
        </is>
      </c>
    </row>
    <row r="2569">
      <c r="A2569" t="inlineStr">
        <is>
          <t>Brian Straight</t>
        </is>
      </c>
      <c r="B2569" t="inlineStr">
        <is>
          <t>Attendee</t>
        </is>
      </c>
      <c r="C2569" t="inlineStr">
        <is>
          <t>Editor-In-Chief</t>
        </is>
      </c>
      <c r="D2569" t="inlineStr">
        <is>
          <t>Supply Chain Management Review</t>
        </is>
      </c>
      <c r="E2569" t="inlineStr">
        <is>
          <t>United States</t>
        </is>
      </c>
      <c r="H2569" t="n">
        <v>6</v>
      </c>
      <c r="I2569" t="b">
        <v>0</v>
      </c>
      <c r="J2569" t="b">
        <v>1</v>
      </c>
      <c r="K2569" t="b">
        <v>0</v>
      </c>
      <c r="L2569" t="b">
        <v>0</v>
      </c>
      <c r="M2569" t="b">
        <v>0</v>
      </c>
      <c r="N2569">
        <f>IFERROR(INDEX('Company Hitlist'!$AA:$AA,MATCH(D2569,'Company Hitlist'!$A:$A,0)),)</f>
        <v/>
      </c>
      <c r="O2569">
        <f>IFERROR(INDEX('Company Hitlist'!$N:$N,MATCH(D2569,'Company Hitlist'!$A:$A,0)),)</f>
        <v/>
      </c>
      <c r="Q2569" t="inlineStr">
        <is>
          <t>todo</t>
        </is>
      </c>
    </row>
    <row r="2570">
      <c r="A2570" t="inlineStr">
        <is>
          <t>David Whittaker</t>
        </is>
      </c>
      <c r="B2570" t="inlineStr">
        <is>
          <t>Attendee</t>
        </is>
      </c>
      <c r="C2570" t="inlineStr">
        <is>
          <t>President</t>
        </is>
      </c>
      <c r="D2570" t="inlineStr">
        <is>
          <t>Supply Chain Solutions</t>
        </is>
      </c>
      <c r="H2570" t="n">
        <v>6</v>
      </c>
      <c r="I2570" t="b">
        <v>0</v>
      </c>
      <c r="J2570" t="b">
        <v>1</v>
      </c>
      <c r="K2570" t="b">
        <v>0</v>
      </c>
      <c r="L2570" t="b">
        <v>0</v>
      </c>
      <c r="M2570" t="b">
        <v>0</v>
      </c>
      <c r="N2570">
        <f>IFERROR(INDEX('Company Hitlist'!$AA:$AA,MATCH(D2570,'Company Hitlist'!$A:$A,0)),)</f>
        <v/>
      </c>
      <c r="O2570">
        <f>IFERROR(INDEX('Company Hitlist'!$N:$N,MATCH(D2570,'Company Hitlist'!$A:$A,0)),)</f>
        <v/>
      </c>
      <c r="Q2570" t="inlineStr">
        <is>
          <t>todo</t>
        </is>
      </c>
    </row>
    <row r="2571">
      <c r="A2571" t="inlineStr">
        <is>
          <t>Jordon Cornish</t>
        </is>
      </c>
      <c r="B2571" t="inlineStr">
        <is>
          <t>Attendee</t>
        </is>
      </c>
      <c r="C2571" t="inlineStr">
        <is>
          <t>CEO &amp; Co-Founder</t>
        </is>
      </c>
      <c r="D2571" t="inlineStr">
        <is>
          <t>Synkka LTD</t>
        </is>
      </c>
      <c r="E2571" t="inlineStr">
        <is>
          <t>United Kingdom</t>
        </is>
      </c>
      <c r="F2571" t="inlineStr">
        <is>
          <t>Yes</t>
        </is>
      </c>
      <c r="H2571" t="n">
        <v>6</v>
      </c>
      <c r="I2571" t="b">
        <v>0</v>
      </c>
      <c r="J2571" t="b">
        <v>1</v>
      </c>
      <c r="K2571" t="b">
        <v>0</v>
      </c>
      <c r="L2571" t="b">
        <v>0</v>
      </c>
      <c r="M2571" t="b">
        <v>0</v>
      </c>
      <c r="N2571">
        <f>IFERROR(INDEX('Company Hitlist'!$AA:$AA,MATCH(D2571,'Company Hitlist'!$A:$A,0)),)</f>
        <v/>
      </c>
      <c r="O2571">
        <f>IFERROR(INDEX('Company Hitlist'!$N:$N,MATCH(D2571,'Company Hitlist'!$A:$A,0)),)</f>
        <v/>
      </c>
      <c r="Q2571" t="inlineStr">
        <is>
          <t>todo</t>
        </is>
      </c>
    </row>
    <row r="2572">
      <c r="A2572" t="inlineStr">
        <is>
          <t>Charles Fraenkl</t>
        </is>
      </c>
      <c r="B2572" t="inlineStr">
        <is>
          <t>Attendee</t>
        </is>
      </c>
      <c r="C2572" t="inlineStr">
        <is>
          <t>CEO</t>
        </is>
      </c>
      <c r="D2572" t="inlineStr">
        <is>
          <t>System Loco Ltd</t>
        </is>
      </c>
      <c r="E2572" t="inlineStr">
        <is>
          <t>United Kingdom</t>
        </is>
      </c>
      <c r="F2572" t="inlineStr">
        <is>
          <t>Yes</t>
        </is>
      </c>
      <c r="H2572" t="n">
        <v>6</v>
      </c>
      <c r="I2572" t="b">
        <v>0</v>
      </c>
      <c r="J2572" t="b">
        <v>1</v>
      </c>
      <c r="K2572" t="b">
        <v>0</v>
      </c>
      <c r="L2572" t="b">
        <v>0</v>
      </c>
      <c r="M2572" t="b">
        <v>0</v>
      </c>
      <c r="N2572">
        <f>IFERROR(INDEX('Company Hitlist'!$AA:$AA,MATCH(D2572,'Company Hitlist'!$A:$A,0)),)</f>
        <v/>
      </c>
      <c r="O2572">
        <f>IFERROR(INDEX('Company Hitlist'!$N:$N,MATCH(D2572,'Company Hitlist'!$A:$A,0)),)</f>
        <v/>
      </c>
      <c r="Q2572" t="inlineStr">
        <is>
          <t>todo</t>
        </is>
      </c>
    </row>
    <row r="2573">
      <c r="A2573" t="inlineStr">
        <is>
          <t>Marcus Hatcher</t>
        </is>
      </c>
      <c r="B2573" t="inlineStr">
        <is>
          <t>Attendee</t>
        </is>
      </c>
      <c r="C2573" t="inlineStr">
        <is>
          <t>CEO</t>
        </is>
      </c>
      <c r="D2573" t="inlineStr">
        <is>
          <t>TAO Clean</t>
        </is>
      </c>
      <c r="F2573" t="inlineStr">
        <is>
          <t>Yes</t>
        </is>
      </c>
      <c r="H2573" t="n">
        <v>6</v>
      </c>
      <c r="I2573" t="b">
        <v>0</v>
      </c>
      <c r="J2573" t="b">
        <v>1</v>
      </c>
      <c r="K2573" t="b">
        <v>0</v>
      </c>
      <c r="L2573" t="b">
        <v>0</v>
      </c>
      <c r="M2573" t="b">
        <v>0</v>
      </c>
      <c r="N2573">
        <f>IFERROR(INDEX('Company Hitlist'!$AA:$AA,MATCH(D2573,'Company Hitlist'!$A:$A,0)),)</f>
        <v/>
      </c>
      <c r="O2573">
        <f>IFERROR(INDEX('Company Hitlist'!$N:$N,MATCH(D2573,'Company Hitlist'!$A:$A,0)),)</f>
        <v/>
      </c>
      <c r="Q2573" t="inlineStr">
        <is>
          <t>todo</t>
        </is>
      </c>
    </row>
    <row r="2574">
      <c r="A2574" t="inlineStr">
        <is>
          <t>Taylor Bottolfson</t>
        </is>
      </c>
      <c r="B2574" t="inlineStr">
        <is>
          <t>Attendee</t>
        </is>
      </c>
      <c r="C2574" t="inlineStr">
        <is>
          <t>Chief Operating Officer</t>
        </is>
      </c>
      <c r="D2574" t="inlineStr">
        <is>
          <t>TAO Clean</t>
        </is>
      </c>
      <c r="F2574" t="inlineStr">
        <is>
          <t>Yes</t>
        </is>
      </c>
      <c r="H2574" t="n">
        <v>6</v>
      </c>
      <c r="I2574" t="b">
        <v>0</v>
      </c>
      <c r="J2574" t="b">
        <v>1</v>
      </c>
      <c r="K2574" t="b">
        <v>0</v>
      </c>
      <c r="L2574" t="b">
        <v>0</v>
      </c>
      <c r="M2574" t="b">
        <v>0</v>
      </c>
      <c r="N2574">
        <f>IFERROR(INDEX('Company Hitlist'!$AA:$AA,MATCH(D2574,'Company Hitlist'!$A:$A,0)),)</f>
        <v/>
      </c>
      <c r="O2574">
        <f>IFERROR(INDEX('Company Hitlist'!$N:$N,MATCH(D2574,'Company Hitlist'!$A:$A,0)),)</f>
        <v/>
      </c>
      <c r="Q2574" t="inlineStr">
        <is>
          <t>todo</t>
        </is>
      </c>
    </row>
    <row r="2575">
      <c r="A2575" t="inlineStr">
        <is>
          <t>Chris Trapani- Henning</t>
        </is>
      </c>
      <c r="B2575" t="inlineStr">
        <is>
          <t>Attendee</t>
        </is>
      </c>
      <c r="C2575" t="inlineStr">
        <is>
          <t>President</t>
        </is>
      </c>
      <c r="D2575" t="inlineStr">
        <is>
          <t>TC Transport-Normandy/US1 Logistics</t>
        </is>
      </c>
      <c r="E2575" t="inlineStr">
        <is>
          <t>United States</t>
        </is>
      </c>
      <c r="F2575" t="inlineStr">
        <is>
          <t>Yes</t>
        </is>
      </c>
      <c r="H2575" t="n">
        <v>6</v>
      </c>
      <c r="I2575" t="b">
        <v>0</v>
      </c>
      <c r="J2575" t="b">
        <v>1</v>
      </c>
      <c r="K2575" t="b">
        <v>0</v>
      </c>
      <c r="L2575" t="b">
        <v>0</v>
      </c>
      <c r="M2575" t="b">
        <v>0</v>
      </c>
      <c r="N2575">
        <f>IFERROR(INDEX('Company Hitlist'!$AA:$AA,MATCH(D2575,'Company Hitlist'!$A:$A,0)),)</f>
        <v/>
      </c>
      <c r="O2575">
        <f>IFERROR(INDEX('Company Hitlist'!$N:$N,MATCH(D2575,'Company Hitlist'!$A:$A,0)),)</f>
        <v/>
      </c>
      <c r="Q2575" t="inlineStr">
        <is>
          <t>todo</t>
        </is>
      </c>
    </row>
    <row r="2576">
      <c r="A2576" t="inlineStr">
        <is>
          <t>Francesco Petruzzelli</t>
        </is>
      </c>
      <c r="B2576" t="inlineStr">
        <is>
          <t>Attendee</t>
        </is>
      </c>
      <c r="C2576" t="inlineStr">
        <is>
          <t>CEO</t>
        </is>
      </c>
      <c r="D2576" t="inlineStr">
        <is>
          <t>TILT.AI</t>
        </is>
      </c>
      <c r="E2576" t="inlineStr">
        <is>
          <t>United States</t>
        </is>
      </c>
      <c r="F2576" t="inlineStr">
        <is>
          <t>Yes</t>
        </is>
      </c>
      <c r="H2576" t="n">
        <v>6</v>
      </c>
      <c r="I2576" t="b">
        <v>0</v>
      </c>
      <c r="J2576" t="b">
        <v>1</v>
      </c>
      <c r="K2576" t="b">
        <v>0</v>
      </c>
      <c r="L2576" t="b">
        <v>0</v>
      </c>
      <c r="M2576" t="b">
        <v>0</v>
      </c>
      <c r="N2576">
        <f>IFERROR(INDEX('Company Hitlist'!$AA:$AA,MATCH(D2576,'Company Hitlist'!$A:$A,0)),)</f>
        <v/>
      </c>
      <c r="O2576">
        <f>IFERROR(INDEX('Company Hitlist'!$N:$N,MATCH(D2576,'Company Hitlist'!$A:$A,0)),)</f>
        <v/>
      </c>
      <c r="Q2576" t="inlineStr">
        <is>
          <t>todo</t>
        </is>
      </c>
    </row>
    <row r="2577">
      <c r="A2577" t="inlineStr">
        <is>
          <t>Ngoc Tuan Dang</t>
        </is>
      </c>
      <c r="B2577" t="inlineStr">
        <is>
          <t>Attendee</t>
        </is>
      </c>
      <c r="C2577" t="inlineStr">
        <is>
          <t>CEO</t>
        </is>
      </c>
      <c r="D2577" t="inlineStr">
        <is>
          <t>TJJ CO. LTD</t>
        </is>
      </c>
      <c r="H2577" t="n">
        <v>6</v>
      </c>
      <c r="I2577" t="b">
        <v>0</v>
      </c>
      <c r="J2577" t="b">
        <v>1</v>
      </c>
      <c r="K2577" t="b">
        <v>0</v>
      </c>
      <c r="L2577" t="b">
        <v>0</v>
      </c>
      <c r="M2577" t="b">
        <v>0</v>
      </c>
      <c r="N2577">
        <f>IFERROR(INDEX('Company Hitlist'!$AA:$AA,MATCH(D2577,'Company Hitlist'!$A:$A,0)),)</f>
        <v/>
      </c>
      <c r="O2577">
        <f>IFERROR(INDEX('Company Hitlist'!$N:$N,MATCH(D2577,'Company Hitlist'!$A:$A,0)),)</f>
        <v/>
      </c>
      <c r="Q2577" t="inlineStr">
        <is>
          <t>todo</t>
        </is>
      </c>
    </row>
    <row r="2578">
      <c r="A2578" t="inlineStr">
        <is>
          <t>Heather Kiesel</t>
        </is>
      </c>
      <c r="B2578" t="inlineStr">
        <is>
          <t>Attendee</t>
        </is>
      </c>
      <c r="C2578" t="inlineStr">
        <is>
          <t>President</t>
        </is>
      </c>
      <c r="D2578" t="inlineStr">
        <is>
          <t>TLR</t>
        </is>
      </c>
      <c r="F2578" t="inlineStr">
        <is>
          <t>Yes</t>
        </is>
      </c>
      <c r="H2578" t="n">
        <v>6</v>
      </c>
      <c r="I2578" t="b">
        <v>0</v>
      </c>
      <c r="J2578" t="b">
        <v>1</v>
      </c>
      <c r="K2578" t="b">
        <v>0</v>
      </c>
      <c r="L2578" t="b">
        <v>0</v>
      </c>
      <c r="M2578" t="b">
        <v>0</v>
      </c>
      <c r="N2578">
        <f>IFERROR(INDEX('Company Hitlist'!$AA:$AA,MATCH(D2578,'Company Hitlist'!$A:$A,0)),)</f>
        <v/>
      </c>
      <c r="O2578">
        <f>IFERROR(INDEX('Company Hitlist'!$N:$N,MATCH(D2578,'Company Hitlist'!$A:$A,0)),)</f>
        <v/>
      </c>
      <c r="Q2578" t="inlineStr">
        <is>
          <t>todo</t>
        </is>
      </c>
    </row>
    <row r="2579">
      <c r="A2579" t="inlineStr">
        <is>
          <t>Jennifer Domin</t>
        </is>
      </c>
      <c r="B2579" t="inlineStr">
        <is>
          <t>Attendee</t>
        </is>
      </c>
      <c r="C2579" t="inlineStr">
        <is>
          <t>Vice President</t>
        </is>
      </c>
      <c r="D2579" t="inlineStr">
        <is>
          <t>TLR</t>
        </is>
      </c>
      <c r="F2579" t="inlineStr">
        <is>
          <t>Yes</t>
        </is>
      </c>
      <c r="H2579" t="n">
        <v>6</v>
      </c>
      <c r="I2579" t="b">
        <v>0</v>
      </c>
      <c r="J2579" t="b">
        <v>1</v>
      </c>
      <c r="K2579" t="b">
        <v>0</v>
      </c>
      <c r="L2579" t="b">
        <v>0</v>
      </c>
      <c r="M2579" t="b">
        <v>0</v>
      </c>
      <c r="N2579">
        <f>IFERROR(INDEX('Company Hitlist'!$AA:$AA,MATCH(D2579,'Company Hitlist'!$A:$A,0)),)</f>
        <v/>
      </c>
      <c r="O2579">
        <f>IFERROR(INDEX('Company Hitlist'!$N:$N,MATCH(D2579,'Company Hitlist'!$A:$A,0)),)</f>
        <v/>
      </c>
      <c r="Q2579" t="inlineStr">
        <is>
          <t>todo</t>
        </is>
      </c>
    </row>
    <row r="2580">
      <c r="A2580" t="inlineStr">
        <is>
          <t>Braden Casady</t>
        </is>
      </c>
      <c r="B2580" t="inlineStr">
        <is>
          <t>Attendee</t>
        </is>
      </c>
      <c r="C2580" t="inlineStr">
        <is>
          <t>Vice President</t>
        </is>
      </c>
      <c r="D2580" t="inlineStr">
        <is>
          <t>TPG Growth</t>
        </is>
      </c>
      <c r="E2580" t="inlineStr">
        <is>
          <t>United States</t>
        </is>
      </c>
      <c r="H2580" t="n">
        <v>6</v>
      </c>
      <c r="I2580" t="b">
        <v>0</v>
      </c>
      <c r="J2580" t="b">
        <v>1</v>
      </c>
      <c r="K2580" t="b">
        <v>0</v>
      </c>
      <c r="L2580" t="b">
        <v>0</v>
      </c>
      <c r="M2580" t="b">
        <v>0</v>
      </c>
      <c r="N2580">
        <f>IFERROR(INDEX('Company Hitlist'!$AA:$AA,MATCH(D2580,'Company Hitlist'!$A:$A,0)),)</f>
        <v/>
      </c>
      <c r="O2580">
        <f>IFERROR(INDEX('Company Hitlist'!$N:$N,MATCH(D2580,'Company Hitlist'!$A:$A,0)),)</f>
        <v/>
      </c>
      <c r="Q2580" t="inlineStr">
        <is>
          <t>todo</t>
        </is>
      </c>
    </row>
    <row r="2581">
      <c r="A2581" t="inlineStr">
        <is>
          <t>Michelle Hu</t>
        </is>
      </c>
      <c r="B2581" t="inlineStr">
        <is>
          <t>Attendee</t>
        </is>
      </c>
      <c r="C2581" t="inlineStr">
        <is>
          <t>Vice President</t>
        </is>
      </c>
      <c r="D2581" t="inlineStr">
        <is>
          <t>TPG Growth</t>
        </is>
      </c>
      <c r="E2581" t="inlineStr">
        <is>
          <t>United States</t>
        </is>
      </c>
      <c r="H2581" t="n">
        <v>6</v>
      </c>
      <c r="I2581" t="b">
        <v>0</v>
      </c>
      <c r="J2581" t="b">
        <v>1</v>
      </c>
      <c r="K2581" t="b">
        <v>0</v>
      </c>
      <c r="L2581" t="b">
        <v>0</v>
      </c>
      <c r="M2581" t="b">
        <v>0</v>
      </c>
      <c r="N2581">
        <f>IFERROR(INDEX('Company Hitlist'!$AA:$AA,MATCH(D2581,'Company Hitlist'!$A:$A,0)),)</f>
        <v/>
      </c>
      <c r="O2581">
        <f>IFERROR(INDEX('Company Hitlist'!$N:$N,MATCH(D2581,'Company Hitlist'!$A:$A,0)),)</f>
        <v/>
      </c>
      <c r="Q2581" t="inlineStr">
        <is>
          <t>todo</t>
        </is>
      </c>
    </row>
    <row r="2582">
      <c r="A2582" t="inlineStr">
        <is>
          <t>Craig Swain</t>
        </is>
      </c>
      <c r="B2582" t="inlineStr">
        <is>
          <t>Attendee</t>
        </is>
      </c>
      <c r="C2582" t="inlineStr">
        <is>
          <t>Executive Vice President</t>
        </is>
      </c>
      <c r="D2582" t="inlineStr">
        <is>
          <t>TRAFFIX Group Inc.</t>
        </is>
      </c>
      <c r="E2582" t="inlineStr">
        <is>
          <t>Canada</t>
        </is>
      </c>
      <c r="F2582" t="inlineStr">
        <is>
          <t>Yes</t>
        </is>
      </c>
      <c r="H2582" t="n">
        <v>6</v>
      </c>
      <c r="I2582" t="b">
        <v>0</v>
      </c>
      <c r="J2582" t="b">
        <v>1</v>
      </c>
      <c r="K2582" t="b">
        <v>0</v>
      </c>
      <c r="L2582" t="b">
        <v>0</v>
      </c>
      <c r="M2582" t="b">
        <v>0</v>
      </c>
      <c r="N2582">
        <f>IFERROR(INDEX('Company Hitlist'!$AA:$AA,MATCH(D2582,'Company Hitlist'!$A:$A,0)),)</f>
        <v/>
      </c>
      <c r="O2582">
        <f>IFERROR(INDEX('Company Hitlist'!$N:$N,MATCH(D2582,'Company Hitlist'!$A:$A,0)),)</f>
        <v/>
      </c>
      <c r="Q2582" t="inlineStr">
        <is>
          <t>todo</t>
        </is>
      </c>
    </row>
    <row r="2583">
      <c r="A2583" t="inlineStr">
        <is>
          <t>CRISTIAN MUNOZ</t>
        </is>
      </c>
      <c r="B2583" t="inlineStr">
        <is>
          <t>Attendee</t>
        </is>
      </c>
      <c r="C2583" t="inlineStr">
        <is>
          <t>COO</t>
        </is>
      </c>
      <c r="D2583" t="inlineStr">
        <is>
          <t>TRANEX</t>
        </is>
      </c>
      <c r="E2583" t="inlineStr">
        <is>
          <t>Mexico</t>
        </is>
      </c>
      <c r="F2583" t="inlineStr">
        <is>
          <t>Yes</t>
        </is>
      </c>
      <c r="H2583" t="n">
        <v>6</v>
      </c>
      <c r="I2583" t="b">
        <v>0</v>
      </c>
      <c r="J2583" t="b">
        <v>1</v>
      </c>
      <c r="K2583" t="b">
        <v>0</v>
      </c>
      <c r="L2583" t="b">
        <v>0</v>
      </c>
      <c r="M2583" t="b">
        <v>0</v>
      </c>
      <c r="N2583">
        <f>IFERROR(INDEX('Company Hitlist'!$AA:$AA,MATCH(D2583,'Company Hitlist'!$A:$A,0)),)</f>
        <v/>
      </c>
      <c r="O2583">
        <f>IFERROR(INDEX('Company Hitlist'!$N:$N,MATCH(D2583,'Company Hitlist'!$A:$A,0)),)</f>
        <v/>
      </c>
      <c r="Q2583" t="inlineStr">
        <is>
          <t>todo</t>
        </is>
      </c>
    </row>
    <row r="2584">
      <c r="A2584" t="inlineStr">
        <is>
          <t>martin munoz</t>
        </is>
      </c>
      <c r="B2584" t="inlineStr">
        <is>
          <t>Attendee</t>
        </is>
      </c>
      <c r="C2584" t="inlineStr">
        <is>
          <t>ceo</t>
        </is>
      </c>
      <c r="D2584" t="inlineStr">
        <is>
          <t>TRANEX</t>
        </is>
      </c>
      <c r="E2584" t="inlineStr">
        <is>
          <t>Mexico</t>
        </is>
      </c>
      <c r="F2584" t="inlineStr">
        <is>
          <t>Yes</t>
        </is>
      </c>
      <c r="H2584" t="n">
        <v>6</v>
      </c>
      <c r="I2584" t="b">
        <v>0</v>
      </c>
      <c r="J2584" t="b">
        <v>1</v>
      </c>
      <c r="K2584" t="b">
        <v>0</v>
      </c>
      <c r="L2584" t="b">
        <v>0</v>
      </c>
      <c r="M2584" t="b">
        <v>0</v>
      </c>
      <c r="N2584">
        <f>IFERROR(INDEX('Company Hitlist'!$AA:$AA,MATCH(D2584,'Company Hitlist'!$A:$A,0)),)</f>
        <v/>
      </c>
      <c r="O2584">
        <f>IFERROR(INDEX('Company Hitlist'!$N:$N,MATCH(D2584,'Company Hitlist'!$A:$A,0)),)</f>
        <v/>
      </c>
      <c r="Q2584" t="inlineStr">
        <is>
          <t>todo</t>
        </is>
      </c>
    </row>
    <row r="2585">
      <c r="A2585" t="inlineStr">
        <is>
          <t>ASHISH KUMAR TRIPATHI</t>
        </is>
      </c>
      <c r="B2585" t="inlineStr">
        <is>
          <t>Attendee</t>
        </is>
      </c>
      <c r="C2585" t="inlineStr">
        <is>
          <t>GENERAL MANAGER IT</t>
        </is>
      </c>
      <c r="D2585" t="inlineStr">
        <is>
          <t>TRANSPORT CORPORATION OF INDIA LIMITED</t>
        </is>
      </c>
      <c r="E2585" t="inlineStr">
        <is>
          <t>India</t>
        </is>
      </c>
      <c r="F2585" t="inlineStr">
        <is>
          <t>Yes</t>
        </is>
      </c>
      <c r="H2585" t="n">
        <v>6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>
        <f>IFERROR(INDEX('Company Hitlist'!$AA:$AA,MATCH(D2585,'Company Hitlist'!$A:$A,0)),)</f>
        <v/>
      </c>
      <c r="O2585">
        <f>IFERROR(INDEX('Company Hitlist'!$N:$N,MATCH(D2585,'Company Hitlist'!$A:$A,0)),)</f>
        <v/>
      </c>
      <c r="Q2585" t="inlineStr">
        <is>
          <t>todo</t>
        </is>
      </c>
    </row>
    <row r="2586">
      <c r="A2586" t="inlineStr">
        <is>
          <t>PRASHANT KUMAR NAYAK</t>
        </is>
      </c>
      <c r="B2586" t="inlineStr">
        <is>
          <t>Attendee</t>
        </is>
      </c>
      <c r="C2586" t="inlineStr">
        <is>
          <t>GENERAL MANAGER</t>
        </is>
      </c>
      <c r="D2586" t="inlineStr">
        <is>
          <t>TRANSPORT CORPORATION OF INDIA LIMITED</t>
        </is>
      </c>
      <c r="E2586" t="inlineStr">
        <is>
          <t>India</t>
        </is>
      </c>
      <c r="F2586" t="inlineStr">
        <is>
          <t>Yes</t>
        </is>
      </c>
      <c r="H2586" t="n">
        <v>6</v>
      </c>
      <c r="I2586" t="b">
        <v>0</v>
      </c>
      <c r="J2586" t="b">
        <v>1</v>
      </c>
      <c r="K2586" t="b">
        <v>0</v>
      </c>
      <c r="L2586" t="b">
        <v>0</v>
      </c>
      <c r="M2586" t="b">
        <v>0</v>
      </c>
      <c r="N2586">
        <f>IFERROR(INDEX('Company Hitlist'!$AA:$AA,MATCH(D2586,'Company Hitlist'!$A:$A,0)),)</f>
        <v/>
      </c>
      <c r="O2586">
        <f>IFERROR(INDEX('Company Hitlist'!$N:$N,MATCH(D2586,'Company Hitlist'!$A:$A,0)),)</f>
        <v/>
      </c>
      <c r="Q2586" t="inlineStr">
        <is>
          <t>todo</t>
        </is>
      </c>
    </row>
    <row r="2587">
      <c r="A2587" t="inlineStr">
        <is>
          <t>ATUL ENDLAY</t>
        </is>
      </c>
      <c r="B2587" t="inlineStr">
        <is>
          <t>Attendee</t>
        </is>
      </c>
      <c r="C2587" t="inlineStr">
        <is>
          <t>VICE PRESIDENT</t>
        </is>
      </c>
      <c r="D2587" t="inlineStr">
        <is>
          <t>TRANSPORT CORPORATION OF INDIA LIMITED</t>
        </is>
      </c>
      <c r="E2587" t="inlineStr">
        <is>
          <t>India</t>
        </is>
      </c>
      <c r="F2587" t="inlineStr">
        <is>
          <t>Yes</t>
        </is>
      </c>
      <c r="H2587" t="n">
        <v>6</v>
      </c>
      <c r="I2587" t="b">
        <v>0</v>
      </c>
      <c r="J2587" t="b">
        <v>1</v>
      </c>
      <c r="K2587" t="b">
        <v>0</v>
      </c>
      <c r="L2587" t="b">
        <v>0</v>
      </c>
      <c r="M2587" t="b">
        <v>0</v>
      </c>
      <c r="N2587">
        <f>IFERROR(INDEX('Company Hitlist'!$AA:$AA,MATCH(D2587,'Company Hitlist'!$A:$A,0)),)</f>
        <v/>
      </c>
      <c r="O2587">
        <f>IFERROR(INDEX('Company Hitlist'!$N:$N,MATCH(D2587,'Company Hitlist'!$A:$A,0)),)</f>
        <v/>
      </c>
      <c r="Q2587" t="inlineStr">
        <is>
          <t>todo</t>
        </is>
      </c>
    </row>
    <row r="2588">
      <c r="A2588" t="inlineStr">
        <is>
          <t>VARUN KUMAR MAHESHWARI</t>
        </is>
      </c>
      <c r="B2588" t="inlineStr">
        <is>
          <t>Attendee</t>
        </is>
      </c>
      <c r="C2588" t="inlineStr">
        <is>
          <t>HEAD CENTER OF EXCELLENCE</t>
        </is>
      </c>
      <c r="D2588" t="inlineStr">
        <is>
          <t>TRANSPORT CORPORATION OF INDIA LIMITED</t>
        </is>
      </c>
      <c r="E2588" t="inlineStr">
        <is>
          <t>India</t>
        </is>
      </c>
      <c r="F2588" t="inlineStr">
        <is>
          <t>Yes</t>
        </is>
      </c>
      <c r="H2588" t="n">
        <v>6</v>
      </c>
      <c r="I2588" t="b">
        <v>0</v>
      </c>
      <c r="J2588" t="b">
        <v>1</v>
      </c>
      <c r="K2588" t="b">
        <v>0</v>
      </c>
      <c r="L2588" t="b">
        <v>0</v>
      </c>
      <c r="M2588" t="b">
        <v>0</v>
      </c>
      <c r="N2588">
        <f>IFERROR(INDEX('Company Hitlist'!$AA:$AA,MATCH(D2588,'Company Hitlist'!$A:$A,0)),)</f>
        <v/>
      </c>
      <c r="O2588">
        <f>IFERROR(INDEX('Company Hitlist'!$N:$N,MATCH(D2588,'Company Hitlist'!$A:$A,0)),)</f>
        <v/>
      </c>
      <c r="Q2588" t="inlineStr">
        <is>
          <t>todo</t>
        </is>
      </c>
    </row>
    <row r="2589">
      <c r="A2589" t="inlineStr">
        <is>
          <t>CARLOS FRANCISCO PEREZ ZAVALETA</t>
        </is>
      </c>
      <c r="B2589" t="inlineStr">
        <is>
          <t>Attendee</t>
        </is>
      </c>
      <c r="C2589" t="inlineStr">
        <is>
          <t>CEO</t>
        </is>
      </c>
      <c r="D2589" t="inlineStr">
        <is>
          <t>TRANSPORTES GLIZIM</t>
        </is>
      </c>
      <c r="F2589" t="inlineStr">
        <is>
          <t>Yes</t>
        </is>
      </c>
      <c r="H2589" t="n">
        <v>6</v>
      </c>
      <c r="I2589" t="b">
        <v>0</v>
      </c>
      <c r="J2589" t="b">
        <v>1</v>
      </c>
      <c r="K2589" t="b">
        <v>0</v>
      </c>
      <c r="L2589" t="b">
        <v>0</v>
      </c>
      <c r="M2589" t="b">
        <v>0</v>
      </c>
      <c r="N2589">
        <f>IFERROR(INDEX('Company Hitlist'!$AA:$AA,MATCH(D2589,'Company Hitlist'!$A:$A,0)),)</f>
        <v/>
      </c>
      <c r="O2589">
        <f>IFERROR(INDEX('Company Hitlist'!$N:$N,MATCH(D2589,'Company Hitlist'!$A:$A,0)),)</f>
        <v/>
      </c>
      <c r="Q2589" t="inlineStr">
        <is>
          <t>todo</t>
        </is>
      </c>
    </row>
    <row r="2590">
      <c r="A2590" t="inlineStr">
        <is>
          <t>BEN GREENE</t>
        </is>
      </c>
      <c r="B2590" t="inlineStr">
        <is>
          <t>Attendee</t>
        </is>
      </c>
      <c r="C2590" t="inlineStr">
        <is>
          <t>COO</t>
        </is>
      </c>
      <c r="D2590" t="inlineStr">
        <is>
          <t>TRAXION TECHNOLOGIES</t>
        </is>
      </c>
      <c r="E2590" t="inlineStr">
        <is>
          <t>United States</t>
        </is>
      </c>
      <c r="F2590" t="inlineStr">
        <is>
          <t>Yes</t>
        </is>
      </c>
      <c r="H2590" t="n">
        <v>6</v>
      </c>
      <c r="I2590" t="b">
        <v>0</v>
      </c>
      <c r="J2590" t="b">
        <v>1</v>
      </c>
      <c r="K2590" t="b">
        <v>0</v>
      </c>
      <c r="L2590" t="b">
        <v>0</v>
      </c>
      <c r="M2590" t="b">
        <v>0</v>
      </c>
      <c r="N2590">
        <f>IFERROR(INDEX('Company Hitlist'!$AA:$AA,MATCH(D2590,'Company Hitlist'!$A:$A,0)),)</f>
        <v/>
      </c>
      <c r="O2590">
        <f>IFERROR(INDEX('Company Hitlist'!$N:$N,MATCH(D2590,'Company Hitlist'!$A:$A,0)),)</f>
        <v/>
      </c>
      <c r="Q2590" t="inlineStr">
        <is>
          <t>todo</t>
        </is>
      </c>
    </row>
    <row r="2591">
      <c r="A2591" t="inlineStr">
        <is>
          <t>Nate Springer</t>
        </is>
      </c>
      <c r="B2591" t="inlineStr">
        <is>
          <t>Attendee</t>
        </is>
      </c>
      <c r="C2591" t="inlineStr">
        <is>
          <t>Vice President, Market Development</t>
        </is>
      </c>
      <c r="D2591" t="inlineStr">
        <is>
          <t>TRC Companies</t>
        </is>
      </c>
      <c r="E2591" t="inlineStr">
        <is>
          <t>United States</t>
        </is>
      </c>
      <c r="H2591" t="n">
        <v>6</v>
      </c>
      <c r="I2591" t="b">
        <v>0</v>
      </c>
      <c r="J2591" t="b">
        <v>1</v>
      </c>
      <c r="K2591" t="b">
        <v>0</v>
      </c>
      <c r="L2591" t="b">
        <v>0</v>
      </c>
      <c r="M2591" t="b">
        <v>0</v>
      </c>
      <c r="N2591">
        <f>IFERROR(INDEX('Company Hitlist'!$AA:$AA,MATCH(D2591,'Company Hitlist'!$A:$A,0)),)</f>
        <v/>
      </c>
      <c r="O2591">
        <f>IFERROR(INDEX('Company Hitlist'!$N:$N,MATCH(D2591,'Company Hitlist'!$A:$A,0)),)</f>
        <v/>
      </c>
      <c r="Q2591" t="inlineStr">
        <is>
          <t>todo</t>
        </is>
      </c>
    </row>
    <row r="2592">
      <c r="A2592" t="inlineStr">
        <is>
          <t>Raj Dodhiawala</t>
        </is>
      </c>
      <c r="B2592" t="inlineStr">
        <is>
          <t>Attendee</t>
        </is>
      </c>
      <c r="C2592" t="inlineStr">
        <is>
          <t>CEO</t>
        </is>
      </c>
      <c r="D2592" t="inlineStr">
        <is>
          <t>Tag-N-Trac</t>
        </is>
      </c>
      <c r="E2592" t="inlineStr">
        <is>
          <t>United States</t>
        </is>
      </c>
      <c r="F2592" t="inlineStr">
        <is>
          <t>Yes</t>
        </is>
      </c>
      <c r="H2592" t="n">
        <v>6</v>
      </c>
      <c r="I2592" t="b">
        <v>0</v>
      </c>
      <c r="J2592" t="b">
        <v>1</v>
      </c>
      <c r="K2592" t="b">
        <v>0</v>
      </c>
      <c r="L2592" t="b">
        <v>0</v>
      </c>
      <c r="M2592" t="b">
        <v>0</v>
      </c>
      <c r="N2592">
        <f>IFERROR(INDEX('Company Hitlist'!$AA:$AA,MATCH(D2592,'Company Hitlist'!$A:$A,0)),)</f>
        <v/>
      </c>
      <c r="O2592">
        <f>IFERROR(INDEX('Company Hitlist'!$N:$N,MATCH(D2592,'Company Hitlist'!$A:$A,0)),)</f>
        <v/>
      </c>
      <c r="Q2592" t="inlineStr">
        <is>
          <t>todo</t>
        </is>
      </c>
    </row>
    <row r="2593">
      <c r="A2593" t="inlineStr">
        <is>
          <t>Daniel Ely</t>
        </is>
      </c>
      <c r="B2593" t="inlineStr">
        <is>
          <t>Attendee</t>
        </is>
      </c>
      <c r="C2593" t="inlineStr">
        <is>
          <t>Chief Product Officer</t>
        </is>
      </c>
      <c r="D2593" t="inlineStr">
        <is>
          <t>Tai Software</t>
        </is>
      </c>
      <c r="E2593" t="inlineStr">
        <is>
          <t>United States</t>
        </is>
      </c>
      <c r="F2593" t="inlineStr">
        <is>
          <t>Yes</t>
        </is>
      </c>
      <c r="H2593" t="n">
        <v>6</v>
      </c>
      <c r="I2593" t="b">
        <v>0</v>
      </c>
      <c r="J2593" t="b">
        <v>1</v>
      </c>
      <c r="K2593" t="b">
        <v>0</v>
      </c>
      <c r="L2593" t="b">
        <v>0</v>
      </c>
      <c r="M2593" t="b">
        <v>0</v>
      </c>
      <c r="N2593">
        <f>IFERROR(INDEX('Company Hitlist'!$AA:$AA,MATCH(D2593,'Company Hitlist'!$A:$A,0)),)</f>
        <v/>
      </c>
      <c r="O2593">
        <f>IFERROR(INDEX('Company Hitlist'!$N:$N,MATCH(D2593,'Company Hitlist'!$A:$A,0)),)</f>
        <v/>
      </c>
      <c r="Q2593" t="inlineStr">
        <is>
          <t>todo</t>
        </is>
      </c>
    </row>
    <row r="2594">
      <c r="A2594" t="inlineStr">
        <is>
          <t>Walter (Mitch) Mitchell</t>
        </is>
      </c>
      <c r="B2594" t="inlineStr">
        <is>
          <t>Attendee</t>
        </is>
      </c>
      <c r="C2594" t="inlineStr">
        <is>
          <t>CEO</t>
        </is>
      </c>
      <c r="D2594" t="inlineStr">
        <is>
          <t>Tai Software</t>
        </is>
      </c>
      <c r="E2594" t="inlineStr">
        <is>
          <t>United States</t>
        </is>
      </c>
      <c r="F2594" t="inlineStr">
        <is>
          <t>Yes</t>
        </is>
      </c>
      <c r="H2594" t="n">
        <v>6</v>
      </c>
      <c r="I2594" t="b">
        <v>0</v>
      </c>
      <c r="J2594" t="b">
        <v>1</v>
      </c>
      <c r="K2594" t="b">
        <v>0</v>
      </c>
      <c r="L2594" t="b">
        <v>0</v>
      </c>
      <c r="M2594" t="b">
        <v>0</v>
      </c>
      <c r="N2594">
        <f>IFERROR(INDEX('Company Hitlist'!$AA:$AA,MATCH(D2594,'Company Hitlist'!$A:$A,0)),)</f>
        <v/>
      </c>
      <c r="O2594">
        <f>IFERROR(INDEX('Company Hitlist'!$N:$N,MATCH(D2594,'Company Hitlist'!$A:$A,0)),)</f>
        <v/>
      </c>
      <c r="Q2594" t="inlineStr">
        <is>
          <t>todo</t>
        </is>
      </c>
    </row>
    <row r="2595">
      <c r="A2595" t="inlineStr">
        <is>
          <t>Emmanuel Carrillo</t>
        </is>
      </c>
      <c r="B2595" t="inlineStr">
        <is>
          <t>Attendee</t>
        </is>
      </c>
      <c r="C2595" t="inlineStr">
        <is>
          <t>CEO</t>
        </is>
      </c>
      <c r="D2595" t="inlineStr">
        <is>
          <t>Talon Logistics Inc</t>
        </is>
      </c>
      <c r="E2595" t="inlineStr">
        <is>
          <t>United States</t>
        </is>
      </c>
      <c r="F2595" t="inlineStr">
        <is>
          <t>Yes</t>
        </is>
      </c>
      <c r="H2595" t="n">
        <v>6</v>
      </c>
      <c r="I2595" t="b">
        <v>0</v>
      </c>
      <c r="J2595" t="b">
        <v>1</v>
      </c>
      <c r="K2595" t="b">
        <v>0</v>
      </c>
      <c r="L2595" t="b">
        <v>0</v>
      </c>
      <c r="M2595" t="b">
        <v>0</v>
      </c>
      <c r="N2595">
        <f>IFERROR(INDEX('Company Hitlist'!$AA:$AA,MATCH(D2595,'Company Hitlist'!$A:$A,0)),)</f>
        <v/>
      </c>
      <c r="O2595">
        <f>IFERROR(INDEX('Company Hitlist'!$N:$N,MATCH(D2595,'Company Hitlist'!$A:$A,0)),)</f>
        <v/>
      </c>
      <c r="Q2595" t="inlineStr">
        <is>
          <t>todo</t>
        </is>
      </c>
    </row>
    <row r="2596">
      <c r="A2596" t="inlineStr">
        <is>
          <t>Scott Adams</t>
        </is>
      </c>
      <c r="B2596" t="inlineStr">
        <is>
          <t>Attendee</t>
        </is>
      </c>
      <c r="C2596" t="inlineStr">
        <is>
          <t>VP of Partnerships</t>
        </is>
      </c>
      <c r="D2596" t="inlineStr">
        <is>
          <t>Techdinamics</t>
        </is>
      </c>
      <c r="E2596" t="inlineStr">
        <is>
          <t>Canada</t>
        </is>
      </c>
      <c r="H2596" t="n">
        <v>6</v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  <c r="N2596">
        <f>IFERROR(INDEX('Company Hitlist'!$AA:$AA,MATCH(D2596,'Company Hitlist'!$A:$A,0)),)</f>
        <v/>
      </c>
      <c r="O2596">
        <f>IFERROR(INDEX('Company Hitlist'!$N:$N,MATCH(D2596,'Company Hitlist'!$A:$A,0)),)</f>
        <v/>
      </c>
      <c r="Q2596" t="inlineStr">
        <is>
          <t>todo</t>
        </is>
      </c>
    </row>
    <row r="2597">
      <c r="A2597" t="inlineStr">
        <is>
          <t>Edward Aguiar</t>
        </is>
      </c>
      <c r="B2597" t="inlineStr">
        <is>
          <t>Attendee</t>
        </is>
      </c>
      <c r="C2597" t="inlineStr">
        <is>
          <t>CEO/CTO</t>
        </is>
      </c>
      <c r="D2597" t="inlineStr">
        <is>
          <t>Techdinamics Integrations</t>
        </is>
      </c>
      <c r="F2597" t="inlineStr">
        <is>
          <t>Yes</t>
        </is>
      </c>
      <c r="H2597" t="n">
        <v>6</v>
      </c>
      <c r="I2597" t="b">
        <v>0</v>
      </c>
      <c r="J2597" t="b">
        <v>1</v>
      </c>
      <c r="K2597" t="b">
        <v>0</v>
      </c>
      <c r="L2597" t="b">
        <v>0</v>
      </c>
      <c r="M2597" t="b">
        <v>0</v>
      </c>
      <c r="N2597">
        <f>IFERROR(INDEX('Company Hitlist'!$AA:$AA,MATCH(D2597,'Company Hitlist'!$A:$A,0)),)</f>
        <v/>
      </c>
      <c r="O2597">
        <f>IFERROR(INDEX('Company Hitlist'!$N:$N,MATCH(D2597,'Company Hitlist'!$A:$A,0)),)</f>
        <v/>
      </c>
      <c r="Q2597" t="inlineStr">
        <is>
          <t>todo</t>
        </is>
      </c>
    </row>
    <row r="2598">
      <c r="A2598" t="inlineStr">
        <is>
          <t>Lauren Plate</t>
        </is>
      </c>
      <c r="B2598" t="inlineStr">
        <is>
          <t>Attendee</t>
        </is>
      </c>
      <c r="C2598" t="inlineStr">
        <is>
          <t>Executive Vice President</t>
        </is>
      </c>
      <c r="D2598" t="inlineStr">
        <is>
          <t>Technical Traffic Consultants</t>
        </is>
      </c>
      <c r="E2598" t="inlineStr">
        <is>
          <t>United States</t>
        </is>
      </c>
      <c r="H2598" t="n">
        <v>6</v>
      </c>
      <c r="I2598" t="b">
        <v>0</v>
      </c>
      <c r="J2598" t="b">
        <v>1</v>
      </c>
      <c r="K2598" t="b">
        <v>0</v>
      </c>
      <c r="L2598" t="b">
        <v>0</v>
      </c>
      <c r="M2598" t="b">
        <v>0</v>
      </c>
      <c r="N2598">
        <f>IFERROR(INDEX('Company Hitlist'!$AA:$AA,MATCH(D2598,'Company Hitlist'!$A:$A,0)),)</f>
        <v/>
      </c>
      <c r="O2598">
        <f>IFERROR(INDEX('Company Hitlist'!$N:$N,MATCH(D2598,'Company Hitlist'!$A:$A,0)),)</f>
        <v/>
      </c>
      <c r="Q2598" t="inlineStr">
        <is>
          <t>todo</t>
        </is>
      </c>
    </row>
    <row r="2599">
      <c r="A2599" t="inlineStr">
        <is>
          <t>Casey Fox</t>
        </is>
      </c>
      <c r="B2599" t="inlineStr">
        <is>
          <t>Attendee</t>
        </is>
      </c>
      <c r="C2599" t="inlineStr">
        <is>
          <t>CTO</t>
        </is>
      </c>
      <c r="D2599" t="inlineStr">
        <is>
          <t>Tekletics</t>
        </is>
      </c>
      <c r="E2599" t="inlineStr">
        <is>
          <t>United States</t>
        </is>
      </c>
      <c r="F2599" t="inlineStr">
        <is>
          <t>Yes</t>
        </is>
      </c>
      <c r="H2599" t="n">
        <v>6</v>
      </c>
      <c r="I2599" t="b">
        <v>0</v>
      </c>
      <c r="J2599" t="b">
        <v>1</v>
      </c>
      <c r="K2599" t="b">
        <v>0</v>
      </c>
      <c r="L2599" t="b">
        <v>0</v>
      </c>
      <c r="M2599" t="b">
        <v>0</v>
      </c>
      <c r="N2599">
        <f>IFERROR(INDEX('Company Hitlist'!$AA:$AA,MATCH(D2599,'Company Hitlist'!$A:$A,0)),)</f>
        <v/>
      </c>
      <c r="O2599">
        <f>IFERROR(INDEX('Company Hitlist'!$N:$N,MATCH(D2599,'Company Hitlist'!$A:$A,0)),)</f>
        <v/>
      </c>
      <c r="Q2599" t="inlineStr">
        <is>
          <t>todo</t>
        </is>
      </c>
    </row>
    <row r="2600">
      <c r="A2600" t="inlineStr">
        <is>
          <t>Erik Malin</t>
        </is>
      </c>
      <c r="B2600" t="inlineStr">
        <is>
          <t>Attendee</t>
        </is>
      </c>
      <c r="C2600" t="inlineStr">
        <is>
          <t>CEO &amp; Founder</t>
        </is>
      </c>
      <c r="D2600" t="inlineStr">
        <is>
          <t>Tetro</t>
        </is>
      </c>
      <c r="E2600" t="inlineStr">
        <is>
          <t>United States</t>
        </is>
      </c>
      <c r="F2600" t="inlineStr">
        <is>
          <t>Yes</t>
        </is>
      </c>
      <c r="H2600" t="n">
        <v>6</v>
      </c>
      <c r="I2600" t="b">
        <v>0</v>
      </c>
      <c r="J2600" t="b">
        <v>1</v>
      </c>
      <c r="K2600" t="b">
        <v>0</v>
      </c>
      <c r="L2600" t="b">
        <v>0</v>
      </c>
      <c r="M2600" t="b">
        <v>0</v>
      </c>
      <c r="N2600">
        <f>IFERROR(INDEX('Company Hitlist'!$AA:$AA,MATCH(D2600,'Company Hitlist'!$A:$A,0)),)</f>
        <v/>
      </c>
      <c r="O2600">
        <f>IFERROR(INDEX('Company Hitlist'!$N:$N,MATCH(D2600,'Company Hitlist'!$A:$A,0)),)</f>
        <v/>
      </c>
      <c r="Q2600" t="inlineStr">
        <is>
          <t>todo</t>
        </is>
      </c>
    </row>
    <row r="2601">
      <c r="A2601" t="inlineStr">
        <is>
          <t>Gautam Valecha</t>
        </is>
      </c>
      <c r="B2601" t="inlineStr">
        <is>
          <t>Attendee</t>
        </is>
      </c>
      <c r="C2601" t="inlineStr">
        <is>
          <t>Co-Founder + CTO</t>
        </is>
      </c>
      <c r="D2601" t="inlineStr">
        <is>
          <t>Tetro</t>
        </is>
      </c>
      <c r="E2601" t="inlineStr">
        <is>
          <t>United States</t>
        </is>
      </c>
      <c r="F2601" t="inlineStr">
        <is>
          <t>Yes</t>
        </is>
      </c>
      <c r="H2601" t="n">
        <v>6</v>
      </c>
      <c r="I2601" t="b">
        <v>0</v>
      </c>
      <c r="J2601" t="b">
        <v>1</v>
      </c>
      <c r="K2601" t="b">
        <v>0</v>
      </c>
      <c r="L2601" t="b">
        <v>0</v>
      </c>
      <c r="M2601" t="b">
        <v>0</v>
      </c>
      <c r="N2601">
        <f>IFERROR(INDEX('Company Hitlist'!$AA:$AA,MATCH(D2601,'Company Hitlist'!$A:$A,0)),)</f>
        <v/>
      </c>
      <c r="O2601">
        <f>IFERROR(INDEX('Company Hitlist'!$N:$N,MATCH(D2601,'Company Hitlist'!$A:$A,0)),)</f>
        <v/>
      </c>
      <c r="Q2601" t="inlineStr">
        <is>
          <t>todo</t>
        </is>
      </c>
    </row>
    <row r="2602">
      <c r="A2602" t="inlineStr">
        <is>
          <t>Wangda Li</t>
        </is>
      </c>
      <c r="B2602" t="inlineStr">
        <is>
          <t>Attendee</t>
        </is>
      </c>
      <c r="C2602" t="inlineStr">
        <is>
          <t>CTO &amp; Co-Founder</t>
        </is>
      </c>
      <c r="D2602" t="inlineStr">
        <is>
          <t>TexPower</t>
        </is>
      </c>
      <c r="F2602" t="inlineStr">
        <is>
          <t>Yes</t>
        </is>
      </c>
      <c r="H2602" t="n">
        <v>6</v>
      </c>
      <c r="I2602" t="b">
        <v>0</v>
      </c>
      <c r="J2602" t="b">
        <v>1</v>
      </c>
      <c r="K2602" t="b">
        <v>0</v>
      </c>
      <c r="L2602" t="b">
        <v>0</v>
      </c>
      <c r="M2602" t="b">
        <v>0</v>
      </c>
      <c r="N2602">
        <f>IFERROR(INDEX('Company Hitlist'!$AA:$AA,MATCH(D2602,'Company Hitlist'!$A:$A,0)),)</f>
        <v/>
      </c>
      <c r="O2602">
        <f>IFERROR(INDEX('Company Hitlist'!$N:$N,MATCH(D2602,'Company Hitlist'!$A:$A,0)),)</f>
        <v/>
      </c>
      <c r="Q2602" t="inlineStr">
        <is>
          <t>todo</t>
        </is>
      </c>
    </row>
    <row r="2603">
      <c r="A2603" t="inlineStr">
        <is>
          <t>Justin Irvine</t>
        </is>
      </c>
      <c r="B2603" t="inlineStr">
        <is>
          <t>Attendee</t>
        </is>
      </c>
      <c r="C2603" t="inlineStr">
        <is>
          <t>CEO</t>
        </is>
      </c>
      <c r="D2603" t="inlineStr">
        <is>
          <t>The Aggregate Co</t>
        </is>
      </c>
      <c r="E2603" t="inlineStr">
        <is>
          <t>New Zealand</t>
        </is>
      </c>
      <c r="H2603" t="n">
        <v>6</v>
      </c>
      <c r="I2603" t="b">
        <v>0</v>
      </c>
      <c r="J2603" t="b">
        <v>1</v>
      </c>
      <c r="K2603" t="b">
        <v>0</v>
      </c>
      <c r="L2603" t="b">
        <v>0</v>
      </c>
      <c r="M2603" t="b">
        <v>0</v>
      </c>
      <c r="N2603">
        <f>IFERROR(INDEX('Company Hitlist'!$AA:$AA,MATCH(D2603,'Company Hitlist'!$A:$A,0)),)</f>
        <v/>
      </c>
      <c r="O2603">
        <f>IFERROR(INDEX('Company Hitlist'!$N:$N,MATCH(D2603,'Company Hitlist'!$A:$A,0)),)</f>
        <v/>
      </c>
      <c r="Q2603" t="inlineStr">
        <is>
          <t>todo</t>
        </is>
      </c>
    </row>
    <row r="2604">
      <c r="A2604" t="inlineStr">
        <is>
          <t>Dr. Menna Yasser</t>
        </is>
      </c>
      <c r="B2604" t="inlineStr">
        <is>
          <t>Attendee</t>
        </is>
      </c>
      <c r="C2604" t="inlineStr">
        <is>
          <t>Head of International Relations</t>
        </is>
      </c>
      <c r="D2604" t="inlineStr">
        <is>
          <t>The Arab Contractors &amp; ARABCO</t>
        </is>
      </c>
      <c r="E2604" t="inlineStr">
        <is>
          <t>Egypt</t>
        </is>
      </c>
      <c r="H2604" t="n">
        <v>6</v>
      </c>
      <c r="I2604" t="b">
        <v>0</v>
      </c>
      <c r="J2604" t="b">
        <v>1</v>
      </c>
      <c r="K2604" t="b">
        <v>0</v>
      </c>
      <c r="L2604" t="b">
        <v>0</v>
      </c>
      <c r="M2604" t="b">
        <v>0</v>
      </c>
      <c r="N2604">
        <f>IFERROR(INDEX('Company Hitlist'!$AA:$AA,MATCH(D2604,'Company Hitlist'!$A:$A,0)),)</f>
        <v/>
      </c>
      <c r="O2604">
        <f>IFERROR(INDEX('Company Hitlist'!$N:$N,MATCH(D2604,'Company Hitlist'!$A:$A,0)),)</f>
        <v/>
      </c>
      <c r="Q2604" t="inlineStr">
        <is>
          <t>todo</t>
        </is>
      </c>
    </row>
    <row r="2605">
      <c r="A2605" t="inlineStr">
        <is>
          <t>Charles St. Jeor</t>
        </is>
      </c>
      <c r="B2605" t="inlineStr">
        <is>
          <t>Attendee</t>
        </is>
      </c>
      <c r="C2605" t="inlineStr">
        <is>
          <t>President</t>
        </is>
      </c>
      <c r="D2605" t="inlineStr">
        <is>
          <t>The Block Logistics</t>
        </is>
      </c>
      <c r="F2605" t="inlineStr">
        <is>
          <t>Yes</t>
        </is>
      </c>
      <c r="H2605" t="n">
        <v>6</v>
      </c>
      <c r="I2605" t="b">
        <v>0</v>
      </c>
      <c r="J2605" t="b">
        <v>1</v>
      </c>
      <c r="K2605" t="b">
        <v>0</v>
      </c>
      <c r="L2605" t="b">
        <v>0</v>
      </c>
      <c r="M2605" t="b">
        <v>0</v>
      </c>
      <c r="N2605">
        <f>IFERROR(INDEX('Company Hitlist'!$AA:$AA,MATCH(D2605,'Company Hitlist'!$A:$A,0)),)</f>
        <v/>
      </c>
      <c r="O2605">
        <f>IFERROR(INDEX('Company Hitlist'!$N:$N,MATCH(D2605,'Company Hitlist'!$A:$A,0)),)</f>
        <v/>
      </c>
      <c r="Q2605" t="inlineStr">
        <is>
          <t>todo</t>
        </is>
      </c>
    </row>
    <row r="2606">
      <c r="A2606" t="inlineStr">
        <is>
          <t>Efrain Maldonado</t>
        </is>
      </c>
      <c r="B2606" t="inlineStr">
        <is>
          <t>Attendee</t>
        </is>
      </c>
      <c r="C2606" t="inlineStr">
        <is>
          <t>CFO</t>
        </is>
      </c>
      <c r="D2606" t="inlineStr">
        <is>
          <t>The Block Logistics</t>
        </is>
      </c>
      <c r="F2606" t="inlineStr">
        <is>
          <t>Yes</t>
        </is>
      </c>
      <c r="H2606" t="n">
        <v>6</v>
      </c>
      <c r="I2606" t="b">
        <v>0</v>
      </c>
      <c r="J2606" t="b">
        <v>1</v>
      </c>
      <c r="K2606" t="b">
        <v>0</v>
      </c>
      <c r="L2606" t="b">
        <v>0</v>
      </c>
      <c r="M2606" t="b">
        <v>0</v>
      </c>
      <c r="N2606">
        <f>IFERROR(INDEX('Company Hitlist'!$AA:$AA,MATCH(D2606,'Company Hitlist'!$A:$A,0)),)</f>
        <v/>
      </c>
      <c r="O2606">
        <f>IFERROR(INDEX('Company Hitlist'!$N:$N,MATCH(D2606,'Company Hitlist'!$A:$A,0)),)</f>
        <v/>
      </c>
      <c r="Q2606" t="inlineStr">
        <is>
          <t>todo</t>
        </is>
      </c>
    </row>
    <row r="2607">
      <c r="A2607" t="inlineStr">
        <is>
          <t>Joseph Klikas</t>
        </is>
      </c>
      <c r="B2607" t="inlineStr">
        <is>
          <t>Attendee</t>
        </is>
      </c>
      <c r="C2607" t="inlineStr">
        <is>
          <t>CXO - Chief Experience Officer</t>
        </is>
      </c>
      <c r="D2607" t="inlineStr">
        <is>
          <t>The Custom Companies</t>
        </is>
      </c>
      <c r="E2607" t="inlineStr">
        <is>
          <t>United States</t>
        </is>
      </c>
      <c r="F2607" t="inlineStr">
        <is>
          <t>Yes</t>
        </is>
      </c>
      <c r="H2607" t="n">
        <v>6</v>
      </c>
      <c r="I2607" t="b">
        <v>0</v>
      </c>
      <c r="J2607" t="b">
        <v>1</v>
      </c>
      <c r="K2607" t="b">
        <v>0</v>
      </c>
      <c r="L2607" t="b">
        <v>0</v>
      </c>
      <c r="M2607" t="b">
        <v>0</v>
      </c>
      <c r="N2607">
        <f>IFERROR(INDEX('Company Hitlist'!$AA:$AA,MATCH(D2607,'Company Hitlist'!$A:$A,0)),)</f>
        <v/>
      </c>
      <c r="O2607">
        <f>IFERROR(INDEX('Company Hitlist'!$N:$N,MATCH(D2607,'Company Hitlist'!$A:$A,0)),)</f>
        <v/>
      </c>
      <c r="Q2607" t="inlineStr">
        <is>
          <t>todo</t>
        </is>
      </c>
    </row>
    <row r="2608">
      <c r="A2608" t="inlineStr">
        <is>
          <t>Natalia Ortiz</t>
        </is>
      </c>
      <c r="B2608" t="inlineStr">
        <is>
          <t>Attendee</t>
        </is>
      </c>
      <c r="C2608" t="inlineStr">
        <is>
          <t>General Manager</t>
        </is>
      </c>
      <c r="D2608" t="inlineStr">
        <is>
          <t>The DOT Corp</t>
        </is>
      </c>
      <c r="H2608" t="n">
        <v>6</v>
      </c>
      <c r="I2608" t="b">
        <v>0</v>
      </c>
      <c r="J2608" t="b">
        <v>1</v>
      </c>
      <c r="K2608" t="b">
        <v>0</v>
      </c>
      <c r="L2608" t="b">
        <v>0</v>
      </c>
      <c r="M2608" t="b">
        <v>0</v>
      </c>
      <c r="N2608">
        <f>IFERROR(INDEX('Company Hitlist'!$AA:$AA,MATCH(D2608,'Company Hitlist'!$A:$A,0)),)</f>
        <v/>
      </c>
      <c r="O2608">
        <f>IFERROR(INDEX('Company Hitlist'!$N:$N,MATCH(D2608,'Company Hitlist'!$A:$A,0)),)</f>
        <v/>
      </c>
      <c r="Q2608" t="inlineStr">
        <is>
          <t>todo</t>
        </is>
      </c>
    </row>
    <row r="2609">
      <c r="A2609" t="inlineStr">
        <is>
          <t>Gary Press</t>
        </is>
      </c>
      <c r="B2609" t="inlineStr">
        <is>
          <t>Attendee</t>
        </is>
      </c>
      <c r="C2609" t="inlineStr">
        <is>
          <t>CTO</t>
        </is>
      </c>
      <c r="D2609" t="inlineStr">
        <is>
          <t>The Evans Network</t>
        </is>
      </c>
      <c r="F2609" t="inlineStr">
        <is>
          <t>Yes</t>
        </is>
      </c>
      <c r="H2609" t="n">
        <v>6</v>
      </c>
      <c r="I2609" t="b">
        <v>0</v>
      </c>
      <c r="J2609" t="b">
        <v>1</v>
      </c>
      <c r="K2609" t="b">
        <v>0</v>
      </c>
      <c r="L2609" t="b">
        <v>0</v>
      </c>
      <c r="M2609" t="b">
        <v>0</v>
      </c>
      <c r="N2609">
        <f>IFERROR(INDEX('Company Hitlist'!$AA:$AA,MATCH(D2609,'Company Hitlist'!$A:$A,0)),)</f>
        <v/>
      </c>
      <c r="O2609">
        <f>IFERROR(INDEX('Company Hitlist'!$N:$N,MATCH(D2609,'Company Hitlist'!$A:$A,0)),)</f>
        <v/>
      </c>
      <c r="Q2609" t="inlineStr">
        <is>
          <t>todo</t>
        </is>
      </c>
    </row>
    <row r="2610">
      <c r="A2610" t="inlineStr">
        <is>
          <t>Karla Viglasky</t>
        </is>
      </c>
      <c r="B2610" t="inlineStr">
        <is>
          <t>Attendee</t>
        </is>
      </c>
      <c r="C2610" t="inlineStr">
        <is>
          <t>CIO</t>
        </is>
      </c>
      <c r="D2610" t="inlineStr">
        <is>
          <t>The Evans Network</t>
        </is>
      </c>
      <c r="F2610" t="inlineStr">
        <is>
          <t>Yes</t>
        </is>
      </c>
      <c r="H2610" t="n">
        <v>6</v>
      </c>
      <c r="I2610" t="b">
        <v>0</v>
      </c>
      <c r="J2610" t="b">
        <v>1</v>
      </c>
      <c r="K2610" t="b">
        <v>0</v>
      </c>
      <c r="L2610" t="b">
        <v>0</v>
      </c>
      <c r="M2610" t="b">
        <v>0</v>
      </c>
      <c r="N2610">
        <f>IFERROR(INDEX('Company Hitlist'!$AA:$AA,MATCH(D2610,'Company Hitlist'!$A:$A,0)),)</f>
        <v/>
      </c>
      <c r="O2610">
        <f>IFERROR(INDEX('Company Hitlist'!$N:$N,MATCH(D2610,'Company Hitlist'!$A:$A,0)),)</f>
        <v/>
      </c>
      <c r="Q2610" t="inlineStr">
        <is>
          <t>todo</t>
        </is>
      </c>
    </row>
    <row r="2611">
      <c r="A2611" t="inlineStr">
        <is>
          <t>Jay Webb</t>
        </is>
      </c>
      <c r="B2611" t="inlineStr">
        <is>
          <t>Attendee</t>
        </is>
      </c>
      <c r="C2611" t="inlineStr">
        <is>
          <t>CEO/Founder</t>
        </is>
      </c>
      <c r="D2611" t="inlineStr">
        <is>
          <t>The GOATS of Growth</t>
        </is>
      </c>
      <c r="E2611" t="inlineStr">
        <is>
          <t>United States</t>
        </is>
      </c>
      <c r="H2611" t="n">
        <v>6</v>
      </c>
      <c r="I2611" t="b">
        <v>0</v>
      </c>
      <c r="J2611" t="b">
        <v>1</v>
      </c>
      <c r="K2611" t="b">
        <v>0</v>
      </c>
      <c r="L2611" t="b">
        <v>0</v>
      </c>
      <c r="M2611" t="b">
        <v>0</v>
      </c>
      <c r="N2611">
        <f>IFERROR(INDEX('Company Hitlist'!$AA:$AA,MATCH(D2611,'Company Hitlist'!$A:$A,0)),)</f>
        <v/>
      </c>
      <c r="O2611">
        <f>IFERROR(INDEX('Company Hitlist'!$N:$N,MATCH(D2611,'Company Hitlist'!$A:$A,0)),)</f>
        <v/>
      </c>
      <c r="Q2611" t="inlineStr">
        <is>
          <t>todo</t>
        </is>
      </c>
    </row>
    <row r="2612">
      <c r="A2612" t="inlineStr">
        <is>
          <t>Chris Smith</t>
        </is>
      </c>
      <c r="B2612" t="inlineStr">
        <is>
          <t>Attendee</t>
        </is>
      </c>
      <c r="C2612" t="inlineStr">
        <is>
          <t>Vice President, Information Technology</t>
        </is>
      </c>
      <c r="D2612" t="inlineStr">
        <is>
          <t>The Home Depot</t>
        </is>
      </c>
      <c r="F2612" t="inlineStr">
        <is>
          <t>Yes</t>
        </is>
      </c>
      <c r="H2612" t="n">
        <v>6</v>
      </c>
      <c r="I2612" t="b">
        <v>0</v>
      </c>
      <c r="J2612" t="b">
        <v>1</v>
      </c>
      <c r="K2612" t="b">
        <v>0</v>
      </c>
      <c r="L2612" t="b">
        <v>0</v>
      </c>
      <c r="M2612" t="b">
        <v>0</v>
      </c>
      <c r="N2612">
        <f>IFERROR(INDEX('Company Hitlist'!$AA:$AA,MATCH(D2612,'Company Hitlist'!$A:$A,0)),)</f>
        <v/>
      </c>
      <c r="O2612">
        <f>IFERROR(INDEX('Company Hitlist'!$N:$N,MATCH(D2612,'Company Hitlist'!$A:$A,0)),)</f>
        <v/>
      </c>
      <c r="Q2612" t="inlineStr">
        <is>
          <t>todo</t>
        </is>
      </c>
    </row>
    <row r="2613">
      <c r="A2613" t="inlineStr">
        <is>
          <t>Dan Jarvis</t>
        </is>
      </c>
      <c r="B2613" t="inlineStr">
        <is>
          <t>Attendee</t>
        </is>
      </c>
      <c r="C2613" t="inlineStr">
        <is>
          <t>Vice President, Engineering &amp; Automation</t>
        </is>
      </c>
      <c r="D2613" t="inlineStr">
        <is>
          <t>The Home Depot</t>
        </is>
      </c>
      <c r="F2613" t="inlineStr">
        <is>
          <t>Yes</t>
        </is>
      </c>
      <c r="H2613" t="n">
        <v>6</v>
      </c>
      <c r="I2613" t="b">
        <v>0</v>
      </c>
      <c r="J2613" t="b">
        <v>1</v>
      </c>
      <c r="K2613" t="b">
        <v>0</v>
      </c>
      <c r="L2613" t="b">
        <v>0</v>
      </c>
      <c r="M2613" t="b">
        <v>0</v>
      </c>
      <c r="N2613">
        <f>IFERROR(INDEX('Company Hitlist'!$AA:$AA,MATCH(D2613,'Company Hitlist'!$A:$A,0)),)</f>
        <v/>
      </c>
      <c r="O2613">
        <f>IFERROR(INDEX('Company Hitlist'!$N:$N,MATCH(D2613,'Company Hitlist'!$A:$A,0)),)</f>
        <v/>
      </c>
      <c r="Q2613" t="inlineStr">
        <is>
          <t>todo</t>
        </is>
      </c>
    </row>
    <row r="2614">
      <c r="A2614" t="inlineStr">
        <is>
          <t>Will Biejwas</t>
        </is>
      </c>
      <c r="B2614" t="inlineStr">
        <is>
          <t>Attendee</t>
        </is>
      </c>
      <c r="C2614" t="inlineStr">
        <is>
          <t>VP of Technology</t>
        </is>
      </c>
      <c r="D2614" t="inlineStr">
        <is>
          <t>The Icebox Cool Stuff</t>
        </is>
      </c>
      <c r="F2614" t="inlineStr">
        <is>
          <t>Yes</t>
        </is>
      </c>
      <c r="H2614" t="n">
        <v>6</v>
      </c>
      <c r="I2614" t="b">
        <v>0</v>
      </c>
      <c r="J2614" t="b">
        <v>1</v>
      </c>
      <c r="K2614" t="b">
        <v>0</v>
      </c>
      <c r="L2614" t="b">
        <v>0</v>
      </c>
      <c r="M2614" t="b">
        <v>0</v>
      </c>
      <c r="N2614">
        <f>IFERROR(INDEX('Company Hitlist'!$AA:$AA,MATCH(D2614,'Company Hitlist'!$A:$A,0)),)</f>
        <v/>
      </c>
      <c r="O2614">
        <f>IFERROR(INDEX('Company Hitlist'!$N:$N,MATCH(D2614,'Company Hitlist'!$A:$A,0)),)</f>
        <v/>
      </c>
      <c r="Q2614" t="inlineStr">
        <is>
          <t>todo</t>
        </is>
      </c>
    </row>
    <row r="2615">
      <c r="A2615" t="inlineStr">
        <is>
          <t>Renee Cascarina</t>
        </is>
      </c>
      <c r="B2615" t="inlineStr">
        <is>
          <t>Attendee</t>
        </is>
      </c>
      <c r="C2615" t="inlineStr">
        <is>
          <t>CEO</t>
        </is>
      </c>
      <c r="D2615" t="inlineStr">
        <is>
          <t>The Kindest Kid Co</t>
        </is>
      </c>
      <c r="F2615" t="inlineStr">
        <is>
          <t>Yes</t>
        </is>
      </c>
      <c r="H2615" t="n">
        <v>6</v>
      </c>
      <c r="I2615" t="b">
        <v>0</v>
      </c>
      <c r="J2615" t="b">
        <v>1</v>
      </c>
      <c r="K2615" t="b">
        <v>0</v>
      </c>
      <c r="L2615" t="b">
        <v>0</v>
      </c>
      <c r="M2615" t="b">
        <v>0</v>
      </c>
      <c r="N2615">
        <f>IFERROR(INDEX('Company Hitlist'!$AA:$AA,MATCH(D2615,'Company Hitlist'!$A:$A,0)),)</f>
        <v/>
      </c>
      <c r="O2615">
        <f>IFERROR(INDEX('Company Hitlist'!$N:$N,MATCH(D2615,'Company Hitlist'!$A:$A,0)),)</f>
        <v/>
      </c>
      <c r="Q2615" t="inlineStr">
        <is>
          <t>todo</t>
        </is>
      </c>
    </row>
    <row r="2616">
      <c r="A2616" t="inlineStr">
        <is>
          <t>Patrick Noone</t>
        </is>
      </c>
      <c r="B2616" t="inlineStr">
        <is>
          <t>Attendee</t>
        </is>
      </c>
      <c r="C2616" t="inlineStr">
        <is>
          <t>SVP</t>
        </is>
      </c>
      <c r="D2616" t="inlineStr">
        <is>
          <t>The Pallet Alliance Inc.</t>
        </is>
      </c>
      <c r="E2616" t="inlineStr">
        <is>
          <t>United States</t>
        </is>
      </c>
      <c r="F2616" t="inlineStr">
        <is>
          <t>Yes</t>
        </is>
      </c>
      <c r="H2616" t="n">
        <v>6</v>
      </c>
      <c r="I2616" t="b">
        <v>0</v>
      </c>
      <c r="J2616" t="b">
        <v>1</v>
      </c>
      <c r="K2616" t="b">
        <v>0</v>
      </c>
      <c r="L2616" t="b">
        <v>0</v>
      </c>
      <c r="M2616" t="b">
        <v>0</v>
      </c>
      <c r="N2616">
        <f>IFERROR(INDEX('Company Hitlist'!$AA:$AA,MATCH(D2616,'Company Hitlist'!$A:$A,0)),)</f>
        <v/>
      </c>
      <c r="O2616">
        <f>IFERROR(INDEX('Company Hitlist'!$N:$N,MATCH(D2616,'Company Hitlist'!$A:$A,0)),)</f>
        <v/>
      </c>
      <c r="Q2616" t="inlineStr">
        <is>
          <t>todo</t>
        </is>
      </c>
    </row>
    <row r="2617">
      <c r="A2617" t="inlineStr">
        <is>
          <t>Anthony Porcellie</t>
        </is>
      </c>
      <c r="B2617" t="inlineStr">
        <is>
          <t>Attendee</t>
        </is>
      </c>
      <c r="C2617" t="inlineStr">
        <is>
          <t>Vice President</t>
        </is>
      </c>
      <c r="D2617" t="inlineStr">
        <is>
          <t>The Stephens Group, LLC</t>
        </is>
      </c>
      <c r="E2617" t="inlineStr">
        <is>
          <t>United States</t>
        </is>
      </c>
      <c r="H2617" t="n">
        <v>6</v>
      </c>
      <c r="I2617" t="b">
        <v>0</v>
      </c>
      <c r="J2617" t="b">
        <v>1</v>
      </c>
      <c r="K2617" t="b">
        <v>0</v>
      </c>
      <c r="L2617" t="b">
        <v>0</v>
      </c>
      <c r="M2617" t="b">
        <v>0</v>
      </c>
      <c r="N2617">
        <f>IFERROR(INDEX('Company Hitlist'!$AA:$AA,MATCH(D2617,'Company Hitlist'!$A:$A,0)),)</f>
        <v/>
      </c>
      <c r="O2617">
        <f>IFERROR(INDEX('Company Hitlist'!$N:$N,MATCH(D2617,'Company Hitlist'!$A:$A,0)),)</f>
        <v/>
      </c>
      <c r="Q2617" t="inlineStr">
        <is>
          <t>todo</t>
        </is>
      </c>
    </row>
    <row r="2618">
      <c r="A2618" t="inlineStr">
        <is>
          <t>Vishal Kewalramani</t>
        </is>
      </c>
      <c r="B2618" t="inlineStr">
        <is>
          <t>Attendee</t>
        </is>
      </c>
      <c r="C2618" t="inlineStr">
        <is>
          <t>Chairman &amp; CEO</t>
        </is>
      </c>
      <c r="D2618" t="inlineStr">
        <is>
          <t>The Valkin Group</t>
        </is>
      </c>
      <c r="H2618" t="n">
        <v>6</v>
      </c>
      <c r="I2618" t="b">
        <v>0</v>
      </c>
      <c r="J2618" t="b">
        <v>1</v>
      </c>
      <c r="K2618" t="b">
        <v>0</v>
      </c>
      <c r="L2618" t="b">
        <v>0</v>
      </c>
      <c r="M2618" t="b">
        <v>0</v>
      </c>
      <c r="N2618">
        <f>IFERROR(INDEX('Company Hitlist'!$AA:$AA,MATCH(D2618,'Company Hitlist'!$A:$A,0)),)</f>
        <v/>
      </c>
      <c r="O2618">
        <f>IFERROR(INDEX('Company Hitlist'!$N:$N,MATCH(D2618,'Company Hitlist'!$A:$A,0)),)</f>
        <v/>
      </c>
      <c r="Q2618" t="inlineStr">
        <is>
          <t>todo</t>
        </is>
      </c>
    </row>
    <row r="2619">
      <c r="A2619" t="inlineStr">
        <is>
          <t>Matthew Hertz</t>
        </is>
      </c>
      <c r="B2619" t="inlineStr">
        <is>
          <t>Attendee</t>
        </is>
      </c>
      <c r="C2619" t="inlineStr">
        <is>
          <t>CEO</t>
        </is>
      </c>
      <c r="D2619" t="inlineStr">
        <is>
          <t>Third Person</t>
        </is>
      </c>
      <c r="E2619" t="inlineStr">
        <is>
          <t>Canada</t>
        </is>
      </c>
      <c r="F2619" t="inlineStr">
        <is>
          <t>Yes</t>
        </is>
      </c>
      <c r="H2619" t="n">
        <v>6</v>
      </c>
      <c r="I2619" t="b">
        <v>0</v>
      </c>
      <c r="J2619" t="b">
        <v>1</v>
      </c>
      <c r="K2619" t="b">
        <v>0</v>
      </c>
      <c r="L2619" t="b">
        <v>0</v>
      </c>
      <c r="M2619" t="b">
        <v>0</v>
      </c>
      <c r="N2619">
        <f>IFERROR(INDEX('Company Hitlist'!$AA:$AA,MATCH(D2619,'Company Hitlist'!$A:$A,0)),)</f>
        <v/>
      </c>
      <c r="O2619">
        <f>IFERROR(INDEX('Company Hitlist'!$N:$N,MATCH(D2619,'Company Hitlist'!$A:$A,0)),)</f>
        <v/>
      </c>
      <c r="Q2619" t="inlineStr">
        <is>
          <t>todo</t>
        </is>
      </c>
    </row>
    <row r="2620">
      <c r="A2620" t="inlineStr">
        <is>
          <t>Hollie Wright</t>
        </is>
      </c>
      <c r="B2620" t="inlineStr">
        <is>
          <t>Attendee</t>
        </is>
      </c>
      <c r="C2620" t="inlineStr">
        <is>
          <t>General Manager - North America</t>
        </is>
      </c>
      <c r="D2620" t="inlineStr">
        <is>
          <t>Thomax</t>
        </is>
      </c>
      <c r="E2620" t="inlineStr">
        <is>
          <t>United States</t>
        </is>
      </c>
      <c r="H2620" t="n">
        <v>6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  <c r="N2620">
        <f>IFERROR(INDEX('Company Hitlist'!$AA:$AA,MATCH(D2620,'Company Hitlist'!$A:$A,0)),)</f>
        <v/>
      </c>
      <c r="O2620">
        <f>IFERROR(INDEX('Company Hitlist'!$N:$N,MATCH(D2620,'Company Hitlist'!$A:$A,0)),)</f>
        <v/>
      </c>
      <c r="Q2620" t="inlineStr">
        <is>
          <t>todo</t>
        </is>
      </c>
    </row>
    <row r="2621">
      <c r="A2621" t="inlineStr">
        <is>
          <t>Kyle Wilson</t>
        </is>
      </c>
      <c r="B2621" t="inlineStr">
        <is>
          <t>Attendee</t>
        </is>
      </c>
      <c r="C2621" t="inlineStr">
        <is>
          <t>Founder/President</t>
        </is>
      </c>
      <c r="D2621" t="inlineStr">
        <is>
          <t>Thrivemodal</t>
        </is>
      </c>
      <c r="E2621" t="inlineStr">
        <is>
          <t>United States</t>
        </is>
      </c>
      <c r="H2621" t="n">
        <v>6</v>
      </c>
      <c r="I2621" t="b">
        <v>0</v>
      </c>
      <c r="J2621" t="b">
        <v>1</v>
      </c>
      <c r="K2621" t="b">
        <v>0</v>
      </c>
      <c r="L2621" t="b">
        <v>0</v>
      </c>
      <c r="M2621" t="b">
        <v>0</v>
      </c>
      <c r="N2621">
        <f>IFERROR(INDEX('Company Hitlist'!$AA:$AA,MATCH(D2621,'Company Hitlist'!$A:$A,0)),)</f>
        <v/>
      </c>
      <c r="O2621">
        <f>IFERROR(INDEX('Company Hitlist'!$N:$N,MATCH(D2621,'Company Hitlist'!$A:$A,0)),)</f>
        <v/>
      </c>
      <c r="Q2621" t="inlineStr">
        <is>
          <t>todo</t>
        </is>
      </c>
    </row>
    <row r="2622">
      <c r="A2622" t="inlineStr">
        <is>
          <t>Kevin Hume</t>
        </is>
      </c>
      <c r="B2622" t="inlineStr">
        <is>
          <t>Attendee</t>
        </is>
      </c>
      <c r="C2622" t="inlineStr">
        <is>
          <t>CoFounder - CTO</t>
        </is>
      </c>
      <c r="D2622" t="inlineStr">
        <is>
          <t>Thru-Put Partners</t>
        </is>
      </c>
      <c r="E2622" t="inlineStr">
        <is>
          <t>United States</t>
        </is>
      </c>
      <c r="H2622" t="n">
        <v>6</v>
      </c>
      <c r="I2622" t="b">
        <v>0</v>
      </c>
      <c r="J2622" t="b">
        <v>1</v>
      </c>
      <c r="K2622" t="b">
        <v>0</v>
      </c>
      <c r="L2622" t="b">
        <v>0</v>
      </c>
      <c r="M2622" t="b">
        <v>0</v>
      </c>
      <c r="N2622">
        <f>IFERROR(INDEX('Company Hitlist'!$AA:$AA,MATCH(D2622,'Company Hitlist'!$A:$A,0)),)</f>
        <v/>
      </c>
      <c r="O2622">
        <f>IFERROR(INDEX('Company Hitlist'!$N:$N,MATCH(D2622,'Company Hitlist'!$A:$A,0)),)</f>
        <v/>
      </c>
      <c r="Q2622" t="inlineStr">
        <is>
          <t>todo</t>
        </is>
      </c>
    </row>
    <row r="2623">
      <c r="A2623" t="inlineStr">
        <is>
          <t>Brian Hudock</t>
        </is>
      </c>
      <c r="B2623" t="inlineStr">
        <is>
          <t>Attendee</t>
        </is>
      </c>
      <c r="C2623" t="inlineStr">
        <is>
          <t>CEO &amp; Founder</t>
        </is>
      </c>
      <c r="D2623" t="inlineStr">
        <is>
          <t>ThruPut Partners</t>
        </is>
      </c>
      <c r="E2623" t="inlineStr">
        <is>
          <t>United States</t>
        </is>
      </c>
      <c r="F2623" t="inlineStr">
        <is>
          <t>Yes</t>
        </is>
      </c>
      <c r="H2623" t="n">
        <v>6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  <c r="N2623">
        <f>IFERROR(INDEX('Company Hitlist'!$AA:$AA,MATCH(D2623,'Company Hitlist'!$A:$A,0)),)</f>
        <v/>
      </c>
      <c r="O2623">
        <f>IFERROR(INDEX('Company Hitlist'!$N:$N,MATCH(D2623,'Company Hitlist'!$A:$A,0)),)</f>
        <v/>
      </c>
      <c r="Q2623" t="inlineStr">
        <is>
          <t>todo</t>
        </is>
      </c>
    </row>
    <row r="2624">
      <c r="A2624" t="inlineStr">
        <is>
          <t>Marty Matsuoka</t>
        </is>
      </c>
      <c r="B2624" t="inlineStr">
        <is>
          <t>Attendee</t>
        </is>
      </c>
      <c r="C2624" t="inlineStr">
        <is>
          <t>Deputy Head of Digital Innovation</t>
        </is>
      </c>
      <c r="D2624" t="inlineStr">
        <is>
          <t>Tokio Marine Holdings, Inc.</t>
        </is>
      </c>
      <c r="E2624" t="inlineStr">
        <is>
          <t>United States</t>
        </is>
      </c>
      <c r="H2624" t="n">
        <v>6</v>
      </c>
      <c r="I2624" t="b">
        <v>0</v>
      </c>
      <c r="J2624" t="b">
        <v>1</v>
      </c>
      <c r="K2624" t="b">
        <v>0</v>
      </c>
      <c r="L2624" t="b">
        <v>0</v>
      </c>
      <c r="M2624" t="b">
        <v>0</v>
      </c>
      <c r="N2624">
        <f>IFERROR(INDEX('Company Hitlist'!$AA:$AA,MATCH(D2624,'Company Hitlist'!$A:$A,0)),)</f>
        <v/>
      </c>
      <c r="O2624">
        <f>IFERROR(INDEX('Company Hitlist'!$N:$N,MATCH(D2624,'Company Hitlist'!$A:$A,0)),)</f>
        <v/>
      </c>
      <c r="Q2624" t="inlineStr">
        <is>
          <t>todo</t>
        </is>
      </c>
    </row>
    <row r="2625">
      <c r="A2625" t="inlineStr">
        <is>
          <t>Doug Sibila</t>
        </is>
      </c>
      <c r="B2625" t="inlineStr">
        <is>
          <t>Attendee</t>
        </is>
      </c>
      <c r="C2625" t="inlineStr">
        <is>
          <t>President &amp; CEO</t>
        </is>
      </c>
      <c r="D2625" t="inlineStr">
        <is>
          <t>Total Distribution, Inc.</t>
        </is>
      </c>
      <c r="H2625" t="n">
        <v>6</v>
      </c>
      <c r="I2625" t="b">
        <v>0</v>
      </c>
      <c r="J2625" t="b">
        <v>1</v>
      </c>
      <c r="K2625" t="b">
        <v>0</v>
      </c>
      <c r="L2625" t="b">
        <v>0</v>
      </c>
      <c r="M2625" t="b">
        <v>0</v>
      </c>
      <c r="N2625">
        <f>IFERROR(INDEX('Company Hitlist'!$AA:$AA,MATCH(D2625,'Company Hitlist'!$A:$A,0)),)</f>
        <v/>
      </c>
      <c r="O2625">
        <f>IFERROR(INDEX('Company Hitlist'!$N:$N,MATCH(D2625,'Company Hitlist'!$A:$A,0)),)</f>
        <v/>
      </c>
      <c r="Q2625" t="inlineStr">
        <is>
          <t>todo</t>
        </is>
      </c>
    </row>
    <row r="2626">
      <c r="A2626" t="inlineStr">
        <is>
          <t>Ziv Gillat</t>
        </is>
      </c>
      <c r="B2626" t="inlineStr">
        <is>
          <t>Attendee</t>
        </is>
      </c>
      <c r="C2626" t="inlineStr">
        <is>
          <t>Co-Founder &amp; CTO</t>
        </is>
      </c>
      <c r="D2626" t="inlineStr">
        <is>
          <t>Tow4Tech</t>
        </is>
      </c>
      <c r="F2626" t="inlineStr">
        <is>
          <t>Yes</t>
        </is>
      </c>
      <c r="H2626" t="n">
        <v>6</v>
      </c>
      <c r="I2626" t="b">
        <v>0</v>
      </c>
      <c r="J2626" t="b">
        <v>1</v>
      </c>
      <c r="K2626" t="b">
        <v>0</v>
      </c>
      <c r="L2626" t="b">
        <v>0</v>
      </c>
      <c r="M2626" t="b">
        <v>0</v>
      </c>
      <c r="N2626">
        <f>IFERROR(INDEX('Company Hitlist'!$AA:$AA,MATCH(D2626,'Company Hitlist'!$A:$A,0)),)</f>
        <v/>
      </c>
      <c r="O2626">
        <f>IFERROR(INDEX('Company Hitlist'!$N:$N,MATCH(D2626,'Company Hitlist'!$A:$A,0)),)</f>
        <v/>
      </c>
      <c r="Q2626" t="inlineStr">
        <is>
          <t>todo</t>
        </is>
      </c>
    </row>
    <row r="2627">
      <c r="A2627" t="inlineStr">
        <is>
          <t>Kyle Langley</t>
        </is>
      </c>
      <c r="B2627" t="inlineStr">
        <is>
          <t>Attendee</t>
        </is>
      </c>
      <c r="C2627" t="inlineStr">
        <is>
          <t>VP, Final Mile</t>
        </is>
      </c>
      <c r="D2627" t="inlineStr">
        <is>
          <t>Tractor Supply Company</t>
        </is>
      </c>
      <c r="F2627" t="inlineStr">
        <is>
          <t>Yes</t>
        </is>
      </c>
      <c r="H2627" t="n">
        <v>6</v>
      </c>
      <c r="I2627" t="b">
        <v>0</v>
      </c>
      <c r="J2627" t="b">
        <v>1</v>
      </c>
      <c r="K2627" t="b">
        <v>0</v>
      </c>
      <c r="L2627" t="b">
        <v>0</v>
      </c>
      <c r="M2627" t="b">
        <v>0</v>
      </c>
      <c r="N2627">
        <f>IFERROR(INDEX('Company Hitlist'!$AA:$AA,MATCH(D2627,'Company Hitlist'!$A:$A,0)),)</f>
        <v/>
      </c>
      <c r="O2627">
        <f>IFERROR(INDEX('Company Hitlist'!$N:$N,MATCH(D2627,'Company Hitlist'!$A:$A,0)),)</f>
        <v/>
      </c>
      <c r="Q2627" t="inlineStr">
        <is>
          <t>todo</t>
        </is>
      </c>
    </row>
    <row r="2628">
      <c r="A2628" t="inlineStr">
        <is>
          <t>Jocelyn Montpert</t>
        </is>
      </c>
      <c r="B2628" t="inlineStr">
        <is>
          <t>Attendee</t>
        </is>
      </c>
      <c r="C2628" t="inlineStr">
        <is>
          <t>CEO</t>
        </is>
      </c>
      <c r="D2628" t="inlineStr">
        <is>
          <t>Trade Duty Refund</t>
        </is>
      </c>
      <c r="E2628" t="inlineStr">
        <is>
          <t>France</t>
        </is>
      </c>
      <c r="H2628" t="n">
        <v>6</v>
      </c>
      <c r="I2628" t="b">
        <v>0</v>
      </c>
      <c r="J2628" t="b">
        <v>1</v>
      </c>
      <c r="K2628" t="b">
        <v>0</v>
      </c>
      <c r="L2628" t="b">
        <v>0</v>
      </c>
      <c r="M2628" t="b">
        <v>0</v>
      </c>
      <c r="N2628">
        <f>IFERROR(INDEX('Company Hitlist'!$AA:$AA,MATCH(D2628,'Company Hitlist'!$A:$A,0)),)</f>
        <v/>
      </c>
      <c r="O2628">
        <f>IFERROR(INDEX('Company Hitlist'!$N:$N,MATCH(D2628,'Company Hitlist'!$A:$A,0)),)</f>
        <v/>
      </c>
      <c r="Q2628" t="inlineStr">
        <is>
          <t>todo</t>
        </is>
      </c>
    </row>
    <row r="2629">
      <c r="A2629" t="inlineStr">
        <is>
          <t>Michael Papuga</t>
        </is>
      </c>
      <c r="B2629" t="inlineStr">
        <is>
          <t>Attendee</t>
        </is>
      </c>
      <c r="C2629" t="inlineStr">
        <is>
          <t>Senior Vice President of M&amp;A Integration</t>
        </is>
      </c>
      <c r="D2629" t="inlineStr">
        <is>
          <t>TransImpact</t>
        </is>
      </c>
      <c r="E2629" t="inlineStr">
        <is>
          <t>United States</t>
        </is>
      </c>
      <c r="F2629" t="inlineStr">
        <is>
          <t>Yes</t>
        </is>
      </c>
      <c r="H2629" t="n">
        <v>6</v>
      </c>
      <c r="I2629" t="b">
        <v>0</v>
      </c>
      <c r="J2629" t="b">
        <v>1</v>
      </c>
      <c r="K2629" t="b">
        <v>0</v>
      </c>
      <c r="L2629" t="b">
        <v>0</v>
      </c>
      <c r="M2629" t="b">
        <v>0</v>
      </c>
      <c r="N2629">
        <f>IFERROR(INDEX('Company Hitlist'!$AA:$AA,MATCH(D2629,'Company Hitlist'!$A:$A,0)),)</f>
        <v/>
      </c>
      <c r="O2629">
        <f>IFERROR(INDEX('Company Hitlist'!$N:$N,MATCH(D2629,'Company Hitlist'!$A:$A,0)),)</f>
        <v/>
      </c>
      <c r="Q2629" t="inlineStr">
        <is>
          <t>todo</t>
        </is>
      </c>
    </row>
    <row r="2630">
      <c r="A2630" t="inlineStr">
        <is>
          <t>Josh Dickemann</t>
        </is>
      </c>
      <c r="B2630" t="inlineStr">
        <is>
          <t>Attendee</t>
        </is>
      </c>
      <c r="C2630" t="inlineStr">
        <is>
          <t>President</t>
        </is>
      </c>
      <c r="D2630" t="inlineStr">
        <is>
          <t>Transmotion</t>
        </is>
      </c>
      <c r="H2630" t="n">
        <v>6</v>
      </c>
      <c r="I2630" t="b">
        <v>0</v>
      </c>
      <c r="J2630" t="b">
        <v>1</v>
      </c>
      <c r="K2630" t="b">
        <v>0</v>
      </c>
      <c r="L2630" t="b">
        <v>0</v>
      </c>
      <c r="M2630" t="b">
        <v>0</v>
      </c>
      <c r="N2630">
        <f>IFERROR(INDEX('Company Hitlist'!$AA:$AA,MATCH(D2630,'Company Hitlist'!$A:$A,0)),)</f>
        <v/>
      </c>
      <c r="O2630">
        <f>IFERROR(INDEX('Company Hitlist'!$N:$N,MATCH(D2630,'Company Hitlist'!$A:$A,0)),)</f>
        <v/>
      </c>
      <c r="Q2630" t="inlineStr">
        <is>
          <t>todo</t>
        </is>
      </c>
    </row>
    <row r="2631">
      <c r="A2631" t="inlineStr">
        <is>
          <t>Erin Christou</t>
        </is>
      </c>
      <c r="B2631" t="inlineStr">
        <is>
          <t>Attendee</t>
        </is>
      </c>
      <c r="C2631" t="inlineStr">
        <is>
          <t>Vice President, Client Services</t>
        </is>
      </c>
      <c r="D2631" t="inlineStr">
        <is>
          <t>Transportation Insight</t>
        </is>
      </c>
      <c r="E2631" t="inlineStr">
        <is>
          <t>United States</t>
        </is>
      </c>
      <c r="H2631" t="n">
        <v>6</v>
      </c>
      <c r="I2631" t="b">
        <v>0</v>
      </c>
      <c r="J2631" t="b">
        <v>1</v>
      </c>
      <c r="K2631" t="b">
        <v>0</v>
      </c>
      <c r="L2631" t="b">
        <v>0</v>
      </c>
      <c r="M2631" t="b">
        <v>0</v>
      </c>
      <c r="N2631">
        <f>IFERROR(INDEX('Company Hitlist'!$AA:$AA,MATCH(D2631,'Company Hitlist'!$A:$A,0)),)</f>
        <v/>
      </c>
      <c r="O2631">
        <f>IFERROR(INDEX('Company Hitlist'!$N:$N,MATCH(D2631,'Company Hitlist'!$A:$A,0)),)</f>
        <v/>
      </c>
      <c r="Q2631" t="inlineStr">
        <is>
          <t>todo</t>
        </is>
      </c>
    </row>
    <row r="2632">
      <c r="A2632" t="inlineStr">
        <is>
          <t>Gary Colangelo</t>
        </is>
      </c>
      <c r="B2632" t="inlineStr">
        <is>
          <t>Attendee</t>
        </is>
      </c>
      <c r="C2632" t="inlineStr">
        <is>
          <t>VP of Parcel Solutions</t>
        </is>
      </c>
      <c r="D2632" t="inlineStr">
        <is>
          <t>Transportation Insight</t>
        </is>
      </c>
      <c r="E2632" t="inlineStr">
        <is>
          <t>United States</t>
        </is>
      </c>
      <c r="H2632" t="n">
        <v>6</v>
      </c>
      <c r="I2632" t="b">
        <v>0</v>
      </c>
      <c r="J2632" t="b">
        <v>1</v>
      </c>
      <c r="K2632" t="b">
        <v>0</v>
      </c>
      <c r="L2632" t="b">
        <v>0</v>
      </c>
      <c r="M2632" t="b">
        <v>0</v>
      </c>
      <c r="N2632">
        <f>IFERROR(INDEX('Company Hitlist'!$AA:$AA,MATCH(D2632,'Company Hitlist'!$A:$A,0)),)</f>
        <v/>
      </c>
      <c r="O2632">
        <f>IFERROR(INDEX('Company Hitlist'!$N:$N,MATCH(D2632,'Company Hitlist'!$A:$A,0)),)</f>
        <v/>
      </c>
      <c r="Q2632" t="inlineStr">
        <is>
          <t>todo</t>
        </is>
      </c>
    </row>
    <row r="2633">
      <c r="A2633" t="inlineStr">
        <is>
          <t>Jim Cook</t>
        </is>
      </c>
      <c r="B2633" t="inlineStr">
        <is>
          <t>Attendee</t>
        </is>
      </c>
      <c r="C2633" t="inlineStr">
        <is>
          <t>Vice President, Technology</t>
        </is>
      </c>
      <c r="D2633" t="inlineStr">
        <is>
          <t>Transportation Insight</t>
        </is>
      </c>
      <c r="E2633" t="inlineStr">
        <is>
          <t>United States</t>
        </is>
      </c>
      <c r="H2633" t="n">
        <v>6</v>
      </c>
      <c r="I2633" t="b">
        <v>0</v>
      </c>
      <c r="J2633" t="b">
        <v>1</v>
      </c>
      <c r="K2633" t="b">
        <v>0</v>
      </c>
      <c r="L2633" t="b">
        <v>0</v>
      </c>
      <c r="M2633" t="b">
        <v>0</v>
      </c>
      <c r="N2633">
        <f>IFERROR(INDEX('Company Hitlist'!$AA:$AA,MATCH(D2633,'Company Hitlist'!$A:$A,0)),)</f>
        <v/>
      </c>
      <c r="O2633">
        <f>IFERROR(INDEX('Company Hitlist'!$N:$N,MATCH(D2633,'Company Hitlist'!$A:$A,0)),)</f>
        <v/>
      </c>
      <c r="Q2633" t="inlineStr">
        <is>
          <t>todo</t>
        </is>
      </c>
    </row>
    <row r="2634">
      <c r="A2634" t="inlineStr">
        <is>
          <t>Clemente Villalpando</t>
        </is>
      </c>
      <c r="B2634" t="inlineStr">
        <is>
          <t>Attendee</t>
        </is>
      </c>
      <c r="C2634" t="inlineStr">
        <is>
          <t>CEO</t>
        </is>
      </c>
      <c r="D2634" t="inlineStr">
        <is>
          <t>Transporte.mx</t>
        </is>
      </c>
      <c r="E2634" t="inlineStr">
        <is>
          <t>Mexico</t>
        </is>
      </c>
      <c r="F2634" t="inlineStr">
        <is>
          <t>Yes</t>
        </is>
      </c>
      <c r="H2634" t="n">
        <v>6</v>
      </c>
      <c r="I2634" t="b">
        <v>0</v>
      </c>
      <c r="J2634" t="b">
        <v>1</v>
      </c>
      <c r="K2634" t="b">
        <v>0</v>
      </c>
      <c r="L2634" t="b">
        <v>0</v>
      </c>
      <c r="M2634" t="b">
        <v>0</v>
      </c>
      <c r="N2634">
        <f>IFERROR(INDEX('Company Hitlist'!$AA:$AA,MATCH(D2634,'Company Hitlist'!$A:$A,0)),)</f>
        <v/>
      </c>
      <c r="O2634">
        <f>IFERROR(INDEX('Company Hitlist'!$N:$N,MATCH(D2634,'Company Hitlist'!$A:$A,0)),)</f>
        <v/>
      </c>
      <c r="Q2634" t="inlineStr">
        <is>
          <t>todo</t>
        </is>
      </c>
    </row>
    <row r="2635">
      <c r="A2635" t="inlineStr">
        <is>
          <t>Jonathan Cook</t>
        </is>
      </c>
      <c r="B2635" t="inlineStr">
        <is>
          <t>Attendee</t>
        </is>
      </c>
      <c r="C2635" t="inlineStr">
        <is>
          <t>CEO &amp; Founder</t>
        </is>
      </c>
      <c r="D2635" t="inlineStr">
        <is>
          <t>Trapezoid.AI</t>
        </is>
      </c>
      <c r="F2635" t="inlineStr">
        <is>
          <t>Yes</t>
        </is>
      </c>
      <c r="H2635" t="n">
        <v>6</v>
      </c>
      <c r="I2635" t="b">
        <v>0</v>
      </c>
      <c r="J2635" t="b">
        <v>1</v>
      </c>
      <c r="K2635" t="b">
        <v>0</v>
      </c>
      <c r="L2635" t="b">
        <v>0</v>
      </c>
      <c r="M2635" t="b">
        <v>0</v>
      </c>
      <c r="N2635">
        <f>IFERROR(INDEX('Company Hitlist'!$AA:$AA,MATCH(D2635,'Company Hitlist'!$A:$A,0)),)</f>
        <v/>
      </c>
      <c r="O2635">
        <f>IFERROR(INDEX('Company Hitlist'!$N:$N,MATCH(D2635,'Company Hitlist'!$A:$A,0)),)</f>
        <v/>
      </c>
      <c r="Q2635" t="inlineStr">
        <is>
          <t>todo</t>
        </is>
      </c>
    </row>
    <row r="2636">
      <c r="A2636" t="inlineStr">
        <is>
          <t>Lindsay Franckowiak</t>
        </is>
      </c>
      <c r="B2636" t="inlineStr">
        <is>
          <t>Attendee</t>
        </is>
      </c>
      <c r="C2636" t="inlineStr">
        <is>
          <t>Vice President, Parts &amp; Components</t>
        </is>
      </c>
      <c r="D2636" t="inlineStr">
        <is>
          <t>Trinity Industries</t>
        </is>
      </c>
      <c r="H2636" t="n">
        <v>6</v>
      </c>
      <c r="I2636" t="b">
        <v>0</v>
      </c>
      <c r="J2636" t="b">
        <v>1</v>
      </c>
      <c r="K2636" t="b">
        <v>0</v>
      </c>
      <c r="L2636" t="b">
        <v>0</v>
      </c>
      <c r="M2636" t="b">
        <v>0</v>
      </c>
      <c r="N2636">
        <f>IFERROR(INDEX('Company Hitlist'!$AA:$AA,MATCH(D2636,'Company Hitlist'!$A:$A,0)),)</f>
        <v/>
      </c>
      <c r="O2636">
        <f>IFERROR(INDEX('Company Hitlist'!$N:$N,MATCH(D2636,'Company Hitlist'!$A:$A,0)),)</f>
        <v/>
      </c>
      <c r="Q2636" t="inlineStr">
        <is>
          <t>todo</t>
        </is>
      </c>
    </row>
    <row r="2637">
      <c r="A2637" t="inlineStr">
        <is>
          <t>Eric Deng</t>
        </is>
      </c>
      <c r="B2637" t="inlineStr">
        <is>
          <t>Attendee</t>
        </is>
      </c>
      <c r="C2637" t="inlineStr">
        <is>
          <t>Owner/CEO</t>
        </is>
      </c>
      <c r="D2637" t="inlineStr">
        <is>
          <t>Triple Eagle Logistics Canada Inc.</t>
        </is>
      </c>
      <c r="F2637" t="inlineStr">
        <is>
          <t>Yes</t>
        </is>
      </c>
      <c r="H2637" t="n">
        <v>6</v>
      </c>
      <c r="I2637" t="b">
        <v>0</v>
      </c>
      <c r="J2637" t="b">
        <v>1</v>
      </c>
      <c r="K2637" t="b">
        <v>0</v>
      </c>
      <c r="L2637" t="b">
        <v>0</v>
      </c>
      <c r="M2637" t="b">
        <v>0</v>
      </c>
      <c r="N2637">
        <f>IFERROR(INDEX('Company Hitlist'!$AA:$AA,MATCH(D2637,'Company Hitlist'!$A:$A,0)),)</f>
        <v/>
      </c>
      <c r="O2637">
        <f>IFERROR(INDEX('Company Hitlist'!$N:$N,MATCH(D2637,'Company Hitlist'!$A:$A,0)),)</f>
        <v/>
      </c>
      <c r="Q2637" t="inlineStr">
        <is>
          <t>todo</t>
        </is>
      </c>
    </row>
    <row r="2638">
      <c r="A2638" t="inlineStr">
        <is>
          <t>Dawn Salvucci-Favier</t>
        </is>
      </c>
      <c r="B2638" t="inlineStr">
        <is>
          <t>Attendee</t>
        </is>
      </c>
      <c r="C2638" t="inlineStr">
        <is>
          <t>President, Intelligence</t>
        </is>
      </c>
      <c r="D2638" t="inlineStr">
        <is>
          <t>Triumph</t>
        </is>
      </c>
      <c r="E2638" t="inlineStr">
        <is>
          <t>United States</t>
        </is>
      </c>
      <c r="H2638" t="n">
        <v>6</v>
      </c>
      <c r="I2638" t="b">
        <v>0</v>
      </c>
      <c r="J2638" t="b">
        <v>1</v>
      </c>
      <c r="K2638" t="b">
        <v>0</v>
      </c>
      <c r="L2638" t="b">
        <v>0</v>
      </c>
      <c r="M2638" t="b">
        <v>0</v>
      </c>
      <c r="N2638">
        <f>IFERROR(INDEX('Company Hitlist'!$AA:$AA,MATCH(D2638,'Company Hitlist'!$A:$A,0)),)</f>
        <v/>
      </c>
      <c r="O2638">
        <f>IFERROR(INDEX('Company Hitlist'!$N:$N,MATCH(D2638,'Company Hitlist'!$A:$A,0)),)</f>
        <v/>
      </c>
      <c r="Q2638" t="inlineStr">
        <is>
          <t>todo</t>
        </is>
      </c>
    </row>
    <row r="2639">
      <c r="A2639" t="inlineStr">
        <is>
          <t>Scot Snyder</t>
        </is>
      </c>
      <c r="B2639" t="inlineStr">
        <is>
          <t>Attendee</t>
        </is>
      </c>
      <c r="C2639" t="inlineStr">
        <is>
          <t>President</t>
        </is>
      </c>
      <c r="D2639" t="inlineStr">
        <is>
          <t>Troops2Logistics</t>
        </is>
      </c>
      <c r="E2639" t="inlineStr">
        <is>
          <t>United States</t>
        </is>
      </c>
      <c r="F2639" t="inlineStr">
        <is>
          <t>Yes</t>
        </is>
      </c>
      <c r="H2639" t="n">
        <v>6</v>
      </c>
      <c r="I2639" t="b">
        <v>0</v>
      </c>
      <c r="J2639" t="b">
        <v>1</v>
      </c>
      <c r="K2639" t="b">
        <v>0</v>
      </c>
      <c r="L2639" t="b">
        <v>0</v>
      </c>
      <c r="M2639" t="b">
        <v>0</v>
      </c>
      <c r="N2639">
        <f>IFERROR(INDEX('Company Hitlist'!$AA:$AA,MATCH(D2639,'Company Hitlist'!$A:$A,0)),)</f>
        <v/>
      </c>
      <c r="O2639">
        <f>IFERROR(INDEX('Company Hitlist'!$N:$N,MATCH(D2639,'Company Hitlist'!$A:$A,0)),)</f>
        <v/>
      </c>
      <c r="Q2639" t="inlineStr">
        <is>
          <t>todo</t>
        </is>
      </c>
    </row>
    <row r="2640">
      <c r="A2640" t="inlineStr">
        <is>
          <t>Andrew Magana</t>
        </is>
      </c>
      <c r="B2640" t="inlineStr">
        <is>
          <t>Attendee</t>
        </is>
      </c>
      <c r="C2640" t="inlineStr">
        <is>
          <t>COO</t>
        </is>
      </c>
      <c r="D2640" t="inlineStr">
        <is>
          <t>TruConnect</t>
        </is>
      </c>
      <c r="F2640" t="inlineStr">
        <is>
          <t>Yes</t>
        </is>
      </c>
      <c r="H2640" t="n">
        <v>6</v>
      </c>
      <c r="I2640" t="b">
        <v>0</v>
      </c>
      <c r="J2640" t="b">
        <v>1</v>
      </c>
      <c r="K2640" t="b">
        <v>0</v>
      </c>
      <c r="L2640" t="b">
        <v>0</v>
      </c>
      <c r="M2640" t="b">
        <v>0</v>
      </c>
      <c r="N2640">
        <f>IFERROR(INDEX('Company Hitlist'!$AA:$AA,MATCH(D2640,'Company Hitlist'!$A:$A,0)),)</f>
        <v/>
      </c>
      <c r="O2640">
        <f>IFERROR(INDEX('Company Hitlist'!$N:$N,MATCH(D2640,'Company Hitlist'!$A:$A,0)),)</f>
        <v/>
      </c>
      <c r="Q2640" t="inlineStr">
        <is>
          <t>todo</t>
        </is>
      </c>
    </row>
    <row r="2641">
      <c r="A2641" t="inlineStr">
        <is>
          <t>Evan Shelley</t>
        </is>
      </c>
      <c r="B2641" t="inlineStr">
        <is>
          <t>Attendee</t>
        </is>
      </c>
      <c r="C2641" t="inlineStr">
        <is>
          <t>Co-Founder CEO</t>
        </is>
      </c>
      <c r="D2641" t="inlineStr">
        <is>
          <t>Truck Parking Club</t>
        </is>
      </c>
      <c r="E2641" t="inlineStr">
        <is>
          <t>United States</t>
        </is>
      </c>
      <c r="F2641" t="inlineStr">
        <is>
          <t>Yes</t>
        </is>
      </c>
      <c r="H2641" t="n">
        <v>6</v>
      </c>
      <c r="I2641" t="b">
        <v>0</v>
      </c>
      <c r="J2641" t="b">
        <v>1</v>
      </c>
      <c r="K2641" t="b">
        <v>0</v>
      </c>
      <c r="L2641" t="b">
        <v>0</v>
      </c>
      <c r="M2641" t="b">
        <v>0</v>
      </c>
      <c r="N2641">
        <f>IFERROR(INDEX('Company Hitlist'!$AA:$AA,MATCH(D2641,'Company Hitlist'!$A:$A,0)),)</f>
        <v/>
      </c>
      <c r="O2641">
        <f>IFERROR(INDEX('Company Hitlist'!$N:$N,MATCH(D2641,'Company Hitlist'!$A:$A,0)),)</f>
        <v/>
      </c>
      <c r="Q2641" t="inlineStr">
        <is>
          <t>todo</t>
        </is>
      </c>
    </row>
    <row r="2642">
      <c r="A2642" t="inlineStr">
        <is>
          <t>Billy Sarracino</t>
        </is>
      </c>
      <c r="B2642" t="inlineStr">
        <is>
          <t>Attendee</t>
        </is>
      </c>
      <c r="C2642" t="inlineStr">
        <is>
          <t>CEO</t>
        </is>
      </c>
      <c r="D2642" t="inlineStr">
        <is>
          <t>Turvo</t>
        </is>
      </c>
      <c r="E2642" t="inlineStr">
        <is>
          <t>United States</t>
        </is>
      </c>
      <c r="H2642" t="n">
        <v>6</v>
      </c>
      <c r="I2642" t="b">
        <v>0</v>
      </c>
      <c r="J2642" t="b">
        <v>1</v>
      </c>
      <c r="K2642" t="b">
        <v>0</v>
      </c>
      <c r="L2642" t="b">
        <v>0</v>
      </c>
      <c r="M2642" t="b">
        <v>0</v>
      </c>
      <c r="N2642">
        <f>IFERROR(INDEX('Company Hitlist'!$AA:$AA,MATCH(D2642,'Company Hitlist'!$A:$A,0)),)</f>
        <v/>
      </c>
      <c r="O2642">
        <f>IFERROR(INDEX('Company Hitlist'!$N:$N,MATCH(D2642,'Company Hitlist'!$A:$A,0)),)</f>
        <v/>
      </c>
      <c r="Q2642" t="inlineStr">
        <is>
          <t>todo</t>
        </is>
      </c>
    </row>
    <row r="2643">
      <c r="A2643" t="inlineStr">
        <is>
          <t>Phillip Ratkovic</t>
        </is>
      </c>
      <c r="B2643" t="inlineStr">
        <is>
          <t>Attendee</t>
        </is>
      </c>
      <c r="C2643" t="inlineStr">
        <is>
          <t>Vice President, Finance</t>
        </is>
      </c>
      <c r="D2643" t="inlineStr">
        <is>
          <t>Turvo</t>
        </is>
      </c>
      <c r="E2643" t="inlineStr">
        <is>
          <t>United States</t>
        </is>
      </c>
      <c r="H2643" t="n">
        <v>6</v>
      </c>
      <c r="I2643" t="b">
        <v>0</v>
      </c>
      <c r="J2643" t="b">
        <v>1</v>
      </c>
      <c r="K2643" t="b">
        <v>0</v>
      </c>
      <c r="L2643" t="b">
        <v>0</v>
      </c>
      <c r="M2643" t="b">
        <v>0</v>
      </c>
      <c r="N2643">
        <f>IFERROR(INDEX('Company Hitlist'!$AA:$AA,MATCH(D2643,'Company Hitlist'!$A:$A,0)),)</f>
        <v/>
      </c>
      <c r="O2643">
        <f>IFERROR(INDEX('Company Hitlist'!$N:$N,MATCH(D2643,'Company Hitlist'!$A:$A,0)),)</f>
        <v/>
      </c>
      <c r="Q2643" t="inlineStr">
        <is>
          <t>todo</t>
        </is>
      </c>
    </row>
    <row r="2644">
      <c r="A2644" t="inlineStr">
        <is>
          <t>Pushkar Deshpande</t>
        </is>
      </c>
      <c r="B2644" t="inlineStr">
        <is>
          <t>Attendee</t>
        </is>
      </c>
      <c r="C2644" t="inlineStr">
        <is>
          <t>Senior Vice President, Product</t>
        </is>
      </c>
      <c r="D2644" t="inlineStr">
        <is>
          <t>Turvo</t>
        </is>
      </c>
      <c r="E2644" t="inlineStr">
        <is>
          <t>United States</t>
        </is>
      </c>
      <c r="H2644" t="n">
        <v>6</v>
      </c>
      <c r="I2644" t="b">
        <v>0</v>
      </c>
      <c r="J2644" t="b">
        <v>1</v>
      </c>
      <c r="K2644" t="b">
        <v>0</v>
      </c>
      <c r="L2644" t="b">
        <v>0</v>
      </c>
      <c r="M2644" t="b">
        <v>0</v>
      </c>
      <c r="N2644">
        <f>IFERROR(INDEX('Company Hitlist'!$AA:$AA,MATCH(D2644,'Company Hitlist'!$A:$A,0)),)</f>
        <v/>
      </c>
      <c r="O2644">
        <f>IFERROR(INDEX('Company Hitlist'!$N:$N,MATCH(D2644,'Company Hitlist'!$A:$A,0)),)</f>
        <v/>
      </c>
      <c r="Q2644" t="inlineStr">
        <is>
          <t>todo</t>
        </is>
      </c>
    </row>
    <row r="2645">
      <c r="A2645" t="inlineStr">
        <is>
          <t>Vilas Madapurmath</t>
        </is>
      </c>
      <c r="B2645" t="inlineStr">
        <is>
          <t>Attendee</t>
        </is>
      </c>
      <c r="C2645" t="inlineStr">
        <is>
          <t>CTO</t>
        </is>
      </c>
      <c r="D2645" t="inlineStr">
        <is>
          <t>Turvo</t>
        </is>
      </c>
      <c r="E2645" t="inlineStr">
        <is>
          <t>United States</t>
        </is>
      </c>
      <c r="H2645" t="n">
        <v>6</v>
      </c>
      <c r="I2645" t="b">
        <v>0</v>
      </c>
      <c r="J2645" t="b">
        <v>1</v>
      </c>
      <c r="K2645" t="b">
        <v>0</v>
      </c>
      <c r="L2645" t="b">
        <v>0</v>
      </c>
      <c r="M2645" t="b">
        <v>0</v>
      </c>
      <c r="N2645">
        <f>IFERROR(INDEX('Company Hitlist'!$AA:$AA,MATCH(D2645,'Company Hitlist'!$A:$A,0)),)</f>
        <v/>
      </c>
      <c r="O2645">
        <f>IFERROR(INDEX('Company Hitlist'!$N:$N,MATCH(D2645,'Company Hitlist'!$A:$A,0)),)</f>
        <v/>
      </c>
      <c r="Q2645" t="inlineStr">
        <is>
          <t>todo</t>
        </is>
      </c>
    </row>
    <row r="2646">
      <c r="A2646" t="inlineStr">
        <is>
          <t>Jeff Sun</t>
        </is>
      </c>
      <c r="B2646" t="inlineStr">
        <is>
          <t>Attendee</t>
        </is>
      </c>
      <c r="C2646" t="inlineStr">
        <is>
          <t>President</t>
        </is>
      </c>
      <c r="D2646" t="inlineStr">
        <is>
          <t>U Bond</t>
        </is>
      </c>
      <c r="H2646" t="n">
        <v>6</v>
      </c>
      <c r="I2646" t="b">
        <v>0</v>
      </c>
      <c r="J2646" t="b">
        <v>1</v>
      </c>
      <c r="K2646" t="b">
        <v>0</v>
      </c>
      <c r="L2646" t="b">
        <v>0</v>
      </c>
      <c r="M2646" t="b">
        <v>0</v>
      </c>
      <c r="N2646">
        <f>IFERROR(INDEX('Company Hitlist'!$AA:$AA,MATCH(D2646,'Company Hitlist'!$A:$A,0)),)</f>
        <v/>
      </c>
      <c r="O2646">
        <f>IFERROR(INDEX('Company Hitlist'!$N:$N,MATCH(D2646,'Company Hitlist'!$A:$A,0)),)</f>
        <v/>
      </c>
      <c r="Q2646" t="inlineStr">
        <is>
          <t>todo</t>
        </is>
      </c>
    </row>
    <row r="2647">
      <c r="A2647" t="inlineStr">
        <is>
          <t>Mary Vechiola</t>
        </is>
      </c>
      <c r="B2647" t="inlineStr">
        <is>
          <t>Attendee</t>
        </is>
      </c>
      <c r="C2647" t="inlineStr">
        <is>
          <t>Vice President | Senior Product Manager</t>
        </is>
      </c>
      <c r="D2647" t="inlineStr">
        <is>
          <t>U.S. Bank</t>
        </is>
      </c>
      <c r="E2647" t="inlineStr">
        <is>
          <t>United States</t>
        </is>
      </c>
      <c r="H2647" t="n">
        <v>6</v>
      </c>
      <c r="I2647" t="b">
        <v>0</v>
      </c>
      <c r="J2647" t="b">
        <v>1</v>
      </c>
      <c r="K2647" t="b">
        <v>0</v>
      </c>
      <c r="L2647" t="b">
        <v>0</v>
      </c>
      <c r="M2647" t="b">
        <v>0</v>
      </c>
      <c r="N2647">
        <f>IFERROR(INDEX('Company Hitlist'!$AA:$AA,MATCH(D2647,'Company Hitlist'!$A:$A,0)),)</f>
        <v/>
      </c>
      <c r="O2647">
        <f>IFERROR(INDEX('Company Hitlist'!$N:$N,MATCH(D2647,'Company Hitlist'!$A:$A,0)),)</f>
        <v/>
      </c>
      <c r="Q2647" t="inlineStr">
        <is>
          <t>todo</t>
        </is>
      </c>
    </row>
    <row r="2648">
      <c r="A2648" t="inlineStr">
        <is>
          <t>Robert Thornburg</t>
        </is>
      </c>
      <c r="B2648" t="inlineStr">
        <is>
          <t>Attendee</t>
        </is>
      </c>
      <c r="C2648" t="inlineStr">
        <is>
          <t>CIO</t>
        </is>
      </c>
      <c r="D2648" t="inlineStr">
        <is>
          <t>U.S. Multimodal Group</t>
        </is>
      </c>
      <c r="E2648" t="inlineStr">
        <is>
          <t>United States</t>
        </is>
      </c>
      <c r="F2648" t="inlineStr">
        <is>
          <t>Yes</t>
        </is>
      </c>
      <c r="H2648" t="n">
        <v>6</v>
      </c>
      <c r="I2648" t="b">
        <v>0</v>
      </c>
      <c r="J2648" t="b">
        <v>1</v>
      </c>
      <c r="K2648" t="b">
        <v>0</v>
      </c>
      <c r="L2648" t="b">
        <v>0</v>
      </c>
      <c r="M2648" t="b">
        <v>0</v>
      </c>
      <c r="N2648">
        <f>IFERROR(INDEX('Company Hitlist'!$AA:$AA,MATCH(D2648,'Company Hitlist'!$A:$A,0)),)</f>
        <v/>
      </c>
      <c r="O2648">
        <f>IFERROR(INDEX('Company Hitlist'!$N:$N,MATCH(D2648,'Company Hitlist'!$A:$A,0)),)</f>
        <v/>
      </c>
      <c r="Q2648" t="inlineStr">
        <is>
          <t>todo</t>
        </is>
      </c>
    </row>
    <row r="2649">
      <c r="A2649" t="inlineStr">
        <is>
          <t>Darryl Forbes</t>
        </is>
      </c>
      <c r="B2649" t="inlineStr">
        <is>
          <t>Attendee</t>
        </is>
      </c>
      <c r="C2649" t="inlineStr">
        <is>
          <t>VP Operation Technology</t>
        </is>
      </c>
      <c r="D2649" t="inlineStr">
        <is>
          <t>UPS</t>
        </is>
      </c>
      <c r="E2649" t="inlineStr">
        <is>
          <t>United States</t>
        </is>
      </c>
      <c r="F2649" t="inlineStr">
        <is>
          <t>Yes</t>
        </is>
      </c>
      <c r="H2649" t="n">
        <v>6</v>
      </c>
      <c r="I2649" t="b">
        <v>0</v>
      </c>
      <c r="J2649" t="b">
        <v>1</v>
      </c>
      <c r="K2649" t="b">
        <v>0</v>
      </c>
      <c r="L2649" t="b">
        <v>0</v>
      </c>
      <c r="M2649" t="b">
        <v>0</v>
      </c>
      <c r="N2649">
        <f>IFERROR(INDEX('Company Hitlist'!$AA:$AA,MATCH(D2649,'Company Hitlist'!$A:$A,0)),)</f>
        <v/>
      </c>
      <c r="O2649">
        <f>IFERROR(INDEX('Company Hitlist'!$N:$N,MATCH(D2649,'Company Hitlist'!$A:$A,0)),)</f>
        <v/>
      </c>
      <c r="Q2649" t="inlineStr">
        <is>
          <t>todo</t>
        </is>
      </c>
    </row>
    <row r="2650">
      <c r="A2650" t="inlineStr">
        <is>
          <t>Steve Schneider</t>
        </is>
      </c>
      <c r="B2650" t="inlineStr">
        <is>
          <t>Attendee</t>
        </is>
      </c>
      <c r="C2650" t="inlineStr">
        <is>
          <t>COO</t>
        </is>
      </c>
      <c r="D2650" t="inlineStr">
        <is>
          <t>USA Brokerage, LLC</t>
        </is>
      </c>
      <c r="E2650" t="inlineStr">
        <is>
          <t>United States</t>
        </is>
      </c>
      <c r="H2650" t="n">
        <v>6</v>
      </c>
      <c r="I2650" t="b">
        <v>0</v>
      </c>
      <c r="J2650" t="b">
        <v>1</v>
      </c>
      <c r="K2650" t="b">
        <v>0</v>
      </c>
      <c r="L2650" t="b">
        <v>0</v>
      </c>
      <c r="M2650" t="b">
        <v>0</v>
      </c>
      <c r="N2650">
        <f>IFERROR(INDEX('Company Hitlist'!$AA:$AA,MATCH(D2650,'Company Hitlist'!$A:$A,0)),)</f>
        <v/>
      </c>
      <c r="O2650">
        <f>IFERROR(INDEX('Company Hitlist'!$N:$N,MATCH(D2650,'Company Hitlist'!$A:$A,0)),)</f>
        <v/>
      </c>
      <c r="Q2650" t="inlineStr">
        <is>
          <t>todo</t>
        </is>
      </c>
    </row>
    <row r="2651">
      <c r="A2651" t="inlineStr">
        <is>
          <t>Carter Garrett</t>
        </is>
      </c>
      <c r="B2651" t="inlineStr">
        <is>
          <t>Attendee</t>
        </is>
      </c>
      <c r="C2651" t="inlineStr">
        <is>
          <t>President</t>
        </is>
      </c>
      <c r="D2651" t="inlineStr">
        <is>
          <t>United Freight Solutions</t>
        </is>
      </c>
      <c r="E2651" t="inlineStr">
        <is>
          <t>United States</t>
        </is>
      </c>
      <c r="F2651" t="inlineStr">
        <is>
          <t>Yes</t>
        </is>
      </c>
      <c r="H2651" t="n">
        <v>6</v>
      </c>
      <c r="I2651" t="b">
        <v>0</v>
      </c>
      <c r="J2651" t="b">
        <v>1</v>
      </c>
      <c r="K2651" t="b">
        <v>0</v>
      </c>
      <c r="L2651" t="b">
        <v>0</v>
      </c>
      <c r="M2651" t="b">
        <v>0</v>
      </c>
      <c r="N2651">
        <f>IFERROR(INDEX('Company Hitlist'!$AA:$AA,MATCH(D2651,'Company Hitlist'!$A:$A,0)),)</f>
        <v/>
      </c>
      <c r="O2651">
        <f>IFERROR(INDEX('Company Hitlist'!$N:$N,MATCH(D2651,'Company Hitlist'!$A:$A,0)),)</f>
        <v/>
      </c>
      <c r="Q2651" t="inlineStr">
        <is>
          <t>todo</t>
        </is>
      </c>
    </row>
    <row r="2652">
      <c r="A2652" t="inlineStr">
        <is>
          <t>Brandon Williams</t>
        </is>
      </c>
      <c r="B2652" t="inlineStr">
        <is>
          <t>Attendee</t>
        </is>
      </c>
      <c r="C2652" t="inlineStr">
        <is>
          <t>Chief, Campaigns Branch</t>
        </is>
      </c>
      <c r="D2652" t="inlineStr">
        <is>
          <t>United States Transportation Command</t>
        </is>
      </c>
      <c r="E2652" t="inlineStr">
        <is>
          <t>United States</t>
        </is>
      </c>
      <c r="H2652" t="n">
        <v>6</v>
      </c>
      <c r="I2652" t="b">
        <v>0</v>
      </c>
      <c r="J2652" t="b">
        <v>1</v>
      </c>
      <c r="K2652" t="b">
        <v>0</v>
      </c>
      <c r="L2652" t="b">
        <v>0</v>
      </c>
      <c r="M2652" t="b">
        <v>0</v>
      </c>
      <c r="N2652">
        <f>IFERROR(INDEX('Company Hitlist'!$AA:$AA,MATCH(D2652,'Company Hitlist'!$A:$A,0)),)</f>
        <v/>
      </c>
      <c r="O2652">
        <f>IFERROR(INDEX('Company Hitlist'!$N:$N,MATCH(D2652,'Company Hitlist'!$A:$A,0)),)</f>
        <v/>
      </c>
      <c r="Q2652" t="inlineStr">
        <is>
          <t>todo</t>
        </is>
      </c>
    </row>
    <row r="2653">
      <c r="A2653" t="inlineStr">
        <is>
          <t>Bruce Parsons</t>
        </is>
      </c>
      <c r="B2653" t="inlineStr">
        <is>
          <t>Attendee</t>
        </is>
      </c>
      <c r="C2653" t="inlineStr">
        <is>
          <t>CEO</t>
        </is>
      </c>
      <c r="D2653" t="inlineStr">
        <is>
          <t>United Transportation Services</t>
        </is>
      </c>
      <c r="F2653" t="inlineStr">
        <is>
          <t>Yes</t>
        </is>
      </c>
      <c r="H2653" t="n">
        <v>6</v>
      </c>
      <c r="I2653" t="b">
        <v>0</v>
      </c>
      <c r="J2653" t="b">
        <v>1</v>
      </c>
      <c r="K2653" t="b">
        <v>0</v>
      </c>
      <c r="L2653" t="b">
        <v>0</v>
      </c>
      <c r="M2653" t="b">
        <v>0</v>
      </c>
      <c r="N2653">
        <f>IFERROR(INDEX('Company Hitlist'!$AA:$AA,MATCH(D2653,'Company Hitlist'!$A:$A,0)),)</f>
        <v/>
      </c>
      <c r="O2653">
        <f>IFERROR(INDEX('Company Hitlist'!$N:$N,MATCH(D2653,'Company Hitlist'!$A:$A,0)),)</f>
        <v/>
      </c>
      <c r="Q2653" t="inlineStr">
        <is>
          <t>todo</t>
        </is>
      </c>
    </row>
    <row r="2654">
      <c r="A2654" t="inlineStr">
        <is>
          <t>Steve Schaaf</t>
        </is>
      </c>
      <c r="B2654" t="inlineStr">
        <is>
          <t>Attendee</t>
        </is>
      </c>
      <c r="C2654" t="inlineStr">
        <is>
          <t>CTO</t>
        </is>
      </c>
      <c r="D2654" t="inlineStr">
        <is>
          <t>United Vision Logistics</t>
        </is>
      </c>
      <c r="F2654" t="inlineStr">
        <is>
          <t>Yes</t>
        </is>
      </c>
      <c r="H2654" t="n">
        <v>6</v>
      </c>
      <c r="I2654" t="b">
        <v>0</v>
      </c>
      <c r="J2654" t="b">
        <v>1</v>
      </c>
      <c r="K2654" t="b">
        <v>0</v>
      </c>
      <c r="L2654" t="b">
        <v>0</v>
      </c>
      <c r="M2654" t="b">
        <v>0</v>
      </c>
      <c r="N2654">
        <f>IFERROR(INDEX('Company Hitlist'!$AA:$AA,MATCH(D2654,'Company Hitlist'!$A:$A,0)),)</f>
        <v/>
      </c>
      <c r="O2654">
        <f>IFERROR(INDEX('Company Hitlist'!$N:$N,MATCH(D2654,'Company Hitlist'!$A:$A,0)),)</f>
        <v/>
      </c>
      <c r="Q2654" t="inlineStr">
        <is>
          <t>todo</t>
        </is>
      </c>
    </row>
    <row r="2655">
      <c r="A2655" t="inlineStr">
        <is>
          <t>Brett Schaefer</t>
        </is>
      </c>
      <c r="B2655" t="inlineStr">
        <is>
          <t>Attendee</t>
        </is>
      </c>
      <c r="C2655" t="inlineStr">
        <is>
          <t>President/CEO</t>
        </is>
      </c>
      <c r="D2655" t="inlineStr">
        <is>
          <t>United Warehouse Co</t>
        </is>
      </c>
      <c r="E2655" t="inlineStr">
        <is>
          <t>United States</t>
        </is>
      </c>
      <c r="F2655" t="inlineStr">
        <is>
          <t>Yes</t>
        </is>
      </c>
      <c r="H2655" t="n">
        <v>6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  <c r="N2655">
        <f>IFERROR(INDEX('Company Hitlist'!$AA:$AA,MATCH(D2655,'Company Hitlist'!$A:$A,0)),)</f>
        <v/>
      </c>
      <c r="O2655">
        <f>IFERROR(INDEX('Company Hitlist'!$N:$N,MATCH(D2655,'Company Hitlist'!$A:$A,0)),)</f>
        <v/>
      </c>
      <c r="Q2655" t="inlineStr">
        <is>
          <t>todo</t>
        </is>
      </c>
    </row>
    <row r="2656">
      <c r="A2656" t="inlineStr">
        <is>
          <t>Ryan Frederickson</t>
        </is>
      </c>
      <c r="B2656" t="inlineStr">
        <is>
          <t>Attendee</t>
        </is>
      </c>
      <c r="C2656" t="inlineStr">
        <is>
          <t>President</t>
        </is>
      </c>
      <c r="D2656" t="inlineStr">
        <is>
          <t>Universal</t>
        </is>
      </c>
      <c r="H2656" t="n">
        <v>6</v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  <c r="N2656">
        <f>IFERROR(INDEX('Company Hitlist'!$AA:$AA,MATCH(D2656,'Company Hitlist'!$A:$A,0)),)</f>
        <v/>
      </c>
      <c r="O2656">
        <f>IFERROR(INDEX('Company Hitlist'!$N:$N,MATCH(D2656,'Company Hitlist'!$A:$A,0)),)</f>
        <v/>
      </c>
      <c r="Q2656" t="inlineStr">
        <is>
          <t>todo</t>
        </is>
      </c>
    </row>
    <row r="2657">
      <c r="A2657" t="inlineStr">
        <is>
          <t>Justin Williams</t>
        </is>
      </c>
      <c r="B2657" t="inlineStr">
        <is>
          <t>Attendee</t>
        </is>
      </c>
      <c r="C2657" t="inlineStr">
        <is>
          <t>Vice President</t>
        </is>
      </c>
      <c r="D2657" t="inlineStr">
        <is>
          <t>Updata Partners</t>
        </is>
      </c>
      <c r="E2657" t="inlineStr">
        <is>
          <t>United States</t>
        </is>
      </c>
      <c r="H2657" t="n">
        <v>6</v>
      </c>
      <c r="I2657" t="b">
        <v>0</v>
      </c>
      <c r="J2657" t="b">
        <v>1</v>
      </c>
      <c r="K2657" t="b">
        <v>0</v>
      </c>
      <c r="L2657" t="b">
        <v>0</v>
      </c>
      <c r="M2657" t="b">
        <v>0</v>
      </c>
      <c r="N2657">
        <f>IFERROR(INDEX('Company Hitlist'!$AA:$AA,MATCH(D2657,'Company Hitlist'!$A:$A,0)),)</f>
        <v/>
      </c>
      <c r="O2657">
        <f>IFERROR(INDEX('Company Hitlist'!$N:$N,MATCH(D2657,'Company Hitlist'!$A:$A,0)),)</f>
        <v/>
      </c>
      <c r="Q2657" t="inlineStr">
        <is>
          <t>todo</t>
        </is>
      </c>
    </row>
    <row r="2658">
      <c r="A2658" t="inlineStr">
        <is>
          <t>Danielle Bigby</t>
        </is>
      </c>
      <c r="B2658" t="inlineStr">
        <is>
          <t>Attendee</t>
        </is>
      </c>
      <c r="C2658" t="inlineStr">
        <is>
          <t>CEO</t>
        </is>
      </c>
      <c r="D2658" t="inlineStr">
        <is>
          <t>Uptown Paws Club</t>
        </is>
      </c>
      <c r="F2658" t="inlineStr">
        <is>
          <t>Yes</t>
        </is>
      </c>
      <c r="H2658" t="n">
        <v>6</v>
      </c>
      <c r="I2658" t="b">
        <v>0</v>
      </c>
      <c r="J2658" t="b">
        <v>1</v>
      </c>
      <c r="K2658" t="b">
        <v>0</v>
      </c>
      <c r="L2658" t="b">
        <v>0</v>
      </c>
      <c r="M2658" t="b">
        <v>0</v>
      </c>
      <c r="N2658">
        <f>IFERROR(INDEX('Company Hitlist'!$AA:$AA,MATCH(D2658,'Company Hitlist'!$A:$A,0)),)</f>
        <v/>
      </c>
      <c r="O2658">
        <f>IFERROR(INDEX('Company Hitlist'!$N:$N,MATCH(D2658,'Company Hitlist'!$A:$A,0)),)</f>
        <v/>
      </c>
      <c r="Q2658" t="inlineStr">
        <is>
          <t>todo</t>
        </is>
      </c>
    </row>
    <row r="2659">
      <c r="A2659" t="inlineStr">
        <is>
          <t>Brodie Foster</t>
        </is>
      </c>
      <c r="B2659" t="inlineStr">
        <is>
          <t>Attendee</t>
        </is>
      </c>
      <c r="C2659" t="inlineStr">
        <is>
          <t>Sr. VP &amp; CFO</t>
        </is>
      </c>
      <c r="D2659" t="inlineStr">
        <is>
          <t>V. Alexander &amp; Co., Inc.</t>
        </is>
      </c>
      <c r="H2659" t="n">
        <v>6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  <c r="N2659">
        <f>IFERROR(INDEX('Company Hitlist'!$AA:$AA,MATCH(D2659,'Company Hitlist'!$A:$A,0)),)</f>
        <v/>
      </c>
      <c r="O2659">
        <f>IFERROR(INDEX('Company Hitlist'!$N:$N,MATCH(D2659,'Company Hitlist'!$A:$A,0)),)</f>
        <v/>
      </c>
      <c r="Q2659" t="inlineStr">
        <is>
          <t>todo</t>
        </is>
      </c>
    </row>
    <row r="2660">
      <c r="A2660" t="inlineStr">
        <is>
          <t>Lars Oetjen</t>
        </is>
      </c>
      <c r="B2660" t="inlineStr">
        <is>
          <t>Attendee</t>
        </is>
      </c>
      <c r="C2660" t="inlineStr">
        <is>
          <t>Head of US development</t>
        </is>
      </c>
      <c r="D2660" t="inlineStr">
        <is>
          <t>VELA</t>
        </is>
      </c>
      <c r="E2660" t="inlineStr">
        <is>
          <t>France</t>
        </is>
      </c>
      <c r="H2660" t="n">
        <v>6</v>
      </c>
      <c r="I2660" t="b">
        <v>0</v>
      </c>
      <c r="J2660" t="b">
        <v>1</v>
      </c>
      <c r="K2660" t="b">
        <v>0</v>
      </c>
      <c r="L2660" t="b">
        <v>0</v>
      </c>
      <c r="M2660" t="b">
        <v>0</v>
      </c>
      <c r="N2660">
        <f>IFERROR(INDEX('Company Hitlist'!$AA:$AA,MATCH(D2660,'Company Hitlist'!$A:$A,0)),)</f>
        <v/>
      </c>
      <c r="O2660">
        <f>IFERROR(INDEX('Company Hitlist'!$N:$N,MATCH(D2660,'Company Hitlist'!$A:$A,0)),)</f>
        <v/>
      </c>
      <c r="Q2660" t="inlineStr">
        <is>
          <t>todo</t>
        </is>
      </c>
    </row>
    <row r="2661">
      <c r="A2661" t="inlineStr">
        <is>
          <t>Danny Ortiz</t>
        </is>
      </c>
      <c r="B2661" t="inlineStr">
        <is>
          <t>Attendee</t>
        </is>
      </c>
      <c r="C2661" t="inlineStr">
        <is>
          <t>Head of Strategic Partnerships</t>
        </is>
      </c>
      <c r="D2661" t="inlineStr">
        <is>
          <t>Valoroo</t>
        </is>
      </c>
      <c r="E2661" t="inlineStr">
        <is>
          <t>United States</t>
        </is>
      </c>
      <c r="H2661" t="n">
        <v>6</v>
      </c>
      <c r="I2661" t="b">
        <v>0</v>
      </c>
      <c r="J2661" t="b">
        <v>1</v>
      </c>
      <c r="K2661" t="b">
        <v>0</v>
      </c>
      <c r="L2661" t="b">
        <v>0</v>
      </c>
      <c r="M2661" t="b">
        <v>0</v>
      </c>
      <c r="N2661">
        <f>IFERROR(INDEX('Company Hitlist'!$AA:$AA,MATCH(D2661,'Company Hitlist'!$A:$A,0)),)</f>
        <v/>
      </c>
      <c r="O2661">
        <f>IFERROR(INDEX('Company Hitlist'!$N:$N,MATCH(D2661,'Company Hitlist'!$A:$A,0)),)</f>
        <v/>
      </c>
      <c r="Q2661" t="inlineStr">
        <is>
          <t>todo</t>
        </is>
      </c>
    </row>
    <row r="2662">
      <c r="A2662" t="inlineStr">
        <is>
          <t>Nick Schrock</t>
        </is>
      </c>
      <c r="B2662" t="inlineStr">
        <is>
          <t>Attendee</t>
        </is>
      </c>
      <c r="C2662" t="inlineStr">
        <is>
          <t>CEO</t>
        </is>
      </c>
      <c r="D2662" t="inlineStr">
        <is>
          <t>Valoroo Inc.</t>
        </is>
      </c>
      <c r="E2662" t="inlineStr">
        <is>
          <t>United States</t>
        </is>
      </c>
      <c r="F2662" t="inlineStr">
        <is>
          <t>Yes</t>
        </is>
      </c>
      <c r="H2662" t="n">
        <v>6</v>
      </c>
      <c r="I2662" t="b">
        <v>0</v>
      </c>
      <c r="J2662" t="b">
        <v>1</v>
      </c>
      <c r="K2662" t="b">
        <v>0</v>
      </c>
      <c r="L2662" t="b">
        <v>0</v>
      </c>
      <c r="M2662" t="b">
        <v>0</v>
      </c>
      <c r="N2662">
        <f>IFERROR(INDEX('Company Hitlist'!$AA:$AA,MATCH(D2662,'Company Hitlist'!$A:$A,0)),)</f>
        <v/>
      </c>
      <c r="O2662">
        <f>IFERROR(INDEX('Company Hitlist'!$N:$N,MATCH(D2662,'Company Hitlist'!$A:$A,0)),)</f>
        <v/>
      </c>
      <c r="Q2662" t="inlineStr">
        <is>
          <t>todo</t>
        </is>
      </c>
    </row>
    <row r="2663">
      <c r="A2663" t="inlineStr">
        <is>
          <t>Eric Rodriguez</t>
        </is>
      </c>
      <c r="B2663" t="inlineStr">
        <is>
          <t>Attendee</t>
        </is>
      </c>
      <c r="C2663" t="inlineStr">
        <is>
          <t>CEO</t>
        </is>
      </c>
      <c r="D2663" t="inlineStr">
        <is>
          <t>Vendorflow Inc.</t>
        </is>
      </c>
      <c r="E2663" t="inlineStr">
        <is>
          <t>United States</t>
        </is>
      </c>
      <c r="F2663" t="inlineStr">
        <is>
          <t>Yes</t>
        </is>
      </c>
      <c r="H2663" t="n">
        <v>6</v>
      </c>
      <c r="I2663" t="b">
        <v>0</v>
      </c>
      <c r="J2663" t="b">
        <v>1</v>
      </c>
      <c r="K2663" t="b">
        <v>0</v>
      </c>
      <c r="L2663" t="b">
        <v>0</v>
      </c>
      <c r="M2663" t="b">
        <v>0</v>
      </c>
      <c r="N2663">
        <f>IFERROR(INDEX('Company Hitlist'!$AA:$AA,MATCH(D2663,'Company Hitlist'!$A:$A,0)),)</f>
        <v/>
      </c>
      <c r="O2663">
        <f>IFERROR(INDEX('Company Hitlist'!$N:$N,MATCH(D2663,'Company Hitlist'!$A:$A,0)),)</f>
        <v/>
      </c>
      <c r="Q2663" t="inlineStr">
        <is>
          <t>todo</t>
        </is>
      </c>
    </row>
    <row r="2664">
      <c r="A2664" t="inlineStr">
        <is>
          <t>Vincent Lu</t>
        </is>
      </c>
      <c r="B2664" t="inlineStr">
        <is>
          <t>Attendee</t>
        </is>
      </c>
      <c r="C2664" t="inlineStr">
        <is>
          <t>CTO</t>
        </is>
      </c>
      <c r="D2664" t="inlineStr">
        <is>
          <t>Ventus</t>
        </is>
      </c>
      <c r="E2664" t="inlineStr">
        <is>
          <t>United States</t>
        </is>
      </c>
      <c r="F2664" t="inlineStr">
        <is>
          <t>Yes</t>
        </is>
      </c>
      <c r="G2664" t="inlineStr">
        <is>
          <t>$4M (2025 est.) (ICP match)</t>
        </is>
      </c>
      <c r="H2664" t="n">
        <v>6</v>
      </c>
      <c r="I2664" t="b">
        <v>0</v>
      </c>
      <c r="J2664" t="b">
        <v>1</v>
      </c>
      <c r="K2664" t="b">
        <v>0</v>
      </c>
      <c r="L2664" t="b">
        <v>0</v>
      </c>
      <c r="M2664" t="b">
        <v>0</v>
      </c>
      <c r="N2664">
        <f>IFERROR(INDEX('Company Hitlist'!$AA:$AA,MATCH(D2664,'Company Hitlist'!$A:$A,0)),)</f>
        <v/>
      </c>
      <c r="O2664">
        <f>IFERROR(INDEX('Company Hitlist'!$N:$N,MATCH(D2664,'Company Hitlist'!$A:$A,0)),)</f>
        <v/>
      </c>
      <c r="Q2664" t="inlineStr">
        <is>
          <t>todo</t>
        </is>
      </c>
    </row>
    <row r="2665">
      <c r="A2665" t="inlineStr">
        <is>
          <t>Thomas Zeindler</t>
        </is>
      </c>
      <c r="B2665" t="inlineStr">
        <is>
          <t>Attendee</t>
        </is>
      </c>
      <c r="C2665" t="inlineStr">
        <is>
          <t>CIO</t>
        </is>
      </c>
      <c r="D2665" t="inlineStr">
        <is>
          <t>Veridian Health Care</t>
        </is>
      </c>
      <c r="F2665" t="inlineStr">
        <is>
          <t>Yes</t>
        </is>
      </c>
      <c r="H2665" t="n">
        <v>6</v>
      </c>
      <c r="I2665" t="b">
        <v>0</v>
      </c>
      <c r="J2665" t="b">
        <v>1</v>
      </c>
      <c r="K2665" t="b">
        <v>0</v>
      </c>
      <c r="L2665" t="b">
        <v>0</v>
      </c>
      <c r="M2665" t="b">
        <v>0</v>
      </c>
      <c r="N2665">
        <f>IFERROR(INDEX('Company Hitlist'!$AA:$AA,MATCH(D2665,'Company Hitlist'!$A:$A,0)),)</f>
        <v/>
      </c>
      <c r="O2665">
        <f>IFERROR(INDEX('Company Hitlist'!$N:$N,MATCH(D2665,'Company Hitlist'!$A:$A,0)),)</f>
        <v/>
      </c>
      <c r="Q2665" t="inlineStr">
        <is>
          <t>todo</t>
        </is>
      </c>
    </row>
    <row r="2666">
      <c r="A2666" t="inlineStr">
        <is>
          <t>Alex Panfilov</t>
        </is>
      </c>
      <c r="B2666" t="inlineStr">
        <is>
          <t>Attendee</t>
        </is>
      </c>
      <c r="C2666" t="inlineStr">
        <is>
          <t>CEO</t>
        </is>
      </c>
      <c r="D2666" t="inlineStr">
        <is>
          <t>Verified Carrier</t>
        </is>
      </c>
      <c r="E2666" t="inlineStr">
        <is>
          <t>United States</t>
        </is>
      </c>
      <c r="F2666" t="inlineStr">
        <is>
          <t>Yes</t>
        </is>
      </c>
      <c r="H2666" t="n">
        <v>6</v>
      </c>
      <c r="I2666" t="b">
        <v>0</v>
      </c>
      <c r="J2666" t="b">
        <v>1</v>
      </c>
      <c r="K2666" t="b">
        <v>0</v>
      </c>
      <c r="L2666" t="b">
        <v>0</v>
      </c>
      <c r="M2666" t="b">
        <v>0</v>
      </c>
      <c r="N2666">
        <f>IFERROR(INDEX('Company Hitlist'!$AA:$AA,MATCH(D2666,'Company Hitlist'!$A:$A,0)),)</f>
        <v/>
      </c>
      <c r="O2666">
        <f>IFERROR(INDEX('Company Hitlist'!$N:$N,MATCH(D2666,'Company Hitlist'!$A:$A,0)),)</f>
        <v/>
      </c>
      <c r="Q2666" t="inlineStr">
        <is>
          <t>todo</t>
        </is>
      </c>
    </row>
    <row r="2667">
      <c r="A2667" t="inlineStr">
        <is>
          <t>Nigel Rughani</t>
        </is>
      </c>
      <c r="B2667" t="inlineStr">
        <is>
          <t>Attendee</t>
        </is>
      </c>
      <c r="C2667" t="inlineStr">
        <is>
          <t>VP, Corporate Development</t>
        </is>
      </c>
      <c r="D2667" t="inlineStr">
        <is>
          <t>Vertex Inc.</t>
        </is>
      </c>
      <c r="E2667" t="inlineStr">
        <is>
          <t>United States</t>
        </is>
      </c>
      <c r="H2667" t="n">
        <v>6</v>
      </c>
      <c r="I2667" t="b">
        <v>0</v>
      </c>
      <c r="J2667" t="b">
        <v>1</v>
      </c>
      <c r="K2667" t="b">
        <v>0</v>
      </c>
      <c r="L2667" t="b">
        <v>0</v>
      </c>
      <c r="M2667" t="b">
        <v>0</v>
      </c>
      <c r="N2667">
        <f>IFERROR(INDEX('Company Hitlist'!$AA:$AA,MATCH(D2667,'Company Hitlist'!$A:$A,0)),)</f>
        <v/>
      </c>
      <c r="O2667">
        <f>IFERROR(INDEX('Company Hitlist'!$N:$N,MATCH(D2667,'Company Hitlist'!$A:$A,0)),)</f>
        <v/>
      </c>
      <c r="Q2667" t="inlineStr">
        <is>
          <t>todo</t>
        </is>
      </c>
    </row>
    <row r="2668">
      <c r="A2668" t="inlineStr">
        <is>
          <t>Stella Yuan</t>
        </is>
      </c>
      <c r="B2668" t="inlineStr">
        <is>
          <t>Attendee</t>
        </is>
      </c>
      <c r="C2668" t="inlineStr">
        <is>
          <t>Vice President SIOP and Global Planning</t>
        </is>
      </c>
      <c r="D2668" t="inlineStr">
        <is>
          <t>Vertiv</t>
        </is>
      </c>
      <c r="F2668" t="inlineStr">
        <is>
          <t>Yes</t>
        </is>
      </c>
      <c r="G2668" t="inlineStr">
        <is>
          <t>$9.7B (2025 est.)</t>
        </is>
      </c>
      <c r="H2668" t="n">
        <v>6</v>
      </c>
      <c r="I2668" t="b">
        <v>0</v>
      </c>
      <c r="J2668" t="b">
        <v>1</v>
      </c>
      <c r="K2668" t="b">
        <v>0</v>
      </c>
      <c r="L2668" t="b">
        <v>0</v>
      </c>
      <c r="M2668" t="b">
        <v>0</v>
      </c>
      <c r="N2668">
        <f>IFERROR(INDEX('Company Hitlist'!$AA:$AA,MATCH(D2668,'Company Hitlist'!$A:$A,0)),)</f>
        <v/>
      </c>
      <c r="O2668">
        <f>IFERROR(INDEX('Company Hitlist'!$N:$N,MATCH(D2668,'Company Hitlist'!$A:$A,0)),)</f>
        <v/>
      </c>
      <c r="Q2668" t="inlineStr">
        <is>
          <t>todo</t>
        </is>
      </c>
    </row>
    <row r="2669">
      <c r="A2669" t="inlineStr">
        <is>
          <t>Kylie Perales</t>
        </is>
      </c>
      <c r="B2669" t="inlineStr">
        <is>
          <t>Attendee</t>
        </is>
      </c>
      <c r="C2669" t="inlineStr">
        <is>
          <t>Co-Founder and CEO</t>
        </is>
      </c>
      <c r="D2669" t="inlineStr">
        <is>
          <t>Vetra Technologies</t>
        </is>
      </c>
      <c r="E2669" t="inlineStr">
        <is>
          <t>United States</t>
        </is>
      </c>
      <c r="H2669" t="n">
        <v>6</v>
      </c>
      <c r="I2669" t="b">
        <v>0</v>
      </c>
      <c r="J2669" t="b">
        <v>1</v>
      </c>
      <c r="K2669" t="b">
        <v>0</v>
      </c>
      <c r="L2669" t="b">
        <v>0</v>
      </c>
      <c r="M2669" t="b">
        <v>0</v>
      </c>
      <c r="N2669">
        <f>IFERROR(INDEX('Company Hitlist'!$AA:$AA,MATCH(D2669,'Company Hitlist'!$A:$A,0)),)</f>
        <v/>
      </c>
      <c r="O2669">
        <f>IFERROR(INDEX('Company Hitlist'!$N:$N,MATCH(D2669,'Company Hitlist'!$A:$A,0)),)</f>
        <v/>
      </c>
      <c r="Q2669" t="inlineStr">
        <is>
          <t>todo</t>
        </is>
      </c>
    </row>
    <row r="2670">
      <c r="A2670" t="inlineStr">
        <is>
          <t>Richard Shure</t>
        </is>
      </c>
      <c r="B2670" t="inlineStr">
        <is>
          <t>Attendee</t>
        </is>
      </c>
      <c r="C2670" t="inlineStr">
        <is>
          <t>Co-Founder and CEO</t>
        </is>
      </c>
      <c r="D2670" t="inlineStr">
        <is>
          <t>Vetra Technologies</t>
        </is>
      </c>
      <c r="E2670" t="inlineStr">
        <is>
          <t>United States</t>
        </is>
      </c>
      <c r="H2670" t="n">
        <v>6</v>
      </c>
      <c r="I2670" t="b">
        <v>0</v>
      </c>
      <c r="J2670" t="b">
        <v>1</v>
      </c>
      <c r="K2670" t="b">
        <v>0</v>
      </c>
      <c r="L2670" t="b">
        <v>0</v>
      </c>
      <c r="M2670" t="b">
        <v>0</v>
      </c>
      <c r="N2670">
        <f>IFERROR(INDEX('Company Hitlist'!$AA:$AA,MATCH(D2670,'Company Hitlist'!$A:$A,0)),)</f>
        <v/>
      </c>
      <c r="O2670">
        <f>IFERROR(INDEX('Company Hitlist'!$N:$N,MATCH(D2670,'Company Hitlist'!$A:$A,0)),)</f>
        <v/>
      </c>
      <c r="Q2670" t="inlineStr">
        <is>
          <t>todo</t>
        </is>
      </c>
    </row>
    <row r="2671">
      <c r="A2671" t="inlineStr">
        <is>
          <t>Sean Agatep</t>
        </is>
      </c>
      <c r="B2671" t="inlineStr">
        <is>
          <t>Attendee</t>
        </is>
      </c>
      <c r="C2671" t="inlineStr">
        <is>
          <t>Co-Founder/COO</t>
        </is>
      </c>
      <c r="D2671" t="inlineStr">
        <is>
          <t>Vincero</t>
        </is>
      </c>
      <c r="F2671" t="inlineStr">
        <is>
          <t>Yes</t>
        </is>
      </c>
      <c r="H2671" t="n">
        <v>6</v>
      </c>
      <c r="I2671" t="b">
        <v>0</v>
      </c>
      <c r="J2671" t="b">
        <v>1</v>
      </c>
      <c r="K2671" t="b">
        <v>0</v>
      </c>
      <c r="L2671" t="b">
        <v>0</v>
      </c>
      <c r="M2671" t="b">
        <v>0</v>
      </c>
      <c r="N2671">
        <f>IFERROR(INDEX('Company Hitlist'!$AA:$AA,MATCH(D2671,'Company Hitlist'!$A:$A,0)),)</f>
        <v/>
      </c>
      <c r="O2671">
        <f>IFERROR(INDEX('Company Hitlist'!$N:$N,MATCH(D2671,'Company Hitlist'!$A:$A,0)),)</f>
        <v/>
      </c>
      <c r="Q2671" t="inlineStr">
        <is>
          <t>todo</t>
        </is>
      </c>
    </row>
    <row r="2672">
      <c r="A2672" t="inlineStr">
        <is>
          <t>Gad Levy</t>
        </is>
      </c>
      <c r="B2672" t="inlineStr">
        <is>
          <t>Attendee</t>
        </is>
      </c>
      <c r="C2672" t="inlineStr">
        <is>
          <t>CTO</t>
        </is>
      </c>
      <c r="D2672" t="inlineStr">
        <is>
          <t>Vink</t>
        </is>
      </c>
      <c r="E2672" t="inlineStr">
        <is>
          <t>Mexico</t>
        </is>
      </c>
      <c r="H2672" t="n">
        <v>6</v>
      </c>
      <c r="I2672" t="b">
        <v>0</v>
      </c>
      <c r="J2672" t="b">
        <v>1</v>
      </c>
      <c r="K2672" t="b">
        <v>0</v>
      </c>
      <c r="L2672" t="b">
        <v>0</v>
      </c>
      <c r="M2672" t="b">
        <v>0</v>
      </c>
      <c r="N2672">
        <f>IFERROR(INDEX('Company Hitlist'!$AA:$AA,MATCH(D2672,'Company Hitlist'!$A:$A,0)),)</f>
        <v/>
      </c>
      <c r="O2672">
        <f>IFERROR(INDEX('Company Hitlist'!$N:$N,MATCH(D2672,'Company Hitlist'!$A:$A,0)),)</f>
        <v/>
      </c>
      <c r="Q2672" t="inlineStr">
        <is>
          <t>todo</t>
        </is>
      </c>
    </row>
    <row r="2673">
      <c r="A2673" t="inlineStr">
        <is>
          <t>Alexander Style</t>
        </is>
      </c>
      <c r="B2673" t="inlineStr">
        <is>
          <t>Attendee</t>
        </is>
      </c>
      <c r="C2673" t="inlineStr">
        <is>
          <t>General Manager</t>
        </is>
      </c>
      <c r="D2673" t="inlineStr">
        <is>
          <t>Vinturas</t>
        </is>
      </c>
      <c r="E2673" t="inlineStr">
        <is>
          <t>United States</t>
        </is>
      </c>
      <c r="F2673" t="inlineStr">
        <is>
          <t>Yes</t>
        </is>
      </c>
      <c r="H2673" t="n">
        <v>6</v>
      </c>
      <c r="I2673" t="b">
        <v>0</v>
      </c>
      <c r="J2673" t="b">
        <v>1</v>
      </c>
      <c r="K2673" t="b">
        <v>0</v>
      </c>
      <c r="L2673" t="b">
        <v>0</v>
      </c>
      <c r="M2673" t="b">
        <v>0</v>
      </c>
      <c r="N2673">
        <f>IFERROR(INDEX('Company Hitlist'!$AA:$AA,MATCH(D2673,'Company Hitlist'!$A:$A,0)),)</f>
        <v/>
      </c>
      <c r="O2673">
        <f>IFERROR(INDEX('Company Hitlist'!$N:$N,MATCH(D2673,'Company Hitlist'!$A:$A,0)),)</f>
        <v/>
      </c>
      <c r="Q2673" t="inlineStr">
        <is>
          <t>todo</t>
        </is>
      </c>
    </row>
    <row r="2674">
      <c r="A2674" t="inlineStr">
        <is>
          <t>Gideon Richheimer</t>
        </is>
      </c>
      <c r="B2674" t="inlineStr">
        <is>
          <t>Attendee</t>
        </is>
      </c>
      <c r="C2674" t="inlineStr">
        <is>
          <t>CEO</t>
        </is>
      </c>
      <c r="D2674" t="inlineStr">
        <is>
          <t>Visionairo Systems</t>
        </is>
      </c>
      <c r="E2674" t="inlineStr">
        <is>
          <t>Netherlands</t>
        </is>
      </c>
      <c r="F2674" t="inlineStr">
        <is>
          <t>Yes</t>
        </is>
      </c>
      <c r="H2674" t="n">
        <v>6</v>
      </c>
      <c r="I2674" t="b">
        <v>0</v>
      </c>
      <c r="J2674" t="b">
        <v>1</v>
      </c>
      <c r="K2674" t="b">
        <v>0</v>
      </c>
      <c r="L2674" t="b">
        <v>0</v>
      </c>
      <c r="M2674" t="b">
        <v>0</v>
      </c>
      <c r="N2674">
        <f>IFERROR(INDEX('Company Hitlist'!$AA:$AA,MATCH(D2674,'Company Hitlist'!$A:$A,0)),)</f>
        <v/>
      </c>
      <c r="O2674">
        <f>IFERROR(INDEX('Company Hitlist'!$N:$N,MATCH(D2674,'Company Hitlist'!$A:$A,0)),)</f>
        <v/>
      </c>
      <c r="Q2674" t="inlineStr">
        <is>
          <t>todo</t>
        </is>
      </c>
    </row>
    <row r="2675">
      <c r="A2675" t="inlineStr">
        <is>
          <t>Jaeyong An</t>
        </is>
      </c>
      <c r="B2675" t="inlineStr">
        <is>
          <t>Attendee</t>
        </is>
      </c>
      <c r="C2675" t="inlineStr">
        <is>
          <t>CEO</t>
        </is>
      </c>
      <c r="D2675" t="inlineStr">
        <is>
          <t>Visionventory.ai</t>
        </is>
      </c>
      <c r="F2675" t="inlineStr">
        <is>
          <t>Yes</t>
        </is>
      </c>
      <c r="H2675" t="n">
        <v>6</v>
      </c>
      <c r="I2675" t="b">
        <v>0</v>
      </c>
      <c r="J2675" t="b">
        <v>1</v>
      </c>
      <c r="K2675" t="b">
        <v>0</v>
      </c>
      <c r="L2675" t="b">
        <v>0</v>
      </c>
      <c r="M2675" t="b">
        <v>0</v>
      </c>
      <c r="N2675">
        <f>IFERROR(INDEX('Company Hitlist'!$AA:$AA,MATCH(D2675,'Company Hitlist'!$A:$A,0)),)</f>
        <v/>
      </c>
      <c r="O2675">
        <f>IFERROR(INDEX('Company Hitlist'!$N:$N,MATCH(D2675,'Company Hitlist'!$A:$A,0)),)</f>
        <v/>
      </c>
      <c r="Q2675" t="inlineStr">
        <is>
          <t>todo</t>
        </is>
      </c>
    </row>
    <row r="2676">
      <c r="A2676" t="inlineStr">
        <is>
          <t>Ryan McMorrow</t>
        </is>
      </c>
      <c r="B2676" t="inlineStr">
        <is>
          <t>Attendee</t>
        </is>
      </c>
      <c r="C2676" t="inlineStr">
        <is>
          <t>Senior Vice President</t>
        </is>
      </c>
      <c r="D2676" t="inlineStr">
        <is>
          <t>Vista Equity Partners</t>
        </is>
      </c>
      <c r="E2676" t="inlineStr">
        <is>
          <t>United States</t>
        </is>
      </c>
      <c r="H2676" t="n">
        <v>6</v>
      </c>
      <c r="I2676" t="b">
        <v>0</v>
      </c>
      <c r="J2676" t="b">
        <v>1</v>
      </c>
      <c r="K2676" t="b">
        <v>0</v>
      </c>
      <c r="L2676" t="b">
        <v>0</v>
      </c>
      <c r="M2676" t="b">
        <v>0</v>
      </c>
      <c r="N2676">
        <f>IFERROR(INDEX('Company Hitlist'!$AA:$AA,MATCH(D2676,'Company Hitlist'!$A:$A,0)),)</f>
        <v/>
      </c>
      <c r="O2676">
        <f>IFERROR(INDEX('Company Hitlist'!$N:$N,MATCH(D2676,'Company Hitlist'!$A:$A,0)),)</f>
        <v/>
      </c>
      <c r="Q2676" t="inlineStr">
        <is>
          <t>todo</t>
        </is>
      </c>
    </row>
    <row r="2677">
      <c r="A2677" t="inlineStr">
        <is>
          <t>Antonio Luna</t>
        </is>
      </c>
      <c r="B2677" t="inlineStr">
        <is>
          <t>Attendee</t>
        </is>
      </c>
      <c r="C2677" t="inlineStr">
        <is>
          <t>CEO &amp; Founder</t>
        </is>
      </c>
      <c r="D2677" t="inlineStr">
        <is>
          <t>Vitti Logistics</t>
        </is>
      </c>
      <c r="E2677" t="inlineStr">
        <is>
          <t>United States</t>
        </is>
      </c>
      <c r="F2677" t="inlineStr">
        <is>
          <t>Yes</t>
        </is>
      </c>
      <c r="H2677" t="n">
        <v>6</v>
      </c>
      <c r="I2677" t="b">
        <v>0</v>
      </c>
      <c r="J2677" t="b">
        <v>1</v>
      </c>
      <c r="K2677" t="b">
        <v>0</v>
      </c>
      <c r="L2677" t="b">
        <v>0</v>
      </c>
      <c r="M2677" t="b">
        <v>0</v>
      </c>
      <c r="N2677">
        <f>IFERROR(INDEX('Company Hitlist'!$AA:$AA,MATCH(D2677,'Company Hitlist'!$A:$A,0)),)</f>
        <v/>
      </c>
      <c r="O2677">
        <f>IFERROR(INDEX('Company Hitlist'!$N:$N,MATCH(D2677,'Company Hitlist'!$A:$A,0)),)</f>
        <v/>
      </c>
      <c r="Q2677" t="inlineStr">
        <is>
          <t>todo</t>
        </is>
      </c>
    </row>
    <row r="2678">
      <c r="A2678" t="inlineStr">
        <is>
          <t>Tiger Henderson</t>
        </is>
      </c>
      <c r="B2678" t="inlineStr">
        <is>
          <t>Attendee</t>
        </is>
      </c>
      <c r="C2678" t="inlineStr">
        <is>
          <t>Vice President</t>
        </is>
      </c>
      <c r="D2678" t="inlineStr">
        <is>
          <t>Volition Capital</t>
        </is>
      </c>
      <c r="E2678" t="inlineStr">
        <is>
          <t>United States</t>
        </is>
      </c>
      <c r="H2678" t="n">
        <v>6</v>
      </c>
      <c r="I2678" t="b">
        <v>0</v>
      </c>
      <c r="J2678" t="b">
        <v>1</v>
      </c>
      <c r="K2678" t="b">
        <v>0</v>
      </c>
      <c r="L2678" t="b">
        <v>0</v>
      </c>
      <c r="M2678" t="b">
        <v>0</v>
      </c>
      <c r="N2678">
        <f>IFERROR(INDEX('Company Hitlist'!$AA:$AA,MATCH(D2678,'Company Hitlist'!$A:$A,0)),)</f>
        <v/>
      </c>
      <c r="O2678">
        <f>IFERROR(INDEX('Company Hitlist'!$N:$N,MATCH(D2678,'Company Hitlist'!$A:$A,0)),)</f>
        <v/>
      </c>
      <c r="Q2678" t="inlineStr">
        <is>
          <t>todo</t>
        </is>
      </c>
    </row>
    <row r="2679">
      <c r="A2679" t="inlineStr">
        <is>
          <t>Daniel Sokolovsky</t>
        </is>
      </c>
      <c r="B2679" t="inlineStr">
        <is>
          <t>Attendee</t>
        </is>
      </c>
      <c r="C2679" t="inlineStr">
        <is>
          <t>CEO</t>
        </is>
      </c>
      <c r="D2679" t="inlineStr">
        <is>
          <t>WARP</t>
        </is>
      </c>
      <c r="E2679" t="inlineStr">
        <is>
          <t>United States</t>
        </is>
      </c>
      <c r="F2679" t="inlineStr">
        <is>
          <t>Yes</t>
        </is>
      </c>
      <c r="H2679" t="n">
        <v>6</v>
      </c>
      <c r="I2679" t="b">
        <v>0</v>
      </c>
      <c r="J2679" t="b">
        <v>1</v>
      </c>
      <c r="K2679" t="b">
        <v>0</v>
      </c>
      <c r="L2679" t="b">
        <v>0</v>
      </c>
      <c r="M2679" t="b">
        <v>0</v>
      </c>
      <c r="N2679">
        <f>IFERROR(INDEX('Company Hitlist'!$AA:$AA,MATCH(D2679,'Company Hitlist'!$A:$A,0)),)</f>
        <v/>
      </c>
      <c r="O2679">
        <f>IFERROR(INDEX('Company Hitlist'!$N:$N,MATCH(D2679,'Company Hitlist'!$A:$A,0)),)</f>
        <v/>
      </c>
      <c r="Q2679" t="inlineStr">
        <is>
          <t>todo</t>
        </is>
      </c>
    </row>
    <row r="2680">
      <c r="A2680" t="inlineStr">
        <is>
          <t>Lior Adorian</t>
        </is>
      </c>
      <c r="B2680" t="inlineStr">
        <is>
          <t>Attendee</t>
        </is>
      </c>
      <c r="C2680" t="inlineStr">
        <is>
          <t>Head Of Business Opertions</t>
        </is>
      </c>
      <c r="D2680" t="inlineStr">
        <is>
          <t>WARP</t>
        </is>
      </c>
      <c r="E2680" t="inlineStr">
        <is>
          <t>United States</t>
        </is>
      </c>
      <c r="F2680" t="inlineStr">
        <is>
          <t>Yes</t>
        </is>
      </c>
      <c r="H2680" t="n">
        <v>6</v>
      </c>
      <c r="I2680" t="b">
        <v>0</v>
      </c>
      <c r="J2680" t="b">
        <v>1</v>
      </c>
      <c r="K2680" t="b">
        <v>0</v>
      </c>
      <c r="L2680" t="b">
        <v>0</v>
      </c>
      <c r="M2680" t="b">
        <v>0</v>
      </c>
      <c r="N2680">
        <f>IFERROR(INDEX('Company Hitlist'!$AA:$AA,MATCH(D2680,'Company Hitlist'!$A:$A,0)),)</f>
        <v/>
      </c>
      <c r="O2680">
        <f>IFERROR(INDEX('Company Hitlist'!$N:$N,MATCH(D2680,'Company Hitlist'!$A:$A,0)),)</f>
        <v/>
      </c>
      <c r="Q2680" t="inlineStr">
        <is>
          <t>todo</t>
        </is>
      </c>
    </row>
    <row r="2681">
      <c r="A2681" t="inlineStr">
        <is>
          <t>Mario Gomez</t>
        </is>
      </c>
      <c r="B2681" t="inlineStr">
        <is>
          <t>Attendee</t>
        </is>
      </c>
      <c r="C2681" t="inlineStr">
        <is>
          <t>CEO</t>
        </is>
      </c>
      <c r="D2681" t="inlineStr">
        <is>
          <t>WE CAN MOVE IT LOGISTICS LLC</t>
        </is>
      </c>
      <c r="E2681" t="inlineStr">
        <is>
          <t>United States</t>
        </is>
      </c>
      <c r="F2681" t="inlineStr">
        <is>
          <t>Yes</t>
        </is>
      </c>
      <c r="H2681" t="n">
        <v>6</v>
      </c>
      <c r="I2681" t="b">
        <v>0</v>
      </c>
      <c r="J2681" t="b">
        <v>1</v>
      </c>
      <c r="K2681" t="b">
        <v>0</v>
      </c>
      <c r="L2681" t="b">
        <v>0</v>
      </c>
      <c r="M2681" t="b">
        <v>0</v>
      </c>
      <c r="N2681">
        <f>IFERROR(INDEX('Company Hitlist'!$AA:$AA,MATCH(D2681,'Company Hitlist'!$A:$A,0)),)</f>
        <v/>
      </c>
      <c r="O2681">
        <f>IFERROR(INDEX('Company Hitlist'!$N:$N,MATCH(D2681,'Company Hitlist'!$A:$A,0)),)</f>
        <v/>
      </c>
      <c r="Q2681" t="inlineStr">
        <is>
          <t>todo</t>
        </is>
      </c>
    </row>
    <row r="2682">
      <c r="A2682" t="inlineStr">
        <is>
          <t>Steve Capser</t>
        </is>
      </c>
      <c r="B2682" t="inlineStr">
        <is>
          <t>Attendee</t>
        </is>
      </c>
      <c r="C2682" t="inlineStr">
        <is>
          <t>Chief Operating Officer</t>
        </is>
      </c>
      <c r="D2682" t="inlineStr">
        <is>
          <t>WF Whelan Logistics</t>
        </is>
      </c>
      <c r="E2682" t="inlineStr">
        <is>
          <t>United States</t>
        </is>
      </c>
      <c r="F2682" t="inlineStr">
        <is>
          <t>Yes</t>
        </is>
      </c>
      <c r="H2682" t="n">
        <v>6</v>
      </c>
      <c r="I2682" t="b">
        <v>0</v>
      </c>
      <c r="J2682" t="b">
        <v>1</v>
      </c>
      <c r="K2682" t="b">
        <v>0</v>
      </c>
      <c r="L2682" t="b">
        <v>0</v>
      </c>
      <c r="M2682" t="b">
        <v>0</v>
      </c>
      <c r="N2682">
        <f>IFERROR(INDEX('Company Hitlist'!$AA:$AA,MATCH(D2682,'Company Hitlist'!$A:$A,0)),)</f>
        <v/>
      </c>
      <c r="O2682">
        <f>IFERROR(INDEX('Company Hitlist'!$N:$N,MATCH(D2682,'Company Hitlist'!$A:$A,0)),)</f>
        <v/>
      </c>
      <c r="Q2682" t="inlineStr">
        <is>
          <t>todo</t>
        </is>
      </c>
    </row>
    <row r="2683">
      <c r="A2683" t="inlineStr">
        <is>
          <t>Sarang Gaikwad</t>
        </is>
      </c>
      <c r="B2683" t="inlineStr">
        <is>
          <t>Attendee</t>
        </is>
      </c>
      <c r="C2683" t="inlineStr">
        <is>
          <t>Senior Vice President</t>
        </is>
      </c>
      <c r="D2683" t="inlineStr">
        <is>
          <t>WNS Global Services</t>
        </is>
      </c>
      <c r="E2683" t="inlineStr">
        <is>
          <t>United States</t>
        </is>
      </c>
      <c r="H2683" t="n">
        <v>6</v>
      </c>
      <c r="I2683" t="b">
        <v>0</v>
      </c>
      <c r="J2683" t="b">
        <v>1</v>
      </c>
      <c r="K2683" t="b">
        <v>0</v>
      </c>
      <c r="L2683" t="b">
        <v>0</v>
      </c>
      <c r="M2683" t="b">
        <v>0</v>
      </c>
      <c r="N2683">
        <f>IFERROR(INDEX('Company Hitlist'!$AA:$AA,MATCH(D2683,'Company Hitlist'!$A:$A,0)),)</f>
        <v/>
      </c>
      <c r="O2683">
        <f>IFERROR(INDEX('Company Hitlist'!$N:$N,MATCH(D2683,'Company Hitlist'!$A:$A,0)),)</f>
        <v/>
      </c>
      <c r="Q2683" t="inlineStr">
        <is>
          <t>todo</t>
        </is>
      </c>
    </row>
    <row r="2684">
      <c r="A2684" t="inlineStr">
        <is>
          <t>Jonathan Drouin</t>
        </is>
      </c>
      <c r="B2684" t="inlineStr">
        <is>
          <t>Attendee</t>
        </is>
      </c>
      <c r="C2684" t="inlineStr">
        <is>
          <t>VP of Product Strategy &amp; Design</t>
        </is>
      </c>
      <c r="D2684" t="inlineStr">
        <is>
          <t>WWEX Group</t>
        </is>
      </c>
      <c r="E2684" t="inlineStr">
        <is>
          <t>United States</t>
        </is>
      </c>
      <c r="F2684" t="inlineStr">
        <is>
          <t>Yes</t>
        </is>
      </c>
      <c r="H2684" t="n">
        <v>6</v>
      </c>
      <c r="I2684" t="b">
        <v>0</v>
      </c>
      <c r="J2684" t="b">
        <v>1</v>
      </c>
      <c r="K2684" t="b">
        <v>0</v>
      </c>
      <c r="L2684" t="b">
        <v>0</v>
      </c>
      <c r="M2684" t="b">
        <v>0</v>
      </c>
      <c r="N2684">
        <f>IFERROR(INDEX('Company Hitlist'!$AA:$AA,MATCH(D2684,'Company Hitlist'!$A:$A,0)),)</f>
        <v/>
      </c>
      <c r="O2684">
        <f>IFERROR(INDEX('Company Hitlist'!$N:$N,MATCH(D2684,'Company Hitlist'!$A:$A,0)),)</f>
        <v/>
      </c>
      <c r="Q2684" t="inlineStr">
        <is>
          <t>todo</t>
        </is>
      </c>
    </row>
    <row r="2685">
      <c r="A2685" t="inlineStr">
        <is>
          <t>Andrew Price</t>
        </is>
      </c>
      <c r="B2685" t="inlineStr">
        <is>
          <t>Attendee</t>
        </is>
      </c>
      <c r="C2685" t="inlineStr">
        <is>
          <t>Head of Commercial Products</t>
        </is>
      </c>
      <c r="D2685" t="inlineStr">
        <is>
          <t>Waabi</t>
        </is>
      </c>
      <c r="E2685" t="inlineStr">
        <is>
          <t>United States</t>
        </is>
      </c>
      <c r="H2685" t="n">
        <v>6</v>
      </c>
      <c r="I2685" t="b">
        <v>0</v>
      </c>
      <c r="J2685" t="b">
        <v>1</v>
      </c>
      <c r="K2685" t="b">
        <v>0</v>
      </c>
      <c r="L2685" t="b">
        <v>0</v>
      </c>
      <c r="M2685" t="b">
        <v>0</v>
      </c>
      <c r="N2685">
        <f>IFERROR(INDEX('Company Hitlist'!$AA:$AA,MATCH(D2685,'Company Hitlist'!$A:$A,0)),)</f>
        <v/>
      </c>
      <c r="O2685">
        <f>IFERROR(INDEX('Company Hitlist'!$N:$N,MATCH(D2685,'Company Hitlist'!$A:$A,0)),)</f>
        <v/>
      </c>
      <c r="Q2685" t="inlineStr">
        <is>
          <t>todo</t>
        </is>
      </c>
    </row>
    <row r="2686">
      <c r="A2686" t="inlineStr">
        <is>
          <t>Brad Kreider</t>
        </is>
      </c>
      <c r="B2686" t="inlineStr">
        <is>
          <t>Attendee</t>
        </is>
      </c>
      <c r="C2686" t="inlineStr">
        <is>
          <t>Head of Commercial</t>
        </is>
      </c>
      <c r="D2686" t="inlineStr">
        <is>
          <t>Waabi</t>
        </is>
      </c>
      <c r="E2686" t="inlineStr">
        <is>
          <t>United States</t>
        </is>
      </c>
      <c r="H2686" t="n">
        <v>6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>
        <f>IFERROR(INDEX('Company Hitlist'!$AA:$AA,MATCH(D2686,'Company Hitlist'!$A:$A,0)),)</f>
        <v/>
      </c>
      <c r="O2686">
        <f>IFERROR(INDEX('Company Hitlist'!$N:$N,MATCH(D2686,'Company Hitlist'!$A:$A,0)),)</f>
        <v/>
      </c>
      <c r="Q2686" t="inlineStr">
        <is>
          <t>todo</t>
        </is>
      </c>
    </row>
    <row r="2687">
      <c r="A2687" t="inlineStr">
        <is>
          <t>Cory O'Brien</t>
        </is>
      </c>
      <c r="B2687" t="inlineStr">
        <is>
          <t>Attendee</t>
        </is>
      </c>
      <c r="C2687" t="inlineStr">
        <is>
          <t>VP, Digital Enablement</t>
        </is>
      </c>
      <c r="D2687" t="inlineStr">
        <is>
          <t>Wabash</t>
        </is>
      </c>
      <c r="E2687" t="inlineStr">
        <is>
          <t>United States</t>
        </is>
      </c>
      <c r="F2687" t="inlineStr">
        <is>
          <t>Yes</t>
        </is>
      </c>
      <c r="G2687" t="inlineStr">
        <is>
          <t>1946740000</t>
        </is>
      </c>
      <c r="H2687" t="n">
        <v>6</v>
      </c>
      <c r="I2687" t="b">
        <v>0</v>
      </c>
      <c r="J2687" t="b">
        <v>1</v>
      </c>
      <c r="K2687" t="b">
        <v>0</v>
      </c>
      <c r="L2687" t="b">
        <v>0</v>
      </c>
      <c r="M2687" t="b">
        <v>0</v>
      </c>
      <c r="N2687">
        <f>IFERROR(INDEX('Company Hitlist'!$AA:$AA,MATCH(D2687,'Company Hitlist'!$A:$A,0)),)</f>
        <v/>
      </c>
      <c r="O2687">
        <f>IFERROR(INDEX('Company Hitlist'!$N:$N,MATCH(D2687,'Company Hitlist'!$A:$A,0)),)</f>
        <v/>
      </c>
      <c r="Q2687" t="inlineStr">
        <is>
          <t>todo</t>
        </is>
      </c>
    </row>
    <row r="2688">
      <c r="A2688" t="inlineStr">
        <is>
          <t>Anil Nair</t>
        </is>
      </c>
      <c r="B2688" t="inlineStr">
        <is>
          <t>Attendee</t>
        </is>
      </c>
      <c r="C2688" t="inlineStr">
        <is>
          <t>VP, Walmart eCommerce</t>
        </is>
      </c>
      <c r="D2688" t="inlineStr">
        <is>
          <t>Walmart</t>
        </is>
      </c>
      <c r="F2688" t="inlineStr">
        <is>
          <t>Yes</t>
        </is>
      </c>
      <c r="H2688" t="n">
        <v>6</v>
      </c>
      <c r="I2688" t="b">
        <v>0</v>
      </c>
      <c r="J2688" t="b">
        <v>1</v>
      </c>
      <c r="K2688" t="b">
        <v>0</v>
      </c>
      <c r="L2688" t="b">
        <v>0</v>
      </c>
      <c r="M2688" t="b">
        <v>0</v>
      </c>
      <c r="N2688">
        <f>IFERROR(INDEX('Company Hitlist'!$AA:$AA,MATCH(D2688,'Company Hitlist'!$A:$A,0)),)</f>
        <v/>
      </c>
      <c r="O2688">
        <f>IFERROR(INDEX('Company Hitlist'!$N:$N,MATCH(D2688,'Company Hitlist'!$A:$A,0)),)</f>
        <v/>
      </c>
      <c r="Q2688" t="inlineStr">
        <is>
          <t>todo</t>
        </is>
      </c>
    </row>
    <row r="2689">
      <c r="A2689" t="inlineStr">
        <is>
          <t>Gagan Singh</t>
        </is>
      </c>
      <c r="B2689" t="inlineStr">
        <is>
          <t>Attendee</t>
        </is>
      </c>
      <c r="C2689" t="inlineStr">
        <is>
          <t>Senior Director and GM, Walmart Seller Fulfilled Solutions</t>
        </is>
      </c>
      <c r="D2689" t="inlineStr">
        <is>
          <t>Walmart</t>
        </is>
      </c>
      <c r="F2689" t="inlineStr">
        <is>
          <t>Yes</t>
        </is>
      </c>
      <c r="H2689" t="n">
        <v>6</v>
      </c>
      <c r="I2689" t="b">
        <v>0</v>
      </c>
      <c r="J2689" t="b">
        <v>1</v>
      </c>
      <c r="K2689" t="b">
        <v>0</v>
      </c>
      <c r="L2689" t="b">
        <v>0</v>
      </c>
      <c r="M2689" t="b">
        <v>0</v>
      </c>
      <c r="N2689">
        <f>IFERROR(INDEX('Company Hitlist'!$AA:$AA,MATCH(D2689,'Company Hitlist'!$A:$A,0)),)</f>
        <v/>
      </c>
      <c r="O2689">
        <f>IFERROR(INDEX('Company Hitlist'!$N:$N,MATCH(D2689,'Company Hitlist'!$A:$A,0)),)</f>
        <v/>
      </c>
      <c r="Q2689" t="inlineStr">
        <is>
          <t>todo</t>
        </is>
      </c>
    </row>
    <row r="2690">
      <c r="A2690" t="inlineStr">
        <is>
          <t>Tirath Kamdar</t>
        </is>
      </c>
      <c r="B2690" t="inlineStr">
        <is>
          <t>Attendee</t>
        </is>
      </c>
      <c r="C2690" t="inlineStr">
        <is>
          <t>Global GM, AI Commerce Innovation</t>
        </is>
      </c>
      <c r="D2690" t="inlineStr">
        <is>
          <t>Walmart Ecomm</t>
        </is>
      </c>
      <c r="F2690" t="inlineStr">
        <is>
          <t>Yes</t>
        </is>
      </c>
      <c r="H2690" t="n">
        <v>6</v>
      </c>
      <c r="I2690" t="b">
        <v>0</v>
      </c>
      <c r="J2690" t="b">
        <v>1</v>
      </c>
      <c r="K2690" t="b">
        <v>0</v>
      </c>
      <c r="L2690" t="b">
        <v>0</v>
      </c>
      <c r="M2690" t="b">
        <v>0</v>
      </c>
      <c r="N2690">
        <f>IFERROR(INDEX('Company Hitlist'!$AA:$AA,MATCH(D2690,'Company Hitlist'!$A:$A,0)),)</f>
        <v/>
      </c>
      <c r="O2690">
        <f>IFERROR(INDEX('Company Hitlist'!$N:$N,MATCH(D2690,'Company Hitlist'!$A:$A,0)),)</f>
        <v/>
      </c>
      <c r="Q2690" t="inlineStr">
        <is>
          <t>todo</t>
        </is>
      </c>
    </row>
    <row r="2691">
      <c r="A2691" t="inlineStr">
        <is>
          <t>Michael Zupon</t>
        </is>
      </c>
      <c r="B2691" t="inlineStr">
        <is>
          <t>Attendee</t>
        </is>
      </c>
      <c r="C2691" t="inlineStr">
        <is>
          <t>Vice President Of Technology</t>
        </is>
      </c>
      <c r="D2691" t="inlineStr">
        <is>
          <t>Ward Transport &amp; Logistics Corp</t>
        </is>
      </c>
      <c r="F2691" t="inlineStr">
        <is>
          <t>Yes</t>
        </is>
      </c>
      <c r="H2691" t="n">
        <v>6</v>
      </c>
      <c r="I2691" t="b">
        <v>0</v>
      </c>
      <c r="J2691" t="b">
        <v>1</v>
      </c>
      <c r="K2691" t="b">
        <v>0</v>
      </c>
      <c r="L2691" t="b">
        <v>0</v>
      </c>
      <c r="M2691" t="b">
        <v>0</v>
      </c>
      <c r="N2691">
        <f>IFERROR(INDEX('Company Hitlist'!$AA:$AA,MATCH(D2691,'Company Hitlist'!$A:$A,0)),)</f>
        <v/>
      </c>
      <c r="O2691">
        <f>IFERROR(INDEX('Company Hitlist'!$N:$N,MATCH(D2691,'Company Hitlist'!$A:$A,0)),)</f>
        <v/>
      </c>
      <c r="Q2691" t="inlineStr">
        <is>
          <t>todo</t>
        </is>
      </c>
    </row>
    <row r="2692">
      <c r="A2692" t="inlineStr">
        <is>
          <t>Ryan Kalisky</t>
        </is>
      </c>
      <c r="B2692" t="inlineStr">
        <is>
          <t>Attendee</t>
        </is>
      </c>
      <c r="C2692" t="inlineStr">
        <is>
          <t>CEO</t>
        </is>
      </c>
      <c r="D2692" t="inlineStr">
        <is>
          <t>WareMatch</t>
        </is>
      </c>
      <c r="E2692" t="inlineStr">
        <is>
          <t>Canada</t>
        </is>
      </c>
      <c r="F2692" t="inlineStr">
        <is>
          <t>Yes</t>
        </is>
      </c>
      <c r="H2692" t="n">
        <v>6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>
        <f>IFERROR(INDEX('Company Hitlist'!$AA:$AA,MATCH(D2692,'Company Hitlist'!$A:$A,0)),)</f>
        <v/>
      </c>
      <c r="O2692">
        <f>IFERROR(INDEX('Company Hitlist'!$N:$N,MATCH(D2692,'Company Hitlist'!$A:$A,0)),)</f>
        <v/>
      </c>
      <c r="Q2692" t="inlineStr">
        <is>
          <t>todo</t>
        </is>
      </c>
    </row>
    <row r="2693">
      <c r="A2693" t="inlineStr">
        <is>
          <t>Marc Goodfriend</t>
        </is>
      </c>
      <c r="B2693" t="inlineStr">
        <is>
          <t>Attendee</t>
        </is>
      </c>
      <c r="C2693" t="inlineStr">
        <is>
          <t>CEO</t>
        </is>
      </c>
      <c r="D2693" t="inlineStr">
        <is>
          <t>WeShip</t>
        </is>
      </c>
      <c r="F2693" t="inlineStr">
        <is>
          <t>Yes</t>
        </is>
      </c>
      <c r="H2693" t="n">
        <v>6</v>
      </c>
      <c r="I2693" t="b">
        <v>0</v>
      </c>
      <c r="J2693" t="b">
        <v>1</v>
      </c>
      <c r="K2693" t="b">
        <v>0</v>
      </c>
      <c r="L2693" t="b">
        <v>0</v>
      </c>
      <c r="M2693" t="b">
        <v>0</v>
      </c>
      <c r="N2693">
        <f>IFERROR(INDEX('Company Hitlist'!$AA:$AA,MATCH(D2693,'Company Hitlist'!$A:$A,0)),)</f>
        <v/>
      </c>
      <c r="O2693">
        <f>IFERROR(INDEX('Company Hitlist'!$N:$N,MATCH(D2693,'Company Hitlist'!$A:$A,0)),)</f>
        <v/>
      </c>
      <c r="Q2693" t="inlineStr">
        <is>
          <t>todo</t>
        </is>
      </c>
    </row>
    <row r="2694">
      <c r="A2694" t="inlineStr">
        <is>
          <t>Clifford Katab</t>
        </is>
      </c>
      <c r="B2694" t="inlineStr">
        <is>
          <t>Attendee</t>
        </is>
      </c>
      <c r="C2694" t="inlineStr">
        <is>
          <t>CEO</t>
        </is>
      </c>
      <c r="D2694" t="inlineStr">
        <is>
          <t>Weber Logistics</t>
        </is>
      </c>
      <c r="E2694" t="inlineStr">
        <is>
          <t>United States</t>
        </is>
      </c>
      <c r="F2694" t="inlineStr">
        <is>
          <t>Yes</t>
        </is>
      </c>
      <c r="H2694" t="n">
        <v>6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  <c r="N2694">
        <f>IFERROR(INDEX('Company Hitlist'!$AA:$AA,MATCH(D2694,'Company Hitlist'!$A:$A,0)),)</f>
        <v/>
      </c>
      <c r="O2694">
        <f>IFERROR(INDEX('Company Hitlist'!$N:$N,MATCH(D2694,'Company Hitlist'!$A:$A,0)),)</f>
        <v/>
      </c>
      <c r="Q2694" t="inlineStr">
        <is>
          <t>todo</t>
        </is>
      </c>
    </row>
    <row r="2695">
      <c r="A2695" t="inlineStr">
        <is>
          <t>Maurice Joseph</t>
        </is>
      </c>
      <c r="B2695" t="inlineStr">
        <is>
          <t>Attendee</t>
        </is>
      </c>
      <c r="C2695" t="inlineStr">
        <is>
          <t>President &amp; COO</t>
        </is>
      </c>
      <c r="D2695" t="inlineStr">
        <is>
          <t>Weber Logistics</t>
        </is>
      </c>
      <c r="E2695" t="inlineStr">
        <is>
          <t>United States</t>
        </is>
      </c>
      <c r="F2695" t="inlineStr">
        <is>
          <t>Yes</t>
        </is>
      </c>
      <c r="H2695" t="n">
        <v>6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  <c r="N2695">
        <f>IFERROR(INDEX('Company Hitlist'!$AA:$AA,MATCH(D2695,'Company Hitlist'!$A:$A,0)),)</f>
        <v/>
      </c>
      <c r="O2695">
        <f>IFERROR(INDEX('Company Hitlist'!$N:$N,MATCH(D2695,'Company Hitlist'!$A:$A,0)),)</f>
        <v/>
      </c>
      <c r="Q2695" t="inlineStr">
        <is>
          <t>todo</t>
        </is>
      </c>
    </row>
    <row r="2696">
      <c r="A2696" t="inlineStr">
        <is>
          <t>Jordan Strawn</t>
        </is>
      </c>
      <c r="B2696" t="inlineStr">
        <is>
          <t>Attendee</t>
        </is>
      </c>
      <c r="C2696" t="inlineStr">
        <is>
          <t>SVP - Brokerage &amp; Powerlink</t>
        </is>
      </c>
      <c r="D2696" t="inlineStr">
        <is>
          <t>Werner Enterprises</t>
        </is>
      </c>
      <c r="E2696" t="inlineStr">
        <is>
          <t>United States</t>
        </is>
      </c>
      <c r="F2696" t="inlineStr">
        <is>
          <t>Yes</t>
        </is>
      </c>
      <c r="H2696" t="n">
        <v>6</v>
      </c>
      <c r="I2696" t="b">
        <v>0</v>
      </c>
      <c r="J2696" t="b">
        <v>1</v>
      </c>
      <c r="K2696" t="b">
        <v>0</v>
      </c>
      <c r="L2696" t="b">
        <v>0</v>
      </c>
      <c r="M2696" t="b">
        <v>0</v>
      </c>
      <c r="N2696">
        <f>IFERROR(INDEX('Company Hitlist'!$AA:$AA,MATCH(D2696,'Company Hitlist'!$A:$A,0)),)</f>
        <v/>
      </c>
      <c r="O2696">
        <f>IFERROR(INDEX('Company Hitlist'!$N:$N,MATCH(D2696,'Company Hitlist'!$A:$A,0)),)</f>
        <v/>
      </c>
      <c r="Q2696" t="inlineStr">
        <is>
          <t>todo</t>
        </is>
      </c>
    </row>
    <row r="2697">
      <c r="A2697" t="inlineStr">
        <is>
          <t>Daragh Mahon</t>
        </is>
      </c>
      <c r="B2697" t="inlineStr">
        <is>
          <t>Attendee</t>
        </is>
      </c>
      <c r="C2697" t="inlineStr">
        <is>
          <t>EVP &amp; CIO</t>
        </is>
      </c>
      <c r="D2697" t="inlineStr">
        <is>
          <t>Werner Enterprises</t>
        </is>
      </c>
      <c r="F2697" t="inlineStr">
        <is>
          <t>Yes</t>
        </is>
      </c>
      <c r="H2697" t="n">
        <v>6</v>
      </c>
      <c r="I2697" t="b">
        <v>0</v>
      </c>
      <c r="J2697" t="b">
        <v>1</v>
      </c>
      <c r="K2697" t="b">
        <v>0</v>
      </c>
      <c r="L2697" t="b">
        <v>0</v>
      </c>
      <c r="M2697" t="b">
        <v>0</v>
      </c>
      <c r="N2697">
        <f>IFERROR(INDEX('Company Hitlist'!$AA:$AA,MATCH(D2697,'Company Hitlist'!$A:$A,0)),)</f>
        <v/>
      </c>
      <c r="O2697">
        <f>IFERROR(INDEX('Company Hitlist'!$N:$N,MATCH(D2697,'Company Hitlist'!$A:$A,0)),)</f>
        <v/>
      </c>
      <c r="Q2697" t="inlineStr">
        <is>
          <t>todo</t>
        </is>
      </c>
    </row>
    <row r="2698">
      <c r="A2698" t="inlineStr">
        <is>
          <t>Ronnie Thomas</t>
        </is>
      </c>
      <c r="B2698" t="inlineStr">
        <is>
          <t>Attendee</t>
        </is>
      </c>
      <c r="C2698" t="inlineStr">
        <is>
          <t>Vice President, Technology Solutions</t>
        </is>
      </c>
      <c r="D2698" t="inlineStr">
        <is>
          <t>Werner Enterprises</t>
        </is>
      </c>
      <c r="F2698" t="inlineStr">
        <is>
          <t>Yes</t>
        </is>
      </c>
      <c r="H2698" t="n">
        <v>6</v>
      </c>
      <c r="I2698" t="b">
        <v>0</v>
      </c>
      <c r="J2698" t="b">
        <v>1</v>
      </c>
      <c r="K2698" t="b">
        <v>0</v>
      </c>
      <c r="L2698" t="b">
        <v>0</v>
      </c>
      <c r="M2698" t="b">
        <v>0</v>
      </c>
      <c r="N2698">
        <f>IFERROR(INDEX('Company Hitlist'!$AA:$AA,MATCH(D2698,'Company Hitlist'!$A:$A,0)),)</f>
        <v/>
      </c>
      <c r="O2698">
        <f>IFERROR(INDEX('Company Hitlist'!$N:$N,MATCH(D2698,'Company Hitlist'!$A:$A,0)),)</f>
        <v/>
      </c>
      <c r="Q2698" t="inlineStr">
        <is>
          <t>todo</t>
        </is>
      </c>
    </row>
    <row r="2699">
      <c r="A2699" t="inlineStr">
        <is>
          <t>Mook Jung</t>
        </is>
      </c>
      <c r="B2699" t="inlineStr">
        <is>
          <t>Attendee</t>
        </is>
      </c>
      <c r="C2699" t="inlineStr">
        <is>
          <t>SW CTO</t>
        </is>
      </c>
      <c r="D2699" t="inlineStr">
        <is>
          <t>Willog</t>
        </is>
      </c>
      <c r="F2699" t="inlineStr">
        <is>
          <t>Yes</t>
        </is>
      </c>
      <c r="H2699" t="n">
        <v>6</v>
      </c>
      <c r="I2699" t="b">
        <v>0</v>
      </c>
      <c r="J2699" t="b">
        <v>1</v>
      </c>
      <c r="K2699" t="b">
        <v>0</v>
      </c>
      <c r="L2699" t="b">
        <v>0</v>
      </c>
      <c r="M2699" t="b">
        <v>0</v>
      </c>
      <c r="N2699">
        <f>IFERROR(INDEX('Company Hitlist'!$AA:$AA,MATCH(D2699,'Company Hitlist'!$A:$A,0)),)</f>
        <v/>
      </c>
      <c r="O2699">
        <f>IFERROR(INDEX('Company Hitlist'!$N:$N,MATCH(D2699,'Company Hitlist'!$A:$A,0)),)</f>
        <v/>
      </c>
      <c r="Q2699" t="inlineStr">
        <is>
          <t>todo</t>
        </is>
      </c>
    </row>
    <row r="2700">
      <c r="A2700" t="inlineStr">
        <is>
          <t>Sean Song</t>
        </is>
      </c>
      <c r="B2700" t="inlineStr">
        <is>
          <t>Attendee</t>
        </is>
      </c>
      <c r="C2700" t="inlineStr">
        <is>
          <t>Head of Design</t>
        </is>
      </c>
      <c r="D2700" t="inlineStr">
        <is>
          <t>Willog</t>
        </is>
      </c>
      <c r="F2700" t="inlineStr">
        <is>
          <t>Yes</t>
        </is>
      </c>
      <c r="H2700" t="n">
        <v>6</v>
      </c>
      <c r="I2700" t="b">
        <v>0</v>
      </c>
      <c r="J2700" t="b">
        <v>1</v>
      </c>
      <c r="K2700" t="b">
        <v>0</v>
      </c>
      <c r="L2700" t="b">
        <v>0</v>
      </c>
      <c r="M2700" t="b">
        <v>0</v>
      </c>
      <c r="N2700">
        <f>IFERROR(INDEX('Company Hitlist'!$AA:$AA,MATCH(D2700,'Company Hitlist'!$A:$A,0)),)</f>
        <v/>
      </c>
      <c r="O2700">
        <f>IFERROR(INDEX('Company Hitlist'!$N:$N,MATCH(D2700,'Company Hitlist'!$A:$A,0)),)</f>
        <v/>
      </c>
      <c r="Q2700" t="inlineStr">
        <is>
          <t>todo</t>
        </is>
      </c>
    </row>
    <row r="2701">
      <c r="A2701" t="inlineStr">
        <is>
          <t>Raz Ronen</t>
        </is>
      </c>
      <c r="B2701" t="inlineStr">
        <is>
          <t>Attendee</t>
        </is>
      </c>
      <c r="C2701" t="inlineStr">
        <is>
          <t>CEO</t>
        </is>
      </c>
      <c r="D2701" t="inlineStr">
        <is>
          <t>Wisor.ai</t>
        </is>
      </c>
      <c r="E2701" t="inlineStr">
        <is>
          <t>Israel</t>
        </is>
      </c>
      <c r="F2701" t="inlineStr">
        <is>
          <t>Yes</t>
        </is>
      </c>
      <c r="H2701" t="n">
        <v>6</v>
      </c>
      <c r="I2701" t="b">
        <v>0</v>
      </c>
      <c r="J2701" t="b">
        <v>1</v>
      </c>
      <c r="K2701" t="b">
        <v>0</v>
      </c>
      <c r="L2701" t="b">
        <v>0</v>
      </c>
      <c r="M2701" t="b">
        <v>0</v>
      </c>
      <c r="N2701">
        <f>IFERROR(INDEX('Company Hitlist'!$AA:$AA,MATCH(D2701,'Company Hitlist'!$A:$A,0)),)</f>
        <v/>
      </c>
      <c r="O2701">
        <f>IFERROR(INDEX('Company Hitlist'!$N:$N,MATCH(D2701,'Company Hitlist'!$A:$A,0)),)</f>
        <v/>
      </c>
      <c r="Q2701" t="inlineStr">
        <is>
          <t>todo</t>
        </is>
      </c>
    </row>
    <row r="2702">
      <c r="A2702" t="inlineStr">
        <is>
          <t>Ran Margaliot</t>
        </is>
      </c>
      <c r="B2702" t="inlineStr">
        <is>
          <t>Attendee</t>
        </is>
      </c>
      <c r="C2702" t="inlineStr">
        <is>
          <t>COO</t>
        </is>
      </c>
      <c r="D2702" t="inlineStr">
        <is>
          <t>Wisor.ai - AI quoting, sales, and pricing engine for freight forwarders</t>
        </is>
      </c>
      <c r="E2702" t="inlineStr">
        <is>
          <t>Israel</t>
        </is>
      </c>
      <c r="H2702" t="n">
        <v>6</v>
      </c>
      <c r="I2702" t="b">
        <v>0</v>
      </c>
      <c r="J2702" t="b">
        <v>1</v>
      </c>
      <c r="K2702" t="b">
        <v>0</v>
      </c>
      <c r="L2702" t="b">
        <v>0</v>
      </c>
      <c r="M2702" t="b">
        <v>0</v>
      </c>
      <c r="N2702">
        <f>IFERROR(INDEX('Company Hitlist'!$AA:$AA,MATCH(D2702,'Company Hitlist'!$A:$A,0)),)</f>
        <v/>
      </c>
      <c r="O2702">
        <f>IFERROR(INDEX('Company Hitlist'!$N:$N,MATCH(D2702,'Company Hitlist'!$A:$A,0)),)</f>
        <v/>
      </c>
      <c r="Q2702" t="inlineStr">
        <is>
          <t>todo</t>
        </is>
      </c>
    </row>
    <row r="2703">
      <c r="A2703" t="inlineStr">
        <is>
          <t>Sunjoon (James)</t>
        </is>
      </c>
      <c r="B2703" t="inlineStr">
        <is>
          <t>Attendee</t>
        </is>
      </c>
      <c r="C2703" t="inlineStr">
        <is>
          <t>Senior Vice President</t>
        </is>
      </c>
      <c r="D2703" t="inlineStr">
        <is>
          <t>Wonik IPS USA</t>
        </is>
      </c>
      <c r="H2703" t="n">
        <v>6</v>
      </c>
      <c r="I2703" t="b">
        <v>0</v>
      </c>
      <c r="J2703" t="b">
        <v>1</v>
      </c>
      <c r="K2703" t="b">
        <v>0</v>
      </c>
      <c r="L2703" t="b">
        <v>0</v>
      </c>
      <c r="M2703" t="b">
        <v>0</v>
      </c>
      <c r="N2703">
        <f>IFERROR(INDEX('Company Hitlist'!$AA:$AA,MATCH(D2703,'Company Hitlist'!$A:$A,0)),)</f>
        <v/>
      </c>
      <c r="O2703">
        <f>IFERROR(INDEX('Company Hitlist'!$N:$N,MATCH(D2703,'Company Hitlist'!$A:$A,0)),)</f>
        <v/>
      </c>
      <c r="Q2703" t="inlineStr">
        <is>
          <t>todo</t>
        </is>
      </c>
    </row>
    <row r="2704">
      <c r="A2704" t="inlineStr">
        <is>
          <t>Robert Kelley</t>
        </is>
      </c>
      <c r="B2704" t="inlineStr">
        <is>
          <t>Attendee</t>
        </is>
      </c>
      <c r="C2704" t="inlineStr">
        <is>
          <t>Chief Technology Officer</t>
        </is>
      </c>
      <c r="D2704" t="inlineStr">
        <is>
          <t>World Group</t>
        </is>
      </c>
      <c r="E2704" t="inlineStr">
        <is>
          <t>United States</t>
        </is>
      </c>
      <c r="F2704" t="inlineStr">
        <is>
          <t>Yes</t>
        </is>
      </c>
      <c r="H2704" t="n">
        <v>6</v>
      </c>
      <c r="I2704" t="b">
        <v>0</v>
      </c>
      <c r="J2704" t="b">
        <v>1</v>
      </c>
      <c r="K2704" t="b">
        <v>0</v>
      </c>
      <c r="L2704" t="b">
        <v>0</v>
      </c>
      <c r="M2704" t="b">
        <v>0</v>
      </c>
      <c r="N2704">
        <f>IFERROR(INDEX('Company Hitlist'!$AA:$AA,MATCH(D2704,'Company Hitlist'!$A:$A,0)),)</f>
        <v/>
      </c>
      <c r="O2704">
        <f>IFERROR(INDEX('Company Hitlist'!$N:$N,MATCH(D2704,'Company Hitlist'!$A:$A,0)),)</f>
        <v/>
      </c>
      <c r="Q2704" t="inlineStr">
        <is>
          <t>todo</t>
        </is>
      </c>
    </row>
    <row r="2705">
      <c r="A2705" t="inlineStr">
        <is>
          <t>Matt Yearling</t>
        </is>
      </c>
      <c r="B2705" t="inlineStr">
        <is>
          <t>Attendee</t>
        </is>
      </c>
      <c r="C2705" t="inlineStr">
        <is>
          <t>CEO</t>
        </is>
      </c>
      <c r="D2705" t="inlineStr">
        <is>
          <t>YMX Logistics</t>
        </is>
      </c>
      <c r="E2705" t="inlineStr">
        <is>
          <t>United States</t>
        </is>
      </c>
      <c r="F2705" t="inlineStr">
        <is>
          <t>Yes</t>
        </is>
      </c>
      <c r="H2705" t="n">
        <v>6</v>
      </c>
      <c r="I2705" t="b">
        <v>0</v>
      </c>
      <c r="J2705" t="b">
        <v>1</v>
      </c>
      <c r="K2705" t="b">
        <v>0</v>
      </c>
      <c r="L2705" t="b">
        <v>0</v>
      </c>
      <c r="M2705" t="b">
        <v>0</v>
      </c>
      <c r="N2705">
        <f>IFERROR(INDEX('Company Hitlist'!$AA:$AA,MATCH(D2705,'Company Hitlist'!$A:$A,0)),)</f>
        <v/>
      </c>
      <c r="O2705">
        <f>IFERROR(INDEX('Company Hitlist'!$N:$N,MATCH(D2705,'Company Hitlist'!$A:$A,0)),)</f>
        <v/>
      </c>
      <c r="Q2705" t="inlineStr">
        <is>
          <t>todo</t>
        </is>
      </c>
    </row>
    <row r="2706">
      <c r="A2706" t="inlineStr">
        <is>
          <t>Jim Ho</t>
        </is>
      </c>
      <c r="B2706" t="inlineStr">
        <is>
          <t>Attendee</t>
        </is>
      </c>
      <c r="C2706" t="inlineStr">
        <is>
          <t>VP of IT</t>
        </is>
      </c>
      <c r="D2706" t="inlineStr">
        <is>
          <t>Yamato America</t>
        </is>
      </c>
      <c r="H2706" t="n">
        <v>6</v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  <c r="N2706">
        <f>IFERROR(INDEX('Company Hitlist'!$AA:$AA,MATCH(D2706,'Company Hitlist'!$A:$A,0)),)</f>
        <v/>
      </c>
      <c r="O2706">
        <f>IFERROR(INDEX('Company Hitlist'!$N:$N,MATCH(D2706,'Company Hitlist'!$A:$A,0)),)</f>
        <v/>
      </c>
      <c r="Q2706" t="inlineStr">
        <is>
          <t>todo</t>
        </is>
      </c>
    </row>
    <row r="2707">
      <c r="A2707" t="inlineStr">
        <is>
          <t>Keiichi Matsumoto</t>
        </is>
      </c>
      <c r="B2707" t="inlineStr">
        <is>
          <t>Attendee</t>
        </is>
      </c>
      <c r="C2707" t="inlineStr">
        <is>
          <t>Head of Open Innovation</t>
        </is>
      </c>
      <c r="D2707" t="inlineStr">
        <is>
          <t>Yamato transport</t>
        </is>
      </c>
      <c r="H2707" t="n">
        <v>6</v>
      </c>
      <c r="I2707" t="b">
        <v>0</v>
      </c>
      <c r="J2707" t="b">
        <v>1</v>
      </c>
      <c r="K2707" t="b">
        <v>0</v>
      </c>
      <c r="L2707" t="b">
        <v>0</v>
      </c>
      <c r="M2707" t="b">
        <v>0</v>
      </c>
      <c r="N2707">
        <f>IFERROR(INDEX('Company Hitlist'!$AA:$AA,MATCH(D2707,'Company Hitlist'!$A:$A,0)),)</f>
        <v/>
      </c>
      <c r="O2707">
        <f>IFERROR(INDEX('Company Hitlist'!$N:$N,MATCH(D2707,'Company Hitlist'!$A:$A,0)),)</f>
        <v/>
      </c>
      <c r="Q2707" t="inlineStr">
        <is>
          <t>todo</t>
        </is>
      </c>
    </row>
    <row r="2708">
      <c r="A2708" t="inlineStr">
        <is>
          <t>Barath Indrakumar</t>
        </is>
      </c>
      <c r="B2708" t="inlineStr">
        <is>
          <t>Attendee</t>
        </is>
      </c>
      <c r="C2708" t="inlineStr">
        <is>
          <t>Head of Innovation &amp; Technology</t>
        </is>
      </c>
      <c r="D2708" t="inlineStr">
        <is>
          <t>ZF Group</t>
        </is>
      </c>
      <c r="H2708" t="n">
        <v>6</v>
      </c>
      <c r="I2708" t="b">
        <v>0</v>
      </c>
      <c r="J2708" t="b">
        <v>1</v>
      </c>
      <c r="K2708" t="b">
        <v>0</v>
      </c>
      <c r="L2708" t="b">
        <v>0</v>
      </c>
      <c r="M2708" t="b">
        <v>0</v>
      </c>
      <c r="N2708">
        <f>IFERROR(INDEX('Company Hitlist'!$AA:$AA,MATCH(D2708,'Company Hitlist'!$A:$A,0)),)</f>
        <v/>
      </c>
      <c r="O2708">
        <f>IFERROR(INDEX('Company Hitlist'!$N:$N,MATCH(D2708,'Company Hitlist'!$A:$A,0)),)</f>
        <v/>
      </c>
      <c r="Q2708" t="inlineStr">
        <is>
          <t>todo</t>
        </is>
      </c>
    </row>
    <row r="2709">
      <c r="A2709" t="inlineStr">
        <is>
          <t>Oded Shachar</t>
        </is>
      </c>
      <c r="B2709" t="inlineStr">
        <is>
          <t>Attendee</t>
        </is>
      </c>
      <c r="C2709" t="inlineStr">
        <is>
          <t>CTO</t>
        </is>
      </c>
      <c r="D2709" t="inlineStr">
        <is>
          <t>ZIM</t>
        </is>
      </c>
      <c r="E2709" t="inlineStr">
        <is>
          <t>Israel</t>
        </is>
      </c>
      <c r="F2709" t="inlineStr">
        <is>
          <t>Yes</t>
        </is>
      </c>
      <c r="H2709" t="n">
        <v>6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  <c r="N2709">
        <f>IFERROR(INDEX('Company Hitlist'!$AA:$AA,MATCH(D2709,'Company Hitlist'!$A:$A,0)),)</f>
        <v/>
      </c>
      <c r="O2709">
        <f>IFERROR(INDEX('Company Hitlist'!$N:$N,MATCH(D2709,'Company Hitlist'!$A:$A,0)),)</f>
        <v/>
      </c>
      <c r="Q2709" t="inlineStr">
        <is>
          <t>todo</t>
        </is>
      </c>
    </row>
    <row r="2710">
      <c r="A2710" t="inlineStr">
        <is>
          <t>Emmanuil Mytryk</t>
        </is>
      </c>
      <c r="B2710" t="inlineStr">
        <is>
          <t>Attendee</t>
        </is>
      </c>
      <c r="C2710" t="inlineStr">
        <is>
          <t>CEO</t>
        </is>
      </c>
      <c r="D2710" t="inlineStr">
        <is>
          <t>Zeal</t>
        </is>
      </c>
      <c r="F2710" t="inlineStr">
        <is>
          <t>Yes</t>
        </is>
      </c>
      <c r="H2710" t="n">
        <v>6</v>
      </c>
      <c r="I2710" t="b">
        <v>0</v>
      </c>
      <c r="J2710" t="b">
        <v>1</v>
      </c>
      <c r="K2710" t="b">
        <v>0</v>
      </c>
      <c r="L2710" t="b">
        <v>0</v>
      </c>
      <c r="M2710" t="b">
        <v>0</v>
      </c>
      <c r="N2710">
        <f>IFERROR(INDEX('Company Hitlist'!$AA:$AA,MATCH(D2710,'Company Hitlist'!$A:$A,0)),)</f>
        <v/>
      </c>
      <c r="O2710">
        <f>IFERROR(INDEX('Company Hitlist'!$N:$N,MATCH(D2710,'Company Hitlist'!$A:$A,0)),)</f>
        <v/>
      </c>
      <c r="Q2710" t="inlineStr">
        <is>
          <t>todo</t>
        </is>
      </c>
    </row>
    <row r="2711">
      <c r="A2711" t="inlineStr">
        <is>
          <t>Igor Mytryk</t>
        </is>
      </c>
      <c r="B2711" t="inlineStr">
        <is>
          <t>Attendee</t>
        </is>
      </c>
      <c r="C2711" t="inlineStr">
        <is>
          <t>CFO</t>
        </is>
      </c>
      <c r="D2711" t="inlineStr">
        <is>
          <t>Zeal</t>
        </is>
      </c>
      <c r="F2711" t="inlineStr">
        <is>
          <t>Yes</t>
        </is>
      </c>
      <c r="H2711" t="n">
        <v>6</v>
      </c>
      <c r="I2711" t="b">
        <v>0</v>
      </c>
      <c r="J2711" t="b">
        <v>1</v>
      </c>
      <c r="K2711" t="b">
        <v>0</v>
      </c>
      <c r="L2711" t="b">
        <v>0</v>
      </c>
      <c r="M2711" t="b">
        <v>0</v>
      </c>
      <c r="N2711">
        <f>IFERROR(INDEX('Company Hitlist'!$AA:$AA,MATCH(D2711,'Company Hitlist'!$A:$A,0)),)</f>
        <v/>
      </c>
      <c r="O2711">
        <f>IFERROR(INDEX('Company Hitlist'!$N:$N,MATCH(D2711,'Company Hitlist'!$A:$A,0)),)</f>
        <v/>
      </c>
      <c r="Q2711" t="inlineStr">
        <is>
          <t>todo</t>
        </is>
      </c>
    </row>
    <row r="2712">
      <c r="A2712" t="inlineStr">
        <is>
          <t>Don Peer</t>
        </is>
      </c>
      <c r="B2712" t="inlineStr">
        <is>
          <t>Attendee</t>
        </is>
      </c>
      <c r="C2712" t="inlineStr">
        <is>
          <t>VP</t>
        </is>
      </c>
      <c r="D2712" t="inlineStr">
        <is>
          <t>Zeem Solutions</t>
        </is>
      </c>
      <c r="E2712" t="inlineStr">
        <is>
          <t>United States</t>
        </is>
      </c>
      <c r="F2712" t="inlineStr">
        <is>
          <t>Yes</t>
        </is>
      </c>
      <c r="H2712" t="n">
        <v>6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  <c r="N2712">
        <f>IFERROR(INDEX('Company Hitlist'!$AA:$AA,MATCH(D2712,'Company Hitlist'!$A:$A,0)),)</f>
        <v/>
      </c>
      <c r="O2712">
        <f>IFERROR(INDEX('Company Hitlist'!$N:$N,MATCH(D2712,'Company Hitlist'!$A:$A,0)),)</f>
        <v/>
      </c>
      <c r="Q2712" t="inlineStr">
        <is>
          <t>todo</t>
        </is>
      </c>
    </row>
    <row r="2713">
      <c r="A2713" t="inlineStr">
        <is>
          <t>Christopher Wall</t>
        </is>
      </c>
      <c r="B2713" t="inlineStr">
        <is>
          <t>Attendee</t>
        </is>
      </c>
      <c r="C2713" t="inlineStr">
        <is>
          <t>CEO, CO-Founde</t>
        </is>
      </c>
      <c r="D2713" t="inlineStr">
        <is>
          <t>Zeus Logics</t>
        </is>
      </c>
      <c r="F2713" t="inlineStr">
        <is>
          <t>Yes</t>
        </is>
      </c>
      <c r="H2713" t="n">
        <v>6</v>
      </c>
      <c r="I2713" t="b">
        <v>0</v>
      </c>
      <c r="J2713" t="b">
        <v>1</v>
      </c>
      <c r="K2713" t="b">
        <v>0</v>
      </c>
      <c r="L2713" t="b">
        <v>0</v>
      </c>
      <c r="M2713" t="b">
        <v>0</v>
      </c>
      <c r="N2713">
        <f>IFERROR(INDEX('Company Hitlist'!$AA:$AA,MATCH(D2713,'Company Hitlist'!$A:$A,0)),)</f>
        <v/>
      </c>
      <c r="O2713">
        <f>IFERROR(INDEX('Company Hitlist'!$N:$N,MATCH(D2713,'Company Hitlist'!$A:$A,0)),)</f>
        <v/>
      </c>
      <c r="Q2713" t="inlineStr">
        <is>
          <t>todo</t>
        </is>
      </c>
    </row>
    <row r="2714">
      <c r="A2714" t="inlineStr">
        <is>
          <t>David Commiskey</t>
        </is>
      </c>
      <c r="B2714" t="inlineStr">
        <is>
          <t>Attendee</t>
        </is>
      </c>
      <c r="C2714" t="inlineStr">
        <is>
          <t>CEO</t>
        </is>
      </c>
      <c r="D2714" t="inlineStr">
        <is>
          <t>Zipline Logistics</t>
        </is>
      </c>
      <c r="F2714" t="inlineStr">
        <is>
          <t>Yes</t>
        </is>
      </c>
      <c r="H2714" t="n">
        <v>6</v>
      </c>
      <c r="I2714" t="b">
        <v>0</v>
      </c>
      <c r="J2714" t="b">
        <v>1</v>
      </c>
      <c r="K2714" t="b">
        <v>0</v>
      </c>
      <c r="L2714" t="b">
        <v>0</v>
      </c>
      <c r="M2714" t="b">
        <v>0</v>
      </c>
      <c r="N2714">
        <f>IFERROR(INDEX('Company Hitlist'!$AA:$AA,MATCH(D2714,'Company Hitlist'!$A:$A,0)),)</f>
        <v/>
      </c>
      <c r="O2714">
        <f>IFERROR(INDEX('Company Hitlist'!$N:$N,MATCH(D2714,'Company Hitlist'!$A:$A,0)),)</f>
        <v/>
      </c>
      <c r="Q2714" t="inlineStr">
        <is>
          <t>todo</t>
        </is>
      </c>
    </row>
    <row r="2715">
      <c r="A2715" t="inlineStr">
        <is>
          <t>Ayal Latz</t>
        </is>
      </c>
      <c r="B2715" t="inlineStr">
        <is>
          <t>Attendee</t>
        </is>
      </c>
      <c r="C2715" t="inlineStr">
        <is>
          <t>President</t>
        </is>
      </c>
      <c r="D2715" t="inlineStr">
        <is>
          <t>a2b Fulfillment</t>
        </is>
      </c>
      <c r="E2715" t="inlineStr">
        <is>
          <t>United States</t>
        </is>
      </c>
      <c r="F2715" t="inlineStr">
        <is>
          <t>Yes</t>
        </is>
      </c>
      <c r="H2715" t="n">
        <v>6</v>
      </c>
      <c r="I2715" t="b">
        <v>0</v>
      </c>
      <c r="J2715" t="b">
        <v>1</v>
      </c>
      <c r="K2715" t="b">
        <v>0</v>
      </c>
      <c r="L2715" t="b">
        <v>0</v>
      </c>
      <c r="M2715" t="b">
        <v>0</v>
      </c>
      <c r="N2715">
        <f>IFERROR(INDEX('Company Hitlist'!$AA:$AA,MATCH(D2715,'Company Hitlist'!$A:$A,0)),)</f>
        <v/>
      </c>
      <c r="O2715">
        <f>IFERROR(INDEX('Company Hitlist'!$N:$N,MATCH(D2715,'Company Hitlist'!$A:$A,0)),)</f>
        <v/>
      </c>
      <c r="Q2715" t="inlineStr">
        <is>
          <t>todo</t>
        </is>
      </c>
    </row>
    <row r="2716">
      <c r="A2716" t="inlineStr">
        <is>
          <t>Kannan Ramachandran</t>
        </is>
      </c>
      <c r="B2716" t="inlineStr">
        <is>
          <t>Attendee</t>
        </is>
      </c>
      <c r="C2716" t="inlineStr">
        <is>
          <t>Chief Commercial Officer &amp; Chief AI Offer</t>
        </is>
      </c>
      <c r="D2716" t="inlineStr">
        <is>
          <t>aThingz</t>
        </is>
      </c>
      <c r="F2716" t="inlineStr">
        <is>
          <t>Yes</t>
        </is>
      </c>
      <c r="H2716" t="n">
        <v>6</v>
      </c>
      <c r="I2716" t="b">
        <v>0</v>
      </c>
      <c r="J2716" t="b">
        <v>1</v>
      </c>
      <c r="K2716" t="b">
        <v>0</v>
      </c>
      <c r="L2716" t="b">
        <v>0</v>
      </c>
      <c r="M2716" t="b">
        <v>0</v>
      </c>
      <c r="N2716">
        <f>IFERROR(INDEX('Company Hitlist'!$AA:$AA,MATCH(D2716,'Company Hitlist'!$A:$A,0)),)</f>
        <v/>
      </c>
      <c r="O2716">
        <f>IFERROR(INDEX('Company Hitlist'!$N:$N,MATCH(D2716,'Company Hitlist'!$A:$A,0)),)</f>
        <v/>
      </c>
      <c r="Q2716" t="inlineStr">
        <is>
          <t>todo</t>
        </is>
      </c>
    </row>
    <row r="2717">
      <c r="A2717" t="inlineStr">
        <is>
          <t>Vijaya Neela</t>
        </is>
      </c>
      <c r="B2717" t="inlineStr">
        <is>
          <t>Attendee</t>
        </is>
      </c>
      <c r="C2717" t="inlineStr">
        <is>
          <t>President &amp; CEO</t>
        </is>
      </c>
      <c r="D2717" t="inlineStr">
        <is>
          <t>aThingz</t>
        </is>
      </c>
      <c r="F2717" t="inlineStr">
        <is>
          <t>Yes</t>
        </is>
      </c>
      <c r="H2717" t="n">
        <v>6</v>
      </c>
      <c r="I2717" t="b">
        <v>0</v>
      </c>
      <c r="J2717" t="b">
        <v>1</v>
      </c>
      <c r="K2717" t="b">
        <v>0</v>
      </c>
      <c r="L2717" t="b">
        <v>0</v>
      </c>
      <c r="M2717" t="b">
        <v>0</v>
      </c>
      <c r="N2717">
        <f>IFERROR(INDEX('Company Hitlist'!$AA:$AA,MATCH(D2717,'Company Hitlist'!$A:$A,0)),)</f>
        <v/>
      </c>
      <c r="O2717">
        <f>IFERROR(INDEX('Company Hitlist'!$N:$N,MATCH(D2717,'Company Hitlist'!$A:$A,0)),)</f>
        <v/>
      </c>
      <c r="Q2717" t="inlineStr">
        <is>
          <t>todo</t>
        </is>
      </c>
    </row>
    <row r="2718">
      <c r="A2718" t="inlineStr">
        <is>
          <t>Marc El Khoury</t>
        </is>
      </c>
      <c r="B2718" t="inlineStr">
        <is>
          <t>Attendee</t>
        </is>
      </c>
      <c r="C2718" t="inlineStr">
        <is>
          <t>CEO - Co-Founder</t>
        </is>
      </c>
      <c r="D2718" t="inlineStr">
        <is>
          <t>aifleet</t>
        </is>
      </c>
      <c r="E2718" t="inlineStr">
        <is>
          <t>United States</t>
        </is>
      </c>
      <c r="F2718" t="inlineStr">
        <is>
          <t>Yes</t>
        </is>
      </c>
      <c r="H2718" t="n">
        <v>6</v>
      </c>
      <c r="I2718" t="b">
        <v>0</v>
      </c>
      <c r="J2718" t="b">
        <v>1</v>
      </c>
      <c r="K2718" t="b">
        <v>0</v>
      </c>
      <c r="L2718" t="b">
        <v>0</v>
      </c>
      <c r="M2718" t="b">
        <v>0</v>
      </c>
      <c r="N2718">
        <f>IFERROR(INDEX('Company Hitlist'!$AA:$AA,MATCH(D2718,'Company Hitlist'!$A:$A,0)),)</f>
        <v/>
      </c>
      <c r="O2718">
        <f>IFERROR(INDEX('Company Hitlist'!$N:$N,MATCH(D2718,'Company Hitlist'!$A:$A,0)),)</f>
        <v/>
      </c>
      <c r="Q2718" t="inlineStr">
        <is>
          <t>todo</t>
        </is>
      </c>
    </row>
    <row r="2719">
      <c r="A2719" t="inlineStr">
        <is>
          <t>Josh Kolar</t>
        </is>
      </c>
      <c r="B2719" t="inlineStr">
        <is>
          <t>Attendee</t>
        </is>
      </c>
      <c r="C2719" t="inlineStr">
        <is>
          <t>CEO &amp; Founder</t>
        </is>
      </c>
      <c r="D2719" t="inlineStr">
        <is>
          <t>driverDOC</t>
        </is>
      </c>
      <c r="E2719" t="inlineStr">
        <is>
          <t>United States</t>
        </is>
      </c>
      <c r="F2719" t="inlineStr">
        <is>
          <t>Yes</t>
        </is>
      </c>
      <c r="H2719" t="n">
        <v>6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>
        <f>IFERROR(INDEX('Company Hitlist'!$AA:$AA,MATCH(D2719,'Company Hitlist'!$A:$A,0)),)</f>
        <v/>
      </c>
      <c r="O2719">
        <f>IFERROR(INDEX('Company Hitlist'!$N:$N,MATCH(D2719,'Company Hitlist'!$A:$A,0)),)</f>
        <v/>
      </c>
      <c r="Q2719" t="inlineStr">
        <is>
          <t>todo</t>
        </is>
      </c>
    </row>
    <row r="2720">
      <c r="A2720" t="inlineStr">
        <is>
          <t>Dillon McDonald</t>
        </is>
      </c>
      <c r="B2720" t="inlineStr">
        <is>
          <t>Attendee</t>
        </is>
      </c>
      <c r="C2720" t="inlineStr">
        <is>
          <t>CEO</t>
        </is>
      </c>
      <c r="D2720" t="inlineStr">
        <is>
          <t>gofor delivers, inc.</t>
        </is>
      </c>
      <c r="E2720" t="inlineStr">
        <is>
          <t>United States</t>
        </is>
      </c>
      <c r="H2720" t="n">
        <v>6</v>
      </c>
      <c r="I2720" t="b">
        <v>0</v>
      </c>
      <c r="J2720" t="b">
        <v>1</v>
      </c>
      <c r="K2720" t="b">
        <v>0</v>
      </c>
      <c r="L2720" t="b">
        <v>0</v>
      </c>
      <c r="M2720" t="b">
        <v>0</v>
      </c>
      <c r="N2720">
        <f>IFERROR(INDEX('Company Hitlist'!$AA:$AA,MATCH(D2720,'Company Hitlist'!$A:$A,0)),)</f>
        <v/>
      </c>
      <c r="O2720">
        <f>IFERROR(INDEX('Company Hitlist'!$N:$N,MATCH(D2720,'Company Hitlist'!$A:$A,0)),)</f>
        <v/>
      </c>
      <c r="Q2720" t="inlineStr">
        <is>
          <t>todo</t>
        </is>
      </c>
    </row>
    <row r="2721">
      <c r="A2721" t="inlineStr">
        <is>
          <t>Marina Brown</t>
        </is>
      </c>
      <c r="B2721" t="inlineStr">
        <is>
          <t>Attendee</t>
        </is>
      </c>
      <c r="C2721" t="inlineStr">
        <is>
          <t>Founder, CEO</t>
        </is>
      </c>
      <c r="D2721" t="inlineStr">
        <is>
          <t>http://www.moneiva.com</t>
        </is>
      </c>
      <c r="E2721" t="inlineStr">
        <is>
          <t>United States</t>
        </is>
      </c>
      <c r="H2721" t="n">
        <v>6</v>
      </c>
      <c r="I2721" t="b">
        <v>0</v>
      </c>
      <c r="J2721" t="b">
        <v>1</v>
      </c>
      <c r="K2721" t="b">
        <v>0</v>
      </c>
      <c r="L2721" t="b">
        <v>0</v>
      </c>
      <c r="M2721" t="b">
        <v>0</v>
      </c>
      <c r="N2721">
        <f>IFERROR(INDEX('Company Hitlist'!$AA:$AA,MATCH(D2721,'Company Hitlist'!$A:$A,0)),)</f>
        <v/>
      </c>
      <c r="O2721">
        <f>IFERROR(INDEX('Company Hitlist'!$N:$N,MATCH(D2721,'Company Hitlist'!$A:$A,0)),)</f>
        <v/>
      </c>
      <c r="Q2721" t="inlineStr">
        <is>
          <t>todo</t>
        </is>
      </c>
    </row>
    <row r="2722">
      <c r="A2722" t="inlineStr">
        <is>
          <t>marvin sternberg</t>
        </is>
      </c>
      <c r="B2722" t="inlineStr">
        <is>
          <t>Attendee</t>
        </is>
      </c>
      <c r="C2722" t="inlineStr">
        <is>
          <t>ceo</t>
        </is>
      </c>
      <c r="D2722" t="inlineStr">
        <is>
          <t>jomashop.com</t>
        </is>
      </c>
      <c r="F2722" t="inlineStr">
        <is>
          <t>Yes</t>
        </is>
      </c>
      <c r="H2722" t="n">
        <v>6</v>
      </c>
      <c r="I2722" t="b">
        <v>0</v>
      </c>
      <c r="J2722" t="b">
        <v>1</v>
      </c>
      <c r="K2722" t="b">
        <v>0</v>
      </c>
      <c r="L2722" t="b">
        <v>0</v>
      </c>
      <c r="M2722" t="b">
        <v>0</v>
      </c>
      <c r="N2722">
        <f>IFERROR(INDEX('Company Hitlist'!$AA:$AA,MATCH(D2722,'Company Hitlist'!$A:$A,0)),)</f>
        <v/>
      </c>
      <c r="O2722">
        <f>IFERROR(INDEX('Company Hitlist'!$N:$N,MATCH(D2722,'Company Hitlist'!$A:$A,0)),)</f>
        <v/>
      </c>
      <c r="Q2722" t="inlineStr">
        <is>
          <t>todo</t>
        </is>
      </c>
    </row>
    <row r="2723">
      <c r="A2723" t="inlineStr">
        <is>
          <t>Alex Bezzubets</t>
        </is>
      </c>
      <c r="B2723" t="inlineStr">
        <is>
          <t>Attendee</t>
        </is>
      </c>
      <c r="C2723" t="inlineStr">
        <is>
          <t>CEO</t>
        </is>
      </c>
      <c r="D2723" t="inlineStr">
        <is>
          <t>myMechanic, Inc.</t>
        </is>
      </c>
      <c r="E2723" t="inlineStr">
        <is>
          <t>United States</t>
        </is>
      </c>
      <c r="H2723" t="n">
        <v>6</v>
      </c>
      <c r="I2723" t="b">
        <v>0</v>
      </c>
      <c r="J2723" t="b">
        <v>1</v>
      </c>
      <c r="K2723" t="b">
        <v>0</v>
      </c>
      <c r="L2723" t="b">
        <v>0</v>
      </c>
      <c r="M2723" t="b">
        <v>0</v>
      </c>
      <c r="N2723">
        <f>IFERROR(INDEX('Company Hitlist'!$AA:$AA,MATCH(D2723,'Company Hitlist'!$A:$A,0)),)</f>
        <v/>
      </c>
      <c r="O2723">
        <f>IFERROR(INDEX('Company Hitlist'!$N:$N,MATCH(D2723,'Company Hitlist'!$A:$A,0)),)</f>
        <v/>
      </c>
      <c r="Q2723" t="inlineStr">
        <is>
          <t>todo</t>
        </is>
      </c>
    </row>
    <row r="2724">
      <c r="A2724" t="inlineStr">
        <is>
          <t>Kiruba Raja</t>
        </is>
      </c>
      <c r="B2724" t="inlineStr">
        <is>
          <t>Attendee</t>
        </is>
      </c>
      <c r="C2724" t="inlineStr">
        <is>
          <t>CEO</t>
        </is>
      </c>
      <c r="D2724" t="inlineStr">
        <is>
          <t>thinklive inc</t>
        </is>
      </c>
      <c r="E2724" t="inlineStr">
        <is>
          <t>United States</t>
        </is>
      </c>
      <c r="F2724" t="inlineStr">
        <is>
          <t>Yes</t>
        </is>
      </c>
      <c r="H2724" t="n">
        <v>6</v>
      </c>
      <c r="I2724" t="b">
        <v>0</v>
      </c>
      <c r="J2724" t="b">
        <v>1</v>
      </c>
      <c r="K2724" t="b">
        <v>0</v>
      </c>
      <c r="L2724" t="b">
        <v>0</v>
      </c>
      <c r="M2724" t="b">
        <v>0</v>
      </c>
      <c r="N2724">
        <f>IFERROR(INDEX('Company Hitlist'!$AA:$AA,MATCH(D2724,'Company Hitlist'!$A:$A,0)),)</f>
        <v/>
      </c>
      <c r="O2724">
        <f>IFERROR(INDEX('Company Hitlist'!$N:$N,MATCH(D2724,'Company Hitlist'!$A:$A,0)),)</f>
        <v/>
      </c>
      <c r="Q2724" t="inlineStr">
        <is>
          <t>todo</t>
        </is>
      </c>
    </row>
    <row r="2725">
      <c r="A2725" t="inlineStr">
        <is>
          <t>Mindy Smith</t>
        </is>
      </c>
      <c r="B2725" t="inlineStr">
        <is>
          <t>Sponsor</t>
        </is>
      </c>
      <c r="C2725" t="inlineStr">
        <is>
          <t>Project Manager, Marketing Operations</t>
        </is>
      </c>
      <c r="D2725" t="inlineStr">
        <is>
          <t>ArcBest</t>
        </is>
      </c>
      <c r="H2725" t="n">
        <v>4</v>
      </c>
      <c r="I2725" t="b">
        <v>1</v>
      </c>
      <c r="J2725" t="b">
        <v>0</v>
      </c>
      <c r="K2725" t="b">
        <v>0</v>
      </c>
      <c r="L2725" t="b">
        <v>0</v>
      </c>
      <c r="M2725" t="b">
        <v>1</v>
      </c>
      <c r="N2725">
        <f>IFERROR(INDEX('Company Hitlist'!$AA:$AA,MATCH(D2725,'Company Hitlist'!$A:$A,0)),)</f>
        <v/>
      </c>
      <c r="O2725">
        <f>IFERROR(INDEX('Company Hitlist'!$N:$N,MATCH(D2725,'Company Hitlist'!$A:$A,0)),)</f>
        <v/>
      </c>
      <c r="Q2725" t="inlineStr">
        <is>
          <t>todo</t>
        </is>
      </c>
    </row>
    <row r="2726">
      <c r="A2726" t="inlineStr">
        <is>
          <t>Sara Wilcox</t>
        </is>
      </c>
      <c r="B2726" t="inlineStr">
        <is>
          <t>Sponsor</t>
        </is>
      </c>
      <c r="C2726" t="inlineStr">
        <is>
          <t>Product Marketing Director, Industrial &amp; Logistics</t>
        </is>
      </c>
      <c r="D2726" t="inlineStr">
        <is>
          <t>CBRE</t>
        </is>
      </c>
      <c r="E2726" t="inlineStr">
        <is>
          <t>United States</t>
        </is>
      </c>
      <c r="H2726" t="n">
        <v>4</v>
      </c>
      <c r="I2726" t="b">
        <v>1</v>
      </c>
      <c r="J2726" t="b">
        <v>0</v>
      </c>
      <c r="K2726" t="b">
        <v>0</v>
      </c>
      <c r="L2726" t="b">
        <v>0</v>
      </c>
      <c r="M2726" t="b">
        <v>1</v>
      </c>
      <c r="N2726">
        <f>IFERROR(INDEX('Company Hitlist'!$AA:$AA,MATCH(D2726,'Company Hitlist'!$A:$A,0)),)</f>
        <v/>
      </c>
      <c r="O2726">
        <f>IFERROR(INDEX('Company Hitlist'!$N:$N,MATCH(D2726,'Company Hitlist'!$A:$A,0)),)</f>
        <v/>
      </c>
      <c r="Q2726" t="inlineStr">
        <is>
          <t>todo</t>
        </is>
      </c>
    </row>
    <row r="2727">
      <c r="A2727" t="inlineStr">
        <is>
          <t>Aly Singer</t>
        </is>
      </c>
      <c r="B2727" t="inlineStr">
        <is>
          <t>Sponsor</t>
        </is>
      </c>
      <c r="C2727" t="inlineStr">
        <is>
          <t>Senior Marketing Specialist, Industrial &amp; Logistics</t>
        </is>
      </c>
      <c r="D2727" t="inlineStr">
        <is>
          <t>CBRE</t>
        </is>
      </c>
      <c r="H2727" t="n">
        <v>4</v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>
        <f>IFERROR(INDEX('Company Hitlist'!$AA:$AA,MATCH(D2727,'Company Hitlist'!$A:$A,0)),)</f>
        <v/>
      </c>
      <c r="O2727">
        <f>IFERROR(INDEX('Company Hitlist'!$N:$N,MATCH(D2727,'Company Hitlist'!$A:$A,0)),)</f>
        <v/>
      </c>
      <c r="Q2727" t="inlineStr">
        <is>
          <t>todo</t>
        </is>
      </c>
    </row>
    <row r="2728">
      <c r="A2728" t="inlineStr">
        <is>
          <t>Trevor Tomlinson</t>
        </is>
      </c>
      <c r="B2728" t="inlineStr">
        <is>
          <t>Sponsor</t>
        </is>
      </c>
      <c r="C2728" t="inlineStr">
        <is>
          <t>Global Sales Director - Inbound</t>
        </is>
      </c>
      <c r="D2728" t="inlineStr">
        <is>
          <t>DHL eCommerce</t>
        </is>
      </c>
      <c r="E2728" t="inlineStr">
        <is>
          <t>United States</t>
        </is>
      </c>
      <c r="H2728" t="n">
        <v>4</v>
      </c>
      <c r="I2728" t="b">
        <v>1</v>
      </c>
      <c r="J2728" t="b">
        <v>0</v>
      </c>
      <c r="K2728" t="b">
        <v>0</v>
      </c>
      <c r="L2728" t="b">
        <v>0</v>
      </c>
      <c r="M2728" t="b">
        <v>1</v>
      </c>
      <c r="N2728">
        <f>IFERROR(INDEX('Company Hitlist'!$AA:$AA,MATCH(D2728,'Company Hitlist'!$A:$A,0)),)</f>
        <v/>
      </c>
      <c r="O2728">
        <f>IFERROR(INDEX('Company Hitlist'!$N:$N,MATCH(D2728,'Company Hitlist'!$A:$A,0)),)</f>
        <v/>
      </c>
      <c r="Q2728" t="inlineStr">
        <is>
          <t>todo</t>
        </is>
      </c>
    </row>
    <row r="2729">
      <c r="A2729" t="inlineStr">
        <is>
          <t>Cindy Chiang Perin</t>
        </is>
      </c>
      <c r="B2729" t="inlineStr">
        <is>
          <t>Sponsor</t>
        </is>
      </c>
      <c r="C2729" t="inlineStr">
        <is>
          <t>Sr Marketing Lead - Transportation</t>
        </is>
      </c>
      <c r="D2729" t="inlineStr">
        <is>
          <t>Ericsson</t>
        </is>
      </c>
      <c r="F2729" t="inlineStr">
        <is>
          <t>Yes</t>
        </is>
      </c>
      <c r="G2729" t="inlineStr">
        <is>
          <t>$24.1 billion (2025)</t>
        </is>
      </c>
      <c r="H2729" t="n">
        <v>4</v>
      </c>
      <c r="I2729" t="b">
        <v>1</v>
      </c>
      <c r="J2729" t="b">
        <v>0</v>
      </c>
      <c r="K2729" t="b">
        <v>0</v>
      </c>
      <c r="L2729" t="b">
        <v>0</v>
      </c>
      <c r="M2729" t="b">
        <v>1</v>
      </c>
      <c r="N2729">
        <f>IFERROR(INDEX('Company Hitlist'!$AA:$AA,MATCH(D2729,'Company Hitlist'!$A:$A,0)),)</f>
        <v/>
      </c>
      <c r="O2729">
        <f>IFERROR(INDEX('Company Hitlist'!$N:$N,MATCH(D2729,'Company Hitlist'!$A:$A,0)),)</f>
        <v/>
      </c>
      <c r="Q2729" t="inlineStr">
        <is>
          <t>todo</t>
        </is>
      </c>
    </row>
    <row r="2730">
      <c r="A2730" t="inlineStr">
        <is>
          <t>Brad Perry</t>
        </is>
      </c>
      <c r="B2730" t="inlineStr">
        <is>
          <t>Sponsor</t>
        </is>
      </c>
      <c r="C2730" t="inlineStr">
        <is>
          <t>Director of Warehouse &amp; Distribution Sales</t>
        </is>
      </c>
      <c r="D2730" t="inlineStr">
        <is>
          <t>Fives Intralogistics Corp.</t>
        </is>
      </c>
      <c r="H2730" t="n">
        <v>4</v>
      </c>
      <c r="I2730" t="b">
        <v>1</v>
      </c>
      <c r="J2730" t="b">
        <v>0</v>
      </c>
      <c r="K2730" t="b">
        <v>0</v>
      </c>
      <c r="L2730" t="b">
        <v>0</v>
      </c>
      <c r="M2730" t="b">
        <v>1</v>
      </c>
      <c r="N2730">
        <f>IFERROR(INDEX('Company Hitlist'!$AA:$AA,MATCH(D2730,'Company Hitlist'!$A:$A,0)),)</f>
        <v/>
      </c>
      <c r="O2730">
        <f>IFERROR(INDEX('Company Hitlist'!$N:$N,MATCH(D2730,'Company Hitlist'!$A:$A,0)),)</f>
        <v/>
      </c>
      <c r="Q2730" t="inlineStr">
        <is>
          <t>todo</t>
        </is>
      </c>
    </row>
    <row r="2731">
      <c r="A2731" t="inlineStr">
        <is>
          <t>Aaron Stieglitz</t>
        </is>
      </c>
      <c r="B2731" t="inlineStr">
        <is>
          <t>Sponsor</t>
        </is>
      </c>
      <c r="C2731" t="inlineStr">
        <is>
          <t>Sales &amp; Operations Lead</t>
        </is>
      </c>
      <c r="D2731" t="inlineStr">
        <is>
          <t>Glīd</t>
        </is>
      </c>
      <c r="E2731" t="inlineStr">
        <is>
          <t>United States</t>
        </is>
      </c>
      <c r="H2731" t="n">
        <v>4</v>
      </c>
      <c r="I2731" t="b">
        <v>1</v>
      </c>
      <c r="J2731" t="b">
        <v>0</v>
      </c>
      <c r="K2731" t="b">
        <v>0</v>
      </c>
      <c r="L2731" t="b">
        <v>0</v>
      </c>
      <c r="M2731" t="b">
        <v>1</v>
      </c>
      <c r="N2731">
        <f>IFERROR(INDEX('Company Hitlist'!$AA:$AA,MATCH(D2731,'Company Hitlist'!$A:$A,0)),)</f>
        <v/>
      </c>
      <c r="O2731">
        <f>IFERROR(INDEX('Company Hitlist'!$N:$N,MATCH(D2731,'Company Hitlist'!$A:$A,0)),)</f>
        <v/>
      </c>
      <c r="Q2731" t="inlineStr">
        <is>
          <t>todo</t>
        </is>
      </c>
    </row>
    <row r="2732">
      <c r="A2732" t="inlineStr">
        <is>
          <t>Shayna Zweiback</t>
        </is>
      </c>
      <c r="B2732" t="inlineStr">
        <is>
          <t>Sponsor</t>
        </is>
      </c>
      <c r="C2732" t="inlineStr">
        <is>
          <t>Regional Marketing Lead, South and Logistics</t>
        </is>
      </c>
      <c r="D2732" t="inlineStr">
        <is>
          <t>Google Cloud</t>
        </is>
      </c>
      <c r="F2732" t="inlineStr">
        <is>
          <t>Yes</t>
        </is>
      </c>
      <c r="H2732" t="n">
        <v>4</v>
      </c>
      <c r="I2732" t="b">
        <v>1</v>
      </c>
      <c r="J2732" t="b">
        <v>0</v>
      </c>
      <c r="K2732" t="b">
        <v>0</v>
      </c>
      <c r="L2732" t="b">
        <v>0</v>
      </c>
      <c r="M2732" t="b">
        <v>1</v>
      </c>
      <c r="N2732">
        <f>IFERROR(INDEX('Company Hitlist'!$AA:$AA,MATCH(D2732,'Company Hitlist'!$A:$A,0)),)</f>
        <v/>
      </c>
      <c r="O2732">
        <f>IFERROR(INDEX('Company Hitlist'!$N:$N,MATCH(D2732,'Company Hitlist'!$A:$A,0)),)</f>
        <v/>
      </c>
      <c r="Q2732" t="inlineStr">
        <is>
          <t>todo</t>
        </is>
      </c>
    </row>
    <row r="2733">
      <c r="A2733" t="inlineStr">
        <is>
          <t>Peter Blum</t>
        </is>
      </c>
      <c r="B2733" t="inlineStr">
        <is>
          <t>Sponsor</t>
        </is>
      </c>
      <c r="C2733" t="inlineStr">
        <is>
          <t>Director, US Logistics Sales</t>
        </is>
      </c>
      <c r="D2733" t="inlineStr">
        <is>
          <t>Google Cloud</t>
        </is>
      </c>
      <c r="H2733" t="n">
        <v>4</v>
      </c>
      <c r="I2733" t="b">
        <v>1</v>
      </c>
      <c r="J2733" t="b">
        <v>0</v>
      </c>
      <c r="K2733" t="b">
        <v>0</v>
      </c>
      <c r="L2733" t="b">
        <v>0</v>
      </c>
      <c r="M2733" t="b">
        <v>1</v>
      </c>
      <c r="N2733">
        <f>IFERROR(INDEX('Company Hitlist'!$AA:$AA,MATCH(D2733,'Company Hitlist'!$A:$A,0)),)</f>
        <v/>
      </c>
      <c r="O2733">
        <f>IFERROR(INDEX('Company Hitlist'!$N:$N,MATCH(D2733,'Company Hitlist'!$A:$A,0)),)</f>
        <v/>
      </c>
      <c r="Q2733" t="inlineStr">
        <is>
          <t>todo</t>
        </is>
      </c>
    </row>
    <row r="2734">
      <c r="A2734" t="inlineStr">
        <is>
          <t>Aimee Belleville</t>
        </is>
      </c>
      <c r="B2734" t="inlineStr">
        <is>
          <t>Sponsor</t>
        </is>
      </c>
      <c r="C2734" t="inlineStr">
        <is>
          <t>Locus Park Experience and Marketing Logistics Manager</t>
        </is>
      </c>
      <c r="D2734" t="inlineStr">
        <is>
          <t>Locus Robotics</t>
        </is>
      </c>
      <c r="H2734" t="n">
        <v>4</v>
      </c>
      <c r="I2734" t="b">
        <v>1</v>
      </c>
      <c r="J2734" t="b">
        <v>0</v>
      </c>
      <c r="K2734" t="b">
        <v>0</v>
      </c>
      <c r="L2734" t="b">
        <v>0</v>
      </c>
      <c r="M2734" t="b">
        <v>1</v>
      </c>
      <c r="N2734">
        <f>IFERROR(INDEX('Company Hitlist'!$AA:$AA,MATCH(D2734,'Company Hitlist'!$A:$A,0)),)</f>
        <v/>
      </c>
      <c r="O2734">
        <f>IFERROR(INDEX('Company Hitlist'!$N:$N,MATCH(D2734,'Company Hitlist'!$A:$A,0)),)</f>
        <v/>
      </c>
      <c r="Q2734" t="inlineStr">
        <is>
          <t>todo</t>
        </is>
      </c>
    </row>
    <row r="2735">
      <c r="A2735" t="inlineStr">
        <is>
          <t>Steph Sharp</t>
        </is>
      </c>
      <c r="B2735" t="inlineStr">
        <is>
          <t>Sponsor</t>
        </is>
      </c>
      <c r="C2735" t="inlineStr">
        <is>
          <t>Dir of Strategic Sales, Supply Chain &amp; Mfg</t>
        </is>
      </c>
      <c r="D2735" t="inlineStr">
        <is>
          <t>Northern Lights Technology Development</t>
        </is>
      </c>
      <c r="E2735" t="inlineStr">
        <is>
          <t>United States</t>
        </is>
      </c>
      <c r="H2735" t="n">
        <v>4</v>
      </c>
      <c r="I2735" t="b">
        <v>1</v>
      </c>
      <c r="J2735" t="b">
        <v>0</v>
      </c>
      <c r="K2735" t="b">
        <v>0</v>
      </c>
      <c r="L2735" t="b">
        <v>0</v>
      </c>
      <c r="M2735" t="b">
        <v>1</v>
      </c>
      <c r="N2735">
        <f>IFERROR(INDEX('Company Hitlist'!$AA:$AA,MATCH(D2735,'Company Hitlist'!$A:$A,0)),)</f>
        <v/>
      </c>
      <c r="O2735">
        <f>IFERROR(INDEX('Company Hitlist'!$N:$N,MATCH(D2735,'Company Hitlist'!$A:$A,0)),)</f>
        <v/>
      </c>
      <c r="Q2735" t="inlineStr">
        <is>
          <t>todo</t>
        </is>
      </c>
    </row>
    <row r="2736">
      <c r="A2736" t="inlineStr">
        <is>
          <t>Megan Serratore</t>
        </is>
      </c>
      <c r="B2736" t="inlineStr">
        <is>
          <t>Sponsor</t>
        </is>
      </c>
      <c r="C2736" t="inlineStr">
        <is>
          <t>Sales Operations Manager</t>
        </is>
      </c>
      <c r="D2736" t="inlineStr">
        <is>
          <t>Raft</t>
        </is>
      </c>
      <c r="E2736" t="inlineStr">
        <is>
          <t>United States</t>
        </is>
      </c>
      <c r="H2736" t="n">
        <v>4</v>
      </c>
      <c r="I2736" t="b">
        <v>1</v>
      </c>
      <c r="J2736" t="b">
        <v>0</v>
      </c>
      <c r="K2736" t="b">
        <v>0</v>
      </c>
      <c r="L2736" t="b">
        <v>0</v>
      </c>
      <c r="M2736" t="b">
        <v>1</v>
      </c>
      <c r="N2736">
        <f>IFERROR(INDEX('Company Hitlist'!$AA:$AA,MATCH(D2736,'Company Hitlist'!$A:$A,0)),)</f>
        <v/>
      </c>
      <c r="O2736">
        <f>IFERROR(INDEX('Company Hitlist'!$N:$N,MATCH(D2736,'Company Hitlist'!$A:$A,0)),)</f>
        <v/>
      </c>
      <c r="Q2736" t="inlineStr">
        <is>
          <t>todo</t>
        </is>
      </c>
    </row>
    <row r="2737">
      <c r="A2737" t="inlineStr">
        <is>
          <t>Sidney Miller</t>
        </is>
      </c>
      <c r="B2737" t="inlineStr">
        <is>
          <t>Sponsor</t>
        </is>
      </c>
      <c r="C2737" t="inlineStr">
        <is>
          <t>Customer Success and Ops Support Analyst</t>
        </is>
      </c>
      <c r="D2737" t="inlineStr">
        <is>
          <t>ReBound</t>
        </is>
      </c>
      <c r="F2737" t="inlineStr">
        <is>
          <t>Yes</t>
        </is>
      </c>
      <c r="G2737" t="inlineStr">
        <is>
          <t>$77.9 million (2025)</t>
        </is>
      </c>
      <c r="H2737" t="n">
        <v>4</v>
      </c>
      <c r="I2737" t="b">
        <v>1</v>
      </c>
      <c r="J2737" t="b">
        <v>0</v>
      </c>
      <c r="K2737" t="b">
        <v>0</v>
      </c>
      <c r="L2737" t="b">
        <v>0</v>
      </c>
      <c r="M2737" t="b">
        <v>1</v>
      </c>
      <c r="N2737">
        <f>IFERROR(INDEX('Company Hitlist'!$AA:$AA,MATCH(D2737,'Company Hitlist'!$A:$A,0)),)</f>
        <v/>
      </c>
      <c r="O2737">
        <f>IFERROR(INDEX('Company Hitlist'!$N:$N,MATCH(D2737,'Company Hitlist'!$A:$A,0)),)</f>
        <v/>
      </c>
      <c r="Q2737" t="inlineStr">
        <is>
          <t>todo</t>
        </is>
      </c>
    </row>
    <row r="2738">
      <c r="A2738" t="inlineStr">
        <is>
          <t>Wesley Arentson</t>
        </is>
      </c>
      <c r="B2738" t="inlineStr">
        <is>
          <t>Sponsor</t>
        </is>
      </c>
      <c r="C2738" t="inlineStr">
        <is>
          <t>Sr Manager, Logistics Sales</t>
        </is>
      </c>
      <c r="D2738" t="inlineStr">
        <is>
          <t>SPS Commerce</t>
        </is>
      </c>
      <c r="H2738" t="n">
        <v>4</v>
      </c>
      <c r="I2738" t="b">
        <v>1</v>
      </c>
      <c r="J2738" t="b">
        <v>0</v>
      </c>
      <c r="K2738" t="b">
        <v>0</v>
      </c>
      <c r="L2738" t="b">
        <v>0</v>
      </c>
      <c r="M2738" t="b">
        <v>1</v>
      </c>
      <c r="N2738">
        <f>IFERROR(INDEX('Company Hitlist'!$AA:$AA,MATCH(D2738,'Company Hitlist'!$A:$A,0)),)</f>
        <v/>
      </c>
      <c r="O2738">
        <f>IFERROR(INDEX('Company Hitlist'!$N:$N,MATCH(D2738,'Company Hitlist'!$A:$A,0)),)</f>
        <v/>
      </c>
      <c r="Q2738" t="inlineStr">
        <is>
          <t>todo</t>
        </is>
      </c>
    </row>
    <row r="2739">
      <c r="A2739" t="inlineStr">
        <is>
          <t>Jennifer Karpus-Romain</t>
        </is>
      </c>
      <c r="B2739" t="inlineStr">
        <is>
          <t>Sponsor</t>
        </is>
      </c>
      <c r="C2739" t="inlineStr">
        <is>
          <t>Transportation Marketing &amp; Sales Association</t>
        </is>
      </c>
      <c r="D2739" t="inlineStr">
        <is>
          <t>Transportation Marketing and Sales Association (TMSA)</t>
        </is>
      </c>
      <c r="E2739" t="inlineStr">
        <is>
          <t>United States</t>
        </is>
      </c>
      <c r="H2739" t="n">
        <v>4</v>
      </c>
      <c r="I2739" t="b">
        <v>1</v>
      </c>
      <c r="J2739" t="b">
        <v>0</v>
      </c>
      <c r="K2739" t="b">
        <v>0</v>
      </c>
      <c r="L2739" t="b">
        <v>0</v>
      </c>
      <c r="M2739" t="b">
        <v>1</v>
      </c>
      <c r="N2739">
        <f>IFERROR(INDEX('Company Hitlist'!$AA:$AA,MATCH(D2739,'Company Hitlist'!$A:$A,0)),)</f>
        <v/>
      </c>
      <c r="O2739">
        <f>IFERROR(INDEX('Company Hitlist'!$N:$N,MATCH(D2739,'Company Hitlist'!$A:$A,0)),)</f>
        <v/>
      </c>
      <c r="Q2739" t="inlineStr">
        <is>
          <t>todo</t>
        </is>
      </c>
    </row>
    <row r="2740">
      <c r="A2740" t="inlineStr">
        <is>
          <t>Suja Chandrasekaran</t>
        </is>
      </c>
      <c r="B2740" t="inlineStr">
        <is>
          <t>Speaker</t>
        </is>
      </c>
      <c r="C2740" t="inlineStr">
        <is>
          <t>Member Board of Directors</t>
        </is>
      </c>
      <c r="D2740" t="inlineStr">
        <is>
          <t>AEO, Inc &amp; Cardinal Health</t>
        </is>
      </c>
      <c r="F2740" t="inlineStr">
        <is>
          <t>Yes</t>
        </is>
      </c>
      <c r="H2740" t="n">
        <v>3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>
        <f>IFERROR(INDEX('Company Hitlist'!$AA:$AA,MATCH(D2740,'Company Hitlist'!$A:$A,0)),)</f>
        <v/>
      </c>
      <c r="O2740">
        <f>IFERROR(INDEX('Company Hitlist'!$N:$N,MATCH(D2740,'Company Hitlist'!$A:$A,0)),)</f>
        <v/>
      </c>
      <c r="Q2740" t="inlineStr">
        <is>
          <t>todo</t>
        </is>
      </c>
    </row>
    <row r="2741">
      <c r="A2741" t="inlineStr">
        <is>
          <t>Manuel Vexler</t>
        </is>
      </c>
      <c r="B2741" t="inlineStr">
        <is>
          <t>Speaker</t>
        </is>
      </c>
      <c r="C2741" t="inlineStr">
        <is>
          <t>Executive Director</t>
        </is>
      </c>
      <c r="D2741" t="inlineStr">
        <is>
          <t>AKFI Association</t>
        </is>
      </c>
      <c r="H2741" t="n">
        <v>3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>
        <f>IFERROR(INDEX('Company Hitlist'!$AA:$AA,MATCH(D2741,'Company Hitlist'!$A:$A,0)),)</f>
        <v/>
      </c>
      <c r="O2741">
        <f>IFERROR(INDEX('Company Hitlist'!$N:$N,MATCH(D2741,'Company Hitlist'!$A:$A,0)),)</f>
        <v/>
      </c>
      <c r="Q2741" t="inlineStr">
        <is>
          <t>todo</t>
        </is>
      </c>
    </row>
    <row r="2742">
      <c r="A2742" t="inlineStr">
        <is>
          <t>David Bresnahan</t>
        </is>
      </c>
      <c r="B2742" t="inlineStr">
        <is>
          <t>Speaker</t>
        </is>
      </c>
      <c r="C2742" t="inlineStr">
        <is>
          <t>Director of Domestic Business Solutions and Continuous Improvement</t>
        </is>
      </c>
      <c r="D2742" t="inlineStr">
        <is>
          <t>APL Logistics</t>
        </is>
      </c>
      <c r="F2742" t="inlineStr">
        <is>
          <t>Yes</t>
        </is>
      </c>
      <c r="G2742" t="inlineStr">
        <is>
          <t>1458000000</t>
        </is>
      </c>
      <c r="H2742" t="n">
        <v>3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>
        <f>IFERROR(INDEX('Company Hitlist'!$AA:$AA,MATCH(D2742,'Company Hitlist'!$A:$A,0)),)</f>
        <v/>
      </c>
      <c r="O2742">
        <f>IFERROR(INDEX('Company Hitlist'!$N:$N,MATCH(D2742,'Company Hitlist'!$A:$A,0)),)</f>
        <v/>
      </c>
      <c r="Q2742" t="inlineStr">
        <is>
          <t>todo</t>
        </is>
      </c>
    </row>
    <row r="2743">
      <c r="A2743" t="inlineStr">
        <is>
          <t>Ryan Speis</t>
        </is>
      </c>
      <c r="B2743" t="inlineStr">
        <is>
          <t>Speaker</t>
        </is>
      </c>
      <c r="C2743" t="inlineStr">
        <is>
          <t>Managing Director, Sustainability</t>
        </is>
      </c>
      <c r="D2743" t="inlineStr">
        <is>
          <t>Alaska Airline</t>
        </is>
      </c>
      <c r="F2743" t="inlineStr">
        <is>
          <t>Yes</t>
        </is>
      </c>
      <c r="G2743" t="inlineStr">
        <is>
          <t>$10.5B (2024; projected $11B in 2025)</t>
        </is>
      </c>
      <c r="H2743" t="n">
        <v>3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>
        <f>IFERROR(INDEX('Company Hitlist'!$AA:$AA,MATCH(D2743,'Company Hitlist'!$A:$A,0)),)</f>
        <v/>
      </c>
      <c r="O2743">
        <f>IFERROR(INDEX('Company Hitlist'!$N:$N,MATCH(D2743,'Company Hitlist'!$A:$A,0)),)</f>
        <v/>
      </c>
      <c r="Q2743" t="inlineStr">
        <is>
          <t>todo</t>
        </is>
      </c>
    </row>
    <row r="2744">
      <c r="A2744" t="inlineStr">
        <is>
          <t>Brannon Jones</t>
        </is>
      </c>
      <c r="B2744" t="inlineStr">
        <is>
          <t>Speaker</t>
        </is>
      </c>
      <c r="C2744" t="inlineStr">
        <is>
          <t>Venture Partner</t>
        </is>
      </c>
      <c r="D2744" t="inlineStr">
        <is>
          <t>Alley Corp</t>
        </is>
      </c>
      <c r="H2744" t="n">
        <v>3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>
        <f>IFERROR(INDEX('Company Hitlist'!$AA:$AA,MATCH(D2744,'Company Hitlist'!$A:$A,0)),)</f>
        <v/>
      </c>
      <c r="O2744">
        <f>IFERROR(INDEX('Company Hitlist'!$N:$N,MATCH(D2744,'Company Hitlist'!$A:$A,0)),)</f>
        <v/>
      </c>
      <c r="Q2744" t="inlineStr">
        <is>
          <t>todo</t>
        </is>
      </c>
    </row>
    <row r="2745">
      <c r="A2745" t="inlineStr">
        <is>
          <t>Aubrie Pagano</t>
        </is>
      </c>
      <c r="B2745" t="inlineStr">
        <is>
          <t>Speaker</t>
        </is>
      </c>
      <c r="C2745" t="inlineStr">
        <is>
          <t>Partner</t>
        </is>
      </c>
      <c r="D2745" t="inlineStr">
        <is>
          <t>Alpaca Ventures</t>
        </is>
      </c>
      <c r="H2745" t="n">
        <v>3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>
        <f>IFERROR(INDEX('Company Hitlist'!$AA:$AA,MATCH(D2745,'Company Hitlist'!$A:$A,0)),)</f>
        <v/>
      </c>
      <c r="O2745">
        <f>IFERROR(INDEX('Company Hitlist'!$N:$N,MATCH(D2745,'Company Hitlist'!$A:$A,0)),)</f>
        <v/>
      </c>
      <c r="Q2745" t="inlineStr">
        <is>
          <t>todo</t>
        </is>
      </c>
    </row>
    <row r="2746">
      <c r="A2746" t="inlineStr">
        <is>
          <t>Emily Mohror</t>
        </is>
      </c>
      <c r="B2746" t="inlineStr">
        <is>
          <t>Speaker</t>
        </is>
      </c>
      <c r="C2746" t="inlineStr">
        <is>
          <t>Imports Manager</t>
        </is>
      </c>
      <c r="D2746" t="inlineStr">
        <is>
          <t>Anchor Ingredients</t>
        </is>
      </c>
      <c r="H2746" t="n">
        <v>3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>
        <f>IFERROR(INDEX('Company Hitlist'!$AA:$AA,MATCH(D2746,'Company Hitlist'!$A:$A,0)),)</f>
        <v/>
      </c>
      <c r="O2746">
        <f>IFERROR(INDEX('Company Hitlist'!$N:$N,MATCH(D2746,'Company Hitlist'!$A:$A,0)),)</f>
        <v/>
      </c>
      <c r="Q2746" t="inlineStr">
        <is>
          <t>todo</t>
        </is>
      </c>
    </row>
    <row r="2747">
      <c r="A2747" t="inlineStr">
        <is>
          <t>Matthew Leffler</t>
        </is>
      </c>
      <c r="B2747" t="inlineStr">
        <is>
          <t>Speaker</t>
        </is>
      </c>
      <c r="C2747" t="inlineStr">
        <is>
          <t>Managing Partner</t>
        </is>
      </c>
      <c r="D2747" t="inlineStr">
        <is>
          <t>Armchair Attorney, LLC</t>
        </is>
      </c>
      <c r="H2747" t="n">
        <v>3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>
        <f>IFERROR(INDEX('Company Hitlist'!$AA:$AA,MATCH(D2747,'Company Hitlist'!$A:$A,0)),)</f>
        <v/>
      </c>
      <c r="O2747">
        <f>IFERROR(INDEX('Company Hitlist'!$N:$N,MATCH(D2747,'Company Hitlist'!$A:$A,0)),)</f>
        <v/>
      </c>
      <c r="Q2747" t="inlineStr">
        <is>
          <t>todo</t>
        </is>
      </c>
    </row>
    <row r="2748">
      <c r="A2748" t="inlineStr">
        <is>
          <t>Jessica Robinson</t>
        </is>
      </c>
      <c r="B2748" t="inlineStr">
        <is>
          <t>Speaker</t>
        </is>
      </c>
      <c r="C2748" t="inlineStr">
        <is>
          <t>Partner</t>
        </is>
      </c>
      <c r="D2748" t="inlineStr">
        <is>
          <t>Assembly Ventures</t>
        </is>
      </c>
      <c r="H2748" t="n">
        <v>3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>
        <f>IFERROR(INDEX('Company Hitlist'!$AA:$AA,MATCH(D2748,'Company Hitlist'!$A:$A,0)),)</f>
        <v/>
      </c>
      <c r="O2748">
        <f>IFERROR(INDEX('Company Hitlist'!$N:$N,MATCH(D2748,'Company Hitlist'!$A:$A,0)),)</f>
        <v/>
      </c>
      <c r="Q2748" t="inlineStr">
        <is>
          <t>todo</t>
        </is>
      </c>
    </row>
    <row r="2749">
      <c r="A2749" t="inlineStr">
        <is>
          <t>Michael Rossiter</t>
        </is>
      </c>
      <c r="B2749" t="inlineStr">
        <is>
          <t>Speaker</t>
        </is>
      </c>
      <c r="C2749" t="inlineStr">
        <is>
          <t>Co-Founder</t>
        </is>
      </c>
      <c r="D2749" t="inlineStr">
        <is>
          <t>Atomic Supply</t>
        </is>
      </c>
      <c r="F2749" t="inlineStr">
        <is>
          <t>Yes</t>
        </is>
      </c>
      <c r="H2749" t="n">
        <v>3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>
        <f>IFERROR(INDEX('Company Hitlist'!$AA:$AA,MATCH(D2749,'Company Hitlist'!$A:$A,0)),)</f>
        <v/>
      </c>
      <c r="O2749">
        <f>IFERROR(INDEX('Company Hitlist'!$N:$N,MATCH(D2749,'Company Hitlist'!$A:$A,0)),)</f>
        <v/>
      </c>
      <c r="Q2749" t="inlineStr">
        <is>
          <t>todo</t>
        </is>
      </c>
    </row>
    <row r="2750">
      <c r="A2750" t="inlineStr">
        <is>
          <t>Ellonda Williams</t>
        </is>
      </c>
      <c r="B2750" t="inlineStr">
        <is>
          <t>Speaker</t>
        </is>
      </c>
      <c r="C2750" t="inlineStr">
        <is>
          <t>Interim Co-Executive Director &amp; Senior Director of Community</t>
        </is>
      </c>
      <c r="D2750" t="inlineStr">
        <is>
          <t>B Lab U.S. &amp; Canada</t>
        </is>
      </c>
      <c r="E2750" t="inlineStr">
        <is>
          <t>United States</t>
        </is>
      </c>
      <c r="H2750" t="n">
        <v>3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>
        <f>IFERROR(INDEX('Company Hitlist'!$AA:$AA,MATCH(D2750,'Company Hitlist'!$A:$A,0)),)</f>
        <v/>
      </c>
      <c r="O2750">
        <f>IFERROR(INDEX('Company Hitlist'!$N:$N,MATCH(D2750,'Company Hitlist'!$A:$A,0)),)</f>
        <v/>
      </c>
      <c r="Q2750" t="inlineStr">
        <is>
          <t>todo</t>
        </is>
      </c>
    </row>
    <row r="2751">
      <c r="A2751" t="inlineStr">
        <is>
          <t>Bart De Muynck</t>
        </is>
      </c>
      <c r="B2751" t="inlineStr">
        <is>
          <t>Speaker</t>
        </is>
      </c>
      <c r="C2751" t="inlineStr">
        <is>
          <t>Strategic Advisor</t>
        </is>
      </c>
      <c r="D2751" t="inlineStr">
        <is>
          <t>Bart De Muynck LLC</t>
        </is>
      </c>
      <c r="E2751" t="inlineStr">
        <is>
          <t>United States</t>
        </is>
      </c>
      <c r="H2751" t="n">
        <v>3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>
        <f>IFERROR(INDEX('Company Hitlist'!$AA:$AA,MATCH(D2751,'Company Hitlist'!$A:$A,0)),)</f>
        <v/>
      </c>
      <c r="O2751">
        <f>IFERROR(INDEX('Company Hitlist'!$N:$N,MATCH(D2751,'Company Hitlist'!$A:$A,0)),)</f>
        <v/>
      </c>
      <c r="Q2751" t="inlineStr">
        <is>
          <t>todo</t>
        </is>
      </c>
    </row>
    <row r="2752">
      <c r="A2752" t="inlineStr">
        <is>
          <t>Laura Curtis</t>
        </is>
      </c>
      <c r="B2752" t="inlineStr">
        <is>
          <t>Speaker</t>
        </is>
      </c>
      <c r="C2752" t="inlineStr">
        <is>
          <t>Editor/Reporter</t>
        </is>
      </c>
      <c r="D2752" t="inlineStr">
        <is>
          <t>Bloomberg</t>
        </is>
      </c>
      <c r="H2752" t="n">
        <v>3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>
        <f>IFERROR(INDEX('Company Hitlist'!$AA:$AA,MATCH(D2752,'Company Hitlist'!$A:$A,0)),)</f>
        <v/>
      </c>
      <c r="O2752">
        <f>IFERROR(INDEX('Company Hitlist'!$N:$N,MATCH(D2752,'Company Hitlist'!$A:$A,0)),)</f>
        <v/>
      </c>
      <c r="Q2752" t="inlineStr">
        <is>
          <t>todo</t>
        </is>
      </c>
    </row>
    <row r="2753">
      <c r="A2753" t="inlineStr">
        <is>
          <t>Romaine Bostick</t>
        </is>
      </c>
      <c r="B2753" t="inlineStr">
        <is>
          <t>Speaker</t>
        </is>
      </c>
      <c r="C2753" t="inlineStr">
        <is>
          <t>TV Anchor</t>
        </is>
      </c>
      <c r="D2753" t="inlineStr">
        <is>
          <t>Bloomberg LP</t>
        </is>
      </c>
      <c r="H2753" t="n">
        <v>3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>
        <f>IFERROR(INDEX('Company Hitlist'!$AA:$AA,MATCH(D2753,'Company Hitlist'!$A:$A,0)),)</f>
        <v/>
      </c>
      <c r="O2753">
        <f>IFERROR(INDEX('Company Hitlist'!$N:$N,MATCH(D2753,'Company Hitlist'!$A:$A,0)),)</f>
        <v/>
      </c>
      <c r="Q2753" t="inlineStr">
        <is>
          <t>todo</t>
        </is>
      </c>
    </row>
    <row r="2754">
      <c r="A2754" t="inlineStr">
        <is>
          <t>Raman Tanwar</t>
        </is>
      </c>
      <c r="B2754" t="inlineStr">
        <is>
          <t>Speaker</t>
        </is>
      </c>
      <c r="C2754" t="inlineStr">
        <is>
          <t>Senior Director of Digital Solutions</t>
        </is>
      </c>
      <c r="D2754" t="inlineStr">
        <is>
          <t>CHEP</t>
        </is>
      </c>
      <c r="F2754" t="inlineStr">
        <is>
          <t>Yes</t>
        </is>
      </c>
      <c r="G2754" t="inlineStr">
        <is>
          <t>$6B (2024 est.; projected $6.2B in 2025)</t>
        </is>
      </c>
      <c r="H2754" t="n">
        <v>3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>
        <f>IFERROR(INDEX('Company Hitlist'!$AA:$AA,MATCH(D2754,'Company Hitlist'!$A:$A,0)),)</f>
        <v/>
      </c>
      <c r="O2754">
        <f>IFERROR(INDEX('Company Hitlist'!$N:$N,MATCH(D2754,'Company Hitlist'!$A:$A,0)),)</f>
        <v/>
      </c>
      <c r="Q2754" t="inlineStr">
        <is>
          <t>todo</t>
        </is>
      </c>
    </row>
    <row r="2755">
      <c r="A2755" t="inlineStr">
        <is>
          <t>Aaron Samuels</t>
        </is>
      </c>
      <c r="B2755" t="inlineStr">
        <is>
          <t>Speaker</t>
        </is>
      </c>
      <c r="C2755" t="inlineStr">
        <is>
          <t>Managing Partner &amp; Founder</t>
        </is>
      </c>
      <c r="D2755" t="inlineStr">
        <is>
          <t>Collide Capital</t>
        </is>
      </c>
      <c r="H2755" t="n">
        <v>3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>
        <f>IFERROR(INDEX('Company Hitlist'!$AA:$AA,MATCH(D2755,'Company Hitlist'!$A:$A,0)),)</f>
        <v/>
      </c>
      <c r="O2755">
        <f>IFERROR(INDEX('Company Hitlist'!$N:$N,MATCH(D2755,'Company Hitlist'!$A:$A,0)),)</f>
        <v/>
      </c>
      <c r="Q2755" t="inlineStr">
        <is>
          <t>todo</t>
        </is>
      </c>
    </row>
    <row r="2756">
      <c r="A2756" t="inlineStr">
        <is>
          <t>David Shillingford</t>
        </is>
      </c>
      <c r="B2756" t="inlineStr">
        <is>
          <t>Speaker</t>
        </is>
      </c>
      <c r="C2756" t="inlineStr">
        <is>
          <t>Venture Partner</t>
        </is>
      </c>
      <c r="D2756" t="inlineStr">
        <is>
          <t>Columbia Capital</t>
        </is>
      </c>
      <c r="H2756" t="n">
        <v>3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>
        <f>IFERROR(INDEX('Company Hitlist'!$AA:$AA,MATCH(D2756,'Company Hitlist'!$A:$A,0)),)</f>
        <v/>
      </c>
      <c r="O2756">
        <f>IFERROR(INDEX('Company Hitlist'!$N:$N,MATCH(D2756,'Company Hitlist'!$A:$A,0)),)</f>
        <v/>
      </c>
      <c r="Q2756" t="inlineStr">
        <is>
          <t>todo</t>
        </is>
      </c>
    </row>
    <row r="2757">
      <c r="A2757" t="inlineStr">
        <is>
          <t>Rachel Holt</t>
        </is>
      </c>
      <c r="B2757" t="inlineStr">
        <is>
          <t>Speaker</t>
        </is>
      </c>
      <c r="C2757" t="inlineStr">
        <is>
          <t>Co-Founder &amp; General Partner</t>
        </is>
      </c>
      <c r="D2757" t="inlineStr">
        <is>
          <t>Construct Capital</t>
        </is>
      </c>
      <c r="E2757" t="inlineStr">
        <is>
          <t>United States</t>
        </is>
      </c>
      <c r="H2757" t="n">
        <v>3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>
        <f>IFERROR(INDEX('Company Hitlist'!$AA:$AA,MATCH(D2757,'Company Hitlist'!$A:$A,0)),)</f>
        <v/>
      </c>
      <c r="O2757">
        <f>IFERROR(INDEX('Company Hitlist'!$N:$N,MATCH(D2757,'Company Hitlist'!$A:$A,0)),)</f>
        <v/>
      </c>
      <c r="Q2757" t="inlineStr">
        <is>
          <t>todo</t>
        </is>
      </c>
    </row>
    <row r="2758">
      <c r="A2758" t="inlineStr">
        <is>
          <t>Ulugbek Ergashev</t>
        </is>
      </c>
      <c r="B2758" t="inlineStr">
        <is>
          <t>Speaker</t>
        </is>
      </c>
      <c r="C2758" t="inlineStr">
        <is>
          <t>Co-Founder</t>
        </is>
      </c>
      <c r="D2758" t="inlineStr">
        <is>
          <t>Datatruck</t>
        </is>
      </c>
      <c r="F2758" t="inlineStr">
        <is>
          <t>Yes</t>
        </is>
      </c>
      <c r="H2758" t="n">
        <v>3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>
        <f>IFERROR(INDEX('Company Hitlist'!$AA:$AA,MATCH(D2758,'Company Hitlist'!$A:$A,0)),)</f>
        <v/>
      </c>
      <c r="O2758">
        <f>IFERROR(INDEX('Company Hitlist'!$N:$N,MATCH(D2758,'Company Hitlist'!$A:$A,0)),)</f>
        <v/>
      </c>
      <c r="Q2758" t="inlineStr">
        <is>
          <t>todo</t>
        </is>
      </c>
    </row>
    <row r="2759">
      <c r="A2759" t="inlineStr">
        <is>
          <t>Vivek Ghelani</t>
        </is>
      </c>
      <c r="B2759" t="inlineStr">
        <is>
          <t>Speaker</t>
        </is>
      </c>
      <c r="C2759" t="inlineStr">
        <is>
          <t>Director of Research</t>
        </is>
      </c>
      <c r="D2759" t="inlineStr">
        <is>
          <t>Digital Supply Chain Institute</t>
        </is>
      </c>
      <c r="H2759" t="n">
        <v>3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>
        <f>IFERROR(INDEX('Company Hitlist'!$AA:$AA,MATCH(D2759,'Company Hitlist'!$A:$A,0)),)</f>
        <v/>
      </c>
      <c r="O2759">
        <f>IFERROR(INDEX('Company Hitlist'!$N:$N,MATCH(D2759,'Company Hitlist'!$A:$A,0)),)</f>
        <v/>
      </c>
      <c r="Q2759" t="inlineStr">
        <is>
          <t>todo</t>
        </is>
      </c>
    </row>
    <row r="2760">
      <c r="A2760" t="inlineStr">
        <is>
          <t>Marko Kovacevic</t>
        </is>
      </c>
      <c r="B2760" t="inlineStr">
        <is>
          <t>Speaker</t>
        </is>
      </c>
      <c r="C2760" t="inlineStr">
        <is>
          <t>Managing Director</t>
        </is>
      </c>
      <c r="D2760" t="inlineStr">
        <is>
          <t>Digital Supply Chain Institute</t>
        </is>
      </c>
      <c r="H2760" t="n">
        <v>3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>
        <f>IFERROR(INDEX('Company Hitlist'!$AA:$AA,MATCH(D2760,'Company Hitlist'!$A:$A,0)),)</f>
        <v/>
      </c>
      <c r="O2760">
        <f>IFERROR(INDEX('Company Hitlist'!$N:$N,MATCH(D2760,'Company Hitlist'!$A:$A,0)),)</f>
        <v/>
      </c>
      <c r="Q2760" t="inlineStr">
        <is>
          <t>todo</t>
        </is>
      </c>
    </row>
    <row r="2761">
      <c r="A2761" t="inlineStr">
        <is>
          <t>Pierre Bouchet</t>
        </is>
      </c>
      <c r="B2761" t="inlineStr">
        <is>
          <t>Speaker</t>
        </is>
      </c>
      <c r="C2761" t="inlineStr">
        <is>
          <t>International Trade &amp; Compliance Director</t>
        </is>
      </c>
      <c r="D2761" t="inlineStr">
        <is>
          <t>Dollar City</t>
        </is>
      </c>
      <c r="F2761" t="inlineStr">
        <is>
          <t>Yes</t>
        </is>
      </c>
      <c r="G2761" t="inlineStr">
        <is>
          <t>$1B (2024 est.; projected $1.1B in 2025)</t>
        </is>
      </c>
      <c r="H2761" t="n">
        <v>3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>
        <f>IFERROR(INDEX('Company Hitlist'!$AA:$AA,MATCH(D2761,'Company Hitlist'!$A:$A,0)),)</f>
        <v/>
      </c>
      <c r="O2761">
        <f>IFERROR(INDEX('Company Hitlist'!$N:$N,MATCH(D2761,'Company Hitlist'!$A:$A,0)),)</f>
        <v/>
      </c>
      <c r="Q2761" t="inlineStr">
        <is>
          <t>todo</t>
        </is>
      </c>
    </row>
    <row r="2762">
      <c r="A2762" t="inlineStr">
        <is>
          <t>Santosh Sankar</t>
        </is>
      </c>
      <c r="B2762" t="inlineStr">
        <is>
          <t>Speaker</t>
        </is>
      </c>
      <c r="C2762" t="inlineStr">
        <is>
          <t>Co-Founder &amp; Managing Partner</t>
        </is>
      </c>
      <c r="D2762" t="inlineStr">
        <is>
          <t>Dynamo Ventures</t>
        </is>
      </c>
      <c r="H2762" t="n">
        <v>3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>
        <f>IFERROR(INDEX('Company Hitlist'!$AA:$AA,MATCH(D2762,'Company Hitlist'!$A:$A,0)),)</f>
        <v/>
      </c>
      <c r="O2762">
        <f>IFERROR(INDEX('Company Hitlist'!$N:$N,MATCH(D2762,'Company Hitlist'!$A:$A,0)),)</f>
        <v/>
      </c>
      <c r="Q2762" t="inlineStr">
        <is>
          <t>todo</t>
        </is>
      </c>
    </row>
    <row r="2763">
      <c r="A2763" t="inlineStr">
        <is>
          <t>Tom Butt</t>
        </is>
      </c>
      <c r="B2763" t="inlineStr">
        <is>
          <t>Speaker</t>
        </is>
      </c>
      <c r="C2763" t="inlineStr">
        <is>
          <t>Director, Platform Analytics</t>
        </is>
      </c>
      <c r="D2763" t="inlineStr">
        <is>
          <t>EasyPost</t>
        </is>
      </c>
      <c r="F2763" t="inlineStr">
        <is>
          <t>Yes</t>
        </is>
      </c>
      <c r="G2763" t="inlineStr">
        <is>
          <t>$50M (2024 est.; projected $55M in 2025)</t>
        </is>
      </c>
      <c r="H2763" t="n">
        <v>3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>
        <f>IFERROR(INDEX('Company Hitlist'!$AA:$AA,MATCH(D2763,'Company Hitlist'!$A:$A,0)),)</f>
        <v/>
      </c>
      <c r="O2763">
        <f>IFERROR(INDEX('Company Hitlist'!$N:$N,MATCH(D2763,'Company Hitlist'!$A:$A,0)),)</f>
        <v/>
      </c>
      <c r="Q2763" t="inlineStr">
        <is>
          <t>todo</t>
        </is>
      </c>
    </row>
    <row r="2764">
      <c r="A2764" t="inlineStr">
        <is>
          <t>James Wilkinson</t>
        </is>
      </c>
      <c r="B2764" t="inlineStr">
        <is>
          <t>Speaker</t>
        </is>
      </c>
      <c r="C2764" t="inlineStr">
        <is>
          <t>Managing Director</t>
        </is>
      </c>
      <c r="D2764" t="inlineStr">
        <is>
          <t>Envio</t>
        </is>
      </c>
      <c r="F2764" t="inlineStr">
        <is>
          <t>Yes</t>
        </is>
      </c>
      <c r="H2764" t="n">
        <v>3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>
        <f>IFERROR(INDEX('Company Hitlist'!$AA:$AA,MATCH(D2764,'Company Hitlist'!$A:$A,0)),)</f>
        <v/>
      </c>
      <c r="O2764">
        <f>IFERROR(INDEX('Company Hitlist'!$N:$N,MATCH(D2764,'Company Hitlist'!$A:$A,0)),)</f>
        <v/>
      </c>
      <c r="Q2764" t="inlineStr">
        <is>
          <t>todo</t>
        </is>
      </c>
    </row>
    <row r="2765">
      <c r="A2765" t="inlineStr">
        <is>
          <t>Prince Gosh</t>
        </is>
      </c>
      <c r="B2765" t="inlineStr">
        <is>
          <t>Speaker</t>
        </is>
      </c>
      <c r="C2765" t="inlineStr">
        <is>
          <t>Founder</t>
        </is>
      </c>
      <c r="D2765" t="inlineStr">
        <is>
          <t>Factored Quality</t>
        </is>
      </c>
      <c r="F2765" t="inlineStr">
        <is>
          <t>Yes</t>
        </is>
      </c>
      <c r="H2765" t="n">
        <v>3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>
        <f>IFERROR(INDEX('Company Hitlist'!$AA:$AA,MATCH(D2765,'Company Hitlist'!$A:$A,0)),)</f>
        <v/>
      </c>
      <c r="O2765">
        <f>IFERROR(INDEX('Company Hitlist'!$N:$N,MATCH(D2765,'Company Hitlist'!$A:$A,0)),)</f>
        <v/>
      </c>
      <c r="Q2765" t="inlineStr">
        <is>
          <t>todo</t>
        </is>
      </c>
    </row>
    <row r="2766">
      <c r="A2766" t="inlineStr">
        <is>
          <t>Chris Stallman</t>
        </is>
      </c>
      <c r="B2766" t="inlineStr">
        <is>
          <t>Speaker</t>
        </is>
      </c>
      <c r="C2766" t="inlineStr">
        <is>
          <t>Managing Partner</t>
        </is>
      </c>
      <c r="D2766" t="inlineStr">
        <is>
          <t>Fontinalis</t>
        </is>
      </c>
      <c r="E2766" t="inlineStr">
        <is>
          <t>United States</t>
        </is>
      </c>
      <c r="H2766" t="n">
        <v>3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>
        <f>IFERROR(INDEX('Company Hitlist'!$AA:$AA,MATCH(D2766,'Company Hitlist'!$A:$A,0)),)</f>
        <v/>
      </c>
      <c r="O2766">
        <f>IFERROR(INDEX('Company Hitlist'!$N:$N,MATCH(D2766,'Company Hitlist'!$A:$A,0)),)</f>
        <v/>
      </c>
      <c r="Q2766" t="inlineStr">
        <is>
          <t>todo</t>
        </is>
      </c>
    </row>
    <row r="2767">
      <c r="A2767" t="inlineStr">
        <is>
          <t>Lina Alvarado</t>
        </is>
      </c>
      <c r="B2767" t="inlineStr">
        <is>
          <t>Speaker</t>
        </is>
      </c>
      <c r="C2767" t="inlineStr">
        <is>
          <t>Director Supply Planning &amp; Execution</t>
        </is>
      </c>
      <c r="D2767" t="inlineStr">
        <is>
          <t>Fortune Brands</t>
        </is>
      </c>
      <c r="F2767" t="inlineStr">
        <is>
          <t>Yes</t>
        </is>
      </c>
      <c r="G2767" t="inlineStr">
        <is>
          <t>$4.6B (2024; projected $4.8B in 2025)</t>
        </is>
      </c>
      <c r="H2767" t="n">
        <v>3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>
        <f>IFERROR(INDEX('Company Hitlist'!$AA:$AA,MATCH(D2767,'Company Hitlist'!$A:$A,0)),)</f>
        <v/>
      </c>
      <c r="O2767">
        <f>IFERROR(INDEX('Company Hitlist'!$N:$N,MATCH(D2767,'Company Hitlist'!$A:$A,0)),)</f>
        <v/>
      </c>
      <c r="Q2767" t="inlineStr">
        <is>
          <t>todo</t>
        </is>
      </c>
    </row>
    <row r="2768">
      <c r="A2768" t="inlineStr">
        <is>
          <t>Krenar Komoni</t>
        </is>
      </c>
      <c r="B2768" t="inlineStr">
        <is>
          <t>Speaker</t>
        </is>
      </c>
      <c r="C2768" t="inlineStr">
        <is>
          <t>Tive</t>
        </is>
      </c>
      <c r="D2768" t="inlineStr">
        <is>
          <t>Founder &amp; CEO</t>
        </is>
      </c>
      <c r="H2768" t="n">
        <v>3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>
        <f>IFERROR(INDEX('Company Hitlist'!$AA:$AA,MATCH(D2768,'Company Hitlist'!$A:$A,0)),)</f>
        <v/>
      </c>
      <c r="O2768">
        <f>IFERROR(INDEX('Company Hitlist'!$N:$N,MATCH(D2768,'Company Hitlist'!$A:$A,0)),)</f>
        <v/>
      </c>
      <c r="Q2768" t="inlineStr">
        <is>
          <t>todo</t>
        </is>
      </c>
    </row>
    <row r="2769">
      <c r="A2769" t="inlineStr">
        <is>
          <t>Keith Olscamp</t>
        </is>
      </c>
      <c r="B2769" t="inlineStr">
        <is>
          <t>Speaker</t>
        </is>
      </c>
      <c r="C2769" t="inlineStr">
        <is>
          <t>Director, Strategic Engagement</t>
        </is>
      </c>
      <c r="D2769" t="inlineStr">
        <is>
          <t>FourKites</t>
        </is>
      </c>
      <c r="E2769" t="inlineStr">
        <is>
          <t>United States</t>
        </is>
      </c>
      <c r="F2769" t="inlineStr">
        <is>
          <t>Yes</t>
        </is>
      </c>
      <c r="G2769" t="inlineStr">
        <is>
          <t>$100M (2024 est.; projected $110M in 2025)</t>
        </is>
      </c>
      <c r="H2769" t="n">
        <v>3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>
        <f>IFERROR(INDEX('Company Hitlist'!$AA:$AA,MATCH(D2769,'Company Hitlist'!$A:$A,0)),)</f>
        <v/>
      </c>
      <c r="O2769">
        <f>IFERROR(INDEX('Company Hitlist'!$N:$N,MATCH(D2769,'Company Hitlist'!$A:$A,0)),)</f>
        <v/>
      </c>
      <c r="Q2769" t="inlineStr">
        <is>
          <t>todo</t>
        </is>
      </c>
    </row>
    <row r="2770">
      <c r="A2770" t="inlineStr">
        <is>
          <t>Shana Wray</t>
        </is>
      </c>
      <c r="B2770" t="inlineStr">
        <is>
          <t>Speaker</t>
        </is>
      </c>
      <c r="C2770" t="inlineStr">
        <is>
          <t>Sr. Principal Solution Consultant</t>
        </is>
      </c>
      <c r="D2770" t="inlineStr">
        <is>
          <t>FourKites</t>
        </is>
      </c>
      <c r="E2770" t="inlineStr">
        <is>
          <t>United States</t>
        </is>
      </c>
      <c r="F2770" t="inlineStr">
        <is>
          <t>Yes</t>
        </is>
      </c>
      <c r="G2770" t="inlineStr">
        <is>
          <t>$100M (2024 est.; projected $110M in 2025)</t>
        </is>
      </c>
      <c r="H2770" t="n">
        <v>3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>
        <f>IFERROR(INDEX('Company Hitlist'!$AA:$AA,MATCH(D2770,'Company Hitlist'!$A:$A,0)),)</f>
        <v/>
      </c>
      <c r="O2770">
        <f>IFERROR(INDEX('Company Hitlist'!$N:$N,MATCH(D2770,'Company Hitlist'!$A:$A,0)),)</f>
        <v/>
      </c>
      <c r="Q2770" t="inlineStr">
        <is>
          <t>todo</t>
        </is>
      </c>
    </row>
    <row r="2771">
      <c r="A2771" t="inlineStr">
        <is>
          <t>Stephen Dyke</t>
        </is>
      </c>
      <c r="B2771" t="inlineStr">
        <is>
          <t>Speaker</t>
        </is>
      </c>
      <c r="C2771" t="inlineStr">
        <is>
          <t>Director, Strategic Solutions</t>
        </is>
      </c>
      <c r="D2771" t="inlineStr">
        <is>
          <t>FourKites</t>
        </is>
      </c>
      <c r="F2771" t="inlineStr">
        <is>
          <t>Yes</t>
        </is>
      </c>
      <c r="G2771" t="inlineStr">
        <is>
          <t>$100M (2024 est.; projected $110M in 2025)</t>
        </is>
      </c>
      <c r="H2771" t="n">
        <v>3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>
        <f>IFERROR(INDEX('Company Hitlist'!$AA:$AA,MATCH(D2771,'Company Hitlist'!$A:$A,0)),)</f>
        <v/>
      </c>
      <c r="O2771">
        <f>IFERROR(INDEX('Company Hitlist'!$N:$N,MATCH(D2771,'Company Hitlist'!$A:$A,0)),)</f>
        <v/>
      </c>
      <c r="Q2771" t="inlineStr">
        <is>
          <t>todo</t>
        </is>
      </c>
    </row>
    <row r="2772">
      <c r="A2772" t="inlineStr">
        <is>
          <t>Max Doyle</t>
        </is>
      </c>
      <c r="B2772" t="inlineStr">
        <is>
          <t>Speaker</t>
        </is>
      </c>
      <c r="C2772" t="inlineStr">
        <is>
          <t>General Partner</t>
        </is>
      </c>
      <c r="D2772" t="inlineStr">
        <is>
          <t>Freight Ventures</t>
        </is>
      </c>
      <c r="H2772" t="n">
        <v>3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>
        <f>IFERROR(INDEX('Company Hitlist'!$AA:$AA,MATCH(D2772,'Company Hitlist'!$A:$A,0)),)</f>
        <v/>
      </c>
      <c r="O2772">
        <f>IFERROR(INDEX('Company Hitlist'!$N:$N,MATCH(D2772,'Company Hitlist'!$A:$A,0)),)</f>
        <v/>
      </c>
      <c r="Q2772" t="inlineStr">
        <is>
          <t>todo</t>
        </is>
      </c>
    </row>
    <row r="2773">
      <c r="A2773" t="inlineStr">
        <is>
          <t>Robert Bain</t>
        </is>
      </c>
      <c r="B2773" t="inlineStr">
        <is>
          <t>Speaker</t>
        </is>
      </c>
      <c r="C2773" t="inlineStr">
        <is>
          <t>Director of Partnerships</t>
        </is>
      </c>
      <c r="D2773" t="inlineStr">
        <is>
          <t>GLCS</t>
        </is>
      </c>
      <c r="E2773" t="inlineStr">
        <is>
          <t>United States</t>
        </is>
      </c>
      <c r="H2773" t="n">
        <v>3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>
        <f>IFERROR(INDEX('Company Hitlist'!$AA:$AA,MATCH(D2773,'Company Hitlist'!$A:$A,0)),)</f>
        <v/>
      </c>
      <c r="O2773">
        <f>IFERROR(INDEX('Company Hitlist'!$N:$N,MATCH(D2773,'Company Hitlist'!$A:$A,0)),)</f>
        <v/>
      </c>
      <c r="Q2773" t="inlineStr">
        <is>
          <t>todo</t>
        </is>
      </c>
    </row>
    <row r="2774">
      <c r="A2774" t="inlineStr">
        <is>
          <t>Michael van Keulen</t>
        </is>
      </c>
      <c r="B2774" t="inlineStr">
        <is>
          <t>Speaker</t>
        </is>
      </c>
      <c r="C2774" t="inlineStr">
        <is>
          <t>CCO</t>
        </is>
      </c>
      <c r="D2774" t="inlineStr">
        <is>
          <t>Green Cabbage</t>
        </is>
      </c>
      <c r="F2774" t="inlineStr">
        <is>
          <t>Yes</t>
        </is>
      </c>
      <c r="H2774" t="n">
        <v>3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>
        <f>IFERROR(INDEX('Company Hitlist'!$AA:$AA,MATCH(D2774,'Company Hitlist'!$A:$A,0)),)</f>
        <v/>
      </c>
      <c r="O2774">
        <f>IFERROR(INDEX('Company Hitlist'!$N:$N,MATCH(D2774,'Company Hitlist'!$A:$A,0)),)</f>
        <v/>
      </c>
      <c r="Q2774" t="inlineStr">
        <is>
          <t>todo</t>
        </is>
      </c>
    </row>
    <row r="2775">
      <c r="A2775" t="inlineStr">
        <is>
          <t>Andrew O'Hara</t>
        </is>
      </c>
      <c r="B2775" t="inlineStr">
        <is>
          <t>Speaker</t>
        </is>
      </c>
      <c r="C2775" t="inlineStr">
        <is>
          <t>Founder</t>
        </is>
      </c>
      <c r="D2775" t="inlineStr">
        <is>
          <t>Hylios</t>
        </is>
      </c>
      <c r="E2775" t="inlineStr">
        <is>
          <t>United States</t>
        </is>
      </c>
      <c r="F2775" t="inlineStr">
        <is>
          <t>Yes</t>
        </is>
      </c>
      <c r="H2775" t="n">
        <v>3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>
        <f>IFERROR(INDEX('Company Hitlist'!$AA:$AA,MATCH(D2775,'Company Hitlist'!$A:$A,0)),)</f>
        <v/>
      </c>
      <c r="O2775">
        <f>IFERROR(INDEX('Company Hitlist'!$N:$N,MATCH(D2775,'Company Hitlist'!$A:$A,0)),)</f>
        <v/>
      </c>
      <c r="Q2775" t="inlineStr">
        <is>
          <t>todo</t>
        </is>
      </c>
    </row>
    <row r="2776">
      <c r="A2776" t="inlineStr">
        <is>
          <t>Frank Kantner</t>
        </is>
      </c>
      <c r="B2776" t="inlineStr">
        <is>
          <t>Speaker</t>
        </is>
      </c>
      <c r="C2776" t="inlineStr">
        <is>
          <t>CSCO, US</t>
        </is>
      </c>
      <c r="D2776" t="inlineStr">
        <is>
          <t>IKEA</t>
        </is>
      </c>
      <c r="F2776" t="inlineStr">
        <is>
          <t>Yes</t>
        </is>
      </c>
      <c r="G2776" t="inlineStr">
        <is>
          <t>$50B (2024; projected $52B in 2025)</t>
        </is>
      </c>
      <c r="H2776" t="n">
        <v>3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>
        <f>IFERROR(INDEX('Company Hitlist'!$AA:$AA,MATCH(D2776,'Company Hitlist'!$A:$A,0)),)</f>
        <v/>
      </c>
      <c r="O2776">
        <f>IFERROR(INDEX('Company Hitlist'!$N:$N,MATCH(D2776,'Company Hitlist'!$A:$A,0)),)</f>
        <v/>
      </c>
      <c r="Q2776" t="inlineStr">
        <is>
          <t>todo</t>
        </is>
      </c>
    </row>
    <row r="2777">
      <c r="A2777" t="inlineStr">
        <is>
          <t>Edwin Lopez</t>
        </is>
      </c>
      <c r="B2777" t="inlineStr">
        <is>
          <t>Speaker</t>
        </is>
      </c>
      <c r="C2777" t="inlineStr">
        <is>
          <t>Managing Editor</t>
        </is>
      </c>
      <c r="D2777" t="inlineStr">
        <is>
          <t>Informa TechTarget</t>
        </is>
      </c>
      <c r="E2777" t="inlineStr">
        <is>
          <t>United States</t>
        </is>
      </c>
      <c r="H2777" t="n">
        <v>3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>
        <f>IFERROR(INDEX('Company Hitlist'!$AA:$AA,MATCH(D2777,'Company Hitlist'!$A:$A,0)),)</f>
        <v/>
      </c>
      <c r="O2777">
        <f>IFERROR(INDEX('Company Hitlist'!$N:$N,MATCH(D2777,'Company Hitlist'!$A:$A,0)),)</f>
        <v/>
      </c>
      <c r="Q2777" t="inlineStr">
        <is>
          <t>todo</t>
        </is>
      </c>
    </row>
    <row r="2778">
      <c r="A2778" t="inlineStr">
        <is>
          <t>Haymon Sinapius</t>
        </is>
      </c>
      <c r="B2778" t="inlineStr">
        <is>
          <t>Speaker</t>
        </is>
      </c>
      <c r="C2778" t="inlineStr">
        <is>
          <t>Director</t>
        </is>
      </c>
      <c r="D2778" t="inlineStr">
        <is>
          <t>Innoport</t>
        </is>
      </c>
      <c r="H2778" t="n">
        <v>3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>
        <f>IFERROR(INDEX('Company Hitlist'!$AA:$AA,MATCH(D2778,'Company Hitlist'!$A:$A,0)),)</f>
        <v/>
      </c>
      <c r="O2778">
        <f>IFERROR(INDEX('Company Hitlist'!$N:$N,MATCH(D2778,'Company Hitlist'!$A:$A,0)),)</f>
        <v/>
      </c>
      <c r="Q2778" t="inlineStr">
        <is>
          <t>todo</t>
        </is>
      </c>
    </row>
    <row r="2779">
      <c r="A2779" t="inlineStr">
        <is>
          <t>Harpinder Singh</t>
        </is>
      </c>
      <c r="B2779" t="inlineStr">
        <is>
          <t>Speaker</t>
        </is>
      </c>
      <c r="C2779" t="inlineStr">
        <is>
          <t>Partner</t>
        </is>
      </c>
      <c r="D2779" t="inlineStr">
        <is>
          <t>Innovation Endeavors</t>
        </is>
      </c>
      <c r="H2779" t="n">
        <v>3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>
        <f>IFERROR(INDEX('Company Hitlist'!$AA:$AA,MATCH(D2779,'Company Hitlist'!$A:$A,0)),)</f>
        <v/>
      </c>
      <c r="O2779">
        <f>IFERROR(INDEX('Company Hitlist'!$N:$N,MATCH(D2779,'Company Hitlist'!$A:$A,0)),)</f>
        <v/>
      </c>
      <c r="Q2779" t="inlineStr">
        <is>
          <t>todo</t>
        </is>
      </c>
    </row>
    <row r="2780">
      <c r="A2780" t="inlineStr">
        <is>
          <t>Jennifer Bisceglie</t>
        </is>
      </c>
      <c r="B2780" t="inlineStr">
        <is>
          <t>Speaker</t>
        </is>
      </c>
      <c r="C2780" t="inlineStr">
        <is>
          <t>Executive Vice Chair &amp; Founder</t>
        </is>
      </c>
      <c r="D2780" t="inlineStr">
        <is>
          <t>Interos</t>
        </is>
      </c>
      <c r="F2780" t="inlineStr">
        <is>
          <t>Yes</t>
        </is>
      </c>
      <c r="G2780" t="inlineStr">
        <is>
          <t>$50M (2024 est.; projected $55M in 2025)</t>
        </is>
      </c>
      <c r="H2780" t="n">
        <v>3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>
        <f>IFERROR(INDEX('Company Hitlist'!$AA:$AA,MATCH(D2780,'Company Hitlist'!$A:$A,0)),)</f>
        <v/>
      </c>
      <c r="O2780">
        <f>IFERROR(INDEX('Company Hitlist'!$N:$N,MATCH(D2780,'Company Hitlist'!$A:$A,0)),)</f>
        <v/>
      </c>
      <c r="Q2780" t="inlineStr">
        <is>
          <t>todo</t>
        </is>
      </c>
    </row>
    <row r="2781">
      <c r="A2781" t="inlineStr">
        <is>
          <t>Erez Agmoni</t>
        </is>
      </c>
      <c r="B2781" t="inlineStr">
        <is>
          <t>Speaker</t>
        </is>
      </c>
      <c r="C2781" t="inlineStr">
        <is>
          <t>Partner</t>
        </is>
      </c>
      <c r="D2781" t="inlineStr">
        <is>
          <t>Interwoven Ventures</t>
        </is>
      </c>
      <c r="E2781" t="inlineStr">
        <is>
          <t>United States</t>
        </is>
      </c>
      <c r="H2781" t="n">
        <v>3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>
        <f>IFERROR(INDEX('Company Hitlist'!$AA:$AA,MATCH(D2781,'Company Hitlist'!$A:$A,0)),)</f>
        <v/>
      </c>
      <c r="O2781">
        <f>IFERROR(INDEX('Company Hitlist'!$N:$N,MATCH(D2781,'Company Hitlist'!$A:$A,0)),)</f>
        <v/>
      </c>
      <c r="Q2781" t="inlineStr">
        <is>
          <t>todo</t>
        </is>
      </c>
    </row>
    <row r="2782">
      <c r="A2782" t="inlineStr">
        <is>
          <t>Christy Cardenas</t>
        </is>
      </c>
      <c r="B2782" t="inlineStr">
        <is>
          <t>Speaker</t>
        </is>
      </c>
      <c r="C2782" t="inlineStr">
        <is>
          <t>Founder</t>
        </is>
      </c>
      <c r="D2782" t="inlineStr">
        <is>
          <t>Iris Invest</t>
        </is>
      </c>
      <c r="E2782" t="inlineStr">
        <is>
          <t>United States</t>
        </is>
      </c>
      <c r="H2782" t="n">
        <v>3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>
        <f>IFERROR(INDEX('Company Hitlist'!$AA:$AA,MATCH(D2782,'Company Hitlist'!$A:$A,0)),)</f>
        <v/>
      </c>
      <c r="O2782">
        <f>IFERROR(INDEX('Company Hitlist'!$N:$N,MATCH(D2782,'Company Hitlist'!$A:$A,0)),)</f>
        <v/>
      </c>
      <c r="Q2782" t="inlineStr">
        <is>
          <t>todo</t>
        </is>
      </c>
    </row>
    <row r="2783">
      <c r="A2783" t="inlineStr">
        <is>
          <t>Maggie Kenefake</t>
        </is>
      </c>
      <c r="B2783" t="inlineStr">
        <is>
          <t>Speaker</t>
        </is>
      </c>
      <c r="C2783" t="inlineStr">
        <is>
          <t>Founding Partner</t>
        </is>
      </c>
      <c r="D2783" t="inlineStr">
        <is>
          <t>Iron Prairie Ventures</t>
        </is>
      </c>
      <c r="E2783" t="inlineStr">
        <is>
          <t>United States</t>
        </is>
      </c>
      <c r="H2783" t="n">
        <v>3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>
        <f>IFERROR(INDEX('Company Hitlist'!$AA:$AA,MATCH(D2783,'Company Hitlist'!$A:$A,0)),)</f>
        <v/>
      </c>
      <c r="O2783">
        <f>IFERROR(INDEX('Company Hitlist'!$N:$N,MATCH(D2783,'Company Hitlist'!$A:$A,0)),)</f>
        <v/>
      </c>
      <c r="Q2783" t="inlineStr">
        <is>
          <t>todo</t>
        </is>
      </c>
    </row>
    <row r="2784">
      <c r="A2784" t="inlineStr">
        <is>
          <t>Ty Findley</t>
        </is>
      </c>
      <c r="B2784" t="inlineStr">
        <is>
          <t>Speaker</t>
        </is>
      </c>
      <c r="C2784" t="inlineStr">
        <is>
          <t>General Partner &amp; Co- Founder</t>
        </is>
      </c>
      <c r="D2784" t="inlineStr">
        <is>
          <t>Ironspring Ventures</t>
        </is>
      </c>
      <c r="H2784" t="n">
        <v>3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>
        <f>IFERROR(INDEX('Company Hitlist'!$AA:$AA,MATCH(D2784,'Company Hitlist'!$A:$A,0)),)</f>
        <v/>
      </c>
      <c r="O2784">
        <f>IFERROR(INDEX('Company Hitlist'!$N:$N,MATCH(D2784,'Company Hitlist'!$A:$A,0)),)</f>
        <v/>
      </c>
      <c r="Q2784" t="inlineStr">
        <is>
          <t>todo</t>
        </is>
      </c>
    </row>
    <row r="2785">
      <c r="A2785" t="inlineStr">
        <is>
          <t>Eric Johnson</t>
        </is>
      </c>
      <c r="B2785" t="inlineStr">
        <is>
          <t>Speaker</t>
        </is>
      </c>
      <c r="C2785" t="inlineStr">
        <is>
          <t>Senior Editor, Technology</t>
        </is>
      </c>
      <c r="D2785" t="inlineStr">
        <is>
          <t>JOC.com</t>
        </is>
      </c>
      <c r="H2785" t="n">
        <v>3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>
        <f>IFERROR(INDEX('Company Hitlist'!$AA:$AA,MATCH(D2785,'Company Hitlist'!$A:$A,0)),)</f>
        <v/>
      </c>
      <c r="O2785">
        <f>IFERROR(INDEX('Company Hitlist'!$N:$N,MATCH(D2785,'Company Hitlist'!$A:$A,0)),)</f>
        <v/>
      </c>
      <c r="Q2785" t="inlineStr">
        <is>
          <t>todo</t>
        </is>
      </c>
    </row>
    <row r="2786">
      <c r="A2786" t="inlineStr">
        <is>
          <t>Sarah Barnes-Humphrey</t>
        </is>
      </c>
      <c r="B2786" t="inlineStr">
        <is>
          <t>Speaker</t>
        </is>
      </c>
      <c r="C2786" t="inlineStr">
        <is>
          <t>Founder &amp; Host</t>
        </is>
      </c>
      <c r="D2786" t="inlineStr">
        <is>
          <t>Let's Talk Supply Chain</t>
        </is>
      </c>
      <c r="E2786" t="inlineStr">
        <is>
          <t>United States</t>
        </is>
      </c>
      <c r="H2786" t="n">
        <v>3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>
        <f>IFERROR(INDEX('Company Hitlist'!$AA:$AA,MATCH(D2786,'Company Hitlist'!$A:$A,0)),)</f>
        <v/>
      </c>
      <c r="O2786">
        <f>IFERROR(INDEX('Company Hitlist'!$N:$N,MATCH(D2786,'Company Hitlist'!$A:$A,0)),)</f>
        <v/>
      </c>
      <c r="Q2786" t="inlineStr">
        <is>
          <t>todo</t>
        </is>
      </c>
    </row>
    <row r="2787">
      <c r="A2787" t="inlineStr">
        <is>
          <t>Bryant Smith</t>
        </is>
      </c>
      <c r="B2787" t="inlineStr">
        <is>
          <t>Speaker</t>
        </is>
      </c>
      <c r="C2787" t="inlineStr">
        <is>
          <t>Director of Product Management</t>
        </is>
      </c>
      <c r="D2787" t="inlineStr">
        <is>
          <t>Manhattan Associates</t>
        </is>
      </c>
      <c r="F2787" t="inlineStr">
        <is>
          <t>Yes</t>
        </is>
      </c>
      <c r="G2787" t="inlineStr">
        <is>
          <t>1042352000</t>
        </is>
      </c>
      <c r="H2787" t="n">
        <v>3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>
        <f>IFERROR(INDEX('Company Hitlist'!$AA:$AA,MATCH(D2787,'Company Hitlist'!$A:$A,0)),)</f>
        <v/>
      </c>
      <c r="O2787">
        <f>IFERROR(INDEX('Company Hitlist'!$N:$N,MATCH(D2787,'Company Hitlist'!$A:$A,0)),)</f>
        <v/>
      </c>
      <c r="Q2787" t="inlineStr">
        <is>
          <t>todo</t>
        </is>
      </c>
    </row>
    <row r="2788">
      <c r="A2788" t="inlineStr">
        <is>
          <t>Pam Simon</t>
        </is>
      </c>
      <c r="B2788" t="inlineStr">
        <is>
          <t>Speaker</t>
        </is>
      </c>
      <c r="C2788" t="inlineStr">
        <is>
          <t>Conference Chair</t>
        </is>
      </c>
      <c r="D2788" t="inlineStr">
        <is>
          <t>Manifest</t>
        </is>
      </c>
      <c r="H2788" t="n">
        <v>3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>
        <f>IFERROR(INDEX('Company Hitlist'!$AA:$AA,MATCH(D2788,'Company Hitlist'!$A:$A,0)),)</f>
        <v/>
      </c>
      <c r="O2788">
        <f>IFERROR(INDEX('Company Hitlist'!$N:$N,MATCH(D2788,'Company Hitlist'!$A:$A,0)),)</f>
        <v/>
      </c>
      <c r="Q2788" t="inlineStr">
        <is>
          <t>todo</t>
        </is>
      </c>
    </row>
    <row r="2789">
      <c r="A2789" t="inlineStr">
        <is>
          <t>Meir Dardashti</t>
        </is>
      </c>
      <c r="B2789" t="inlineStr">
        <is>
          <t>Speaker</t>
        </is>
      </c>
      <c r="C2789" t="inlineStr">
        <is>
          <t>Partner</t>
        </is>
      </c>
      <c r="D2789" t="inlineStr">
        <is>
          <t>Maniv</t>
        </is>
      </c>
      <c r="H2789" t="n">
        <v>3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>
        <f>IFERROR(INDEX('Company Hitlist'!$AA:$AA,MATCH(D2789,'Company Hitlist'!$A:$A,0)),)</f>
        <v/>
      </c>
      <c r="O2789">
        <f>IFERROR(INDEX('Company Hitlist'!$N:$N,MATCH(D2789,'Company Hitlist'!$A:$A,0)),)</f>
        <v/>
      </c>
      <c r="Q2789" t="inlineStr">
        <is>
          <t>todo</t>
        </is>
      </c>
    </row>
    <row r="2790">
      <c r="A2790" t="inlineStr">
        <is>
          <t>Desmond Tay</t>
        </is>
      </c>
      <c r="B2790" t="inlineStr">
        <is>
          <t>Speaker</t>
        </is>
      </c>
      <c r="C2790" t="inlineStr">
        <is>
          <t>Director- America's</t>
        </is>
      </c>
      <c r="D2790" t="inlineStr">
        <is>
          <t>Maritime and Port Authority of Singapore (MPA)</t>
        </is>
      </c>
      <c r="E2790" t="inlineStr">
        <is>
          <t>United States</t>
        </is>
      </c>
      <c r="F2790" t="inlineStr">
        <is>
          <t>Yes</t>
        </is>
      </c>
      <c r="H2790" t="n">
        <v>3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>
        <f>IFERROR(INDEX('Company Hitlist'!$AA:$AA,MATCH(D2790,'Company Hitlist'!$A:$A,0)),)</f>
        <v/>
      </c>
      <c r="O2790">
        <f>IFERROR(INDEX('Company Hitlist'!$N:$N,MATCH(D2790,'Company Hitlist'!$A:$A,0)),)</f>
        <v/>
      </c>
      <c r="Q2790" t="inlineStr">
        <is>
          <t>todo</t>
        </is>
      </c>
    </row>
    <row r="2791">
      <c r="A2791" t="inlineStr">
        <is>
          <t>Debrup Jana</t>
        </is>
      </c>
      <c r="B2791" t="inlineStr">
        <is>
          <t>Speaker</t>
        </is>
      </c>
      <c r="C2791" t="inlineStr">
        <is>
          <t>Digital Commerce Leader</t>
        </is>
      </c>
      <c r="D2791" t="inlineStr">
        <is>
          <t>Mars</t>
        </is>
      </c>
      <c r="F2791" t="inlineStr">
        <is>
          <t>Yes</t>
        </is>
      </c>
      <c r="G2791" t="inlineStr">
        <is>
          <t>$50B (2024; projected $55B in 2025)</t>
        </is>
      </c>
      <c r="H2791" t="n">
        <v>3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>
        <f>IFERROR(INDEX('Company Hitlist'!$AA:$AA,MATCH(D2791,'Company Hitlist'!$A:$A,0)),)</f>
        <v/>
      </c>
      <c r="O2791">
        <f>IFERROR(INDEX('Company Hitlist'!$N:$N,MATCH(D2791,'Company Hitlist'!$A:$A,0)),)</f>
        <v/>
      </c>
      <c r="Q2791" t="inlineStr">
        <is>
          <t>todo</t>
        </is>
      </c>
    </row>
    <row r="2792">
      <c r="A2792" t="inlineStr">
        <is>
          <t>Ludwig Hausmann</t>
        </is>
      </c>
      <c r="B2792" t="inlineStr">
        <is>
          <t>Speaker</t>
        </is>
      </c>
      <c r="C2792" t="inlineStr">
        <is>
          <t>Managing Director</t>
        </is>
      </c>
      <c r="D2792" t="inlineStr">
        <is>
          <t>McKinsey</t>
        </is>
      </c>
      <c r="E2792" t="inlineStr">
        <is>
          <t>Germany</t>
        </is>
      </c>
      <c r="H2792" t="n">
        <v>3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>
        <f>IFERROR(INDEX('Company Hitlist'!$AA:$AA,MATCH(D2792,'Company Hitlist'!$A:$A,0)),)</f>
        <v/>
      </c>
      <c r="O2792">
        <f>IFERROR(INDEX('Company Hitlist'!$N:$N,MATCH(D2792,'Company Hitlist'!$A:$A,0)),)</f>
        <v/>
      </c>
      <c r="Q2792" t="inlineStr">
        <is>
          <t>todo</t>
        </is>
      </c>
    </row>
    <row r="2793">
      <c r="A2793" t="inlineStr">
        <is>
          <t>Dilip Bhattacharjee</t>
        </is>
      </c>
      <c r="B2793" t="inlineStr">
        <is>
          <t>Speaker</t>
        </is>
      </c>
      <c r="C2793" t="inlineStr">
        <is>
          <t>Partner</t>
        </is>
      </c>
      <c r="D2793" t="inlineStr">
        <is>
          <t>McKinsey &amp; Co</t>
        </is>
      </c>
      <c r="H2793" t="n">
        <v>3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>
        <f>IFERROR(INDEX('Company Hitlist'!$AA:$AA,MATCH(D2793,'Company Hitlist'!$A:$A,0)),)</f>
        <v/>
      </c>
      <c r="O2793">
        <f>IFERROR(INDEX('Company Hitlist'!$N:$N,MATCH(D2793,'Company Hitlist'!$A:$A,0)),)</f>
        <v/>
      </c>
      <c r="Q2793" t="inlineStr">
        <is>
          <t>todo</t>
        </is>
      </c>
    </row>
    <row r="2794">
      <c r="A2794" t="inlineStr">
        <is>
          <t>Trevor Adey</t>
        </is>
      </c>
      <c r="B2794" t="inlineStr">
        <is>
          <t>Speaker</t>
        </is>
      </c>
      <c r="C2794" t="inlineStr">
        <is>
          <t>General Partner &amp; Founder</t>
        </is>
      </c>
      <c r="D2794" t="inlineStr">
        <is>
          <t>McVestCo</t>
        </is>
      </c>
      <c r="E2794" t="inlineStr">
        <is>
          <t>United States</t>
        </is>
      </c>
      <c r="H2794" t="n">
        <v>3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>
        <f>IFERROR(INDEX('Company Hitlist'!$AA:$AA,MATCH(D2794,'Company Hitlist'!$A:$A,0)),)</f>
        <v/>
      </c>
      <c r="O2794">
        <f>IFERROR(INDEX('Company Hitlist'!$N:$N,MATCH(D2794,'Company Hitlist'!$A:$A,0)),)</f>
        <v/>
      </c>
      <c r="Q2794" t="inlineStr">
        <is>
          <t>todo</t>
        </is>
      </c>
    </row>
    <row r="2795">
      <c r="A2795" t="inlineStr">
        <is>
          <t>Joe Volpe</t>
        </is>
      </c>
      <c r="B2795" t="inlineStr">
        <is>
          <t>Speaker</t>
        </is>
      </c>
      <c r="C2795" t="inlineStr">
        <is>
          <t>Managing Director</t>
        </is>
      </c>
      <c r="D2795" t="inlineStr">
        <is>
          <t>Merck Global Health Innovation Fund</t>
        </is>
      </c>
      <c r="H2795" t="n">
        <v>3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>
        <f>IFERROR(INDEX('Company Hitlist'!$AA:$AA,MATCH(D2795,'Company Hitlist'!$A:$A,0)),)</f>
        <v/>
      </c>
      <c r="O2795">
        <f>IFERROR(INDEX('Company Hitlist'!$N:$N,MATCH(D2795,'Company Hitlist'!$A:$A,0)),)</f>
        <v/>
      </c>
      <c r="Q2795" t="inlineStr">
        <is>
          <t>todo</t>
        </is>
      </c>
    </row>
    <row r="2796">
      <c r="A2796" t="inlineStr">
        <is>
          <t>Luis Solana</t>
        </is>
      </c>
      <c r="B2796" t="inlineStr">
        <is>
          <t>Speaker</t>
        </is>
      </c>
      <c r="C2796" t="inlineStr">
        <is>
          <t>Managing Partner</t>
        </is>
      </c>
      <c r="D2796" t="inlineStr">
        <is>
          <t>Mettamorfozyx Ventures LLC</t>
        </is>
      </c>
      <c r="E2796" t="inlineStr">
        <is>
          <t>United States</t>
        </is>
      </c>
      <c r="H2796" t="n">
        <v>3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>
        <f>IFERROR(INDEX('Company Hitlist'!$AA:$AA,MATCH(D2796,'Company Hitlist'!$A:$A,0)),)</f>
        <v/>
      </c>
      <c r="O2796">
        <f>IFERROR(INDEX('Company Hitlist'!$N:$N,MATCH(D2796,'Company Hitlist'!$A:$A,0)),)</f>
        <v/>
      </c>
      <c r="Q2796" t="inlineStr">
        <is>
          <t>todo</t>
        </is>
      </c>
    </row>
    <row r="2797">
      <c r="A2797" t="inlineStr">
        <is>
          <t>Shaun Hon</t>
        </is>
      </c>
      <c r="B2797" t="inlineStr">
        <is>
          <t>Speaker</t>
        </is>
      </c>
      <c r="C2797" t="inlineStr">
        <is>
          <t>General Partner &amp; Founder</t>
        </is>
      </c>
      <c r="D2797" t="inlineStr">
        <is>
          <t>Motion Ventures</t>
        </is>
      </c>
      <c r="H2797" t="n">
        <v>3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>
        <f>IFERROR(INDEX('Company Hitlist'!$AA:$AA,MATCH(D2797,'Company Hitlist'!$A:$A,0)),)</f>
        <v/>
      </c>
      <c r="O2797">
        <f>IFERROR(INDEX('Company Hitlist'!$N:$N,MATCH(D2797,'Company Hitlist'!$A:$A,0)),)</f>
        <v/>
      </c>
      <c r="Q2797" t="inlineStr">
        <is>
          <t>todo</t>
        </is>
      </c>
    </row>
    <row r="2798">
      <c r="A2798" t="inlineStr">
        <is>
          <t>Heinelt Markus</t>
        </is>
      </c>
      <c r="B2798" t="inlineStr">
        <is>
          <t>Speaker</t>
        </is>
      </c>
      <c r="C2798" t="inlineStr">
        <is>
          <t>Director of Air Cargo</t>
        </is>
      </c>
      <c r="D2798" t="inlineStr">
        <is>
          <t>Munich Airport</t>
        </is>
      </c>
      <c r="F2798" t="inlineStr">
        <is>
          <t>Yes</t>
        </is>
      </c>
      <c r="G2798" t="inlineStr">
        <is>
          <t>€1.6B (2025 est.; ~$1.7B USD)</t>
        </is>
      </c>
      <c r="H2798" t="n">
        <v>3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>
        <f>IFERROR(INDEX('Company Hitlist'!$AA:$AA,MATCH(D2798,'Company Hitlist'!$A:$A,0)),)</f>
        <v/>
      </c>
      <c r="O2798">
        <f>IFERROR(INDEX('Company Hitlist'!$N:$N,MATCH(D2798,'Company Hitlist'!$A:$A,0)),)</f>
        <v/>
      </c>
      <c r="Q2798" t="inlineStr">
        <is>
          <t>todo</t>
        </is>
      </c>
    </row>
    <row r="2799">
      <c r="A2799" t="inlineStr">
        <is>
          <t>Jacob Hennessey-Rubin</t>
        </is>
      </c>
      <c r="B2799" t="inlineStr">
        <is>
          <t>Speaker</t>
        </is>
      </c>
      <c r="C2799" t="inlineStr">
        <is>
          <t>Executive Director</t>
        </is>
      </c>
      <c r="D2799" t="inlineStr">
        <is>
          <t>NY Robotics</t>
        </is>
      </c>
      <c r="F2799" t="inlineStr">
        <is>
          <t>Yes</t>
        </is>
      </c>
      <c r="H2799" t="n">
        <v>3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>
        <f>IFERROR(INDEX('Company Hitlist'!$AA:$AA,MATCH(D2799,'Company Hitlist'!$A:$A,0)),)</f>
        <v/>
      </c>
      <c r="O2799">
        <f>IFERROR(INDEX('Company Hitlist'!$N:$N,MATCH(D2799,'Company Hitlist'!$A:$A,0)),)</f>
        <v/>
      </c>
      <c r="Q2799" t="inlineStr">
        <is>
          <t>todo</t>
        </is>
      </c>
    </row>
    <row r="2800">
      <c r="A2800" t="inlineStr">
        <is>
          <t>Michael Newcity</t>
        </is>
      </c>
      <c r="B2800" t="inlineStr">
        <is>
          <t>Speaker</t>
        </is>
      </c>
      <c r="C2800" t="inlineStr">
        <is>
          <t>Strategic Advisor &amp; Investor</t>
        </is>
      </c>
      <c r="D2800" t="inlineStr">
        <is>
          <t>NewRoad Capital Partners</t>
        </is>
      </c>
      <c r="E2800" t="inlineStr">
        <is>
          <t>United States</t>
        </is>
      </c>
      <c r="H2800" t="n">
        <v>3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>
        <f>IFERROR(INDEX('Company Hitlist'!$AA:$AA,MATCH(D2800,'Company Hitlist'!$A:$A,0)),)</f>
        <v/>
      </c>
      <c r="O2800">
        <f>IFERROR(INDEX('Company Hitlist'!$N:$N,MATCH(D2800,'Company Hitlist'!$A:$A,0)),)</f>
        <v/>
      </c>
      <c r="Q2800" t="inlineStr">
        <is>
          <t>todo</t>
        </is>
      </c>
    </row>
    <row r="2801">
      <c r="A2801" t="inlineStr">
        <is>
          <t>Josh Jewett</t>
        </is>
      </c>
      <c r="B2801" t="inlineStr">
        <is>
          <t>Speaker</t>
        </is>
      </c>
      <c r="C2801" t="inlineStr">
        <is>
          <t>Operating Partner</t>
        </is>
      </c>
      <c r="D2801" t="inlineStr">
        <is>
          <t>NewRoad Capital Partners</t>
        </is>
      </c>
      <c r="H2801" t="n">
        <v>3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>
        <f>IFERROR(INDEX('Company Hitlist'!$AA:$AA,MATCH(D2801,'Company Hitlist'!$A:$A,0)),)</f>
        <v/>
      </c>
      <c r="O2801">
        <f>IFERROR(INDEX('Company Hitlist'!$N:$N,MATCH(D2801,'Company Hitlist'!$A:$A,0)),)</f>
        <v/>
      </c>
      <c r="Q2801" t="inlineStr">
        <is>
          <t>todo</t>
        </is>
      </c>
    </row>
    <row r="2802">
      <c r="A2802" t="inlineStr">
        <is>
          <t>Maria Gutierrez Penaloza</t>
        </is>
      </c>
      <c r="B2802" t="inlineStr">
        <is>
          <t>Speaker</t>
        </is>
      </c>
      <c r="C2802" t="inlineStr">
        <is>
          <t>Managing Partner &amp; Co Founder</t>
        </is>
      </c>
      <c r="D2802" t="inlineStr">
        <is>
          <t>Nido Ventures</t>
        </is>
      </c>
      <c r="H2802" t="n">
        <v>3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>
        <f>IFERROR(INDEX('Company Hitlist'!$AA:$AA,MATCH(D2802,'Company Hitlist'!$A:$A,0)),)</f>
        <v/>
      </c>
      <c r="O2802">
        <f>IFERROR(INDEX('Company Hitlist'!$N:$N,MATCH(D2802,'Company Hitlist'!$A:$A,0)),)</f>
        <v/>
      </c>
      <c r="Q2802" t="inlineStr">
        <is>
          <t>todo</t>
        </is>
      </c>
    </row>
    <row r="2803">
      <c r="A2803" t="inlineStr">
        <is>
          <t>Mike Roeth</t>
        </is>
      </c>
      <c r="B2803" t="inlineStr">
        <is>
          <t>Speaker</t>
        </is>
      </c>
      <c r="C2803" t="inlineStr">
        <is>
          <t>Executive Director</t>
        </is>
      </c>
      <c r="D2803" t="inlineStr">
        <is>
          <t>North American Council for Freight Efficiency</t>
        </is>
      </c>
      <c r="H2803" t="n">
        <v>3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>
        <f>IFERROR(INDEX('Company Hitlist'!$AA:$AA,MATCH(D2803,'Company Hitlist'!$A:$A,0)),)</f>
        <v/>
      </c>
      <c r="O2803">
        <f>IFERROR(INDEX('Company Hitlist'!$N:$N,MATCH(D2803,'Company Hitlist'!$A:$A,0)),)</f>
        <v/>
      </c>
      <c r="Q2803" t="inlineStr">
        <is>
          <t>todo</t>
        </is>
      </c>
    </row>
    <row r="2804">
      <c r="A2804" t="inlineStr">
        <is>
          <t>Brian Clark</t>
        </is>
      </c>
      <c r="B2804" t="inlineStr">
        <is>
          <t>Speaker</t>
        </is>
      </c>
      <c r="C2804" t="inlineStr">
        <is>
          <t>Executive Director</t>
        </is>
      </c>
      <c r="D2804" t="inlineStr">
        <is>
          <t>North Carolina Ports</t>
        </is>
      </c>
      <c r="F2804" t="inlineStr">
        <is>
          <t>Yes</t>
        </is>
      </c>
      <c r="G2804" t="inlineStr">
        <is>
          <t>$72M (2025 est.) (ICP match)</t>
        </is>
      </c>
      <c r="H2804" t="n">
        <v>3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>
        <f>IFERROR(INDEX('Company Hitlist'!$AA:$AA,MATCH(D2804,'Company Hitlist'!$A:$A,0)),)</f>
        <v/>
      </c>
      <c r="O2804">
        <f>IFERROR(INDEX('Company Hitlist'!$N:$N,MATCH(D2804,'Company Hitlist'!$A:$A,0)),)</f>
        <v/>
      </c>
      <c r="Q2804" t="inlineStr">
        <is>
          <t>todo</t>
        </is>
      </c>
    </row>
    <row r="2805">
      <c r="A2805" t="inlineStr">
        <is>
          <t>Grace Sharkey</t>
        </is>
      </c>
      <c r="B2805" t="inlineStr">
        <is>
          <t>Speaker</t>
        </is>
      </c>
      <c r="C2805" t="inlineStr">
        <is>
          <t>Senior Manager of Comms and PR</t>
        </is>
      </c>
      <c r="D2805" t="inlineStr">
        <is>
          <t>Orderful</t>
        </is>
      </c>
      <c r="H2805" t="n">
        <v>3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>
        <f>IFERROR(INDEX('Company Hitlist'!$AA:$AA,MATCH(D2805,'Company Hitlist'!$A:$A,0)),)</f>
        <v/>
      </c>
      <c r="O2805">
        <f>IFERROR(INDEX('Company Hitlist'!$N:$N,MATCH(D2805,'Company Hitlist'!$A:$A,0)),)</f>
        <v/>
      </c>
      <c r="Q2805" t="inlineStr">
        <is>
          <t>todo</t>
        </is>
      </c>
    </row>
    <row r="2806">
      <c r="A2806" t="inlineStr">
        <is>
          <t>Brian Davis</t>
        </is>
      </c>
      <c r="B2806" t="inlineStr">
        <is>
          <t>Speaker</t>
        </is>
      </c>
      <c r="C2806" t="inlineStr">
        <is>
          <t>Manufacturing Architect</t>
        </is>
      </c>
      <c r="D2806" t="inlineStr">
        <is>
          <t>Persona AI</t>
        </is>
      </c>
      <c r="E2806" t="inlineStr">
        <is>
          <t>United States</t>
        </is>
      </c>
      <c r="F2806" t="inlineStr">
        <is>
          <t>Yes</t>
        </is>
      </c>
      <c r="H2806" t="n">
        <v>3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>
        <f>IFERROR(INDEX('Company Hitlist'!$AA:$AA,MATCH(D2806,'Company Hitlist'!$A:$A,0)),)</f>
        <v/>
      </c>
      <c r="O2806">
        <f>IFERROR(INDEX('Company Hitlist'!$N:$N,MATCH(D2806,'Company Hitlist'!$A:$A,0)),)</f>
        <v/>
      </c>
      <c r="Q2806" t="inlineStr">
        <is>
          <t>todo</t>
        </is>
      </c>
    </row>
    <row r="2807">
      <c r="A2807" t="inlineStr">
        <is>
          <t>Brian Kempisty</t>
        </is>
      </c>
      <c r="B2807" t="inlineStr">
        <is>
          <t>Speaker</t>
        </is>
      </c>
      <c r="C2807" t="inlineStr">
        <is>
          <t>Founder</t>
        </is>
      </c>
      <c r="D2807" t="inlineStr">
        <is>
          <t>Port X Logistics</t>
        </is>
      </c>
      <c r="F2807" t="inlineStr">
        <is>
          <t>Yes</t>
        </is>
      </c>
      <c r="G2807" t="inlineStr">
        <is>
          <t>$6.3M (2025 est.) (ICP match)</t>
        </is>
      </c>
      <c r="H2807" t="n">
        <v>3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>
        <f>IFERROR(INDEX('Company Hitlist'!$AA:$AA,MATCH(D2807,'Company Hitlist'!$A:$A,0)),)</f>
        <v/>
      </c>
      <c r="O2807">
        <f>IFERROR(INDEX('Company Hitlist'!$N:$N,MATCH(D2807,'Company Hitlist'!$A:$A,0)),)</f>
        <v/>
      </c>
      <c r="Q2807" t="inlineStr">
        <is>
          <t>todo</t>
        </is>
      </c>
    </row>
    <row r="2808">
      <c r="A2808" t="inlineStr">
        <is>
          <t>Rodolfo Dieck</t>
        </is>
      </c>
      <c r="B2808" t="inlineStr">
        <is>
          <t>Speaker</t>
        </is>
      </c>
      <c r="C2808" t="inlineStr">
        <is>
          <t>Managing Partner</t>
        </is>
      </c>
      <c r="D2808" t="inlineStr">
        <is>
          <t>Proeza Ventures</t>
        </is>
      </c>
      <c r="H2808" t="n">
        <v>3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>
        <f>IFERROR(INDEX('Company Hitlist'!$AA:$AA,MATCH(D2808,'Company Hitlist'!$A:$A,0)),)</f>
        <v/>
      </c>
      <c r="O2808">
        <f>IFERROR(INDEX('Company Hitlist'!$N:$N,MATCH(D2808,'Company Hitlist'!$A:$A,0)),)</f>
        <v/>
      </c>
      <c r="Q2808" t="inlineStr">
        <is>
          <t>todo</t>
        </is>
      </c>
    </row>
    <row r="2809">
      <c r="A2809" t="inlineStr">
        <is>
          <t>Lisa Morales-Hellebo</t>
        </is>
      </c>
      <c r="B2809" t="inlineStr">
        <is>
          <t>Speaker</t>
        </is>
      </c>
      <c r="C2809" t="inlineStr">
        <is>
          <t>Managing General Partner &amp; Founder</t>
        </is>
      </c>
      <c r="D2809" t="inlineStr">
        <is>
          <t>REFASHIOND Ventures</t>
        </is>
      </c>
      <c r="H2809" t="n">
        <v>3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>
        <f>IFERROR(INDEX('Company Hitlist'!$AA:$AA,MATCH(D2809,'Company Hitlist'!$A:$A,0)),)</f>
        <v/>
      </c>
      <c r="O2809">
        <f>IFERROR(INDEX('Company Hitlist'!$N:$N,MATCH(D2809,'Company Hitlist'!$A:$A,0)),)</f>
        <v/>
      </c>
      <c r="Q2809" t="inlineStr">
        <is>
          <t>todo</t>
        </is>
      </c>
    </row>
    <row r="2810">
      <c r="A2810" t="inlineStr">
        <is>
          <t>Nick Lazzara</t>
        </is>
      </c>
      <c r="B2810" t="inlineStr">
        <is>
          <t>Speaker</t>
        </is>
      </c>
      <c r="C2810" t="inlineStr">
        <is>
          <t>Partner</t>
        </is>
      </c>
      <c r="D2810" t="inlineStr">
        <is>
          <t>Randall Partners</t>
        </is>
      </c>
      <c r="H2810" t="n">
        <v>3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>
        <f>IFERROR(INDEX('Company Hitlist'!$AA:$AA,MATCH(D2810,'Company Hitlist'!$A:$A,0)),)</f>
        <v/>
      </c>
      <c r="O2810">
        <f>IFERROR(INDEX('Company Hitlist'!$N:$N,MATCH(D2810,'Company Hitlist'!$A:$A,0)),)</f>
        <v/>
      </c>
      <c r="Q2810" t="inlineStr">
        <is>
          <t>todo</t>
        </is>
      </c>
    </row>
    <row r="2811">
      <c r="A2811" t="inlineStr">
        <is>
          <t>Eelco van der Zande</t>
        </is>
      </c>
      <c r="B2811" t="inlineStr">
        <is>
          <t>Speaker</t>
        </is>
      </c>
      <c r="C2811" t="inlineStr">
        <is>
          <t>Managing Director</t>
        </is>
      </c>
      <c r="D2811" t="inlineStr">
        <is>
          <t>ReBound Returns</t>
        </is>
      </c>
      <c r="F2811" t="inlineStr">
        <is>
          <t>Yes</t>
        </is>
      </c>
      <c r="G2811" t="inlineStr">
        <is>
          <t>&lt;$5M (2025 est.) (ICP match)</t>
        </is>
      </c>
      <c r="H2811" t="n">
        <v>3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>
        <f>IFERROR(INDEX('Company Hitlist'!$AA:$AA,MATCH(D2811,'Company Hitlist'!$A:$A,0)),)</f>
        <v/>
      </c>
      <c r="O2811">
        <f>IFERROR(INDEX('Company Hitlist'!$N:$N,MATCH(D2811,'Company Hitlist'!$A:$A,0)),)</f>
        <v/>
      </c>
      <c r="Q2811" t="inlineStr">
        <is>
          <t>todo</t>
        </is>
      </c>
    </row>
    <row r="2812">
      <c r="A2812" t="inlineStr">
        <is>
          <t>Kate Danaher</t>
        </is>
      </c>
      <c r="B2812" t="inlineStr">
        <is>
          <t>Speaker</t>
        </is>
      </c>
      <c r="C2812" t="inlineStr">
        <is>
          <t>Managing Director</t>
        </is>
      </c>
      <c r="D2812" t="inlineStr">
        <is>
          <t>S2G Ventures</t>
        </is>
      </c>
      <c r="H2812" t="n">
        <v>3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>
        <f>IFERROR(INDEX('Company Hitlist'!$AA:$AA,MATCH(D2812,'Company Hitlist'!$A:$A,0)),)</f>
        <v/>
      </c>
      <c r="O2812">
        <f>IFERROR(INDEX('Company Hitlist'!$N:$N,MATCH(D2812,'Company Hitlist'!$A:$A,0)),)</f>
        <v/>
      </c>
      <c r="Q2812" t="inlineStr">
        <is>
          <t>todo</t>
        </is>
      </c>
    </row>
    <row r="2813">
      <c r="A2813" t="inlineStr">
        <is>
          <t>Tom Anderson</t>
        </is>
      </c>
      <c r="B2813" t="inlineStr">
        <is>
          <t>Speaker</t>
        </is>
      </c>
      <c r="C2813" t="inlineStr">
        <is>
          <t>Co-Founder</t>
        </is>
      </c>
      <c r="D2813" t="inlineStr">
        <is>
          <t>STIQ</t>
        </is>
      </c>
      <c r="E2813" t="inlineStr">
        <is>
          <t>United Kingdom</t>
        </is>
      </c>
      <c r="F2813" t="inlineStr">
        <is>
          <t>Yes</t>
        </is>
      </c>
      <c r="H2813" t="n">
        <v>3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>
        <f>IFERROR(INDEX('Company Hitlist'!$AA:$AA,MATCH(D2813,'Company Hitlist'!$A:$A,0)),)</f>
        <v/>
      </c>
      <c r="O2813">
        <f>IFERROR(INDEX('Company Hitlist'!$N:$N,MATCH(D2813,'Company Hitlist'!$A:$A,0)),)</f>
        <v/>
      </c>
      <c r="Q2813" t="inlineStr">
        <is>
          <t>todo</t>
        </is>
      </c>
    </row>
    <row r="2814">
      <c r="A2814" t="inlineStr">
        <is>
          <t>Krystian Gebis</t>
        </is>
      </c>
      <c r="B2814" t="inlineStr">
        <is>
          <t>Speaker</t>
        </is>
      </c>
      <c r="C2814" t="inlineStr">
        <is>
          <t>Co-Founder</t>
        </is>
      </c>
      <c r="D2814" t="inlineStr">
        <is>
          <t>Shipper CRM</t>
        </is>
      </c>
      <c r="E2814" t="inlineStr">
        <is>
          <t>United States</t>
        </is>
      </c>
      <c r="F2814" t="inlineStr">
        <is>
          <t>Yes</t>
        </is>
      </c>
      <c r="H2814" t="n">
        <v>3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>
        <f>IFERROR(INDEX('Company Hitlist'!$AA:$AA,MATCH(D2814,'Company Hitlist'!$A:$A,0)),)</f>
        <v/>
      </c>
      <c r="O2814">
        <f>IFERROR(INDEX('Company Hitlist'!$N:$N,MATCH(D2814,'Company Hitlist'!$A:$A,0)),)</f>
        <v/>
      </c>
      <c r="Q2814" t="inlineStr">
        <is>
          <t>todo</t>
        </is>
      </c>
    </row>
    <row r="2815">
      <c r="A2815" t="inlineStr">
        <is>
          <t>Charles Gracey</t>
        </is>
      </c>
      <c r="B2815" t="inlineStr">
        <is>
          <t>Speaker</t>
        </is>
      </c>
      <c r="C2815" t="inlineStr">
        <is>
          <t>Host, Trucking Sense</t>
        </is>
      </c>
      <c r="D2815" t="inlineStr">
        <is>
          <t>SiriusXM</t>
        </is>
      </c>
      <c r="E2815" t="inlineStr">
        <is>
          <t>United States</t>
        </is>
      </c>
      <c r="H2815" t="n">
        <v>3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>
        <f>IFERROR(INDEX('Company Hitlist'!$AA:$AA,MATCH(D2815,'Company Hitlist'!$A:$A,0)),)</f>
        <v/>
      </c>
      <c r="O2815">
        <f>IFERROR(INDEX('Company Hitlist'!$N:$N,MATCH(D2815,'Company Hitlist'!$A:$A,0)),)</f>
        <v/>
      </c>
      <c r="Q2815" t="inlineStr">
        <is>
          <t>todo</t>
        </is>
      </c>
    </row>
    <row r="2816">
      <c r="A2816" t="inlineStr">
        <is>
          <t>Cheree Brewer</t>
        </is>
      </c>
      <c r="B2816" t="inlineStr">
        <is>
          <t>Speaker</t>
        </is>
      </c>
      <c r="C2816" t="inlineStr">
        <is>
          <t>Account Manager</t>
        </is>
      </c>
      <c r="D2816" t="inlineStr">
        <is>
          <t>SnapFulfil</t>
        </is>
      </c>
      <c r="E2816" t="inlineStr">
        <is>
          <t>United States</t>
        </is>
      </c>
      <c r="H2816" t="n">
        <v>3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>
        <f>IFERROR(INDEX('Company Hitlist'!$AA:$AA,MATCH(D2816,'Company Hitlist'!$A:$A,0)),)</f>
        <v/>
      </c>
      <c r="O2816">
        <f>IFERROR(INDEX('Company Hitlist'!$N:$N,MATCH(D2816,'Company Hitlist'!$A:$A,0)),)</f>
        <v/>
      </c>
      <c r="Q2816" t="inlineStr">
        <is>
          <t>todo</t>
        </is>
      </c>
    </row>
    <row r="2817">
      <c r="A2817" t="inlineStr">
        <is>
          <t>Lisa McAlinden</t>
        </is>
      </c>
      <c r="B2817" t="inlineStr">
        <is>
          <t>Speaker</t>
        </is>
      </c>
      <c r="C2817" t="inlineStr">
        <is>
          <t>Product &amp; Sustainability Director</t>
        </is>
      </c>
      <c r="D2817" t="inlineStr">
        <is>
          <t>Spring Near East, part of PDS</t>
        </is>
      </c>
      <c r="H2817" t="n">
        <v>3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>
        <f>IFERROR(INDEX('Company Hitlist'!$AA:$AA,MATCH(D2817,'Company Hitlist'!$A:$A,0)),)</f>
        <v/>
      </c>
      <c r="O2817">
        <f>IFERROR(INDEX('Company Hitlist'!$N:$N,MATCH(D2817,'Company Hitlist'!$A:$A,0)),)</f>
        <v/>
      </c>
      <c r="Q2817" t="inlineStr">
        <is>
          <t>todo</t>
        </is>
      </c>
    </row>
    <row r="2818">
      <c r="A2818" t="inlineStr">
        <is>
          <t>Rohit Nuwal</t>
        </is>
      </c>
      <c r="B2818" t="inlineStr">
        <is>
          <t>Speaker</t>
        </is>
      </c>
      <c r="C2818" t="inlineStr">
        <is>
          <t>Partner</t>
        </is>
      </c>
      <c r="D2818" t="inlineStr">
        <is>
          <t>TELUS Global Ventures</t>
        </is>
      </c>
      <c r="H2818" t="n">
        <v>3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>
        <f>IFERROR(INDEX('Company Hitlist'!$AA:$AA,MATCH(D2818,'Company Hitlist'!$A:$A,0)),)</f>
        <v/>
      </c>
      <c r="O2818">
        <f>IFERROR(INDEX('Company Hitlist'!$N:$N,MATCH(D2818,'Company Hitlist'!$A:$A,0)),)</f>
        <v/>
      </c>
      <c r="Q2818" t="inlineStr">
        <is>
          <t>todo</t>
        </is>
      </c>
    </row>
    <row r="2819">
      <c r="A2819" t="inlineStr">
        <is>
          <t>Glyn Hughes</t>
        </is>
      </c>
      <c r="B2819" t="inlineStr">
        <is>
          <t>Speaker</t>
        </is>
      </c>
      <c r="C2819" t="inlineStr">
        <is>
          <t>Director General</t>
        </is>
      </c>
      <c r="D2819" t="inlineStr">
        <is>
          <t>TIACA</t>
        </is>
      </c>
      <c r="F2819" t="inlineStr">
        <is>
          <t>Yes</t>
        </is>
      </c>
      <c r="G2819" t="inlineStr">
        <is>
          <t>$10.9M (2025 est.) (ICP match)</t>
        </is>
      </c>
      <c r="H2819" t="n">
        <v>3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>
        <f>IFERROR(INDEX('Company Hitlist'!$AA:$AA,MATCH(D2819,'Company Hitlist'!$A:$A,0)),)</f>
        <v/>
      </c>
      <c r="O2819">
        <f>IFERROR(INDEX('Company Hitlist'!$N:$N,MATCH(D2819,'Company Hitlist'!$A:$A,0)),)</f>
        <v/>
      </c>
      <c r="Q2819" t="inlineStr">
        <is>
          <t>todo</t>
        </is>
      </c>
    </row>
    <row r="2820">
      <c r="A2820" t="inlineStr">
        <is>
          <t>Marina Hadjipateras</t>
        </is>
      </c>
      <c r="B2820" t="inlineStr">
        <is>
          <t>Speaker</t>
        </is>
      </c>
      <c r="C2820" t="inlineStr">
        <is>
          <t>General Partner and Co-Founder</t>
        </is>
      </c>
      <c r="D2820" t="inlineStr">
        <is>
          <t>TMV Ventures</t>
        </is>
      </c>
      <c r="H2820" t="n">
        <v>3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>
        <f>IFERROR(INDEX('Company Hitlist'!$AA:$AA,MATCH(D2820,'Company Hitlist'!$A:$A,0)),)</f>
        <v/>
      </c>
      <c r="O2820">
        <f>IFERROR(INDEX('Company Hitlist'!$N:$N,MATCH(D2820,'Company Hitlist'!$A:$A,0)),)</f>
        <v/>
      </c>
      <c r="Q2820" t="inlineStr">
        <is>
          <t>todo</t>
        </is>
      </c>
    </row>
    <row r="2821">
      <c r="A2821" t="inlineStr">
        <is>
          <t>Jennifer Karpus-Romain</t>
        </is>
      </c>
      <c r="B2821" t="inlineStr">
        <is>
          <t>Speaker</t>
        </is>
      </c>
      <c r="C2821" t="inlineStr">
        <is>
          <t>Executive Director</t>
        </is>
      </c>
      <c r="D2821" t="inlineStr">
        <is>
          <t>Transportation Marketing &amp; Sales Association</t>
        </is>
      </c>
      <c r="E2821" t="inlineStr">
        <is>
          <t>United States</t>
        </is>
      </c>
      <c r="H2821" t="n">
        <v>3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>
        <f>IFERROR(INDEX('Company Hitlist'!$AA:$AA,MATCH(D2821,'Company Hitlist'!$A:$A,0)),)</f>
        <v/>
      </c>
      <c r="O2821">
        <f>IFERROR(INDEX('Company Hitlist'!$N:$N,MATCH(D2821,'Company Hitlist'!$A:$A,0)),)</f>
        <v/>
      </c>
      <c r="Q2821" t="inlineStr">
        <is>
          <t>todo</t>
        </is>
      </c>
    </row>
    <row r="2822">
      <c r="A2822" t="inlineStr">
        <is>
          <t>Reed Loustalot</t>
        </is>
      </c>
      <c r="B2822" t="inlineStr">
        <is>
          <t>Speaker</t>
        </is>
      </c>
      <c r="C2822" t="inlineStr">
        <is>
          <t>CMO</t>
        </is>
      </c>
      <c r="D2822" t="inlineStr">
        <is>
          <t>Truck Parking Club</t>
        </is>
      </c>
      <c r="E2822" t="inlineStr">
        <is>
          <t>United States</t>
        </is>
      </c>
      <c r="F2822" t="inlineStr">
        <is>
          <t>Yes</t>
        </is>
      </c>
      <c r="H2822" t="n">
        <v>3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>
        <f>IFERROR(INDEX('Company Hitlist'!$AA:$AA,MATCH(D2822,'Company Hitlist'!$A:$A,0)),)</f>
        <v/>
      </c>
      <c r="O2822">
        <f>IFERROR(INDEX('Company Hitlist'!$N:$N,MATCH(D2822,'Company Hitlist'!$A:$A,0)),)</f>
        <v/>
      </c>
      <c r="Q2822" t="inlineStr">
        <is>
          <t>todo</t>
        </is>
      </c>
    </row>
    <row r="2823">
      <c r="A2823" t="inlineStr">
        <is>
          <t>Tim Scott</t>
        </is>
      </c>
      <c r="B2823" t="inlineStr">
        <is>
          <t>Speaker</t>
        </is>
      </c>
      <c r="C2823" t="inlineStr">
        <is>
          <t>Founder</t>
        </is>
      </c>
      <c r="D2823" t="inlineStr">
        <is>
          <t>True North Supply Chain Advisory LLC</t>
        </is>
      </c>
      <c r="E2823" t="inlineStr">
        <is>
          <t>United States</t>
        </is>
      </c>
      <c r="F2823" t="inlineStr">
        <is>
          <t>Yes</t>
        </is>
      </c>
      <c r="H2823" t="n">
        <v>3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>
        <f>IFERROR(INDEX('Company Hitlist'!$AA:$AA,MATCH(D2823,'Company Hitlist'!$A:$A,0)),)</f>
        <v/>
      </c>
      <c r="O2823">
        <f>IFERROR(INDEX('Company Hitlist'!$N:$N,MATCH(D2823,'Company Hitlist'!$A:$A,0)),)</f>
        <v/>
      </c>
      <c r="Q2823" t="inlineStr">
        <is>
          <t>todo</t>
        </is>
      </c>
    </row>
    <row r="2824">
      <c r="A2824" t="inlineStr">
        <is>
          <t>Prashanth Cherukuri</t>
        </is>
      </c>
      <c r="B2824" t="inlineStr">
        <is>
          <t>Speaker</t>
        </is>
      </c>
      <c r="C2824" t="inlineStr">
        <is>
          <t>Executive Director</t>
        </is>
      </c>
      <c r="D2824" t="inlineStr">
        <is>
          <t>Turn / River Capital</t>
        </is>
      </c>
      <c r="E2824" t="inlineStr">
        <is>
          <t>United States</t>
        </is>
      </c>
      <c r="H2824" t="n">
        <v>3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>
        <f>IFERROR(INDEX('Company Hitlist'!$AA:$AA,MATCH(D2824,'Company Hitlist'!$A:$A,0)),)</f>
        <v/>
      </c>
      <c r="O2824">
        <f>IFERROR(INDEX('Company Hitlist'!$N:$N,MATCH(D2824,'Company Hitlist'!$A:$A,0)),)</f>
        <v/>
      </c>
      <c r="Q2824" t="inlineStr">
        <is>
          <t>todo</t>
        </is>
      </c>
    </row>
    <row r="2825">
      <c r="A2825" t="inlineStr">
        <is>
          <t>Fiona Nolan</t>
        </is>
      </c>
      <c r="B2825" t="inlineStr">
        <is>
          <t>Speaker</t>
        </is>
      </c>
      <c r="C2825" t="inlineStr">
        <is>
          <t>Principal Industry Strategist</t>
        </is>
      </c>
      <c r="D2825" t="inlineStr">
        <is>
          <t>UKG</t>
        </is>
      </c>
      <c r="F2825" t="inlineStr">
        <is>
          <t>Yes</t>
        </is>
      </c>
      <c r="G2825" t="inlineStr">
        <is>
          <t>$4.7B (2025 est.)</t>
        </is>
      </c>
      <c r="H2825" t="n">
        <v>3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>
        <f>IFERROR(INDEX('Company Hitlist'!$AA:$AA,MATCH(D2825,'Company Hitlist'!$A:$A,0)),)</f>
        <v/>
      </c>
      <c r="O2825">
        <f>IFERROR(INDEX('Company Hitlist'!$N:$N,MATCH(D2825,'Company Hitlist'!$A:$A,0)),)</f>
        <v/>
      </c>
      <c r="Q2825" t="inlineStr">
        <is>
          <t>todo</t>
        </is>
      </c>
    </row>
    <row r="2826">
      <c r="A2826" t="inlineStr">
        <is>
          <t>Enrique Perret</t>
        </is>
      </c>
      <c r="B2826" t="inlineStr">
        <is>
          <t>Speaker</t>
        </is>
      </c>
      <c r="C2826" t="inlineStr">
        <is>
          <t>Director</t>
        </is>
      </c>
      <c r="D2826" t="inlineStr">
        <is>
          <t>US Mexico Foundation</t>
        </is>
      </c>
      <c r="H2826" t="n">
        <v>3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>
        <f>IFERROR(INDEX('Company Hitlist'!$AA:$AA,MATCH(D2826,'Company Hitlist'!$A:$A,0)),)</f>
        <v/>
      </c>
      <c r="O2826">
        <f>IFERROR(INDEX('Company Hitlist'!$N:$N,MATCH(D2826,'Company Hitlist'!$A:$A,0)),)</f>
        <v/>
      </c>
      <c r="Q2826" t="inlineStr">
        <is>
          <t>todo</t>
        </is>
      </c>
    </row>
    <row r="2827">
      <c r="A2827" t="inlineStr">
        <is>
          <t>Alan Amling</t>
        </is>
      </c>
      <c r="B2827" t="inlineStr">
        <is>
          <t>Speaker</t>
        </is>
      </c>
      <c r="C2827" t="inlineStr">
        <is>
          <t>Assistant Professor</t>
        </is>
      </c>
      <c r="D2827" t="inlineStr">
        <is>
          <t>UTK Global Supply Chain Institute</t>
        </is>
      </c>
      <c r="E2827" t="inlineStr">
        <is>
          <t>United States</t>
        </is>
      </c>
      <c r="H2827" t="n">
        <v>3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>
        <f>IFERROR(INDEX('Company Hitlist'!$AA:$AA,MATCH(D2827,'Company Hitlist'!$A:$A,0)),)</f>
        <v/>
      </c>
      <c r="O2827">
        <f>IFERROR(INDEX('Company Hitlist'!$N:$N,MATCH(D2827,'Company Hitlist'!$A:$A,0)),)</f>
        <v/>
      </c>
      <c r="Q2827" t="inlineStr">
        <is>
          <t>todo</t>
        </is>
      </c>
    </row>
    <row r="2828">
      <c r="A2828" t="inlineStr">
        <is>
          <t>Ally Warson</t>
        </is>
      </c>
      <c r="B2828" t="inlineStr">
        <is>
          <t>Speaker</t>
        </is>
      </c>
      <c r="C2828" t="inlineStr">
        <is>
          <t>Partner</t>
        </is>
      </c>
      <c r="D2828" t="inlineStr">
        <is>
          <t>Up Partners</t>
        </is>
      </c>
      <c r="H2828" t="n">
        <v>3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>
        <f>IFERROR(INDEX('Company Hitlist'!$AA:$AA,MATCH(D2828,'Company Hitlist'!$A:$A,0)),)</f>
        <v/>
      </c>
      <c r="O2828">
        <f>IFERROR(INDEX('Company Hitlist'!$N:$N,MATCH(D2828,'Company Hitlist'!$A:$A,0)),)</f>
        <v/>
      </c>
      <c r="Q2828" t="inlineStr">
        <is>
          <t>todo</t>
        </is>
      </c>
    </row>
    <row r="2829">
      <c r="A2829" t="inlineStr">
        <is>
          <t>Benjamin Hart</t>
        </is>
      </c>
      <c r="B2829" t="inlineStr">
        <is>
          <t>Speaker</t>
        </is>
      </c>
      <c r="C2829" t="inlineStr">
        <is>
          <t>Executive Director</t>
        </is>
      </c>
      <c r="D2829" t="inlineStr">
        <is>
          <t>Utah Inland Port Authority</t>
        </is>
      </c>
      <c r="H2829" t="n">
        <v>3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>
        <f>IFERROR(INDEX('Company Hitlist'!$AA:$AA,MATCH(D2829,'Company Hitlist'!$A:$A,0)),)</f>
        <v/>
      </c>
      <c r="O2829">
        <f>IFERROR(INDEX('Company Hitlist'!$N:$N,MATCH(D2829,'Company Hitlist'!$A:$A,0)),)</f>
        <v/>
      </c>
      <c r="Q2829" t="inlineStr">
        <is>
          <t>todo</t>
        </is>
      </c>
    </row>
    <row r="2830">
      <c r="A2830" t="inlineStr">
        <is>
          <t>Michael Fernandez-Ferri</t>
        </is>
      </c>
      <c r="B2830" t="inlineStr">
        <is>
          <t>Speaker</t>
        </is>
      </c>
      <c r="C2830" t="inlineStr">
        <is>
          <t>Executive Chair &amp; Co-Founder</t>
        </is>
      </c>
      <c r="D2830" t="inlineStr">
        <is>
          <t>VELA-transport</t>
        </is>
      </c>
      <c r="F2830" t="inlineStr">
        <is>
          <t>Yes</t>
        </is>
      </c>
      <c r="G2830" t="inlineStr">
        <is>
          <t>$5.6M (2025 est.) (ICP match)</t>
        </is>
      </c>
      <c r="H2830" t="n">
        <v>3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>
        <f>IFERROR(INDEX('Company Hitlist'!$AA:$AA,MATCH(D2830,'Company Hitlist'!$A:$A,0)),)</f>
        <v/>
      </c>
      <c r="O2830">
        <f>IFERROR(INDEX('Company Hitlist'!$N:$N,MATCH(D2830,'Company Hitlist'!$A:$A,0)),)</f>
        <v/>
      </c>
      <c r="Q2830" t="inlineStr">
        <is>
          <t>todo</t>
        </is>
      </c>
    </row>
    <row r="2831">
      <c r="A2831" t="inlineStr">
        <is>
          <t>Enrique Alvarez</t>
        </is>
      </c>
      <c r="B2831" t="inlineStr">
        <is>
          <t>Speaker</t>
        </is>
      </c>
      <c r="C2831" t="inlineStr">
        <is>
          <t>Managing Director</t>
        </is>
      </c>
      <c r="D2831" t="inlineStr">
        <is>
          <t>Vector Global Logistics</t>
        </is>
      </c>
      <c r="F2831" t="inlineStr">
        <is>
          <t>Yes</t>
        </is>
      </c>
      <c r="G2831" t="inlineStr">
        <is>
          <t>$7.4M (2025 est.) (ICP match)</t>
        </is>
      </c>
      <c r="H2831" t="n">
        <v>3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>
        <f>IFERROR(INDEX('Company Hitlist'!$AA:$AA,MATCH(D2831,'Company Hitlist'!$A:$A,0)),)</f>
        <v/>
      </c>
      <c r="O2831">
        <f>IFERROR(INDEX('Company Hitlist'!$N:$N,MATCH(D2831,'Company Hitlist'!$A:$A,0)),)</f>
        <v/>
      </c>
      <c r="Q2831" t="inlineStr">
        <is>
          <t>todo</t>
        </is>
      </c>
    </row>
    <row r="2832">
      <c r="A2832" t="inlineStr">
        <is>
          <t>Brendan Sterne</t>
        </is>
      </c>
      <c r="B2832" t="inlineStr">
        <is>
          <t>Speaker</t>
        </is>
      </c>
      <c r="C2832" t="inlineStr">
        <is>
          <t>CPO</t>
        </is>
      </c>
      <c r="D2832" t="inlineStr">
        <is>
          <t>Vention</t>
        </is>
      </c>
      <c r="H2832" t="n">
        <v>3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>
        <f>IFERROR(INDEX('Company Hitlist'!$AA:$AA,MATCH(D2832,'Company Hitlist'!$A:$A,0)),)</f>
        <v/>
      </c>
      <c r="O2832">
        <f>IFERROR(INDEX('Company Hitlist'!$N:$N,MATCH(D2832,'Company Hitlist'!$A:$A,0)),)</f>
        <v/>
      </c>
      <c r="Q2832" t="inlineStr">
        <is>
          <t>todo</t>
        </is>
      </c>
    </row>
    <row r="2833">
      <c r="A2833" t="inlineStr">
        <is>
          <t>Brett Suma</t>
        </is>
      </c>
      <c r="B2833" t="inlineStr">
        <is>
          <t>Speaker</t>
        </is>
      </c>
      <c r="C2833" t="inlineStr">
        <is>
          <t>Managing Director, TaaS &amp; TrailerHawk.AI</t>
        </is>
      </c>
      <c r="D2833" t="inlineStr">
        <is>
          <t>Wabash</t>
        </is>
      </c>
      <c r="E2833" t="inlineStr">
        <is>
          <t>United States</t>
        </is>
      </c>
      <c r="F2833" t="inlineStr">
        <is>
          <t>Yes</t>
        </is>
      </c>
      <c r="G2833" t="inlineStr">
        <is>
          <t>1946740000</t>
        </is>
      </c>
      <c r="H2833" t="n">
        <v>3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>
        <f>IFERROR(INDEX('Company Hitlist'!$AA:$AA,MATCH(D2833,'Company Hitlist'!$A:$A,0)),)</f>
        <v/>
      </c>
      <c r="O2833">
        <f>IFERROR(INDEX('Company Hitlist'!$N:$N,MATCH(D2833,'Company Hitlist'!$A:$A,0)),)</f>
        <v/>
      </c>
      <c r="Q2833" t="inlineStr">
        <is>
          <t>todo</t>
        </is>
      </c>
    </row>
    <row r="2834">
      <c r="A2834" t="inlineStr">
        <is>
          <t>Simon Fishgang</t>
        </is>
      </c>
      <c r="B2834" t="inlineStr">
        <is>
          <t>Speaker</t>
        </is>
      </c>
      <c r="C2834" t="inlineStr">
        <is>
          <t>Co-Founder</t>
        </is>
      </c>
      <c r="D2834" t="inlineStr">
        <is>
          <t>WareBee</t>
        </is>
      </c>
      <c r="F2834" t="inlineStr">
        <is>
          <t>Yes</t>
        </is>
      </c>
      <c r="G2834" t="inlineStr">
        <is>
          <t>&lt;$5M (2025 est.) (ICP match)</t>
        </is>
      </c>
      <c r="H2834" t="n">
        <v>3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>
        <f>IFERROR(INDEX('Company Hitlist'!$AA:$AA,MATCH(D2834,'Company Hitlist'!$A:$A,0)),)</f>
        <v/>
      </c>
      <c r="O2834">
        <f>IFERROR(INDEX('Company Hitlist'!$N:$N,MATCH(D2834,'Company Hitlist'!$A:$A,0)),)</f>
        <v/>
      </c>
      <c r="Q2834" t="inlineStr">
        <is>
          <t>todo</t>
        </is>
      </c>
    </row>
    <row r="2835">
      <c r="A2835" t="inlineStr">
        <is>
          <t>Danny Cotter</t>
        </is>
      </c>
      <c r="B2835" t="inlineStr">
        <is>
          <t>Speaker</t>
        </is>
      </c>
      <c r="C2835" t="inlineStr">
        <is>
          <t>Managing Partner</t>
        </is>
      </c>
      <c r="D2835" t="inlineStr">
        <is>
          <t>Westly Group</t>
        </is>
      </c>
      <c r="H2835" t="n">
        <v>3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>
        <f>IFERROR(INDEX('Company Hitlist'!$AA:$AA,MATCH(D2835,'Company Hitlist'!$A:$A,0)),)</f>
        <v/>
      </c>
      <c r="O2835">
        <f>IFERROR(INDEX('Company Hitlist'!$N:$N,MATCH(D2835,'Company Hitlist'!$A:$A,0)),)</f>
        <v/>
      </c>
      <c r="Q2835" t="inlineStr">
        <is>
          <t>todo</t>
        </is>
      </c>
    </row>
    <row r="2836">
      <c r="A2836" t="inlineStr">
        <is>
          <t>Chad Baker</t>
        </is>
      </c>
      <c r="B2836" t="inlineStr">
        <is>
          <t>Speaker</t>
        </is>
      </c>
      <c r="C2836" t="inlineStr">
        <is>
          <t>Director of Asset Intelligence Solutions</t>
        </is>
      </c>
      <c r="D2836" t="inlineStr">
        <is>
          <t>Würth Industry USA</t>
        </is>
      </c>
      <c r="E2836" t="inlineStr">
        <is>
          <t>United States</t>
        </is>
      </c>
      <c r="H2836" t="n">
        <v>3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>
        <f>IFERROR(INDEX('Company Hitlist'!$AA:$AA,MATCH(D2836,'Company Hitlist'!$A:$A,0)),)</f>
        <v/>
      </c>
      <c r="O2836">
        <f>IFERROR(INDEX('Company Hitlist'!$N:$N,MATCH(D2836,'Company Hitlist'!$A:$A,0)),)</f>
        <v/>
      </c>
      <c r="Q2836" t="inlineStr">
        <is>
          <t>todo</t>
        </is>
      </c>
    </row>
    <row r="2837">
      <c r="A2837" t="inlineStr">
        <is>
          <t>Pano Anthos</t>
        </is>
      </c>
      <c r="B2837" t="inlineStr">
        <is>
          <t>Speaker</t>
        </is>
      </c>
      <c r="C2837" t="inlineStr">
        <is>
          <t>Managing Partner &amp; Founder</t>
        </is>
      </c>
      <c r="D2837" t="inlineStr">
        <is>
          <t>XRC Ventures</t>
        </is>
      </c>
      <c r="H2837" t="n">
        <v>3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>
        <f>IFERROR(INDEX('Company Hitlist'!$AA:$AA,MATCH(D2837,'Company Hitlist'!$A:$A,0)),)</f>
        <v/>
      </c>
      <c r="O2837">
        <f>IFERROR(INDEX('Company Hitlist'!$N:$N,MATCH(D2837,'Company Hitlist'!$A:$A,0)),)</f>
        <v/>
      </c>
      <c r="Q2837" t="inlineStr">
        <is>
          <t>todo</t>
        </is>
      </c>
    </row>
    <row r="2838">
      <c r="A2838" t="inlineStr">
        <is>
          <t>Clemente Theotokis</t>
        </is>
      </c>
      <c r="B2838" t="inlineStr">
        <is>
          <t>Speaker</t>
        </is>
      </c>
      <c r="C2838" t="inlineStr">
        <is>
          <t>Co-Founder &amp; Managing Director</t>
        </is>
      </c>
      <c r="D2838" t="inlineStr">
        <is>
          <t>Zeus</t>
        </is>
      </c>
      <c r="H2838" t="n">
        <v>3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>
        <f>IFERROR(INDEX('Company Hitlist'!$AA:$AA,MATCH(D2838,'Company Hitlist'!$A:$A,0)),)</f>
        <v/>
      </c>
      <c r="O2838">
        <f>IFERROR(INDEX('Company Hitlist'!$N:$N,MATCH(D2838,'Company Hitlist'!$A:$A,0)),)</f>
        <v/>
      </c>
      <c r="Q2838" t="inlineStr">
        <is>
          <t>todo</t>
        </is>
      </c>
    </row>
    <row r="2839">
      <c r="A2839" t="inlineStr">
        <is>
          <t>Elliot Brazil</t>
        </is>
      </c>
      <c r="B2839" t="inlineStr">
        <is>
          <t>Speaker</t>
        </is>
      </c>
      <c r="C2839" t="inlineStr">
        <is>
          <t>CPO</t>
        </is>
      </c>
      <c r="D2839" t="inlineStr">
        <is>
          <t>rateHero</t>
        </is>
      </c>
      <c r="F2839" t="inlineStr">
        <is>
          <t>Yes</t>
        </is>
      </c>
      <c r="H2839" t="n">
        <v>3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>
        <f>IFERROR(INDEX('Company Hitlist'!$AA:$AA,MATCH(D2839,'Company Hitlist'!$A:$A,0)),)</f>
        <v/>
      </c>
      <c r="O2839">
        <f>IFERROR(INDEX('Company Hitlist'!$N:$N,MATCH(D2839,'Company Hitlist'!$A:$A,0)),)</f>
        <v/>
      </c>
      <c r="Q2839" t="inlineStr">
        <is>
          <t>todo</t>
        </is>
      </c>
    </row>
    <row r="2840">
      <c r="A2840" t="inlineStr">
        <is>
          <t>David Salerno</t>
        </is>
      </c>
      <c r="B2840" t="inlineStr">
        <is>
          <t>Sponsor</t>
        </is>
      </c>
      <c r="C2840" t="inlineStr">
        <is>
          <t>Director of Managed Services</t>
        </is>
      </c>
      <c r="D2840" t="inlineStr">
        <is>
          <t>4flow</t>
        </is>
      </c>
      <c r="E2840" t="inlineStr">
        <is>
          <t>United States</t>
        </is>
      </c>
      <c r="F2840" t="inlineStr">
        <is>
          <t>Yes</t>
        </is>
      </c>
      <c r="G2840" t="inlineStr">
        <is>
          <t>423000000</t>
        </is>
      </c>
      <c r="H2840" t="n">
        <v>2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>
        <f>IFERROR(INDEX('Company Hitlist'!$AA:$AA,MATCH(D2840,'Company Hitlist'!$A:$A,0)),)</f>
        <v/>
      </c>
      <c r="O2840">
        <f>IFERROR(INDEX('Company Hitlist'!$N:$N,MATCH(D2840,'Company Hitlist'!$A:$A,0)),)</f>
        <v/>
      </c>
      <c r="Q2840" t="inlineStr">
        <is>
          <t>todo</t>
        </is>
      </c>
    </row>
    <row r="2841">
      <c r="A2841" t="inlineStr">
        <is>
          <t>Greg Toornman</t>
        </is>
      </c>
      <c r="B2841" t="inlineStr">
        <is>
          <t>Sponsor</t>
        </is>
      </c>
      <c r="C2841" t="inlineStr">
        <is>
          <t>Strategic Advisor</t>
        </is>
      </c>
      <c r="D2841" t="inlineStr">
        <is>
          <t>4flow</t>
        </is>
      </c>
      <c r="E2841" t="inlineStr">
        <is>
          <t>United States</t>
        </is>
      </c>
      <c r="F2841" t="inlineStr">
        <is>
          <t>Yes</t>
        </is>
      </c>
      <c r="G2841" t="inlineStr">
        <is>
          <t>423000000</t>
        </is>
      </c>
      <c r="H2841" t="n">
        <v>2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>
        <f>IFERROR(INDEX('Company Hitlist'!$AA:$AA,MATCH(D2841,'Company Hitlist'!$A:$A,0)),)</f>
        <v/>
      </c>
      <c r="O2841">
        <f>IFERROR(INDEX('Company Hitlist'!$N:$N,MATCH(D2841,'Company Hitlist'!$A:$A,0)),)</f>
        <v/>
      </c>
      <c r="Q2841" t="inlineStr">
        <is>
          <t>todo</t>
        </is>
      </c>
    </row>
    <row r="2842">
      <c r="A2842" t="inlineStr">
        <is>
          <t>Julian Schwandt</t>
        </is>
      </c>
      <c r="B2842" t="inlineStr">
        <is>
          <t>Sponsor</t>
        </is>
      </c>
      <c r="C2842" t="inlineStr">
        <is>
          <t>Director of Managed Services</t>
        </is>
      </c>
      <c r="D2842" t="inlineStr">
        <is>
          <t>4flow</t>
        </is>
      </c>
      <c r="E2842" t="inlineStr">
        <is>
          <t>United States</t>
        </is>
      </c>
      <c r="F2842" t="inlineStr">
        <is>
          <t>Yes</t>
        </is>
      </c>
      <c r="G2842" t="inlineStr">
        <is>
          <t>423000000</t>
        </is>
      </c>
      <c r="H2842" t="n">
        <v>2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>
        <f>IFERROR(INDEX('Company Hitlist'!$AA:$AA,MATCH(D2842,'Company Hitlist'!$A:$A,0)),)</f>
        <v/>
      </c>
      <c r="O2842">
        <f>IFERROR(INDEX('Company Hitlist'!$N:$N,MATCH(D2842,'Company Hitlist'!$A:$A,0)),)</f>
        <v/>
      </c>
      <c r="Q2842" t="inlineStr">
        <is>
          <t>todo</t>
        </is>
      </c>
    </row>
    <row r="2843">
      <c r="A2843" t="inlineStr">
        <is>
          <t>Helen Bower</t>
        </is>
      </c>
      <c r="B2843" t="inlineStr">
        <is>
          <t>Sponsor</t>
        </is>
      </c>
      <c r="C2843" t="inlineStr">
        <is>
          <t>Manager</t>
        </is>
      </c>
      <c r="D2843" t="inlineStr">
        <is>
          <t>4flow</t>
        </is>
      </c>
      <c r="E2843" t="inlineStr">
        <is>
          <t>United States</t>
        </is>
      </c>
      <c r="H2843" t="n">
        <v>2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>
        <f>IFERROR(INDEX('Company Hitlist'!$AA:$AA,MATCH(D2843,'Company Hitlist'!$A:$A,0)),)</f>
        <v/>
      </c>
      <c r="O2843">
        <f>IFERROR(INDEX('Company Hitlist'!$N:$N,MATCH(D2843,'Company Hitlist'!$A:$A,0)),)</f>
        <v/>
      </c>
      <c r="Q2843" t="inlineStr">
        <is>
          <t>todo</t>
        </is>
      </c>
    </row>
    <row r="2844">
      <c r="A2844" t="inlineStr">
        <is>
          <t>Craig Cameron</t>
        </is>
      </c>
      <c r="B2844" t="inlineStr">
        <is>
          <t>Sponsor</t>
        </is>
      </c>
      <c r="C2844" t="inlineStr">
        <is>
          <t>CMO</t>
        </is>
      </c>
      <c r="D2844" t="inlineStr">
        <is>
          <t>A3 Freight Payment</t>
        </is>
      </c>
      <c r="F2844" t="inlineStr">
        <is>
          <t>Yes</t>
        </is>
      </c>
      <c r="H2844" t="n">
        <v>2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>
        <f>IFERROR(INDEX('Company Hitlist'!$AA:$AA,MATCH(D2844,'Company Hitlist'!$A:$A,0)),)</f>
        <v/>
      </c>
      <c r="O2844">
        <f>IFERROR(INDEX('Company Hitlist'!$N:$N,MATCH(D2844,'Company Hitlist'!$A:$A,0)),)</f>
        <v/>
      </c>
      <c r="Q2844" t="inlineStr">
        <is>
          <t>todo</t>
        </is>
      </c>
    </row>
    <row r="2845">
      <c r="A2845" t="inlineStr">
        <is>
          <t>Luke Lee</t>
        </is>
      </c>
      <c r="B2845" t="inlineStr">
        <is>
          <t>Sponsor</t>
        </is>
      </c>
      <c r="C2845" t="inlineStr">
        <is>
          <t>CBO</t>
        </is>
      </c>
      <c r="D2845" t="inlineStr">
        <is>
          <t>AIKEY Inc</t>
        </is>
      </c>
      <c r="F2845" t="inlineStr">
        <is>
          <t>Yes</t>
        </is>
      </c>
      <c r="H2845" t="n">
        <v>2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>
        <f>IFERROR(INDEX('Company Hitlist'!$AA:$AA,MATCH(D2845,'Company Hitlist'!$A:$A,0)),)</f>
        <v/>
      </c>
      <c r="O2845">
        <f>IFERROR(INDEX('Company Hitlist'!$N:$N,MATCH(D2845,'Company Hitlist'!$A:$A,0)),)</f>
        <v/>
      </c>
      <c r="Q2845" t="inlineStr">
        <is>
          <t>todo</t>
        </is>
      </c>
    </row>
    <row r="2846">
      <c r="A2846" t="inlineStr">
        <is>
          <t>Fergus Hathorn</t>
        </is>
      </c>
      <c r="B2846" t="inlineStr">
        <is>
          <t>Sponsor</t>
        </is>
      </c>
      <c r="C2846" t="inlineStr">
        <is>
          <t>Product Owner, Optimization Tooling</t>
        </is>
      </c>
      <c r="D2846" t="inlineStr">
        <is>
          <t>AIMMS</t>
        </is>
      </c>
      <c r="F2846" t="inlineStr">
        <is>
          <t>Yes</t>
        </is>
      </c>
      <c r="H2846" t="n">
        <v>2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>
        <f>IFERROR(INDEX('Company Hitlist'!$AA:$AA,MATCH(D2846,'Company Hitlist'!$A:$A,0)),)</f>
        <v/>
      </c>
      <c r="O2846">
        <f>IFERROR(INDEX('Company Hitlist'!$N:$N,MATCH(D2846,'Company Hitlist'!$A:$A,0)),)</f>
        <v/>
      </c>
      <c r="Q2846" t="inlineStr">
        <is>
          <t>todo</t>
        </is>
      </c>
    </row>
    <row r="2847">
      <c r="A2847" t="inlineStr">
        <is>
          <t>Keegan Wetzel</t>
        </is>
      </c>
      <c r="B2847" t="inlineStr">
        <is>
          <t>Sponsor</t>
        </is>
      </c>
      <c r="C2847" t="inlineStr">
        <is>
          <t>Account Manager</t>
        </is>
      </c>
      <c r="D2847" t="inlineStr">
        <is>
          <t>AIMMS</t>
        </is>
      </c>
      <c r="E2847" t="inlineStr">
        <is>
          <t>United States</t>
        </is>
      </c>
      <c r="H2847" t="n">
        <v>2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>
        <f>IFERROR(INDEX('Company Hitlist'!$AA:$AA,MATCH(D2847,'Company Hitlist'!$A:$A,0)),)</f>
        <v/>
      </c>
      <c r="O2847">
        <f>IFERROR(INDEX('Company Hitlist'!$N:$N,MATCH(D2847,'Company Hitlist'!$A:$A,0)),)</f>
        <v/>
      </c>
      <c r="Q2847" t="inlineStr">
        <is>
          <t>todo</t>
        </is>
      </c>
    </row>
    <row r="2848">
      <c r="A2848" t="inlineStr">
        <is>
          <t>Derik Sanders</t>
        </is>
      </c>
      <c r="B2848" t="inlineStr">
        <is>
          <t>Sponsor</t>
        </is>
      </c>
      <c r="C2848" t="inlineStr">
        <is>
          <t>Major Accounts Executive</t>
        </is>
      </c>
      <c r="D2848" t="inlineStr">
        <is>
          <t>APC Postal Logistics</t>
        </is>
      </c>
      <c r="E2848" t="inlineStr">
        <is>
          <t>United States</t>
        </is>
      </c>
      <c r="H2848" t="n">
        <v>2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>
        <f>IFERROR(INDEX('Company Hitlist'!$AA:$AA,MATCH(D2848,'Company Hitlist'!$A:$A,0)),)</f>
        <v/>
      </c>
      <c r="O2848">
        <f>IFERROR(INDEX('Company Hitlist'!$N:$N,MATCH(D2848,'Company Hitlist'!$A:$A,0)),)</f>
        <v/>
      </c>
      <c r="Q2848" t="inlineStr">
        <is>
          <t>todo</t>
        </is>
      </c>
    </row>
    <row r="2849">
      <c r="A2849" t="inlineStr">
        <is>
          <t>Brandon Lachapel</t>
        </is>
      </c>
      <c r="B2849" t="inlineStr">
        <is>
          <t>Sponsor</t>
        </is>
      </c>
      <c r="C2849" t="inlineStr">
        <is>
          <t>Integrations Program Manager</t>
        </is>
      </c>
      <c r="D2849" t="inlineStr">
        <is>
          <t>APC Postal Logistics</t>
        </is>
      </c>
      <c r="E2849" t="inlineStr">
        <is>
          <t>United States</t>
        </is>
      </c>
      <c r="H2849" t="n">
        <v>2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>
        <f>IFERROR(INDEX('Company Hitlist'!$AA:$AA,MATCH(D2849,'Company Hitlist'!$A:$A,0)),)</f>
        <v/>
      </c>
      <c r="O2849">
        <f>IFERROR(INDEX('Company Hitlist'!$N:$N,MATCH(D2849,'Company Hitlist'!$A:$A,0)),)</f>
        <v/>
      </c>
      <c r="Q2849" t="inlineStr">
        <is>
          <t>todo</t>
        </is>
      </c>
    </row>
    <row r="2850">
      <c r="A2850" t="inlineStr">
        <is>
          <t>Anirudh Badam</t>
        </is>
      </c>
      <c r="B2850" t="inlineStr">
        <is>
          <t>Sponsor</t>
        </is>
      </c>
      <c r="C2850" t="inlineStr">
        <is>
          <t>Co-founder &amp; CAIO</t>
        </is>
      </c>
      <c r="D2850" t="inlineStr">
        <is>
          <t>Adopt AI</t>
        </is>
      </c>
      <c r="F2850" t="inlineStr">
        <is>
          <t>Yes</t>
        </is>
      </c>
      <c r="H2850" t="n">
        <v>2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>
        <f>IFERROR(INDEX('Company Hitlist'!$AA:$AA,MATCH(D2850,'Company Hitlist'!$A:$A,0)),)</f>
        <v/>
      </c>
      <c r="O2850">
        <f>IFERROR(INDEX('Company Hitlist'!$N:$N,MATCH(D2850,'Company Hitlist'!$A:$A,0)),)</f>
        <v/>
      </c>
      <c r="Q2850" t="inlineStr">
        <is>
          <t>todo</t>
        </is>
      </c>
    </row>
    <row r="2851">
      <c r="A2851" t="inlineStr">
        <is>
          <t>Nick Breslin</t>
        </is>
      </c>
      <c r="B2851" t="inlineStr">
        <is>
          <t>Sponsor</t>
        </is>
      </c>
      <c r="C2851" t="inlineStr">
        <is>
          <t>Senior Manager, Regulatory Affairs</t>
        </is>
      </c>
      <c r="D2851" t="inlineStr">
        <is>
          <t>Alliance for Chemical Distribution</t>
        </is>
      </c>
      <c r="H2851" t="n">
        <v>2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>
        <f>IFERROR(INDEX('Company Hitlist'!$AA:$AA,MATCH(D2851,'Company Hitlist'!$A:$A,0)),)</f>
        <v/>
      </c>
      <c r="O2851">
        <f>IFERROR(INDEX('Company Hitlist'!$N:$N,MATCH(D2851,'Company Hitlist'!$A:$A,0)),)</f>
        <v/>
      </c>
      <c r="Q2851" t="inlineStr">
        <is>
          <t>todo</t>
        </is>
      </c>
    </row>
    <row r="2852">
      <c r="A2852" t="inlineStr">
        <is>
          <t>Peter Hewitt</t>
        </is>
      </c>
      <c r="B2852" t="inlineStr">
        <is>
          <t>Sponsor</t>
        </is>
      </c>
      <c r="C2852" t="inlineStr">
        <is>
          <t>SDR</t>
        </is>
      </c>
      <c r="D2852" t="inlineStr">
        <is>
          <t>Alvys</t>
        </is>
      </c>
      <c r="E2852" t="inlineStr">
        <is>
          <t>United States</t>
        </is>
      </c>
      <c r="F2852" t="inlineStr">
        <is>
          <t>Yes</t>
        </is>
      </c>
      <c r="H2852" t="n">
        <v>2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>
        <f>IFERROR(INDEX('Company Hitlist'!$AA:$AA,MATCH(D2852,'Company Hitlist'!$A:$A,0)),)</f>
        <v/>
      </c>
      <c r="O2852">
        <f>IFERROR(INDEX('Company Hitlist'!$N:$N,MATCH(D2852,'Company Hitlist'!$A:$A,0)),)</f>
        <v/>
      </c>
      <c r="Q2852" t="inlineStr">
        <is>
          <t>todo</t>
        </is>
      </c>
    </row>
    <row r="2853">
      <c r="A2853" t="inlineStr">
        <is>
          <t>Skyler Saulovich</t>
        </is>
      </c>
      <c r="B2853" t="inlineStr">
        <is>
          <t>Sponsor</t>
        </is>
      </c>
      <c r="C2853" t="inlineStr">
        <is>
          <t>Enterprise AE</t>
        </is>
      </c>
      <c r="D2853" t="inlineStr">
        <is>
          <t>Alvys</t>
        </is>
      </c>
      <c r="F2853" t="inlineStr">
        <is>
          <t>Yes</t>
        </is>
      </c>
      <c r="H2853" t="n">
        <v>2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>
        <f>IFERROR(INDEX('Company Hitlist'!$AA:$AA,MATCH(D2853,'Company Hitlist'!$A:$A,0)),)</f>
        <v/>
      </c>
      <c r="O2853">
        <f>IFERROR(INDEX('Company Hitlist'!$N:$N,MATCH(D2853,'Company Hitlist'!$A:$A,0)),)</f>
        <v/>
      </c>
      <c r="Q2853" t="inlineStr">
        <is>
          <t>todo</t>
        </is>
      </c>
    </row>
    <row r="2854">
      <c r="A2854" t="inlineStr">
        <is>
          <t>Josh Lambert</t>
        </is>
      </c>
      <c r="B2854" t="inlineStr">
        <is>
          <t>Sponsor</t>
        </is>
      </c>
      <c r="C2854" t="inlineStr">
        <is>
          <t>SDR Manager</t>
        </is>
      </c>
      <c r="D2854" t="inlineStr">
        <is>
          <t>Alvys</t>
        </is>
      </c>
      <c r="E2854" t="inlineStr">
        <is>
          <t>United States</t>
        </is>
      </c>
      <c r="H2854" t="n">
        <v>2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>
        <f>IFERROR(INDEX('Company Hitlist'!$AA:$AA,MATCH(D2854,'Company Hitlist'!$A:$A,0)),)</f>
        <v/>
      </c>
      <c r="O2854">
        <f>IFERROR(INDEX('Company Hitlist'!$N:$N,MATCH(D2854,'Company Hitlist'!$A:$A,0)),)</f>
        <v/>
      </c>
      <c r="Q2854" t="inlineStr">
        <is>
          <t>todo</t>
        </is>
      </c>
    </row>
    <row r="2855">
      <c r="A2855" t="inlineStr">
        <is>
          <t>Olav Steffers</t>
        </is>
      </c>
      <c r="B2855" t="inlineStr">
        <is>
          <t>Sponsor</t>
        </is>
      </c>
      <c r="C2855" t="inlineStr">
        <is>
          <t>Director Foreign Investments</t>
        </is>
      </c>
      <c r="D2855" t="inlineStr">
        <is>
          <t>Amsterdam Airport Area</t>
        </is>
      </c>
      <c r="E2855" t="inlineStr">
        <is>
          <t>Netherlands</t>
        </is>
      </c>
      <c r="F2855" t="inlineStr">
        <is>
          <t>Yes</t>
        </is>
      </c>
      <c r="H2855" t="n">
        <v>2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>
        <f>IFERROR(INDEX('Company Hitlist'!$AA:$AA,MATCH(D2855,'Company Hitlist'!$A:$A,0)),)</f>
        <v/>
      </c>
      <c r="O2855">
        <f>IFERROR(INDEX('Company Hitlist'!$N:$N,MATCH(D2855,'Company Hitlist'!$A:$A,0)),)</f>
        <v/>
      </c>
      <c r="Q2855" t="inlineStr">
        <is>
          <t>todo</t>
        </is>
      </c>
    </row>
    <row r="2856">
      <c r="A2856" t="inlineStr">
        <is>
          <t>Daniël Laurens</t>
        </is>
      </c>
      <c r="B2856" t="inlineStr">
        <is>
          <t>Sponsor</t>
        </is>
      </c>
      <c r="C2856" t="inlineStr">
        <is>
          <t>Amsterdam Airport Area (AAA)</t>
        </is>
      </c>
      <c r="D2856" t="inlineStr">
        <is>
          <t>Amsterdam Airport Area</t>
        </is>
      </c>
      <c r="F2856" t="inlineStr">
        <is>
          <t>Yes</t>
        </is>
      </c>
      <c r="H2856" t="n">
        <v>2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>
        <f>IFERROR(INDEX('Company Hitlist'!$AA:$AA,MATCH(D2856,'Company Hitlist'!$A:$A,0)),)</f>
        <v/>
      </c>
      <c r="O2856">
        <f>IFERROR(INDEX('Company Hitlist'!$N:$N,MATCH(D2856,'Company Hitlist'!$A:$A,0)),)</f>
        <v/>
      </c>
      <c r="Q2856" t="inlineStr">
        <is>
          <t>todo</t>
        </is>
      </c>
    </row>
    <row r="2857">
      <c r="A2857" t="inlineStr">
        <is>
          <t>Kay Fetter</t>
        </is>
      </c>
      <c r="B2857" t="inlineStr">
        <is>
          <t>Sponsor</t>
        </is>
      </c>
      <c r="C2857" t="inlineStr">
        <is>
          <t>Sr. Solutions Consultant</t>
        </is>
      </c>
      <c r="D2857" t="inlineStr">
        <is>
          <t>Aptean Supply Chain</t>
        </is>
      </c>
      <c r="E2857" t="inlineStr">
        <is>
          <t>United States</t>
        </is>
      </c>
      <c r="F2857" t="inlineStr">
        <is>
          <t>Yes</t>
        </is>
      </c>
      <c r="G2857" t="inlineStr">
        <is>
          <t>$400M (2024 est.; projected $450M in 2025)</t>
        </is>
      </c>
      <c r="H2857" t="n">
        <v>2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>
        <f>IFERROR(INDEX('Company Hitlist'!$AA:$AA,MATCH(D2857,'Company Hitlist'!$A:$A,0)),)</f>
        <v/>
      </c>
      <c r="O2857">
        <f>IFERROR(INDEX('Company Hitlist'!$N:$N,MATCH(D2857,'Company Hitlist'!$A:$A,0)),)</f>
        <v/>
      </c>
      <c r="Q2857" t="inlineStr">
        <is>
          <t>todo</t>
        </is>
      </c>
    </row>
    <row r="2858">
      <c r="A2858" t="inlineStr">
        <is>
          <t>Richard Troxell</t>
        </is>
      </c>
      <c r="B2858" t="inlineStr">
        <is>
          <t>Sponsor</t>
        </is>
      </c>
      <c r="C2858" t="inlineStr">
        <is>
          <t>Senior Solutions Consultant</t>
        </is>
      </c>
      <c r="D2858" t="inlineStr">
        <is>
          <t>Aptean Supply Chain</t>
        </is>
      </c>
      <c r="E2858" t="inlineStr">
        <is>
          <t>United States</t>
        </is>
      </c>
      <c r="F2858" t="inlineStr">
        <is>
          <t>Yes</t>
        </is>
      </c>
      <c r="G2858" t="inlineStr">
        <is>
          <t>$400M (2024 est.; projected $450M in 2025)</t>
        </is>
      </c>
      <c r="H2858" t="n">
        <v>2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>
        <f>IFERROR(INDEX('Company Hitlist'!$AA:$AA,MATCH(D2858,'Company Hitlist'!$A:$A,0)),)</f>
        <v/>
      </c>
      <c r="O2858">
        <f>IFERROR(INDEX('Company Hitlist'!$N:$N,MATCH(D2858,'Company Hitlist'!$A:$A,0)),)</f>
        <v/>
      </c>
      <c r="Q2858" t="inlineStr">
        <is>
          <t>todo</t>
        </is>
      </c>
    </row>
    <row r="2859">
      <c r="A2859" t="inlineStr">
        <is>
          <t>Greg Nicholson</t>
        </is>
      </c>
      <c r="B2859" t="inlineStr">
        <is>
          <t>Sponsor</t>
        </is>
      </c>
      <c r="C2859" t="inlineStr">
        <is>
          <t>Regional Account Manager</t>
        </is>
      </c>
      <c r="D2859" t="inlineStr">
        <is>
          <t>Aptean Supply Chain</t>
        </is>
      </c>
      <c r="H2859" t="n">
        <v>2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>
        <f>IFERROR(INDEX('Company Hitlist'!$AA:$AA,MATCH(D2859,'Company Hitlist'!$A:$A,0)),)</f>
        <v/>
      </c>
      <c r="O2859">
        <f>IFERROR(INDEX('Company Hitlist'!$N:$N,MATCH(D2859,'Company Hitlist'!$A:$A,0)),)</f>
        <v/>
      </c>
      <c r="Q2859" t="inlineStr">
        <is>
          <t>todo</t>
        </is>
      </c>
    </row>
    <row r="2860">
      <c r="A2860" t="inlineStr">
        <is>
          <t>Dylan Henderson</t>
        </is>
      </c>
      <c r="B2860" t="inlineStr">
        <is>
          <t>Sponsor</t>
        </is>
      </c>
      <c r="C2860" t="inlineStr">
        <is>
          <t>Director, Freight Movement System</t>
        </is>
      </c>
      <c r="D2860" t="inlineStr">
        <is>
          <t>ArcBest</t>
        </is>
      </c>
      <c r="E2860" t="inlineStr">
        <is>
          <t>United States</t>
        </is>
      </c>
      <c r="F2860" t="inlineStr">
        <is>
          <t>Yes</t>
        </is>
      </c>
      <c r="G2860" t="inlineStr">
        <is>
          <t>$4.4 billion (2025)</t>
        </is>
      </c>
      <c r="H2860" t="n">
        <v>2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>
        <f>IFERROR(INDEX('Company Hitlist'!$AA:$AA,MATCH(D2860,'Company Hitlist'!$A:$A,0)),)</f>
        <v/>
      </c>
      <c r="O2860">
        <f>IFERROR(INDEX('Company Hitlist'!$N:$N,MATCH(D2860,'Company Hitlist'!$A:$A,0)),)</f>
        <v/>
      </c>
      <c r="Q2860" t="inlineStr">
        <is>
          <t>todo</t>
        </is>
      </c>
    </row>
    <row r="2861">
      <c r="A2861" t="inlineStr">
        <is>
          <t>Vincent Tiano</t>
        </is>
      </c>
      <c r="B2861" t="inlineStr">
        <is>
          <t>Sponsor</t>
        </is>
      </c>
      <c r="C2861" t="inlineStr">
        <is>
          <t>Solutions Engineer</t>
        </is>
      </c>
      <c r="D2861" t="inlineStr">
        <is>
          <t>ArcBest</t>
        </is>
      </c>
      <c r="E2861" t="inlineStr">
        <is>
          <t>United States</t>
        </is>
      </c>
      <c r="F2861" t="inlineStr">
        <is>
          <t>Yes</t>
        </is>
      </c>
      <c r="G2861" t="inlineStr">
        <is>
          <t>$4.4 billion (2025)</t>
        </is>
      </c>
      <c r="H2861" t="n">
        <v>2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>
        <f>IFERROR(INDEX('Company Hitlist'!$AA:$AA,MATCH(D2861,'Company Hitlist'!$A:$A,0)),)</f>
        <v/>
      </c>
      <c r="O2861">
        <f>IFERROR(INDEX('Company Hitlist'!$N:$N,MATCH(D2861,'Company Hitlist'!$A:$A,0)),)</f>
        <v/>
      </c>
      <c r="Q2861" t="inlineStr">
        <is>
          <t>todo</t>
        </is>
      </c>
    </row>
    <row r="2862">
      <c r="A2862" t="inlineStr">
        <is>
          <t>Janna Wilson</t>
        </is>
      </c>
      <c r="B2862" t="inlineStr">
        <is>
          <t>Sponsor</t>
        </is>
      </c>
      <c r="C2862" t="inlineStr">
        <is>
          <t>Brand Integration Specialist</t>
        </is>
      </c>
      <c r="D2862" t="inlineStr">
        <is>
          <t>ArcBest</t>
        </is>
      </c>
      <c r="F2862" t="inlineStr">
        <is>
          <t>Yes</t>
        </is>
      </c>
      <c r="G2862" t="inlineStr">
        <is>
          <t>$4.4 billion (2025)</t>
        </is>
      </c>
      <c r="H2862" t="n">
        <v>2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>
        <f>IFERROR(INDEX('Company Hitlist'!$AA:$AA,MATCH(D2862,'Company Hitlist'!$A:$A,0)),)</f>
        <v/>
      </c>
      <c r="O2862">
        <f>IFERROR(INDEX('Company Hitlist'!$N:$N,MATCH(D2862,'Company Hitlist'!$A:$A,0)),)</f>
        <v/>
      </c>
      <c r="Q2862" t="inlineStr">
        <is>
          <t>todo</t>
        </is>
      </c>
    </row>
    <row r="2863">
      <c r="A2863" t="inlineStr">
        <is>
          <t>Shane Walker</t>
        </is>
      </c>
      <c r="B2863" t="inlineStr">
        <is>
          <t>Sponsor</t>
        </is>
      </c>
      <c r="C2863" t="inlineStr">
        <is>
          <t>Teleoperations Project &amp; Vendor Specialist</t>
        </is>
      </c>
      <c r="D2863" t="inlineStr">
        <is>
          <t>ArcBest</t>
        </is>
      </c>
      <c r="F2863" t="inlineStr">
        <is>
          <t>Yes</t>
        </is>
      </c>
      <c r="G2863" t="inlineStr">
        <is>
          <t>$4.4 billion (2025)</t>
        </is>
      </c>
      <c r="H2863" t="n">
        <v>2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>
        <f>IFERROR(INDEX('Company Hitlist'!$AA:$AA,MATCH(D2863,'Company Hitlist'!$A:$A,0)),)</f>
        <v/>
      </c>
      <c r="O2863">
        <f>IFERROR(INDEX('Company Hitlist'!$N:$N,MATCH(D2863,'Company Hitlist'!$A:$A,0)),)</f>
        <v/>
      </c>
      <c r="Q2863" t="inlineStr">
        <is>
          <t>todo</t>
        </is>
      </c>
    </row>
    <row r="2864">
      <c r="A2864" t="inlineStr">
        <is>
          <t>Will Jones</t>
        </is>
      </c>
      <c r="B2864" t="inlineStr">
        <is>
          <t>Sponsor</t>
        </is>
      </c>
      <c r="C2864" t="inlineStr">
        <is>
          <t>Mechanical Design Engineer</t>
        </is>
      </c>
      <c r="D2864" t="inlineStr">
        <is>
          <t>ArcBest</t>
        </is>
      </c>
      <c r="F2864" t="inlineStr">
        <is>
          <t>Yes</t>
        </is>
      </c>
      <c r="G2864" t="inlineStr">
        <is>
          <t>$4.4 billion (2025)</t>
        </is>
      </c>
      <c r="H2864" t="n">
        <v>2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>
        <f>IFERROR(INDEX('Company Hitlist'!$AA:$AA,MATCH(D2864,'Company Hitlist'!$A:$A,0)),)</f>
        <v/>
      </c>
      <c r="O2864">
        <f>IFERROR(INDEX('Company Hitlist'!$N:$N,MATCH(D2864,'Company Hitlist'!$A:$A,0)),)</f>
        <v/>
      </c>
      <c r="Q2864" t="inlineStr">
        <is>
          <t>todo</t>
        </is>
      </c>
    </row>
    <row r="2865">
      <c r="A2865" t="inlineStr">
        <is>
          <t>Ben Hollaway</t>
        </is>
      </c>
      <c r="B2865" t="inlineStr">
        <is>
          <t>Sponsor</t>
        </is>
      </c>
      <c r="C2865" t="inlineStr">
        <is>
          <t>Manager, Smart Autonomy Business Line - Vaux</t>
        </is>
      </c>
      <c r="D2865" t="inlineStr">
        <is>
          <t>ArcBest</t>
        </is>
      </c>
      <c r="E2865" t="inlineStr">
        <is>
          <t>United States</t>
        </is>
      </c>
      <c r="H2865" t="n">
        <v>2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>
        <f>IFERROR(INDEX('Company Hitlist'!$AA:$AA,MATCH(D2865,'Company Hitlist'!$A:$A,0)),)</f>
        <v/>
      </c>
      <c r="O2865">
        <f>IFERROR(INDEX('Company Hitlist'!$N:$N,MATCH(D2865,'Company Hitlist'!$A:$A,0)),)</f>
        <v/>
      </c>
      <c r="Q2865" t="inlineStr">
        <is>
          <t>todo</t>
        </is>
      </c>
    </row>
    <row r="2866">
      <c r="A2866" t="inlineStr">
        <is>
          <t>Jeremy Lovell</t>
        </is>
      </c>
      <c r="B2866" t="inlineStr">
        <is>
          <t>Sponsor</t>
        </is>
      </c>
      <c r="C2866" t="inlineStr">
        <is>
          <t>Account Manager - Vaux</t>
        </is>
      </c>
      <c r="D2866" t="inlineStr">
        <is>
          <t>ArcBest</t>
        </is>
      </c>
      <c r="E2866" t="inlineStr">
        <is>
          <t>United States</t>
        </is>
      </c>
      <c r="H2866" t="n">
        <v>2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>
        <f>IFERROR(INDEX('Company Hitlist'!$AA:$AA,MATCH(D2866,'Company Hitlist'!$A:$A,0)),)</f>
        <v/>
      </c>
      <c r="O2866">
        <f>IFERROR(INDEX('Company Hitlist'!$N:$N,MATCH(D2866,'Company Hitlist'!$A:$A,0)),)</f>
        <v/>
      </c>
      <c r="Q2866" t="inlineStr">
        <is>
          <t>todo</t>
        </is>
      </c>
    </row>
    <row r="2867">
      <c r="A2867" t="inlineStr">
        <is>
          <t>Zach Schalk</t>
        </is>
      </c>
      <c r="B2867" t="inlineStr">
        <is>
          <t>Sponsor</t>
        </is>
      </c>
      <c r="C2867" t="inlineStr">
        <is>
          <t>Manager, Smart Autonomy Business Line - Vaux</t>
        </is>
      </c>
      <c r="D2867" t="inlineStr">
        <is>
          <t>ArcBest</t>
        </is>
      </c>
      <c r="E2867" t="inlineStr">
        <is>
          <t>United States</t>
        </is>
      </c>
      <c r="H2867" t="n">
        <v>2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>
        <f>IFERROR(INDEX('Company Hitlist'!$AA:$AA,MATCH(D2867,'Company Hitlist'!$A:$A,0)),)</f>
        <v/>
      </c>
      <c r="O2867">
        <f>IFERROR(INDEX('Company Hitlist'!$N:$N,MATCH(D2867,'Company Hitlist'!$A:$A,0)),)</f>
        <v/>
      </c>
      <c r="Q2867" t="inlineStr">
        <is>
          <t>todo</t>
        </is>
      </c>
    </row>
    <row r="2868">
      <c r="A2868" t="inlineStr">
        <is>
          <t>Jaymin Patel</t>
        </is>
      </c>
      <c r="B2868" t="inlineStr">
        <is>
          <t>Sponsor</t>
        </is>
      </c>
      <c r="C2868" t="inlineStr">
        <is>
          <t>Manager, Solutions Engineering</t>
        </is>
      </c>
      <c r="D2868" t="inlineStr">
        <is>
          <t>ArcBest</t>
        </is>
      </c>
      <c r="H2868" t="n">
        <v>2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>
        <f>IFERROR(INDEX('Company Hitlist'!$AA:$AA,MATCH(D2868,'Company Hitlist'!$A:$A,0)),)</f>
        <v/>
      </c>
      <c r="O2868">
        <f>IFERROR(INDEX('Company Hitlist'!$N:$N,MATCH(D2868,'Company Hitlist'!$A:$A,0)),)</f>
        <v/>
      </c>
      <c r="Q2868" t="inlineStr">
        <is>
          <t>todo</t>
        </is>
      </c>
    </row>
    <row r="2869">
      <c r="A2869" t="inlineStr">
        <is>
          <t>Jessica Newberry</t>
        </is>
      </c>
      <c r="B2869" t="inlineStr">
        <is>
          <t>Sponsor</t>
        </is>
      </c>
      <c r="C2869" t="inlineStr">
        <is>
          <t>Account Manager - Vaux</t>
        </is>
      </c>
      <c r="D2869" t="inlineStr">
        <is>
          <t>ArcBest</t>
        </is>
      </c>
      <c r="H2869" t="n">
        <v>2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>
        <f>IFERROR(INDEX('Company Hitlist'!$AA:$AA,MATCH(D2869,'Company Hitlist'!$A:$A,0)),)</f>
        <v/>
      </c>
      <c r="O2869">
        <f>IFERROR(INDEX('Company Hitlist'!$N:$N,MATCH(D2869,'Company Hitlist'!$A:$A,0)),)</f>
        <v/>
      </c>
      <c r="Q2869" t="inlineStr">
        <is>
          <t>todo</t>
        </is>
      </c>
    </row>
    <row r="2870">
      <c r="A2870" t="inlineStr">
        <is>
          <t>Shannan Morgan</t>
        </is>
      </c>
      <c r="B2870" t="inlineStr">
        <is>
          <t>Sponsor</t>
        </is>
      </c>
      <c r="C2870" t="inlineStr">
        <is>
          <t>Product Development Manager</t>
        </is>
      </c>
      <c r="D2870" t="inlineStr">
        <is>
          <t>ArcBest</t>
        </is>
      </c>
      <c r="H2870" t="n">
        <v>2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>
        <f>IFERROR(INDEX('Company Hitlist'!$AA:$AA,MATCH(D2870,'Company Hitlist'!$A:$A,0)),)</f>
        <v/>
      </c>
      <c r="O2870">
        <f>IFERROR(INDEX('Company Hitlist'!$N:$N,MATCH(D2870,'Company Hitlist'!$A:$A,0)),)</f>
        <v/>
      </c>
      <c r="Q2870" t="inlineStr">
        <is>
          <t>todo</t>
        </is>
      </c>
    </row>
    <row r="2871">
      <c r="A2871" t="inlineStr">
        <is>
          <t>Bill Neal</t>
        </is>
      </c>
      <c r="B2871" t="inlineStr">
        <is>
          <t>Sponsor</t>
        </is>
      </c>
      <c r="C2871" t="inlineStr">
        <is>
          <t>Strategic Client Advisor</t>
        </is>
      </c>
      <c r="D2871" t="inlineStr">
        <is>
          <t>Arkestro</t>
        </is>
      </c>
      <c r="E2871" t="inlineStr">
        <is>
          <t>United States</t>
        </is>
      </c>
      <c r="F2871" t="inlineStr">
        <is>
          <t>Yes</t>
        </is>
      </c>
      <c r="G2871" t="inlineStr">
        <is>
          <t>$12M (2024 est.; projected $15M in 2025)</t>
        </is>
      </c>
      <c r="H2871" t="n">
        <v>2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>
        <f>IFERROR(INDEX('Company Hitlist'!$AA:$AA,MATCH(D2871,'Company Hitlist'!$A:$A,0)),)</f>
        <v/>
      </c>
      <c r="O2871">
        <f>IFERROR(INDEX('Company Hitlist'!$N:$N,MATCH(D2871,'Company Hitlist'!$A:$A,0)),)</f>
        <v/>
      </c>
      <c r="Q2871" t="inlineStr">
        <is>
          <t>todo</t>
        </is>
      </c>
    </row>
    <row r="2872">
      <c r="A2872" t="inlineStr">
        <is>
          <t>Brad Klaus</t>
        </is>
      </c>
      <c r="B2872" t="inlineStr">
        <is>
          <t>Sponsor</t>
        </is>
      </c>
      <c r="C2872" t="inlineStr">
        <is>
          <t>Strategic Accounts</t>
        </is>
      </c>
      <c r="D2872" t="inlineStr">
        <is>
          <t>Arkestro</t>
        </is>
      </c>
      <c r="E2872" t="inlineStr">
        <is>
          <t>United States</t>
        </is>
      </c>
      <c r="F2872" t="inlineStr">
        <is>
          <t>Yes</t>
        </is>
      </c>
      <c r="G2872" t="inlineStr">
        <is>
          <t>$12M (2024 est.; projected $15M in 2025)</t>
        </is>
      </c>
      <c r="H2872" t="n">
        <v>2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>
        <f>IFERROR(INDEX('Company Hitlist'!$AA:$AA,MATCH(D2872,'Company Hitlist'!$A:$A,0)),)</f>
        <v/>
      </c>
      <c r="O2872">
        <f>IFERROR(INDEX('Company Hitlist'!$N:$N,MATCH(D2872,'Company Hitlist'!$A:$A,0)),)</f>
        <v/>
      </c>
      <c r="Q2872" t="inlineStr">
        <is>
          <t>todo</t>
        </is>
      </c>
    </row>
    <row r="2873">
      <c r="A2873" t="inlineStr">
        <is>
          <t>Matt Mills</t>
        </is>
      </c>
      <c r="B2873" t="inlineStr">
        <is>
          <t>Sponsor</t>
        </is>
      </c>
      <c r="C2873" t="inlineStr">
        <is>
          <t>Solutions Consultant</t>
        </is>
      </c>
      <c r="D2873" t="inlineStr">
        <is>
          <t>Arkestro</t>
        </is>
      </c>
      <c r="E2873" t="inlineStr">
        <is>
          <t>United States</t>
        </is>
      </c>
      <c r="F2873" t="inlineStr">
        <is>
          <t>Yes</t>
        </is>
      </c>
      <c r="G2873" t="inlineStr">
        <is>
          <t>$12M (2024 est.; projected $15M in 2025)</t>
        </is>
      </c>
      <c r="H2873" t="n">
        <v>2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>
        <f>IFERROR(INDEX('Company Hitlist'!$AA:$AA,MATCH(D2873,'Company Hitlist'!$A:$A,0)),)</f>
        <v/>
      </c>
      <c r="O2873">
        <f>IFERROR(INDEX('Company Hitlist'!$N:$N,MATCH(D2873,'Company Hitlist'!$A:$A,0)),)</f>
        <v/>
      </c>
      <c r="Q2873" t="inlineStr">
        <is>
          <t>todo</t>
        </is>
      </c>
    </row>
    <row r="2874">
      <c r="A2874" t="inlineStr">
        <is>
          <t>Jason Rowland</t>
        </is>
      </c>
      <c r="B2874" t="inlineStr">
        <is>
          <t>Sponsor</t>
        </is>
      </c>
      <c r="C2874" t="inlineStr">
        <is>
          <t>Director of Compliance and Risk &amp; Compliance Officer - North America</t>
        </is>
      </c>
      <c r="D2874" t="inlineStr">
        <is>
          <t>Asendia USA at Asendia USA</t>
        </is>
      </c>
      <c r="E2874" t="inlineStr">
        <is>
          <t>United States</t>
        </is>
      </c>
      <c r="F2874" t="inlineStr">
        <is>
          <t>Yes</t>
        </is>
      </c>
      <c r="H2874" t="n">
        <v>2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>
        <f>IFERROR(INDEX('Company Hitlist'!$AA:$AA,MATCH(D2874,'Company Hitlist'!$A:$A,0)),)</f>
        <v/>
      </c>
      <c r="O2874">
        <f>IFERROR(INDEX('Company Hitlist'!$N:$N,MATCH(D2874,'Company Hitlist'!$A:$A,0)),)</f>
        <v/>
      </c>
      <c r="Q2874" t="inlineStr">
        <is>
          <t>todo</t>
        </is>
      </c>
    </row>
    <row r="2875">
      <c r="A2875" t="inlineStr">
        <is>
          <t>Alex Grant</t>
        </is>
      </c>
      <c r="B2875" t="inlineStr">
        <is>
          <t>Sponsor</t>
        </is>
      </c>
      <c r="C2875" t="inlineStr">
        <is>
          <t>Strategic Partnerships</t>
        </is>
      </c>
      <c r="D2875" t="inlineStr">
        <is>
          <t>AtoB</t>
        </is>
      </c>
      <c r="E2875" t="inlineStr">
        <is>
          <t>United States</t>
        </is>
      </c>
      <c r="H2875" t="n">
        <v>2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>
        <f>IFERROR(INDEX('Company Hitlist'!$AA:$AA,MATCH(D2875,'Company Hitlist'!$A:$A,0)),)</f>
        <v/>
      </c>
      <c r="O2875">
        <f>IFERROR(INDEX('Company Hitlist'!$N:$N,MATCH(D2875,'Company Hitlist'!$A:$A,0)),)</f>
        <v/>
      </c>
      <c r="Q2875" t="inlineStr">
        <is>
          <t>todo</t>
        </is>
      </c>
    </row>
    <row r="2876">
      <c r="A2876" t="inlineStr">
        <is>
          <t>Justin Hall</t>
        </is>
      </c>
      <c r="B2876" t="inlineStr">
        <is>
          <t>Sponsor</t>
        </is>
      </c>
      <c r="C2876" t="inlineStr">
        <is>
          <t>Co-Founder &amp; CCO</t>
        </is>
      </c>
      <c r="D2876" t="inlineStr">
        <is>
          <t>Augment Technologies Inc</t>
        </is>
      </c>
      <c r="E2876" t="inlineStr">
        <is>
          <t>United States</t>
        </is>
      </c>
      <c r="F2876" t="inlineStr">
        <is>
          <t>Yes</t>
        </is>
      </c>
      <c r="H2876" t="n">
        <v>2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>
        <f>IFERROR(INDEX('Company Hitlist'!$AA:$AA,MATCH(D2876,'Company Hitlist'!$A:$A,0)),)</f>
        <v/>
      </c>
      <c r="O2876">
        <f>IFERROR(INDEX('Company Hitlist'!$N:$N,MATCH(D2876,'Company Hitlist'!$A:$A,0)),)</f>
        <v/>
      </c>
      <c r="Q2876" t="inlineStr">
        <is>
          <t>todo</t>
        </is>
      </c>
    </row>
    <row r="2877">
      <c r="A2877" t="inlineStr">
        <is>
          <t>Nikki Guglielmo</t>
        </is>
      </c>
      <c r="B2877" t="inlineStr">
        <is>
          <t>Sponsor</t>
        </is>
      </c>
      <c r="C2877" t="inlineStr">
        <is>
          <t>Sr. Manager, Enterprise Accounts</t>
        </is>
      </c>
      <c r="D2877" t="inlineStr">
        <is>
          <t>Aurora</t>
        </is>
      </c>
      <c r="E2877" t="inlineStr">
        <is>
          <t>United States</t>
        </is>
      </c>
      <c r="H2877" t="n">
        <v>2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>
        <f>IFERROR(INDEX('Company Hitlist'!$AA:$AA,MATCH(D2877,'Company Hitlist'!$A:$A,0)),)</f>
        <v/>
      </c>
      <c r="O2877">
        <f>IFERROR(INDEX('Company Hitlist'!$N:$N,MATCH(D2877,'Company Hitlist'!$A:$A,0)),)</f>
        <v/>
      </c>
      <c r="Q2877" t="inlineStr">
        <is>
          <t>todo</t>
        </is>
      </c>
    </row>
    <row r="2878">
      <c r="A2878" t="inlineStr">
        <is>
          <t>Daniel Wolf</t>
        </is>
      </c>
      <c r="B2878" t="inlineStr">
        <is>
          <t>Sponsor</t>
        </is>
      </c>
      <c r="C2878" t="inlineStr">
        <is>
          <t>Founding Engineer</t>
        </is>
      </c>
      <c r="D2878" t="inlineStr">
        <is>
          <t>AutoPallet Robotics</t>
        </is>
      </c>
      <c r="E2878" t="inlineStr">
        <is>
          <t>United States</t>
        </is>
      </c>
      <c r="F2878" t="inlineStr">
        <is>
          <t>Yes</t>
        </is>
      </c>
      <c r="H2878" t="n">
        <v>2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>
        <f>IFERROR(INDEX('Company Hitlist'!$AA:$AA,MATCH(D2878,'Company Hitlist'!$A:$A,0)),)</f>
        <v/>
      </c>
      <c r="O2878">
        <f>IFERROR(INDEX('Company Hitlist'!$N:$N,MATCH(D2878,'Company Hitlist'!$A:$A,0)),)</f>
        <v/>
      </c>
      <c r="Q2878" t="inlineStr">
        <is>
          <t>todo</t>
        </is>
      </c>
    </row>
    <row r="2879">
      <c r="A2879" t="inlineStr">
        <is>
          <t>Jared Briskman</t>
        </is>
      </c>
      <c r="B2879" t="inlineStr">
        <is>
          <t>Sponsor</t>
        </is>
      </c>
      <c r="C2879" t="inlineStr">
        <is>
          <t>Founding Engineer</t>
        </is>
      </c>
      <c r="D2879" t="inlineStr">
        <is>
          <t>AutoPallet Robotics</t>
        </is>
      </c>
      <c r="E2879" t="inlineStr">
        <is>
          <t>United States</t>
        </is>
      </c>
      <c r="F2879" t="inlineStr">
        <is>
          <t>Yes</t>
        </is>
      </c>
      <c r="H2879" t="n">
        <v>2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>
        <f>IFERROR(INDEX('Company Hitlist'!$AA:$AA,MATCH(D2879,'Company Hitlist'!$A:$A,0)),)</f>
        <v/>
      </c>
      <c r="O2879">
        <f>IFERROR(INDEX('Company Hitlist'!$N:$N,MATCH(D2879,'Company Hitlist'!$A:$A,0)),)</f>
        <v/>
      </c>
      <c r="Q2879" t="inlineStr">
        <is>
          <t>todo</t>
        </is>
      </c>
    </row>
    <row r="2880">
      <c r="A2880" t="inlineStr">
        <is>
          <t>Nathan Yee</t>
        </is>
      </c>
      <c r="B2880" t="inlineStr">
        <is>
          <t>Sponsor</t>
        </is>
      </c>
      <c r="C2880" t="inlineStr">
        <is>
          <t>Co-founder</t>
        </is>
      </c>
      <c r="D2880" t="inlineStr">
        <is>
          <t>AutoPallet Robotics</t>
        </is>
      </c>
      <c r="E2880" t="inlineStr">
        <is>
          <t>United States</t>
        </is>
      </c>
      <c r="F2880" t="inlineStr">
        <is>
          <t>Yes</t>
        </is>
      </c>
      <c r="H2880" t="n">
        <v>2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>
        <f>IFERROR(INDEX('Company Hitlist'!$AA:$AA,MATCH(D2880,'Company Hitlist'!$A:$A,0)),)</f>
        <v/>
      </c>
      <c r="O2880">
        <f>IFERROR(INDEX('Company Hitlist'!$N:$N,MATCH(D2880,'Company Hitlist'!$A:$A,0)),)</f>
        <v/>
      </c>
      <c r="Q2880" t="inlineStr">
        <is>
          <t>todo</t>
        </is>
      </c>
    </row>
    <row r="2881">
      <c r="A2881" t="inlineStr">
        <is>
          <t>Olivia Jo Bradley</t>
        </is>
      </c>
      <c r="B2881" t="inlineStr">
        <is>
          <t>Sponsor</t>
        </is>
      </c>
      <c r="C2881" t="inlineStr">
        <is>
          <t>Founding Engineer</t>
        </is>
      </c>
      <c r="D2881" t="inlineStr">
        <is>
          <t>AutoPallet Robotics</t>
        </is>
      </c>
      <c r="F2881" t="inlineStr">
        <is>
          <t>Yes</t>
        </is>
      </c>
      <c r="H2881" t="n">
        <v>2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>
        <f>IFERROR(INDEX('Company Hitlist'!$AA:$AA,MATCH(D2881,'Company Hitlist'!$A:$A,0)),)</f>
        <v/>
      </c>
      <c r="O2881">
        <f>IFERROR(INDEX('Company Hitlist'!$N:$N,MATCH(D2881,'Company Hitlist'!$A:$A,0)),)</f>
        <v/>
      </c>
      <c r="Q2881" t="inlineStr">
        <is>
          <t>todo</t>
        </is>
      </c>
    </row>
    <row r="2882">
      <c r="A2882" t="inlineStr">
        <is>
          <t>Will Smith</t>
        </is>
      </c>
      <c r="B2882" t="inlineStr">
        <is>
          <t>Sponsor</t>
        </is>
      </c>
      <c r="C2882" t="inlineStr">
        <is>
          <t>Founding Engineer</t>
        </is>
      </c>
      <c r="D2882" t="inlineStr">
        <is>
          <t>AutoPallet Robotics</t>
        </is>
      </c>
      <c r="F2882" t="inlineStr">
        <is>
          <t>Yes</t>
        </is>
      </c>
      <c r="H2882" t="n">
        <v>2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>
        <f>IFERROR(INDEX('Company Hitlist'!$AA:$AA,MATCH(D2882,'Company Hitlist'!$A:$A,0)),)</f>
        <v/>
      </c>
      <c r="O2882">
        <f>IFERROR(INDEX('Company Hitlist'!$N:$N,MATCH(D2882,'Company Hitlist'!$A:$A,0)),)</f>
        <v/>
      </c>
      <c r="Q2882" t="inlineStr">
        <is>
          <t>todo</t>
        </is>
      </c>
    </row>
    <row r="2883">
      <c r="A2883" t="inlineStr">
        <is>
          <t>Wendy Hannon</t>
        </is>
      </c>
      <c r="B2883" t="inlineStr">
        <is>
          <t>Sponsor</t>
        </is>
      </c>
      <c r="C2883" t="inlineStr">
        <is>
          <t>Director, Communications</t>
        </is>
      </c>
      <c r="D2883" t="inlineStr">
        <is>
          <t>Aviro360</t>
        </is>
      </c>
      <c r="E2883" t="inlineStr">
        <is>
          <t>United States</t>
        </is>
      </c>
      <c r="F2883" t="inlineStr">
        <is>
          <t>Yes</t>
        </is>
      </c>
      <c r="H2883" t="n">
        <v>2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>
        <f>IFERROR(INDEX('Company Hitlist'!$AA:$AA,MATCH(D2883,'Company Hitlist'!$A:$A,0)),)</f>
        <v/>
      </c>
      <c r="O2883">
        <f>IFERROR(INDEX('Company Hitlist'!$N:$N,MATCH(D2883,'Company Hitlist'!$A:$A,0)),)</f>
        <v/>
      </c>
      <c r="Q2883" t="inlineStr">
        <is>
          <t>todo</t>
        </is>
      </c>
    </row>
    <row r="2884">
      <c r="A2884" t="inlineStr">
        <is>
          <t>Trey Griggs</t>
        </is>
      </c>
      <c r="B2884" t="inlineStr">
        <is>
          <t>Sponsor</t>
        </is>
      </c>
      <c r="C2884" t="inlineStr">
        <is>
          <t>Fractional CRO, Executive Coach, Author &amp; Speaker</t>
        </is>
      </c>
      <c r="D2884" t="inlineStr">
        <is>
          <t>BETA Consulting Group</t>
        </is>
      </c>
      <c r="E2884" t="inlineStr">
        <is>
          <t>United States</t>
        </is>
      </c>
      <c r="H2884" t="n">
        <v>2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>
        <f>IFERROR(INDEX('Company Hitlist'!$AA:$AA,MATCH(D2884,'Company Hitlist'!$A:$A,0)),)</f>
        <v/>
      </c>
      <c r="O2884">
        <f>IFERROR(INDEX('Company Hitlist'!$N:$N,MATCH(D2884,'Company Hitlist'!$A:$A,0)),)</f>
        <v/>
      </c>
      <c r="Q2884" t="inlineStr">
        <is>
          <t>todo</t>
        </is>
      </c>
    </row>
    <row r="2885">
      <c r="A2885" t="inlineStr">
        <is>
          <t>Justin Friel</t>
        </is>
      </c>
      <c r="B2885" t="inlineStr">
        <is>
          <t>Sponsor</t>
        </is>
      </c>
      <c r="C2885" t="inlineStr">
        <is>
          <t>Sr. Account Director, Enterprise</t>
        </is>
      </c>
      <c r="D2885" t="inlineStr">
        <is>
          <t>Bamboo Rose</t>
        </is>
      </c>
      <c r="E2885" t="inlineStr">
        <is>
          <t>United States</t>
        </is>
      </c>
      <c r="F2885" t="inlineStr">
        <is>
          <t>Yes</t>
        </is>
      </c>
      <c r="H2885" t="n">
        <v>2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>
        <f>IFERROR(INDEX('Company Hitlist'!$AA:$AA,MATCH(D2885,'Company Hitlist'!$A:$A,0)),)</f>
        <v/>
      </c>
      <c r="O2885">
        <f>IFERROR(INDEX('Company Hitlist'!$N:$N,MATCH(D2885,'Company Hitlist'!$A:$A,0)),)</f>
        <v/>
      </c>
      <c r="Q2885" t="inlineStr">
        <is>
          <t>todo</t>
        </is>
      </c>
    </row>
    <row r="2886">
      <c r="A2886" t="inlineStr">
        <is>
          <t>Akash Agarwal</t>
        </is>
      </c>
      <c r="B2886" t="inlineStr">
        <is>
          <t>Sponsor</t>
        </is>
      </c>
      <c r="C2886" t="inlineStr">
        <is>
          <t>Founder</t>
        </is>
      </c>
      <c r="D2886" t="inlineStr">
        <is>
          <t>Beans.ai</t>
        </is>
      </c>
      <c r="E2886" t="inlineStr">
        <is>
          <t>United States</t>
        </is>
      </c>
      <c r="H2886" t="n">
        <v>2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>
        <f>IFERROR(INDEX('Company Hitlist'!$AA:$AA,MATCH(D2886,'Company Hitlist'!$A:$A,0)),)</f>
        <v/>
      </c>
      <c r="O2886">
        <f>IFERROR(INDEX('Company Hitlist'!$N:$N,MATCH(D2886,'Company Hitlist'!$A:$A,0)),)</f>
        <v/>
      </c>
      <c r="Q2886" t="inlineStr">
        <is>
          <t>todo</t>
        </is>
      </c>
    </row>
    <row r="2887">
      <c r="A2887" t="inlineStr">
        <is>
          <t>Jason Anderson</t>
        </is>
      </c>
      <c r="B2887" t="inlineStr">
        <is>
          <t>Sponsor</t>
        </is>
      </c>
      <c r="C2887" t="inlineStr">
        <is>
          <t>Strategic Initiatives Director</t>
        </is>
      </c>
      <c r="D2887" t="inlineStr">
        <is>
          <t>BlackBerry Radar</t>
        </is>
      </c>
      <c r="E2887" t="inlineStr">
        <is>
          <t>Canada</t>
        </is>
      </c>
      <c r="F2887" t="inlineStr">
        <is>
          <t>Yes</t>
        </is>
      </c>
      <c r="H2887" t="n">
        <v>2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>
        <f>IFERROR(INDEX('Company Hitlist'!$AA:$AA,MATCH(D2887,'Company Hitlist'!$A:$A,0)),)</f>
        <v/>
      </c>
      <c r="O2887">
        <f>IFERROR(INDEX('Company Hitlist'!$N:$N,MATCH(D2887,'Company Hitlist'!$A:$A,0)),)</f>
        <v/>
      </c>
      <c r="Q2887" t="inlineStr">
        <is>
          <t>todo</t>
        </is>
      </c>
    </row>
    <row r="2888">
      <c r="A2888" t="inlineStr">
        <is>
          <t>Donatien Garnier</t>
        </is>
      </c>
      <c r="B2888" t="inlineStr">
        <is>
          <t>Sponsor</t>
        </is>
      </c>
      <c r="C2888" t="inlineStr">
        <is>
          <t>Co-Founder</t>
        </is>
      </c>
      <c r="D2888" t="inlineStr">
        <is>
          <t>Blecon</t>
        </is>
      </c>
      <c r="F2888" t="inlineStr">
        <is>
          <t>Yes</t>
        </is>
      </c>
      <c r="H2888" t="n">
        <v>2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>
        <f>IFERROR(INDEX('Company Hitlist'!$AA:$AA,MATCH(D2888,'Company Hitlist'!$A:$A,0)),)</f>
        <v/>
      </c>
      <c r="O2888">
        <f>IFERROR(INDEX('Company Hitlist'!$N:$N,MATCH(D2888,'Company Hitlist'!$A:$A,0)),)</f>
        <v/>
      </c>
      <c r="Q2888" t="inlineStr">
        <is>
          <t>todo</t>
        </is>
      </c>
    </row>
    <row r="2889">
      <c r="A2889" t="inlineStr">
        <is>
          <t>Andrew Galland</t>
        </is>
      </c>
      <c r="B2889" t="inlineStr">
        <is>
          <t>Sponsor</t>
        </is>
      </c>
      <c r="C2889" t="inlineStr">
        <is>
          <t>Sr. Principal Software Engineer, Product Management</t>
        </is>
      </c>
      <c r="D2889" t="inlineStr">
        <is>
          <t>Blue Yonder</t>
        </is>
      </c>
      <c r="E2889" t="inlineStr">
        <is>
          <t>United States</t>
        </is>
      </c>
      <c r="F2889" t="inlineStr">
        <is>
          <t>Yes</t>
        </is>
      </c>
      <c r="G2889" t="inlineStr">
        <is>
          <t>$2.2 billion (2025)</t>
        </is>
      </c>
      <c r="H2889" t="n">
        <v>2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>
        <f>IFERROR(INDEX('Company Hitlist'!$AA:$AA,MATCH(D2889,'Company Hitlist'!$A:$A,0)),)</f>
        <v/>
      </c>
      <c r="O2889">
        <f>IFERROR(INDEX('Company Hitlist'!$N:$N,MATCH(D2889,'Company Hitlist'!$A:$A,0)),)</f>
        <v/>
      </c>
      <c r="Q2889" t="inlineStr">
        <is>
          <t>todo</t>
        </is>
      </c>
    </row>
    <row r="2890">
      <c r="A2890" t="inlineStr">
        <is>
          <t>Gideon van Kampen</t>
        </is>
      </c>
      <c r="B2890" t="inlineStr">
        <is>
          <t>Sponsor</t>
        </is>
      </c>
      <c r="C2890" t="inlineStr">
        <is>
          <t>Solutions Engineer</t>
        </is>
      </c>
      <c r="D2890" t="inlineStr">
        <is>
          <t>BlueCargo</t>
        </is>
      </c>
      <c r="E2890" t="inlineStr">
        <is>
          <t>United States</t>
        </is>
      </c>
      <c r="F2890" t="inlineStr">
        <is>
          <t>Yes</t>
        </is>
      </c>
      <c r="H2890" t="n">
        <v>2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>
        <f>IFERROR(INDEX('Company Hitlist'!$AA:$AA,MATCH(D2890,'Company Hitlist'!$A:$A,0)),)</f>
        <v/>
      </c>
      <c r="O2890">
        <f>IFERROR(INDEX('Company Hitlist'!$N:$N,MATCH(D2890,'Company Hitlist'!$A:$A,0)),)</f>
        <v/>
      </c>
      <c r="Q2890" t="inlineStr">
        <is>
          <t>todo</t>
        </is>
      </c>
    </row>
    <row r="2891">
      <c r="A2891" t="inlineStr">
        <is>
          <t>Pedro Matias</t>
        </is>
      </c>
      <c r="B2891" t="inlineStr">
        <is>
          <t>Sponsor</t>
        </is>
      </c>
      <c r="C2891" t="inlineStr">
        <is>
          <t>Entreprise</t>
        </is>
      </c>
      <c r="D2891" t="inlineStr">
        <is>
          <t>BlueCargo</t>
        </is>
      </c>
      <c r="E2891" t="inlineStr">
        <is>
          <t>United States</t>
        </is>
      </c>
      <c r="F2891" t="inlineStr">
        <is>
          <t>Yes</t>
        </is>
      </c>
      <c r="H2891" t="n">
        <v>2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>
        <f>IFERROR(INDEX('Company Hitlist'!$AA:$AA,MATCH(D2891,'Company Hitlist'!$A:$A,0)),)</f>
        <v/>
      </c>
      <c r="O2891">
        <f>IFERROR(INDEX('Company Hitlist'!$N:$N,MATCH(D2891,'Company Hitlist'!$A:$A,0)),)</f>
        <v/>
      </c>
      <c r="Q2891" t="inlineStr">
        <is>
          <t>todo</t>
        </is>
      </c>
    </row>
    <row r="2892">
      <c r="A2892" t="inlineStr">
        <is>
          <t>Shane Ball</t>
        </is>
      </c>
      <c r="B2892" t="inlineStr">
        <is>
          <t>Sponsor</t>
        </is>
      </c>
      <c r="C2892" t="inlineStr">
        <is>
          <t>Enterprise Executive</t>
        </is>
      </c>
      <c r="D2892" t="inlineStr">
        <is>
          <t>BlueCargo</t>
        </is>
      </c>
      <c r="H2892" t="n">
        <v>2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>
        <f>IFERROR(INDEX('Company Hitlist'!$AA:$AA,MATCH(D2892,'Company Hitlist'!$A:$A,0)),)</f>
        <v/>
      </c>
      <c r="O2892">
        <f>IFERROR(INDEX('Company Hitlist'!$N:$N,MATCH(D2892,'Company Hitlist'!$A:$A,0)),)</f>
        <v/>
      </c>
      <c r="Q2892" t="inlineStr">
        <is>
          <t>todo</t>
        </is>
      </c>
    </row>
    <row r="2893">
      <c r="A2893" t="inlineStr">
        <is>
          <t>Madisyn Starks</t>
        </is>
      </c>
      <c r="B2893" t="inlineStr">
        <is>
          <t>Sponsor</t>
        </is>
      </c>
      <c r="C2893" t="inlineStr">
        <is>
          <t>Director of Client Support</t>
        </is>
      </c>
      <c r="D2893" t="inlineStr">
        <is>
          <t>BoxC</t>
        </is>
      </c>
      <c r="F2893" t="inlineStr">
        <is>
          <t>Yes</t>
        </is>
      </c>
      <c r="H2893" t="n">
        <v>2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>
        <f>IFERROR(INDEX('Company Hitlist'!$AA:$AA,MATCH(D2893,'Company Hitlist'!$A:$A,0)),)</f>
        <v/>
      </c>
      <c r="O2893">
        <f>IFERROR(INDEX('Company Hitlist'!$N:$N,MATCH(D2893,'Company Hitlist'!$A:$A,0)),)</f>
        <v/>
      </c>
      <c r="Q2893" t="inlineStr">
        <is>
          <t>todo</t>
        </is>
      </c>
    </row>
    <row r="2894">
      <c r="A2894" t="inlineStr">
        <is>
          <t>Matthew Quinn</t>
        </is>
      </c>
      <c r="B2894" t="inlineStr">
        <is>
          <t>Sponsor</t>
        </is>
      </c>
      <c r="C2894" t="inlineStr">
        <is>
          <t>Digital Business Building Transformation Lead</t>
        </is>
      </c>
      <c r="D2894" t="inlineStr">
        <is>
          <t>Brambles</t>
        </is>
      </c>
      <c r="F2894" t="inlineStr">
        <is>
          <t>Yes</t>
        </is>
      </c>
      <c r="G2894" t="inlineStr">
        <is>
          <t>$6.67B</t>
        </is>
      </c>
      <c r="H2894" t="n">
        <v>2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>
        <f>IFERROR(INDEX('Company Hitlist'!$AA:$AA,MATCH(D2894,'Company Hitlist'!$A:$A,0)),)</f>
        <v/>
      </c>
      <c r="O2894">
        <f>IFERROR(INDEX('Company Hitlist'!$N:$N,MATCH(D2894,'Company Hitlist'!$A:$A,0)),)</f>
        <v/>
      </c>
      <c r="Q2894" t="inlineStr">
        <is>
          <t>todo</t>
        </is>
      </c>
    </row>
    <row r="2895">
      <c r="A2895" t="inlineStr">
        <is>
          <t>Michael Plachta</t>
        </is>
      </c>
      <c r="B2895" t="inlineStr">
        <is>
          <t>Sponsor</t>
        </is>
      </c>
      <c r="C2895" t="inlineStr">
        <is>
          <t>Digital Account Manager</t>
        </is>
      </c>
      <c r="D2895" t="inlineStr">
        <is>
          <t>Brambles</t>
        </is>
      </c>
      <c r="E2895" t="inlineStr">
        <is>
          <t>United States</t>
        </is>
      </c>
      <c r="H2895" t="n">
        <v>2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>
        <f>IFERROR(INDEX('Company Hitlist'!$AA:$AA,MATCH(D2895,'Company Hitlist'!$A:$A,0)),)</f>
        <v/>
      </c>
      <c r="O2895">
        <f>IFERROR(INDEX('Company Hitlist'!$N:$N,MATCH(D2895,'Company Hitlist'!$A:$A,0)),)</f>
        <v/>
      </c>
      <c r="Q2895" t="inlineStr">
        <is>
          <t>todo</t>
        </is>
      </c>
    </row>
    <row r="2896">
      <c r="A2896" t="inlineStr">
        <is>
          <t>Emma Van Rossum</t>
        </is>
      </c>
      <c r="B2896" t="inlineStr">
        <is>
          <t>Sponsor</t>
        </is>
      </c>
      <c r="C2896" t="inlineStr">
        <is>
          <t>Director of Client Success</t>
        </is>
      </c>
      <c r="D2896" t="inlineStr">
        <is>
          <t>Breakthrough</t>
        </is>
      </c>
      <c r="E2896" t="inlineStr">
        <is>
          <t>United States</t>
        </is>
      </c>
      <c r="F2896" t="inlineStr">
        <is>
          <t>Yes</t>
        </is>
      </c>
      <c r="G2896" t="inlineStr">
        <is>
          <t>63400000</t>
        </is>
      </c>
      <c r="H2896" t="n">
        <v>2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>
        <f>IFERROR(INDEX('Company Hitlist'!$AA:$AA,MATCH(D2896,'Company Hitlist'!$A:$A,0)),)</f>
        <v/>
      </c>
      <c r="O2896">
        <f>IFERROR(INDEX('Company Hitlist'!$N:$N,MATCH(D2896,'Company Hitlist'!$A:$A,0)),)</f>
        <v/>
      </c>
      <c r="Q2896" t="inlineStr">
        <is>
          <t>todo</t>
        </is>
      </c>
    </row>
    <row r="2897">
      <c r="A2897" t="inlineStr">
        <is>
          <t>Emma Hartsfield</t>
        </is>
      </c>
      <c r="B2897" t="inlineStr">
        <is>
          <t>Sponsor</t>
        </is>
      </c>
      <c r="C2897" t="inlineStr">
        <is>
          <t>Demand Generation Manager</t>
        </is>
      </c>
      <c r="D2897" t="inlineStr">
        <is>
          <t>Bringg</t>
        </is>
      </c>
      <c r="E2897" t="inlineStr">
        <is>
          <t>United States</t>
        </is>
      </c>
      <c r="H2897" t="n">
        <v>2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>
        <f>IFERROR(INDEX('Company Hitlist'!$AA:$AA,MATCH(D2897,'Company Hitlist'!$A:$A,0)),)</f>
        <v/>
      </c>
      <c r="O2897">
        <f>IFERROR(INDEX('Company Hitlist'!$N:$N,MATCH(D2897,'Company Hitlist'!$A:$A,0)),)</f>
        <v/>
      </c>
      <c r="Q2897" t="inlineStr">
        <is>
          <t>todo</t>
        </is>
      </c>
    </row>
    <row r="2898">
      <c r="A2898" t="inlineStr">
        <is>
          <t>Joe Cortina</t>
        </is>
      </c>
      <c r="B2898" t="inlineStr">
        <is>
          <t>Sponsor</t>
        </is>
      </c>
      <c r="C2898" t="inlineStr">
        <is>
          <t>National Account Manager</t>
        </is>
      </c>
      <c r="D2898" t="inlineStr">
        <is>
          <t>Budget Truck Rental</t>
        </is>
      </c>
      <c r="E2898" t="inlineStr">
        <is>
          <t>United States</t>
        </is>
      </c>
      <c r="H2898" t="n">
        <v>2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>
        <f>IFERROR(INDEX('Company Hitlist'!$AA:$AA,MATCH(D2898,'Company Hitlist'!$A:$A,0)),)</f>
        <v/>
      </c>
      <c r="O2898">
        <f>IFERROR(INDEX('Company Hitlist'!$N:$N,MATCH(D2898,'Company Hitlist'!$A:$A,0)),)</f>
        <v/>
      </c>
      <c r="Q2898" t="inlineStr">
        <is>
          <t>todo</t>
        </is>
      </c>
    </row>
    <row r="2899">
      <c r="A2899" t="inlineStr">
        <is>
          <t>Rich Albaugh</t>
        </is>
      </c>
      <c r="B2899" t="inlineStr">
        <is>
          <t>Sponsor</t>
        </is>
      </c>
      <c r="C2899" t="inlineStr">
        <is>
          <t>National Account Manager</t>
        </is>
      </c>
      <c r="D2899" t="inlineStr">
        <is>
          <t>Budget Truck Rental</t>
        </is>
      </c>
      <c r="E2899" t="inlineStr">
        <is>
          <t>United States</t>
        </is>
      </c>
      <c r="H2899" t="n">
        <v>2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>
        <f>IFERROR(INDEX('Company Hitlist'!$AA:$AA,MATCH(D2899,'Company Hitlist'!$A:$A,0)),)</f>
        <v/>
      </c>
      <c r="O2899">
        <f>IFERROR(INDEX('Company Hitlist'!$N:$N,MATCH(D2899,'Company Hitlist'!$A:$A,0)),)</f>
        <v/>
      </c>
      <c r="Q2899" t="inlineStr">
        <is>
          <t>todo</t>
        </is>
      </c>
    </row>
    <row r="2900">
      <c r="A2900" t="inlineStr">
        <is>
          <t>Scott Mackstutis</t>
        </is>
      </c>
      <c r="B2900" t="inlineStr">
        <is>
          <t>Sponsor</t>
        </is>
      </c>
      <c r="C2900" t="inlineStr">
        <is>
          <t>National Account Manager</t>
        </is>
      </c>
      <c r="D2900" t="inlineStr">
        <is>
          <t>Budget Truck Rental</t>
        </is>
      </c>
      <c r="H2900" t="n">
        <v>2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>
        <f>IFERROR(INDEX('Company Hitlist'!$AA:$AA,MATCH(D2900,'Company Hitlist'!$A:$A,0)),)</f>
        <v/>
      </c>
      <c r="O2900">
        <f>IFERROR(INDEX('Company Hitlist'!$N:$N,MATCH(D2900,'Company Hitlist'!$A:$A,0)),)</f>
        <v/>
      </c>
      <c r="Q2900" t="inlineStr">
        <is>
          <t>todo</t>
        </is>
      </c>
    </row>
    <row r="2901">
      <c r="A2901" t="inlineStr">
        <is>
          <t>Janet Cao</t>
        </is>
      </c>
      <c r="B2901" t="inlineStr">
        <is>
          <t>Sponsor</t>
        </is>
      </c>
      <c r="C2901" t="inlineStr">
        <is>
          <t>Strategic Partnerships &amp; Initiatives</t>
        </is>
      </c>
      <c r="D2901" t="inlineStr">
        <is>
          <t>Burq</t>
        </is>
      </c>
      <c r="F2901" t="inlineStr">
        <is>
          <t>Yes</t>
        </is>
      </c>
      <c r="H2901" t="n">
        <v>2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>
        <f>IFERROR(INDEX('Company Hitlist'!$AA:$AA,MATCH(D2901,'Company Hitlist'!$A:$A,0)),)</f>
        <v/>
      </c>
      <c r="O2901">
        <f>IFERROR(INDEX('Company Hitlist'!$N:$N,MATCH(D2901,'Company Hitlist'!$A:$A,0)),)</f>
        <v/>
      </c>
      <c r="Q2901" t="inlineStr">
        <is>
          <t>todo</t>
        </is>
      </c>
    </row>
    <row r="2902">
      <c r="A2902" t="inlineStr">
        <is>
          <t>Jennifer Bryant</t>
        </is>
      </c>
      <c r="B2902" t="inlineStr">
        <is>
          <t>Sponsor</t>
        </is>
      </c>
      <c r="C2902" t="inlineStr">
        <is>
          <t>Director of Strategic Development</t>
        </is>
      </c>
      <c r="D2902" t="inlineStr">
        <is>
          <t>C.R. England</t>
        </is>
      </c>
      <c r="E2902" t="inlineStr">
        <is>
          <t>United States</t>
        </is>
      </c>
      <c r="F2902" t="inlineStr">
        <is>
          <t>Yes</t>
        </is>
      </c>
      <c r="G2902" t="inlineStr">
        <is>
          <t>500000000</t>
        </is>
      </c>
      <c r="H2902" t="n">
        <v>2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>
        <f>IFERROR(INDEX('Company Hitlist'!$AA:$AA,MATCH(D2902,'Company Hitlist'!$A:$A,0)),)</f>
        <v/>
      </c>
      <c r="O2902">
        <f>IFERROR(INDEX('Company Hitlist'!$N:$N,MATCH(D2902,'Company Hitlist'!$A:$A,0)),)</f>
        <v/>
      </c>
      <c r="Q2902" t="inlineStr">
        <is>
          <t>todo</t>
        </is>
      </c>
    </row>
    <row r="2903">
      <c r="A2903" t="inlineStr">
        <is>
          <t>Alex Ikenberry</t>
        </is>
      </c>
      <c r="B2903" t="inlineStr">
        <is>
          <t>Attendee</t>
        </is>
      </c>
      <c r="C2903" t="inlineStr">
        <is>
          <t>Director of Business Development - Dedicated, OTR, Intermodal &amp; Mexico</t>
        </is>
      </c>
      <c r="D2903" t="inlineStr">
        <is>
          <t>C.R. England</t>
        </is>
      </c>
      <c r="E2903" t="inlineStr">
        <is>
          <t>United States</t>
        </is>
      </c>
      <c r="H2903" t="n">
        <v>2</v>
      </c>
      <c r="I2903" t="b">
        <v>1</v>
      </c>
      <c r="J2903" t="b">
        <v>0</v>
      </c>
      <c r="K2903" t="b">
        <v>0</v>
      </c>
      <c r="L2903" t="b">
        <v>0</v>
      </c>
      <c r="M2903" t="b">
        <v>1</v>
      </c>
      <c r="N2903">
        <f>IFERROR(INDEX('Company Hitlist'!$AA:$AA,MATCH(D2903,'Company Hitlist'!$A:$A,0)),)</f>
        <v/>
      </c>
      <c r="O2903">
        <f>IFERROR(INDEX('Company Hitlist'!$N:$N,MATCH(D2903,'Company Hitlist'!$A:$A,0)),)</f>
        <v/>
      </c>
      <c r="Q2903" t="inlineStr">
        <is>
          <t>todo</t>
        </is>
      </c>
    </row>
    <row r="2904">
      <c r="A2904" t="inlineStr">
        <is>
          <t>Mary O'Toole</t>
        </is>
      </c>
      <c r="B2904" t="inlineStr">
        <is>
          <t>Sponsor</t>
        </is>
      </c>
      <c r="C2904" t="inlineStr">
        <is>
          <t>Sr Director - Enterprise Account Management</t>
        </is>
      </c>
      <c r="D2904" t="inlineStr">
        <is>
          <t>C.R. England Inc.</t>
        </is>
      </c>
      <c r="E2904" t="inlineStr">
        <is>
          <t>United States</t>
        </is>
      </c>
      <c r="F2904" t="inlineStr">
        <is>
          <t>Yes</t>
        </is>
      </c>
      <c r="H2904" t="n">
        <v>2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>
        <f>IFERROR(INDEX('Company Hitlist'!$AA:$AA,MATCH(D2904,'Company Hitlist'!$A:$A,0)),)</f>
        <v/>
      </c>
      <c r="O2904">
        <f>IFERROR(INDEX('Company Hitlist'!$N:$N,MATCH(D2904,'Company Hitlist'!$A:$A,0)),)</f>
        <v/>
      </c>
      <c r="Q2904" t="inlineStr">
        <is>
          <t>todo</t>
        </is>
      </c>
    </row>
    <row r="2905">
      <c r="A2905" t="inlineStr">
        <is>
          <t>Roberto Sosa</t>
        </is>
      </c>
      <c r="B2905" t="inlineStr">
        <is>
          <t>Sponsor</t>
        </is>
      </c>
      <c r="C2905" t="inlineStr">
        <is>
          <t>Co-Founder</t>
        </is>
      </c>
      <c r="D2905" t="inlineStr">
        <is>
          <t>C12 Community</t>
        </is>
      </c>
      <c r="E2905" t="inlineStr">
        <is>
          <t>Mexico</t>
        </is>
      </c>
      <c r="H2905" t="n">
        <v>2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>
        <f>IFERROR(INDEX('Company Hitlist'!$AA:$AA,MATCH(D2905,'Company Hitlist'!$A:$A,0)),)</f>
        <v/>
      </c>
      <c r="O2905">
        <f>IFERROR(INDEX('Company Hitlist'!$N:$N,MATCH(D2905,'Company Hitlist'!$A:$A,0)),)</f>
        <v/>
      </c>
      <c r="Q2905" t="inlineStr">
        <is>
          <t>todo</t>
        </is>
      </c>
    </row>
    <row r="2906">
      <c r="A2906" t="inlineStr">
        <is>
          <t>Ximena Mendoza</t>
        </is>
      </c>
      <c r="B2906" t="inlineStr">
        <is>
          <t>Sponsor</t>
        </is>
      </c>
      <c r="C2906" t="inlineStr">
        <is>
          <t>Content Coordinator</t>
        </is>
      </c>
      <c r="D2906" t="inlineStr">
        <is>
          <t>C12 Community</t>
        </is>
      </c>
      <c r="H2906" t="n">
        <v>2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>
        <f>IFERROR(INDEX('Company Hitlist'!$AA:$AA,MATCH(D2906,'Company Hitlist'!$A:$A,0)),)</f>
        <v/>
      </c>
      <c r="O2906">
        <f>IFERROR(INDEX('Company Hitlist'!$N:$N,MATCH(D2906,'Company Hitlist'!$A:$A,0)),)</f>
        <v/>
      </c>
      <c r="Q2906" t="inlineStr">
        <is>
          <t>todo</t>
        </is>
      </c>
    </row>
    <row r="2907">
      <c r="A2907" t="inlineStr">
        <is>
          <t>Benjamin Pearce</t>
        </is>
      </c>
      <c r="B2907" t="inlineStr">
        <is>
          <t>Sponsor</t>
        </is>
      </c>
      <c r="C2907" t="inlineStr">
        <is>
          <t>Account Director</t>
        </is>
      </c>
      <c r="D2907" t="inlineStr">
        <is>
          <t>CACI</t>
        </is>
      </c>
      <c r="E2907" t="inlineStr">
        <is>
          <t>United Kingdom</t>
        </is>
      </c>
      <c r="H2907" t="n">
        <v>2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>
        <f>IFERROR(INDEX('Company Hitlist'!$AA:$AA,MATCH(D2907,'Company Hitlist'!$A:$A,0)),)</f>
        <v/>
      </c>
      <c r="O2907">
        <f>IFERROR(INDEX('Company Hitlist'!$N:$N,MATCH(D2907,'Company Hitlist'!$A:$A,0)),)</f>
        <v/>
      </c>
      <c r="Q2907" t="inlineStr">
        <is>
          <t>todo</t>
        </is>
      </c>
    </row>
    <row r="2908">
      <c r="A2908" t="inlineStr">
        <is>
          <t>Dom Saunders</t>
        </is>
      </c>
      <c r="B2908" t="inlineStr">
        <is>
          <t>Sponsor</t>
        </is>
      </c>
      <c r="C2908" t="inlineStr">
        <is>
          <t>Managing Consultant</t>
        </is>
      </c>
      <c r="D2908" t="inlineStr">
        <is>
          <t>CACI</t>
        </is>
      </c>
      <c r="E2908" t="inlineStr">
        <is>
          <t>United Kingdom</t>
        </is>
      </c>
      <c r="H2908" t="n">
        <v>2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>
        <f>IFERROR(INDEX('Company Hitlist'!$AA:$AA,MATCH(D2908,'Company Hitlist'!$A:$A,0)),)</f>
        <v/>
      </c>
      <c r="O2908">
        <f>IFERROR(INDEX('Company Hitlist'!$N:$N,MATCH(D2908,'Company Hitlist'!$A:$A,0)),)</f>
        <v/>
      </c>
      <c r="Q2908" t="inlineStr">
        <is>
          <t>todo</t>
        </is>
      </c>
    </row>
    <row r="2909">
      <c r="A2909" t="inlineStr">
        <is>
          <t>Charlie Saffro</t>
        </is>
      </c>
      <c r="B2909" t="inlineStr">
        <is>
          <t>Sponsor</t>
        </is>
      </c>
      <c r="C2909" t="inlineStr">
        <is>
          <t>Managing Director</t>
        </is>
      </c>
      <c r="D2909" t="inlineStr">
        <is>
          <t>CS Recruiting, A Hirewell Company</t>
        </is>
      </c>
      <c r="E2909" t="inlineStr">
        <is>
          <t>United States</t>
        </is>
      </c>
      <c r="H2909" t="n">
        <v>2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>
        <f>IFERROR(INDEX('Company Hitlist'!$AA:$AA,MATCH(D2909,'Company Hitlist'!$A:$A,0)),)</f>
        <v/>
      </c>
      <c r="O2909">
        <f>IFERROR(INDEX('Company Hitlist'!$N:$N,MATCH(D2909,'Company Hitlist'!$A:$A,0)),)</f>
        <v/>
      </c>
      <c r="Q2909" t="inlineStr">
        <is>
          <t>todo</t>
        </is>
      </c>
    </row>
    <row r="2910">
      <c r="A2910" t="inlineStr">
        <is>
          <t>Alex Zalewski</t>
        </is>
      </c>
      <c r="B2910" t="inlineStr">
        <is>
          <t>Sponsor</t>
        </is>
      </c>
      <c r="C2910" t="inlineStr">
        <is>
          <t>Partner, Technology Practice</t>
        </is>
      </c>
      <c r="D2910" t="inlineStr">
        <is>
          <t>CS Recruiting, a Hirewell Company</t>
        </is>
      </c>
      <c r="H2910" t="n">
        <v>2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>
        <f>IFERROR(INDEX('Company Hitlist'!$AA:$AA,MATCH(D2910,'Company Hitlist'!$A:$A,0)),)</f>
        <v/>
      </c>
      <c r="O2910">
        <f>IFERROR(INDEX('Company Hitlist'!$N:$N,MATCH(D2910,'Company Hitlist'!$A:$A,0)),)</f>
        <v/>
      </c>
      <c r="Q2910" t="inlineStr">
        <is>
          <t>todo</t>
        </is>
      </c>
    </row>
    <row r="2911">
      <c r="A2911" t="inlineStr">
        <is>
          <t>Maeve Gallagher</t>
        </is>
      </c>
      <c r="B2911" t="inlineStr">
        <is>
          <t>Sponsor</t>
        </is>
      </c>
      <c r="C2911" t="inlineStr">
        <is>
          <t>Solutions Consultant</t>
        </is>
      </c>
      <c r="D2911" t="inlineStr">
        <is>
          <t>Canary7</t>
        </is>
      </c>
      <c r="E2911" t="inlineStr">
        <is>
          <t>United Kingdom</t>
        </is>
      </c>
      <c r="H2911" t="n">
        <v>2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>
        <f>IFERROR(INDEX('Company Hitlist'!$AA:$AA,MATCH(D2911,'Company Hitlist'!$A:$A,0)),)</f>
        <v/>
      </c>
      <c r="O2911">
        <f>IFERROR(INDEX('Company Hitlist'!$N:$N,MATCH(D2911,'Company Hitlist'!$A:$A,0)),)</f>
        <v/>
      </c>
      <c r="Q2911" t="inlineStr">
        <is>
          <t>todo</t>
        </is>
      </c>
    </row>
    <row r="2912">
      <c r="A2912" t="inlineStr">
        <is>
          <t>Ruairi Devlin</t>
        </is>
      </c>
      <c r="B2912" t="inlineStr">
        <is>
          <t>Sponsor</t>
        </is>
      </c>
      <c r="C2912" t="inlineStr">
        <is>
          <t>Accounts Executive</t>
        </is>
      </c>
      <c r="D2912" t="inlineStr">
        <is>
          <t>Canary7</t>
        </is>
      </c>
      <c r="H2912" t="n">
        <v>2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>
        <f>IFERROR(INDEX('Company Hitlist'!$AA:$AA,MATCH(D2912,'Company Hitlist'!$A:$A,0)),)</f>
        <v/>
      </c>
      <c r="O2912">
        <f>IFERROR(INDEX('Company Hitlist'!$N:$N,MATCH(D2912,'Company Hitlist'!$A:$A,0)),)</f>
        <v/>
      </c>
      <c r="Q2912" t="inlineStr">
        <is>
          <t>todo</t>
        </is>
      </c>
    </row>
    <row r="2913">
      <c r="A2913" t="inlineStr">
        <is>
          <t>Melanie Thierjung-Laing</t>
        </is>
      </c>
      <c r="B2913" t="inlineStr">
        <is>
          <t>Attendee</t>
        </is>
      </c>
      <c r="C2913" t="inlineStr">
        <is>
          <t>Manager, Parcel Transportation &amp; Customer Success</t>
        </is>
      </c>
      <c r="D2913" t="inlineStr">
        <is>
          <t>Cardinal Health</t>
        </is>
      </c>
      <c r="H2913" t="n">
        <v>2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>
        <f>IFERROR(INDEX('Company Hitlist'!$AA:$AA,MATCH(D2913,'Company Hitlist'!$A:$A,0)),)</f>
        <v/>
      </c>
      <c r="O2913">
        <f>IFERROR(INDEX('Company Hitlist'!$N:$N,MATCH(D2913,'Company Hitlist'!$A:$A,0)),)</f>
        <v/>
      </c>
      <c r="Q2913" t="inlineStr">
        <is>
          <t>todo</t>
        </is>
      </c>
    </row>
    <row r="2914">
      <c r="A2914" t="inlineStr">
        <is>
          <t>Thomas Jiang</t>
        </is>
      </c>
      <c r="B2914" t="inlineStr">
        <is>
          <t>Sponsor</t>
        </is>
      </c>
      <c r="C2914" t="inlineStr">
        <is>
          <t>Co-founder</t>
        </is>
      </c>
      <c r="D2914" t="inlineStr">
        <is>
          <t>Cervo AI, Inc.</t>
        </is>
      </c>
      <c r="E2914" t="inlineStr">
        <is>
          <t>United States</t>
        </is>
      </c>
      <c r="F2914" t="inlineStr">
        <is>
          <t>Yes</t>
        </is>
      </c>
      <c r="H2914" t="n">
        <v>2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>
        <f>IFERROR(INDEX('Company Hitlist'!$AA:$AA,MATCH(D2914,'Company Hitlist'!$A:$A,0)),)</f>
        <v/>
      </c>
      <c r="O2914">
        <f>IFERROR(INDEX('Company Hitlist'!$N:$N,MATCH(D2914,'Company Hitlist'!$A:$A,0)),)</f>
        <v/>
      </c>
      <c r="Q2914" t="inlineStr">
        <is>
          <t>todo</t>
        </is>
      </c>
    </row>
    <row r="2915">
      <c r="A2915" t="inlineStr">
        <is>
          <t>Troy Shen</t>
        </is>
      </c>
      <c r="B2915" t="inlineStr">
        <is>
          <t>Sponsor</t>
        </is>
      </c>
      <c r="C2915" t="inlineStr">
        <is>
          <t>Co-founder</t>
        </is>
      </c>
      <c r="D2915" t="inlineStr">
        <is>
          <t>Cervo AI, Inc.</t>
        </is>
      </c>
      <c r="E2915" t="inlineStr">
        <is>
          <t>United States</t>
        </is>
      </c>
      <c r="F2915" t="inlineStr">
        <is>
          <t>Yes</t>
        </is>
      </c>
      <c r="H2915" t="n">
        <v>2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>
        <f>IFERROR(INDEX('Company Hitlist'!$AA:$AA,MATCH(D2915,'Company Hitlist'!$A:$A,0)),)</f>
        <v/>
      </c>
      <c r="O2915">
        <f>IFERROR(INDEX('Company Hitlist'!$N:$N,MATCH(D2915,'Company Hitlist'!$A:$A,0)),)</f>
        <v/>
      </c>
      <c r="Q2915" t="inlineStr">
        <is>
          <t>todo</t>
        </is>
      </c>
    </row>
    <row r="2916">
      <c r="A2916" t="inlineStr">
        <is>
          <t>Amber Luc</t>
        </is>
      </c>
      <c r="B2916" t="inlineStr">
        <is>
          <t>Sponsor</t>
        </is>
      </c>
      <c r="C2916" t="inlineStr">
        <is>
          <t>National Account Manager</t>
        </is>
      </c>
      <c r="D2916" t="inlineStr">
        <is>
          <t>Chetu Inc.</t>
        </is>
      </c>
      <c r="E2916" t="inlineStr">
        <is>
          <t>United States</t>
        </is>
      </c>
      <c r="H2916" t="n">
        <v>2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>
        <f>IFERROR(INDEX('Company Hitlist'!$AA:$AA,MATCH(D2916,'Company Hitlist'!$A:$A,0)),)</f>
        <v/>
      </c>
      <c r="O2916">
        <f>IFERROR(INDEX('Company Hitlist'!$N:$N,MATCH(D2916,'Company Hitlist'!$A:$A,0)),)</f>
        <v/>
      </c>
      <c r="Q2916" t="inlineStr">
        <is>
          <t>todo</t>
        </is>
      </c>
    </row>
    <row r="2917">
      <c r="A2917" t="inlineStr">
        <is>
          <t>Scott Benson</t>
        </is>
      </c>
      <c r="B2917" t="inlineStr">
        <is>
          <t>Sponsor</t>
        </is>
      </c>
      <c r="C2917" t="inlineStr">
        <is>
          <t>National Account Manager</t>
        </is>
      </c>
      <c r="D2917" t="inlineStr">
        <is>
          <t>Chetu Inc.</t>
        </is>
      </c>
      <c r="E2917" t="inlineStr">
        <is>
          <t>United States</t>
        </is>
      </c>
      <c r="H2917" t="n">
        <v>2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>
        <f>IFERROR(INDEX('Company Hitlist'!$AA:$AA,MATCH(D2917,'Company Hitlist'!$A:$A,0)),)</f>
        <v/>
      </c>
      <c r="O2917">
        <f>IFERROR(INDEX('Company Hitlist'!$N:$N,MATCH(D2917,'Company Hitlist'!$A:$A,0)),)</f>
        <v/>
      </c>
      <c r="Q2917" t="inlineStr">
        <is>
          <t>todo</t>
        </is>
      </c>
    </row>
    <row r="2918">
      <c r="A2918" t="inlineStr">
        <is>
          <t>Bryan Cooper</t>
        </is>
      </c>
      <c r="B2918" t="inlineStr">
        <is>
          <t>Sponsor</t>
        </is>
      </c>
      <c r="C2918" t="inlineStr">
        <is>
          <t>Director Industry Solutions</t>
        </is>
      </c>
      <c r="D2918" t="inlineStr">
        <is>
          <t>Cleo</t>
        </is>
      </c>
      <c r="E2918" t="inlineStr">
        <is>
          <t>United States</t>
        </is>
      </c>
      <c r="F2918" t="inlineStr">
        <is>
          <t>Yes</t>
        </is>
      </c>
      <c r="G2918" t="inlineStr">
        <is>
          <t>$84 million (2025)</t>
        </is>
      </c>
      <c r="H2918" t="n">
        <v>2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>
        <f>IFERROR(INDEX('Company Hitlist'!$AA:$AA,MATCH(D2918,'Company Hitlist'!$A:$A,0)),)</f>
        <v/>
      </c>
      <c r="O2918">
        <f>IFERROR(INDEX('Company Hitlist'!$N:$N,MATCH(D2918,'Company Hitlist'!$A:$A,0)),)</f>
        <v/>
      </c>
      <c r="Q2918" t="inlineStr">
        <is>
          <t>todo</t>
        </is>
      </c>
    </row>
    <row r="2919">
      <c r="A2919" t="inlineStr">
        <is>
          <t>David Bell</t>
        </is>
      </c>
      <c r="B2919" t="inlineStr">
        <is>
          <t>Sponsor</t>
        </is>
      </c>
      <c r="C2919" t="inlineStr">
        <is>
          <t>Founder</t>
        </is>
      </c>
      <c r="D2919" t="inlineStr">
        <is>
          <t>Cloneops.ai</t>
        </is>
      </c>
      <c r="E2919" t="inlineStr">
        <is>
          <t>United States</t>
        </is>
      </c>
      <c r="F2919" t="inlineStr">
        <is>
          <t>Yes</t>
        </is>
      </c>
      <c r="H2919" t="n">
        <v>2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>
        <f>IFERROR(INDEX('Company Hitlist'!$AA:$AA,MATCH(D2919,'Company Hitlist'!$A:$A,0)),)</f>
        <v/>
      </c>
      <c r="O2919">
        <f>IFERROR(INDEX('Company Hitlist'!$N:$N,MATCH(D2919,'Company Hitlist'!$A:$A,0)),)</f>
        <v/>
      </c>
      <c r="Q2919" t="inlineStr">
        <is>
          <t>todo</t>
        </is>
      </c>
    </row>
    <row r="2920">
      <c r="A2920" t="inlineStr">
        <is>
          <t>Sean Donnelly</t>
        </is>
      </c>
      <c r="B2920" t="inlineStr">
        <is>
          <t>Sponsor</t>
        </is>
      </c>
      <c r="C2920" t="inlineStr">
        <is>
          <t>Founding AE</t>
        </is>
      </c>
      <c r="D2920" t="inlineStr">
        <is>
          <t>Cloneops.ai</t>
        </is>
      </c>
      <c r="E2920" t="inlineStr">
        <is>
          <t>United States</t>
        </is>
      </c>
      <c r="F2920" t="inlineStr">
        <is>
          <t>Yes</t>
        </is>
      </c>
      <c r="H2920" t="n">
        <v>2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>
        <f>IFERROR(INDEX('Company Hitlist'!$AA:$AA,MATCH(D2920,'Company Hitlist'!$A:$A,0)),)</f>
        <v/>
      </c>
      <c r="O2920">
        <f>IFERROR(INDEX('Company Hitlist'!$N:$N,MATCH(D2920,'Company Hitlist'!$A:$A,0)),)</f>
        <v/>
      </c>
      <c r="Q2920" t="inlineStr">
        <is>
          <t>todo</t>
        </is>
      </c>
    </row>
    <row r="2921">
      <c r="A2921" t="inlineStr">
        <is>
          <t>Megan Allen</t>
        </is>
      </c>
      <c r="B2921" t="inlineStr">
        <is>
          <t>Sponsor</t>
        </is>
      </c>
      <c r="C2921" t="inlineStr">
        <is>
          <t>Account Exect</t>
        </is>
      </c>
      <c r="D2921" t="inlineStr">
        <is>
          <t>Conduit</t>
        </is>
      </c>
      <c r="E2921" t="inlineStr">
        <is>
          <t>United States</t>
        </is>
      </c>
      <c r="F2921" t="inlineStr">
        <is>
          <t>Yes</t>
        </is>
      </c>
      <c r="G2921" t="inlineStr">
        <is>
          <t>$817M (TTM 2025)</t>
        </is>
      </c>
      <c r="H2921" t="n">
        <v>2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>
        <f>IFERROR(INDEX('Company Hitlist'!$AA:$AA,MATCH(D2921,'Company Hitlist'!$A:$A,0)),)</f>
        <v/>
      </c>
      <c r="O2921">
        <f>IFERROR(INDEX('Company Hitlist'!$N:$N,MATCH(D2921,'Company Hitlist'!$A:$A,0)),)</f>
        <v/>
      </c>
      <c r="Q2921" t="inlineStr">
        <is>
          <t>todo</t>
        </is>
      </c>
    </row>
    <row r="2922">
      <c r="A2922" t="inlineStr">
        <is>
          <t>Brian Mullenbach</t>
        </is>
      </c>
      <c r="B2922" t="inlineStr">
        <is>
          <t>Sponsor</t>
        </is>
      </c>
      <c r="C2922" t="inlineStr">
        <is>
          <t>Strategic Account Specialist</t>
        </is>
      </c>
      <c r="D2922" t="inlineStr">
        <is>
          <t>Connectronics</t>
        </is>
      </c>
      <c r="E2922" t="inlineStr">
        <is>
          <t>United States</t>
        </is>
      </c>
      <c r="H2922" t="n">
        <v>2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>
        <f>IFERROR(INDEX('Company Hitlist'!$AA:$AA,MATCH(D2922,'Company Hitlist'!$A:$A,0)),)</f>
        <v/>
      </c>
      <c r="O2922">
        <f>IFERROR(INDEX('Company Hitlist'!$N:$N,MATCH(D2922,'Company Hitlist'!$A:$A,0)),)</f>
        <v/>
      </c>
      <c r="Q2922" t="inlineStr">
        <is>
          <t>todo</t>
        </is>
      </c>
    </row>
    <row r="2923">
      <c r="A2923" t="inlineStr">
        <is>
          <t>Anagha Ramaswamy</t>
        </is>
      </c>
      <c r="B2923" t="inlineStr">
        <is>
          <t>Sponsor</t>
        </is>
      </c>
      <c r="C2923" t="inlineStr">
        <is>
          <t>Robotics Engineer</t>
        </is>
      </c>
      <c r="D2923" t="inlineStr">
        <is>
          <t>Corvus Robotics</t>
        </is>
      </c>
      <c r="E2923" t="inlineStr">
        <is>
          <t>United States</t>
        </is>
      </c>
      <c r="F2923" t="inlineStr">
        <is>
          <t>Yes</t>
        </is>
      </c>
      <c r="G2923" t="inlineStr">
        <is>
          <t>$5M (2024 est.; projected $6M in 2025)</t>
        </is>
      </c>
      <c r="H2923" t="n">
        <v>2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>
        <f>IFERROR(INDEX('Company Hitlist'!$AA:$AA,MATCH(D2923,'Company Hitlist'!$A:$A,0)),)</f>
        <v/>
      </c>
      <c r="O2923">
        <f>IFERROR(INDEX('Company Hitlist'!$N:$N,MATCH(D2923,'Company Hitlist'!$A:$A,0)),)</f>
        <v/>
      </c>
      <c r="Q2923" t="inlineStr">
        <is>
          <t>todo</t>
        </is>
      </c>
    </row>
    <row r="2924">
      <c r="A2924" t="inlineStr">
        <is>
          <t>Andrea Carando</t>
        </is>
      </c>
      <c r="B2924" t="inlineStr">
        <is>
          <t>Sponsor</t>
        </is>
      </c>
      <c r="C2924" t="inlineStr">
        <is>
          <t>Account Development</t>
        </is>
      </c>
      <c r="D2924" t="inlineStr">
        <is>
          <t>Coupa</t>
        </is>
      </c>
      <c r="F2924" t="inlineStr">
        <is>
          <t>Yes</t>
        </is>
      </c>
      <c r="G2924" t="inlineStr">
        <is>
          <t>$1B (2024 est.; projected $1.1B in 2025)</t>
        </is>
      </c>
      <c r="H2924" t="n">
        <v>2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>
        <f>IFERROR(INDEX('Company Hitlist'!$AA:$AA,MATCH(D2924,'Company Hitlist'!$A:$A,0)),)</f>
        <v/>
      </c>
      <c r="O2924">
        <f>IFERROR(INDEX('Company Hitlist'!$N:$N,MATCH(D2924,'Company Hitlist'!$A:$A,0)),)</f>
        <v/>
      </c>
      <c r="Q2924" t="inlineStr">
        <is>
          <t>todo</t>
        </is>
      </c>
    </row>
    <row r="2925">
      <c r="A2925" t="inlineStr">
        <is>
          <t>Jack Ploucha</t>
        </is>
      </c>
      <c r="B2925" t="inlineStr">
        <is>
          <t>Sponsor</t>
        </is>
      </c>
      <c r="C2925" t="inlineStr">
        <is>
          <t>Account Representative</t>
        </is>
      </c>
      <c r="D2925" t="inlineStr">
        <is>
          <t>Coupa</t>
        </is>
      </c>
      <c r="F2925" t="inlineStr">
        <is>
          <t>Yes</t>
        </is>
      </c>
      <c r="G2925" t="inlineStr">
        <is>
          <t>$1B (2024 est.; projected $1.1B in 2025)</t>
        </is>
      </c>
      <c r="H2925" t="n">
        <v>2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>
        <f>IFERROR(INDEX('Company Hitlist'!$AA:$AA,MATCH(D2925,'Company Hitlist'!$A:$A,0)),)</f>
        <v/>
      </c>
      <c r="O2925">
        <f>IFERROR(INDEX('Company Hitlist'!$N:$N,MATCH(D2925,'Company Hitlist'!$A:$A,0)),)</f>
        <v/>
      </c>
      <c r="Q2925" t="inlineStr">
        <is>
          <t>todo</t>
        </is>
      </c>
    </row>
    <row r="2926">
      <c r="A2926" t="inlineStr">
        <is>
          <t>Jacob Richards</t>
        </is>
      </c>
      <c r="B2926" t="inlineStr">
        <is>
          <t>Sponsor</t>
        </is>
      </c>
      <c r="C2926" t="inlineStr">
        <is>
          <t>Account Development Rep</t>
        </is>
      </c>
      <c r="D2926" t="inlineStr">
        <is>
          <t>Coupa</t>
        </is>
      </c>
      <c r="F2926" t="inlineStr">
        <is>
          <t>Yes</t>
        </is>
      </c>
      <c r="G2926" t="inlineStr">
        <is>
          <t>$1B (2024 est.; projected $1.1B in 2025)</t>
        </is>
      </c>
      <c r="H2926" t="n">
        <v>2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>
        <f>IFERROR(INDEX('Company Hitlist'!$AA:$AA,MATCH(D2926,'Company Hitlist'!$A:$A,0)),)</f>
        <v/>
      </c>
      <c r="O2926">
        <f>IFERROR(INDEX('Company Hitlist'!$N:$N,MATCH(D2926,'Company Hitlist'!$A:$A,0)),)</f>
        <v/>
      </c>
      <c r="Q2926" t="inlineStr">
        <is>
          <t>todo</t>
        </is>
      </c>
    </row>
    <row r="2927">
      <c r="A2927" t="inlineStr">
        <is>
          <t>Jake Hobbs</t>
        </is>
      </c>
      <c r="B2927" t="inlineStr">
        <is>
          <t>Sponsor</t>
        </is>
      </c>
      <c r="C2927" t="inlineStr">
        <is>
          <t>Enterprise Account Manager</t>
        </is>
      </c>
      <c r="D2927" t="inlineStr">
        <is>
          <t>Cubiscan</t>
        </is>
      </c>
      <c r="E2927" t="inlineStr">
        <is>
          <t>United States</t>
        </is>
      </c>
      <c r="H2927" t="n">
        <v>2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>
        <f>IFERROR(INDEX('Company Hitlist'!$AA:$AA,MATCH(D2927,'Company Hitlist'!$A:$A,0)),)</f>
        <v/>
      </c>
      <c r="O2927">
        <f>IFERROR(INDEX('Company Hitlist'!$N:$N,MATCH(D2927,'Company Hitlist'!$A:$A,0)),)</f>
        <v/>
      </c>
      <c r="Q2927" t="inlineStr">
        <is>
          <t>todo</t>
        </is>
      </c>
    </row>
    <row r="2928">
      <c r="A2928" t="inlineStr">
        <is>
          <t>Paola Mendoza</t>
        </is>
      </c>
      <c r="B2928" t="inlineStr">
        <is>
          <t>Sponsor</t>
        </is>
      </c>
      <c r="C2928" t="inlineStr">
        <is>
          <t>Support Team Manager</t>
        </is>
      </c>
      <c r="D2928" t="inlineStr">
        <is>
          <t>CustomsCity</t>
        </is>
      </c>
      <c r="H2928" t="n">
        <v>2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>
        <f>IFERROR(INDEX('Company Hitlist'!$AA:$AA,MATCH(D2928,'Company Hitlist'!$A:$A,0)),)</f>
        <v/>
      </c>
      <c r="O2928">
        <f>IFERROR(INDEX('Company Hitlist'!$N:$N,MATCH(D2928,'Company Hitlist'!$A:$A,0)),)</f>
        <v/>
      </c>
      <c r="Q2928" t="inlineStr">
        <is>
          <t>todo</t>
        </is>
      </c>
    </row>
    <row r="2929">
      <c r="A2929" t="inlineStr">
        <is>
          <t>Layla Levine</t>
        </is>
      </c>
      <c r="B2929" t="inlineStr">
        <is>
          <t>Sponsor</t>
        </is>
      </c>
      <c r="C2929" t="inlineStr">
        <is>
          <t>Key Account Director</t>
        </is>
      </c>
      <c r="D2929" t="inlineStr">
        <is>
          <t>Cycle Labs</t>
        </is>
      </c>
      <c r="E2929" t="inlineStr">
        <is>
          <t>United States</t>
        </is>
      </c>
      <c r="F2929" t="inlineStr">
        <is>
          <t>Yes</t>
        </is>
      </c>
      <c r="H2929" t="n">
        <v>2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>
        <f>IFERROR(INDEX('Company Hitlist'!$AA:$AA,MATCH(D2929,'Company Hitlist'!$A:$A,0)),)</f>
        <v/>
      </c>
      <c r="O2929">
        <f>IFERROR(INDEX('Company Hitlist'!$N:$N,MATCH(D2929,'Company Hitlist'!$A:$A,0)),)</f>
        <v/>
      </c>
      <c r="Q2929" t="inlineStr">
        <is>
          <t>todo</t>
        </is>
      </c>
    </row>
    <row r="2930">
      <c r="A2930" t="inlineStr">
        <is>
          <t>Michael Morin</t>
        </is>
      </c>
      <c r="B2930" t="inlineStr">
        <is>
          <t>Sponsor</t>
        </is>
      </c>
      <c r="C2930" t="inlineStr">
        <is>
          <t>Key Account Director</t>
        </is>
      </c>
      <c r="D2930" t="inlineStr">
        <is>
          <t>Cycle Labs</t>
        </is>
      </c>
      <c r="E2930" t="inlineStr">
        <is>
          <t>United States</t>
        </is>
      </c>
      <c r="F2930" t="inlineStr">
        <is>
          <t>Yes</t>
        </is>
      </c>
      <c r="H2930" t="n">
        <v>2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>
        <f>IFERROR(INDEX('Company Hitlist'!$AA:$AA,MATCH(D2930,'Company Hitlist'!$A:$A,0)),)</f>
        <v/>
      </c>
      <c r="O2930">
        <f>IFERROR(INDEX('Company Hitlist'!$N:$N,MATCH(D2930,'Company Hitlist'!$A:$A,0)),)</f>
        <v/>
      </c>
      <c r="Q2930" t="inlineStr">
        <is>
          <t>todo</t>
        </is>
      </c>
    </row>
    <row r="2931">
      <c r="A2931" t="inlineStr">
        <is>
          <t>Rick Kimball</t>
        </is>
      </c>
      <c r="B2931" t="inlineStr">
        <is>
          <t>Sponsor</t>
        </is>
      </c>
      <c r="C2931" t="inlineStr">
        <is>
          <t>Key Account Director</t>
        </is>
      </c>
      <c r="D2931" t="inlineStr">
        <is>
          <t>Cycle Labs</t>
        </is>
      </c>
      <c r="E2931" t="inlineStr">
        <is>
          <t>United States</t>
        </is>
      </c>
      <c r="F2931" t="inlineStr">
        <is>
          <t>Yes</t>
        </is>
      </c>
      <c r="H2931" t="n">
        <v>2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>
        <f>IFERROR(INDEX('Company Hitlist'!$AA:$AA,MATCH(D2931,'Company Hitlist'!$A:$A,0)),)</f>
        <v/>
      </c>
      <c r="O2931">
        <f>IFERROR(INDEX('Company Hitlist'!$N:$N,MATCH(D2931,'Company Hitlist'!$A:$A,0)),)</f>
        <v/>
      </c>
      <c r="Q2931" t="inlineStr">
        <is>
          <t>todo</t>
        </is>
      </c>
    </row>
    <row r="2932">
      <c r="A2932" t="inlineStr">
        <is>
          <t>Chris Goldsholl</t>
        </is>
      </c>
      <c r="B2932" t="inlineStr">
        <is>
          <t>Sponsor</t>
        </is>
      </c>
      <c r="C2932" t="inlineStr">
        <is>
          <t>Media Consultant</t>
        </is>
      </c>
      <c r="D2932" t="inlineStr">
        <is>
          <t>DC Velocity</t>
        </is>
      </c>
      <c r="H2932" t="n">
        <v>2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>
        <f>IFERROR(INDEX('Company Hitlist'!$AA:$AA,MATCH(D2932,'Company Hitlist'!$A:$A,0)),)</f>
        <v/>
      </c>
      <c r="O2932">
        <f>IFERROR(INDEX('Company Hitlist'!$N:$N,MATCH(D2932,'Company Hitlist'!$A:$A,0)),)</f>
        <v/>
      </c>
      <c r="Q2932" t="inlineStr">
        <is>
          <t>todo</t>
        </is>
      </c>
    </row>
    <row r="2933">
      <c r="A2933" t="inlineStr">
        <is>
          <t>Patricia Wolf</t>
        </is>
      </c>
      <c r="B2933" t="inlineStr">
        <is>
          <t>Sponsor</t>
        </is>
      </c>
      <c r="C2933" t="inlineStr">
        <is>
          <t>Media Consultant</t>
        </is>
      </c>
      <c r="D2933" t="inlineStr">
        <is>
          <t>DC Velocity</t>
        </is>
      </c>
      <c r="H2933" t="n">
        <v>2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>
        <f>IFERROR(INDEX('Company Hitlist'!$AA:$AA,MATCH(D2933,'Company Hitlist'!$A:$A,0)),)</f>
        <v/>
      </c>
      <c r="O2933">
        <f>IFERROR(INDEX('Company Hitlist'!$N:$N,MATCH(D2933,'Company Hitlist'!$A:$A,0)),)</f>
        <v/>
      </c>
      <c r="Q2933" t="inlineStr">
        <is>
          <t>todo</t>
        </is>
      </c>
    </row>
    <row r="2934">
      <c r="A2934" t="inlineStr">
        <is>
          <t>Kendall Ohmes</t>
        </is>
      </c>
      <c r="B2934" t="inlineStr">
        <is>
          <t>Sponsor</t>
        </is>
      </c>
      <c r="C2934" t="inlineStr">
        <is>
          <t>Commercial Project Analyst</t>
        </is>
      </c>
      <c r="D2934" t="inlineStr">
        <is>
          <t>DCLI</t>
        </is>
      </c>
      <c r="E2934" t="inlineStr">
        <is>
          <t>United States</t>
        </is>
      </c>
      <c r="F2934" t="inlineStr">
        <is>
          <t>Yes</t>
        </is>
      </c>
      <c r="G2934" t="inlineStr">
        <is>
          <t>$28B (2024)</t>
        </is>
      </c>
      <c r="H2934" t="n">
        <v>2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>
        <f>IFERROR(INDEX('Company Hitlist'!$AA:$AA,MATCH(D2934,'Company Hitlist'!$A:$A,0)),)</f>
        <v/>
      </c>
      <c r="O2934">
        <f>IFERROR(INDEX('Company Hitlist'!$N:$N,MATCH(D2934,'Company Hitlist'!$A:$A,0)),)</f>
        <v/>
      </c>
      <c r="Q2934" t="inlineStr">
        <is>
          <t>todo</t>
        </is>
      </c>
    </row>
    <row r="2935">
      <c r="A2935" t="inlineStr">
        <is>
          <t>Alex Martino</t>
        </is>
      </c>
      <c r="B2935" t="inlineStr">
        <is>
          <t>Sponsor</t>
        </is>
      </c>
      <c r="C2935" t="inlineStr">
        <is>
          <t>National Account Manager</t>
        </is>
      </c>
      <c r="D2935" t="inlineStr">
        <is>
          <t>DCLI</t>
        </is>
      </c>
      <c r="E2935" t="inlineStr">
        <is>
          <t>United States</t>
        </is>
      </c>
      <c r="H2935" t="n">
        <v>2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>
        <f>IFERROR(INDEX('Company Hitlist'!$AA:$AA,MATCH(D2935,'Company Hitlist'!$A:$A,0)),)</f>
        <v/>
      </c>
      <c r="O2935">
        <f>IFERROR(INDEX('Company Hitlist'!$N:$N,MATCH(D2935,'Company Hitlist'!$A:$A,0)),)</f>
        <v/>
      </c>
      <c r="Q2935" t="inlineStr">
        <is>
          <t>todo</t>
        </is>
      </c>
    </row>
    <row r="2936">
      <c r="A2936" t="inlineStr">
        <is>
          <t>Romy Kirchhoff</t>
        </is>
      </c>
      <c r="B2936" t="inlineStr">
        <is>
          <t>Sponsor</t>
        </is>
      </c>
      <c r="C2936" t="inlineStr">
        <is>
          <t>National Account Manager</t>
        </is>
      </c>
      <c r="D2936" t="inlineStr">
        <is>
          <t>DCLI</t>
        </is>
      </c>
      <c r="E2936" t="inlineStr">
        <is>
          <t>United States</t>
        </is>
      </c>
      <c r="H2936" t="n">
        <v>2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>
        <f>IFERROR(INDEX('Company Hitlist'!$AA:$AA,MATCH(D2936,'Company Hitlist'!$A:$A,0)),)</f>
        <v/>
      </c>
      <c r="O2936">
        <f>IFERROR(INDEX('Company Hitlist'!$N:$N,MATCH(D2936,'Company Hitlist'!$A:$A,0)),)</f>
        <v/>
      </c>
      <c r="Q2936" t="inlineStr">
        <is>
          <t>todo</t>
        </is>
      </c>
    </row>
    <row r="2937">
      <c r="A2937" t="inlineStr">
        <is>
          <t>Edoardo Ughetto</t>
        </is>
      </c>
      <c r="B2937" t="inlineStr">
        <is>
          <t>Sponsor</t>
        </is>
      </c>
      <c r="C2937" t="inlineStr">
        <is>
          <t>Assignment Manager</t>
        </is>
      </c>
      <c r="D2937" t="inlineStr">
        <is>
          <t>DHL Consulting</t>
        </is>
      </c>
      <c r="E2937" t="inlineStr">
        <is>
          <t>United States</t>
        </is>
      </c>
      <c r="H2937" t="n">
        <v>2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>
        <f>IFERROR(INDEX('Company Hitlist'!$AA:$AA,MATCH(D2937,'Company Hitlist'!$A:$A,0)),)</f>
        <v/>
      </c>
      <c r="O2937">
        <f>IFERROR(INDEX('Company Hitlist'!$N:$N,MATCH(D2937,'Company Hitlist'!$A:$A,0)),)</f>
        <v/>
      </c>
      <c r="Q2937" t="inlineStr">
        <is>
          <t>todo</t>
        </is>
      </c>
    </row>
    <row r="2938">
      <c r="A2938" t="inlineStr">
        <is>
          <t>Erica Donahue</t>
        </is>
      </c>
      <c r="B2938" t="inlineStr">
        <is>
          <t>Sponsor</t>
        </is>
      </c>
      <c r="C2938" t="inlineStr">
        <is>
          <t>Director of Customer Experience</t>
        </is>
      </c>
      <c r="D2938" t="inlineStr">
        <is>
          <t>DHL Supply Chain</t>
        </is>
      </c>
      <c r="E2938" t="inlineStr">
        <is>
          <t>United States</t>
        </is>
      </c>
      <c r="F2938" t="inlineStr">
        <is>
          <t>Yes</t>
        </is>
      </c>
      <c r="G2938" t="inlineStr">
        <is>
          <t>$80B (2024; projected $82B in 2025)</t>
        </is>
      </c>
      <c r="H2938" t="n">
        <v>2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>
        <f>IFERROR(INDEX('Company Hitlist'!$AA:$AA,MATCH(D2938,'Company Hitlist'!$A:$A,0)),)</f>
        <v/>
      </c>
      <c r="O2938">
        <f>IFERROR(INDEX('Company Hitlist'!$N:$N,MATCH(D2938,'Company Hitlist'!$A:$A,0)),)</f>
        <v/>
      </c>
      <c r="Q2938" t="inlineStr">
        <is>
          <t>todo</t>
        </is>
      </c>
    </row>
    <row r="2939">
      <c r="A2939" t="inlineStr">
        <is>
          <t>Nick Linn</t>
        </is>
      </c>
      <c r="B2939" t="inlineStr">
        <is>
          <t>Sponsor</t>
        </is>
      </c>
      <c r="C2939" t="inlineStr">
        <is>
          <t>Senior Director, Accelerated Digitalization and Innovation</t>
        </is>
      </c>
      <c r="D2939" t="inlineStr">
        <is>
          <t>DHL Supply Chain</t>
        </is>
      </c>
      <c r="E2939" t="inlineStr">
        <is>
          <t>United States</t>
        </is>
      </c>
      <c r="F2939" t="inlineStr">
        <is>
          <t>Yes</t>
        </is>
      </c>
      <c r="G2939" t="inlineStr">
        <is>
          <t>$80B (2024; projected $82B in 2025)</t>
        </is>
      </c>
      <c r="H2939" t="n">
        <v>2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>
        <f>IFERROR(INDEX('Company Hitlist'!$AA:$AA,MATCH(D2939,'Company Hitlist'!$A:$A,0)),)</f>
        <v/>
      </c>
      <c r="O2939">
        <f>IFERROR(INDEX('Company Hitlist'!$N:$N,MATCH(D2939,'Company Hitlist'!$A:$A,0)),)</f>
        <v/>
      </c>
      <c r="Q2939" t="inlineStr">
        <is>
          <t>todo</t>
        </is>
      </c>
    </row>
    <row r="2940">
      <c r="A2940" t="inlineStr">
        <is>
          <t>Austin Hawley</t>
        </is>
      </c>
      <c r="B2940" t="inlineStr">
        <is>
          <t>Sponsor</t>
        </is>
      </c>
      <c r="C2940" t="inlineStr">
        <is>
          <t>Director of Strategy &amp; Product Development</t>
        </is>
      </c>
      <c r="D2940" t="inlineStr">
        <is>
          <t>DHL Supply Chain</t>
        </is>
      </c>
      <c r="F2940" t="inlineStr">
        <is>
          <t>Yes</t>
        </is>
      </c>
      <c r="G2940" t="inlineStr">
        <is>
          <t>$80B (2024; projected $82B in 2025)</t>
        </is>
      </c>
      <c r="H2940" t="n">
        <v>2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>
        <f>IFERROR(INDEX('Company Hitlist'!$AA:$AA,MATCH(D2940,'Company Hitlist'!$A:$A,0)),)</f>
        <v/>
      </c>
      <c r="O2940">
        <f>IFERROR(INDEX('Company Hitlist'!$N:$N,MATCH(D2940,'Company Hitlist'!$A:$A,0)),)</f>
        <v/>
      </c>
      <c r="Q2940" t="inlineStr">
        <is>
          <t>todo</t>
        </is>
      </c>
    </row>
    <row r="2941">
      <c r="A2941" t="inlineStr">
        <is>
          <t>Brian Nevers</t>
        </is>
      </c>
      <c r="B2941" t="inlineStr">
        <is>
          <t>Sponsor</t>
        </is>
      </c>
      <c r="C2941" t="inlineStr">
        <is>
          <t>Director Infrastructure and Service Management</t>
        </is>
      </c>
      <c r="D2941" t="inlineStr">
        <is>
          <t>DHL Supply Chain</t>
        </is>
      </c>
      <c r="F2941" t="inlineStr">
        <is>
          <t>Yes</t>
        </is>
      </c>
      <c r="G2941" t="inlineStr">
        <is>
          <t>$80B (2024; projected $82B in 2025)</t>
        </is>
      </c>
      <c r="H2941" t="n">
        <v>2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>
        <f>IFERROR(INDEX('Company Hitlist'!$AA:$AA,MATCH(D2941,'Company Hitlist'!$A:$A,0)),)</f>
        <v/>
      </c>
      <c r="O2941">
        <f>IFERROR(INDEX('Company Hitlist'!$N:$N,MATCH(D2941,'Company Hitlist'!$A:$A,0)),)</f>
        <v/>
      </c>
      <c r="Q2941" t="inlineStr">
        <is>
          <t>todo</t>
        </is>
      </c>
    </row>
    <row r="2942">
      <c r="A2942" t="inlineStr">
        <is>
          <t>Eric Burke</t>
        </is>
      </c>
      <c r="B2942" t="inlineStr">
        <is>
          <t>Sponsor</t>
        </is>
      </c>
      <c r="C2942" t="inlineStr">
        <is>
          <t>Global Customer Development Director</t>
        </is>
      </c>
      <c r="D2942" t="inlineStr">
        <is>
          <t>DHL Supply Chain</t>
        </is>
      </c>
      <c r="F2942" t="inlineStr">
        <is>
          <t>Yes</t>
        </is>
      </c>
      <c r="G2942" t="inlineStr">
        <is>
          <t>$80B (2024; projected $82B in 2025)</t>
        </is>
      </c>
      <c r="H2942" t="n">
        <v>2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>
        <f>IFERROR(INDEX('Company Hitlist'!$AA:$AA,MATCH(D2942,'Company Hitlist'!$A:$A,0)),)</f>
        <v/>
      </c>
      <c r="O2942">
        <f>IFERROR(INDEX('Company Hitlist'!$N:$N,MATCH(D2942,'Company Hitlist'!$A:$A,0)),)</f>
        <v/>
      </c>
      <c r="Q2942" t="inlineStr">
        <is>
          <t>todo</t>
        </is>
      </c>
    </row>
    <row r="2943">
      <c r="A2943" t="inlineStr">
        <is>
          <t>Juan Sergio Matabuena</t>
        </is>
      </c>
      <c r="B2943" t="inlineStr">
        <is>
          <t>Sponsor</t>
        </is>
      </c>
      <c r="C2943" t="inlineStr">
        <is>
          <t>Strategic Market Intelligence Analyst</t>
        </is>
      </c>
      <c r="D2943" t="inlineStr">
        <is>
          <t>DHL Supply Chain</t>
        </is>
      </c>
      <c r="F2943" t="inlineStr">
        <is>
          <t>Yes</t>
        </is>
      </c>
      <c r="G2943" t="inlineStr">
        <is>
          <t>$80B (2024; projected $82B in 2025)</t>
        </is>
      </c>
      <c r="H2943" t="n">
        <v>2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>
        <f>IFERROR(INDEX('Company Hitlist'!$AA:$AA,MATCH(D2943,'Company Hitlist'!$A:$A,0)),)</f>
        <v/>
      </c>
      <c r="O2943">
        <f>IFERROR(INDEX('Company Hitlist'!$N:$N,MATCH(D2943,'Company Hitlist'!$A:$A,0)),)</f>
        <v/>
      </c>
      <c r="Q2943" t="inlineStr">
        <is>
          <t>todo</t>
        </is>
      </c>
    </row>
    <row r="2944">
      <c r="A2944" t="inlineStr">
        <is>
          <t>Mahesh Sahasranaman</t>
        </is>
      </c>
      <c r="B2944" t="inlineStr">
        <is>
          <t>Sponsor</t>
        </is>
      </c>
      <c r="C2944" t="inlineStr">
        <is>
          <t>Sr. Director, IT</t>
        </is>
      </c>
      <c r="D2944" t="inlineStr">
        <is>
          <t>DHL Supply Chain</t>
        </is>
      </c>
      <c r="F2944" t="inlineStr">
        <is>
          <t>Yes</t>
        </is>
      </c>
      <c r="G2944" t="inlineStr">
        <is>
          <t>$80B (2024; projected $82B in 2025)</t>
        </is>
      </c>
      <c r="H2944" t="n">
        <v>2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>
        <f>IFERROR(INDEX('Company Hitlist'!$AA:$AA,MATCH(D2944,'Company Hitlist'!$A:$A,0)),)</f>
        <v/>
      </c>
      <c r="O2944">
        <f>IFERROR(INDEX('Company Hitlist'!$N:$N,MATCH(D2944,'Company Hitlist'!$A:$A,0)),)</f>
        <v/>
      </c>
      <c r="Q2944" t="inlineStr">
        <is>
          <t>todo</t>
        </is>
      </c>
    </row>
    <row r="2945">
      <c r="A2945" t="inlineStr">
        <is>
          <t>Matthew Do</t>
        </is>
      </c>
      <c r="B2945" t="inlineStr">
        <is>
          <t>Sponsor</t>
        </is>
      </c>
      <c r="C2945" t="inlineStr">
        <is>
          <t>Director of Ecommerce Engineering</t>
        </is>
      </c>
      <c r="D2945" t="inlineStr">
        <is>
          <t>DHL Supply Chain</t>
        </is>
      </c>
      <c r="F2945" t="inlineStr">
        <is>
          <t>Yes</t>
        </is>
      </c>
      <c r="G2945" t="inlineStr">
        <is>
          <t>$80B (2024; projected $82B in 2025)</t>
        </is>
      </c>
      <c r="H2945" t="n">
        <v>2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>
        <f>IFERROR(INDEX('Company Hitlist'!$AA:$AA,MATCH(D2945,'Company Hitlist'!$A:$A,0)),)</f>
        <v/>
      </c>
      <c r="O2945">
        <f>IFERROR(INDEX('Company Hitlist'!$N:$N,MATCH(D2945,'Company Hitlist'!$A:$A,0)),)</f>
        <v/>
      </c>
      <c r="Q2945" t="inlineStr">
        <is>
          <t>todo</t>
        </is>
      </c>
    </row>
    <row r="2946">
      <c r="A2946" t="inlineStr">
        <is>
          <t>Stephen Lambert, Jr.</t>
        </is>
      </c>
      <c r="B2946" t="inlineStr">
        <is>
          <t>Sponsor</t>
        </is>
      </c>
      <c r="C2946" t="inlineStr">
        <is>
          <t>Director of IT</t>
        </is>
      </c>
      <c r="D2946" t="inlineStr">
        <is>
          <t>DHL Supply Chain</t>
        </is>
      </c>
      <c r="F2946" t="inlineStr">
        <is>
          <t>Yes</t>
        </is>
      </c>
      <c r="G2946" t="inlineStr">
        <is>
          <t>$80B (2024; projected $82B in 2025)</t>
        </is>
      </c>
      <c r="H2946" t="n">
        <v>2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>
        <f>IFERROR(INDEX('Company Hitlist'!$AA:$AA,MATCH(D2946,'Company Hitlist'!$A:$A,0)),)</f>
        <v/>
      </c>
      <c r="O2946">
        <f>IFERROR(INDEX('Company Hitlist'!$N:$N,MATCH(D2946,'Company Hitlist'!$A:$A,0)),)</f>
        <v/>
      </c>
      <c r="Q2946" t="inlineStr">
        <is>
          <t>todo</t>
        </is>
      </c>
    </row>
    <row r="2947">
      <c r="A2947" t="inlineStr">
        <is>
          <t>Jake Walker</t>
        </is>
      </c>
      <c r="B2947" t="inlineStr">
        <is>
          <t>Sponsor</t>
        </is>
      </c>
      <c r="C2947" t="inlineStr">
        <is>
          <t>Program Manager, Innovation</t>
        </is>
      </c>
      <c r="D2947" t="inlineStr">
        <is>
          <t>DHL Supply Chain</t>
        </is>
      </c>
      <c r="H2947" t="n">
        <v>2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>
        <f>IFERROR(INDEX('Company Hitlist'!$AA:$AA,MATCH(D2947,'Company Hitlist'!$A:$A,0)),)</f>
        <v/>
      </c>
      <c r="O2947">
        <f>IFERROR(INDEX('Company Hitlist'!$N:$N,MATCH(D2947,'Company Hitlist'!$A:$A,0)),)</f>
        <v/>
      </c>
      <c r="Q2947" t="inlineStr">
        <is>
          <t>todo</t>
        </is>
      </c>
    </row>
    <row r="2948">
      <c r="A2948" t="inlineStr">
        <is>
          <t>Marcia McLaughlin</t>
        </is>
      </c>
      <c r="B2948" t="inlineStr">
        <is>
          <t>Sponsor</t>
        </is>
      </c>
      <c r="C2948" t="inlineStr">
        <is>
          <t>External Communications Manager</t>
        </is>
      </c>
      <c r="D2948" t="inlineStr">
        <is>
          <t>DHL Supply Chain</t>
        </is>
      </c>
      <c r="H2948" t="n">
        <v>2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>
        <f>IFERROR(INDEX('Company Hitlist'!$AA:$AA,MATCH(D2948,'Company Hitlist'!$A:$A,0)),)</f>
        <v/>
      </c>
      <c r="O2948">
        <f>IFERROR(INDEX('Company Hitlist'!$N:$N,MATCH(D2948,'Company Hitlist'!$A:$A,0)),)</f>
        <v/>
      </c>
      <c r="Q2948" t="inlineStr">
        <is>
          <t>todo</t>
        </is>
      </c>
    </row>
    <row r="2949">
      <c r="A2949" t="inlineStr">
        <is>
          <t>Leslie Hefter</t>
        </is>
      </c>
      <c r="B2949" t="inlineStr">
        <is>
          <t>Sponsor</t>
        </is>
      </c>
      <c r="C2949" t="inlineStr">
        <is>
          <t>Senior Director, Global Channel Development</t>
        </is>
      </c>
      <c r="D2949" t="inlineStr">
        <is>
          <t>DHL eCommerce</t>
        </is>
      </c>
      <c r="E2949" t="inlineStr">
        <is>
          <t>United States</t>
        </is>
      </c>
      <c r="F2949" t="inlineStr">
        <is>
          <t>Yes</t>
        </is>
      </c>
      <c r="H2949" t="n">
        <v>2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>
        <f>IFERROR(INDEX('Company Hitlist'!$AA:$AA,MATCH(D2949,'Company Hitlist'!$A:$A,0)),)</f>
        <v/>
      </c>
      <c r="O2949">
        <f>IFERROR(INDEX('Company Hitlist'!$N:$N,MATCH(D2949,'Company Hitlist'!$A:$A,0)),)</f>
        <v/>
      </c>
      <c r="Q2949" t="inlineStr">
        <is>
          <t>todo</t>
        </is>
      </c>
    </row>
    <row r="2950">
      <c r="A2950" t="inlineStr">
        <is>
          <t>Shamal Shetty</t>
        </is>
      </c>
      <c r="B2950" t="inlineStr">
        <is>
          <t>Sponsor</t>
        </is>
      </c>
      <c r="C2950" t="inlineStr">
        <is>
          <t>Group Director - Business Engagement Platform</t>
        </is>
      </c>
      <c r="D2950" t="inlineStr">
        <is>
          <t>DP World</t>
        </is>
      </c>
      <c r="F2950" t="inlineStr">
        <is>
          <t>Yes</t>
        </is>
      </c>
      <c r="H2950" t="n">
        <v>2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>
        <f>IFERROR(INDEX('Company Hitlist'!$AA:$AA,MATCH(D2950,'Company Hitlist'!$A:$A,0)),)</f>
        <v/>
      </c>
      <c r="O2950">
        <f>IFERROR(INDEX('Company Hitlist'!$N:$N,MATCH(D2950,'Company Hitlist'!$A:$A,0)),)</f>
        <v/>
      </c>
      <c r="Q2950" t="inlineStr">
        <is>
          <t>todo</t>
        </is>
      </c>
    </row>
    <row r="2951">
      <c r="A2951" t="inlineStr">
        <is>
          <t>Tyler Wright</t>
        </is>
      </c>
      <c r="B2951" t="inlineStr">
        <is>
          <t>Sponsor</t>
        </is>
      </c>
      <c r="C2951" t="inlineStr">
        <is>
          <t>Solutions Engineer</t>
        </is>
      </c>
      <c r="D2951" t="inlineStr">
        <is>
          <t>Da Vinci</t>
        </is>
      </c>
      <c r="E2951" t="inlineStr">
        <is>
          <t>United States</t>
        </is>
      </c>
      <c r="H2951" t="n">
        <v>2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>
        <f>IFERROR(INDEX('Company Hitlist'!$AA:$AA,MATCH(D2951,'Company Hitlist'!$A:$A,0)),)</f>
        <v/>
      </c>
      <c r="O2951">
        <f>IFERROR(INDEX('Company Hitlist'!$N:$N,MATCH(D2951,'Company Hitlist'!$A:$A,0)),)</f>
        <v/>
      </c>
      <c r="Q2951" t="inlineStr">
        <is>
          <t>todo</t>
        </is>
      </c>
    </row>
    <row r="2952">
      <c r="A2952" t="inlineStr">
        <is>
          <t>McCord Frampton</t>
        </is>
      </c>
      <c r="B2952" t="inlineStr">
        <is>
          <t>Sponsor</t>
        </is>
      </c>
      <c r="C2952" t="inlineStr">
        <is>
          <t>Solutions Consultant</t>
        </is>
      </c>
      <c r="D2952" t="inlineStr">
        <is>
          <t>Datex</t>
        </is>
      </c>
      <c r="F2952" t="inlineStr">
        <is>
          <t>Yes</t>
        </is>
      </c>
      <c r="H2952" t="n">
        <v>2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>
        <f>IFERROR(INDEX('Company Hitlist'!$AA:$AA,MATCH(D2952,'Company Hitlist'!$A:$A,0)),)</f>
        <v/>
      </c>
      <c r="O2952">
        <f>IFERROR(INDEX('Company Hitlist'!$N:$N,MATCH(D2952,'Company Hitlist'!$A:$A,0)),)</f>
        <v/>
      </c>
      <c r="Q2952" t="inlineStr">
        <is>
          <t>todo</t>
        </is>
      </c>
    </row>
    <row r="2953">
      <c r="A2953" t="inlineStr">
        <is>
          <t>Bryan Taylor</t>
        </is>
      </c>
      <c r="B2953" t="inlineStr">
        <is>
          <t>Sponsor</t>
        </is>
      </c>
      <c r="C2953" t="inlineStr">
        <is>
          <t>Principal Consultant</t>
        </is>
      </c>
      <c r="D2953" t="inlineStr">
        <is>
          <t>Deliver Logistics Solutions</t>
        </is>
      </c>
      <c r="E2953" t="inlineStr">
        <is>
          <t>United States</t>
        </is>
      </c>
      <c r="F2953" t="inlineStr">
        <is>
          <t>Yes</t>
        </is>
      </c>
      <c r="H2953" t="n">
        <v>2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>
        <f>IFERROR(INDEX('Company Hitlist'!$AA:$AA,MATCH(D2953,'Company Hitlist'!$A:$A,0)),)</f>
        <v/>
      </c>
      <c r="O2953">
        <f>IFERROR(INDEX('Company Hitlist'!$N:$N,MATCH(D2953,'Company Hitlist'!$A:$A,0)),)</f>
        <v/>
      </c>
      <c r="Q2953" t="inlineStr">
        <is>
          <t>todo</t>
        </is>
      </c>
    </row>
    <row r="2954">
      <c r="A2954" t="inlineStr">
        <is>
          <t>Jim Herman</t>
        </is>
      </c>
      <c r="B2954" t="inlineStr">
        <is>
          <t>Sponsor</t>
        </is>
      </c>
      <c r="C2954" t="inlineStr">
        <is>
          <t>CCO</t>
        </is>
      </c>
      <c r="D2954" t="inlineStr">
        <is>
          <t>Dependable Supply Chain Services</t>
        </is>
      </c>
      <c r="E2954" t="inlineStr">
        <is>
          <t>United States</t>
        </is>
      </c>
      <c r="F2954" t="inlineStr">
        <is>
          <t>Yes</t>
        </is>
      </c>
      <c r="G2954" t="inlineStr">
        <is>
          <t>$522.5 million (2025)</t>
        </is>
      </c>
      <c r="H2954" t="n">
        <v>2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>
        <f>IFERROR(INDEX('Company Hitlist'!$AA:$AA,MATCH(D2954,'Company Hitlist'!$A:$A,0)),)</f>
        <v/>
      </c>
      <c r="O2954">
        <f>IFERROR(INDEX('Company Hitlist'!$N:$N,MATCH(D2954,'Company Hitlist'!$A:$A,0)),)</f>
        <v/>
      </c>
      <c r="Q2954" t="inlineStr">
        <is>
          <t>todo</t>
        </is>
      </c>
    </row>
    <row r="2955">
      <c r="A2955" t="inlineStr">
        <is>
          <t>Todd Craig</t>
        </is>
      </c>
      <c r="B2955" t="inlineStr">
        <is>
          <t>Sponsor</t>
        </is>
      </c>
      <c r="C2955" t="inlineStr">
        <is>
          <t>CMO</t>
        </is>
      </c>
      <c r="D2955" t="inlineStr">
        <is>
          <t>Deposco</t>
        </is>
      </c>
      <c r="E2955" t="inlineStr">
        <is>
          <t>United States</t>
        </is>
      </c>
      <c r="F2955" t="inlineStr">
        <is>
          <t>Yes</t>
        </is>
      </c>
      <c r="G2955" t="inlineStr">
        <is>
          <t>$50M (2024 est.; projected $55M in 2025)</t>
        </is>
      </c>
      <c r="H2955" t="n">
        <v>2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>
        <f>IFERROR(INDEX('Company Hitlist'!$AA:$AA,MATCH(D2955,'Company Hitlist'!$A:$A,0)),)</f>
        <v/>
      </c>
      <c r="O2955">
        <f>IFERROR(INDEX('Company Hitlist'!$N:$N,MATCH(D2955,'Company Hitlist'!$A:$A,0)),)</f>
        <v/>
      </c>
      <c r="Q2955" t="inlineStr">
        <is>
          <t>todo</t>
        </is>
      </c>
    </row>
    <row r="2956">
      <c r="A2956" t="inlineStr">
        <is>
          <t>Jackie Buyse</t>
        </is>
      </c>
      <c r="B2956" t="inlineStr">
        <is>
          <t>Sponsor</t>
        </is>
      </c>
      <c r="C2956" t="inlineStr">
        <is>
          <t>Events Manager</t>
        </is>
      </c>
      <c r="D2956" t="inlineStr">
        <is>
          <t>Descartes</t>
        </is>
      </c>
      <c r="H2956" t="n">
        <v>2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>
        <f>IFERROR(INDEX('Company Hitlist'!$AA:$AA,MATCH(D2956,'Company Hitlist'!$A:$A,0)),)</f>
        <v/>
      </c>
      <c r="O2956">
        <f>IFERROR(INDEX('Company Hitlist'!$N:$N,MATCH(D2956,'Company Hitlist'!$A:$A,0)),)</f>
        <v/>
      </c>
      <c r="Q2956" t="inlineStr">
        <is>
          <t>todo</t>
        </is>
      </c>
    </row>
    <row r="2957">
      <c r="A2957" t="inlineStr">
        <is>
          <t>Oana Jinga</t>
        </is>
      </c>
      <c r="B2957" t="inlineStr">
        <is>
          <t>Sponsor</t>
        </is>
      </c>
      <c r="C2957" t="inlineStr">
        <is>
          <t>Co-founder, CC&amp;PO</t>
        </is>
      </c>
      <c r="D2957" t="inlineStr">
        <is>
          <t>Dexory</t>
        </is>
      </c>
      <c r="F2957" t="inlineStr">
        <is>
          <t>Yes</t>
        </is>
      </c>
      <c r="H2957" t="n">
        <v>2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>
        <f>IFERROR(INDEX('Company Hitlist'!$AA:$AA,MATCH(D2957,'Company Hitlist'!$A:$A,0)),)</f>
        <v/>
      </c>
      <c r="O2957">
        <f>IFERROR(INDEX('Company Hitlist'!$N:$N,MATCH(D2957,'Company Hitlist'!$A:$A,0)),)</f>
        <v/>
      </c>
      <c r="Q2957" t="inlineStr">
        <is>
          <t>todo</t>
        </is>
      </c>
    </row>
    <row r="2958">
      <c r="A2958" t="inlineStr">
        <is>
          <t>ANDRE SOLDO</t>
        </is>
      </c>
      <c r="B2958" t="inlineStr">
        <is>
          <t>Sponsor</t>
        </is>
      </c>
      <c r="C2958" t="inlineStr">
        <is>
          <t>Senior Fellow</t>
        </is>
      </c>
      <c r="D2958" t="inlineStr">
        <is>
          <t>Digital Supply Chain Institute (DSCI)</t>
        </is>
      </c>
      <c r="F2958" t="inlineStr">
        <is>
          <t>Yes</t>
        </is>
      </c>
      <c r="H2958" t="n">
        <v>2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>
        <f>IFERROR(INDEX('Company Hitlist'!$AA:$AA,MATCH(D2958,'Company Hitlist'!$A:$A,0)),)</f>
        <v/>
      </c>
      <c r="O2958">
        <f>IFERROR(INDEX('Company Hitlist'!$N:$N,MATCH(D2958,'Company Hitlist'!$A:$A,0)),)</f>
        <v/>
      </c>
      <c r="Q2958" t="inlineStr">
        <is>
          <t>todo</t>
        </is>
      </c>
    </row>
    <row r="2959">
      <c r="A2959" t="inlineStr">
        <is>
          <t>Paulette DesCoteaux</t>
        </is>
      </c>
      <c r="B2959" t="inlineStr">
        <is>
          <t>Sponsor</t>
        </is>
      </c>
      <c r="C2959" t="inlineStr">
        <is>
          <t>Strategic Account Director</t>
        </is>
      </c>
      <c r="D2959" t="inlineStr">
        <is>
          <t>DispatchTrack</t>
        </is>
      </c>
      <c r="E2959" t="inlineStr">
        <is>
          <t>United States</t>
        </is>
      </c>
      <c r="F2959" t="inlineStr">
        <is>
          <t>Yes</t>
        </is>
      </c>
      <c r="G2959" t="inlineStr">
        <is>
          <t>$8.5M (est. 2024)</t>
        </is>
      </c>
      <c r="H2959" t="n">
        <v>2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>
        <f>IFERROR(INDEX('Company Hitlist'!$AA:$AA,MATCH(D2959,'Company Hitlist'!$A:$A,0)),)</f>
        <v/>
      </c>
      <c r="O2959">
        <f>IFERROR(INDEX('Company Hitlist'!$N:$N,MATCH(D2959,'Company Hitlist'!$A:$A,0)),)</f>
        <v/>
      </c>
      <c r="Q2959" t="inlineStr">
        <is>
          <t>todo</t>
        </is>
      </c>
    </row>
    <row r="2960">
      <c r="A2960" t="inlineStr">
        <is>
          <t>Chris Ballard</t>
        </is>
      </c>
      <c r="B2960" t="inlineStr">
        <is>
          <t>Sponsor</t>
        </is>
      </c>
      <c r="C2960" t="inlineStr">
        <is>
          <t>Board of Director</t>
        </is>
      </c>
      <c r="D2960" t="inlineStr">
        <is>
          <t>Distributors &amp; Consolidators of America (DACA)</t>
        </is>
      </c>
      <c r="F2960" t="inlineStr">
        <is>
          <t>Yes</t>
        </is>
      </c>
      <c r="H2960" t="n">
        <v>2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>
        <f>IFERROR(INDEX('Company Hitlist'!$AA:$AA,MATCH(D2960,'Company Hitlist'!$A:$A,0)),)</f>
        <v/>
      </c>
      <c r="O2960">
        <f>IFERROR(INDEX('Company Hitlist'!$N:$N,MATCH(D2960,'Company Hitlist'!$A:$A,0)),)</f>
        <v/>
      </c>
      <c r="Q2960" t="inlineStr">
        <is>
          <t>todo</t>
        </is>
      </c>
    </row>
    <row r="2961">
      <c r="A2961" t="inlineStr">
        <is>
          <t>David Fowler</t>
        </is>
      </c>
      <c r="B2961" t="inlineStr">
        <is>
          <t>Sponsor</t>
        </is>
      </c>
      <c r="C2961" t="inlineStr">
        <is>
          <t>Secretary</t>
        </is>
      </c>
      <c r="D2961" t="inlineStr">
        <is>
          <t>Distributors &amp; Consolidators of America (DACA)</t>
        </is>
      </c>
      <c r="F2961" t="inlineStr">
        <is>
          <t>Yes</t>
        </is>
      </c>
      <c r="H2961" t="n">
        <v>2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>
        <f>IFERROR(INDEX('Company Hitlist'!$AA:$AA,MATCH(D2961,'Company Hitlist'!$A:$A,0)),)</f>
        <v/>
      </c>
      <c r="O2961">
        <f>IFERROR(INDEX('Company Hitlist'!$N:$N,MATCH(D2961,'Company Hitlist'!$A:$A,0)),)</f>
        <v/>
      </c>
      <c r="Q2961" t="inlineStr">
        <is>
          <t>todo</t>
        </is>
      </c>
    </row>
    <row r="2962">
      <c r="A2962" t="inlineStr">
        <is>
          <t>Kevin Nevison</t>
        </is>
      </c>
      <c r="B2962" t="inlineStr">
        <is>
          <t>Sponsor</t>
        </is>
      </c>
      <c r="C2962" t="inlineStr">
        <is>
          <t>Chairman</t>
        </is>
      </c>
      <c r="D2962" t="inlineStr">
        <is>
          <t>Distributors &amp; Consolidators of America (DACA)</t>
        </is>
      </c>
      <c r="F2962" t="inlineStr">
        <is>
          <t>Yes</t>
        </is>
      </c>
      <c r="H2962" t="n">
        <v>2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>
        <f>IFERROR(INDEX('Company Hitlist'!$AA:$AA,MATCH(D2962,'Company Hitlist'!$A:$A,0)),)</f>
        <v/>
      </c>
      <c r="O2962">
        <f>IFERROR(INDEX('Company Hitlist'!$N:$N,MATCH(D2962,'Company Hitlist'!$A:$A,0)),)</f>
        <v/>
      </c>
      <c r="Q2962" t="inlineStr">
        <is>
          <t>todo</t>
        </is>
      </c>
    </row>
    <row r="2963">
      <c r="A2963" t="inlineStr">
        <is>
          <t>Dominic Simard</t>
        </is>
      </c>
      <c r="B2963" t="inlineStr">
        <is>
          <t>Sponsor</t>
        </is>
      </c>
      <c r="C2963" t="inlineStr">
        <is>
          <t>Communications Manager</t>
        </is>
      </c>
      <c r="D2963" t="inlineStr">
        <is>
          <t>Dragonfly</t>
        </is>
      </c>
      <c r="E2963" t="inlineStr">
        <is>
          <t>Canada</t>
        </is>
      </c>
      <c r="H2963" t="n">
        <v>2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>
        <f>IFERROR(INDEX('Company Hitlist'!$AA:$AA,MATCH(D2963,'Company Hitlist'!$A:$A,0)),)</f>
        <v/>
      </c>
      <c r="O2963">
        <f>IFERROR(INDEX('Company Hitlist'!$N:$N,MATCH(D2963,'Company Hitlist'!$A:$A,0)),)</f>
        <v/>
      </c>
      <c r="Q2963" t="inlineStr">
        <is>
          <t>todo</t>
        </is>
      </c>
    </row>
    <row r="2964">
      <c r="A2964" t="inlineStr">
        <is>
          <t>Steve Williamson</t>
        </is>
      </c>
      <c r="B2964" t="inlineStr">
        <is>
          <t>Sponsor</t>
        </is>
      </c>
      <c r="C2964" t="inlineStr">
        <is>
          <t>Director, Solutions Consulting</t>
        </is>
      </c>
      <c r="D2964" t="inlineStr">
        <is>
          <t>E2open - WiseTech Global Group</t>
        </is>
      </c>
      <c r="E2964" t="inlineStr">
        <is>
          <t>United States</t>
        </is>
      </c>
      <c r="F2964" t="inlineStr">
        <is>
          <t>Yes</t>
        </is>
      </c>
      <c r="H2964" t="n">
        <v>2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>
        <f>IFERROR(INDEX('Company Hitlist'!$AA:$AA,MATCH(D2964,'Company Hitlist'!$A:$A,0)),)</f>
        <v/>
      </c>
      <c r="O2964">
        <f>IFERROR(INDEX('Company Hitlist'!$N:$N,MATCH(D2964,'Company Hitlist'!$A:$A,0)),)</f>
        <v/>
      </c>
      <c r="Q2964" t="inlineStr">
        <is>
          <t>todo</t>
        </is>
      </c>
    </row>
    <row r="2965">
      <c r="A2965" t="inlineStr">
        <is>
          <t>Nathen Dorcas</t>
        </is>
      </c>
      <c r="B2965" t="inlineStr">
        <is>
          <t>Sponsor</t>
        </is>
      </c>
      <c r="C2965" t="inlineStr">
        <is>
          <t>Solutions Engineer</t>
        </is>
      </c>
      <c r="D2965" t="inlineStr">
        <is>
          <t>Easy Metrics</t>
        </is>
      </c>
      <c r="E2965" t="inlineStr">
        <is>
          <t>United States</t>
        </is>
      </c>
      <c r="F2965" t="inlineStr">
        <is>
          <t>Yes</t>
        </is>
      </c>
      <c r="G2965" t="inlineStr">
        <is>
          <t>$10M (2024 est.; projected $12M in 2025)</t>
        </is>
      </c>
      <c r="H2965" t="n">
        <v>2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>
        <f>IFERROR(INDEX('Company Hitlist'!$AA:$AA,MATCH(D2965,'Company Hitlist'!$A:$A,0)),)</f>
        <v/>
      </c>
      <c r="O2965">
        <f>IFERROR(INDEX('Company Hitlist'!$N:$N,MATCH(D2965,'Company Hitlist'!$A:$A,0)),)</f>
        <v/>
      </c>
      <c r="Q2965" t="inlineStr">
        <is>
          <t>todo</t>
        </is>
      </c>
    </row>
    <row r="2966">
      <c r="A2966" t="inlineStr">
        <is>
          <t>Matthew Vinciguerra</t>
        </is>
      </c>
      <c r="B2966" t="inlineStr">
        <is>
          <t>Sponsor</t>
        </is>
      </c>
      <c r="C2966" t="inlineStr">
        <is>
          <t>U.S. representative</t>
        </is>
      </c>
      <c r="D2966" t="inlineStr">
        <is>
          <t>EasyCargo - Load efficiently</t>
        </is>
      </c>
      <c r="F2966" t="inlineStr">
        <is>
          <t>Yes</t>
        </is>
      </c>
      <c r="H2966" t="n">
        <v>2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>
        <f>IFERROR(INDEX('Company Hitlist'!$AA:$AA,MATCH(D2966,'Company Hitlist'!$A:$A,0)),)</f>
        <v/>
      </c>
      <c r="O2966">
        <f>IFERROR(INDEX('Company Hitlist'!$N:$N,MATCH(D2966,'Company Hitlist'!$A:$A,0)),)</f>
        <v/>
      </c>
      <c r="Q2966" t="inlineStr">
        <is>
          <t>todo</t>
        </is>
      </c>
    </row>
    <row r="2967">
      <c r="A2967" t="inlineStr">
        <is>
          <t>Jesse Aaron</t>
        </is>
      </c>
      <c r="B2967" t="inlineStr">
        <is>
          <t>Sponsor</t>
        </is>
      </c>
      <c r="C2967" t="inlineStr">
        <is>
          <t>Sr. Support Specialist</t>
        </is>
      </c>
      <c r="D2967" t="inlineStr">
        <is>
          <t>Ember</t>
        </is>
      </c>
      <c r="E2967" t="inlineStr">
        <is>
          <t>United States</t>
        </is>
      </c>
      <c r="F2967" t="inlineStr">
        <is>
          <t>Yes</t>
        </is>
      </c>
      <c r="H2967" t="n">
        <v>2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>
        <f>IFERROR(INDEX('Company Hitlist'!$AA:$AA,MATCH(D2967,'Company Hitlist'!$A:$A,0)),)</f>
        <v/>
      </c>
      <c r="O2967">
        <f>IFERROR(INDEX('Company Hitlist'!$N:$N,MATCH(D2967,'Company Hitlist'!$A:$A,0)),)</f>
        <v/>
      </c>
      <c r="Q2967" t="inlineStr">
        <is>
          <t>todo</t>
        </is>
      </c>
    </row>
    <row r="2968">
      <c r="A2968" t="inlineStr">
        <is>
          <t>Tyler Fussner</t>
        </is>
      </c>
      <c r="B2968" t="inlineStr">
        <is>
          <t>Sponsor</t>
        </is>
      </c>
      <c r="C2968" t="inlineStr">
        <is>
          <t>Content Strategist</t>
        </is>
      </c>
      <c r="D2968" t="inlineStr">
        <is>
          <t>EndeavorB2B</t>
        </is>
      </c>
      <c r="E2968" t="inlineStr">
        <is>
          <t>United States</t>
        </is>
      </c>
      <c r="H2968" t="n">
        <v>2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>
        <f>IFERROR(INDEX('Company Hitlist'!$AA:$AA,MATCH(D2968,'Company Hitlist'!$A:$A,0)),)</f>
        <v/>
      </c>
      <c r="O2968">
        <f>IFERROR(INDEX('Company Hitlist'!$N:$N,MATCH(D2968,'Company Hitlist'!$A:$A,0)),)</f>
        <v/>
      </c>
      <c r="Q2968" t="inlineStr">
        <is>
          <t>todo</t>
        </is>
      </c>
    </row>
    <row r="2969">
      <c r="A2969" t="inlineStr">
        <is>
          <t>Evan Walker</t>
        </is>
      </c>
      <c r="B2969" t="inlineStr">
        <is>
          <t>Sponsor</t>
        </is>
      </c>
      <c r="C2969" t="inlineStr">
        <is>
          <t>Application Engineer</t>
        </is>
      </c>
      <c r="D2969" t="inlineStr">
        <is>
          <t>Engineering Innovation, Inc.</t>
        </is>
      </c>
      <c r="E2969" t="inlineStr">
        <is>
          <t>United States</t>
        </is>
      </c>
      <c r="F2969" t="inlineStr">
        <is>
          <t>Yes</t>
        </is>
      </c>
      <c r="H2969" t="n">
        <v>2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>
        <f>IFERROR(INDEX('Company Hitlist'!$AA:$AA,MATCH(D2969,'Company Hitlist'!$A:$A,0)),)</f>
        <v/>
      </c>
      <c r="O2969">
        <f>IFERROR(INDEX('Company Hitlist'!$N:$N,MATCH(D2969,'Company Hitlist'!$A:$A,0)),)</f>
        <v/>
      </c>
      <c r="Q2969" t="inlineStr">
        <is>
          <t>todo</t>
        </is>
      </c>
    </row>
    <row r="2970">
      <c r="A2970" t="inlineStr">
        <is>
          <t>Taja Moro</t>
        </is>
      </c>
      <c r="B2970" t="inlineStr">
        <is>
          <t>Sponsor</t>
        </is>
      </c>
      <c r="C2970" t="inlineStr">
        <is>
          <t>Senior Project Executive</t>
        </is>
      </c>
      <c r="D2970" t="inlineStr">
        <is>
          <t>Eurosender SARL</t>
        </is>
      </c>
      <c r="H2970" t="n">
        <v>2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>
        <f>IFERROR(INDEX('Company Hitlist'!$AA:$AA,MATCH(D2970,'Company Hitlist'!$A:$A,0)),)</f>
        <v/>
      </c>
      <c r="O2970">
        <f>IFERROR(INDEX('Company Hitlist'!$N:$N,MATCH(D2970,'Company Hitlist'!$A:$A,0)),)</f>
        <v/>
      </c>
      <c r="Q2970" t="inlineStr">
        <is>
          <t>todo</t>
        </is>
      </c>
    </row>
    <row r="2971">
      <c r="A2971" t="inlineStr">
        <is>
          <t>Stanislas Normand</t>
        </is>
      </c>
      <c r="B2971" t="inlineStr">
        <is>
          <t>Sponsor</t>
        </is>
      </c>
      <c r="C2971" t="inlineStr">
        <is>
          <t>Managing Director North America</t>
        </is>
      </c>
      <c r="D2971" t="inlineStr">
        <is>
          <t>Exotec</t>
        </is>
      </c>
      <c r="F2971" t="inlineStr">
        <is>
          <t>Yes</t>
        </is>
      </c>
      <c r="G2971" t="inlineStr">
        <is>
          <t>$256M (est.)</t>
        </is>
      </c>
      <c r="H2971" t="n">
        <v>2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>
        <f>IFERROR(INDEX('Company Hitlist'!$AA:$AA,MATCH(D2971,'Company Hitlist'!$A:$A,0)),)</f>
        <v/>
      </c>
      <c r="O2971">
        <f>IFERROR(INDEX('Company Hitlist'!$N:$N,MATCH(D2971,'Company Hitlist'!$A:$A,0)),)</f>
        <v/>
      </c>
      <c r="Q2971" t="inlineStr">
        <is>
          <t>todo</t>
        </is>
      </c>
    </row>
    <row r="2972">
      <c r="A2972" t="inlineStr">
        <is>
          <t>Victor LESUEUR</t>
        </is>
      </c>
      <c r="B2972" t="inlineStr">
        <is>
          <t>Sponsor</t>
        </is>
      </c>
      <c r="C2972" t="inlineStr">
        <is>
          <t>Global Event Manager</t>
        </is>
      </c>
      <c r="D2972" t="inlineStr">
        <is>
          <t>Exotec</t>
        </is>
      </c>
      <c r="E2972" t="inlineStr">
        <is>
          <t>France</t>
        </is>
      </c>
      <c r="H2972" t="n">
        <v>2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>
        <f>IFERROR(INDEX('Company Hitlist'!$AA:$AA,MATCH(D2972,'Company Hitlist'!$A:$A,0)),)</f>
        <v/>
      </c>
      <c r="O2972">
        <f>IFERROR(INDEX('Company Hitlist'!$N:$N,MATCH(D2972,'Company Hitlist'!$A:$A,0)),)</f>
        <v/>
      </c>
      <c r="Q2972" t="inlineStr">
        <is>
          <t>todo</t>
        </is>
      </c>
    </row>
    <row r="2973">
      <c r="A2973" t="inlineStr">
        <is>
          <t>Anna Von Schmeling</t>
        </is>
      </c>
      <c r="B2973" t="inlineStr">
        <is>
          <t>Sponsor</t>
        </is>
      </c>
      <c r="C2973" t="inlineStr">
        <is>
          <t>Communication Manager</t>
        </is>
      </c>
      <c r="D2973" t="inlineStr">
        <is>
          <t>Exotec</t>
        </is>
      </c>
      <c r="E2973" t="inlineStr">
        <is>
          <t>United States</t>
        </is>
      </c>
      <c r="H2973" t="n">
        <v>2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>
        <f>IFERROR(INDEX('Company Hitlist'!$AA:$AA,MATCH(D2973,'Company Hitlist'!$A:$A,0)),)</f>
        <v/>
      </c>
      <c r="O2973">
        <f>IFERROR(INDEX('Company Hitlist'!$N:$N,MATCH(D2973,'Company Hitlist'!$A:$A,0)),)</f>
        <v/>
      </c>
      <c r="Q2973" t="inlineStr">
        <is>
          <t>todo</t>
        </is>
      </c>
    </row>
    <row r="2974">
      <c r="A2974" t="inlineStr">
        <is>
          <t>Casy Jones</t>
        </is>
      </c>
      <c r="B2974" t="inlineStr">
        <is>
          <t>Sponsor</t>
        </is>
      </c>
      <c r="C2974" t="inlineStr">
        <is>
          <t>Managing Partner</t>
        </is>
      </c>
      <c r="D2974" t="inlineStr">
        <is>
          <t>FINN Partners</t>
        </is>
      </c>
      <c r="E2974" t="inlineStr">
        <is>
          <t>United States</t>
        </is>
      </c>
      <c r="H2974" t="n">
        <v>2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>
        <f>IFERROR(INDEX('Company Hitlist'!$AA:$AA,MATCH(D2974,'Company Hitlist'!$A:$A,0)),)</f>
        <v/>
      </c>
      <c r="O2974">
        <f>IFERROR(INDEX('Company Hitlist'!$N:$N,MATCH(D2974,'Company Hitlist'!$A:$A,0)),)</f>
        <v/>
      </c>
      <c r="Q2974" t="inlineStr">
        <is>
          <t>todo</t>
        </is>
      </c>
    </row>
    <row r="2975">
      <c r="A2975" t="inlineStr">
        <is>
          <t>Oleh Holovatiuk</t>
        </is>
      </c>
      <c r="B2975" t="inlineStr">
        <is>
          <t>Sponsor</t>
        </is>
      </c>
      <c r="C2975" t="inlineStr">
        <is>
          <t>Co-founder</t>
        </is>
      </c>
      <c r="D2975" t="inlineStr">
        <is>
          <t>FR8BOT</t>
        </is>
      </c>
      <c r="E2975" t="inlineStr">
        <is>
          <t>United States</t>
        </is>
      </c>
      <c r="F2975" t="inlineStr">
        <is>
          <t>Yes</t>
        </is>
      </c>
      <c r="H2975" t="n">
        <v>2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>
        <f>IFERROR(INDEX('Company Hitlist'!$AA:$AA,MATCH(D2975,'Company Hitlist'!$A:$A,0)),)</f>
        <v/>
      </c>
      <c r="O2975">
        <f>IFERROR(INDEX('Company Hitlist'!$N:$N,MATCH(D2975,'Company Hitlist'!$A:$A,0)),)</f>
        <v/>
      </c>
      <c r="Q2975" t="inlineStr">
        <is>
          <t>todo</t>
        </is>
      </c>
    </row>
    <row r="2976">
      <c r="A2976" t="inlineStr">
        <is>
          <t>Alex Pugachov</t>
        </is>
      </c>
      <c r="B2976" t="inlineStr">
        <is>
          <t>Sponsor</t>
        </is>
      </c>
      <c r="C2976" t="inlineStr">
        <is>
          <t>manager</t>
        </is>
      </c>
      <c r="D2976" t="inlineStr">
        <is>
          <t>FR8BOT</t>
        </is>
      </c>
      <c r="E2976" t="inlineStr">
        <is>
          <t>United States</t>
        </is>
      </c>
      <c r="H2976" t="n">
        <v>2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>
        <f>IFERROR(INDEX('Company Hitlist'!$AA:$AA,MATCH(D2976,'Company Hitlist'!$A:$A,0)),)</f>
        <v/>
      </c>
      <c r="O2976">
        <f>IFERROR(INDEX('Company Hitlist'!$N:$N,MATCH(D2976,'Company Hitlist'!$A:$A,0)),)</f>
        <v/>
      </c>
      <c r="Q2976" t="inlineStr">
        <is>
          <t>todo</t>
        </is>
      </c>
    </row>
    <row r="2977">
      <c r="A2977" t="inlineStr">
        <is>
          <t>Constantine Alimov</t>
        </is>
      </c>
      <c r="B2977" t="inlineStr">
        <is>
          <t>Sponsor</t>
        </is>
      </c>
      <c r="C2977" t="inlineStr">
        <is>
          <t>Manager</t>
        </is>
      </c>
      <c r="D2977" t="inlineStr">
        <is>
          <t>FR8BOT</t>
        </is>
      </c>
      <c r="E2977" t="inlineStr">
        <is>
          <t>United States</t>
        </is>
      </c>
      <c r="H2977" t="n">
        <v>2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>
        <f>IFERROR(INDEX('Company Hitlist'!$AA:$AA,MATCH(D2977,'Company Hitlist'!$A:$A,0)),)</f>
        <v/>
      </c>
      <c r="O2977">
        <f>IFERROR(INDEX('Company Hitlist'!$N:$N,MATCH(D2977,'Company Hitlist'!$A:$A,0)),)</f>
        <v/>
      </c>
      <c r="Q2977" t="inlineStr">
        <is>
          <t>todo</t>
        </is>
      </c>
    </row>
    <row r="2978">
      <c r="A2978" t="inlineStr">
        <is>
          <t>Jennie Malafarina</t>
        </is>
      </c>
      <c r="B2978" t="inlineStr">
        <is>
          <t>Sponsor</t>
        </is>
      </c>
      <c r="C2978" t="inlineStr">
        <is>
          <t>Co-Founder</t>
        </is>
      </c>
      <c r="D2978" t="inlineStr">
        <is>
          <t>FR8MVMT</t>
        </is>
      </c>
      <c r="E2978" t="inlineStr">
        <is>
          <t>United States</t>
        </is>
      </c>
      <c r="F2978" t="inlineStr">
        <is>
          <t>Yes</t>
        </is>
      </c>
      <c r="H2978" t="n">
        <v>2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>
        <f>IFERROR(INDEX('Company Hitlist'!$AA:$AA,MATCH(D2978,'Company Hitlist'!$A:$A,0)),)</f>
        <v/>
      </c>
      <c r="O2978">
        <f>IFERROR(INDEX('Company Hitlist'!$N:$N,MATCH(D2978,'Company Hitlist'!$A:$A,0)),)</f>
        <v/>
      </c>
      <c r="Q2978" t="inlineStr">
        <is>
          <t>todo</t>
        </is>
      </c>
    </row>
    <row r="2979">
      <c r="A2979" t="inlineStr">
        <is>
          <t>Avi Slavin</t>
        </is>
      </c>
      <c r="B2979" t="inlineStr">
        <is>
          <t>Sponsor</t>
        </is>
      </c>
      <c r="C2979" t="inlineStr">
        <is>
          <t>Advisor</t>
        </is>
      </c>
      <c r="D2979" t="inlineStr">
        <is>
          <t>FedEx</t>
        </is>
      </c>
      <c r="E2979" t="inlineStr">
        <is>
          <t>United States</t>
        </is>
      </c>
      <c r="F2979" t="inlineStr">
        <is>
          <t>Yes</t>
        </is>
      </c>
      <c r="G2979" t="inlineStr">
        <is>
          <t>$87.7B (2024; projected $88B in 2025)</t>
        </is>
      </c>
      <c r="H2979" t="n">
        <v>2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>
        <f>IFERROR(INDEX('Company Hitlist'!$AA:$AA,MATCH(D2979,'Company Hitlist'!$A:$A,0)),)</f>
        <v/>
      </c>
      <c r="O2979">
        <f>IFERROR(INDEX('Company Hitlist'!$N:$N,MATCH(D2979,'Company Hitlist'!$A:$A,0)),)</f>
        <v/>
      </c>
      <c r="Q2979" t="inlineStr">
        <is>
          <t>todo</t>
        </is>
      </c>
    </row>
    <row r="2980">
      <c r="A2980" t="inlineStr">
        <is>
          <t>Chandler McCay</t>
        </is>
      </c>
      <c r="B2980" t="inlineStr">
        <is>
          <t>Sponsor</t>
        </is>
      </c>
      <c r="C2980" t="inlineStr">
        <is>
          <t>Global Program Strategy Advisor</t>
        </is>
      </c>
      <c r="D2980" t="inlineStr">
        <is>
          <t>FedEx</t>
        </is>
      </c>
      <c r="E2980" t="inlineStr">
        <is>
          <t>United States</t>
        </is>
      </c>
      <c r="F2980" t="inlineStr">
        <is>
          <t>Yes</t>
        </is>
      </c>
      <c r="G2980" t="inlineStr">
        <is>
          <t>$87.7B (2024; projected $88B in 2025)</t>
        </is>
      </c>
      <c r="H2980" t="n">
        <v>2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>
        <f>IFERROR(INDEX('Company Hitlist'!$AA:$AA,MATCH(D2980,'Company Hitlist'!$A:$A,0)),)</f>
        <v/>
      </c>
      <c r="O2980">
        <f>IFERROR(INDEX('Company Hitlist'!$N:$N,MATCH(D2980,'Company Hitlist'!$A:$A,0)),)</f>
        <v/>
      </c>
      <c r="Q2980" t="inlineStr">
        <is>
          <t>todo</t>
        </is>
      </c>
    </row>
    <row r="2981">
      <c r="A2981" t="inlineStr">
        <is>
          <t>Mike Gasik</t>
        </is>
      </c>
      <c r="B2981" t="inlineStr">
        <is>
          <t>Sponsor</t>
        </is>
      </c>
      <c r="C2981" t="inlineStr">
        <is>
          <t>Solutions Consultant Lead</t>
        </is>
      </c>
      <c r="D2981" t="inlineStr">
        <is>
          <t>FedEx</t>
        </is>
      </c>
      <c r="E2981" t="inlineStr">
        <is>
          <t>United States</t>
        </is>
      </c>
      <c r="F2981" t="inlineStr">
        <is>
          <t>Yes</t>
        </is>
      </c>
      <c r="G2981" t="inlineStr">
        <is>
          <t>$87.7B (2024; projected $88B in 2025)</t>
        </is>
      </c>
      <c r="H2981" t="n">
        <v>2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>
        <f>IFERROR(INDEX('Company Hitlist'!$AA:$AA,MATCH(D2981,'Company Hitlist'!$A:$A,0)),)</f>
        <v/>
      </c>
      <c r="O2981">
        <f>IFERROR(INDEX('Company Hitlist'!$N:$N,MATCH(D2981,'Company Hitlist'!$A:$A,0)),)</f>
        <v/>
      </c>
      <c r="Q2981" t="inlineStr">
        <is>
          <t>todo</t>
        </is>
      </c>
    </row>
    <row r="2982">
      <c r="A2982" t="inlineStr">
        <is>
          <t>Haley Martis</t>
        </is>
      </c>
      <c r="B2982" t="inlineStr">
        <is>
          <t>Sponsor</t>
        </is>
      </c>
      <c r="C2982" t="inlineStr">
        <is>
          <t>Event Manager</t>
        </is>
      </c>
      <c r="D2982" t="inlineStr">
        <is>
          <t>FedEx</t>
        </is>
      </c>
      <c r="H2982" t="n">
        <v>2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>
        <f>IFERROR(INDEX('Company Hitlist'!$AA:$AA,MATCH(D2982,'Company Hitlist'!$A:$A,0)),)</f>
        <v/>
      </c>
      <c r="O2982">
        <f>IFERROR(INDEX('Company Hitlist'!$N:$N,MATCH(D2982,'Company Hitlist'!$A:$A,0)),)</f>
        <v/>
      </c>
      <c r="Q2982" t="inlineStr">
        <is>
          <t>todo</t>
        </is>
      </c>
    </row>
    <row r="2983">
      <c r="A2983" t="inlineStr">
        <is>
          <t>Dan Sepulvado</t>
        </is>
      </c>
      <c r="B2983" t="inlineStr">
        <is>
          <t>Sponsor</t>
        </is>
      </c>
      <c r="C2983" t="inlineStr">
        <is>
          <t>Senior Product Manager</t>
        </is>
      </c>
      <c r="D2983" t="inlineStr">
        <is>
          <t>Flexe</t>
        </is>
      </c>
      <c r="E2983" t="inlineStr">
        <is>
          <t>United States</t>
        </is>
      </c>
      <c r="H2983" t="n">
        <v>2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>
        <f>IFERROR(INDEX('Company Hitlist'!$AA:$AA,MATCH(D2983,'Company Hitlist'!$A:$A,0)),)</f>
        <v/>
      </c>
      <c r="O2983">
        <f>IFERROR(INDEX('Company Hitlist'!$N:$N,MATCH(D2983,'Company Hitlist'!$A:$A,0)),)</f>
        <v/>
      </c>
      <c r="Q2983" t="inlineStr">
        <is>
          <t>todo</t>
        </is>
      </c>
    </row>
    <row r="2984">
      <c r="A2984" t="inlineStr">
        <is>
          <t>David Grinevald</t>
        </is>
      </c>
      <c r="B2984" t="inlineStr">
        <is>
          <t>Sponsor</t>
        </is>
      </c>
      <c r="C2984" t="inlineStr">
        <is>
          <t>Director, Air Freight</t>
        </is>
      </c>
      <c r="D2984" t="inlineStr">
        <is>
          <t>Flexport</t>
        </is>
      </c>
      <c r="E2984" t="inlineStr">
        <is>
          <t>United States</t>
        </is>
      </c>
      <c r="F2984" t="inlineStr">
        <is>
          <t>Yes</t>
        </is>
      </c>
      <c r="G2984" t="inlineStr">
        <is>
          <t>$3 billion (2025)</t>
        </is>
      </c>
      <c r="H2984" t="n">
        <v>2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>
        <f>IFERROR(INDEX('Company Hitlist'!$AA:$AA,MATCH(D2984,'Company Hitlist'!$A:$A,0)),)</f>
        <v/>
      </c>
      <c r="O2984">
        <f>IFERROR(INDEX('Company Hitlist'!$N:$N,MATCH(D2984,'Company Hitlist'!$A:$A,0)),)</f>
        <v/>
      </c>
      <c r="Q2984" t="inlineStr">
        <is>
          <t>todo</t>
        </is>
      </c>
    </row>
    <row r="2985">
      <c r="A2985" t="inlineStr">
        <is>
          <t>Katie Ketchell</t>
        </is>
      </c>
      <c r="B2985" t="inlineStr">
        <is>
          <t>Sponsor</t>
        </is>
      </c>
      <c r="C2985" t="inlineStr">
        <is>
          <t>Director Pricing and Solution Design, Control Tower and Ocean Consolidations</t>
        </is>
      </c>
      <c r="D2985" t="inlineStr">
        <is>
          <t>Flexport</t>
        </is>
      </c>
      <c r="F2985" t="inlineStr">
        <is>
          <t>Yes</t>
        </is>
      </c>
      <c r="G2985" t="inlineStr">
        <is>
          <t>$3 billion (2025)</t>
        </is>
      </c>
      <c r="H2985" t="n">
        <v>2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>
        <f>IFERROR(INDEX('Company Hitlist'!$AA:$AA,MATCH(D2985,'Company Hitlist'!$A:$A,0)),)</f>
        <v/>
      </c>
      <c r="O2985">
        <f>IFERROR(INDEX('Company Hitlist'!$N:$N,MATCH(D2985,'Company Hitlist'!$A:$A,0)),)</f>
        <v/>
      </c>
      <c r="Q2985" t="inlineStr">
        <is>
          <t>todo</t>
        </is>
      </c>
    </row>
    <row r="2986">
      <c r="A2986" t="inlineStr">
        <is>
          <t>Samantha Jones Shah</t>
        </is>
      </c>
      <c r="B2986" t="inlineStr">
        <is>
          <t>Sponsor</t>
        </is>
      </c>
      <c r="C2986" t="inlineStr">
        <is>
          <t>Program Manager II, Operational Excellence</t>
        </is>
      </c>
      <c r="D2986" t="inlineStr">
        <is>
          <t>Flexport</t>
        </is>
      </c>
      <c r="E2986" t="inlineStr">
        <is>
          <t>United States</t>
        </is>
      </c>
      <c r="H2986" t="n">
        <v>2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>
        <f>IFERROR(INDEX('Company Hitlist'!$AA:$AA,MATCH(D2986,'Company Hitlist'!$A:$A,0)),)</f>
        <v/>
      </c>
      <c r="O2986">
        <f>IFERROR(INDEX('Company Hitlist'!$N:$N,MATCH(D2986,'Company Hitlist'!$A:$A,0)),)</f>
        <v/>
      </c>
      <c r="Q2986" t="inlineStr">
        <is>
          <t>todo</t>
        </is>
      </c>
    </row>
    <row r="2987">
      <c r="A2987" t="inlineStr">
        <is>
          <t>Larissa Orison</t>
        </is>
      </c>
      <c r="B2987" t="inlineStr">
        <is>
          <t>Sponsor</t>
        </is>
      </c>
      <c r="C2987" t="inlineStr">
        <is>
          <t>Events Manager</t>
        </is>
      </c>
      <c r="D2987" t="inlineStr">
        <is>
          <t>Flexport</t>
        </is>
      </c>
      <c r="H2987" t="n">
        <v>2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>
        <f>IFERROR(INDEX('Company Hitlist'!$AA:$AA,MATCH(D2987,'Company Hitlist'!$A:$A,0)),)</f>
        <v/>
      </c>
      <c r="O2987">
        <f>IFERROR(INDEX('Company Hitlist'!$N:$N,MATCH(D2987,'Company Hitlist'!$A:$A,0)),)</f>
        <v/>
      </c>
      <c r="Q2987" t="inlineStr">
        <is>
          <t>todo</t>
        </is>
      </c>
    </row>
    <row r="2988">
      <c r="A2988" t="inlineStr">
        <is>
          <t>Sandrine Guichard</t>
        </is>
      </c>
      <c r="B2988" t="inlineStr">
        <is>
          <t>Sponsor</t>
        </is>
      </c>
      <c r="C2988" t="inlineStr">
        <is>
          <t>Senior Events Manager</t>
        </is>
      </c>
      <c r="D2988" t="inlineStr">
        <is>
          <t>Flexport</t>
        </is>
      </c>
      <c r="H2988" t="n">
        <v>2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>
        <f>IFERROR(INDEX('Company Hitlist'!$AA:$AA,MATCH(D2988,'Company Hitlist'!$A:$A,0)),)</f>
        <v/>
      </c>
      <c r="O2988">
        <f>IFERROR(INDEX('Company Hitlist'!$N:$N,MATCH(D2988,'Company Hitlist'!$A:$A,0)),)</f>
        <v/>
      </c>
      <c r="Q2988" t="inlineStr">
        <is>
          <t>todo</t>
        </is>
      </c>
    </row>
    <row r="2989">
      <c r="A2989" t="inlineStr">
        <is>
          <t>Taylor Broderick</t>
        </is>
      </c>
      <c r="B2989" t="inlineStr">
        <is>
          <t>Attendee</t>
        </is>
      </c>
      <c r="C2989" t="inlineStr">
        <is>
          <t>Director of Sales &amp; Operations</t>
        </is>
      </c>
      <c r="D2989" t="inlineStr">
        <is>
          <t>Flock Freight</t>
        </is>
      </c>
      <c r="E2989" t="inlineStr">
        <is>
          <t>United States</t>
        </is>
      </c>
      <c r="H2989" t="n">
        <v>2</v>
      </c>
      <c r="I2989" t="b">
        <v>1</v>
      </c>
      <c r="J2989" t="b">
        <v>0</v>
      </c>
      <c r="K2989" t="b">
        <v>0</v>
      </c>
      <c r="L2989" t="b">
        <v>0</v>
      </c>
      <c r="M2989" t="b">
        <v>1</v>
      </c>
      <c r="N2989">
        <f>IFERROR(INDEX('Company Hitlist'!$AA:$AA,MATCH(D2989,'Company Hitlist'!$A:$A,0)),)</f>
        <v/>
      </c>
      <c r="O2989">
        <f>IFERROR(INDEX('Company Hitlist'!$N:$N,MATCH(D2989,'Company Hitlist'!$A:$A,0)),)</f>
        <v/>
      </c>
      <c r="Q2989" t="inlineStr">
        <is>
          <t>todo</t>
        </is>
      </c>
    </row>
    <row r="2990">
      <c r="A2990" t="inlineStr">
        <is>
          <t>Dimitris Alexiou</t>
        </is>
      </c>
      <c r="B2990" t="inlineStr">
        <is>
          <t>Sponsor</t>
        </is>
      </c>
      <c r="C2990" t="inlineStr">
        <is>
          <t>CMO</t>
        </is>
      </c>
      <c r="D2990" t="inlineStr">
        <is>
          <t>Forward®</t>
        </is>
      </c>
      <c r="F2990" t="inlineStr">
        <is>
          <t>Yes</t>
        </is>
      </c>
      <c r="H2990" t="n">
        <v>2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>
        <f>IFERROR(INDEX('Company Hitlist'!$AA:$AA,MATCH(D2990,'Company Hitlist'!$A:$A,0)),)</f>
        <v/>
      </c>
      <c r="O2990">
        <f>IFERROR(INDEX('Company Hitlist'!$N:$N,MATCH(D2990,'Company Hitlist'!$A:$A,0)),)</f>
        <v/>
      </c>
      <c r="Q2990" t="inlineStr">
        <is>
          <t>todo</t>
        </is>
      </c>
    </row>
    <row r="2991">
      <c r="A2991" t="inlineStr">
        <is>
          <t>Stephanie Deo</t>
        </is>
      </c>
      <c r="B2991" t="inlineStr">
        <is>
          <t>Sponsor</t>
        </is>
      </c>
      <c r="C2991" t="inlineStr">
        <is>
          <t>Event Director</t>
        </is>
      </c>
      <c r="D2991" t="inlineStr">
        <is>
          <t>FourKites</t>
        </is>
      </c>
      <c r="E2991" t="inlineStr">
        <is>
          <t>United States</t>
        </is>
      </c>
      <c r="F2991" t="inlineStr">
        <is>
          <t>Yes</t>
        </is>
      </c>
      <c r="G2991" t="inlineStr">
        <is>
          <t>$100M (2024 est.; projected $110M in 2025)</t>
        </is>
      </c>
      <c r="H2991" t="n">
        <v>2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>
        <f>IFERROR(INDEX('Company Hitlist'!$AA:$AA,MATCH(D2991,'Company Hitlist'!$A:$A,0)),)</f>
        <v/>
      </c>
      <c r="O2991">
        <f>IFERROR(INDEX('Company Hitlist'!$N:$N,MATCH(D2991,'Company Hitlist'!$A:$A,0)),)</f>
        <v/>
      </c>
      <c r="Q2991" t="inlineStr">
        <is>
          <t>todo</t>
        </is>
      </c>
    </row>
    <row r="2992">
      <c r="A2992" t="inlineStr">
        <is>
          <t>Jeffrey Baker Baker</t>
        </is>
      </c>
      <c r="B2992" t="inlineStr">
        <is>
          <t>Sponsor</t>
        </is>
      </c>
      <c r="C2992" t="inlineStr">
        <is>
          <t>Co-Founder</t>
        </is>
      </c>
      <c r="D2992" t="inlineStr">
        <is>
          <t>Fraction.work</t>
        </is>
      </c>
      <c r="F2992" t="inlineStr">
        <is>
          <t>Yes</t>
        </is>
      </c>
      <c r="H2992" t="n">
        <v>2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>
        <f>IFERROR(INDEX('Company Hitlist'!$AA:$AA,MATCH(D2992,'Company Hitlist'!$A:$A,0)),)</f>
        <v/>
      </c>
      <c r="O2992">
        <f>IFERROR(INDEX('Company Hitlist'!$N:$N,MATCH(D2992,'Company Hitlist'!$A:$A,0)),)</f>
        <v/>
      </c>
      <c r="Q2992" t="inlineStr">
        <is>
          <t>todo</t>
        </is>
      </c>
    </row>
    <row r="2993">
      <c r="A2993" t="inlineStr">
        <is>
          <t>Craig Edwards</t>
        </is>
      </c>
      <c r="B2993" t="inlineStr">
        <is>
          <t>Sponsor</t>
        </is>
      </c>
      <c r="C2993" t="inlineStr">
        <is>
          <t>Senior Solutions Consultant</t>
        </is>
      </c>
      <c r="D2993" t="inlineStr">
        <is>
          <t>Free Hand</t>
        </is>
      </c>
      <c r="E2993" t="inlineStr">
        <is>
          <t>United States</t>
        </is>
      </c>
      <c r="F2993" t="inlineStr">
        <is>
          <t>Yes</t>
        </is>
      </c>
      <c r="H2993" t="n">
        <v>2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>
        <f>IFERROR(INDEX('Company Hitlist'!$AA:$AA,MATCH(D2993,'Company Hitlist'!$A:$A,0)),)</f>
        <v/>
      </c>
      <c r="O2993">
        <f>IFERROR(INDEX('Company Hitlist'!$N:$N,MATCH(D2993,'Company Hitlist'!$A:$A,0)),)</f>
        <v/>
      </c>
      <c r="Q2993" t="inlineStr">
        <is>
          <t>todo</t>
        </is>
      </c>
    </row>
    <row r="2994">
      <c r="A2994" t="inlineStr">
        <is>
          <t>Deepti Khemka</t>
        </is>
      </c>
      <c r="B2994" t="inlineStr">
        <is>
          <t>Sponsor</t>
        </is>
      </c>
      <c r="C2994" t="inlineStr">
        <is>
          <t>Presales Senior Director</t>
        </is>
      </c>
      <c r="D2994" t="inlineStr">
        <is>
          <t>Free Hand</t>
        </is>
      </c>
      <c r="E2994" t="inlineStr">
        <is>
          <t>United States</t>
        </is>
      </c>
      <c r="F2994" t="inlineStr">
        <is>
          <t>Yes</t>
        </is>
      </c>
      <c r="H2994" t="n">
        <v>2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>
        <f>IFERROR(INDEX('Company Hitlist'!$AA:$AA,MATCH(D2994,'Company Hitlist'!$A:$A,0)),)</f>
        <v/>
      </c>
      <c r="O2994">
        <f>IFERROR(INDEX('Company Hitlist'!$N:$N,MATCH(D2994,'Company Hitlist'!$A:$A,0)),)</f>
        <v/>
      </c>
      <c r="Q2994" t="inlineStr">
        <is>
          <t>todo</t>
        </is>
      </c>
    </row>
    <row r="2995">
      <c r="A2995" t="inlineStr">
        <is>
          <t>Viveka Sasidhar</t>
        </is>
      </c>
      <c r="B2995" t="inlineStr">
        <is>
          <t>Sponsor</t>
        </is>
      </c>
      <c r="C2995" t="inlineStr">
        <is>
          <t>Director Demand Generation</t>
        </is>
      </c>
      <c r="D2995" t="inlineStr">
        <is>
          <t>Freehand</t>
        </is>
      </c>
      <c r="H2995" t="n">
        <v>2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>
        <f>IFERROR(INDEX('Company Hitlist'!$AA:$AA,MATCH(D2995,'Company Hitlist'!$A:$A,0)),)</f>
        <v/>
      </c>
      <c r="O2995">
        <f>IFERROR(INDEX('Company Hitlist'!$N:$N,MATCH(D2995,'Company Hitlist'!$A:$A,0)),)</f>
        <v/>
      </c>
      <c r="Q2995" t="inlineStr">
        <is>
          <t>todo</t>
        </is>
      </c>
    </row>
    <row r="2996">
      <c r="A2996" t="inlineStr">
        <is>
          <t>Jeff Graan</t>
        </is>
      </c>
      <c r="B2996" t="inlineStr">
        <is>
          <t>Sponsor</t>
        </is>
      </c>
      <c r="C2996" t="inlineStr">
        <is>
          <t>Sr. Director, Solution Consulting</t>
        </is>
      </c>
      <c r="D2996" t="inlineStr">
        <is>
          <t>FreightWise</t>
        </is>
      </c>
      <c r="E2996" t="inlineStr">
        <is>
          <t>United States</t>
        </is>
      </c>
      <c r="F2996" t="inlineStr">
        <is>
          <t>Yes</t>
        </is>
      </c>
      <c r="H2996" t="n">
        <v>2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>
        <f>IFERROR(INDEX('Company Hitlist'!$AA:$AA,MATCH(D2996,'Company Hitlist'!$A:$A,0)),)</f>
        <v/>
      </c>
      <c r="O2996">
        <f>IFERROR(INDEX('Company Hitlist'!$N:$N,MATCH(D2996,'Company Hitlist'!$A:$A,0)),)</f>
        <v/>
      </c>
      <c r="Q2996" t="inlineStr">
        <is>
          <t>todo</t>
        </is>
      </c>
    </row>
    <row r="2997">
      <c r="A2997" t="inlineStr">
        <is>
          <t>Katie Wild</t>
        </is>
      </c>
      <c r="B2997" t="inlineStr">
        <is>
          <t>Sponsor</t>
        </is>
      </c>
      <c r="C2997" t="inlineStr">
        <is>
          <t>CMO</t>
        </is>
      </c>
      <c r="D2997" t="inlineStr">
        <is>
          <t>FreightWise &amp; Kuebix</t>
        </is>
      </c>
      <c r="F2997" t="inlineStr">
        <is>
          <t>Yes</t>
        </is>
      </c>
      <c r="H2997" t="n">
        <v>2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>
        <f>IFERROR(INDEX('Company Hitlist'!$AA:$AA,MATCH(D2997,'Company Hitlist'!$A:$A,0)),)</f>
        <v/>
      </c>
      <c r="O2997">
        <f>IFERROR(INDEX('Company Hitlist'!$N:$N,MATCH(D2997,'Company Hitlist'!$A:$A,0)),)</f>
        <v/>
      </c>
      <c r="Q2997" t="inlineStr">
        <is>
          <t>todo</t>
        </is>
      </c>
    </row>
    <row r="2998">
      <c r="A2998" t="inlineStr">
        <is>
          <t>Nick Janson</t>
        </is>
      </c>
      <c r="B2998" t="inlineStr">
        <is>
          <t>Sponsor</t>
        </is>
      </c>
      <c r="C2998" t="inlineStr">
        <is>
          <t>Commercial Director</t>
        </is>
      </c>
      <c r="D2998" t="inlineStr">
        <is>
          <t>FreshX</t>
        </is>
      </c>
      <c r="F2998" t="inlineStr">
        <is>
          <t>Yes</t>
        </is>
      </c>
      <c r="H2998" t="n">
        <v>2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>
        <f>IFERROR(INDEX('Company Hitlist'!$AA:$AA,MATCH(D2998,'Company Hitlist'!$A:$A,0)),)</f>
        <v/>
      </c>
      <c r="O2998">
        <f>IFERROR(INDEX('Company Hitlist'!$N:$N,MATCH(D2998,'Company Hitlist'!$A:$A,0)),)</f>
        <v/>
      </c>
      <c r="Q2998" t="inlineStr">
        <is>
          <t>todo</t>
        </is>
      </c>
    </row>
    <row r="2999">
      <c r="A2999" t="inlineStr">
        <is>
          <t>Michelle Johnson</t>
        </is>
      </c>
      <c r="B2999" t="inlineStr">
        <is>
          <t>Sponsor</t>
        </is>
      </c>
      <c r="C2999" t="inlineStr">
        <is>
          <t>GEODIS</t>
        </is>
      </c>
      <c r="D2999" t="inlineStr">
        <is>
          <t>GEODIS</t>
        </is>
      </c>
      <c r="E2999" t="inlineStr">
        <is>
          <t>United States</t>
        </is>
      </c>
      <c r="F2999" t="inlineStr">
        <is>
          <t>Yes</t>
        </is>
      </c>
      <c r="G2999" t="inlineStr">
        <is>
          <t>12114000000</t>
        </is>
      </c>
      <c r="H2999" t="n">
        <v>2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>
        <f>IFERROR(INDEX('Company Hitlist'!$AA:$AA,MATCH(D2999,'Company Hitlist'!$A:$A,0)),)</f>
        <v/>
      </c>
      <c r="O2999">
        <f>IFERROR(INDEX('Company Hitlist'!$N:$N,MATCH(D2999,'Company Hitlist'!$A:$A,0)),)</f>
        <v/>
      </c>
      <c r="Q2999" t="inlineStr">
        <is>
          <t>todo</t>
        </is>
      </c>
    </row>
    <row r="3000">
      <c r="A3000" t="inlineStr">
        <is>
          <t>Guillaume Bournisien</t>
        </is>
      </c>
      <c r="B3000" t="inlineStr">
        <is>
          <t>Sponsor</t>
        </is>
      </c>
      <c r="C3000" t="inlineStr">
        <is>
          <t>Managing Director, North America Freight Forwarding</t>
        </is>
      </c>
      <c r="D3000" t="inlineStr">
        <is>
          <t>GEODIS</t>
        </is>
      </c>
      <c r="F3000" t="inlineStr">
        <is>
          <t>Yes</t>
        </is>
      </c>
      <c r="G3000" t="inlineStr">
        <is>
          <t>12114000000</t>
        </is>
      </c>
      <c r="H3000" t="n">
        <v>2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>
        <f>IFERROR(INDEX('Company Hitlist'!$AA:$AA,MATCH(D3000,'Company Hitlist'!$A:$A,0)),)</f>
        <v/>
      </c>
      <c r="O3000">
        <f>IFERROR(INDEX('Company Hitlist'!$N:$N,MATCH(D3000,'Company Hitlist'!$A:$A,0)),)</f>
        <v/>
      </c>
      <c r="Q3000" t="inlineStr">
        <is>
          <t>todo</t>
        </is>
      </c>
    </row>
    <row r="3001">
      <c r="A3001" t="inlineStr">
        <is>
          <t>Max Baehr</t>
        </is>
      </c>
      <c r="B3001" t="inlineStr">
        <is>
          <t>Sponsor</t>
        </is>
      </c>
      <c r="C3001" t="inlineStr">
        <is>
          <t>Director of Partnerships</t>
        </is>
      </c>
      <c r="D3001" t="inlineStr">
        <is>
          <t>GOFO INC.</t>
        </is>
      </c>
      <c r="E3001" t="inlineStr">
        <is>
          <t>Canada</t>
        </is>
      </c>
      <c r="F3001" t="inlineStr">
        <is>
          <t>Yes</t>
        </is>
      </c>
      <c r="G3001" t="inlineStr">
        <is>
          <t>$256M (est.)</t>
        </is>
      </c>
      <c r="H3001" t="n">
        <v>2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>
        <f>IFERROR(INDEX('Company Hitlist'!$AA:$AA,MATCH(D3001,'Company Hitlist'!$A:$A,0)),)</f>
        <v/>
      </c>
      <c r="O3001">
        <f>IFERROR(INDEX('Company Hitlist'!$N:$N,MATCH(D3001,'Company Hitlist'!$A:$A,0)),)</f>
        <v/>
      </c>
      <c r="Q3001" t="inlineStr">
        <is>
          <t>todo</t>
        </is>
      </c>
    </row>
    <row r="3002">
      <c r="A3002" t="inlineStr">
        <is>
          <t>Mike Carven</t>
        </is>
      </c>
      <c r="B3002" t="inlineStr">
        <is>
          <t>Sponsor</t>
        </is>
      </c>
      <c r="C3002" t="inlineStr">
        <is>
          <t>Director, National Accounts</t>
        </is>
      </c>
      <c r="D3002" t="inlineStr">
        <is>
          <t>GOFO INC.</t>
        </is>
      </c>
      <c r="E3002" t="inlineStr">
        <is>
          <t>United States</t>
        </is>
      </c>
      <c r="F3002" t="inlineStr">
        <is>
          <t>Yes</t>
        </is>
      </c>
      <c r="G3002" t="inlineStr">
        <is>
          <t>$256M (est.)</t>
        </is>
      </c>
      <c r="H3002" t="n">
        <v>2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>
        <f>IFERROR(INDEX('Company Hitlist'!$AA:$AA,MATCH(D3002,'Company Hitlist'!$A:$A,0)),)</f>
        <v/>
      </c>
      <c r="O3002">
        <f>IFERROR(INDEX('Company Hitlist'!$N:$N,MATCH(D3002,'Company Hitlist'!$A:$A,0)),)</f>
        <v/>
      </c>
      <c r="Q3002" t="inlineStr">
        <is>
          <t>todo</t>
        </is>
      </c>
    </row>
    <row r="3003">
      <c r="A3003" t="inlineStr">
        <is>
          <t>Chad Emerson</t>
        </is>
      </c>
      <c r="B3003" t="inlineStr">
        <is>
          <t>Sponsor</t>
        </is>
      </c>
      <c r="C3003" t="inlineStr">
        <is>
          <t>Director, National Accounts</t>
        </is>
      </c>
      <c r="D3003" t="inlineStr">
        <is>
          <t>GOFO INC.</t>
        </is>
      </c>
      <c r="F3003" t="inlineStr">
        <is>
          <t>Yes</t>
        </is>
      </c>
      <c r="G3003" t="inlineStr">
        <is>
          <t>$256M (est.)</t>
        </is>
      </c>
      <c r="H3003" t="n">
        <v>2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>
        <f>IFERROR(INDEX('Company Hitlist'!$AA:$AA,MATCH(D3003,'Company Hitlist'!$A:$A,0)),)</f>
        <v/>
      </c>
      <c r="O3003">
        <f>IFERROR(INDEX('Company Hitlist'!$N:$N,MATCH(D3003,'Company Hitlist'!$A:$A,0)),)</f>
        <v/>
      </c>
      <c r="Q3003" t="inlineStr">
        <is>
          <t>todo</t>
        </is>
      </c>
    </row>
    <row r="3004">
      <c r="A3004" t="inlineStr">
        <is>
          <t>Derek Kissel</t>
        </is>
      </c>
      <c r="B3004" t="inlineStr">
        <is>
          <t>Sponsor</t>
        </is>
      </c>
      <c r="C3004" t="inlineStr">
        <is>
          <t>Director, National Accounts</t>
        </is>
      </c>
      <c r="D3004" t="inlineStr">
        <is>
          <t>GOFO INC.</t>
        </is>
      </c>
      <c r="F3004" t="inlineStr">
        <is>
          <t>Yes</t>
        </is>
      </c>
      <c r="G3004" t="inlineStr">
        <is>
          <t>$256M (est.)</t>
        </is>
      </c>
      <c r="H3004" t="n">
        <v>2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>
        <f>IFERROR(INDEX('Company Hitlist'!$AA:$AA,MATCH(D3004,'Company Hitlist'!$A:$A,0)),)</f>
        <v/>
      </c>
      <c r="O3004">
        <f>IFERROR(INDEX('Company Hitlist'!$N:$N,MATCH(D3004,'Company Hitlist'!$A:$A,0)),)</f>
        <v/>
      </c>
      <c r="Q3004" t="inlineStr">
        <is>
          <t>todo</t>
        </is>
      </c>
    </row>
    <row r="3005">
      <c r="A3005" t="inlineStr">
        <is>
          <t>Angelo D'Urso</t>
        </is>
      </c>
      <c r="B3005" t="inlineStr">
        <is>
          <t>Sponsor</t>
        </is>
      </c>
      <c r="C3005" t="inlineStr">
        <is>
          <t>Director</t>
        </is>
      </c>
      <c r="D3005" t="inlineStr">
        <is>
          <t>GTA GSM</t>
        </is>
      </c>
      <c r="E3005" t="inlineStr">
        <is>
          <t>Canada</t>
        </is>
      </c>
      <c r="F3005" t="inlineStr">
        <is>
          <t>Yes</t>
        </is>
      </c>
      <c r="H3005" t="n">
        <v>2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>
        <f>IFERROR(INDEX('Company Hitlist'!$AA:$AA,MATCH(D3005,'Company Hitlist'!$A:$A,0)),)</f>
        <v/>
      </c>
      <c r="O3005">
        <f>IFERROR(INDEX('Company Hitlist'!$N:$N,MATCH(D3005,'Company Hitlist'!$A:$A,0)),)</f>
        <v/>
      </c>
      <c r="Q3005" t="inlineStr">
        <is>
          <t>todo</t>
        </is>
      </c>
    </row>
    <row r="3006">
      <c r="A3006" t="inlineStr">
        <is>
          <t>Heather Coggins</t>
        </is>
      </c>
      <c r="B3006" t="inlineStr">
        <is>
          <t>Sponsor</t>
        </is>
      </c>
      <c r="C3006" t="inlineStr">
        <is>
          <t>Senior Analyst/Event Manager</t>
        </is>
      </c>
      <c r="D3006" t="inlineStr">
        <is>
          <t>GXO Logistics</t>
        </is>
      </c>
      <c r="E3006" t="inlineStr">
        <is>
          <t>United States</t>
        </is>
      </c>
      <c r="H3006" t="n">
        <v>2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>
        <f>IFERROR(INDEX('Company Hitlist'!$AA:$AA,MATCH(D3006,'Company Hitlist'!$A:$A,0)),)</f>
        <v/>
      </c>
      <c r="O3006">
        <f>IFERROR(INDEX('Company Hitlist'!$N:$N,MATCH(D3006,'Company Hitlist'!$A:$A,0)),)</f>
        <v/>
      </c>
      <c r="Q3006" t="inlineStr">
        <is>
          <t>todo</t>
        </is>
      </c>
    </row>
    <row r="3007">
      <c r="A3007" t="inlineStr">
        <is>
          <t>Wendy Williams</t>
        </is>
      </c>
      <c r="B3007" t="inlineStr">
        <is>
          <t>Sponsor</t>
        </is>
      </c>
      <c r="C3007" t="inlineStr">
        <is>
          <t>Enterprise Project Manager</t>
        </is>
      </c>
      <c r="D3007" t="inlineStr">
        <is>
          <t>Gardian Holdings, LLC</t>
        </is>
      </c>
      <c r="E3007" t="inlineStr">
        <is>
          <t>United States</t>
        </is>
      </c>
      <c r="H3007" t="n">
        <v>2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>
        <f>IFERROR(INDEX('Company Hitlist'!$AA:$AA,MATCH(D3007,'Company Hitlist'!$A:$A,0)),)</f>
        <v/>
      </c>
      <c r="O3007">
        <f>IFERROR(INDEX('Company Hitlist'!$N:$N,MATCH(D3007,'Company Hitlist'!$A:$A,0)),)</f>
        <v/>
      </c>
      <c r="Q3007" t="inlineStr">
        <is>
          <t>todo</t>
        </is>
      </c>
    </row>
    <row r="3008">
      <c r="A3008" t="inlineStr">
        <is>
          <t>David Fox</t>
        </is>
      </c>
      <c r="B3008" t="inlineStr">
        <is>
          <t>Sponsor</t>
        </is>
      </c>
      <c r="C3008" t="inlineStr">
        <is>
          <t>CCO</t>
        </is>
      </c>
      <c r="D3008" t="inlineStr">
        <is>
          <t>Gardian Holdings, LLC</t>
        </is>
      </c>
      <c r="H3008" t="n">
        <v>2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>
        <f>IFERROR(INDEX('Company Hitlist'!$AA:$AA,MATCH(D3008,'Company Hitlist'!$A:$A,0)),)</f>
        <v/>
      </c>
      <c r="O3008">
        <f>IFERROR(INDEX('Company Hitlist'!$N:$N,MATCH(D3008,'Company Hitlist'!$A:$A,0)),)</f>
        <v/>
      </c>
      <c r="Q3008" t="inlineStr">
        <is>
          <t>todo</t>
        </is>
      </c>
    </row>
    <row r="3009">
      <c r="A3009" t="inlineStr">
        <is>
          <t>Alex Powell</t>
        </is>
      </c>
      <c r="B3009" t="inlineStr">
        <is>
          <t>Sponsor</t>
        </is>
      </c>
      <c r="C3009" t="inlineStr">
        <is>
          <t>Solution Engineer</t>
        </is>
      </c>
      <c r="D3009" t="inlineStr">
        <is>
          <t>Gather AI</t>
        </is>
      </c>
      <c r="E3009" t="inlineStr">
        <is>
          <t>United States</t>
        </is>
      </c>
      <c r="F3009" t="inlineStr">
        <is>
          <t>Yes</t>
        </is>
      </c>
      <c r="H3009" t="n">
        <v>2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>
        <f>IFERROR(INDEX('Company Hitlist'!$AA:$AA,MATCH(D3009,'Company Hitlist'!$A:$A,0)),)</f>
        <v/>
      </c>
      <c r="O3009">
        <f>IFERROR(INDEX('Company Hitlist'!$N:$N,MATCH(D3009,'Company Hitlist'!$A:$A,0)),)</f>
        <v/>
      </c>
      <c r="Q3009" t="inlineStr">
        <is>
          <t>todo</t>
        </is>
      </c>
    </row>
    <row r="3010">
      <c r="A3010" t="inlineStr">
        <is>
          <t>Zach Barnitt</t>
        </is>
      </c>
      <c r="B3010" t="inlineStr">
        <is>
          <t>Sponsor</t>
        </is>
      </c>
      <c r="C3010" t="inlineStr">
        <is>
          <t>Solutions Engineer</t>
        </is>
      </c>
      <c r="D3010" t="inlineStr">
        <is>
          <t>Gather AI</t>
        </is>
      </c>
      <c r="E3010" t="inlineStr">
        <is>
          <t>United States</t>
        </is>
      </c>
      <c r="F3010" t="inlineStr">
        <is>
          <t>Yes</t>
        </is>
      </c>
      <c r="H3010" t="n">
        <v>2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>
        <f>IFERROR(INDEX('Company Hitlist'!$AA:$AA,MATCH(D3010,'Company Hitlist'!$A:$A,0)),)</f>
        <v/>
      </c>
      <c r="O3010">
        <f>IFERROR(INDEX('Company Hitlist'!$N:$N,MATCH(D3010,'Company Hitlist'!$A:$A,0)),)</f>
        <v/>
      </c>
      <c r="Q3010" t="inlineStr">
        <is>
          <t>todo</t>
        </is>
      </c>
    </row>
    <row r="3011">
      <c r="A3011" t="inlineStr">
        <is>
          <t>Chris Kobus</t>
        </is>
      </c>
      <c r="B3011" t="inlineStr">
        <is>
          <t>Sponsor</t>
        </is>
      </c>
      <c r="C3011" t="inlineStr">
        <is>
          <t>CRO</t>
        </is>
      </c>
      <c r="D3011" t="inlineStr">
        <is>
          <t>GenLogs</t>
        </is>
      </c>
      <c r="E3011" t="inlineStr">
        <is>
          <t>United States</t>
        </is>
      </c>
      <c r="F3011" t="inlineStr">
        <is>
          <t>Yes</t>
        </is>
      </c>
      <c r="H3011" t="n">
        <v>2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>
        <f>IFERROR(INDEX('Company Hitlist'!$AA:$AA,MATCH(D3011,'Company Hitlist'!$A:$A,0)),)</f>
        <v/>
      </c>
      <c r="O3011">
        <f>IFERROR(INDEX('Company Hitlist'!$N:$N,MATCH(D3011,'Company Hitlist'!$A:$A,0)),)</f>
        <v/>
      </c>
      <c r="Q3011" t="inlineStr">
        <is>
          <t>todo</t>
        </is>
      </c>
    </row>
    <row r="3012">
      <c r="A3012" t="inlineStr">
        <is>
          <t>Abbas S</t>
        </is>
      </c>
      <c r="B3012" t="inlineStr">
        <is>
          <t>Sponsor</t>
        </is>
      </c>
      <c r="C3012" t="inlineStr">
        <is>
          <t>Founding Product Manager</t>
        </is>
      </c>
      <c r="D3012" t="inlineStr">
        <is>
          <t>Glacis</t>
        </is>
      </c>
      <c r="E3012" t="inlineStr">
        <is>
          <t>India</t>
        </is>
      </c>
      <c r="H3012" t="n">
        <v>2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>
        <f>IFERROR(INDEX('Company Hitlist'!$AA:$AA,MATCH(D3012,'Company Hitlist'!$A:$A,0)),)</f>
        <v/>
      </c>
      <c r="O3012">
        <f>IFERROR(INDEX('Company Hitlist'!$N:$N,MATCH(D3012,'Company Hitlist'!$A:$A,0)),)</f>
        <v/>
      </c>
      <c r="Q3012" t="inlineStr">
        <is>
          <t>todo</t>
        </is>
      </c>
    </row>
    <row r="3013">
      <c r="A3013" t="inlineStr">
        <is>
          <t>Dorcy Shema</t>
        </is>
      </c>
      <c r="B3013" t="inlineStr">
        <is>
          <t>Sponsor</t>
        </is>
      </c>
      <c r="C3013" t="inlineStr">
        <is>
          <t>Lead Frontend Engineer</t>
        </is>
      </c>
      <c r="D3013" t="inlineStr">
        <is>
          <t>Gnosis Freight</t>
        </is>
      </c>
      <c r="E3013" t="inlineStr">
        <is>
          <t>United States</t>
        </is>
      </c>
      <c r="F3013" t="inlineStr">
        <is>
          <t>Yes</t>
        </is>
      </c>
      <c r="G3013" t="inlineStr">
        <is>
          <t>$5M (est. 2025)</t>
        </is>
      </c>
      <c r="H3013" t="n">
        <v>2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>
        <f>IFERROR(INDEX('Company Hitlist'!$AA:$AA,MATCH(D3013,'Company Hitlist'!$A:$A,0)),)</f>
        <v/>
      </c>
      <c r="O3013">
        <f>IFERROR(INDEX('Company Hitlist'!$N:$N,MATCH(D3013,'Company Hitlist'!$A:$A,0)),)</f>
        <v/>
      </c>
      <c r="Q3013" t="inlineStr">
        <is>
          <t>todo</t>
        </is>
      </c>
    </row>
    <row r="3014">
      <c r="A3014" t="inlineStr">
        <is>
          <t>Kurt Corman</t>
        </is>
      </c>
      <c r="B3014" t="inlineStr">
        <is>
          <t>Sponsor</t>
        </is>
      </c>
      <c r="C3014" t="inlineStr">
        <is>
          <t>Strategic Accounts, LSP</t>
        </is>
      </c>
      <c r="D3014" t="inlineStr">
        <is>
          <t>Gnosis Freight</t>
        </is>
      </c>
      <c r="E3014" t="inlineStr">
        <is>
          <t>United States</t>
        </is>
      </c>
      <c r="F3014" t="inlineStr">
        <is>
          <t>Yes</t>
        </is>
      </c>
      <c r="G3014" t="inlineStr">
        <is>
          <t>$5M (est. 2025)</t>
        </is>
      </c>
      <c r="H3014" t="n">
        <v>2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>
        <f>IFERROR(INDEX('Company Hitlist'!$AA:$AA,MATCH(D3014,'Company Hitlist'!$A:$A,0)),)</f>
        <v/>
      </c>
      <c r="O3014">
        <f>IFERROR(INDEX('Company Hitlist'!$N:$N,MATCH(D3014,'Company Hitlist'!$A:$A,0)),)</f>
        <v/>
      </c>
      <c r="Q3014" t="inlineStr">
        <is>
          <t>todo</t>
        </is>
      </c>
    </row>
    <row r="3015">
      <c r="A3015" t="inlineStr">
        <is>
          <t>Michael Rentz</t>
        </is>
      </c>
      <c r="B3015" t="inlineStr">
        <is>
          <t>Sponsor</t>
        </is>
      </c>
      <c r="C3015" t="inlineStr">
        <is>
          <t>CRO</t>
        </is>
      </c>
      <c r="D3015" t="inlineStr">
        <is>
          <t>Gnosis Freight</t>
        </is>
      </c>
      <c r="E3015" t="inlineStr">
        <is>
          <t>United States</t>
        </is>
      </c>
      <c r="F3015" t="inlineStr">
        <is>
          <t>Yes</t>
        </is>
      </c>
      <c r="G3015" t="inlineStr">
        <is>
          <t>$5M (est. 2025)</t>
        </is>
      </c>
      <c r="H3015" t="n">
        <v>2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>
        <f>IFERROR(INDEX('Company Hitlist'!$AA:$AA,MATCH(D3015,'Company Hitlist'!$A:$A,0)),)</f>
        <v/>
      </c>
      <c r="O3015">
        <f>IFERROR(INDEX('Company Hitlist'!$N:$N,MATCH(D3015,'Company Hitlist'!$A:$A,0)),)</f>
        <v/>
      </c>
      <c r="Q3015" t="inlineStr">
        <is>
          <t>todo</t>
        </is>
      </c>
    </row>
    <row r="3016">
      <c r="A3016" t="inlineStr">
        <is>
          <t>Jonathan Rapp</t>
        </is>
      </c>
      <c r="B3016" t="inlineStr">
        <is>
          <t>Sponsor</t>
        </is>
      </c>
      <c r="C3016" t="inlineStr">
        <is>
          <t>Partnerships</t>
        </is>
      </c>
      <c r="D3016" t="inlineStr">
        <is>
          <t>Gnosis Freight</t>
        </is>
      </c>
      <c r="F3016" t="inlineStr">
        <is>
          <t>Yes</t>
        </is>
      </c>
      <c r="G3016" t="inlineStr">
        <is>
          <t>$5M (est. 2025)</t>
        </is>
      </c>
      <c r="H3016" t="n">
        <v>2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>
        <f>IFERROR(INDEX('Company Hitlist'!$AA:$AA,MATCH(D3016,'Company Hitlist'!$A:$A,0)),)</f>
        <v/>
      </c>
      <c r="O3016">
        <f>IFERROR(INDEX('Company Hitlist'!$N:$N,MATCH(D3016,'Company Hitlist'!$A:$A,0)),)</f>
        <v/>
      </c>
      <c r="Q3016" t="inlineStr">
        <is>
          <t>todo</t>
        </is>
      </c>
    </row>
    <row r="3017">
      <c r="A3017" t="inlineStr">
        <is>
          <t>Lakshya Sharma</t>
        </is>
      </c>
      <c r="B3017" t="inlineStr">
        <is>
          <t>Sponsor</t>
        </is>
      </c>
      <c r="C3017" t="inlineStr">
        <is>
          <t>Senior Strategic Product Manager</t>
        </is>
      </c>
      <c r="D3017" t="inlineStr">
        <is>
          <t>GoComet</t>
        </is>
      </c>
      <c r="H3017" t="n">
        <v>2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>
        <f>IFERROR(INDEX('Company Hitlist'!$AA:$AA,MATCH(D3017,'Company Hitlist'!$A:$A,0)),)</f>
        <v/>
      </c>
      <c r="O3017">
        <f>IFERROR(INDEX('Company Hitlist'!$N:$N,MATCH(D3017,'Company Hitlist'!$A:$A,0)),)</f>
        <v/>
      </c>
      <c r="Q3017" t="inlineStr">
        <is>
          <t>todo</t>
        </is>
      </c>
    </row>
    <row r="3018">
      <c r="A3018" t="inlineStr">
        <is>
          <t>Justin Peleckis</t>
        </is>
      </c>
      <c r="B3018" t="inlineStr">
        <is>
          <t>Sponsor</t>
        </is>
      </c>
      <c r="C3018" t="inlineStr">
        <is>
          <t>Account Expansion Manager</t>
        </is>
      </c>
      <c r="D3018" t="inlineStr">
        <is>
          <t>GoRamp</t>
        </is>
      </c>
      <c r="H3018" t="n">
        <v>2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>
        <f>IFERROR(INDEX('Company Hitlist'!$AA:$AA,MATCH(D3018,'Company Hitlist'!$A:$A,0)),)</f>
        <v/>
      </c>
      <c r="O3018">
        <f>IFERROR(INDEX('Company Hitlist'!$N:$N,MATCH(D3018,'Company Hitlist'!$A:$A,0)),)</f>
        <v/>
      </c>
      <c r="Q3018" t="inlineStr">
        <is>
          <t>todo</t>
        </is>
      </c>
    </row>
    <row r="3019">
      <c r="A3019" t="inlineStr">
        <is>
          <t>Ashwin Sridhar</t>
        </is>
      </c>
      <c r="B3019" t="inlineStr">
        <is>
          <t>Sponsor</t>
        </is>
      </c>
      <c r="C3019" t="inlineStr">
        <is>
          <t>Global Solutions Lead, Industry AI</t>
        </is>
      </c>
      <c r="D3019" t="inlineStr">
        <is>
          <t>Google Cloud</t>
        </is>
      </c>
      <c r="E3019" t="inlineStr">
        <is>
          <t>United States</t>
        </is>
      </c>
      <c r="F3019" t="inlineStr">
        <is>
          <t>Yes</t>
        </is>
      </c>
      <c r="H3019" t="n">
        <v>2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>
        <f>IFERROR(INDEX('Company Hitlist'!$AA:$AA,MATCH(D3019,'Company Hitlist'!$A:$A,0)),)</f>
        <v/>
      </c>
      <c r="O3019">
        <f>IFERROR(INDEX('Company Hitlist'!$N:$N,MATCH(D3019,'Company Hitlist'!$A:$A,0)),)</f>
        <v/>
      </c>
      <c r="Q3019" t="inlineStr">
        <is>
          <t>todo</t>
        </is>
      </c>
    </row>
    <row r="3020">
      <c r="A3020" t="inlineStr">
        <is>
          <t>Yewande Badewole</t>
        </is>
      </c>
      <c r="B3020" t="inlineStr">
        <is>
          <t>Attendee</t>
        </is>
      </c>
      <c r="C3020" t="inlineStr">
        <is>
          <t>Global GTM Practice Architect - Logistics &amp; Supply Chain</t>
        </is>
      </c>
      <c r="D3020" t="inlineStr">
        <is>
          <t>Google Cloud</t>
        </is>
      </c>
      <c r="E3020" t="inlineStr">
        <is>
          <t>United States</t>
        </is>
      </c>
      <c r="H3020" t="n">
        <v>2</v>
      </c>
      <c r="I3020" t="b">
        <v>1</v>
      </c>
      <c r="J3020" t="b">
        <v>0</v>
      </c>
      <c r="K3020" t="b">
        <v>0</v>
      </c>
      <c r="L3020" t="b">
        <v>0</v>
      </c>
      <c r="M3020" t="b">
        <v>1</v>
      </c>
      <c r="N3020">
        <f>IFERROR(INDEX('Company Hitlist'!$AA:$AA,MATCH(D3020,'Company Hitlist'!$A:$A,0)),)</f>
        <v/>
      </c>
      <c r="O3020">
        <f>IFERROR(INDEX('Company Hitlist'!$N:$N,MATCH(D3020,'Company Hitlist'!$A:$A,0)),)</f>
        <v/>
      </c>
      <c r="Q3020" t="inlineStr">
        <is>
          <t>todo</t>
        </is>
      </c>
    </row>
    <row r="3021">
      <c r="A3021" t="inlineStr">
        <is>
          <t>Paige Ip</t>
        </is>
      </c>
      <c r="B3021" t="inlineStr">
        <is>
          <t>Sponsor</t>
        </is>
      </c>
      <c r="C3021" t="inlineStr">
        <is>
          <t>Sr. Solutions Engineer Manager</t>
        </is>
      </c>
      <c r="D3021" t="inlineStr">
        <is>
          <t>Highway</t>
        </is>
      </c>
      <c r="E3021" t="inlineStr">
        <is>
          <t>United States</t>
        </is>
      </c>
      <c r="H3021" t="n">
        <v>2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>
        <f>IFERROR(INDEX('Company Hitlist'!$AA:$AA,MATCH(D3021,'Company Hitlist'!$A:$A,0)),)</f>
        <v/>
      </c>
      <c r="O3021">
        <f>IFERROR(INDEX('Company Hitlist'!$N:$N,MATCH(D3021,'Company Hitlist'!$A:$A,0)),)</f>
        <v/>
      </c>
      <c r="Q3021" t="inlineStr">
        <is>
          <t>todo</t>
        </is>
      </c>
    </row>
    <row r="3022">
      <c r="A3022" t="inlineStr">
        <is>
          <t>Haim Dimer</t>
        </is>
      </c>
      <c r="B3022" t="inlineStr">
        <is>
          <t>Sponsor</t>
        </is>
      </c>
      <c r="C3022" t="inlineStr">
        <is>
          <t>Director of IT</t>
        </is>
      </c>
      <c r="D3022" t="inlineStr">
        <is>
          <t>Holman Logistics</t>
        </is>
      </c>
      <c r="E3022" t="inlineStr">
        <is>
          <t>United States</t>
        </is>
      </c>
      <c r="F3022" t="inlineStr">
        <is>
          <t>Yes</t>
        </is>
      </c>
      <c r="G3022" t="inlineStr">
        <is>
          <t>$457M (est.)</t>
        </is>
      </c>
      <c r="H3022" t="n">
        <v>2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>
        <f>IFERROR(INDEX('Company Hitlist'!$AA:$AA,MATCH(D3022,'Company Hitlist'!$A:$A,0)),)</f>
        <v/>
      </c>
      <c r="O3022">
        <f>IFERROR(INDEX('Company Hitlist'!$N:$N,MATCH(D3022,'Company Hitlist'!$A:$A,0)),)</f>
        <v/>
      </c>
      <c r="Q3022" t="inlineStr">
        <is>
          <t>todo</t>
        </is>
      </c>
    </row>
    <row r="3023">
      <c r="A3023" t="inlineStr">
        <is>
          <t>Naomi Marti</t>
        </is>
      </c>
      <c r="B3023" t="inlineStr">
        <is>
          <t>Sponsor</t>
        </is>
      </c>
      <c r="C3023" t="inlineStr">
        <is>
          <t>Director Channel Partnerships - IntraOne</t>
        </is>
      </c>
      <c r="D3023" t="inlineStr">
        <is>
          <t>Hy-Tek Intralogistics</t>
        </is>
      </c>
      <c r="F3023" t="inlineStr">
        <is>
          <t>Yes</t>
        </is>
      </c>
      <c r="G3023" t="inlineStr">
        <is>
          <t>100000000</t>
        </is>
      </c>
      <c r="H3023" t="n">
        <v>2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>
        <f>IFERROR(INDEX('Company Hitlist'!$AA:$AA,MATCH(D3023,'Company Hitlist'!$A:$A,0)),)</f>
        <v/>
      </c>
      <c r="O3023">
        <f>IFERROR(INDEX('Company Hitlist'!$N:$N,MATCH(D3023,'Company Hitlist'!$A:$A,0)),)</f>
        <v/>
      </c>
      <c r="Q3023" t="inlineStr">
        <is>
          <t>todo</t>
        </is>
      </c>
    </row>
    <row r="3024">
      <c r="A3024" t="inlineStr">
        <is>
          <t>Nicholas Schoultheis</t>
        </is>
      </c>
      <c r="B3024" t="inlineStr">
        <is>
          <t>Sponsor</t>
        </is>
      </c>
      <c r="C3024" t="inlineStr">
        <is>
          <t>Product Development Engineer</t>
        </is>
      </c>
      <c r="D3024" t="inlineStr">
        <is>
          <t>Hy-Tek Intralogistics</t>
        </is>
      </c>
      <c r="F3024" t="inlineStr">
        <is>
          <t>Yes</t>
        </is>
      </c>
      <c r="G3024" t="inlineStr">
        <is>
          <t>100000000</t>
        </is>
      </c>
      <c r="H3024" t="n">
        <v>2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>
        <f>IFERROR(INDEX('Company Hitlist'!$AA:$AA,MATCH(D3024,'Company Hitlist'!$A:$A,0)),)</f>
        <v/>
      </c>
      <c r="O3024">
        <f>IFERROR(INDEX('Company Hitlist'!$N:$N,MATCH(D3024,'Company Hitlist'!$A:$A,0)),)</f>
        <v/>
      </c>
      <c r="Q3024" t="inlineStr">
        <is>
          <t>todo</t>
        </is>
      </c>
    </row>
    <row r="3025">
      <c r="A3025" t="inlineStr">
        <is>
          <t>Oliver Song</t>
        </is>
      </c>
      <c r="B3025" t="inlineStr">
        <is>
          <t>Sponsor</t>
        </is>
      </c>
      <c r="C3025" t="inlineStr">
        <is>
          <t>Co-Founder</t>
        </is>
      </c>
      <c r="D3025" t="inlineStr">
        <is>
          <t>Hyperscale Systems, Inc.</t>
        </is>
      </c>
      <c r="F3025" t="inlineStr">
        <is>
          <t>Yes</t>
        </is>
      </c>
      <c r="H3025" t="n">
        <v>2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>
        <f>IFERROR(INDEX('Company Hitlist'!$AA:$AA,MATCH(D3025,'Company Hitlist'!$A:$A,0)),)</f>
        <v/>
      </c>
      <c r="O3025">
        <f>IFERROR(INDEX('Company Hitlist'!$N:$N,MATCH(D3025,'Company Hitlist'!$A:$A,0)),)</f>
        <v/>
      </c>
      <c r="Q3025" t="inlineStr">
        <is>
          <t>todo</t>
        </is>
      </c>
    </row>
    <row r="3026">
      <c r="A3026" t="inlineStr">
        <is>
          <t>Miles Zervigon</t>
        </is>
      </c>
      <c r="B3026" t="inlineStr">
        <is>
          <t>Sponsor</t>
        </is>
      </c>
      <c r="C3026" t="inlineStr">
        <is>
          <t>Director of Enterprise Solutions</t>
        </is>
      </c>
      <c r="D3026" t="inlineStr">
        <is>
          <t>IDScan.net</t>
        </is>
      </c>
      <c r="F3026" t="inlineStr">
        <is>
          <t>Yes</t>
        </is>
      </c>
      <c r="G3026" t="inlineStr">
        <is>
          <t>&lt;$1M</t>
        </is>
      </c>
      <c r="H3026" t="n">
        <v>2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>
        <f>IFERROR(INDEX('Company Hitlist'!$AA:$AA,MATCH(D3026,'Company Hitlist'!$A:$A,0)),)</f>
        <v/>
      </c>
      <c r="O3026">
        <f>IFERROR(INDEX('Company Hitlist'!$N:$N,MATCH(D3026,'Company Hitlist'!$A:$A,0)),)</f>
        <v/>
      </c>
      <c r="Q3026" t="inlineStr">
        <is>
          <t>todo</t>
        </is>
      </c>
    </row>
    <row r="3027">
      <c r="A3027" t="inlineStr">
        <is>
          <t>Patrick Rafferty</t>
        </is>
      </c>
      <c r="B3027" t="inlineStr">
        <is>
          <t>Sponsor</t>
        </is>
      </c>
      <c r="C3027" t="inlineStr">
        <is>
          <t>Director of Enterprise Solutions</t>
        </is>
      </c>
      <c r="D3027" t="inlineStr">
        <is>
          <t>IDScan.net</t>
        </is>
      </c>
      <c r="F3027" t="inlineStr">
        <is>
          <t>Yes</t>
        </is>
      </c>
      <c r="G3027" t="inlineStr">
        <is>
          <t>&lt;$1M</t>
        </is>
      </c>
      <c r="H3027" t="n">
        <v>2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>
        <f>IFERROR(INDEX('Company Hitlist'!$AA:$AA,MATCH(D3027,'Company Hitlist'!$A:$A,0)),)</f>
        <v/>
      </c>
      <c r="O3027">
        <f>IFERROR(INDEX('Company Hitlist'!$N:$N,MATCH(D3027,'Company Hitlist'!$A:$A,0)),)</f>
        <v/>
      </c>
      <c r="Q3027" t="inlineStr">
        <is>
          <t>todo</t>
        </is>
      </c>
    </row>
    <row r="3028">
      <c r="A3028" t="inlineStr">
        <is>
          <t>Ash Thoms</t>
        </is>
      </c>
      <c r="B3028" t="inlineStr">
        <is>
          <t>Sponsor</t>
        </is>
      </c>
      <c r="C3028" t="inlineStr">
        <is>
          <t>Senior Manager - Trade Shows and Events</t>
        </is>
      </c>
      <c r="D3028" t="inlineStr">
        <is>
          <t>ITS Logistics</t>
        </is>
      </c>
      <c r="E3028" t="inlineStr">
        <is>
          <t>United States</t>
        </is>
      </c>
      <c r="H3028" t="n">
        <v>2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>
        <f>IFERROR(INDEX('Company Hitlist'!$AA:$AA,MATCH(D3028,'Company Hitlist'!$A:$A,0)),)</f>
        <v/>
      </c>
      <c r="O3028">
        <f>IFERROR(INDEX('Company Hitlist'!$N:$N,MATCH(D3028,'Company Hitlist'!$A:$A,0)),)</f>
        <v/>
      </c>
      <c r="Q3028" t="inlineStr">
        <is>
          <t>todo</t>
        </is>
      </c>
    </row>
    <row r="3029">
      <c r="A3029" t="inlineStr">
        <is>
          <t>Katrina Arabe</t>
        </is>
      </c>
      <c r="B3029" t="inlineStr">
        <is>
          <t>Sponsor</t>
        </is>
      </c>
      <c r="C3029" t="inlineStr">
        <is>
          <t>Senior Editor</t>
        </is>
      </c>
      <c r="D3029" t="inlineStr">
        <is>
          <t>Inbound Logistics</t>
        </is>
      </c>
      <c r="E3029" t="inlineStr">
        <is>
          <t>United States</t>
        </is>
      </c>
      <c r="F3029" t="inlineStr">
        <is>
          <t>Yes</t>
        </is>
      </c>
      <c r="H3029" t="n">
        <v>2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>
        <f>IFERROR(INDEX('Company Hitlist'!$AA:$AA,MATCH(D3029,'Company Hitlist'!$A:$A,0)),)</f>
        <v/>
      </c>
      <c r="O3029">
        <f>IFERROR(INDEX('Company Hitlist'!$N:$N,MATCH(D3029,'Company Hitlist'!$A:$A,0)),)</f>
        <v/>
      </c>
      <c r="Q3029" t="inlineStr">
        <is>
          <t>todo</t>
        </is>
      </c>
    </row>
    <row r="3030">
      <c r="A3030" t="inlineStr">
        <is>
          <t>Nikki Monger</t>
        </is>
      </c>
      <c r="B3030" t="inlineStr">
        <is>
          <t>Sponsor</t>
        </is>
      </c>
      <c r="C3030" t="inlineStr">
        <is>
          <t>Senior Director, Global Industry Events</t>
        </is>
      </c>
      <c r="D3030" t="inlineStr">
        <is>
          <t>Infios</t>
        </is>
      </c>
      <c r="F3030" t="inlineStr">
        <is>
          <t>Yes</t>
        </is>
      </c>
      <c r="H3030" t="n">
        <v>2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>
        <f>IFERROR(INDEX('Company Hitlist'!$AA:$AA,MATCH(D3030,'Company Hitlist'!$A:$A,0)),)</f>
        <v/>
      </c>
      <c r="O3030">
        <f>IFERROR(INDEX('Company Hitlist'!$N:$N,MATCH(D3030,'Company Hitlist'!$A:$A,0)),)</f>
        <v/>
      </c>
      <c r="Q3030" t="inlineStr">
        <is>
          <t>todo</t>
        </is>
      </c>
    </row>
    <row r="3031">
      <c r="A3031" t="inlineStr">
        <is>
          <t>Jessica Reed</t>
        </is>
      </c>
      <c r="B3031" t="inlineStr">
        <is>
          <t>Sponsor</t>
        </is>
      </c>
      <c r="C3031" t="inlineStr">
        <is>
          <t>Sr. Account Manager</t>
        </is>
      </c>
      <c r="D3031" t="inlineStr">
        <is>
          <t>Infor</t>
        </is>
      </c>
      <c r="E3031" t="inlineStr">
        <is>
          <t>United States</t>
        </is>
      </c>
      <c r="H3031" t="n">
        <v>2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>
        <f>IFERROR(INDEX('Company Hitlist'!$AA:$AA,MATCH(D3031,'Company Hitlist'!$A:$A,0)),)</f>
        <v/>
      </c>
      <c r="O3031">
        <f>IFERROR(INDEX('Company Hitlist'!$N:$N,MATCH(D3031,'Company Hitlist'!$A:$A,0)),)</f>
        <v/>
      </c>
      <c r="Q3031" t="inlineStr">
        <is>
          <t>todo</t>
        </is>
      </c>
    </row>
    <row r="3032">
      <c r="A3032" t="inlineStr">
        <is>
          <t>Luke Anderson</t>
        </is>
      </c>
      <c r="B3032" t="inlineStr">
        <is>
          <t>Sponsor</t>
        </is>
      </c>
      <c r="C3032" t="inlineStr">
        <is>
          <t>Sr. Account Manager</t>
        </is>
      </c>
      <c r="D3032" t="inlineStr">
        <is>
          <t>Infor</t>
        </is>
      </c>
      <c r="H3032" t="n">
        <v>2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>
        <f>IFERROR(INDEX('Company Hitlist'!$AA:$AA,MATCH(D3032,'Company Hitlist'!$A:$A,0)),)</f>
        <v/>
      </c>
      <c r="O3032">
        <f>IFERROR(INDEX('Company Hitlist'!$N:$N,MATCH(D3032,'Company Hitlist'!$A:$A,0)),)</f>
        <v/>
      </c>
      <c r="Q3032" t="inlineStr">
        <is>
          <t>todo</t>
        </is>
      </c>
    </row>
    <row r="3033">
      <c r="A3033" t="inlineStr">
        <is>
          <t>Peter Skov</t>
        </is>
      </c>
      <c r="B3033" t="inlineStr">
        <is>
          <t>Sponsor</t>
        </is>
      </c>
      <c r="C3033" t="inlineStr">
        <is>
          <t>InnoScale</t>
        </is>
      </c>
      <c r="D3033" t="inlineStr">
        <is>
          <t>InnoScale</t>
        </is>
      </c>
      <c r="F3033" t="inlineStr">
        <is>
          <t>Yes</t>
        </is>
      </c>
      <c r="H3033" t="n">
        <v>2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>
        <f>IFERROR(INDEX('Company Hitlist'!$AA:$AA,MATCH(D3033,'Company Hitlist'!$A:$A,0)),)</f>
        <v/>
      </c>
      <c r="O3033">
        <f>IFERROR(INDEX('Company Hitlist'!$N:$N,MATCH(D3033,'Company Hitlist'!$A:$A,0)),)</f>
        <v/>
      </c>
      <c r="Q3033" t="inlineStr">
        <is>
          <t>todo</t>
        </is>
      </c>
    </row>
    <row r="3034">
      <c r="A3034" t="inlineStr">
        <is>
          <t>Kenza Bahbaz</t>
        </is>
      </c>
      <c r="B3034" t="inlineStr">
        <is>
          <t>Sponsor</t>
        </is>
      </c>
      <c r="C3034" t="inlineStr">
        <is>
          <t>Associate Publisher</t>
        </is>
      </c>
      <c r="D3034" t="inlineStr">
        <is>
          <t>Inside Logistics Magazine</t>
        </is>
      </c>
      <c r="E3034" t="inlineStr">
        <is>
          <t>Canada</t>
        </is>
      </c>
      <c r="F3034" t="inlineStr">
        <is>
          <t>Yes</t>
        </is>
      </c>
      <c r="H3034" t="n">
        <v>2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>
        <f>IFERROR(INDEX('Company Hitlist'!$AA:$AA,MATCH(D3034,'Company Hitlist'!$A:$A,0)),)</f>
        <v/>
      </c>
      <c r="O3034">
        <f>IFERROR(INDEX('Company Hitlist'!$N:$N,MATCH(D3034,'Company Hitlist'!$A:$A,0)),)</f>
        <v/>
      </c>
      <c r="Q3034" t="inlineStr">
        <is>
          <t>todo</t>
        </is>
      </c>
    </row>
    <row r="3035">
      <c r="A3035" t="inlineStr">
        <is>
          <t>Austin Bumpus</t>
        </is>
      </c>
      <c r="B3035" t="inlineStr">
        <is>
          <t>Sponsor</t>
        </is>
      </c>
      <c r="C3035" t="inlineStr">
        <is>
          <t>Sr. Director, Strategic Partnerships</t>
        </is>
      </c>
      <c r="D3035" t="inlineStr">
        <is>
          <t>Instawork</t>
        </is>
      </c>
      <c r="E3035" t="inlineStr">
        <is>
          <t>United States</t>
        </is>
      </c>
      <c r="H3035" t="n">
        <v>2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>
        <f>IFERROR(INDEX('Company Hitlist'!$AA:$AA,MATCH(D3035,'Company Hitlist'!$A:$A,0)),)</f>
        <v/>
      </c>
      <c r="O3035">
        <f>IFERROR(INDEX('Company Hitlist'!$N:$N,MATCH(D3035,'Company Hitlist'!$A:$A,0)),)</f>
        <v/>
      </c>
      <c r="Q3035" t="inlineStr">
        <is>
          <t>todo</t>
        </is>
      </c>
    </row>
    <row r="3036">
      <c r="A3036" t="inlineStr">
        <is>
          <t>Jay Capron</t>
        </is>
      </c>
      <c r="B3036" t="inlineStr">
        <is>
          <t>Sponsor</t>
        </is>
      </c>
      <c r="C3036" t="inlineStr">
        <is>
          <t>IWLA</t>
        </is>
      </c>
      <c r="D3036" t="inlineStr">
        <is>
          <t>International Warehouse Logistics Association</t>
        </is>
      </c>
      <c r="H3036" t="n">
        <v>2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>
        <f>IFERROR(INDEX('Company Hitlist'!$AA:$AA,MATCH(D3036,'Company Hitlist'!$A:$A,0)),)</f>
        <v/>
      </c>
      <c r="O3036">
        <f>IFERROR(INDEX('Company Hitlist'!$N:$N,MATCH(D3036,'Company Hitlist'!$A:$A,0)),)</f>
        <v/>
      </c>
      <c r="Q3036" t="inlineStr">
        <is>
          <t>todo</t>
        </is>
      </c>
    </row>
    <row r="3037">
      <c r="A3037" t="inlineStr">
        <is>
          <t>Rob Copeland</t>
        </is>
      </c>
      <c r="B3037" t="inlineStr">
        <is>
          <t>Sponsor</t>
        </is>
      </c>
      <c r="C3037" t="inlineStr">
        <is>
          <t>Commercial Director, North America</t>
        </is>
      </c>
      <c r="D3037" t="inlineStr">
        <is>
          <t>Iron Mountain</t>
        </is>
      </c>
      <c r="E3037" t="inlineStr">
        <is>
          <t>United States</t>
        </is>
      </c>
      <c r="H3037" t="n">
        <v>2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>
        <f>IFERROR(INDEX('Company Hitlist'!$AA:$AA,MATCH(D3037,'Company Hitlist'!$A:$A,0)),)</f>
        <v/>
      </c>
      <c r="O3037">
        <f>IFERROR(INDEX('Company Hitlist'!$N:$N,MATCH(D3037,'Company Hitlist'!$A:$A,0)),)</f>
        <v/>
      </c>
      <c r="Q3037" t="inlineStr">
        <is>
          <t>todo</t>
        </is>
      </c>
    </row>
    <row r="3038">
      <c r="A3038" t="inlineStr">
        <is>
          <t>Brett Spector</t>
        </is>
      </c>
      <c r="B3038" t="inlineStr">
        <is>
          <t>Sponsor</t>
        </is>
      </c>
      <c r="C3038" t="inlineStr">
        <is>
          <t>Senior Director, Strategic Partnerships</t>
        </is>
      </c>
      <c r="D3038" t="inlineStr">
        <is>
          <t>Iron Mountain</t>
        </is>
      </c>
      <c r="H3038" t="n">
        <v>2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>
        <f>IFERROR(INDEX('Company Hitlist'!$AA:$AA,MATCH(D3038,'Company Hitlist'!$A:$A,0)),)</f>
        <v/>
      </c>
      <c r="O3038">
        <f>IFERROR(INDEX('Company Hitlist'!$N:$N,MATCH(D3038,'Company Hitlist'!$A:$A,0)),)</f>
        <v/>
      </c>
      <c r="Q3038" t="inlineStr">
        <is>
          <t>todo</t>
        </is>
      </c>
    </row>
    <row r="3039">
      <c r="A3039" t="inlineStr">
        <is>
          <t>Ilena Mece</t>
        </is>
      </c>
      <c r="B3039" t="inlineStr">
        <is>
          <t>Sponsor</t>
        </is>
      </c>
      <c r="C3039" t="inlineStr">
        <is>
          <t>Principal</t>
        </is>
      </c>
      <c r="D3039" t="inlineStr">
        <is>
          <t>KOMPAS VC</t>
        </is>
      </c>
      <c r="E3039" t="inlineStr">
        <is>
          <t>Germany</t>
        </is>
      </c>
      <c r="H3039" t="n">
        <v>2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>
        <f>IFERROR(INDEX('Company Hitlist'!$AA:$AA,MATCH(D3039,'Company Hitlist'!$A:$A,0)),)</f>
        <v/>
      </c>
      <c r="O3039">
        <f>IFERROR(INDEX('Company Hitlist'!$N:$N,MATCH(D3039,'Company Hitlist'!$A:$A,0)),)</f>
        <v/>
      </c>
      <c r="Q3039" t="inlineStr">
        <is>
          <t>todo</t>
        </is>
      </c>
    </row>
    <row r="3040">
      <c r="A3040" t="inlineStr">
        <is>
          <t>Yoobin Jung</t>
        </is>
      </c>
      <c r="B3040" t="inlineStr">
        <is>
          <t>Sponsor</t>
        </is>
      </c>
      <c r="C3040" t="inlineStr">
        <is>
          <t>Portfolio Development Manager</t>
        </is>
      </c>
      <c r="D3040" t="inlineStr">
        <is>
          <t>KOMPAS VC</t>
        </is>
      </c>
      <c r="E3040" t="inlineStr">
        <is>
          <t>Netherlands</t>
        </is>
      </c>
      <c r="H3040" t="n">
        <v>2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>
        <f>IFERROR(INDEX('Company Hitlist'!$AA:$AA,MATCH(D3040,'Company Hitlist'!$A:$A,0)),)</f>
        <v/>
      </c>
      <c r="O3040">
        <f>IFERROR(INDEX('Company Hitlist'!$N:$N,MATCH(D3040,'Company Hitlist'!$A:$A,0)),)</f>
        <v/>
      </c>
      <c r="Q3040" t="inlineStr">
        <is>
          <t>todo</t>
        </is>
      </c>
    </row>
    <row r="3041">
      <c r="A3041" t="inlineStr">
        <is>
          <t>Talia Rafaeli</t>
        </is>
      </c>
      <c r="B3041" t="inlineStr">
        <is>
          <t>Sponsor</t>
        </is>
      </c>
      <c r="C3041" t="inlineStr">
        <is>
          <t>Partner</t>
        </is>
      </c>
      <c r="D3041" t="inlineStr">
        <is>
          <t>KOMPAS VC</t>
        </is>
      </c>
      <c r="E3041" t="inlineStr">
        <is>
          <t>Spain</t>
        </is>
      </c>
      <c r="H3041" t="n">
        <v>2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>
        <f>IFERROR(INDEX('Company Hitlist'!$AA:$AA,MATCH(D3041,'Company Hitlist'!$A:$A,0)),)</f>
        <v/>
      </c>
      <c r="O3041">
        <f>IFERROR(INDEX('Company Hitlist'!$N:$N,MATCH(D3041,'Company Hitlist'!$A:$A,0)),)</f>
        <v/>
      </c>
      <c r="Q3041" t="inlineStr">
        <is>
          <t>todo</t>
        </is>
      </c>
    </row>
    <row r="3042">
      <c r="A3042" t="inlineStr">
        <is>
          <t>Nick Cornell</t>
        </is>
      </c>
      <c r="B3042" t="inlineStr">
        <is>
          <t>Sponsor</t>
        </is>
      </c>
      <c r="C3042" t="inlineStr">
        <is>
          <t>Sr. Director, Corporate Development</t>
        </is>
      </c>
      <c r="D3042" t="inlineStr">
        <is>
          <t>Kaleris</t>
        </is>
      </c>
      <c r="E3042" t="inlineStr">
        <is>
          <t>United States</t>
        </is>
      </c>
      <c r="F3042" t="inlineStr">
        <is>
          <t>Yes</t>
        </is>
      </c>
      <c r="G3042" t="inlineStr">
        <is>
          <t>$178.5 million (2025)</t>
        </is>
      </c>
      <c r="H3042" t="n">
        <v>2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>
        <f>IFERROR(INDEX('Company Hitlist'!$AA:$AA,MATCH(D3042,'Company Hitlist'!$A:$A,0)),)</f>
        <v/>
      </c>
      <c r="O3042">
        <f>IFERROR(INDEX('Company Hitlist'!$N:$N,MATCH(D3042,'Company Hitlist'!$A:$A,0)),)</f>
        <v/>
      </c>
      <c r="Q3042" t="inlineStr">
        <is>
          <t>todo</t>
        </is>
      </c>
    </row>
    <row r="3043">
      <c r="A3043" t="inlineStr">
        <is>
          <t>Prashant Bhatia</t>
        </is>
      </c>
      <c r="B3043" t="inlineStr">
        <is>
          <t>Sponsor</t>
        </is>
      </c>
      <c r="C3043" t="inlineStr">
        <is>
          <t>CMO</t>
        </is>
      </c>
      <c r="D3043" t="inlineStr">
        <is>
          <t>Kaleris</t>
        </is>
      </c>
      <c r="E3043" t="inlineStr">
        <is>
          <t>United States</t>
        </is>
      </c>
      <c r="F3043" t="inlineStr">
        <is>
          <t>Yes</t>
        </is>
      </c>
      <c r="G3043" t="inlineStr">
        <is>
          <t>$178.5 million (2025)</t>
        </is>
      </c>
      <c r="H3043" t="n">
        <v>2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>
        <f>IFERROR(INDEX('Company Hitlist'!$AA:$AA,MATCH(D3043,'Company Hitlist'!$A:$A,0)),)</f>
        <v/>
      </c>
      <c r="O3043">
        <f>IFERROR(INDEX('Company Hitlist'!$N:$N,MATCH(D3043,'Company Hitlist'!$A:$A,0)),)</f>
        <v/>
      </c>
      <c r="Q3043" t="inlineStr">
        <is>
          <t>todo</t>
        </is>
      </c>
    </row>
    <row r="3044">
      <c r="A3044" t="inlineStr">
        <is>
          <t>David Siedt</t>
        </is>
      </c>
      <c r="B3044" t="inlineStr">
        <is>
          <t>Sponsor</t>
        </is>
      </c>
      <c r="C3044" t="inlineStr">
        <is>
          <t>Principal Solution Consultant</t>
        </is>
      </c>
      <c r="D3044" t="inlineStr">
        <is>
          <t>Keelvar</t>
        </is>
      </c>
      <c r="E3044" t="inlineStr">
        <is>
          <t>United States</t>
        </is>
      </c>
      <c r="F3044" t="inlineStr">
        <is>
          <t>Yes</t>
        </is>
      </c>
      <c r="G3044" t="inlineStr">
        <is>
          <t>$8.4 million (2025)</t>
        </is>
      </c>
      <c r="H3044" t="n">
        <v>2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>
        <f>IFERROR(INDEX('Company Hitlist'!$AA:$AA,MATCH(D3044,'Company Hitlist'!$A:$A,0)),)</f>
        <v/>
      </c>
      <c r="O3044">
        <f>IFERROR(INDEX('Company Hitlist'!$N:$N,MATCH(D3044,'Company Hitlist'!$A:$A,0)),)</f>
        <v/>
      </c>
      <c r="Q3044" t="inlineStr">
        <is>
          <t>todo</t>
        </is>
      </c>
    </row>
    <row r="3045">
      <c r="A3045" t="inlineStr">
        <is>
          <t>Hamed Yazdani</t>
        </is>
      </c>
      <c r="B3045" t="inlineStr">
        <is>
          <t>Sponsor</t>
        </is>
      </c>
      <c r="C3045" t="inlineStr">
        <is>
          <t>Senior Business Consultant</t>
        </is>
      </c>
      <c r="D3045" t="inlineStr">
        <is>
          <t>Kinaxis</t>
        </is>
      </c>
      <c r="E3045" t="inlineStr">
        <is>
          <t>Canada</t>
        </is>
      </c>
      <c r="F3045" t="inlineStr">
        <is>
          <t>Yes</t>
        </is>
      </c>
      <c r="G3045" t="inlineStr">
        <is>
          <t>$450M (2024 est.; projected $480M in 2025)</t>
        </is>
      </c>
      <c r="H3045" t="n">
        <v>2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>
        <f>IFERROR(INDEX('Company Hitlist'!$AA:$AA,MATCH(D3045,'Company Hitlist'!$A:$A,0)),)</f>
        <v/>
      </c>
      <c r="O3045">
        <f>IFERROR(INDEX('Company Hitlist'!$N:$N,MATCH(D3045,'Company Hitlist'!$A:$A,0)),)</f>
        <v/>
      </c>
      <c r="Q3045" t="inlineStr">
        <is>
          <t>todo</t>
        </is>
      </c>
    </row>
    <row r="3046">
      <c r="A3046" t="inlineStr">
        <is>
          <t>Matt Tatham</t>
        </is>
      </c>
      <c r="B3046" t="inlineStr">
        <is>
          <t>Sponsor</t>
        </is>
      </c>
      <c r="C3046" t="inlineStr">
        <is>
          <t>Senior PR Lead</t>
        </is>
      </c>
      <c r="D3046" t="inlineStr">
        <is>
          <t>Kinaxis</t>
        </is>
      </c>
      <c r="E3046" t="inlineStr">
        <is>
          <t>United States</t>
        </is>
      </c>
      <c r="F3046" t="inlineStr">
        <is>
          <t>Yes</t>
        </is>
      </c>
      <c r="G3046" t="inlineStr">
        <is>
          <t>$450M (2024 est.; projected $480M in 2025)</t>
        </is>
      </c>
      <c r="H3046" t="n">
        <v>2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>
        <f>IFERROR(INDEX('Company Hitlist'!$AA:$AA,MATCH(D3046,'Company Hitlist'!$A:$A,0)),)</f>
        <v/>
      </c>
      <c r="O3046">
        <f>IFERROR(INDEX('Company Hitlist'!$N:$N,MATCH(D3046,'Company Hitlist'!$A:$A,0)),)</f>
        <v/>
      </c>
      <c r="Q3046" t="inlineStr">
        <is>
          <t>todo</t>
        </is>
      </c>
    </row>
    <row r="3047">
      <c r="A3047" t="inlineStr">
        <is>
          <t>Karen McDougall</t>
        </is>
      </c>
      <c r="B3047" t="inlineStr">
        <is>
          <t>Sponsor</t>
        </is>
      </c>
      <c r="C3047" t="inlineStr">
        <is>
          <t>Kinaxis</t>
        </is>
      </c>
      <c r="D3047" t="inlineStr">
        <is>
          <t>Kinaxis</t>
        </is>
      </c>
      <c r="F3047" t="inlineStr">
        <is>
          <t>Yes</t>
        </is>
      </c>
      <c r="G3047" t="inlineStr">
        <is>
          <t>$450M (2024 est.; projected $480M in 2025)</t>
        </is>
      </c>
      <c r="H3047" t="n">
        <v>2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>
        <f>IFERROR(INDEX('Company Hitlist'!$AA:$AA,MATCH(D3047,'Company Hitlist'!$A:$A,0)),)</f>
        <v/>
      </c>
      <c r="O3047">
        <f>IFERROR(INDEX('Company Hitlist'!$N:$N,MATCH(D3047,'Company Hitlist'!$A:$A,0)),)</f>
        <v/>
      </c>
      <c r="Q3047" t="inlineStr">
        <is>
          <t>todo</t>
        </is>
      </c>
    </row>
    <row r="3048">
      <c r="A3048" t="inlineStr">
        <is>
          <t>Logan Ferguson</t>
        </is>
      </c>
      <c r="B3048" t="inlineStr">
        <is>
          <t>Sponsor</t>
        </is>
      </c>
      <c r="C3048" t="inlineStr">
        <is>
          <t>Sr. Business Consultant</t>
        </is>
      </c>
      <c r="D3048" t="inlineStr">
        <is>
          <t>Kinaxis</t>
        </is>
      </c>
      <c r="F3048" t="inlineStr">
        <is>
          <t>Yes</t>
        </is>
      </c>
      <c r="G3048" t="inlineStr">
        <is>
          <t>$450M (2024 est.; projected $480M in 2025)</t>
        </is>
      </c>
      <c r="H3048" t="n">
        <v>2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>
        <f>IFERROR(INDEX('Company Hitlist'!$AA:$AA,MATCH(D3048,'Company Hitlist'!$A:$A,0)),)</f>
        <v/>
      </c>
      <c r="O3048">
        <f>IFERROR(INDEX('Company Hitlist'!$N:$N,MATCH(D3048,'Company Hitlist'!$A:$A,0)),)</f>
        <v/>
      </c>
      <c r="Q3048" t="inlineStr">
        <is>
          <t>todo</t>
        </is>
      </c>
    </row>
    <row r="3049">
      <c r="A3049" t="inlineStr">
        <is>
          <t>Vanessa Eldridge</t>
        </is>
      </c>
      <c r="B3049" t="inlineStr">
        <is>
          <t>Sponsor</t>
        </is>
      </c>
      <c r="C3049" t="inlineStr">
        <is>
          <t>Director of Account Management</t>
        </is>
      </c>
      <c r="D3049" t="inlineStr">
        <is>
          <t>Kleinschmidt Inc.</t>
        </is>
      </c>
      <c r="F3049" t="inlineStr">
        <is>
          <t>Yes</t>
        </is>
      </c>
      <c r="H3049" t="n">
        <v>2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>
        <f>IFERROR(INDEX('Company Hitlist'!$AA:$AA,MATCH(D3049,'Company Hitlist'!$A:$A,0)),)</f>
        <v/>
      </c>
      <c r="O3049">
        <f>IFERROR(INDEX('Company Hitlist'!$N:$N,MATCH(D3049,'Company Hitlist'!$A:$A,0)),)</f>
        <v/>
      </c>
      <c r="Q3049" t="inlineStr">
        <is>
          <t>todo</t>
        </is>
      </c>
    </row>
    <row r="3050">
      <c r="A3050" t="inlineStr">
        <is>
          <t>Tom Carr</t>
        </is>
      </c>
      <c r="B3050" t="inlineStr">
        <is>
          <t>Sponsor</t>
        </is>
      </c>
      <c r="C3050" t="inlineStr">
        <is>
          <t>Account Development Manager</t>
        </is>
      </c>
      <c r="D3050" t="inlineStr">
        <is>
          <t>Lean Solutions Group</t>
        </is>
      </c>
      <c r="E3050" t="inlineStr">
        <is>
          <t>United States</t>
        </is>
      </c>
      <c r="H3050" t="n">
        <v>2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>
        <f>IFERROR(INDEX('Company Hitlist'!$AA:$AA,MATCH(D3050,'Company Hitlist'!$A:$A,0)),)</f>
        <v/>
      </c>
      <c r="O3050">
        <f>IFERROR(INDEX('Company Hitlist'!$N:$N,MATCH(D3050,'Company Hitlist'!$A:$A,0)),)</f>
        <v/>
      </c>
      <c r="Q3050" t="inlineStr">
        <is>
          <t>todo</t>
        </is>
      </c>
    </row>
    <row r="3051">
      <c r="A3051" t="inlineStr">
        <is>
          <t>Bob Finkelstein</t>
        </is>
      </c>
      <c r="B3051" t="inlineStr">
        <is>
          <t>Sponsor</t>
        </is>
      </c>
      <c r="C3051" t="inlineStr">
        <is>
          <t>Videographer</t>
        </is>
      </c>
      <c r="D3051" t="inlineStr">
        <is>
          <t>Let's Talk Supply Chain</t>
        </is>
      </c>
      <c r="E3051" t="inlineStr">
        <is>
          <t>United States</t>
        </is>
      </c>
      <c r="H3051" t="n">
        <v>2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>
        <f>IFERROR(INDEX('Company Hitlist'!$AA:$AA,MATCH(D3051,'Company Hitlist'!$A:$A,0)),)</f>
        <v/>
      </c>
      <c r="O3051">
        <f>IFERROR(INDEX('Company Hitlist'!$N:$N,MATCH(D3051,'Company Hitlist'!$A:$A,0)),)</f>
        <v/>
      </c>
      <c r="Q3051" t="inlineStr">
        <is>
          <t>todo</t>
        </is>
      </c>
    </row>
    <row r="3052">
      <c r="A3052" t="inlineStr">
        <is>
          <t>Allan Humphrey</t>
        </is>
      </c>
      <c r="B3052" t="inlineStr">
        <is>
          <t>Sponsor</t>
        </is>
      </c>
      <c r="C3052" t="inlineStr">
        <is>
          <t>Customer Experience</t>
        </is>
      </c>
      <c r="D3052" t="inlineStr">
        <is>
          <t>Lets Talk Supply Chain LLC</t>
        </is>
      </c>
      <c r="H3052" t="n">
        <v>2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>
        <f>IFERROR(INDEX('Company Hitlist'!$AA:$AA,MATCH(D3052,'Company Hitlist'!$A:$A,0)),)</f>
        <v/>
      </c>
      <c r="O3052">
        <f>IFERROR(INDEX('Company Hitlist'!$N:$N,MATCH(D3052,'Company Hitlist'!$A:$A,0)),)</f>
        <v/>
      </c>
      <c r="Q3052" t="inlineStr">
        <is>
          <t>todo</t>
        </is>
      </c>
    </row>
    <row r="3053">
      <c r="A3053" t="inlineStr">
        <is>
          <t>April Lardie</t>
        </is>
      </c>
      <c r="B3053" t="inlineStr">
        <is>
          <t>Sponsor</t>
        </is>
      </c>
      <c r="C3053" t="inlineStr">
        <is>
          <t>Senior Product Experience Manager</t>
        </is>
      </c>
      <c r="D3053" t="inlineStr">
        <is>
          <t>Locus Robotics</t>
        </is>
      </c>
      <c r="E3053" t="inlineStr">
        <is>
          <t>United States</t>
        </is>
      </c>
      <c r="H3053" t="n">
        <v>2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>
        <f>IFERROR(INDEX('Company Hitlist'!$AA:$AA,MATCH(D3053,'Company Hitlist'!$A:$A,0)),)</f>
        <v/>
      </c>
      <c r="O3053">
        <f>IFERROR(INDEX('Company Hitlist'!$N:$N,MATCH(D3053,'Company Hitlist'!$A:$A,0)),)</f>
        <v/>
      </c>
      <c r="Q3053" t="inlineStr">
        <is>
          <t>todo</t>
        </is>
      </c>
    </row>
    <row r="3054">
      <c r="A3054" t="inlineStr">
        <is>
          <t>Connor Sheehey</t>
        </is>
      </c>
      <c r="B3054" t="inlineStr">
        <is>
          <t>Sponsor</t>
        </is>
      </c>
      <c r="C3054" t="inlineStr">
        <is>
          <t>CGO</t>
        </is>
      </c>
      <c r="D3054" t="inlineStr">
        <is>
          <t>LogiVeo</t>
        </is>
      </c>
      <c r="E3054" t="inlineStr">
        <is>
          <t>United States</t>
        </is>
      </c>
      <c r="F3054" t="inlineStr">
        <is>
          <t>Yes</t>
        </is>
      </c>
      <c r="G3054" t="inlineStr">
        <is>
          <t>$5.2 million (2025)</t>
        </is>
      </c>
      <c r="H3054" t="n">
        <v>2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>
        <f>IFERROR(INDEX('Company Hitlist'!$AA:$AA,MATCH(D3054,'Company Hitlist'!$A:$A,0)),)</f>
        <v/>
      </c>
      <c r="O3054">
        <f>IFERROR(INDEX('Company Hitlist'!$N:$N,MATCH(D3054,'Company Hitlist'!$A:$A,0)),)</f>
        <v/>
      </c>
      <c r="Q3054" t="inlineStr">
        <is>
          <t>todo</t>
        </is>
      </c>
    </row>
    <row r="3055">
      <c r="A3055" t="inlineStr">
        <is>
          <t>Wessel Dirks</t>
        </is>
      </c>
      <c r="B3055" t="inlineStr">
        <is>
          <t>Sponsor</t>
        </is>
      </c>
      <c r="C3055" t="inlineStr">
        <is>
          <t>Group MD Air &amp; Ocean (Freight Forwarding)</t>
        </is>
      </c>
      <c r="D3055" t="inlineStr">
        <is>
          <t>Logicall Group</t>
        </is>
      </c>
      <c r="E3055" t="inlineStr">
        <is>
          <t>Netherlands</t>
        </is>
      </c>
      <c r="H3055" t="n">
        <v>2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>
        <f>IFERROR(INDEX('Company Hitlist'!$AA:$AA,MATCH(D3055,'Company Hitlist'!$A:$A,0)),)</f>
        <v/>
      </c>
      <c r="O3055">
        <f>IFERROR(INDEX('Company Hitlist'!$N:$N,MATCH(D3055,'Company Hitlist'!$A:$A,0)),)</f>
        <v/>
      </c>
      <c r="Q3055" t="inlineStr">
        <is>
          <t>todo</t>
        </is>
      </c>
    </row>
    <row r="3056">
      <c r="A3056" t="inlineStr">
        <is>
          <t>David Priestman</t>
        </is>
      </c>
      <c r="B3056" t="inlineStr">
        <is>
          <t>Sponsor</t>
        </is>
      </c>
      <c r="C3056" t="inlineStr">
        <is>
          <t>Publisher</t>
        </is>
      </c>
      <c r="D3056" t="inlineStr">
        <is>
          <t>Logistics Business Publishing Ltd</t>
        </is>
      </c>
      <c r="E3056" t="inlineStr">
        <is>
          <t>United Kingdom</t>
        </is>
      </c>
      <c r="H3056" t="n">
        <v>2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>
        <f>IFERROR(INDEX('Company Hitlist'!$AA:$AA,MATCH(D3056,'Company Hitlist'!$A:$A,0)),)</f>
        <v/>
      </c>
      <c r="O3056">
        <f>IFERROR(INDEX('Company Hitlist'!$N:$N,MATCH(D3056,'Company Hitlist'!$A:$A,0)),)</f>
        <v/>
      </c>
      <c r="Q3056" t="inlineStr">
        <is>
          <t>todo</t>
        </is>
      </c>
    </row>
    <row r="3057">
      <c r="A3057" t="inlineStr">
        <is>
          <t>Paul Kenny</t>
        </is>
      </c>
      <c r="B3057" t="inlineStr">
        <is>
          <t>Sponsor</t>
        </is>
      </c>
      <c r="C3057" t="inlineStr">
        <is>
          <t>Manager</t>
        </is>
      </c>
      <c r="D3057" t="inlineStr">
        <is>
          <t>Logistics Management / Supply Chain Management Review</t>
        </is>
      </c>
      <c r="H3057" t="n">
        <v>2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>
        <f>IFERROR(INDEX('Company Hitlist'!$AA:$AA,MATCH(D3057,'Company Hitlist'!$A:$A,0)),)</f>
        <v/>
      </c>
      <c r="O3057">
        <f>IFERROR(INDEX('Company Hitlist'!$N:$N,MATCH(D3057,'Company Hitlist'!$A:$A,0)),)</f>
        <v/>
      </c>
      <c r="Q3057" t="inlineStr">
        <is>
          <t>todo</t>
        </is>
      </c>
    </row>
    <row r="3058">
      <c r="A3058" t="inlineStr">
        <is>
          <t>Gabriel Calderon</t>
        </is>
      </c>
      <c r="B3058" t="inlineStr">
        <is>
          <t>Sponsor</t>
        </is>
      </c>
      <c r="C3058" t="inlineStr">
        <is>
          <t>Client Success</t>
        </is>
      </c>
      <c r="D3058" t="inlineStr">
        <is>
          <t>Lojistic</t>
        </is>
      </c>
      <c r="E3058" t="inlineStr">
        <is>
          <t>United States</t>
        </is>
      </c>
      <c r="F3058" t="inlineStr">
        <is>
          <t>Yes</t>
        </is>
      </c>
      <c r="H3058" t="n">
        <v>2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>
        <f>IFERROR(INDEX('Company Hitlist'!$AA:$AA,MATCH(D3058,'Company Hitlist'!$A:$A,0)),)</f>
        <v/>
      </c>
      <c r="O3058">
        <f>IFERROR(INDEX('Company Hitlist'!$N:$N,MATCH(D3058,'Company Hitlist'!$A:$A,0)),)</f>
        <v/>
      </c>
      <c r="Q3058" t="inlineStr">
        <is>
          <t>todo</t>
        </is>
      </c>
    </row>
    <row r="3059">
      <c r="A3059" t="inlineStr">
        <is>
          <t>Michael Britton</t>
        </is>
      </c>
      <c r="B3059" t="inlineStr">
        <is>
          <t>Sponsor</t>
        </is>
      </c>
      <c r="C3059" t="inlineStr">
        <is>
          <t>Strategy Manager</t>
        </is>
      </c>
      <c r="D3059" t="inlineStr">
        <is>
          <t>Lojistic</t>
        </is>
      </c>
      <c r="E3059" t="inlineStr">
        <is>
          <t>United States</t>
        </is>
      </c>
      <c r="H3059" t="n">
        <v>2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>
        <f>IFERROR(INDEX('Company Hitlist'!$AA:$AA,MATCH(D3059,'Company Hitlist'!$A:$A,0)),)</f>
        <v/>
      </c>
      <c r="O3059">
        <f>IFERROR(INDEX('Company Hitlist'!$N:$N,MATCH(D3059,'Company Hitlist'!$A:$A,0)),)</f>
        <v/>
      </c>
      <c r="Q3059" t="inlineStr">
        <is>
          <t>todo</t>
        </is>
      </c>
    </row>
    <row r="3060">
      <c r="A3060" t="inlineStr">
        <is>
          <t>Adam Wurman</t>
        </is>
      </c>
      <c r="B3060" t="inlineStr">
        <is>
          <t>Sponsor</t>
        </is>
      </c>
      <c r="C3060" t="inlineStr">
        <is>
          <t>Solutions &amp; Enterprise Partnerships</t>
        </is>
      </c>
      <c r="D3060" t="inlineStr">
        <is>
          <t>Loop</t>
        </is>
      </c>
      <c r="E3060" t="inlineStr">
        <is>
          <t>United States</t>
        </is>
      </c>
      <c r="F3060" t="inlineStr">
        <is>
          <t>Yes</t>
        </is>
      </c>
      <c r="H3060" t="n">
        <v>2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>
        <f>IFERROR(INDEX('Company Hitlist'!$AA:$AA,MATCH(D3060,'Company Hitlist'!$A:$A,0)),)</f>
        <v/>
      </c>
      <c r="O3060">
        <f>IFERROR(INDEX('Company Hitlist'!$N:$N,MATCH(D3060,'Company Hitlist'!$A:$A,0)),)</f>
        <v/>
      </c>
      <c r="Q3060" t="inlineStr">
        <is>
          <t>todo</t>
        </is>
      </c>
    </row>
    <row r="3061">
      <c r="A3061" t="inlineStr">
        <is>
          <t>Julie Dionne</t>
        </is>
      </c>
      <c r="B3061" t="inlineStr">
        <is>
          <t>Sponsor</t>
        </is>
      </c>
      <c r="C3061" t="inlineStr">
        <is>
          <t>Director of Professional Services</t>
        </is>
      </c>
      <c r="D3061" t="inlineStr">
        <is>
          <t>MBIS</t>
        </is>
      </c>
      <c r="E3061" t="inlineStr">
        <is>
          <t>Canada</t>
        </is>
      </c>
      <c r="F3061" t="inlineStr">
        <is>
          <t>Yes</t>
        </is>
      </c>
      <c r="H3061" t="n">
        <v>2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>
        <f>IFERROR(INDEX('Company Hitlist'!$AA:$AA,MATCH(D3061,'Company Hitlist'!$A:$A,0)),)</f>
        <v/>
      </c>
      <c r="O3061">
        <f>IFERROR(INDEX('Company Hitlist'!$N:$N,MATCH(D3061,'Company Hitlist'!$A:$A,0)),)</f>
        <v/>
      </c>
      <c r="Q3061" t="inlineStr">
        <is>
          <t>todo</t>
        </is>
      </c>
    </row>
    <row r="3062">
      <c r="A3062" t="inlineStr">
        <is>
          <t>Jessie Hollis</t>
        </is>
      </c>
      <c r="B3062" t="inlineStr">
        <is>
          <t>Sponsor</t>
        </is>
      </c>
      <c r="C3062" t="inlineStr">
        <is>
          <t>Director, Commercial Administration</t>
        </is>
      </c>
      <c r="D3062" t="inlineStr">
        <is>
          <t>MODE Global</t>
        </is>
      </c>
      <c r="E3062" t="inlineStr">
        <is>
          <t>United States</t>
        </is>
      </c>
      <c r="H3062" t="n">
        <v>2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>
        <f>IFERROR(INDEX('Company Hitlist'!$AA:$AA,MATCH(D3062,'Company Hitlist'!$A:$A,0)),)</f>
        <v/>
      </c>
      <c r="O3062">
        <f>IFERROR(INDEX('Company Hitlist'!$N:$N,MATCH(D3062,'Company Hitlist'!$A:$A,0)),)</f>
        <v/>
      </c>
      <c r="Q3062" t="inlineStr">
        <is>
          <t>todo</t>
        </is>
      </c>
    </row>
    <row r="3063">
      <c r="A3063" t="inlineStr">
        <is>
          <t>Nick Murphy</t>
        </is>
      </c>
      <c r="B3063" t="inlineStr">
        <is>
          <t>Attendee</t>
        </is>
      </c>
      <c r="C3063" t="inlineStr">
        <is>
          <t>Senior Growth Enablement Manager Lead Logistics</t>
        </is>
      </c>
      <c r="D3063" t="inlineStr">
        <is>
          <t>Maersk</t>
        </is>
      </c>
      <c r="E3063" t="inlineStr">
        <is>
          <t>United States</t>
        </is>
      </c>
      <c r="H3063" t="n">
        <v>2</v>
      </c>
      <c r="I3063" t="b">
        <v>1</v>
      </c>
      <c r="J3063" t="b">
        <v>0</v>
      </c>
      <c r="K3063" t="b">
        <v>0</v>
      </c>
      <c r="L3063" t="b">
        <v>0</v>
      </c>
      <c r="M3063" t="b">
        <v>1</v>
      </c>
      <c r="N3063">
        <f>IFERROR(INDEX('Company Hitlist'!$AA:$AA,MATCH(D3063,'Company Hitlist'!$A:$A,0)),)</f>
        <v/>
      </c>
      <c r="O3063">
        <f>IFERROR(INDEX('Company Hitlist'!$N:$N,MATCH(D3063,'Company Hitlist'!$A:$A,0)),)</f>
        <v/>
      </c>
      <c r="Q3063" t="inlineStr">
        <is>
          <t>todo</t>
        </is>
      </c>
    </row>
    <row r="3064">
      <c r="A3064" t="inlineStr">
        <is>
          <t>Amanda Lopes</t>
        </is>
      </c>
      <c r="B3064" t="inlineStr">
        <is>
          <t>Sponsor</t>
        </is>
      </c>
      <c r="C3064" t="inlineStr">
        <is>
          <t>Global Client Manager</t>
        </is>
      </c>
      <c r="D3064" t="inlineStr">
        <is>
          <t>Maersk</t>
        </is>
      </c>
      <c r="E3064" t="inlineStr">
        <is>
          <t>United States</t>
        </is>
      </c>
      <c r="H3064" t="n">
        <v>2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>
        <f>IFERROR(INDEX('Company Hitlist'!$AA:$AA,MATCH(D3064,'Company Hitlist'!$A:$A,0)),)</f>
        <v/>
      </c>
      <c r="O3064">
        <f>IFERROR(INDEX('Company Hitlist'!$N:$N,MATCH(D3064,'Company Hitlist'!$A:$A,0)),)</f>
        <v/>
      </c>
      <c r="Q3064" t="inlineStr">
        <is>
          <t>todo</t>
        </is>
      </c>
    </row>
    <row r="3065">
      <c r="A3065" t="inlineStr">
        <is>
          <t>Ashley Kaplan</t>
        </is>
      </c>
      <c r="B3065" t="inlineStr">
        <is>
          <t>Sponsor</t>
        </is>
      </c>
      <c r="C3065" t="inlineStr">
        <is>
          <t>Regional Events Manager</t>
        </is>
      </c>
      <c r="D3065" t="inlineStr">
        <is>
          <t>Maersk</t>
        </is>
      </c>
      <c r="H3065" t="n">
        <v>2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>
        <f>IFERROR(INDEX('Company Hitlist'!$AA:$AA,MATCH(D3065,'Company Hitlist'!$A:$A,0)),)</f>
        <v/>
      </c>
      <c r="O3065">
        <f>IFERROR(INDEX('Company Hitlist'!$N:$N,MATCH(D3065,'Company Hitlist'!$A:$A,0)),)</f>
        <v/>
      </c>
      <c r="Q3065" t="inlineStr">
        <is>
          <t>todo</t>
        </is>
      </c>
    </row>
    <row r="3066">
      <c r="A3066" t="inlineStr">
        <is>
          <t>Alexis Fitzenreiter</t>
        </is>
      </c>
      <c r="B3066" t="inlineStr">
        <is>
          <t>Sponsor</t>
        </is>
      </c>
      <c r="C3066" t="inlineStr">
        <is>
          <t>Media and Communications Advisor</t>
        </is>
      </c>
      <c r="D3066" t="inlineStr">
        <is>
          <t>Maersk E-Commerce</t>
        </is>
      </c>
      <c r="E3066" t="inlineStr">
        <is>
          <t>United States</t>
        </is>
      </c>
      <c r="F3066" t="inlineStr">
        <is>
          <t>Yes</t>
        </is>
      </c>
      <c r="H3066" t="n">
        <v>2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>
        <f>IFERROR(INDEX('Company Hitlist'!$AA:$AA,MATCH(D3066,'Company Hitlist'!$A:$A,0)),)</f>
        <v/>
      </c>
      <c r="O3066">
        <f>IFERROR(INDEX('Company Hitlist'!$N:$N,MATCH(D3066,'Company Hitlist'!$A:$A,0)),)</f>
        <v/>
      </c>
      <c r="Q3066" t="inlineStr">
        <is>
          <t>todo</t>
        </is>
      </c>
    </row>
    <row r="3067">
      <c r="A3067" t="inlineStr">
        <is>
          <t>Henny Hendrawati</t>
        </is>
      </c>
      <c r="B3067" t="inlineStr">
        <is>
          <t>Sponsor</t>
        </is>
      </c>
      <c r="C3067" t="inlineStr">
        <is>
          <t>Sr. PoC Portfolio Manager</t>
        </is>
      </c>
      <c r="D3067" t="inlineStr">
        <is>
          <t>Maersk E-Commerce</t>
        </is>
      </c>
      <c r="E3067" t="inlineStr">
        <is>
          <t>United States</t>
        </is>
      </c>
      <c r="H3067" t="n">
        <v>2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>
        <f>IFERROR(INDEX('Company Hitlist'!$AA:$AA,MATCH(D3067,'Company Hitlist'!$A:$A,0)),)</f>
        <v/>
      </c>
      <c r="O3067">
        <f>IFERROR(INDEX('Company Hitlist'!$N:$N,MATCH(D3067,'Company Hitlist'!$A:$A,0)),)</f>
        <v/>
      </c>
      <c r="Q3067" t="inlineStr">
        <is>
          <t>todo</t>
        </is>
      </c>
    </row>
    <row r="3068">
      <c r="A3068" t="inlineStr">
        <is>
          <t>Brian Phillips</t>
        </is>
      </c>
      <c r="B3068" t="inlineStr">
        <is>
          <t>Sponsor</t>
        </is>
      </c>
      <c r="C3068" t="inlineStr">
        <is>
          <t>Enterprise Account Director</t>
        </is>
      </c>
      <c r="D3068" t="inlineStr">
        <is>
          <t>MaintainX</t>
        </is>
      </c>
      <c r="E3068" t="inlineStr">
        <is>
          <t>United States</t>
        </is>
      </c>
      <c r="F3068" t="inlineStr">
        <is>
          <t>Yes</t>
        </is>
      </c>
      <c r="H3068" t="n">
        <v>2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>
        <f>IFERROR(INDEX('Company Hitlist'!$AA:$AA,MATCH(D3068,'Company Hitlist'!$A:$A,0)),)</f>
        <v/>
      </c>
      <c r="O3068">
        <f>IFERROR(INDEX('Company Hitlist'!$N:$N,MATCH(D3068,'Company Hitlist'!$A:$A,0)),)</f>
        <v/>
      </c>
      <c r="Q3068" t="inlineStr">
        <is>
          <t>todo</t>
        </is>
      </c>
    </row>
    <row r="3069">
      <c r="A3069" t="inlineStr">
        <is>
          <t>Nick Haase</t>
        </is>
      </c>
      <c r="B3069" t="inlineStr">
        <is>
          <t>Sponsor</t>
        </is>
      </c>
      <c r="C3069" t="inlineStr">
        <is>
          <t>Co-Founder</t>
        </is>
      </c>
      <c r="D3069" t="inlineStr">
        <is>
          <t>MaintainX</t>
        </is>
      </c>
      <c r="E3069" t="inlineStr">
        <is>
          <t>United States</t>
        </is>
      </c>
      <c r="F3069" t="inlineStr">
        <is>
          <t>Yes</t>
        </is>
      </c>
      <c r="H3069" t="n">
        <v>2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>
        <f>IFERROR(INDEX('Company Hitlist'!$AA:$AA,MATCH(D3069,'Company Hitlist'!$A:$A,0)),)</f>
        <v/>
      </c>
      <c r="O3069">
        <f>IFERROR(INDEX('Company Hitlist'!$N:$N,MATCH(D3069,'Company Hitlist'!$A:$A,0)),)</f>
        <v/>
      </c>
      <c r="Q3069" t="inlineStr">
        <is>
          <t>todo</t>
        </is>
      </c>
    </row>
    <row r="3070">
      <c r="A3070" t="inlineStr">
        <is>
          <t>Ozella Bowman</t>
        </is>
      </c>
      <c r="B3070" t="inlineStr">
        <is>
          <t>Sponsor</t>
        </is>
      </c>
      <c r="C3070" t="inlineStr">
        <is>
          <t>Senior Solutions Consultant</t>
        </is>
      </c>
      <c r="D3070" t="inlineStr">
        <is>
          <t>MaintainX</t>
        </is>
      </c>
      <c r="E3070" t="inlineStr">
        <is>
          <t>United States</t>
        </is>
      </c>
      <c r="F3070" t="inlineStr">
        <is>
          <t>Yes</t>
        </is>
      </c>
      <c r="H3070" t="n">
        <v>2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>
        <f>IFERROR(INDEX('Company Hitlist'!$AA:$AA,MATCH(D3070,'Company Hitlist'!$A:$A,0)),)</f>
        <v/>
      </c>
      <c r="O3070">
        <f>IFERROR(INDEX('Company Hitlist'!$N:$N,MATCH(D3070,'Company Hitlist'!$A:$A,0)),)</f>
        <v/>
      </c>
      <c r="Q3070" t="inlineStr">
        <is>
          <t>todo</t>
        </is>
      </c>
    </row>
    <row r="3071">
      <c r="A3071" t="inlineStr">
        <is>
          <t>Vincent Landry</t>
        </is>
      </c>
      <c r="B3071" t="inlineStr">
        <is>
          <t>Sponsor</t>
        </is>
      </c>
      <c r="C3071" t="inlineStr">
        <is>
          <t>Solutions Consultant</t>
        </is>
      </c>
      <c r="D3071" t="inlineStr">
        <is>
          <t>MaintainX</t>
        </is>
      </c>
      <c r="E3071" t="inlineStr">
        <is>
          <t>United States</t>
        </is>
      </c>
      <c r="F3071" t="inlineStr">
        <is>
          <t>Yes</t>
        </is>
      </c>
      <c r="H3071" t="n">
        <v>2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>
        <f>IFERROR(INDEX('Company Hitlist'!$AA:$AA,MATCH(D3071,'Company Hitlist'!$A:$A,0)),)</f>
        <v/>
      </c>
      <c r="O3071">
        <f>IFERROR(INDEX('Company Hitlist'!$N:$N,MATCH(D3071,'Company Hitlist'!$A:$A,0)),)</f>
        <v/>
      </c>
      <c r="Q3071" t="inlineStr">
        <is>
          <t>todo</t>
        </is>
      </c>
    </row>
    <row r="3072">
      <c r="A3072" t="inlineStr">
        <is>
          <t>Zain Kaiser</t>
        </is>
      </c>
      <c r="B3072" t="inlineStr">
        <is>
          <t>Sponsor</t>
        </is>
      </c>
      <c r="C3072" t="inlineStr">
        <is>
          <t>Founding Product</t>
        </is>
      </c>
      <c r="D3072" t="inlineStr">
        <is>
          <t>Maximum</t>
        </is>
      </c>
      <c r="E3072" t="inlineStr">
        <is>
          <t>United States</t>
        </is>
      </c>
      <c r="H3072" t="n">
        <v>2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>
        <f>IFERROR(INDEX('Company Hitlist'!$AA:$AA,MATCH(D3072,'Company Hitlist'!$A:$A,0)),)</f>
        <v/>
      </c>
      <c r="O3072">
        <f>IFERROR(INDEX('Company Hitlist'!$N:$N,MATCH(D3072,'Company Hitlist'!$A:$A,0)),)</f>
        <v/>
      </c>
      <c r="Q3072" t="inlineStr">
        <is>
          <t>todo</t>
        </is>
      </c>
    </row>
    <row r="3073">
      <c r="A3073" t="inlineStr">
        <is>
          <t>Pablo Lopez Domowicz</t>
        </is>
      </c>
      <c r="B3073" t="inlineStr">
        <is>
          <t>Sponsor</t>
        </is>
      </c>
      <c r="C3073" t="inlineStr">
        <is>
          <t>Founding Engineer</t>
        </is>
      </c>
      <c r="D3073" t="inlineStr">
        <is>
          <t>Maximum</t>
        </is>
      </c>
      <c r="H3073" t="n">
        <v>2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>
        <f>IFERROR(INDEX('Company Hitlist'!$AA:$AA,MATCH(D3073,'Company Hitlist'!$A:$A,0)),)</f>
        <v/>
      </c>
      <c r="O3073">
        <f>IFERROR(INDEX('Company Hitlist'!$N:$N,MATCH(D3073,'Company Hitlist'!$A:$A,0)),)</f>
        <v/>
      </c>
      <c r="Q3073" t="inlineStr">
        <is>
          <t>todo</t>
        </is>
      </c>
    </row>
    <row r="3074">
      <c r="A3074" t="inlineStr">
        <is>
          <t>Hannah Itzkowitz</t>
        </is>
      </c>
      <c r="B3074" t="inlineStr">
        <is>
          <t>Sponsor</t>
        </is>
      </c>
      <c r="C3074" t="inlineStr">
        <is>
          <t>Field &amp; Events</t>
        </is>
      </c>
      <c r="D3074" t="inlineStr">
        <is>
          <t>Meter</t>
        </is>
      </c>
      <c r="E3074" t="inlineStr">
        <is>
          <t>United States</t>
        </is>
      </c>
      <c r="F3074" t="inlineStr">
        <is>
          <t>Yes</t>
        </is>
      </c>
      <c r="H3074" t="n">
        <v>2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>
        <f>IFERROR(INDEX('Company Hitlist'!$AA:$AA,MATCH(D3074,'Company Hitlist'!$A:$A,0)),)</f>
        <v/>
      </c>
      <c r="O3074">
        <f>IFERROR(INDEX('Company Hitlist'!$N:$N,MATCH(D3074,'Company Hitlist'!$A:$A,0)),)</f>
        <v/>
      </c>
      <c r="Q3074" t="inlineStr">
        <is>
          <t>todo</t>
        </is>
      </c>
    </row>
    <row r="3075">
      <c r="A3075" t="inlineStr">
        <is>
          <t>Ara Topouzian</t>
        </is>
      </c>
      <c r="B3075" t="inlineStr">
        <is>
          <t>Sponsor</t>
        </is>
      </c>
      <c r="C3075" t="inlineStr">
        <is>
          <t>Executive Director</t>
        </is>
      </c>
      <c r="D3075" t="inlineStr">
        <is>
          <t>Michigan Venture Capital Association</t>
        </is>
      </c>
      <c r="H3075" t="n">
        <v>2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>
        <f>IFERROR(INDEX('Company Hitlist'!$AA:$AA,MATCH(D3075,'Company Hitlist'!$A:$A,0)),)</f>
        <v/>
      </c>
      <c r="O3075">
        <f>IFERROR(INDEX('Company Hitlist'!$N:$N,MATCH(D3075,'Company Hitlist'!$A:$A,0)),)</f>
        <v/>
      </c>
      <c r="Q3075" t="inlineStr">
        <is>
          <t>todo</t>
        </is>
      </c>
    </row>
    <row r="3076">
      <c r="A3076" t="inlineStr">
        <is>
          <t>Jacek Powałka</t>
        </is>
      </c>
      <c r="B3076" t="inlineStr">
        <is>
          <t>Sponsor</t>
        </is>
      </c>
      <c r="C3076" t="inlineStr">
        <is>
          <t>OOH Solutions Director</t>
        </is>
      </c>
      <c r="D3076" t="inlineStr">
        <is>
          <t>Modern Expo</t>
        </is>
      </c>
      <c r="F3076" t="inlineStr">
        <is>
          <t>Yes</t>
        </is>
      </c>
      <c r="H3076" t="n">
        <v>2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>
        <f>IFERROR(INDEX('Company Hitlist'!$AA:$AA,MATCH(D3076,'Company Hitlist'!$A:$A,0)),)</f>
        <v/>
      </c>
      <c r="O3076">
        <f>IFERROR(INDEX('Company Hitlist'!$N:$N,MATCH(D3076,'Company Hitlist'!$A:$A,0)),)</f>
        <v/>
      </c>
      <c r="Q3076" t="inlineStr">
        <is>
          <t>todo</t>
        </is>
      </c>
    </row>
    <row r="3077">
      <c r="A3077" t="inlineStr">
        <is>
          <t>Lukasz Talaga</t>
        </is>
      </c>
      <c r="B3077" t="inlineStr">
        <is>
          <t>Sponsor</t>
        </is>
      </c>
      <c r="C3077" t="inlineStr">
        <is>
          <t>Solutions &amp; Partnerships Manager</t>
        </is>
      </c>
      <c r="D3077" t="inlineStr">
        <is>
          <t>Modern Expo</t>
        </is>
      </c>
      <c r="E3077" t="inlineStr">
        <is>
          <t>United Kingdom</t>
        </is>
      </c>
      <c r="H3077" t="n">
        <v>2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>
        <f>IFERROR(INDEX('Company Hitlist'!$AA:$AA,MATCH(D3077,'Company Hitlist'!$A:$A,0)),)</f>
        <v/>
      </c>
      <c r="O3077">
        <f>IFERROR(INDEX('Company Hitlist'!$N:$N,MATCH(D3077,'Company Hitlist'!$A:$A,0)),)</f>
        <v/>
      </c>
      <c r="Q3077" t="inlineStr">
        <is>
          <t>todo</t>
        </is>
      </c>
    </row>
    <row r="3078">
      <c r="A3078" t="inlineStr">
        <is>
          <t>Nazar Klets</t>
        </is>
      </c>
      <c r="B3078" t="inlineStr">
        <is>
          <t>Sponsor</t>
        </is>
      </c>
      <c r="C3078" t="inlineStr">
        <is>
          <t>Solutions and Partnerships Manager</t>
        </is>
      </c>
      <c r="D3078" t="inlineStr">
        <is>
          <t>Modern Expo</t>
        </is>
      </c>
      <c r="H3078" t="n">
        <v>2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>
        <f>IFERROR(INDEX('Company Hitlist'!$AA:$AA,MATCH(D3078,'Company Hitlist'!$A:$A,0)),)</f>
        <v/>
      </c>
      <c r="O3078">
        <f>IFERROR(INDEX('Company Hitlist'!$N:$N,MATCH(D3078,'Company Hitlist'!$A:$A,0)),)</f>
        <v/>
      </c>
      <c r="Q3078" t="inlineStr">
        <is>
          <t>todo</t>
        </is>
      </c>
    </row>
    <row r="3079">
      <c r="A3079" t="inlineStr">
        <is>
          <t>Alexa Mezzacappa</t>
        </is>
      </c>
      <c r="B3079" t="inlineStr">
        <is>
          <t>Sponsor</t>
        </is>
      </c>
      <c r="C3079" t="inlineStr">
        <is>
          <t>Special Events Coordinator</t>
        </is>
      </c>
      <c r="D3079" t="inlineStr">
        <is>
          <t>Move For Hunger</t>
        </is>
      </c>
      <c r="E3079" t="inlineStr">
        <is>
          <t>United States</t>
        </is>
      </c>
      <c r="H3079" t="n">
        <v>2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>
        <f>IFERROR(INDEX('Company Hitlist'!$AA:$AA,MATCH(D3079,'Company Hitlist'!$A:$A,0)),)</f>
        <v/>
      </c>
      <c r="O3079">
        <f>IFERROR(INDEX('Company Hitlist'!$N:$N,MATCH(D3079,'Company Hitlist'!$A:$A,0)),)</f>
        <v/>
      </c>
      <c r="Q3079" t="inlineStr">
        <is>
          <t>todo</t>
        </is>
      </c>
    </row>
    <row r="3080">
      <c r="A3080" t="inlineStr">
        <is>
          <t>Kyla Crisp</t>
        </is>
      </c>
      <c r="B3080" t="inlineStr">
        <is>
          <t>Sponsor</t>
        </is>
      </c>
      <c r="C3080" t="inlineStr">
        <is>
          <t>Food Recovery Coordinator</t>
        </is>
      </c>
      <c r="D3080" t="inlineStr">
        <is>
          <t>Move For Hunger</t>
        </is>
      </c>
      <c r="E3080" t="inlineStr">
        <is>
          <t>United States</t>
        </is>
      </c>
      <c r="H3080" t="n">
        <v>2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>
        <f>IFERROR(INDEX('Company Hitlist'!$AA:$AA,MATCH(D3080,'Company Hitlist'!$A:$A,0)),)</f>
        <v/>
      </c>
      <c r="O3080">
        <f>IFERROR(INDEX('Company Hitlist'!$N:$N,MATCH(D3080,'Company Hitlist'!$A:$A,0)),)</f>
        <v/>
      </c>
      <c r="Q3080" t="inlineStr">
        <is>
          <t>todo</t>
        </is>
      </c>
    </row>
    <row r="3081">
      <c r="A3081" t="inlineStr">
        <is>
          <t>Taylor Heideman</t>
        </is>
      </c>
      <c r="B3081" t="inlineStr">
        <is>
          <t>Sponsor</t>
        </is>
      </c>
      <c r="C3081" t="inlineStr">
        <is>
          <t>Director of Corporate Engagement</t>
        </is>
      </c>
      <c r="D3081" t="inlineStr">
        <is>
          <t>Move For Hunger, Inc</t>
        </is>
      </c>
      <c r="E3081" t="inlineStr">
        <is>
          <t>United States</t>
        </is>
      </c>
      <c r="H3081" t="n">
        <v>2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>
        <f>IFERROR(INDEX('Company Hitlist'!$AA:$AA,MATCH(D3081,'Company Hitlist'!$A:$A,0)),)</f>
        <v/>
      </c>
      <c r="O3081">
        <f>IFERROR(INDEX('Company Hitlist'!$N:$N,MATCH(D3081,'Company Hitlist'!$A:$A,0)),)</f>
        <v/>
      </c>
      <c r="Q3081" t="inlineStr">
        <is>
          <t>todo</t>
        </is>
      </c>
    </row>
    <row r="3082">
      <c r="A3082" t="inlineStr">
        <is>
          <t>Bethany Peek</t>
        </is>
      </c>
      <c r="B3082" t="inlineStr">
        <is>
          <t>Sponsor</t>
        </is>
      </c>
      <c r="C3082" t="inlineStr">
        <is>
          <t>Communications Specialist</t>
        </is>
      </c>
      <c r="D3082" t="inlineStr">
        <is>
          <t>Neovia Logistics</t>
        </is>
      </c>
      <c r="E3082" t="inlineStr">
        <is>
          <t>United States</t>
        </is>
      </c>
      <c r="F3082" t="inlineStr">
        <is>
          <t>Yes</t>
        </is>
      </c>
      <c r="G3082" t="inlineStr">
        <is>
          <t>$2.4 billion (2025)</t>
        </is>
      </c>
      <c r="H3082" t="n">
        <v>2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>
        <f>IFERROR(INDEX('Company Hitlist'!$AA:$AA,MATCH(D3082,'Company Hitlist'!$A:$A,0)),)</f>
        <v/>
      </c>
      <c r="O3082">
        <f>IFERROR(INDEX('Company Hitlist'!$N:$N,MATCH(D3082,'Company Hitlist'!$A:$A,0)),)</f>
        <v/>
      </c>
      <c r="Q3082" t="inlineStr">
        <is>
          <t>todo</t>
        </is>
      </c>
    </row>
    <row r="3083">
      <c r="A3083" t="inlineStr">
        <is>
          <t>Blake Lappan</t>
        </is>
      </c>
      <c r="B3083" t="inlineStr">
        <is>
          <t>Sponsor</t>
        </is>
      </c>
      <c r="C3083" t="inlineStr">
        <is>
          <t>Founder</t>
        </is>
      </c>
      <c r="D3083" t="inlineStr">
        <is>
          <t>NoDwell Inc / Spot On</t>
        </is>
      </c>
      <c r="E3083" t="inlineStr">
        <is>
          <t>United States</t>
        </is>
      </c>
      <c r="F3083" t="inlineStr">
        <is>
          <t>Yes</t>
        </is>
      </c>
      <c r="H3083" t="n">
        <v>2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>
        <f>IFERROR(INDEX('Company Hitlist'!$AA:$AA,MATCH(D3083,'Company Hitlist'!$A:$A,0)),)</f>
        <v/>
      </c>
      <c r="O3083">
        <f>IFERROR(INDEX('Company Hitlist'!$N:$N,MATCH(D3083,'Company Hitlist'!$A:$A,0)),)</f>
        <v/>
      </c>
      <c r="Q3083" t="inlineStr">
        <is>
          <t>todo</t>
        </is>
      </c>
    </row>
    <row r="3084">
      <c r="A3084" t="inlineStr">
        <is>
          <t>Roger J Fuhrman</t>
        </is>
      </c>
      <c r="B3084" t="inlineStr">
        <is>
          <t>Sponsor</t>
        </is>
      </c>
      <c r="C3084" t="inlineStr">
        <is>
          <t>eCommerce</t>
        </is>
      </c>
      <c r="D3084" t="inlineStr">
        <is>
          <t>Northern Lights</t>
        </is>
      </c>
      <c r="E3084" t="inlineStr">
        <is>
          <t>United States</t>
        </is>
      </c>
      <c r="F3084" t="inlineStr">
        <is>
          <t>Yes</t>
        </is>
      </c>
      <c r="H3084" t="n">
        <v>2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>
        <f>IFERROR(INDEX('Company Hitlist'!$AA:$AA,MATCH(D3084,'Company Hitlist'!$A:$A,0)),)</f>
        <v/>
      </c>
      <c r="O3084">
        <f>IFERROR(INDEX('Company Hitlist'!$N:$N,MATCH(D3084,'Company Hitlist'!$A:$A,0)),)</f>
        <v/>
      </c>
      <c r="Q3084" t="inlineStr">
        <is>
          <t>todo</t>
        </is>
      </c>
    </row>
    <row r="3085">
      <c r="A3085" t="inlineStr">
        <is>
          <t>Michelina Dale</t>
        </is>
      </c>
      <c r="B3085" t="inlineStr">
        <is>
          <t>Sponsor</t>
        </is>
      </c>
      <c r="C3085" t="inlineStr">
        <is>
          <t>Customer Support Manager</t>
        </is>
      </c>
      <c r="D3085" t="inlineStr">
        <is>
          <t>OLIMP Warehousing</t>
        </is>
      </c>
      <c r="E3085" t="inlineStr">
        <is>
          <t>United States</t>
        </is>
      </c>
      <c r="H3085" t="n">
        <v>2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>
        <f>IFERROR(INDEX('Company Hitlist'!$AA:$AA,MATCH(D3085,'Company Hitlist'!$A:$A,0)),)</f>
        <v/>
      </c>
      <c r="O3085">
        <f>IFERROR(INDEX('Company Hitlist'!$N:$N,MATCH(D3085,'Company Hitlist'!$A:$A,0)),)</f>
        <v/>
      </c>
      <c r="Q3085" t="inlineStr">
        <is>
          <t>todo</t>
        </is>
      </c>
    </row>
    <row r="3086">
      <c r="A3086" t="inlineStr">
        <is>
          <t>David Croft</t>
        </is>
      </c>
      <c r="B3086" t="inlineStr">
        <is>
          <t>Attendee</t>
        </is>
      </c>
      <c r="C3086" t="inlineStr">
        <is>
          <t>Director of Marketing &amp; Supply Chain Strategy</t>
        </is>
      </c>
      <c r="D3086" t="inlineStr">
        <is>
          <t>OOCL Logistics</t>
        </is>
      </c>
      <c r="E3086" t="inlineStr">
        <is>
          <t>United States</t>
        </is>
      </c>
      <c r="H3086" t="n">
        <v>2</v>
      </c>
      <c r="I3086" t="b">
        <v>1</v>
      </c>
      <c r="J3086" t="b">
        <v>0</v>
      </c>
      <c r="K3086" t="b">
        <v>0</v>
      </c>
      <c r="L3086" t="b">
        <v>0</v>
      </c>
      <c r="M3086" t="b">
        <v>1</v>
      </c>
      <c r="N3086">
        <f>IFERROR(INDEX('Company Hitlist'!$AA:$AA,MATCH(D3086,'Company Hitlist'!$A:$A,0)),)</f>
        <v/>
      </c>
      <c r="O3086">
        <f>IFERROR(INDEX('Company Hitlist'!$N:$N,MATCH(D3086,'Company Hitlist'!$A:$A,0)),)</f>
        <v/>
      </c>
      <c r="Q3086" t="inlineStr">
        <is>
          <t>todo</t>
        </is>
      </c>
    </row>
    <row r="3087">
      <c r="A3087" t="inlineStr">
        <is>
          <t>Mason Rudolph</t>
        </is>
      </c>
      <c r="B3087" t="inlineStr">
        <is>
          <t>Sponsor</t>
        </is>
      </c>
      <c r="C3087" t="inlineStr">
        <is>
          <t>Sr Manager Strategic Partnerships</t>
        </is>
      </c>
      <c r="D3087" t="inlineStr">
        <is>
          <t>OnTrac</t>
        </is>
      </c>
      <c r="E3087" t="inlineStr">
        <is>
          <t>United States</t>
        </is>
      </c>
      <c r="H3087" t="n">
        <v>2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>
        <f>IFERROR(INDEX('Company Hitlist'!$AA:$AA,MATCH(D3087,'Company Hitlist'!$A:$A,0)),)</f>
        <v/>
      </c>
      <c r="O3087">
        <f>IFERROR(INDEX('Company Hitlist'!$N:$N,MATCH(D3087,'Company Hitlist'!$A:$A,0)),)</f>
        <v/>
      </c>
      <c r="Q3087" t="inlineStr">
        <is>
          <t>todo</t>
        </is>
      </c>
    </row>
    <row r="3088">
      <c r="A3088" t="inlineStr">
        <is>
          <t>Jason Quintana</t>
        </is>
      </c>
      <c r="B3088" t="inlineStr">
        <is>
          <t>Sponsor</t>
        </is>
      </c>
      <c r="C3088" t="inlineStr">
        <is>
          <t>AVP, Strategy</t>
        </is>
      </c>
      <c r="D3088" t="inlineStr">
        <is>
          <t>OneRail</t>
        </is>
      </c>
      <c r="E3088" t="inlineStr">
        <is>
          <t>United States</t>
        </is>
      </c>
      <c r="F3088" t="inlineStr">
        <is>
          <t>Yes</t>
        </is>
      </c>
      <c r="G3088" t="inlineStr">
        <is>
          <t>$31.5 million (2025)</t>
        </is>
      </c>
      <c r="H3088" t="n">
        <v>2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>
        <f>IFERROR(INDEX('Company Hitlist'!$AA:$AA,MATCH(D3088,'Company Hitlist'!$A:$A,0)),)</f>
        <v/>
      </c>
      <c r="O3088">
        <f>IFERROR(INDEX('Company Hitlist'!$N:$N,MATCH(D3088,'Company Hitlist'!$A:$A,0)),)</f>
        <v/>
      </c>
      <c r="Q3088" t="inlineStr">
        <is>
          <t>todo</t>
        </is>
      </c>
    </row>
    <row r="3089">
      <c r="A3089" t="inlineStr">
        <is>
          <t>Stacy Schaefer</t>
        </is>
      </c>
      <c r="B3089" t="inlineStr">
        <is>
          <t>Sponsor</t>
        </is>
      </c>
      <c r="C3089" t="inlineStr">
        <is>
          <t>AVP, Solutions Consulting</t>
        </is>
      </c>
      <c r="D3089" t="inlineStr">
        <is>
          <t>OneRail</t>
        </is>
      </c>
      <c r="E3089" t="inlineStr">
        <is>
          <t>United States</t>
        </is>
      </c>
      <c r="F3089" t="inlineStr">
        <is>
          <t>Yes</t>
        </is>
      </c>
      <c r="G3089" t="inlineStr">
        <is>
          <t>$31.5 million (2025)</t>
        </is>
      </c>
      <c r="H3089" t="n">
        <v>2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>
        <f>IFERROR(INDEX('Company Hitlist'!$AA:$AA,MATCH(D3089,'Company Hitlist'!$A:$A,0)),)</f>
        <v/>
      </c>
      <c r="O3089">
        <f>IFERROR(INDEX('Company Hitlist'!$N:$N,MATCH(D3089,'Company Hitlist'!$A:$A,0)),)</f>
        <v/>
      </c>
      <c r="Q3089" t="inlineStr">
        <is>
          <t>todo</t>
        </is>
      </c>
    </row>
    <row r="3090">
      <c r="A3090" t="inlineStr">
        <is>
          <t>Joe Spaccarelli</t>
        </is>
      </c>
      <c r="B3090" t="inlineStr">
        <is>
          <t>Sponsor</t>
        </is>
      </c>
      <c r="C3090" t="inlineStr">
        <is>
          <t>Event Manager</t>
        </is>
      </c>
      <c r="D3090" t="inlineStr">
        <is>
          <t>OneRail</t>
        </is>
      </c>
      <c r="H3090" t="n">
        <v>2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>
        <f>IFERROR(INDEX('Company Hitlist'!$AA:$AA,MATCH(D3090,'Company Hitlist'!$A:$A,0)),)</f>
        <v/>
      </c>
      <c r="O3090">
        <f>IFERROR(INDEX('Company Hitlist'!$N:$N,MATCH(D3090,'Company Hitlist'!$A:$A,0)),)</f>
        <v/>
      </c>
      <c r="Q3090" t="inlineStr">
        <is>
          <t>todo</t>
        </is>
      </c>
    </row>
    <row r="3091">
      <c r="A3091" t="inlineStr">
        <is>
          <t>Vinesh Kavassery</t>
        </is>
      </c>
      <c r="B3091" t="inlineStr">
        <is>
          <t>Sponsor</t>
        </is>
      </c>
      <c r="C3091" t="inlineStr">
        <is>
          <t>RVP, Solutions Consulting</t>
        </is>
      </c>
      <c r="D3091" t="inlineStr">
        <is>
          <t>OpenText</t>
        </is>
      </c>
      <c r="E3091" t="inlineStr">
        <is>
          <t>United States</t>
        </is>
      </c>
      <c r="F3091" t="inlineStr">
        <is>
          <t>Yes</t>
        </is>
      </c>
      <c r="G3091" t="inlineStr">
        <is>
          <t>$5.6 billion (2025)</t>
        </is>
      </c>
      <c r="H3091" t="n">
        <v>2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>
        <f>IFERROR(INDEX('Company Hitlist'!$AA:$AA,MATCH(D3091,'Company Hitlist'!$A:$A,0)),)</f>
        <v/>
      </c>
      <c r="O3091">
        <f>IFERROR(INDEX('Company Hitlist'!$N:$N,MATCH(D3091,'Company Hitlist'!$A:$A,0)),)</f>
        <v/>
      </c>
      <c r="Q3091" t="inlineStr">
        <is>
          <t>todo</t>
        </is>
      </c>
    </row>
    <row r="3092">
      <c r="A3092" t="inlineStr">
        <is>
          <t>Abhi Vinocha</t>
        </is>
      </c>
      <c r="B3092" t="inlineStr">
        <is>
          <t>Sponsor</t>
        </is>
      </c>
      <c r="C3092" t="inlineStr">
        <is>
          <t>Account Development Executive</t>
        </is>
      </c>
      <c r="D3092" t="inlineStr">
        <is>
          <t>OpenText</t>
        </is>
      </c>
      <c r="E3092" t="inlineStr">
        <is>
          <t>Canada</t>
        </is>
      </c>
      <c r="H3092" t="n">
        <v>2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>
        <f>IFERROR(INDEX('Company Hitlist'!$AA:$AA,MATCH(D3092,'Company Hitlist'!$A:$A,0)),)</f>
        <v/>
      </c>
      <c r="O3092">
        <f>IFERROR(INDEX('Company Hitlist'!$N:$N,MATCH(D3092,'Company Hitlist'!$A:$A,0)),)</f>
        <v/>
      </c>
      <c r="Q3092" t="inlineStr">
        <is>
          <t>todo</t>
        </is>
      </c>
    </row>
    <row r="3093">
      <c r="A3093" t="inlineStr">
        <is>
          <t>Josh Linden</t>
        </is>
      </c>
      <c r="B3093" t="inlineStr">
        <is>
          <t>Sponsor</t>
        </is>
      </c>
      <c r="C3093" t="inlineStr">
        <is>
          <t>Product Manager</t>
        </is>
      </c>
      <c r="D3093" t="inlineStr">
        <is>
          <t>OpenTrack Inc.</t>
        </is>
      </c>
      <c r="E3093" t="inlineStr">
        <is>
          <t>United States</t>
        </is>
      </c>
      <c r="H3093" t="n">
        <v>2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>
        <f>IFERROR(INDEX('Company Hitlist'!$AA:$AA,MATCH(D3093,'Company Hitlist'!$A:$A,0)),)</f>
        <v/>
      </c>
      <c r="O3093">
        <f>IFERROR(INDEX('Company Hitlist'!$N:$N,MATCH(D3093,'Company Hitlist'!$A:$A,0)),)</f>
        <v/>
      </c>
      <c r="Q3093" t="inlineStr">
        <is>
          <t>todo</t>
        </is>
      </c>
    </row>
    <row r="3094">
      <c r="A3094" t="inlineStr">
        <is>
          <t>Jonathan Pollack</t>
        </is>
      </c>
      <c r="B3094" t="inlineStr">
        <is>
          <t>Sponsor</t>
        </is>
      </c>
      <c r="C3094" t="inlineStr">
        <is>
          <t>CRO</t>
        </is>
      </c>
      <c r="D3094" t="inlineStr">
        <is>
          <t>Optimal Dynamics</t>
        </is>
      </c>
      <c r="E3094" t="inlineStr">
        <is>
          <t>United States</t>
        </is>
      </c>
      <c r="F3094" t="inlineStr">
        <is>
          <t>Yes</t>
        </is>
      </c>
      <c r="H3094" t="n">
        <v>2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>
        <f>IFERROR(INDEX('Company Hitlist'!$AA:$AA,MATCH(D3094,'Company Hitlist'!$A:$A,0)),)</f>
        <v/>
      </c>
      <c r="O3094">
        <f>IFERROR(INDEX('Company Hitlist'!$N:$N,MATCH(D3094,'Company Hitlist'!$A:$A,0)),)</f>
        <v/>
      </c>
      <c r="Q3094" t="inlineStr">
        <is>
          <t>todo</t>
        </is>
      </c>
    </row>
    <row r="3095">
      <c r="A3095" t="inlineStr">
        <is>
          <t>Tim Sweetnam</t>
        </is>
      </c>
      <c r="B3095" t="inlineStr">
        <is>
          <t>Sponsor</t>
        </is>
      </c>
      <c r="C3095" t="inlineStr">
        <is>
          <t>National Accounts Director</t>
        </is>
      </c>
      <c r="D3095" t="inlineStr">
        <is>
          <t>Orange EV</t>
        </is>
      </c>
      <c r="E3095" t="inlineStr">
        <is>
          <t>United States</t>
        </is>
      </c>
      <c r="F3095" t="inlineStr">
        <is>
          <t>Yes</t>
        </is>
      </c>
      <c r="H3095" t="n">
        <v>2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>
        <f>IFERROR(INDEX('Company Hitlist'!$AA:$AA,MATCH(D3095,'Company Hitlist'!$A:$A,0)),)</f>
        <v/>
      </c>
      <c r="O3095">
        <f>IFERROR(INDEX('Company Hitlist'!$N:$N,MATCH(D3095,'Company Hitlist'!$A:$A,0)),)</f>
        <v/>
      </c>
      <c r="Q3095" t="inlineStr">
        <is>
          <t>todo</t>
        </is>
      </c>
    </row>
    <row r="3096">
      <c r="A3096" t="inlineStr">
        <is>
          <t>Keith Prosch</t>
        </is>
      </c>
      <c r="B3096" t="inlineStr">
        <is>
          <t>Sponsor</t>
        </is>
      </c>
      <c r="C3096" t="inlineStr">
        <is>
          <t>National Accounts Manager</t>
        </is>
      </c>
      <c r="D3096" t="inlineStr">
        <is>
          <t>Orange EV</t>
        </is>
      </c>
      <c r="E3096" t="inlineStr">
        <is>
          <t>United States</t>
        </is>
      </c>
      <c r="H3096" t="n">
        <v>2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>
        <f>IFERROR(INDEX('Company Hitlist'!$AA:$AA,MATCH(D3096,'Company Hitlist'!$A:$A,0)),)</f>
        <v/>
      </c>
      <c r="O3096">
        <f>IFERROR(INDEX('Company Hitlist'!$N:$N,MATCH(D3096,'Company Hitlist'!$A:$A,0)),)</f>
        <v/>
      </c>
      <c r="Q3096" t="inlineStr">
        <is>
          <t>todo</t>
        </is>
      </c>
    </row>
    <row r="3097">
      <c r="A3097" t="inlineStr">
        <is>
          <t>Brandi Garced</t>
        </is>
      </c>
      <c r="B3097" t="inlineStr">
        <is>
          <t>Sponsor</t>
        </is>
      </c>
      <c r="C3097" t="inlineStr">
        <is>
          <t>Senior Director - Strategy &amp; Partnerships</t>
        </is>
      </c>
      <c r="D3097" t="inlineStr">
        <is>
          <t>Osa Commerce</t>
        </is>
      </c>
      <c r="E3097" t="inlineStr">
        <is>
          <t>United States</t>
        </is>
      </c>
      <c r="F3097" t="inlineStr">
        <is>
          <t>Yes</t>
        </is>
      </c>
      <c r="H3097" t="n">
        <v>2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>
        <f>IFERROR(INDEX('Company Hitlist'!$AA:$AA,MATCH(D3097,'Company Hitlist'!$A:$A,0)),)</f>
        <v/>
      </c>
      <c r="O3097">
        <f>IFERROR(INDEX('Company Hitlist'!$N:$N,MATCH(D3097,'Company Hitlist'!$A:$A,0)),)</f>
        <v/>
      </c>
      <c r="Q3097" t="inlineStr">
        <is>
          <t>todo</t>
        </is>
      </c>
    </row>
    <row r="3098">
      <c r="A3098" t="inlineStr">
        <is>
          <t>Jackie Morsberger</t>
        </is>
      </c>
      <c r="B3098" t="inlineStr">
        <is>
          <t>Sponsor</t>
        </is>
      </c>
      <c r="C3098" t="inlineStr">
        <is>
          <t>Senior Director of Customer Experience</t>
        </is>
      </c>
      <c r="D3098" t="inlineStr">
        <is>
          <t>Osa Commerce</t>
        </is>
      </c>
      <c r="E3098" t="inlineStr">
        <is>
          <t>United States</t>
        </is>
      </c>
      <c r="F3098" t="inlineStr">
        <is>
          <t>Yes</t>
        </is>
      </c>
      <c r="H3098" t="n">
        <v>2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>
        <f>IFERROR(INDEX('Company Hitlist'!$AA:$AA,MATCH(D3098,'Company Hitlist'!$A:$A,0)),)</f>
        <v/>
      </c>
      <c r="O3098">
        <f>IFERROR(INDEX('Company Hitlist'!$N:$N,MATCH(D3098,'Company Hitlist'!$A:$A,0)),)</f>
        <v/>
      </c>
      <c r="Q3098" t="inlineStr">
        <is>
          <t>todo</t>
        </is>
      </c>
    </row>
    <row r="3099">
      <c r="A3099" t="inlineStr">
        <is>
          <t>Yifat Baror</t>
        </is>
      </c>
      <c r="B3099" t="inlineStr">
        <is>
          <t>Sponsor</t>
        </is>
      </c>
      <c r="C3099" t="inlineStr">
        <is>
          <t>CGO and Co-Founder</t>
        </is>
      </c>
      <c r="D3099" t="inlineStr">
        <is>
          <t>Osa Commerce</t>
        </is>
      </c>
      <c r="E3099" t="inlineStr">
        <is>
          <t>United States</t>
        </is>
      </c>
      <c r="F3099" t="inlineStr">
        <is>
          <t>Yes</t>
        </is>
      </c>
      <c r="H3099" t="n">
        <v>2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>
        <f>IFERROR(INDEX('Company Hitlist'!$AA:$AA,MATCH(D3099,'Company Hitlist'!$A:$A,0)),)</f>
        <v/>
      </c>
      <c r="O3099">
        <f>IFERROR(INDEX('Company Hitlist'!$N:$N,MATCH(D3099,'Company Hitlist'!$A:$A,0)),)</f>
        <v/>
      </c>
      <c r="Q3099" t="inlineStr">
        <is>
          <t>todo</t>
        </is>
      </c>
    </row>
    <row r="3100">
      <c r="A3100" t="inlineStr">
        <is>
          <t>Kathleen Trestrail</t>
        </is>
      </c>
      <c r="B3100" t="inlineStr">
        <is>
          <t>Sponsor</t>
        </is>
      </c>
      <c r="C3100" t="inlineStr">
        <is>
          <t>Sr. Director, Brand Strategy</t>
        </is>
      </c>
      <c r="D3100" t="inlineStr">
        <is>
          <t>Overhaul</t>
        </is>
      </c>
      <c r="E3100" t="inlineStr">
        <is>
          <t>United States</t>
        </is>
      </c>
      <c r="F3100" t="inlineStr">
        <is>
          <t>Yes</t>
        </is>
      </c>
      <c r="G3100" t="inlineStr">
        <is>
          <t>131700000</t>
        </is>
      </c>
      <c r="H3100" t="n">
        <v>2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>
        <f>IFERROR(INDEX('Company Hitlist'!$AA:$AA,MATCH(D3100,'Company Hitlist'!$A:$A,0)),)</f>
        <v/>
      </c>
      <c r="O3100">
        <f>IFERROR(INDEX('Company Hitlist'!$N:$N,MATCH(D3100,'Company Hitlist'!$A:$A,0)),)</f>
        <v/>
      </c>
      <c r="Q3100" t="inlineStr">
        <is>
          <t>todo</t>
        </is>
      </c>
    </row>
    <row r="3101">
      <c r="A3101" t="inlineStr">
        <is>
          <t>Laura Zimmerman</t>
        </is>
      </c>
      <c r="B3101" t="inlineStr">
        <is>
          <t>Sponsor</t>
        </is>
      </c>
      <c r="C3101" t="inlineStr">
        <is>
          <t>Partner Manager</t>
        </is>
      </c>
      <c r="D3101" t="inlineStr">
        <is>
          <t>Overhaul</t>
        </is>
      </c>
      <c r="E3101" t="inlineStr">
        <is>
          <t>United States</t>
        </is>
      </c>
      <c r="H3101" t="n">
        <v>2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>
        <f>IFERROR(INDEX('Company Hitlist'!$AA:$AA,MATCH(D3101,'Company Hitlist'!$A:$A,0)),)</f>
        <v/>
      </c>
      <c r="O3101">
        <f>IFERROR(INDEX('Company Hitlist'!$N:$N,MATCH(D3101,'Company Hitlist'!$A:$A,0)),)</f>
        <v/>
      </c>
      <c r="Q3101" t="inlineStr">
        <is>
          <t>todo</t>
        </is>
      </c>
    </row>
    <row r="3102">
      <c r="A3102" t="inlineStr">
        <is>
          <t>Hollie Mhlanga-Fillyaw</t>
        </is>
      </c>
      <c r="B3102" t="inlineStr">
        <is>
          <t>Sponsor</t>
        </is>
      </c>
      <c r="C3102" t="inlineStr">
        <is>
          <t>Senior Event Manager</t>
        </is>
      </c>
      <c r="D3102" t="inlineStr">
        <is>
          <t>Overhaul</t>
        </is>
      </c>
      <c r="H3102" t="n">
        <v>2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>
        <f>IFERROR(INDEX('Company Hitlist'!$AA:$AA,MATCH(D3102,'Company Hitlist'!$A:$A,0)),)</f>
        <v/>
      </c>
      <c r="O3102">
        <f>IFERROR(INDEX('Company Hitlist'!$N:$N,MATCH(D3102,'Company Hitlist'!$A:$A,0)),)</f>
        <v/>
      </c>
      <c r="Q3102" t="inlineStr">
        <is>
          <t>todo</t>
        </is>
      </c>
    </row>
    <row r="3103">
      <c r="A3103" t="inlineStr">
        <is>
          <t>Eric Proctor</t>
        </is>
      </c>
      <c r="B3103" t="inlineStr">
        <is>
          <t>Sponsor</t>
        </is>
      </c>
      <c r="C3103" t="inlineStr">
        <is>
          <t>Partnerships Director</t>
        </is>
      </c>
      <c r="D3103" t="inlineStr">
        <is>
          <t>Packsize</t>
        </is>
      </c>
      <c r="E3103" t="inlineStr">
        <is>
          <t>United States</t>
        </is>
      </c>
      <c r="F3103" t="inlineStr">
        <is>
          <t>Yes</t>
        </is>
      </c>
      <c r="G3103" t="inlineStr">
        <is>
          <t>$230.8 million (2025)</t>
        </is>
      </c>
      <c r="H3103" t="n">
        <v>2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>
        <f>IFERROR(INDEX('Company Hitlist'!$AA:$AA,MATCH(D3103,'Company Hitlist'!$A:$A,0)),)</f>
        <v/>
      </c>
      <c r="O3103">
        <f>IFERROR(INDEX('Company Hitlist'!$N:$N,MATCH(D3103,'Company Hitlist'!$A:$A,0)),)</f>
        <v/>
      </c>
      <c r="Q3103" t="inlineStr">
        <is>
          <t>todo</t>
        </is>
      </c>
    </row>
    <row r="3104">
      <c r="A3104" t="inlineStr">
        <is>
          <t>Michael Marszalek</t>
        </is>
      </c>
      <c r="B3104" t="inlineStr">
        <is>
          <t>Sponsor</t>
        </is>
      </c>
      <c r="C3104" t="inlineStr">
        <is>
          <t>Sr. Director, Partnerships</t>
        </is>
      </c>
      <c r="D3104" t="inlineStr">
        <is>
          <t>Packsize</t>
        </is>
      </c>
      <c r="E3104" t="inlineStr">
        <is>
          <t>United States</t>
        </is>
      </c>
      <c r="F3104" t="inlineStr">
        <is>
          <t>Yes</t>
        </is>
      </c>
      <c r="G3104" t="inlineStr">
        <is>
          <t>$230.8 million (2025)</t>
        </is>
      </c>
      <c r="H3104" t="n">
        <v>2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>
        <f>IFERROR(INDEX('Company Hitlist'!$AA:$AA,MATCH(D3104,'Company Hitlist'!$A:$A,0)),)</f>
        <v/>
      </c>
      <c r="O3104">
        <f>IFERROR(INDEX('Company Hitlist'!$N:$N,MATCH(D3104,'Company Hitlist'!$A:$A,0)),)</f>
        <v/>
      </c>
      <c r="Q3104" t="inlineStr">
        <is>
          <t>todo</t>
        </is>
      </c>
    </row>
    <row r="3105">
      <c r="A3105" t="inlineStr">
        <is>
          <t>Michele kolin</t>
        </is>
      </c>
      <c r="B3105" t="inlineStr">
        <is>
          <t>Sponsor</t>
        </is>
      </c>
      <c r="C3105" t="inlineStr">
        <is>
          <t>Packsize</t>
        </is>
      </c>
      <c r="D3105" t="inlineStr">
        <is>
          <t>Packsize</t>
        </is>
      </c>
      <c r="F3105" t="inlineStr">
        <is>
          <t>Yes</t>
        </is>
      </c>
      <c r="G3105" t="inlineStr">
        <is>
          <t>$230.8 million (2025)</t>
        </is>
      </c>
      <c r="H3105" t="n">
        <v>2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>
        <f>IFERROR(INDEX('Company Hitlist'!$AA:$AA,MATCH(D3105,'Company Hitlist'!$A:$A,0)),)</f>
        <v/>
      </c>
      <c r="O3105">
        <f>IFERROR(INDEX('Company Hitlist'!$N:$N,MATCH(D3105,'Company Hitlist'!$A:$A,0)),)</f>
        <v/>
      </c>
      <c r="Q3105" t="inlineStr">
        <is>
          <t>todo</t>
        </is>
      </c>
    </row>
    <row r="3106">
      <c r="A3106" t="inlineStr">
        <is>
          <t>Jeffrey Miller</t>
        </is>
      </c>
      <c r="B3106" t="inlineStr">
        <is>
          <t>Sponsor</t>
        </is>
      </c>
      <c r="C3106" t="inlineStr">
        <is>
          <t>RVP - Enterprise</t>
        </is>
      </c>
      <c r="D3106" t="inlineStr">
        <is>
          <t>Pallet</t>
        </is>
      </c>
      <c r="E3106" t="inlineStr">
        <is>
          <t>United States</t>
        </is>
      </c>
      <c r="F3106" t="inlineStr">
        <is>
          <t>Yes</t>
        </is>
      </c>
      <c r="G3106" t="inlineStr">
        <is>
          <t>11251000</t>
        </is>
      </c>
      <c r="H3106" t="n">
        <v>2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>
        <f>IFERROR(INDEX('Company Hitlist'!$AA:$AA,MATCH(D3106,'Company Hitlist'!$A:$A,0)),)</f>
        <v/>
      </c>
      <c r="O3106">
        <f>IFERROR(INDEX('Company Hitlist'!$N:$N,MATCH(D3106,'Company Hitlist'!$A:$A,0)),)</f>
        <v/>
      </c>
      <c r="Q3106" t="inlineStr">
        <is>
          <t>todo</t>
        </is>
      </c>
    </row>
    <row r="3107">
      <c r="A3107" t="inlineStr">
        <is>
          <t>Nate Sylvia</t>
        </is>
      </c>
      <c r="B3107" t="inlineStr">
        <is>
          <t>Sponsor</t>
        </is>
      </c>
      <c r="C3107" t="inlineStr">
        <is>
          <t>RVP, Enterprise</t>
        </is>
      </c>
      <c r="D3107" t="inlineStr">
        <is>
          <t>Pallet</t>
        </is>
      </c>
      <c r="E3107" t="inlineStr">
        <is>
          <t>United States</t>
        </is>
      </c>
      <c r="F3107" t="inlineStr">
        <is>
          <t>Yes</t>
        </is>
      </c>
      <c r="G3107" t="inlineStr">
        <is>
          <t>11251000</t>
        </is>
      </c>
      <c r="H3107" t="n">
        <v>2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>
        <f>IFERROR(INDEX('Company Hitlist'!$AA:$AA,MATCH(D3107,'Company Hitlist'!$A:$A,0)),)</f>
        <v/>
      </c>
      <c r="O3107">
        <f>IFERROR(INDEX('Company Hitlist'!$N:$N,MATCH(D3107,'Company Hitlist'!$A:$A,0)),)</f>
        <v/>
      </c>
      <c r="Q3107" t="inlineStr">
        <is>
          <t>todo</t>
        </is>
      </c>
    </row>
    <row r="3108">
      <c r="A3108" t="inlineStr">
        <is>
          <t>Richard Ibeh</t>
        </is>
      </c>
      <c r="B3108" t="inlineStr">
        <is>
          <t>Sponsor</t>
        </is>
      </c>
      <c r="C3108" t="inlineStr">
        <is>
          <t>Implementation Lead</t>
        </is>
      </c>
      <c r="D3108" t="inlineStr">
        <is>
          <t>Pallet</t>
        </is>
      </c>
      <c r="F3108" t="inlineStr">
        <is>
          <t>Yes</t>
        </is>
      </c>
      <c r="G3108" t="inlineStr">
        <is>
          <t>11251000</t>
        </is>
      </c>
      <c r="H3108" t="n">
        <v>2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>
        <f>IFERROR(INDEX('Company Hitlist'!$AA:$AA,MATCH(D3108,'Company Hitlist'!$A:$A,0)),)</f>
        <v/>
      </c>
      <c r="O3108">
        <f>IFERROR(INDEX('Company Hitlist'!$N:$N,MATCH(D3108,'Company Hitlist'!$A:$A,0)),)</f>
        <v/>
      </c>
      <c r="Q3108" t="inlineStr">
        <is>
          <t>todo</t>
        </is>
      </c>
    </row>
    <row r="3109">
      <c r="A3109" t="inlineStr">
        <is>
          <t>Andre Storm</t>
        </is>
      </c>
      <c r="B3109" t="inlineStr">
        <is>
          <t>Sponsor</t>
        </is>
      </c>
      <c r="C3109" t="inlineStr">
        <is>
          <t>Director - 3PL Partnerships</t>
        </is>
      </c>
      <c r="D3109" t="inlineStr">
        <is>
          <t>Passport</t>
        </is>
      </c>
      <c r="E3109" t="inlineStr">
        <is>
          <t>United States</t>
        </is>
      </c>
      <c r="H3109" t="n">
        <v>2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>
        <f>IFERROR(INDEX('Company Hitlist'!$AA:$AA,MATCH(D3109,'Company Hitlist'!$A:$A,0)),)</f>
        <v/>
      </c>
      <c r="O3109">
        <f>IFERROR(INDEX('Company Hitlist'!$N:$N,MATCH(D3109,'Company Hitlist'!$A:$A,0)),)</f>
        <v/>
      </c>
      <c r="Q3109" t="inlineStr">
        <is>
          <t>todo</t>
        </is>
      </c>
    </row>
    <row r="3110">
      <c r="A3110" t="inlineStr">
        <is>
          <t>Matt Hofer</t>
        </is>
      </c>
      <c r="B3110" t="inlineStr">
        <is>
          <t>Sponsor</t>
        </is>
      </c>
      <c r="C3110" t="inlineStr">
        <is>
          <t>Enterprise Brand Partnerships</t>
        </is>
      </c>
      <c r="D3110" t="inlineStr">
        <is>
          <t>Passport</t>
        </is>
      </c>
      <c r="E3110" t="inlineStr">
        <is>
          <t>United States</t>
        </is>
      </c>
      <c r="H3110" t="n">
        <v>2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>
        <f>IFERROR(INDEX('Company Hitlist'!$AA:$AA,MATCH(D3110,'Company Hitlist'!$A:$A,0)),)</f>
        <v/>
      </c>
      <c r="O3110">
        <f>IFERROR(INDEX('Company Hitlist'!$N:$N,MATCH(D3110,'Company Hitlist'!$A:$A,0)),)</f>
        <v/>
      </c>
      <c r="Q3110" t="inlineStr">
        <is>
          <t>todo</t>
        </is>
      </c>
    </row>
    <row r="3111">
      <c r="A3111" t="inlineStr">
        <is>
          <t>Amy Vallance</t>
        </is>
      </c>
      <c r="B3111" t="inlineStr">
        <is>
          <t>Sponsor</t>
        </is>
      </c>
      <c r="C3111" t="inlineStr">
        <is>
          <t>Editor</t>
        </is>
      </c>
      <c r="D3111" t="inlineStr">
        <is>
          <t>Peerless Media</t>
        </is>
      </c>
      <c r="E3111" t="inlineStr">
        <is>
          <t>United States</t>
        </is>
      </c>
      <c r="H3111" t="n">
        <v>2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>
        <f>IFERROR(INDEX('Company Hitlist'!$AA:$AA,MATCH(D3111,'Company Hitlist'!$A:$A,0)),)</f>
        <v/>
      </c>
      <c r="O3111">
        <f>IFERROR(INDEX('Company Hitlist'!$N:$N,MATCH(D3111,'Company Hitlist'!$A:$A,0)),)</f>
        <v/>
      </c>
      <c r="Q3111" t="inlineStr">
        <is>
          <t>todo</t>
        </is>
      </c>
    </row>
    <row r="3112">
      <c r="A3112" t="inlineStr">
        <is>
          <t>Nick Venetico</t>
        </is>
      </c>
      <c r="B3112" t="inlineStr">
        <is>
          <t>Sponsor</t>
        </is>
      </c>
      <c r="C3112" t="inlineStr">
        <is>
          <t>Manager</t>
        </is>
      </c>
      <c r="D3112" t="inlineStr">
        <is>
          <t>Peerless Media</t>
        </is>
      </c>
      <c r="H3112" t="n">
        <v>2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>
        <f>IFERROR(INDEX('Company Hitlist'!$AA:$AA,MATCH(D3112,'Company Hitlist'!$A:$A,0)),)</f>
        <v/>
      </c>
      <c r="O3112">
        <f>IFERROR(INDEX('Company Hitlist'!$N:$N,MATCH(D3112,'Company Hitlist'!$A:$A,0)),)</f>
        <v/>
      </c>
      <c r="Q3112" t="inlineStr">
        <is>
          <t>todo</t>
        </is>
      </c>
    </row>
    <row r="3113">
      <c r="A3113" t="inlineStr">
        <is>
          <t>Cheryl Hinkel</t>
        </is>
      </c>
      <c r="B3113" t="inlineStr">
        <is>
          <t>Sponsor</t>
        </is>
      </c>
      <c r="C3113" t="inlineStr">
        <is>
          <t>Director-Brand Experience</t>
        </is>
      </c>
      <c r="D3113" t="inlineStr">
        <is>
          <t>Penske Transportation Solutions</t>
        </is>
      </c>
      <c r="E3113" t="inlineStr">
        <is>
          <t>United States</t>
        </is>
      </c>
      <c r="F3113" t="inlineStr">
        <is>
          <t>Yes</t>
        </is>
      </c>
      <c r="H3113" t="n">
        <v>2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>
        <f>IFERROR(INDEX('Company Hitlist'!$AA:$AA,MATCH(D3113,'Company Hitlist'!$A:$A,0)),)</f>
        <v/>
      </c>
      <c r="O3113">
        <f>IFERROR(INDEX('Company Hitlist'!$N:$N,MATCH(D3113,'Company Hitlist'!$A:$A,0)),)</f>
        <v/>
      </c>
      <c r="Q3113" t="inlineStr">
        <is>
          <t>todo</t>
        </is>
      </c>
    </row>
    <row r="3114">
      <c r="A3114" t="inlineStr">
        <is>
          <t>Dillon O’Keefe</t>
        </is>
      </c>
      <c r="B3114" t="inlineStr">
        <is>
          <t>Sponsor</t>
        </is>
      </c>
      <c r="C3114" t="inlineStr">
        <is>
          <t>Senior Success Planner</t>
        </is>
      </c>
      <c r="D3114" t="inlineStr">
        <is>
          <t>Penske Transportation Solutions</t>
        </is>
      </c>
      <c r="E3114" t="inlineStr">
        <is>
          <t>United States</t>
        </is>
      </c>
      <c r="F3114" t="inlineStr">
        <is>
          <t>Yes</t>
        </is>
      </c>
      <c r="H3114" t="n">
        <v>2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>
        <f>IFERROR(INDEX('Company Hitlist'!$AA:$AA,MATCH(D3114,'Company Hitlist'!$A:$A,0)),)</f>
        <v/>
      </c>
      <c r="O3114">
        <f>IFERROR(INDEX('Company Hitlist'!$N:$N,MATCH(D3114,'Company Hitlist'!$A:$A,0)),)</f>
        <v/>
      </c>
      <c r="Q3114" t="inlineStr">
        <is>
          <t>todo</t>
        </is>
      </c>
    </row>
    <row r="3115">
      <c r="A3115" t="inlineStr">
        <is>
          <t>Tony Ebersole</t>
        </is>
      </c>
      <c r="B3115" t="inlineStr">
        <is>
          <t>Sponsor</t>
        </is>
      </c>
      <c r="C3115" t="inlineStr">
        <is>
          <t>Trade Show Representative</t>
        </is>
      </c>
      <c r="D3115" t="inlineStr">
        <is>
          <t>Penske Transportation Solutions</t>
        </is>
      </c>
      <c r="E3115" t="inlineStr">
        <is>
          <t>United States</t>
        </is>
      </c>
      <c r="F3115" t="inlineStr">
        <is>
          <t>Yes</t>
        </is>
      </c>
      <c r="H3115" t="n">
        <v>2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>
        <f>IFERROR(INDEX('Company Hitlist'!$AA:$AA,MATCH(D3115,'Company Hitlist'!$A:$A,0)),)</f>
        <v/>
      </c>
      <c r="O3115">
        <f>IFERROR(INDEX('Company Hitlist'!$N:$N,MATCH(D3115,'Company Hitlist'!$A:$A,0)),)</f>
        <v/>
      </c>
      <c r="Q3115" t="inlineStr">
        <is>
          <t>todo</t>
        </is>
      </c>
    </row>
    <row r="3116">
      <c r="A3116" t="inlineStr">
        <is>
          <t>Bill Shipp</t>
        </is>
      </c>
      <c r="B3116" t="inlineStr">
        <is>
          <t>Sponsor</t>
        </is>
      </c>
      <c r="C3116" t="inlineStr">
        <is>
          <t>Digital Product Manager</t>
        </is>
      </c>
      <c r="D3116" t="inlineStr">
        <is>
          <t>Penske Transportation Solutions</t>
        </is>
      </c>
      <c r="E3116" t="inlineStr">
        <is>
          <t>United States</t>
        </is>
      </c>
      <c r="H3116" t="n">
        <v>2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>
        <f>IFERROR(INDEX('Company Hitlist'!$AA:$AA,MATCH(D3116,'Company Hitlist'!$A:$A,0)),)</f>
        <v/>
      </c>
      <c r="O3116">
        <f>IFERROR(INDEX('Company Hitlist'!$N:$N,MATCH(D3116,'Company Hitlist'!$A:$A,0)),)</f>
        <v/>
      </c>
      <c r="Q3116" t="inlineStr">
        <is>
          <t>todo</t>
        </is>
      </c>
    </row>
    <row r="3117">
      <c r="A3117" t="inlineStr">
        <is>
          <t>Bobby Caruso</t>
        </is>
      </c>
      <c r="B3117" t="inlineStr">
        <is>
          <t>Sponsor</t>
        </is>
      </c>
      <c r="C3117" t="inlineStr">
        <is>
          <t>Sr. Manager - Digital Products &amp; Data</t>
        </is>
      </c>
      <c r="D3117" t="inlineStr">
        <is>
          <t>Penske Transportation Solutions</t>
        </is>
      </c>
      <c r="E3117" t="inlineStr">
        <is>
          <t>United States</t>
        </is>
      </c>
      <c r="H3117" t="n">
        <v>2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>
        <f>IFERROR(INDEX('Company Hitlist'!$AA:$AA,MATCH(D3117,'Company Hitlist'!$A:$A,0)),)</f>
        <v/>
      </c>
      <c r="O3117">
        <f>IFERROR(INDEX('Company Hitlist'!$N:$N,MATCH(D3117,'Company Hitlist'!$A:$A,0)),)</f>
        <v/>
      </c>
      <c r="Q3117" t="inlineStr">
        <is>
          <t>todo</t>
        </is>
      </c>
    </row>
    <row r="3118">
      <c r="A3118" t="inlineStr">
        <is>
          <t>Nick Capozzi</t>
        </is>
      </c>
      <c r="B3118" t="inlineStr">
        <is>
          <t>Sponsor</t>
        </is>
      </c>
      <c r="C3118" t="inlineStr">
        <is>
          <t>Digital Product Manager</t>
        </is>
      </c>
      <c r="D3118" t="inlineStr">
        <is>
          <t>Penske Transportation Solutions</t>
        </is>
      </c>
      <c r="E3118" t="inlineStr">
        <is>
          <t>United States</t>
        </is>
      </c>
      <c r="H3118" t="n">
        <v>2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>
        <f>IFERROR(INDEX('Company Hitlist'!$AA:$AA,MATCH(D3118,'Company Hitlist'!$A:$A,0)),)</f>
        <v/>
      </c>
      <c r="O3118">
        <f>IFERROR(INDEX('Company Hitlist'!$N:$N,MATCH(D3118,'Company Hitlist'!$A:$A,0)),)</f>
        <v/>
      </c>
      <c r="Q3118" t="inlineStr">
        <is>
          <t>todo</t>
        </is>
      </c>
    </row>
    <row r="3119">
      <c r="A3119" t="inlineStr">
        <is>
          <t>Tana Korpics</t>
        </is>
      </c>
      <c r="B3119" t="inlineStr">
        <is>
          <t>Sponsor</t>
        </is>
      </c>
      <c r="C3119" t="inlineStr">
        <is>
          <t>Senior Public Relations Manager</t>
        </is>
      </c>
      <c r="D3119" t="inlineStr">
        <is>
          <t>Penske Transportation Solutions</t>
        </is>
      </c>
      <c r="H3119" t="n">
        <v>2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>
        <f>IFERROR(INDEX('Company Hitlist'!$AA:$AA,MATCH(D3119,'Company Hitlist'!$A:$A,0)),)</f>
        <v/>
      </c>
      <c r="O3119">
        <f>IFERROR(INDEX('Company Hitlist'!$N:$N,MATCH(D3119,'Company Hitlist'!$A:$A,0)),)</f>
        <v/>
      </c>
      <c r="Q3119" t="inlineStr">
        <is>
          <t>todo</t>
        </is>
      </c>
    </row>
    <row r="3120">
      <c r="A3120" t="inlineStr">
        <is>
          <t>Priyanka Ann Saini</t>
        </is>
      </c>
      <c r="B3120" t="inlineStr">
        <is>
          <t>Sponsor</t>
        </is>
      </c>
      <c r="C3120" t="inlineStr">
        <is>
          <t>Executive Director</t>
        </is>
      </c>
      <c r="D3120" t="inlineStr">
        <is>
          <t>Pesti</t>
        </is>
      </c>
      <c r="E3120" t="inlineStr">
        <is>
          <t>India</t>
        </is>
      </c>
      <c r="H3120" t="n">
        <v>2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>
        <f>IFERROR(INDEX('Company Hitlist'!$AA:$AA,MATCH(D3120,'Company Hitlist'!$A:$A,0)),)</f>
        <v/>
      </c>
      <c r="O3120">
        <f>IFERROR(INDEX('Company Hitlist'!$N:$N,MATCH(D3120,'Company Hitlist'!$A:$A,0)),)</f>
        <v/>
      </c>
      <c r="Q3120" t="inlineStr">
        <is>
          <t>todo</t>
        </is>
      </c>
    </row>
    <row r="3121">
      <c r="A3121" t="inlineStr">
        <is>
          <t>Ernesto Rinaldi</t>
        </is>
      </c>
      <c r="B3121" t="inlineStr">
        <is>
          <t>Sponsor</t>
        </is>
      </c>
      <c r="C3121" t="inlineStr">
        <is>
          <t>Director</t>
        </is>
      </c>
      <c r="D3121" t="inlineStr">
        <is>
          <t>Pesti Group</t>
        </is>
      </c>
      <c r="E3121" t="inlineStr">
        <is>
          <t>United States</t>
        </is>
      </c>
      <c r="H3121" t="n">
        <v>2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>
        <f>IFERROR(INDEX('Company Hitlist'!$AA:$AA,MATCH(D3121,'Company Hitlist'!$A:$A,0)),)</f>
        <v/>
      </c>
      <c r="O3121">
        <f>IFERROR(INDEX('Company Hitlist'!$N:$N,MATCH(D3121,'Company Hitlist'!$A:$A,0)),)</f>
        <v/>
      </c>
      <c r="Q3121" t="inlineStr">
        <is>
          <t>todo</t>
        </is>
      </c>
    </row>
    <row r="3122">
      <c r="A3122" t="inlineStr">
        <is>
          <t>Vlad Karetnikov -</t>
        </is>
      </c>
      <c r="B3122" t="inlineStr">
        <is>
          <t>Sponsor</t>
        </is>
      </c>
      <c r="C3122" t="inlineStr">
        <is>
          <t>Media Buyer</t>
        </is>
      </c>
      <c r="D3122" t="inlineStr">
        <is>
          <t>Pesti Group</t>
        </is>
      </c>
      <c r="E3122" t="inlineStr">
        <is>
          <t>United States</t>
        </is>
      </c>
      <c r="H3122" t="n">
        <v>2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>
        <f>IFERROR(INDEX('Company Hitlist'!$AA:$AA,MATCH(D3122,'Company Hitlist'!$A:$A,0)),)</f>
        <v/>
      </c>
      <c r="O3122">
        <f>IFERROR(INDEX('Company Hitlist'!$N:$N,MATCH(D3122,'Company Hitlist'!$A:$A,0)),)</f>
        <v/>
      </c>
      <c r="Q3122" t="inlineStr">
        <is>
          <t>todo</t>
        </is>
      </c>
    </row>
    <row r="3123">
      <c r="A3123" t="inlineStr">
        <is>
          <t>Justin Moxley</t>
        </is>
      </c>
      <c r="B3123" t="inlineStr">
        <is>
          <t>Sponsor</t>
        </is>
      </c>
      <c r="C3123" t="inlineStr">
        <is>
          <t>Strategic Accounts Director</t>
        </is>
      </c>
      <c r="D3123" t="inlineStr">
        <is>
          <t>Pickle Robot</t>
        </is>
      </c>
      <c r="E3123" t="inlineStr">
        <is>
          <t>United States</t>
        </is>
      </c>
      <c r="F3123" t="inlineStr">
        <is>
          <t>Yes</t>
        </is>
      </c>
      <c r="H3123" t="n">
        <v>2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>
        <f>IFERROR(INDEX('Company Hitlist'!$AA:$AA,MATCH(D3123,'Company Hitlist'!$A:$A,0)),)</f>
        <v/>
      </c>
      <c r="O3123">
        <f>IFERROR(INDEX('Company Hitlist'!$N:$N,MATCH(D3123,'Company Hitlist'!$A:$A,0)),)</f>
        <v/>
      </c>
      <c r="Q3123" t="inlineStr">
        <is>
          <t>todo</t>
        </is>
      </c>
    </row>
    <row r="3124">
      <c r="A3124" t="inlineStr">
        <is>
          <t>Michael Fair</t>
        </is>
      </c>
      <c r="B3124" t="inlineStr">
        <is>
          <t>Sponsor</t>
        </is>
      </c>
      <c r="C3124" t="inlineStr">
        <is>
          <t>Senior Director, Product</t>
        </is>
      </c>
      <c r="D3124" t="inlineStr">
        <is>
          <t>Pickle Robot</t>
        </is>
      </c>
      <c r="E3124" t="inlineStr">
        <is>
          <t>United States</t>
        </is>
      </c>
      <c r="F3124" t="inlineStr">
        <is>
          <t>Yes</t>
        </is>
      </c>
      <c r="H3124" t="n">
        <v>2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>
        <f>IFERROR(INDEX('Company Hitlist'!$AA:$AA,MATCH(D3124,'Company Hitlist'!$A:$A,0)),)</f>
        <v/>
      </c>
      <c r="O3124">
        <f>IFERROR(INDEX('Company Hitlist'!$N:$N,MATCH(D3124,'Company Hitlist'!$A:$A,0)),)</f>
        <v/>
      </c>
      <c r="Q3124" t="inlineStr">
        <is>
          <t>todo</t>
        </is>
      </c>
    </row>
    <row r="3125">
      <c r="A3125" t="inlineStr">
        <is>
          <t>Brent Orsuga</t>
        </is>
      </c>
      <c r="B3125" t="inlineStr">
        <is>
          <t>Sponsor</t>
        </is>
      </c>
      <c r="C3125" t="inlineStr">
        <is>
          <t>Founder</t>
        </is>
      </c>
      <c r="D3125" t="inlineStr">
        <is>
          <t>Pinnacle Growth Advisors</t>
        </is>
      </c>
      <c r="H3125" t="n">
        <v>2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>
        <f>IFERROR(INDEX('Company Hitlist'!$AA:$AA,MATCH(D3125,'Company Hitlist'!$A:$A,0)),)</f>
        <v/>
      </c>
      <c r="O3125">
        <f>IFERROR(INDEX('Company Hitlist'!$N:$N,MATCH(D3125,'Company Hitlist'!$A:$A,0)),)</f>
        <v/>
      </c>
      <c r="Q3125" t="inlineStr">
        <is>
          <t>todo</t>
        </is>
      </c>
    </row>
    <row r="3126">
      <c r="A3126" t="inlineStr">
        <is>
          <t>Premie Walsh</t>
        </is>
      </c>
      <c r="B3126" t="inlineStr">
        <is>
          <t>Sponsor</t>
        </is>
      </c>
      <c r="C3126" t="inlineStr">
        <is>
          <t>Global Accounts Director</t>
        </is>
      </c>
      <c r="D3126" t="inlineStr">
        <is>
          <t>PortPro</t>
        </is>
      </c>
      <c r="E3126" t="inlineStr">
        <is>
          <t>United States</t>
        </is>
      </c>
      <c r="F3126" t="inlineStr">
        <is>
          <t>Yes</t>
        </is>
      </c>
      <c r="G3126" t="inlineStr">
        <is>
          <t>$41.2 million (2025)</t>
        </is>
      </c>
      <c r="H3126" t="n">
        <v>2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>
        <f>IFERROR(INDEX('Company Hitlist'!$AA:$AA,MATCH(D3126,'Company Hitlist'!$A:$A,0)),)</f>
        <v/>
      </c>
      <c r="O3126">
        <f>IFERROR(INDEX('Company Hitlist'!$N:$N,MATCH(D3126,'Company Hitlist'!$A:$A,0)),)</f>
        <v/>
      </c>
      <c r="Q3126" t="inlineStr">
        <is>
          <t>todo</t>
        </is>
      </c>
    </row>
    <row r="3127">
      <c r="A3127" t="inlineStr">
        <is>
          <t>Alyxis Ray</t>
        </is>
      </c>
      <c r="B3127" t="inlineStr">
        <is>
          <t>Sponsor</t>
        </is>
      </c>
      <c r="C3127" t="inlineStr">
        <is>
          <t>Co-Owner</t>
        </is>
      </c>
      <c r="D3127" t="inlineStr">
        <is>
          <t>Precision Lumping Services</t>
        </is>
      </c>
      <c r="F3127" t="inlineStr">
        <is>
          <t>Yes</t>
        </is>
      </c>
      <c r="G3127" t="inlineStr">
        <is>
          <t>$3.3 billion (2025)</t>
        </is>
      </c>
      <c r="H3127" t="n">
        <v>2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>
        <f>IFERROR(INDEX('Company Hitlist'!$AA:$AA,MATCH(D3127,'Company Hitlist'!$A:$A,0)),)</f>
        <v/>
      </c>
      <c r="O3127">
        <f>IFERROR(INDEX('Company Hitlist'!$N:$N,MATCH(D3127,'Company Hitlist'!$A:$A,0)),)</f>
        <v/>
      </c>
      <c r="Q3127" t="inlineStr">
        <is>
          <t>todo</t>
        </is>
      </c>
    </row>
    <row r="3128">
      <c r="A3128" t="inlineStr">
        <is>
          <t>Blakely Ramirez</t>
        </is>
      </c>
      <c r="B3128" t="inlineStr">
        <is>
          <t>Sponsor</t>
        </is>
      </c>
      <c r="C3128" t="inlineStr">
        <is>
          <t>Human Resource Manager</t>
        </is>
      </c>
      <c r="D3128" t="inlineStr">
        <is>
          <t>Precision Lumping Services</t>
        </is>
      </c>
      <c r="E3128" t="inlineStr">
        <is>
          <t>United States</t>
        </is>
      </c>
      <c r="H3128" t="n">
        <v>2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>
        <f>IFERROR(INDEX('Company Hitlist'!$AA:$AA,MATCH(D3128,'Company Hitlist'!$A:$A,0)),)</f>
        <v/>
      </c>
      <c r="O3128">
        <f>IFERROR(INDEX('Company Hitlist'!$N:$N,MATCH(D3128,'Company Hitlist'!$A:$A,0)),)</f>
        <v/>
      </c>
      <c r="Q3128" t="inlineStr">
        <is>
          <t>todo</t>
        </is>
      </c>
    </row>
    <row r="3129">
      <c r="A3129" t="inlineStr">
        <is>
          <t>Harrason Ahn</t>
        </is>
      </c>
      <c r="B3129" t="inlineStr">
        <is>
          <t>Sponsor</t>
        </is>
      </c>
      <c r="C3129" t="inlineStr">
        <is>
          <t>Assistant Regional Manager</t>
        </is>
      </c>
      <c r="D3129" t="inlineStr">
        <is>
          <t>Precision Lumping Services</t>
        </is>
      </c>
      <c r="E3129" t="inlineStr">
        <is>
          <t>United States</t>
        </is>
      </c>
      <c r="H3129" t="n">
        <v>2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>
        <f>IFERROR(INDEX('Company Hitlist'!$AA:$AA,MATCH(D3129,'Company Hitlist'!$A:$A,0)),)</f>
        <v/>
      </c>
      <c r="O3129">
        <f>IFERROR(INDEX('Company Hitlist'!$N:$N,MATCH(D3129,'Company Hitlist'!$A:$A,0)),)</f>
        <v/>
      </c>
      <c r="Q3129" t="inlineStr">
        <is>
          <t>todo</t>
        </is>
      </c>
    </row>
    <row r="3130">
      <c r="A3130" t="inlineStr">
        <is>
          <t>Heath Galbraith</t>
        </is>
      </c>
      <c r="B3130" t="inlineStr">
        <is>
          <t>Sponsor</t>
        </is>
      </c>
      <c r="C3130" t="inlineStr">
        <is>
          <t>Director of Strategic Accounts</t>
        </is>
      </c>
      <c r="D3130" t="inlineStr">
        <is>
          <t>ProShip, Inc.</t>
        </is>
      </c>
      <c r="E3130" t="inlineStr">
        <is>
          <t>United States</t>
        </is>
      </c>
      <c r="F3130" t="inlineStr">
        <is>
          <t>Yes</t>
        </is>
      </c>
      <c r="H3130" t="n">
        <v>2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>
        <f>IFERROR(INDEX('Company Hitlist'!$AA:$AA,MATCH(D3130,'Company Hitlist'!$A:$A,0)),)</f>
        <v/>
      </c>
      <c r="O3130">
        <f>IFERROR(INDEX('Company Hitlist'!$N:$N,MATCH(D3130,'Company Hitlist'!$A:$A,0)),)</f>
        <v/>
      </c>
      <c r="Q3130" t="inlineStr">
        <is>
          <t>todo</t>
        </is>
      </c>
    </row>
    <row r="3131">
      <c r="A3131" t="inlineStr">
        <is>
          <t>Jamie Francis</t>
        </is>
      </c>
      <c r="B3131" t="inlineStr">
        <is>
          <t>Sponsor</t>
        </is>
      </c>
      <c r="C3131" t="inlineStr">
        <is>
          <t>Director of Solutions Engineering</t>
        </is>
      </c>
      <c r="D3131" t="inlineStr">
        <is>
          <t>Qargo TMS</t>
        </is>
      </c>
      <c r="E3131" t="inlineStr">
        <is>
          <t>United Kingdom</t>
        </is>
      </c>
      <c r="F3131" t="inlineStr">
        <is>
          <t>Yes</t>
        </is>
      </c>
      <c r="H3131" t="n">
        <v>2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>
        <f>IFERROR(INDEX('Company Hitlist'!$AA:$AA,MATCH(D3131,'Company Hitlist'!$A:$A,0)),)</f>
        <v/>
      </c>
      <c r="O3131">
        <f>IFERROR(INDEX('Company Hitlist'!$N:$N,MATCH(D3131,'Company Hitlist'!$A:$A,0)),)</f>
        <v/>
      </c>
      <c r="Q3131" t="inlineStr">
        <is>
          <t>todo</t>
        </is>
      </c>
    </row>
    <row r="3132">
      <c r="A3132" t="inlineStr">
        <is>
          <t>Traci Nash</t>
        </is>
      </c>
      <c r="B3132" t="inlineStr">
        <is>
          <t>Attendee</t>
        </is>
      </c>
      <c r="C3132" t="inlineStr">
        <is>
          <t>Corporate Sales/Managed Transportation</t>
        </is>
      </c>
      <c r="D3132" t="inlineStr">
        <is>
          <t>R+L Global Logistics/Paramount Transportation</t>
        </is>
      </c>
      <c r="E3132" t="inlineStr">
        <is>
          <t>United States</t>
        </is>
      </c>
      <c r="H3132" t="n">
        <v>2</v>
      </c>
      <c r="I3132" t="b">
        <v>1</v>
      </c>
      <c r="J3132" t="b">
        <v>0</v>
      </c>
      <c r="K3132" t="b">
        <v>0</v>
      </c>
      <c r="L3132" t="b">
        <v>0</v>
      </c>
      <c r="M3132" t="b">
        <v>1</v>
      </c>
      <c r="N3132">
        <f>IFERROR(INDEX('Company Hitlist'!$AA:$AA,MATCH(D3132,'Company Hitlist'!$A:$A,0)),)</f>
        <v/>
      </c>
      <c r="O3132">
        <f>IFERROR(INDEX('Company Hitlist'!$N:$N,MATCH(D3132,'Company Hitlist'!$A:$A,0)),)</f>
        <v/>
      </c>
      <c r="Q3132" t="inlineStr">
        <is>
          <t>todo</t>
        </is>
      </c>
    </row>
    <row r="3133">
      <c r="A3133" t="inlineStr">
        <is>
          <t>Boris Romic</t>
        </is>
      </c>
      <c r="B3133" t="inlineStr">
        <is>
          <t>Sponsor</t>
        </is>
      </c>
      <c r="C3133" t="inlineStr">
        <is>
          <t>Partner Development</t>
        </is>
      </c>
      <c r="D3133" t="inlineStr">
        <is>
          <t>READYCLOUD</t>
        </is>
      </c>
      <c r="F3133" t="inlineStr">
        <is>
          <t>Yes</t>
        </is>
      </c>
      <c r="H3133" t="n">
        <v>2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>
        <f>IFERROR(INDEX('Company Hitlist'!$AA:$AA,MATCH(D3133,'Company Hitlist'!$A:$A,0)),)</f>
        <v/>
      </c>
      <c r="O3133">
        <f>IFERROR(INDEX('Company Hitlist'!$N:$N,MATCH(D3133,'Company Hitlist'!$A:$A,0)),)</f>
        <v/>
      </c>
      <c r="Q3133" t="inlineStr">
        <is>
          <t>todo</t>
        </is>
      </c>
    </row>
    <row r="3134">
      <c r="A3134" t="inlineStr">
        <is>
          <t>Chris Dunn</t>
        </is>
      </c>
      <c r="B3134" t="inlineStr">
        <is>
          <t>Sponsor</t>
        </is>
      </c>
      <c r="C3134" t="inlineStr">
        <is>
          <t>Director</t>
        </is>
      </c>
      <c r="D3134" t="inlineStr">
        <is>
          <t>READYCLOUD</t>
        </is>
      </c>
      <c r="F3134" t="inlineStr">
        <is>
          <t>Yes</t>
        </is>
      </c>
      <c r="H3134" t="n">
        <v>2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>
        <f>IFERROR(INDEX('Company Hitlist'!$AA:$AA,MATCH(D3134,'Company Hitlist'!$A:$A,0)),)</f>
        <v/>
      </c>
      <c r="O3134">
        <f>IFERROR(INDEX('Company Hitlist'!$N:$N,MATCH(D3134,'Company Hitlist'!$A:$A,0)),)</f>
        <v/>
      </c>
      <c r="Q3134" t="inlineStr">
        <is>
          <t>todo</t>
        </is>
      </c>
    </row>
    <row r="3135">
      <c r="A3135" t="inlineStr">
        <is>
          <t>Evan Ford</t>
        </is>
      </c>
      <c r="B3135" t="inlineStr">
        <is>
          <t>Sponsor</t>
        </is>
      </c>
      <c r="C3135" t="inlineStr">
        <is>
          <t>National Account Manager</t>
        </is>
      </c>
      <c r="D3135" t="inlineStr">
        <is>
          <t>RVN Reefer Van Network</t>
        </is>
      </c>
      <c r="E3135" t="inlineStr">
        <is>
          <t>United States</t>
        </is>
      </c>
      <c r="H3135" t="n">
        <v>2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>
        <f>IFERROR(INDEX('Company Hitlist'!$AA:$AA,MATCH(D3135,'Company Hitlist'!$A:$A,0)),)</f>
        <v/>
      </c>
      <c r="O3135">
        <f>IFERROR(INDEX('Company Hitlist'!$N:$N,MATCH(D3135,'Company Hitlist'!$A:$A,0)),)</f>
        <v/>
      </c>
      <c r="Q3135" t="inlineStr">
        <is>
          <t>todo</t>
        </is>
      </c>
    </row>
    <row r="3136">
      <c r="A3136" t="inlineStr">
        <is>
          <t>Joe Thull</t>
        </is>
      </c>
      <c r="B3136" t="inlineStr">
        <is>
          <t>Sponsor</t>
        </is>
      </c>
      <c r="C3136" t="inlineStr">
        <is>
          <t>Radaro Inc.</t>
        </is>
      </c>
      <c r="D3136" t="inlineStr">
        <is>
          <t>Radaro</t>
        </is>
      </c>
      <c r="E3136" t="inlineStr">
        <is>
          <t>United States</t>
        </is>
      </c>
      <c r="F3136" t="inlineStr">
        <is>
          <t>Yes</t>
        </is>
      </c>
      <c r="H3136" t="n">
        <v>2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>
        <f>IFERROR(INDEX('Company Hitlist'!$AA:$AA,MATCH(D3136,'Company Hitlist'!$A:$A,0)),)</f>
        <v/>
      </c>
      <c r="O3136">
        <f>IFERROR(INDEX('Company Hitlist'!$N:$N,MATCH(D3136,'Company Hitlist'!$A:$A,0)),)</f>
        <v/>
      </c>
      <c r="Q3136" t="inlineStr">
        <is>
          <t>todo</t>
        </is>
      </c>
    </row>
    <row r="3137">
      <c r="A3137" t="inlineStr">
        <is>
          <t>Adnan Aamir</t>
        </is>
      </c>
      <c r="B3137" t="inlineStr">
        <is>
          <t>Sponsor</t>
        </is>
      </c>
      <c r="C3137" t="inlineStr">
        <is>
          <t>Principal</t>
        </is>
      </c>
      <c r="D3137" t="inlineStr">
        <is>
          <t>Raft</t>
        </is>
      </c>
      <c r="E3137" t="inlineStr">
        <is>
          <t>United Kingdom</t>
        </is>
      </c>
      <c r="F3137" t="inlineStr">
        <is>
          <t>Yes</t>
        </is>
      </c>
      <c r="G3137" t="inlineStr">
        <is>
          <t>$20 million (2025)</t>
        </is>
      </c>
      <c r="H3137" t="n">
        <v>2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>
        <f>IFERROR(INDEX('Company Hitlist'!$AA:$AA,MATCH(D3137,'Company Hitlist'!$A:$A,0)),)</f>
        <v/>
      </c>
      <c r="O3137">
        <f>IFERROR(INDEX('Company Hitlist'!$N:$N,MATCH(D3137,'Company Hitlist'!$A:$A,0)),)</f>
        <v/>
      </c>
      <c r="Q3137" t="inlineStr">
        <is>
          <t>todo</t>
        </is>
      </c>
    </row>
    <row r="3138">
      <c r="A3138" t="inlineStr">
        <is>
          <t>Hayley Burns</t>
        </is>
      </c>
      <c r="B3138" t="inlineStr">
        <is>
          <t>Sponsor</t>
        </is>
      </c>
      <c r="C3138" t="inlineStr">
        <is>
          <t>Customer Implementation Team Lead</t>
        </is>
      </c>
      <c r="D3138" t="inlineStr">
        <is>
          <t>Raft</t>
        </is>
      </c>
      <c r="E3138" t="inlineStr">
        <is>
          <t>United Kingdom</t>
        </is>
      </c>
      <c r="F3138" t="inlineStr">
        <is>
          <t>Yes</t>
        </is>
      </c>
      <c r="G3138" t="inlineStr">
        <is>
          <t>$20 million (2025)</t>
        </is>
      </c>
      <c r="H3138" t="n">
        <v>2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>
        <f>IFERROR(INDEX('Company Hitlist'!$AA:$AA,MATCH(D3138,'Company Hitlist'!$A:$A,0)),)</f>
        <v/>
      </c>
      <c r="O3138">
        <f>IFERROR(INDEX('Company Hitlist'!$N:$N,MATCH(D3138,'Company Hitlist'!$A:$A,0)),)</f>
        <v/>
      </c>
      <c r="Q3138" t="inlineStr">
        <is>
          <t>todo</t>
        </is>
      </c>
    </row>
    <row r="3139">
      <c r="A3139" t="inlineStr">
        <is>
          <t>Melis Kordal</t>
        </is>
      </c>
      <c r="B3139" t="inlineStr">
        <is>
          <t>Sponsor</t>
        </is>
      </c>
      <c r="C3139" t="inlineStr">
        <is>
          <t>Brand Awareness Manager</t>
        </is>
      </c>
      <c r="D3139" t="inlineStr">
        <is>
          <t>Ram International Shipping</t>
        </is>
      </c>
      <c r="E3139" t="inlineStr">
        <is>
          <t>United States</t>
        </is>
      </c>
      <c r="H3139" t="n">
        <v>2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>
        <f>IFERROR(INDEX('Company Hitlist'!$AA:$AA,MATCH(D3139,'Company Hitlist'!$A:$A,0)),)</f>
        <v/>
      </c>
      <c r="O3139">
        <f>IFERROR(INDEX('Company Hitlist'!$N:$N,MATCH(D3139,'Company Hitlist'!$A:$A,0)),)</f>
        <v/>
      </c>
      <c r="Q3139" t="inlineStr">
        <is>
          <t>todo</t>
        </is>
      </c>
    </row>
    <row r="3140">
      <c r="A3140" t="inlineStr">
        <is>
          <t>Kristen Spence</t>
        </is>
      </c>
      <c r="B3140" t="inlineStr">
        <is>
          <t>Sponsor</t>
        </is>
      </c>
      <c r="C3140" t="inlineStr">
        <is>
          <t>Demand Generation Manager</t>
        </is>
      </c>
      <c r="D3140" t="inlineStr">
        <is>
          <t>Rebus</t>
        </is>
      </c>
      <c r="E3140" t="inlineStr">
        <is>
          <t>Canada</t>
        </is>
      </c>
      <c r="H3140" t="n">
        <v>2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>
        <f>IFERROR(INDEX('Company Hitlist'!$AA:$AA,MATCH(D3140,'Company Hitlist'!$A:$A,0)),)</f>
        <v/>
      </c>
      <c r="O3140">
        <f>IFERROR(INDEX('Company Hitlist'!$N:$N,MATCH(D3140,'Company Hitlist'!$A:$A,0)),)</f>
        <v/>
      </c>
      <c r="Q3140" t="inlineStr">
        <is>
          <t>todo</t>
        </is>
      </c>
    </row>
    <row r="3141">
      <c r="A3141" t="inlineStr">
        <is>
          <t>Carlos Gelici</t>
        </is>
      </c>
      <c r="B3141" t="inlineStr">
        <is>
          <t>Sponsor</t>
        </is>
      </c>
      <c r="C3141" t="inlineStr">
        <is>
          <t>Director</t>
        </is>
      </c>
      <c r="D3141" t="inlineStr">
        <is>
          <t>Recon Logistics BV</t>
        </is>
      </c>
      <c r="E3141" t="inlineStr">
        <is>
          <t>Netherlands</t>
        </is>
      </c>
      <c r="F3141" t="inlineStr">
        <is>
          <t>Yes</t>
        </is>
      </c>
      <c r="H3141" t="n">
        <v>2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>
        <f>IFERROR(INDEX('Company Hitlist'!$AA:$AA,MATCH(D3141,'Company Hitlist'!$A:$A,0)),)</f>
        <v/>
      </c>
      <c r="O3141">
        <f>IFERROR(INDEX('Company Hitlist'!$N:$N,MATCH(D3141,'Company Hitlist'!$A:$A,0)),)</f>
        <v/>
      </c>
      <c r="Q3141" t="inlineStr">
        <is>
          <t>todo</t>
        </is>
      </c>
    </row>
    <row r="3142">
      <c r="A3142" t="inlineStr">
        <is>
          <t>Benn Bekic</t>
        </is>
      </c>
      <c r="B3142" t="inlineStr">
        <is>
          <t>Sponsor</t>
        </is>
      </c>
      <c r="C3142" t="inlineStr">
        <is>
          <t>Advisor</t>
        </is>
      </c>
      <c r="D3142" t="inlineStr">
        <is>
          <t>Reform</t>
        </is>
      </c>
      <c r="F3142" t="inlineStr">
        <is>
          <t>Yes</t>
        </is>
      </c>
      <c r="H3142" t="n">
        <v>2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>
        <f>IFERROR(INDEX('Company Hitlist'!$AA:$AA,MATCH(D3142,'Company Hitlist'!$A:$A,0)),)</f>
        <v/>
      </c>
      <c r="O3142">
        <f>IFERROR(INDEX('Company Hitlist'!$N:$N,MATCH(D3142,'Company Hitlist'!$A:$A,0)),)</f>
        <v/>
      </c>
      <c r="Q3142" t="inlineStr">
        <is>
          <t>todo</t>
        </is>
      </c>
    </row>
    <row r="3143">
      <c r="A3143" t="inlineStr">
        <is>
          <t>Shachar Guz</t>
        </is>
      </c>
      <c r="B3143" t="inlineStr">
        <is>
          <t>Sponsor</t>
        </is>
      </c>
      <c r="C3143" t="inlineStr">
        <is>
          <t>Product</t>
        </is>
      </c>
      <c r="D3143" t="inlineStr">
        <is>
          <t>Reindeer AI</t>
        </is>
      </c>
      <c r="F3143" t="inlineStr">
        <is>
          <t>Yes</t>
        </is>
      </c>
      <c r="H3143" t="n">
        <v>2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>
        <f>IFERROR(INDEX('Company Hitlist'!$AA:$AA,MATCH(D3143,'Company Hitlist'!$A:$A,0)),)</f>
        <v/>
      </c>
      <c r="O3143">
        <f>IFERROR(INDEX('Company Hitlist'!$N:$N,MATCH(D3143,'Company Hitlist'!$A:$A,0)),)</f>
        <v/>
      </c>
      <c r="Q3143" t="inlineStr">
        <is>
          <t>todo</t>
        </is>
      </c>
    </row>
    <row r="3144">
      <c r="A3144" t="inlineStr">
        <is>
          <t>Kevin Casper</t>
        </is>
      </c>
      <c r="B3144" t="inlineStr">
        <is>
          <t>Attendee</t>
        </is>
      </c>
      <c r="C3144" t="inlineStr">
        <is>
          <t>Director of Sales - Ops</t>
        </is>
      </c>
      <c r="D3144" t="inlineStr">
        <is>
          <t>Renaissant</t>
        </is>
      </c>
      <c r="E3144" t="inlineStr">
        <is>
          <t>United States</t>
        </is>
      </c>
      <c r="H3144" t="n">
        <v>2</v>
      </c>
      <c r="I3144" t="b">
        <v>1</v>
      </c>
      <c r="J3144" t="b">
        <v>0</v>
      </c>
      <c r="K3144" t="b">
        <v>0</v>
      </c>
      <c r="L3144" t="b">
        <v>0</v>
      </c>
      <c r="M3144" t="b">
        <v>1</v>
      </c>
      <c r="N3144">
        <f>IFERROR(INDEX('Company Hitlist'!$AA:$AA,MATCH(D3144,'Company Hitlist'!$A:$A,0)),)</f>
        <v/>
      </c>
      <c r="O3144">
        <f>IFERROR(INDEX('Company Hitlist'!$N:$N,MATCH(D3144,'Company Hitlist'!$A:$A,0)),)</f>
        <v/>
      </c>
      <c r="Q3144" t="inlineStr">
        <is>
          <t>todo</t>
        </is>
      </c>
    </row>
    <row r="3145">
      <c r="A3145" t="inlineStr">
        <is>
          <t>Srinivasan Sarnath</t>
        </is>
      </c>
      <c r="B3145" t="inlineStr">
        <is>
          <t>Sponsor</t>
        </is>
      </c>
      <c r="C3145" t="inlineStr">
        <is>
          <t>Advisor</t>
        </is>
      </c>
      <c r="D3145" t="inlineStr">
        <is>
          <t>Retina Robotics</t>
        </is>
      </c>
      <c r="H3145" t="n">
        <v>2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>
        <f>IFERROR(INDEX('Company Hitlist'!$AA:$AA,MATCH(D3145,'Company Hitlist'!$A:$A,0)),)</f>
        <v/>
      </c>
      <c r="O3145">
        <f>IFERROR(INDEX('Company Hitlist'!$N:$N,MATCH(D3145,'Company Hitlist'!$A:$A,0)),)</f>
        <v/>
      </c>
      <c r="Q3145" t="inlineStr">
        <is>
          <t>todo</t>
        </is>
      </c>
    </row>
    <row r="3146">
      <c r="A3146" t="inlineStr">
        <is>
          <t>Vanessa Llovet</t>
        </is>
      </c>
      <c r="B3146" t="inlineStr">
        <is>
          <t>Sponsor</t>
        </is>
      </c>
      <c r="C3146" t="inlineStr">
        <is>
          <t>Sr Vendor Relations Manager</t>
        </is>
      </c>
      <c r="D3146" t="inlineStr">
        <is>
          <t>ReturnPro</t>
        </is>
      </c>
      <c r="H3146" t="n">
        <v>2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>
        <f>IFERROR(INDEX('Company Hitlist'!$AA:$AA,MATCH(D3146,'Company Hitlist'!$A:$A,0)),)</f>
        <v/>
      </c>
      <c r="O3146">
        <f>IFERROR(INDEX('Company Hitlist'!$N:$N,MATCH(D3146,'Company Hitlist'!$A:$A,0)),)</f>
        <v/>
      </c>
      <c r="Q3146" t="inlineStr">
        <is>
          <t>todo</t>
        </is>
      </c>
    </row>
    <row r="3147">
      <c r="A3147" t="inlineStr">
        <is>
          <t>Danielle Chaffin</t>
        </is>
      </c>
      <c r="B3147" t="inlineStr">
        <is>
          <t>Sponsor</t>
        </is>
      </c>
      <c r="C3147" t="inlineStr">
        <is>
          <t>Senior Solutions Engineer</t>
        </is>
      </c>
      <c r="D3147" t="inlineStr">
        <is>
          <t>Revenova</t>
        </is>
      </c>
      <c r="E3147" t="inlineStr">
        <is>
          <t>United States</t>
        </is>
      </c>
      <c r="F3147" t="inlineStr">
        <is>
          <t>Yes</t>
        </is>
      </c>
      <c r="H3147" t="n">
        <v>2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>
        <f>IFERROR(INDEX('Company Hitlist'!$AA:$AA,MATCH(D3147,'Company Hitlist'!$A:$A,0)),)</f>
        <v/>
      </c>
      <c r="O3147">
        <f>IFERROR(INDEX('Company Hitlist'!$N:$N,MATCH(D3147,'Company Hitlist'!$A:$A,0)),)</f>
        <v/>
      </c>
      <c r="Q3147" t="inlineStr">
        <is>
          <t>todo</t>
        </is>
      </c>
    </row>
    <row r="3148">
      <c r="A3148" t="inlineStr">
        <is>
          <t>Chip Richie</t>
        </is>
      </c>
      <c r="B3148" t="inlineStr">
        <is>
          <t>Sponsor</t>
        </is>
      </c>
      <c r="C3148" t="inlineStr">
        <is>
          <t>Videographer</t>
        </is>
      </c>
      <c r="D3148" t="inlineStr">
        <is>
          <t>Richie Media</t>
        </is>
      </c>
      <c r="H3148" t="n">
        <v>2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>
        <f>IFERROR(INDEX('Company Hitlist'!$AA:$AA,MATCH(D3148,'Company Hitlist'!$A:$A,0)),)</f>
        <v/>
      </c>
      <c r="O3148">
        <f>IFERROR(INDEX('Company Hitlist'!$N:$N,MATCH(D3148,'Company Hitlist'!$A:$A,0)),)</f>
        <v/>
      </c>
      <c r="Q3148" t="inlineStr">
        <is>
          <t>todo</t>
        </is>
      </c>
    </row>
    <row r="3149">
      <c r="A3149" t="inlineStr">
        <is>
          <t>Julia Longacre</t>
        </is>
      </c>
      <c r="B3149" t="inlineStr">
        <is>
          <t>Sponsor</t>
        </is>
      </c>
      <c r="C3149" t="inlineStr">
        <is>
          <t>Strategic Account Manager</t>
        </is>
      </c>
      <c r="D3149" t="inlineStr">
        <is>
          <t>Robust.AI</t>
        </is>
      </c>
      <c r="E3149" t="inlineStr">
        <is>
          <t>United States</t>
        </is>
      </c>
      <c r="H3149" t="n">
        <v>2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>
        <f>IFERROR(INDEX('Company Hitlist'!$AA:$AA,MATCH(D3149,'Company Hitlist'!$A:$A,0)),)</f>
        <v/>
      </c>
      <c r="O3149">
        <f>IFERROR(INDEX('Company Hitlist'!$N:$N,MATCH(D3149,'Company Hitlist'!$A:$A,0)),)</f>
        <v/>
      </c>
      <c r="Q3149" t="inlineStr">
        <is>
          <t>todo</t>
        </is>
      </c>
    </row>
    <row r="3150">
      <c r="A3150" t="inlineStr">
        <is>
          <t>Ben Rodriguez</t>
        </is>
      </c>
      <c r="B3150" t="inlineStr">
        <is>
          <t>Sponsor</t>
        </is>
      </c>
      <c r="C3150" t="inlineStr">
        <is>
          <t>Director</t>
        </is>
      </c>
      <c r="D3150" t="inlineStr">
        <is>
          <t>Rosemont Industries</t>
        </is>
      </c>
      <c r="H3150" t="n">
        <v>2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>
        <f>IFERROR(INDEX('Company Hitlist'!$AA:$AA,MATCH(D3150,'Company Hitlist'!$A:$A,0)),)</f>
        <v/>
      </c>
      <c r="O3150">
        <f>IFERROR(INDEX('Company Hitlist'!$N:$N,MATCH(D3150,'Company Hitlist'!$A:$A,0)),)</f>
        <v/>
      </c>
      <c r="Q3150" t="inlineStr">
        <is>
          <t>todo</t>
        </is>
      </c>
    </row>
    <row r="3151">
      <c r="A3151" t="inlineStr">
        <is>
          <t>Kate Applebaum</t>
        </is>
      </c>
      <c r="B3151" t="inlineStr">
        <is>
          <t>Sponsor</t>
        </is>
      </c>
      <c r="C3151" t="inlineStr">
        <is>
          <t>Sr. Director</t>
        </is>
      </c>
      <c r="D3151" t="inlineStr">
        <is>
          <t>Rosemont Industries</t>
        </is>
      </c>
      <c r="H3151" t="n">
        <v>2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>
        <f>IFERROR(INDEX('Company Hitlist'!$AA:$AA,MATCH(D3151,'Company Hitlist'!$A:$A,0)),)</f>
        <v/>
      </c>
      <c r="O3151">
        <f>IFERROR(INDEX('Company Hitlist'!$N:$N,MATCH(D3151,'Company Hitlist'!$A:$A,0)),)</f>
        <v/>
      </c>
      <c r="Q3151" t="inlineStr">
        <is>
          <t>todo</t>
        </is>
      </c>
    </row>
    <row r="3152">
      <c r="A3152" t="inlineStr">
        <is>
          <t>Trevor Wright</t>
        </is>
      </c>
      <c r="B3152" t="inlineStr">
        <is>
          <t>Sponsor</t>
        </is>
      </c>
      <c r="C3152" t="inlineStr">
        <is>
          <t>Analyst</t>
        </is>
      </c>
      <c r="D3152" t="inlineStr">
        <is>
          <t>Rosemont Industries</t>
        </is>
      </c>
      <c r="H3152" t="n">
        <v>2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>
        <f>IFERROR(INDEX('Company Hitlist'!$AA:$AA,MATCH(D3152,'Company Hitlist'!$A:$A,0)),)</f>
        <v/>
      </c>
      <c r="O3152">
        <f>IFERROR(INDEX('Company Hitlist'!$N:$N,MATCH(D3152,'Company Hitlist'!$A:$A,0)),)</f>
        <v/>
      </c>
      <c r="Q3152" t="inlineStr">
        <is>
          <t>todo</t>
        </is>
      </c>
    </row>
    <row r="3153">
      <c r="A3153" t="inlineStr">
        <is>
          <t>Anthony Dugarte</t>
        </is>
      </c>
      <c r="B3153" t="inlineStr">
        <is>
          <t>Sponsor</t>
        </is>
      </c>
      <c r="C3153" t="inlineStr">
        <is>
          <t>Dev</t>
        </is>
      </c>
      <c r="D3153" t="inlineStr">
        <is>
          <t>Rosemont Industries T</t>
        </is>
      </c>
      <c r="H3153" t="n">
        <v>2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>
        <f>IFERROR(INDEX('Company Hitlist'!$AA:$AA,MATCH(D3153,'Company Hitlist'!$A:$A,0)),)</f>
        <v/>
      </c>
      <c r="O3153">
        <f>IFERROR(INDEX('Company Hitlist'!$N:$N,MATCH(D3153,'Company Hitlist'!$A:$A,0)),)</f>
        <v/>
      </c>
      <c r="Q3153" t="inlineStr">
        <is>
          <t>todo</t>
        </is>
      </c>
    </row>
    <row r="3154">
      <c r="A3154" t="inlineStr">
        <is>
          <t>Anne Hendricks</t>
        </is>
      </c>
      <c r="B3154" t="inlineStr">
        <is>
          <t>Sponsor</t>
        </is>
      </c>
      <c r="C3154" t="inlineStr">
        <is>
          <t>Director Corporate Communications</t>
        </is>
      </c>
      <c r="D3154" t="inlineStr">
        <is>
          <t>Ryder System, Inc.</t>
        </is>
      </c>
      <c r="E3154" t="inlineStr">
        <is>
          <t>United States</t>
        </is>
      </c>
      <c r="F3154" t="inlineStr">
        <is>
          <t>Yes</t>
        </is>
      </c>
      <c r="H3154" t="n">
        <v>2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>
        <f>IFERROR(INDEX('Company Hitlist'!$AA:$AA,MATCH(D3154,'Company Hitlist'!$A:$A,0)),)</f>
        <v/>
      </c>
      <c r="O3154">
        <f>IFERROR(INDEX('Company Hitlist'!$N:$N,MATCH(D3154,'Company Hitlist'!$A:$A,0)),)</f>
        <v/>
      </c>
      <c r="Q3154" t="inlineStr">
        <is>
          <t>todo</t>
        </is>
      </c>
    </row>
    <row r="3155">
      <c r="A3155" t="inlineStr">
        <is>
          <t>Dave Yoder</t>
        </is>
      </c>
      <c r="B3155" t="inlineStr">
        <is>
          <t>Sponsor</t>
        </is>
      </c>
      <c r="C3155" t="inlineStr">
        <is>
          <t>Group Director Product Development &amp; Innovation</t>
        </is>
      </c>
      <c r="D3155" t="inlineStr">
        <is>
          <t>Ryder System, Inc.</t>
        </is>
      </c>
      <c r="E3155" t="inlineStr">
        <is>
          <t>United States</t>
        </is>
      </c>
      <c r="F3155" t="inlineStr">
        <is>
          <t>Yes</t>
        </is>
      </c>
      <c r="H3155" t="n">
        <v>2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>
        <f>IFERROR(INDEX('Company Hitlist'!$AA:$AA,MATCH(D3155,'Company Hitlist'!$A:$A,0)),)</f>
        <v/>
      </c>
      <c r="O3155">
        <f>IFERROR(INDEX('Company Hitlist'!$N:$N,MATCH(D3155,'Company Hitlist'!$A:$A,0)),)</f>
        <v/>
      </c>
      <c r="Q3155" t="inlineStr">
        <is>
          <t>todo</t>
        </is>
      </c>
    </row>
    <row r="3156">
      <c r="A3156" t="inlineStr">
        <is>
          <t>Karl Delatour</t>
        </is>
      </c>
      <c r="B3156" t="inlineStr">
        <is>
          <t>Sponsor</t>
        </is>
      </c>
      <c r="C3156" t="inlineStr">
        <is>
          <t>RyderVentures Associate</t>
        </is>
      </c>
      <c r="D3156" t="inlineStr">
        <is>
          <t>Ryder System, Inc.</t>
        </is>
      </c>
      <c r="E3156" t="inlineStr">
        <is>
          <t>United States</t>
        </is>
      </c>
      <c r="F3156" t="inlineStr">
        <is>
          <t>Yes</t>
        </is>
      </c>
      <c r="H3156" t="n">
        <v>2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>
        <f>IFERROR(INDEX('Company Hitlist'!$AA:$AA,MATCH(D3156,'Company Hitlist'!$A:$A,0)),)</f>
        <v/>
      </c>
      <c r="O3156">
        <f>IFERROR(INDEX('Company Hitlist'!$N:$N,MATCH(D3156,'Company Hitlist'!$A:$A,0)),)</f>
        <v/>
      </c>
      <c r="Q3156" t="inlineStr">
        <is>
          <t>todo</t>
        </is>
      </c>
    </row>
    <row r="3157">
      <c r="A3157" t="inlineStr">
        <is>
          <t>Kyle Walker</t>
        </is>
      </c>
      <c r="B3157" t="inlineStr">
        <is>
          <t>Sponsor</t>
        </is>
      </c>
      <c r="C3157" t="inlineStr">
        <is>
          <t>RyderVentures &amp; New Product Strategy</t>
        </is>
      </c>
      <c r="D3157" t="inlineStr">
        <is>
          <t>Ryder System, Inc.</t>
        </is>
      </c>
      <c r="E3157" t="inlineStr">
        <is>
          <t>United States</t>
        </is>
      </c>
      <c r="F3157" t="inlineStr">
        <is>
          <t>Yes</t>
        </is>
      </c>
      <c r="H3157" t="n">
        <v>2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>
        <f>IFERROR(INDEX('Company Hitlist'!$AA:$AA,MATCH(D3157,'Company Hitlist'!$A:$A,0)),)</f>
        <v/>
      </c>
      <c r="O3157">
        <f>IFERROR(INDEX('Company Hitlist'!$N:$N,MATCH(D3157,'Company Hitlist'!$A:$A,0)),)</f>
        <v/>
      </c>
      <c r="Q3157" t="inlineStr">
        <is>
          <t>todo</t>
        </is>
      </c>
    </row>
    <row r="3158">
      <c r="A3158" t="inlineStr">
        <is>
          <t>Michael Plasencia</t>
        </is>
      </c>
      <c r="B3158" t="inlineStr">
        <is>
          <t>Sponsor</t>
        </is>
      </c>
      <c r="C3158" t="inlineStr">
        <is>
          <t>Managing Director, RyderVentures</t>
        </is>
      </c>
      <c r="D3158" t="inlineStr">
        <is>
          <t>Ryder System, Inc.</t>
        </is>
      </c>
      <c r="E3158" t="inlineStr">
        <is>
          <t>United States</t>
        </is>
      </c>
      <c r="F3158" t="inlineStr">
        <is>
          <t>Yes</t>
        </is>
      </c>
      <c r="H3158" t="n">
        <v>2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>
        <f>IFERROR(INDEX('Company Hitlist'!$AA:$AA,MATCH(D3158,'Company Hitlist'!$A:$A,0)),)</f>
        <v/>
      </c>
      <c r="O3158">
        <f>IFERROR(INDEX('Company Hitlist'!$N:$N,MATCH(D3158,'Company Hitlist'!$A:$A,0)),)</f>
        <v/>
      </c>
      <c r="Q3158" t="inlineStr">
        <is>
          <t>todo</t>
        </is>
      </c>
    </row>
    <row r="3159">
      <c r="A3159" t="inlineStr">
        <is>
          <t>Seth deVlugt</t>
        </is>
      </c>
      <c r="B3159" t="inlineStr">
        <is>
          <t>Sponsor</t>
        </is>
      </c>
      <c r="C3159" t="inlineStr">
        <is>
          <t>Sr Director New Product Strategy</t>
        </is>
      </c>
      <c r="D3159" t="inlineStr">
        <is>
          <t>Ryder System, Inc.</t>
        </is>
      </c>
      <c r="E3159" t="inlineStr">
        <is>
          <t>United States</t>
        </is>
      </c>
      <c r="F3159" t="inlineStr">
        <is>
          <t>Yes</t>
        </is>
      </c>
      <c r="H3159" t="n">
        <v>2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>
        <f>IFERROR(INDEX('Company Hitlist'!$AA:$AA,MATCH(D3159,'Company Hitlist'!$A:$A,0)),)</f>
        <v/>
      </c>
      <c r="O3159">
        <f>IFERROR(INDEX('Company Hitlist'!$N:$N,MATCH(D3159,'Company Hitlist'!$A:$A,0)),)</f>
        <v/>
      </c>
      <c r="Q3159" t="inlineStr">
        <is>
          <t>todo</t>
        </is>
      </c>
    </row>
    <row r="3160">
      <c r="A3160" t="inlineStr">
        <is>
          <t>Sean Seraphin</t>
        </is>
      </c>
      <c r="B3160" t="inlineStr">
        <is>
          <t>Sponsor</t>
        </is>
      </c>
      <c r="C3160" t="inlineStr">
        <is>
          <t>Sr. Manager of E-commerce Partnerships</t>
        </is>
      </c>
      <c r="D3160" t="inlineStr">
        <is>
          <t>Ryder System, Inc.</t>
        </is>
      </c>
      <c r="E3160" t="inlineStr">
        <is>
          <t>United States</t>
        </is>
      </c>
      <c r="H3160" t="n">
        <v>2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>
        <f>IFERROR(INDEX('Company Hitlist'!$AA:$AA,MATCH(D3160,'Company Hitlist'!$A:$A,0)),)</f>
        <v/>
      </c>
      <c r="O3160">
        <f>IFERROR(INDEX('Company Hitlist'!$N:$N,MATCH(D3160,'Company Hitlist'!$A:$A,0)),)</f>
        <v/>
      </c>
      <c r="Q3160" t="inlineStr">
        <is>
          <t>todo</t>
        </is>
      </c>
    </row>
    <row r="3161">
      <c r="A3161" t="inlineStr">
        <is>
          <t>Matt Garkusha</t>
        </is>
      </c>
      <c r="B3161" t="inlineStr">
        <is>
          <t>Sponsor</t>
        </is>
      </c>
      <c r="C3161" t="inlineStr">
        <is>
          <t>Lead Product Manager, X1</t>
        </is>
      </c>
      <c r="D3161" t="inlineStr">
        <is>
          <t>Rygen</t>
        </is>
      </c>
      <c r="E3161" t="inlineStr">
        <is>
          <t>United States</t>
        </is>
      </c>
      <c r="H3161" t="n">
        <v>2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>
        <f>IFERROR(INDEX('Company Hitlist'!$AA:$AA,MATCH(D3161,'Company Hitlist'!$A:$A,0)),)</f>
        <v/>
      </c>
      <c r="O3161">
        <f>IFERROR(INDEX('Company Hitlist'!$N:$N,MATCH(D3161,'Company Hitlist'!$A:$A,0)),)</f>
        <v/>
      </c>
      <c r="Q3161" t="inlineStr">
        <is>
          <t>todo</t>
        </is>
      </c>
    </row>
    <row r="3162">
      <c r="A3162" t="inlineStr">
        <is>
          <t>Jon Curtis</t>
        </is>
      </c>
      <c r="B3162" t="inlineStr">
        <is>
          <t>Sponsor</t>
        </is>
      </c>
      <c r="C3162" t="inlineStr">
        <is>
          <t>Lead Product Manager, Corsair</t>
        </is>
      </c>
      <c r="D3162" t="inlineStr">
        <is>
          <t>Rygen Technologies</t>
        </is>
      </c>
      <c r="E3162" t="inlineStr">
        <is>
          <t>United States</t>
        </is>
      </c>
      <c r="H3162" t="n">
        <v>2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>
        <f>IFERROR(INDEX('Company Hitlist'!$AA:$AA,MATCH(D3162,'Company Hitlist'!$A:$A,0)),)</f>
        <v/>
      </c>
      <c r="O3162">
        <f>IFERROR(INDEX('Company Hitlist'!$N:$N,MATCH(D3162,'Company Hitlist'!$A:$A,0)),)</f>
        <v/>
      </c>
      <c r="Q3162" t="inlineStr">
        <is>
          <t>todo</t>
        </is>
      </c>
    </row>
    <row r="3163">
      <c r="A3163" t="inlineStr">
        <is>
          <t>Daniel Kim</t>
        </is>
      </c>
      <c r="B3163" t="inlineStr">
        <is>
          <t>Sponsor</t>
        </is>
      </c>
      <c r="C3163" t="inlineStr">
        <is>
          <t>Senior Professional</t>
        </is>
      </c>
      <c r="D3163" t="inlineStr">
        <is>
          <t>SAMSUNG SDS</t>
        </is>
      </c>
      <c r="E3163" t="inlineStr">
        <is>
          <t>Korea, Republic of</t>
        </is>
      </c>
      <c r="F3163" t="inlineStr">
        <is>
          <t>Yes</t>
        </is>
      </c>
      <c r="G3163" t="inlineStr">
        <is>
          <t>$14B (2025 est.)</t>
        </is>
      </c>
      <c r="H3163" t="n">
        <v>2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>
        <f>IFERROR(INDEX('Company Hitlist'!$AA:$AA,MATCH(D3163,'Company Hitlist'!$A:$A,0)),)</f>
        <v/>
      </c>
      <c r="O3163">
        <f>IFERROR(INDEX('Company Hitlist'!$N:$N,MATCH(D3163,'Company Hitlist'!$A:$A,0)),)</f>
        <v/>
      </c>
      <c r="Q3163" t="inlineStr">
        <is>
          <t>todo</t>
        </is>
      </c>
    </row>
    <row r="3164">
      <c r="A3164" t="inlineStr">
        <is>
          <t>Jaewon Ann</t>
        </is>
      </c>
      <c r="B3164" t="inlineStr">
        <is>
          <t>Sponsor</t>
        </is>
      </c>
      <c r="C3164" t="inlineStr">
        <is>
          <t>Professional</t>
        </is>
      </c>
      <c r="D3164" t="inlineStr">
        <is>
          <t>SAMSUNG SDS</t>
        </is>
      </c>
      <c r="E3164" t="inlineStr">
        <is>
          <t>United States</t>
        </is>
      </c>
      <c r="F3164" t="inlineStr">
        <is>
          <t>Yes</t>
        </is>
      </c>
      <c r="G3164" t="inlineStr">
        <is>
          <t>$14B (2025 est.)</t>
        </is>
      </c>
      <c r="H3164" t="n">
        <v>2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>
        <f>IFERROR(INDEX('Company Hitlist'!$AA:$AA,MATCH(D3164,'Company Hitlist'!$A:$A,0)),)</f>
        <v/>
      </c>
      <c r="O3164">
        <f>IFERROR(INDEX('Company Hitlist'!$N:$N,MATCH(D3164,'Company Hitlist'!$A:$A,0)),)</f>
        <v/>
      </c>
      <c r="Q3164" t="inlineStr">
        <is>
          <t>todo</t>
        </is>
      </c>
    </row>
    <row r="3165">
      <c r="A3165" t="inlineStr">
        <is>
          <t>Minho Suk</t>
        </is>
      </c>
      <c r="B3165" t="inlineStr">
        <is>
          <t>Sponsor</t>
        </is>
      </c>
      <c r="C3165" t="inlineStr">
        <is>
          <t>Senior Professional</t>
        </is>
      </c>
      <c r="D3165" t="inlineStr">
        <is>
          <t>SAMSUNG SDS</t>
        </is>
      </c>
      <c r="F3165" t="inlineStr">
        <is>
          <t>Yes</t>
        </is>
      </c>
      <c r="G3165" t="inlineStr">
        <is>
          <t>$14B (2025 est.)</t>
        </is>
      </c>
      <c r="H3165" t="n">
        <v>2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>
        <f>IFERROR(INDEX('Company Hitlist'!$AA:$AA,MATCH(D3165,'Company Hitlist'!$A:$A,0)),)</f>
        <v/>
      </c>
      <c r="O3165">
        <f>IFERROR(INDEX('Company Hitlist'!$N:$N,MATCH(D3165,'Company Hitlist'!$A:$A,0)),)</f>
        <v/>
      </c>
      <c r="Q3165" t="inlineStr">
        <is>
          <t>todo</t>
        </is>
      </c>
    </row>
    <row r="3166">
      <c r="A3166" t="inlineStr">
        <is>
          <t>John Bozza</t>
        </is>
      </c>
      <c r="B3166" t="inlineStr">
        <is>
          <t>Sponsor</t>
        </is>
      </c>
      <c r="C3166" t="inlineStr">
        <is>
          <t>Senior AE</t>
        </is>
      </c>
      <c r="D3166" t="inlineStr">
        <is>
          <t>SEEBURGER</t>
        </is>
      </c>
      <c r="F3166" t="inlineStr">
        <is>
          <t>Yes</t>
        </is>
      </c>
      <c r="G3166" t="inlineStr">
        <is>
          <t>$321.2 million (2025)</t>
        </is>
      </c>
      <c r="H3166" t="n">
        <v>2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>
        <f>IFERROR(INDEX('Company Hitlist'!$AA:$AA,MATCH(D3166,'Company Hitlist'!$A:$A,0)),)</f>
        <v/>
      </c>
      <c r="O3166">
        <f>IFERROR(INDEX('Company Hitlist'!$N:$N,MATCH(D3166,'Company Hitlist'!$A:$A,0)),)</f>
        <v/>
      </c>
      <c r="Q3166" t="inlineStr">
        <is>
          <t>todo</t>
        </is>
      </c>
    </row>
    <row r="3167">
      <c r="A3167" t="inlineStr">
        <is>
          <t>Russ Teimouri</t>
        </is>
      </c>
      <c r="B3167" t="inlineStr">
        <is>
          <t>Sponsor</t>
        </is>
      </c>
      <c r="C3167" t="inlineStr">
        <is>
          <t>Managing Director - Washington, D.C. / Baltimore</t>
        </is>
      </c>
      <c r="D3167" t="inlineStr">
        <is>
          <t>SEKO Logistics</t>
        </is>
      </c>
      <c r="E3167" t="inlineStr">
        <is>
          <t>United States</t>
        </is>
      </c>
      <c r="F3167" t="inlineStr">
        <is>
          <t>Yes</t>
        </is>
      </c>
      <c r="G3167" t="inlineStr">
        <is>
          <t>2000000000</t>
        </is>
      </c>
      <c r="H3167" t="n">
        <v>2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>
        <f>IFERROR(INDEX('Company Hitlist'!$AA:$AA,MATCH(D3167,'Company Hitlist'!$A:$A,0)),)</f>
        <v/>
      </c>
      <c r="O3167">
        <f>IFERROR(INDEX('Company Hitlist'!$N:$N,MATCH(D3167,'Company Hitlist'!$A:$A,0)),)</f>
        <v/>
      </c>
      <c r="Q3167" t="inlineStr">
        <is>
          <t>todo</t>
        </is>
      </c>
    </row>
    <row r="3168">
      <c r="A3168" t="inlineStr">
        <is>
          <t>Yesa Yu</t>
        </is>
      </c>
      <c r="B3168" t="inlineStr">
        <is>
          <t>Sponsor</t>
        </is>
      </c>
      <c r="C3168" t="inlineStr">
        <is>
          <t>Strategic Client Director</t>
        </is>
      </c>
      <c r="D3168" t="inlineStr">
        <is>
          <t>SEKO Logistics</t>
        </is>
      </c>
      <c r="E3168" t="inlineStr">
        <is>
          <t>United States</t>
        </is>
      </c>
      <c r="F3168" t="inlineStr">
        <is>
          <t>Yes</t>
        </is>
      </c>
      <c r="G3168" t="inlineStr">
        <is>
          <t>2000000000</t>
        </is>
      </c>
      <c r="H3168" t="n">
        <v>2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>
        <f>IFERROR(INDEX('Company Hitlist'!$AA:$AA,MATCH(D3168,'Company Hitlist'!$A:$A,0)),)</f>
        <v/>
      </c>
      <c r="O3168">
        <f>IFERROR(INDEX('Company Hitlist'!$N:$N,MATCH(D3168,'Company Hitlist'!$A:$A,0)),)</f>
        <v/>
      </c>
      <c r="Q3168" t="inlineStr">
        <is>
          <t>todo</t>
        </is>
      </c>
    </row>
    <row r="3169">
      <c r="A3169" t="inlineStr">
        <is>
          <t>Wadih Assouad</t>
        </is>
      </c>
      <c r="B3169" t="inlineStr">
        <is>
          <t>Sponsor</t>
        </is>
      </c>
      <c r="C3169" t="inlineStr">
        <is>
          <t>Business Manager NA</t>
        </is>
      </c>
      <c r="D3169" t="inlineStr">
        <is>
          <t>SNS</t>
        </is>
      </c>
      <c r="H3169" t="n">
        <v>2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>
        <f>IFERROR(INDEX('Company Hitlist'!$AA:$AA,MATCH(D3169,'Company Hitlist'!$A:$A,0)),)</f>
        <v/>
      </c>
      <c r="O3169">
        <f>IFERROR(INDEX('Company Hitlist'!$N:$N,MATCH(D3169,'Company Hitlist'!$A:$A,0)),)</f>
        <v/>
      </c>
      <c r="Q3169" t="inlineStr">
        <is>
          <t>todo</t>
        </is>
      </c>
    </row>
    <row r="3170">
      <c r="A3170" t="inlineStr">
        <is>
          <t>Harshil Aghera</t>
        </is>
      </c>
      <c r="B3170" t="inlineStr">
        <is>
          <t>Sponsor</t>
        </is>
      </c>
      <c r="C3170" t="inlineStr">
        <is>
          <t>Senior Director, Technology and Innovation</t>
        </is>
      </c>
      <c r="D3170" t="inlineStr">
        <is>
          <t>Saddle Creek Logistics Services</t>
        </is>
      </c>
      <c r="E3170" t="inlineStr">
        <is>
          <t>United States</t>
        </is>
      </c>
      <c r="F3170" t="inlineStr">
        <is>
          <t>Yes</t>
        </is>
      </c>
      <c r="G3170" t="inlineStr">
        <is>
          <t>$1.6 billion (2025)</t>
        </is>
      </c>
      <c r="H3170" t="n">
        <v>2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>
        <f>IFERROR(INDEX('Company Hitlist'!$AA:$AA,MATCH(D3170,'Company Hitlist'!$A:$A,0)),)</f>
        <v/>
      </c>
      <c r="O3170">
        <f>IFERROR(INDEX('Company Hitlist'!$N:$N,MATCH(D3170,'Company Hitlist'!$A:$A,0)),)</f>
        <v/>
      </c>
      <c r="Q3170" t="inlineStr">
        <is>
          <t>todo</t>
        </is>
      </c>
    </row>
    <row r="3171">
      <c r="A3171" t="inlineStr">
        <is>
          <t>Kelly O'Leary</t>
        </is>
      </c>
      <c r="B3171" t="inlineStr">
        <is>
          <t>Sponsor</t>
        </is>
      </c>
      <c r="C3171" t="inlineStr">
        <is>
          <t>Manager, Field Events</t>
        </is>
      </c>
      <c r="D3171" t="inlineStr">
        <is>
          <t>Samsara</t>
        </is>
      </c>
      <c r="H3171" t="n">
        <v>2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>
        <f>IFERROR(INDEX('Company Hitlist'!$AA:$AA,MATCH(D3171,'Company Hitlist'!$A:$A,0)),)</f>
        <v/>
      </c>
      <c r="O3171">
        <f>IFERROR(INDEX('Company Hitlist'!$N:$N,MATCH(D3171,'Company Hitlist'!$A:$A,0)),)</f>
        <v/>
      </c>
      <c r="Q3171" t="inlineStr">
        <is>
          <t>todo</t>
        </is>
      </c>
    </row>
    <row r="3172">
      <c r="A3172" t="inlineStr">
        <is>
          <t>Mark O'Sullivan</t>
        </is>
      </c>
      <c r="B3172" t="inlineStr">
        <is>
          <t>Sponsor</t>
        </is>
      </c>
      <c r="C3172" t="inlineStr">
        <is>
          <t>Event Manager</t>
        </is>
      </c>
      <c r="D3172" t="inlineStr">
        <is>
          <t>Samsara</t>
        </is>
      </c>
      <c r="H3172" t="n">
        <v>2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>
        <f>IFERROR(INDEX('Company Hitlist'!$AA:$AA,MATCH(D3172,'Company Hitlist'!$A:$A,0)),)</f>
        <v/>
      </c>
      <c r="O3172">
        <f>IFERROR(INDEX('Company Hitlist'!$N:$N,MATCH(D3172,'Company Hitlist'!$A:$A,0)),)</f>
        <v/>
      </c>
      <c r="Q3172" t="inlineStr">
        <is>
          <t>todo</t>
        </is>
      </c>
    </row>
    <row r="3173">
      <c r="A3173" t="inlineStr">
        <is>
          <t>TK Lee</t>
        </is>
      </c>
      <c r="B3173" t="inlineStr">
        <is>
          <t>Sponsor</t>
        </is>
      </c>
      <c r="C3173" t="inlineStr">
        <is>
          <t>Senior Consultant</t>
        </is>
      </c>
      <c r="D3173" t="inlineStr">
        <is>
          <t>Samsung SDS</t>
        </is>
      </c>
      <c r="E3173" t="inlineStr">
        <is>
          <t>United Kingdom</t>
        </is>
      </c>
      <c r="F3173" t="inlineStr">
        <is>
          <t>Yes</t>
        </is>
      </c>
      <c r="G3173" t="inlineStr">
        <is>
          <t>$14B (2025 est.)</t>
        </is>
      </c>
      <c r="H3173" t="n">
        <v>2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>
        <f>IFERROR(INDEX('Company Hitlist'!$AA:$AA,MATCH(D3173,'Company Hitlist'!$A:$A,0)),)</f>
        <v/>
      </c>
      <c r="O3173">
        <f>IFERROR(INDEX('Company Hitlist'!$N:$N,MATCH(D3173,'Company Hitlist'!$A:$A,0)),)</f>
        <v/>
      </c>
      <c r="Q3173" t="inlineStr">
        <is>
          <t>todo</t>
        </is>
      </c>
    </row>
    <row r="3174">
      <c r="A3174" t="inlineStr">
        <is>
          <t>Jung Choi</t>
        </is>
      </c>
      <c r="B3174" t="inlineStr">
        <is>
          <t>Sponsor</t>
        </is>
      </c>
      <c r="C3174" t="inlineStr">
        <is>
          <t>Senior Project Manager</t>
        </is>
      </c>
      <c r="D3174" t="inlineStr">
        <is>
          <t>Samsung SDS</t>
        </is>
      </c>
      <c r="E3174" t="inlineStr">
        <is>
          <t>United Kingdom</t>
        </is>
      </c>
      <c r="H3174" t="n">
        <v>2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>
        <f>IFERROR(INDEX('Company Hitlist'!$AA:$AA,MATCH(D3174,'Company Hitlist'!$A:$A,0)),)</f>
        <v/>
      </c>
      <c r="O3174">
        <f>IFERROR(INDEX('Company Hitlist'!$N:$N,MATCH(D3174,'Company Hitlist'!$A:$A,0)),)</f>
        <v/>
      </c>
      <c r="Q3174" t="inlineStr">
        <is>
          <t>todo</t>
        </is>
      </c>
    </row>
    <row r="3175">
      <c r="A3175" t="inlineStr">
        <is>
          <t>Tyler Allred</t>
        </is>
      </c>
      <c r="B3175" t="inlineStr">
        <is>
          <t>Sponsor</t>
        </is>
      </c>
      <c r="C3175" t="inlineStr">
        <is>
          <t>Senior Director of Partnerships</t>
        </is>
      </c>
      <c r="D3175" t="inlineStr">
        <is>
          <t>Sharetown</t>
        </is>
      </c>
      <c r="E3175" t="inlineStr">
        <is>
          <t>United States</t>
        </is>
      </c>
      <c r="F3175" t="inlineStr">
        <is>
          <t>Yes</t>
        </is>
      </c>
      <c r="H3175" t="n">
        <v>2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>
        <f>IFERROR(INDEX('Company Hitlist'!$AA:$AA,MATCH(D3175,'Company Hitlist'!$A:$A,0)),)</f>
        <v/>
      </c>
      <c r="O3175">
        <f>IFERROR(INDEX('Company Hitlist'!$N:$N,MATCH(D3175,'Company Hitlist'!$A:$A,0)),)</f>
        <v/>
      </c>
      <c r="Q3175" t="inlineStr">
        <is>
          <t>todo</t>
        </is>
      </c>
    </row>
    <row r="3176">
      <c r="A3176" t="inlineStr">
        <is>
          <t>Balaji Raman</t>
        </is>
      </c>
      <c r="B3176" t="inlineStr">
        <is>
          <t>Sponsor</t>
        </is>
      </c>
      <c r="C3176" t="inlineStr">
        <is>
          <t>Sr. Solutions Consultant</t>
        </is>
      </c>
      <c r="D3176" t="inlineStr">
        <is>
          <t>ShipHawk</t>
        </is>
      </c>
      <c r="E3176" t="inlineStr">
        <is>
          <t>United States</t>
        </is>
      </c>
      <c r="F3176" t="inlineStr">
        <is>
          <t>Yes</t>
        </is>
      </c>
      <c r="G3176" t="inlineStr">
        <is>
          <t>$21 million (2025)</t>
        </is>
      </c>
      <c r="H3176" t="n">
        <v>2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>
        <f>IFERROR(INDEX('Company Hitlist'!$AA:$AA,MATCH(D3176,'Company Hitlist'!$A:$A,0)),)</f>
        <v/>
      </c>
      <c r="O3176">
        <f>IFERROR(INDEX('Company Hitlist'!$N:$N,MATCH(D3176,'Company Hitlist'!$A:$A,0)),)</f>
        <v/>
      </c>
      <c r="Q3176" t="inlineStr">
        <is>
          <t>todo</t>
        </is>
      </c>
    </row>
    <row r="3177">
      <c r="A3177" t="inlineStr">
        <is>
          <t>Marcin Bosacki</t>
        </is>
      </c>
      <c r="B3177" t="inlineStr">
        <is>
          <t>Sponsor</t>
        </is>
      </c>
      <c r="C3177" t="inlineStr">
        <is>
          <t>Senior Strategy Director</t>
        </is>
      </c>
      <c r="D3177" t="inlineStr">
        <is>
          <t>ShipStation</t>
        </is>
      </c>
      <c r="E3177" t="inlineStr">
        <is>
          <t>Poland</t>
        </is>
      </c>
      <c r="F3177" t="inlineStr">
        <is>
          <t>Yes</t>
        </is>
      </c>
      <c r="G3177" t="inlineStr">
        <is>
          <t>$16.2M</t>
        </is>
      </c>
      <c r="H3177" t="n">
        <v>2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>
        <f>IFERROR(INDEX('Company Hitlist'!$AA:$AA,MATCH(D3177,'Company Hitlist'!$A:$A,0)),)</f>
        <v/>
      </c>
      <c r="O3177">
        <f>IFERROR(INDEX('Company Hitlist'!$N:$N,MATCH(D3177,'Company Hitlist'!$A:$A,0)),)</f>
        <v/>
      </c>
      <c r="Q3177" t="inlineStr">
        <is>
          <t>todo</t>
        </is>
      </c>
    </row>
    <row r="3178">
      <c r="A3178" t="inlineStr">
        <is>
          <t>Jake Stuart</t>
        </is>
      </c>
      <c r="B3178" t="inlineStr">
        <is>
          <t>Sponsor</t>
        </is>
      </c>
      <c r="C3178" t="inlineStr">
        <is>
          <t>Director of Demand Generation</t>
        </is>
      </c>
      <c r="D3178" t="inlineStr">
        <is>
          <t>ShipStation</t>
        </is>
      </c>
      <c r="E3178" t="inlineStr">
        <is>
          <t>United States</t>
        </is>
      </c>
      <c r="F3178" t="inlineStr">
        <is>
          <t>Yes</t>
        </is>
      </c>
      <c r="G3178" t="inlineStr">
        <is>
          <t>$16.2M</t>
        </is>
      </c>
      <c r="H3178" t="n">
        <v>2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>
        <f>IFERROR(INDEX('Company Hitlist'!$AA:$AA,MATCH(D3178,'Company Hitlist'!$A:$A,0)),)</f>
        <v/>
      </c>
      <c r="O3178">
        <f>IFERROR(INDEX('Company Hitlist'!$N:$N,MATCH(D3178,'Company Hitlist'!$A:$A,0)),)</f>
        <v/>
      </c>
      <c r="Q3178" t="inlineStr">
        <is>
          <t>todo</t>
        </is>
      </c>
    </row>
    <row r="3179">
      <c r="A3179" t="inlineStr">
        <is>
          <t>Ryan Morgan</t>
        </is>
      </c>
      <c r="B3179" t="inlineStr">
        <is>
          <t>Sponsor</t>
        </is>
      </c>
      <c r="C3179" t="inlineStr">
        <is>
          <t>Senior Solutions Engineer</t>
        </is>
      </c>
      <c r="D3179" t="inlineStr">
        <is>
          <t>ShipStation</t>
        </is>
      </c>
      <c r="E3179" t="inlineStr">
        <is>
          <t>United States</t>
        </is>
      </c>
      <c r="F3179" t="inlineStr">
        <is>
          <t>Yes</t>
        </is>
      </c>
      <c r="G3179" t="inlineStr">
        <is>
          <t>$16.2M</t>
        </is>
      </c>
      <c r="H3179" t="n">
        <v>2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>
        <f>IFERROR(INDEX('Company Hitlist'!$AA:$AA,MATCH(D3179,'Company Hitlist'!$A:$A,0)),)</f>
        <v/>
      </c>
      <c r="O3179">
        <f>IFERROR(INDEX('Company Hitlist'!$N:$N,MATCH(D3179,'Company Hitlist'!$A:$A,0)),)</f>
        <v/>
      </c>
      <c r="Q3179" t="inlineStr">
        <is>
          <t>todo</t>
        </is>
      </c>
    </row>
    <row r="3180">
      <c r="A3180" t="inlineStr">
        <is>
          <t>Ross Hickey</t>
        </is>
      </c>
      <c r="B3180" t="inlineStr">
        <is>
          <t>Sponsor</t>
        </is>
      </c>
      <c r="C3180" t="inlineStr">
        <is>
          <t>Lead Solution Consultant</t>
        </is>
      </c>
      <c r="D3180" t="inlineStr">
        <is>
          <t>Shippeo</t>
        </is>
      </c>
      <c r="E3180" t="inlineStr">
        <is>
          <t>United States</t>
        </is>
      </c>
      <c r="F3180" t="inlineStr">
        <is>
          <t>Yes</t>
        </is>
      </c>
      <c r="G3180" t="inlineStr">
        <is>
          <t>15000000</t>
        </is>
      </c>
      <c r="H3180" t="n">
        <v>2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>
        <f>IFERROR(INDEX('Company Hitlist'!$AA:$AA,MATCH(D3180,'Company Hitlist'!$A:$A,0)),)</f>
        <v/>
      </c>
      <c r="O3180">
        <f>IFERROR(INDEX('Company Hitlist'!$N:$N,MATCH(D3180,'Company Hitlist'!$A:$A,0)),)</f>
        <v/>
      </c>
      <c r="Q3180" t="inlineStr">
        <is>
          <t>todo</t>
        </is>
      </c>
    </row>
    <row r="3181">
      <c r="A3181" t="inlineStr">
        <is>
          <t>Jasper Scheffler</t>
        </is>
      </c>
      <c r="B3181" t="inlineStr">
        <is>
          <t>Sponsor</t>
        </is>
      </c>
      <c r="C3181" t="inlineStr">
        <is>
          <t>Lead SDR</t>
        </is>
      </c>
      <c r="D3181" t="inlineStr">
        <is>
          <t>Shippeo</t>
        </is>
      </c>
      <c r="F3181" t="inlineStr">
        <is>
          <t>Yes</t>
        </is>
      </c>
      <c r="G3181" t="inlineStr">
        <is>
          <t>15000000</t>
        </is>
      </c>
      <c r="H3181" t="n">
        <v>2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>
        <f>IFERROR(INDEX('Company Hitlist'!$AA:$AA,MATCH(D3181,'Company Hitlist'!$A:$A,0)),)</f>
        <v/>
      </c>
      <c r="O3181">
        <f>IFERROR(INDEX('Company Hitlist'!$N:$N,MATCH(D3181,'Company Hitlist'!$A:$A,0)),)</f>
        <v/>
      </c>
      <c r="Q3181" t="inlineStr">
        <is>
          <t>todo</t>
        </is>
      </c>
    </row>
    <row r="3182">
      <c r="A3182" t="inlineStr">
        <is>
          <t>Krystian Gebis</t>
        </is>
      </c>
      <c r="B3182" t="inlineStr">
        <is>
          <t>Sponsor</t>
        </is>
      </c>
      <c r="C3182" t="inlineStr">
        <is>
          <t>Co-Founder</t>
        </is>
      </c>
      <c r="D3182" t="inlineStr">
        <is>
          <t>Shipper CRM</t>
        </is>
      </c>
      <c r="E3182" t="inlineStr">
        <is>
          <t>United States</t>
        </is>
      </c>
      <c r="F3182" t="inlineStr">
        <is>
          <t>Yes</t>
        </is>
      </c>
      <c r="H3182" t="n">
        <v>2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>
        <f>IFERROR(INDEX('Company Hitlist'!$AA:$AA,MATCH(D3182,'Company Hitlist'!$A:$A,0)),)</f>
        <v/>
      </c>
      <c r="O3182">
        <f>IFERROR(INDEX('Company Hitlist'!$N:$N,MATCH(D3182,'Company Hitlist'!$A:$A,0)),)</f>
        <v/>
      </c>
      <c r="Q3182" t="inlineStr">
        <is>
          <t>todo</t>
        </is>
      </c>
    </row>
    <row r="3183">
      <c r="A3183" t="inlineStr">
        <is>
          <t>Hariesh Manaadiar</t>
        </is>
      </c>
      <c r="B3183" t="inlineStr">
        <is>
          <t>Sponsor</t>
        </is>
      </c>
      <c r="C3183" t="inlineStr">
        <is>
          <t>Founder</t>
        </is>
      </c>
      <c r="D3183" t="inlineStr">
        <is>
          <t>Shipping and Freight Resource</t>
        </is>
      </c>
      <c r="F3183" t="inlineStr">
        <is>
          <t>Yes</t>
        </is>
      </c>
      <c r="H3183" t="n">
        <v>2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>
        <f>IFERROR(INDEX('Company Hitlist'!$AA:$AA,MATCH(D3183,'Company Hitlist'!$A:$A,0)),)</f>
        <v/>
      </c>
      <c r="O3183">
        <f>IFERROR(INDEX('Company Hitlist'!$N:$N,MATCH(D3183,'Company Hitlist'!$A:$A,0)),)</f>
        <v/>
      </c>
      <c r="Q3183" t="inlineStr">
        <is>
          <t>todo</t>
        </is>
      </c>
    </row>
    <row r="3184">
      <c r="A3184" t="inlineStr">
        <is>
          <t>Jon Santavy</t>
        </is>
      </c>
      <c r="B3184" t="inlineStr">
        <is>
          <t>Sponsor</t>
        </is>
      </c>
      <c r="C3184" t="inlineStr">
        <is>
          <t>Partner</t>
        </is>
      </c>
      <c r="D3184" t="inlineStr">
        <is>
          <t>SimWell</t>
        </is>
      </c>
      <c r="E3184" t="inlineStr">
        <is>
          <t>United States</t>
        </is>
      </c>
      <c r="F3184" t="inlineStr">
        <is>
          <t>Yes</t>
        </is>
      </c>
      <c r="H3184" t="n">
        <v>2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>
        <f>IFERROR(INDEX('Company Hitlist'!$AA:$AA,MATCH(D3184,'Company Hitlist'!$A:$A,0)),)</f>
        <v/>
      </c>
      <c r="O3184">
        <f>IFERROR(INDEX('Company Hitlist'!$N:$N,MATCH(D3184,'Company Hitlist'!$A:$A,0)),)</f>
        <v/>
      </c>
      <c r="Q3184" t="inlineStr">
        <is>
          <t>todo</t>
        </is>
      </c>
    </row>
    <row r="3185">
      <c r="A3185" t="inlineStr">
        <is>
          <t>Isabelle Harris</t>
        </is>
      </c>
      <c r="B3185" t="inlineStr">
        <is>
          <t>Sponsor</t>
        </is>
      </c>
      <c r="C3185" t="inlineStr">
        <is>
          <t>Relationship Manager</t>
        </is>
      </c>
      <c r="D3185" t="inlineStr">
        <is>
          <t>SimWell</t>
        </is>
      </c>
      <c r="E3185" t="inlineStr">
        <is>
          <t>Canada</t>
        </is>
      </c>
      <c r="H3185" t="n">
        <v>2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>
        <f>IFERROR(INDEX('Company Hitlist'!$AA:$AA,MATCH(D3185,'Company Hitlist'!$A:$A,0)),)</f>
        <v/>
      </c>
      <c r="O3185">
        <f>IFERROR(INDEX('Company Hitlist'!$N:$N,MATCH(D3185,'Company Hitlist'!$A:$A,0)),)</f>
        <v/>
      </c>
      <c r="Q3185" t="inlineStr">
        <is>
          <t>todo</t>
        </is>
      </c>
    </row>
    <row r="3186">
      <c r="A3186" t="inlineStr">
        <is>
          <t>Carlos Maldonado</t>
        </is>
      </c>
      <c r="B3186" t="inlineStr">
        <is>
          <t>Sponsor</t>
        </is>
      </c>
      <c r="C3186" t="inlineStr">
        <is>
          <t>Senior Support Engineer</t>
        </is>
      </c>
      <c r="D3186" t="inlineStr">
        <is>
          <t>Sitehound</t>
        </is>
      </c>
      <c r="F3186" t="inlineStr">
        <is>
          <t>Yes</t>
        </is>
      </c>
      <c r="H3186" t="n">
        <v>2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>
        <f>IFERROR(INDEX('Company Hitlist'!$AA:$AA,MATCH(D3186,'Company Hitlist'!$A:$A,0)),)</f>
        <v/>
      </c>
      <c r="O3186">
        <f>IFERROR(INDEX('Company Hitlist'!$N:$N,MATCH(D3186,'Company Hitlist'!$A:$A,0)),)</f>
        <v/>
      </c>
      <c r="Q3186" t="inlineStr">
        <is>
          <t>todo</t>
        </is>
      </c>
    </row>
    <row r="3187">
      <c r="A3187" t="inlineStr">
        <is>
          <t>Graham Foster</t>
        </is>
      </c>
      <c r="B3187" t="inlineStr">
        <is>
          <t>Sponsor</t>
        </is>
      </c>
      <c r="C3187" t="inlineStr">
        <is>
          <t>Customer Support Manager</t>
        </is>
      </c>
      <c r="D3187" t="inlineStr">
        <is>
          <t>SkyMirr</t>
        </is>
      </c>
      <c r="E3187" t="inlineStr">
        <is>
          <t>United States</t>
        </is>
      </c>
      <c r="H3187" t="n">
        <v>2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>
        <f>IFERROR(INDEX('Company Hitlist'!$AA:$AA,MATCH(D3187,'Company Hitlist'!$A:$A,0)),)</f>
        <v/>
      </c>
      <c r="O3187">
        <f>IFERROR(INDEX('Company Hitlist'!$N:$N,MATCH(D3187,'Company Hitlist'!$A:$A,0)),)</f>
        <v/>
      </c>
      <c r="Q3187" t="inlineStr">
        <is>
          <t>todo</t>
        </is>
      </c>
    </row>
    <row r="3188">
      <c r="A3188" t="inlineStr">
        <is>
          <t>Bethany Patterson</t>
        </is>
      </c>
      <c r="B3188" t="inlineStr">
        <is>
          <t>Sponsor</t>
        </is>
      </c>
      <c r="C3188" t="inlineStr">
        <is>
          <t>Slip Robotics</t>
        </is>
      </c>
      <c r="D3188" t="inlineStr">
        <is>
          <t>Slip Robotics</t>
        </is>
      </c>
      <c r="F3188" t="inlineStr">
        <is>
          <t>Yes</t>
        </is>
      </c>
      <c r="G3188" t="inlineStr">
        <is>
          <t>&lt;$5 million (2025)</t>
        </is>
      </c>
      <c r="H3188" t="n">
        <v>2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>
        <f>IFERROR(INDEX('Company Hitlist'!$AA:$AA,MATCH(D3188,'Company Hitlist'!$A:$A,0)),)</f>
        <v/>
      </c>
      <c r="O3188">
        <f>IFERROR(INDEX('Company Hitlist'!$N:$N,MATCH(D3188,'Company Hitlist'!$A:$A,0)),)</f>
        <v/>
      </c>
      <c r="Q3188" t="inlineStr">
        <is>
          <t>todo</t>
        </is>
      </c>
    </row>
    <row r="3189">
      <c r="A3189" t="inlineStr">
        <is>
          <t>Christian Sorensen</t>
        </is>
      </c>
      <c r="B3189" t="inlineStr">
        <is>
          <t>Sponsor</t>
        </is>
      </c>
      <c r="C3189" t="inlineStr">
        <is>
          <t>Field Engineering Manager</t>
        </is>
      </c>
      <c r="D3189" t="inlineStr">
        <is>
          <t>Slip Robotics</t>
        </is>
      </c>
      <c r="E3189" t="inlineStr">
        <is>
          <t>United States</t>
        </is>
      </c>
      <c r="H3189" t="n">
        <v>2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>
        <f>IFERROR(INDEX('Company Hitlist'!$AA:$AA,MATCH(D3189,'Company Hitlist'!$A:$A,0)),)</f>
        <v/>
      </c>
      <c r="O3189">
        <f>IFERROR(INDEX('Company Hitlist'!$N:$N,MATCH(D3189,'Company Hitlist'!$A:$A,0)),)</f>
        <v/>
      </c>
      <c r="Q3189" t="inlineStr">
        <is>
          <t>todo</t>
        </is>
      </c>
    </row>
    <row r="3190">
      <c r="A3190" t="inlineStr">
        <is>
          <t>Grant Swonke</t>
        </is>
      </c>
      <c r="B3190" t="inlineStr">
        <is>
          <t>Sponsor</t>
        </is>
      </c>
      <c r="C3190" t="inlineStr">
        <is>
          <t>Solutions Account Manager</t>
        </is>
      </c>
      <c r="D3190" t="inlineStr">
        <is>
          <t>Slip Robotics</t>
        </is>
      </c>
      <c r="E3190" t="inlineStr">
        <is>
          <t>United States</t>
        </is>
      </c>
      <c r="H3190" t="n">
        <v>2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>
        <f>IFERROR(INDEX('Company Hitlist'!$AA:$AA,MATCH(D3190,'Company Hitlist'!$A:$A,0)),)</f>
        <v/>
      </c>
      <c r="O3190">
        <f>IFERROR(INDEX('Company Hitlist'!$N:$N,MATCH(D3190,'Company Hitlist'!$A:$A,0)),)</f>
        <v/>
      </c>
      <c r="Q3190" t="inlineStr">
        <is>
          <t>todo</t>
        </is>
      </c>
    </row>
    <row r="3191">
      <c r="A3191" t="inlineStr">
        <is>
          <t>Mick Clarke</t>
        </is>
      </c>
      <c r="B3191" t="inlineStr">
        <is>
          <t>Sponsor</t>
        </is>
      </c>
      <c r="C3191" t="inlineStr">
        <is>
          <t>Solutions Account Manager</t>
        </is>
      </c>
      <c r="D3191" t="inlineStr">
        <is>
          <t>Slip Robotics</t>
        </is>
      </c>
      <c r="E3191" t="inlineStr">
        <is>
          <t>United States</t>
        </is>
      </c>
      <c r="H3191" t="n">
        <v>2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>
        <f>IFERROR(INDEX('Company Hitlist'!$AA:$AA,MATCH(D3191,'Company Hitlist'!$A:$A,0)),)</f>
        <v/>
      </c>
      <c r="O3191">
        <f>IFERROR(INDEX('Company Hitlist'!$N:$N,MATCH(D3191,'Company Hitlist'!$A:$A,0)),)</f>
        <v/>
      </c>
      <c r="Q3191" t="inlineStr">
        <is>
          <t>todo</t>
        </is>
      </c>
    </row>
    <row r="3192">
      <c r="A3192" t="inlineStr">
        <is>
          <t>Kelly Gruhn</t>
        </is>
      </c>
      <c r="B3192" t="inlineStr">
        <is>
          <t>Sponsor</t>
        </is>
      </c>
      <c r="C3192" t="inlineStr">
        <is>
          <t>Solutions Account Manager</t>
        </is>
      </c>
      <c r="D3192" t="inlineStr">
        <is>
          <t>Slip Robotics</t>
        </is>
      </c>
      <c r="H3192" t="n">
        <v>2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>
        <f>IFERROR(INDEX('Company Hitlist'!$AA:$AA,MATCH(D3192,'Company Hitlist'!$A:$A,0)),)</f>
        <v/>
      </c>
      <c r="O3192">
        <f>IFERROR(INDEX('Company Hitlist'!$N:$N,MATCH(D3192,'Company Hitlist'!$A:$A,0)),)</f>
        <v/>
      </c>
      <c r="Q3192" t="inlineStr">
        <is>
          <t>todo</t>
        </is>
      </c>
    </row>
    <row r="3193">
      <c r="A3193" t="inlineStr">
        <is>
          <t>Brent Francom</t>
        </is>
      </c>
      <c r="B3193" t="inlineStr">
        <is>
          <t>Sponsor</t>
        </is>
      </c>
      <c r="C3193" t="inlineStr">
        <is>
          <t>Director of Product Management</t>
        </is>
      </c>
      <c r="D3193" t="inlineStr">
        <is>
          <t>Smarty</t>
        </is>
      </c>
      <c r="F3193" t="inlineStr">
        <is>
          <t>Yes</t>
        </is>
      </c>
      <c r="H3193" t="n">
        <v>2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>
        <f>IFERROR(INDEX('Company Hitlist'!$AA:$AA,MATCH(D3193,'Company Hitlist'!$A:$A,0)),)</f>
        <v/>
      </c>
      <c r="O3193">
        <f>IFERROR(INDEX('Company Hitlist'!$N:$N,MATCH(D3193,'Company Hitlist'!$A:$A,0)),)</f>
        <v/>
      </c>
      <c r="Q3193" t="inlineStr">
        <is>
          <t>todo</t>
        </is>
      </c>
    </row>
    <row r="3194">
      <c r="A3194" t="inlineStr">
        <is>
          <t>Eric Maldonado</t>
        </is>
      </c>
      <c r="B3194" t="inlineStr">
        <is>
          <t>Sponsor</t>
        </is>
      </c>
      <c r="C3194" t="inlineStr">
        <is>
          <t>Sr. Solutions Consultant</t>
        </is>
      </c>
      <c r="D3194" t="inlineStr">
        <is>
          <t>Softeon</t>
        </is>
      </c>
      <c r="F3194" t="inlineStr">
        <is>
          <t>Yes</t>
        </is>
      </c>
      <c r="G3194" t="inlineStr">
        <is>
          <t>$69.9 million (2025)</t>
        </is>
      </c>
      <c r="H3194" t="n">
        <v>2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>
        <f>IFERROR(INDEX('Company Hitlist'!$AA:$AA,MATCH(D3194,'Company Hitlist'!$A:$A,0)),)</f>
        <v/>
      </c>
      <c r="O3194">
        <f>IFERROR(INDEX('Company Hitlist'!$N:$N,MATCH(D3194,'Company Hitlist'!$A:$A,0)),)</f>
        <v/>
      </c>
      <c r="Q3194" t="inlineStr">
        <is>
          <t>todo</t>
        </is>
      </c>
    </row>
    <row r="3195">
      <c r="A3195" t="inlineStr">
        <is>
          <t>Patrick Maley</t>
        </is>
      </c>
      <c r="B3195" t="inlineStr">
        <is>
          <t>Sponsor</t>
        </is>
      </c>
      <c r="C3195" t="inlineStr">
        <is>
          <t>CRO</t>
        </is>
      </c>
      <c r="D3195" t="inlineStr">
        <is>
          <t>Softeon</t>
        </is>
      </c>
      <c r="F3195" t="inlineStr">
        <is>
          <t>Yes</t>
        </is>
      </c>
      <c r="G3195" t="inlineStr">
        <is>
          <t>$69.9 million (2025)</t>
        </is>
      </c>
      <c r="H3195" t="n">
        <v>2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>
        <f>IFERROR(INDEX('Company Hitlist'!$AA:$AA,MATCH(D3195,'Company Hitlist'!$A:$A,0)),)</f>
        <v/>
      </c>
      <c r="O3195">
        <f>IFERROR(INDEX('Company Hitlist'!$N:$N,MATCH(D3195,'Company Hitlist'!$A:$A,0)),)</f>
        <v/>
      </c>
      <c r="Q3195" t="inlineStr">
        <is>
          <t>todo</t>
        </is>
      </c>
    </row>
    <row r="3196">
      <c r="A3196" t="inlineStr">
        <is>
          <t>Damian De La Garza</t>
        </is>
      </c>
      <c r="B3196" t="inlineStr">
        <is>
          <t>Sponsor</t>
        </is>
      </c>
      <c r="C3196" t="inlineStr">
        <is>
          <t>Client Innovation Executive</t>
        </is>
      </c>
      <c r="D3196" t="inlineStr">
        <is>
          <t>Softtek</t>
        </is>
      </c>
      <c r="E3196" t="inlineStr">
        <is>
          <t>United States</t>
        </is>
      </c>
      <c r="H3196" t="n">
        <v>2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>
        <f>IFERROR(INDEX('Company Hitlist'!$AA:$AA,MATCH(D3196,'Company Hitlist'!$A:$A,0)),)</f>
        <v/>
      </c>
      <c r="O3196">
        <f>IFERROR(INDEX('Company Hitlist'!$N:$N,MATCH(D3196,'Company Hitlist'!$A:$A,0)),)</f>
        <v/>
      </c>
      <c r="Q3196" t="inlineStr">
        <is>
          <t>todo</t>
        </is>
      </c>
    </row>
    <row r="3197">
      <c r="A3197" t="inlineStr">
        <is>
          <t>Dave Byman</t>
        </is>
      </c>
      <c r="B3197" t="inlineStr">
        <is>
          <t>Sponsor</t>
        </is>
      </c>
      <c r="C3197" t="inlineStr">
        <is>
          <t>Director of Strategic Accounts</t>
        </is>
      </c>
      <c r="D3197" t="inlineStr">
        <is>
          <t>Spoiler Alert</t>
        </is>
      </c>
      <c r="E3197" t="inlineStr">
        <is>
          <t>United States</t>
        </is>
      </c>
      <c r="F3197" t="inlineStr">
        <is>
          <t>Yes</t>
        </is>
      </c>
      <c r="H3197" t="n">
        <v>2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>
        <f>IFERROR(INDEX('Company Hitlist'!$AA:$AA,MATCH(D3197,'Company Hitlist'!$A:$A,0)),)</f>
        <v/>
      </c>
      <c r="O3197">
        <f>IFERROR(INDEX('Company Hitlist'!$N:$N,MATCH(D3197,'Company Hitlist'!$A:$A,0)),)</f>
        <v/>
      </c>
      <c r="Q3197" t="inlineStr">
        <is>
          <t>todo</t>
        </is>
      </c>
    </row>
    <row r="3198">
      <c r="A3198" t="inlineStr">
        <is>
          <t>Benita Thayalathasan</t>
        </is>
      </c>
      <c r="B3198" t="inlineStr">
        <is>
          <t>Sponsor</t>
        </is>
      </c>
      <c r="C3198" t="inlineStr">
        <is>
          <t>Partnerships Manager</t>
        </is>
      </c>
      <c r="D3198" t="inlineStr">
        <is>
          <t>Spotwork</t>
        </is>
      </c>
      <c r="E3198" t="inlineStr">
        <is>
          <t>Canada</t>
        </is>
      </c>
      <c r="H3198" t="n">
        <v>2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>
        <f>IFERROR(INDEX('Company Hitlist'!$AA:$AA,MATCH(D3198,'Company Hitlist'!$A:$A,0)),)</f>
        <v/>
      </c>
      <c r="O3198">
        <f>IFERROR(INDEX('Company Hitlist'!$N:$N,MATCH(D3198,'Company Hitlist'!$A:$A,0)),)</f>
        <v/>
      </c>
      <c r="Q3198" t="inlineStr">
        <is>
          <t>todo</t>
        </is>
      </c>
    </row>
    <row r="3199">
      <c r="A3199" t="inlineStr">
        <is>
          <t>Jesse Sevilla</t>
        </is>
      </c>
      <c r="B3199" t="inlineStr">
        <is>
          <t>Attendee</t>
        </is>
      </c>
      <c r="C3199" t="inlineStr">
        <is>
          <t>Director of Sales and Operations</t>
        </is>
      </c>
      <c r="D3199" t="inlineStr">
        <is>
          <t>States Logistics Services</t>
        </is>
      </c>
      <c r="E3199" t="inlineStr">
        <is>
          <t>United States</t>
        </is>
      </c>
      <c r="H3199" t="n">
        <v>2</v>
      </c>
      <c r="I3199" t="b">
        <v>1</v>
      </c>
      <c r="J3199" t="b">
        <v>0</v>
      </c>
      <c r="K3199" t="b">
        <v>0</v>
      </c>
      <c r="L3199" t="b">
        <v>0</v>
      </c>
      <c r="M3199" t="b">
        <v>1</v>
      </c>
      <c r="N3199">
        <f>IFERROR(INDEX('Company Hitlist'!$AA:$AA,MATCH(D3199,'Company Hitlist'!$A:$A,0)),)</f>
        <v/>
      </c>
      <c r="O3199">
        <f>IFERROR(INDEX('Company Hitlist'!$N:$N,MATCH(D3199,'Company Hitlist'!$A:$A,0)),)</f>
        <v/>
      </c>
      <c r="Q3199" t="inlineStr">
        <is>
          <t>todo</t>
        </is>
      </c>
    </row>
    <row r="3200">
      <c r="A3200" t="inlineStr">
        <is>
          <t>Alex Kent</t>
        </is>
      </c>
      <c r="B3200" t="inlineStr">
        <is>
          <t>Sponsor</t>
        </is>
      </c>
      <c r="C3200" t="inlineStr">
        <is>
          <t>Director of Strategy &amp; Innovation</t>
        </is>
      </c>
      <c r="D3200" t="inlineStr">
        <is>
          <t>Stord</t>
        </is>
      </c>
      <c r="E3200" t="inlineStr">
        <is>
          <t>United States</t>
        </is>
      </c>
      <c r="F3200" t="inlineStr">
        <is>
          <t>Yes</t>
        </is>
      </c>
      <c r="G3200" t="inlineStr">
        <is>
          <t>$147 million (2025)</t>
        </is>
      </c>
      <c r="H3200" t="n">
        <v>2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>
        <f>IFERROR(INDEX('Company Hitlist'!$AA:$AA,MATCH(D3200,'Company Hitlist'!$A:$A,0)),)</f>
        <v/>
      </c>
      <c r="O3200">
        <f>IFERROR(INDEX('Company Hitlist'!$N:$N,MATCH(D3200,'Company Hitlist'!$A:$A,0)),)</f>
        <v/>
      </c>
      <c r="Q3200" t="inlineStr">
        <is>
          <t>todo</t>
        </is>
      </c>
    </row>
    <row r="3201">
      <c r="A3201" t="inlineStr">
        <is>
          <t>Ruthie Fleming</t>
        </is>
      </c>
      <c r="B3201" t="inlineStr">
        <is>
          <t>Sponsor</t>
        </is>
      </c>
      <c r="C3201" t="inlineStr">
        <is>
          <t>Lead Brand Designer</t>
        </is>
      </c>
      <c r="D3201" t="inlineStr">
        <is>
          <t>Stord</t>
        </is>
      </c>
      <c r="E3201" t="inlineStr">
        <is>
          <t>United States</t>
        </is>
      </c>
      <c r="F3201" t="inlineStr">
        <is>
          <t>Yes</t>
        </is>
      </c>
      <c r="G3201" t="inlineStr">
        <is>
          <t>$147 million (2025)</t>
        </is>
      </c>
      <c r="H3201" t="n">
        <v>2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>
        <f>IFERROR(INDEX('Company Hitlist'!$AA:$AA,MATCH(D3201,'Company Hitlist'!$A:$A,0)),)</f>
        <v/>
      </c>
      <c r="O3201">
        <f>IFERROR(INDEX('Company Hitlist'!$N:$N,MATCH(D3201,'Company Hitlist'!$A:$A,0)),)</f>
        <v/>
      </c>
      <c r="Q3201" t="inlineStr">
        <is>
          <t>todo</t>
        </is>
      </c>
    </row>
    <row r="3202">
      <c r="A3202" t="inlineStr">
        <is>
          <t>Anita Mascioli</t>
        </is>
      </c>
      <c r="B3202" t="inlineStr">
        <is>
          <t>Sponsor</t>
        </is>
      </c>
      <c r="C3202" t="inlineStr">
        <is>
          <t>Event Manager</t>
        </is>
      </c>
      <c r="D3202" t="inlineStr">
        <is>
          <t>Stord</t>
        </is>
      </c>
      <c r="E3202" t="inlineStr">
        <is>
          <t>United States</t>
        </is>
      </c>
      <c r="H3202" t="n">
        <v>2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>
        <f>IFERROR(INDEX('Company Hitlist'!$AA:$AA,MATCH(D3202,'Company Hitlist'!$A:$A,0)),)</f>
        <v/>
      </c>
      <c r="O3202">
        <f>IFERROR(INDEX('Company Hitlist'!$N:$N,MATCH(D3202,'Company Hitlist'!$A:$A,0)),)</f>
        <v/>
      </c>
      <c r="Q3202" t="inlineStr">
        <is>
          <t>todo</t>
        </is>
      </c>
    </row>
    <row r="3203">
      <c r="A3203" t="inlineStr">
        <is>
          <t>Marina Mayer</t>
        </is>
      </c>
      <c r="B3203" t="inlineStr">
        <is>
          <t>Sponsor</t>
        </is>
      </c>
      <c r="C3203" t="inlineStr">
        <is>
          <t>Content Director</t>
        </is>
      </c>
      <c r="D3203" t="inlineStr">
        <is>
          <t>Supply &amp; Demand Chain Executive &amp; Food Logistics</t>
        </is>
      </c>
      <c r="E3203" t="inlineStr">
        <is>
          <t>United States</t>
        </is>
      </c>
      <c r="H3203" t="n">
        <v>2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>
        <f>IFERROR(INDEX('Company Hitlist'!$AA:$AA,MATCH(D3203,'Company Hitlist'!$A:$A,0)),)</f>
        <v/>
      </c>
      <c r="O3203">
        <f>IFERROR(INDEX('Company Hitlist'!$N:$N,MATCH(D3203,'Company Hitlist'!$A:$A,0)),)</f>
        <v/>
      </c>
      <c r="Q3203" t="inlineStr">
        <is>
          <t>todo</t>
        </is>
      </c>
    </row>
    <row r="3204">
      <c r="A3204" t="inlineStr">
        <is>
          <t>Alain Maiki</t>
        </is>
      </c>
      <c r="B3204" t="inlineStr">
        <is>
          <t>Sponsor</t>
        </is>
      </c>
      <c r="C3204" t="inlineStr">
        <is>
          <t>Director of Media</t>
        </is>
      </c>
      <c r="D3204" t="inlineStr">
        <is>
          <t>Supply &amp; Demand Show</t>
        </is>
      </c>
      <c r="E3204" t="inlineStr">
        <is>
          <t>United States</t>
        </is>
      </c>
      <c r="H3204" t="n">
        <v>2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>
        <f>IFERROR(INDEX('Company Hitlist'!$AA:$AA,MATCH(D3204,'Company Hitlist'!$A:$A,0)),)</f>
        <v/>
      </c>
      <c r="O3204">
        <f>IFERROR(INDEX('Company Hitlist'!$N:$N,MATCH(D3204,'Company Hitlist'!$A:$A,0)),)</f>
        <v/>
      </c>
      <c r="Q3204" t="inlineStr">
        <is>
          <t>todo</t>
        </is>
      </c>
    </row>
    <row r="3205">
      <c r="A3205" t="inlineStr">
        <is>
          <t>Kerim Antoine Kfuri</t>
        </is>
      </c>
      <c r="B3205" t="inlineStr">
        <is>
          <t>Sponsor</t>
        </is>
      </c>
      <c r="C3205" t="inlineStr">
        <is>
          <t>Co-Founder</t>
        </is>
      </c>
      <c r="D3205" t="inlineStr">
        <is>
          <t>Supply &amp; Demand Show</t>
        </is>
      </c>
      <c r="E3205" t="inlineStr">
        <is>
          <t>United States</t>
        </is>
      </c>
      <c r="H3205" t="n">
        <v>2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>
        <f>IFERROR(INDEX('Company Hitlist'!$AA:$AA,MATCH(D3205,'Company Hitlist'!$A:$A,0)),)</f>
        <v/>
      </c>
      <c r="O3205">
        <f>IFERROR(INDEX('Company Hitlist'!$N:$N,MATCH(D3205,'Company Hitlist'!$A:$A,0)),)</f>
        <v/>
      </c>
      <c r="Q3205" t="inlineStr">
        <is>
          <t>todo</t>
        </is>
      </c>
    </row>
    <row r="3206">
      <c r="A3206" t="inlineStr">
        <is>
          <t>Richard Crawford</t>
        </is>
      </c>
      <c r="B3206" t="inlineStr">
        <is>
          <t>Sponsor</t>
        </is>
      </c>
      <c r="C3206" t="inlineStr">
        <is>
          <t>Co-Founder</t>
        </is>
      </c>
      <c r="D3206" t="inlineStr">
        <is>
          <t>Supply &amp; Demand Show</t>
        </is>
      </c>
      <c r="H3206" t="n">
        <v>2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>
        <f>IFERROR(INDEX('Company Hitlist'!$AA:$AA,MATCH(D3206,'Company Hitlist'!$A:$A,0)),)</f>
        <v/>
      </c>
      <c r="O3206">
        <f>IFERROR(INDEX('Company Hitlist'!$N:$N,MATCH(D3206,'Company Hitlist'!$A:$A,0)),)</f>
        <v/>
      </c>
      <c r="Q3206" t="inlineStr">
        <is>
          <t>todo</t>
        </is>
      </c>
    </row>
    <row r="3207">
      <c r="A3207" t="inlineStr">
        <is>
          <t>Jake Barr</t>
        </is>
      </c>
      <c r="B3207" t="inlineStr">
        <is>
          <t>Sponsor</t>
        </is>
      </c>
      <c r="C3207" t="inlineStr">
        <is>
          <t>Co-Host</t>
        </is>
      </c>
      <c r="D3207" t="inlineStr">
        <is>
          <t>Supply Chain Now - BlueWorld Supply Chain Consulting</t>
        </is>
      </c>
      <c r="E3207" t="inlineStr">
        <is>
          <t>United States</t>
        </is>
      </c>
      <c r="H3207" t="n">
        <v>2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>
        <f>IFERROR(INDEX('Company Hitlist'!$AA:$AA,MATCH(D3207,'Company Hitlist'!$A:$A,0)),)</f>
        <v/>
      </c>
      <c r="O3207">
        <f>IFERROR(INDEX('Company Hitlist'!$N:$N,MATCH(D3207,'Company Hitlist'!$A:$A,0)),)</f>
        <v/>
      </c>
      <c r="Q3207" t="inlineStr">
        <is>
          <t>todo</t>
        </is>
      </c>
    </row>
    <row r="3208">
      <c r="A3208" t="inlineStr">
        <is>
          <t>Brooke Lanning</t>
        </is>
      </c>
      <c r="B3208" t="inlineStr">
        <is>
          <t>Sponsor</t>
        </is>
      </c>
      <c r="C3208" t="inlineStr">
        <is>
          <t>Associate Publisher</t>
        </is>
      </c>
      <c r="D3208" t="inlineStr">
        <is>
          <t>SupplyChainBrain</t>
        </is>
      </c>
      <c r="E3208" t="inlineStr">
        <is>
          <t>United States</t>
        </is>
      </c>
      <c r="H3208" t="n">
        <v>2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>
        <f>IFERROR(INDEX('Company Hitlist'!$AA:$AA,MATCH(D3208,'Company Hitlist'!$A:$A,0)),)</f>
        <v/>
      </c>
      <c r="O3208">
        <f>IFERROR(INDEX('Company Hitlist'!$N:$N,MATCH(D3208,'Company Hitlist'!$A:$A,0)),)</f>
        <v/>
      </c>
      <c r="Q3208" t="inlineStr">
        <is>
          <t>todo</t>
        </is>
      </c>
    </row>
    <row r="3209">
      <c r="A3209" t="inlineStr">
        <is>
          <t>Brad Berger</t>
        </is>
      </c>
      <c r="B3209" t="inlineStr">
        <is>
          <t>Sponsor</t>
        </is>
      </c>
      <c r="C3209" t="inlineStr">
        <is>
          <t>Publisher</t>
        </is>
      </c>
      <c r="D3209" t="inlineStr">
        <is>
          <t>SupplyChainBrain</t>
        </is>
      </c>
      <c r="H3209" t="n">
        <v>2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>
        <f>IFERROR(INDEX('Company Hitlist'!$AA:$AA,MATCH(D3209,'Company Hitlist'!$A:$A,0)),)</f>
        <v/>
      </c>
      <c r="O3209">
        <f>IFERROR(INDEX('Company Hitlist'!$N:$N,MATCH(D3209,'Company Hitlist'!$A:$A,0)),)</f>
        <v/>
      </c>
      <c r="Q3209" t="inlineStr">
        <is>
          <t>todo</t>
        </is>
      </c>
    </row>
    <row r="3210">
      <c r="A3210" t="inlineStr">
        <is>
          <t>Ralph Henderson</t>
        </is>
      </c>
      <c r="B3210" t="inlineStr">
        <is>
          <t>Sponsor</t>
        </is>
      </c>
      <c r="C3210" t="inlineStr">
        <is>
          <t>Executive Producer</t>
        </is>
      </c>
      <c r="D3210" t="inlineStr">
        <is>
          <t>SupplyChainBrain</t>
        </is>
      </c>
      <c r="H3210" t="n">
        <v>2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>
        <f>IFERROR(INDEX('Company Hitlist'!$AA:$AA,MATCH(D3210,'Company Hitlist'!$A:$A,0)),)</f>
        <v/>
      </c>
      <c r="O3210">
        <f>IFERROR(INDEX('Company Hitlist'!$N:$N,MATCH(D3210,'Company Hitlist'!$A:$A,0)),)</f>
        <v/>
      </c>
      <c r="Q3210" t="inlineStr">
        <is>
          <t>todo</t>
        </is>
      </c>
    </row>
    <row r="3211">
      <c r="A3211" t="inlineStr">
        <is>
          <t>Russell Goodman</t>
        </is>
      </c>
      <c r="B3211" t="inlineStr">
        <is>
          <t>Sponsor</t>
        </is>
      </c>
      <c r="C3211" t="inlineStr">
        <is>
          <t>Editor Emeritus</t>
        </is>
      </c>
      <c r="D3211" t="inlineStr">
        <is>
          <t>SupplyChainBrain</t>
        </is>
      </c>
      <c r="H3211" t="n">
        <v>2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>
        <f>IFERROR(INDEX('Company Hitlist'!$AA:$AA,MATCH(D3211,'Company Hitlist'!$A:$A,0)),)</f>
        <v/>
      </c>
      <c r="O3211">
        <f>IFERROR(INDEX('Company Hitlist'!$N:$N,MATCH(D3211,'Company Hitlist'!$A:$A,0)),)</f>
        <v/>
      </c>
      <c r="Q3211" t="inlineStr">
        <is>
          <t>todo</t>
        </is>
      </c>
    </row>
    <row r="3212">
      <c r="A3212" t="inlineStr">
        <is>
          <t>Brent Bumbaugh</t>
        </is>
      </c>
      <c r="B3212" t="inlineStr">
        <is>
          <t>Sponsor</t>
        </is>
      </c>
      <c r="C3212" t="inlineStr">
        <is>
          <t>Director of Global Accounts</t>
        </is>
      </c>
      <c r="D3212" t="inlineStr">
        <is>
          <t>Surgere</t>
        </is>
      </c>
      <c r="E3212" t="inlineStr">
        <is>
          <t>United States</t>
        </is>
      </c>
      <c r="F3212" t="inlineStr">
        <is>
          <t>Yes</t>
        </is>
      </c>
      <c r="H3212" t="n">
        <v>2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>
        <f>IFERROR(INDEX('Company Hitlist'!$AA:$AA,MATCH(D3212,'Company Hitlist'!$A:$A,0)),)</f>
        <v/>
      </c>
      <c r="O3212">
        <f>IFERROR(INDEX('Company Hitlist'!$N:$N,MATCH(D3212,'Company Hitlist'!$A:$A,0)),)</f>
        <v/>
      </c>
      <c r="Q3212" t="inlineStr">
        <is>
          <t>todo</t>
        </is>
      </c>
    </row>
    <row r="3213">
      <c r="A3213" t="inlineStr">
        <is>
          <t>Michael Dressler</t>
        </is>
      </c>
      <c r="B3213" t="inlineStr">
        <is>
          <t>Sponsor</t>
        </is>
      </c>
      <c r="C3213" t="inlineStr">
        <is>
          <t>Sr. Director, Engineering</t>
        </is>
      </c>
      <c r="D3213" t="inlineStr">
        <is>
          <t>Surgere</t>
        </is>
      </c>
      <c r="E3213" t="inlineStr">
        <is>
          <t>United States</t>
        </is>
      </c>
      <c r="F3213" t="inlineStr">
        <is>
          <t>Yes</t>
        </is>
      </c>
      <c r="H3213" t="n">
        <v>2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>
        <f>IFERROR(INDEX('Company Hitlist'!$AA:$AA,MATCH(D3213,'Company Hitlist'!$A:$A,0)),)</f>
        <v/>
      </c>
      <c r="O3213">
        <f>IFERROR(INDEX('Company Hitlist'!$N:$N,MATCH(D3213,'Company Hitlist'!$A:$A,0)),)</f>
        <v/>
      </c>
      <c r="Q3213" t="inlineStr">
        <is>
          <t>todo</t>
        </is>
      </c>
    </row>
    <row r="3214">
      <c r="A3214" t="inlineStr">
        <is>
          <t>Michael Wappler</t>
        </is>
      </c>
      <c r="B3214" t="inlineStr">
        <is>
          <t>Sponsor</t>
        </is>
      </c>
      <c r="C3214" t="inlineStr">
        <is>
          <t>Client Executive</t>
        </is>
      </c>
      <c r="D3214" t="inlineStr">
        <is>
          <t>Surgere</t>
        </is>
      </c>
      <c r="E3214" t="inlineStr">
        <is>
          <t>United States</t>
        </is>
      </c>
      <c r="H3214" t="n">
        <v>2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>
        <f>IFERROR(INDEX('Company Hitlist'!$AA:$AA,MATCH(D3214,'Company Hitlist'!$A:$A,0)),)</f>
        <v/>
      </c>
      <c r="O3214">
        <f>IFERROR(INDEX('Company Hitlist'!$N:$N,MATCH(D3214,'Company Hitlist'!$A:$A,0)),)</f>
        <v/>
      </c>
      <c r="Q3214" t="inlineStr">
        <is>
          <t>todo</t>
        </is>
      </c>
    </row>
    <row r="3215">
      <c r="A3215" t="inlineStr">
        <is>
          <t>Jason Mancuso</t>
        </is>
      </c>
      <c r="B3215" t="inlineStr">
        <is>
          <t>Sponsor</t>
        </is>
      </c>
      <c r="C3215" t="inlineStr">
        <is>
          <t>Practice Director</t>
        </is>
      </c>
      <c r="D3215" t="inlineStr">
        <is>
          <t>Synkrato</t>
        </is>
      </c>
      <c r="F3215" t="inlineStr">
        <is>
          <t>Yes</t>
        </is>
      </c>
      <c r="H3215" t="n">
        <v>2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>
        <f>IFERROR(INDEX('Company Hitlist'!$AA:$AA,MATCH(D3215,'Company Hitlist'!$A:$A,0)),)</f>
        <v/>
      </c>
      <c r="O3215">
        <f>IFERROR(INDEX('Company Hitlist'!$N:$N,MATCH(D3215,'Company Hitlist'!$A:$A,0)),)</f>
        <v/>
      </c>
      <c r="Q3215" t="inlineStr">
        <is>
          <t>todo</t>
        </is>
      </c>
    </row>
    <row r="3216">
      <c r="A3216" t="inlineStr">
        <is>
          <t>Graydon Dickson</t>
        </is>
      </c>
      <c r="B3216" t="inlineStr">
        <is>
          <t>Sponsor</t>
        </is>
      </c>
      <c r="C3216" t="inlineStr">
        <is>
          <t>Client Solutions Consultant</t>
        </is>
      </c>
      <c r="D3216" t="inlineStr">
        <is>
          <t>Systems Logic, creators of Wireless Warehouse in a Box WMS</t>
        </is>
      </c>
      <c r="H3216" t="n">
        <v>2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>
        <f>IFERROR(INDEX('Company Hitlist'!$AA:$AA,MATCH(D3216,'Company Hitlist'!$A:$A,0)),)</f>
        <v/>
      </c>
      <c r="O3216">
        <f>IFERROR(INDEX('Company Hitlist'!$N:$N,MATCH(D3216,'Company Hitlist'!$A:$A,0)),)</f>
        <v/>
      </c>
      <c r="Q3216" t="inlineStr">
        <is>
          <t>todo</t>
        </is>
      </c>
    </row>
    <row r="3217">
      <c r="A3217" t="inlineStr">
        <is>
          <t>Rob Correa</t>
        </is>
      </c>
      <c r="B3217" t="inlineStr">
        <is>
          <t>Sponsor</t>
        </is>
      </c>
      <c r="C3217" t="inlineStr">
        <is>
          <t>Sr. Solutions Engineer</t>
        </is>
      </c>
      <c r="D3217" t="inlineStr">
        <is>
          <t>T-Mobile for Business</t>
        </is>
      </c>
      <c r="F3217" t="inlineStr">
        <is>
          <t>Yes</t>
        </is>
      </c>
      <c r="G3217" t="inlineStr">
        <is>
          <t>$21 million (2025)</t>
        </is>
      </c>
      <c r="H3217" t="n">
        <v>2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>
        <f>IFERROR(INDEX('Company Hitlist'!$AA:$AA,MATCH(D3217,'Company Hitlist'!$A:$A,0)),)</f>
        <v/>
      </c>
      <c r="O3217">
        <f>IFERROR(INDEX('Company Hitlist'!$N:$N,MATCH(D3217,'Company Hitlist'!$A:$A,0)),)</f>
        <v/>
      </c>
      <c r="Q3217" t="inlineStr">
        <is>
          <t>todo</t>
        </is>
      </c>
    </row>
    <row r="3218">
      <c r="A3218" t="inlineStr">
        <is>
          <t>Cameron Honarvar</t>
        </is>
      </c>
      <c r="B3218" t="inlineStr">
        <is>
          <t>Sponsor</t>
        </is>
      </c>
      <c r="C3218" t="inlineStr">
        <is>
          <t>Director - TAC Americas</t>
        </is>
      </c>
      <c r="D3218" t="inlineStr">
        <is>
          <t>TAC Index</t>
        </is>
      </c>
      <c r="F3218" t="inlineStr">
        <is>
          <t>Yes</t>
        </is>
      </c>
      <c r="H3218" t="n">
        <v>2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>
        <f>IFERROR(INDEX('Company Hitlist'!$AA:$AA,MATCH(D3218,'Company Hitlist'!$A:$A,0)),)</f>
        <v/>
      </c>
      <c r="O3218">
        <f>IFERROR(INDEX('Company Hitlist'!$N:$N,MATCH(D3218,'Company Hitlist'!$A:$A,0)),)</f>
        <v/>
      </c>
      <c r="Q3218" t="inlineStr">
        <is>
          <t>todo</t>
        </is>
      </c>
    </row>
    <row r="3219">
      <c r="A3219" t="inlineStr">
        <is>
          <t>Dex Weber</t>
        </is>
      </c>
      <c r="B3219" t="inlineStr">
        <is>
          <t>Attendee</t>
        </is>
      </c>
      <c r="C3219" t="inlineStr">
        <is>
          <t>Business Development Manager - Warehouse Automation Integration</t>
        </is>
      </c>
      <c r="D3219" t="inlineStr">
        <is>
          <t>TGW Systems, Inc.</t>
        </is>
      </c>
      <c r="E3219" t="inlineStr">
        <is>
          <t>United States</t>
        </is>
      </c>
      <c r="H3219" t="n">
        <v>2</v>
      </c>
      <c r="I3219" t="b">
        <v>1</v>
      </c>
      <c r="J3219" t="b">
        <v>0</v>
      </c>
      <c r="K3219" t="b">
        <v>0</v>
      </c>
      <c r="L3219" t="b">
        <v>0</v>
      </c>
      <c r="M3219" t="b">
        <v>1</v>
      </c>
      <c r="N3219">
        <f>IFERROR(INDEX('Company Hitlist'!$AA:$AA,MATCH(D3219,'Company Hitlist'!$A:$A,0)),)</f>
        <v/>
      </c>
      <c r="O3219">
        <f>IFERROR(INDEX('Company Hitlist'!$N:$N,MATCH(D3219,'Company Hitlist'!$A:$A,0)),)</f>
        <v/>
      </c>
      <c r="Q3219" t="inlineStr">
        <is>
          <t>todo</t>
        </is>
      </c>
    </row>
    <row r="3220">
      <c r="A3220" t="inlineStr">
        <is>
          <t>Anais Adames</t>
        </is>
      </c>
      <c r="B3220" t="inlineStr">
        <is>
          <t>Sponsor</t>
        </is>
      </c>
      <c r="C3220" t="inlineStr">
        <is>
          <t>E-COMMERCE DELIVERY</t>
        </is>
      </c>
      <c r="D3220" t="inlineStr">
        <is>
          <t>THE SPEED OF FLIGHT at DeliverDirect</t>
        </is>
      </c>
      <c r="E3220" t="inlineStr">
        <is>
          <t>United States</t>
        </is>
      </c>
      <c r="F3220" t="inlineStr">
        <is>
          <t>Yes</t>
        </is>
      </c>
      <c r="H3220" t="n">
        <v>2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>
        <f>IFERROR(INDEX('Company Hitlist'!$AA:$AA,MATCH(D3220,'Company Hitlist'!$A:$A,0)),)</f>
        <v/>
      </c>
      <c r="O3220">
        <f>IFERROR(INDEX('Company Hitlist'!$N:$N,MATCH(D3220,'Company Hitlist'!$A:$A,0)),)</f>
        <v/>
      </c>
      <c r="Q3220" t="inlineStr">
        <is>
          <t>todo</t>
        </is>
      </c>
    </row>
    <row r="3221">
      <c r="A3221" t="inlineStr">
        <is>
          <t>Edward Burek</t>
        </is>
      </c>
      <c r="B3221" t="inlineStr">
        <is>
          <t>Sponsor</t>
        </is>
      </c>
      <c r="C3221" t="inlineStr">
        <is>
          <t>E-COMMERCE DELIVERY</t>
        </is>
      </c>
      <c r="D3221" t="inlineStr">
        <is>
          <t>THE SPEED OF FLIGHT at DeliverDirect</t>
        </is>
      </c>
      <c r="E3221" t="inlineStr">
        <is>
          <t>United States</t>
        </is>
      </c>
      <c r="F3221" t="inlineStr">
        <is>
          <t>Yes</t>
        </is>
      </c>
      <c r="H3221" t="n">
        <v>2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>
        <f>IFERROR(INDEX('Company Hitlist'!$AA:$AA,MATCH(D3221,'Company Hitlist'!$A:$A,0)),)</f>
        <v/>
      </c>
      <c r="O3221">
        <f>IFERROR(INDEX('Company Hitlist'!$N:$N,MATCH(D3221,'Company Hitlist'!$A:$A,0)),)</f>
        <v/>
      </c>
      <c r="Q3221" t="inlineStr">
        <is>
          <t>todo</t>
        </is>
      </c>
    </row>
    <row r="3222">
      <c r="A3222" t="inlineStr">
        <is>
          <t>Jeffrey Elder</t>
        </is>
      </c>
      <c r="B3222" t="inlineStr">
        <is>
          <t>Sponsor</t>
        </is>
      </c>
      <c r="C3222" t="inlineStr">
        <is>
          <t>E-COMMERCE DELIVERY</t>
        </is>
      </c>
      <c r="D3222" t="inlineStr">
        <is>
          <t>THE SPEED OF FLIGHT at DeliverDirect</t>
        </is>
      </c>
      <c r="E3222" t="inlineStr">
        <is>
          <t>United States</t>
        </is>
      </c>
      <c r="F3222" t="inlineStr">
        <is>
          <t>Yes</t>
        </is>
      </c>
      <c r="H3222" t="n">
        <v>2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>
        <f>IFERROR(INDEX('Company Hitlist'!$AA:$AA,MATCH(D3222,'Company Hitlist'!$A:$A,0)),)</f>
        <v/>
      </c>
      <c r="O3222">
        <f>IFERROR(INDEX('Company Hitlist'!$N:$N,MATCH(D3222,'Company Hitlist'!$A:$A,0)),)</f>
        <v/>
      </c>
      <c r="Q3222" t="inlineStr">
        <is>
          <t>todo</t>
        </is>
      </c>
    </row>
    <row r="3223">
      <c r="A3223" t="inlineStr">
        <is>
          <t>Marco Ferrara</t>
        </is>
      </c>
      <c r="B3223" t="inlineStr">
        <is>
          <t>Sponsor</t>
        </is>
      </c>
      <c r="C3223" t="inlineStr">
        <is>
          <t>E-COMMERCE DELIVERY</t>
        </is>
      </c>
      <c r="D3223" t="inlineStr">
        <is>
          <t>THE SPEED OF FLIGHT at DeliverDirect</t>
        </is>
      </c>
      <c r="E3223" t="inlineStr">
        <is>
          <t>United States</t>
        </is>
      </c>
      <c r="F3223" t="inlineStr">
        <is>
          <t>Yes</t>
        </is>
      </c>
      <c r="H3223" t="n">
        <v>2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>
        <f>IFERROR(INDEX('Company Hitlist'!$AA:$AA,MATCH(D3223,'Company Hitlist'!$A:$A,0)),)</f>
        <v/>
      </c>
      <c r="O3223">
        <f>IFERROR(INDEX('Company Hitlist'!$N:$N,MATCH(D3223,'Company Hitlist'!$A:$A,0)),)</f>
        <v/>
      </c>
      <c r="Q3223" t="inlineStr">
        <is>
          <t>todo</t>
        </is>
      </c>
    </row>
    <row r="3224">
      <c r="A3224" t="inlineStr">
        <is>
          <t>Rodney Small</t>
        </is>
      </c>
      <c r="B3224" t="inlineStr">
        <is>
          <t>Sponsor</t>
        </is>
      </c>
      <c r="C3224" t="inlineStr">
        <is>
          <t>E-COMMERCE DELIVERY</t>
        </is>
      </c>
      <c r="D3224" t="inlineStr">
        <is>
          <t>THE SPEED OF FLIGHT at DeliverDirect</t>
        </is>
      </c>
      <c r="E3224" t="inlineStr">
        <is>
          <t>United States</t>
        </is>
      </c>
      <c r="F3224" t="inlineStr">
        <is>
          <t>Yes</t>
        </is>
      </c>
      <c r="H3224" t="n">
        <v>2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>
        <f>IFERROR(INDEX('Company Hitlist'!$AA:$AA,MATCH(D3224,'Company Hitlist'!$A:$A,0)),)</f>
        <v/>
      </c>
      <c r="O3224">
        <f>IFERROR(INDEX('Company Hitlist'!$N:$N,MATCH(D3224,'Company Hitlist'!$A:$A,0)),)</f>
        <v/>
      </c>
      <c r="Q3224" t="inlineStr">
        <is>
          <t>todo</t>
        </is>
      </c>
    </row>
    <row r="3225">
      <c r="A3225" t="inlineStr">
        <is>
          <t>Benjamin Jarosz</t>
        </is>
      </c>
      <c r="B3225" t="inlineStr">
        <is>
          <t>Sponsor</t>
        </is>
      </c>
      <c r="C3225" t="inlineStr">
        <is>
          <t>E-COMMERCE DELIVERY</t>
        </is>
      </c>
      <c r="D3225" t="inlineStr">
        <is>
          <t>THE SPEED OF FLIGHT at DeliverDirect</t>
        </is>
      </c>
      <c r="F3225" t="inlineStr">
        <is>
          <t>Yes</t>
        </is>
      </c>
      <c r="H3225" t="n">
        <v>2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>
        <f>IFERROR(INDEX('Company Hitlist'!$AA:$AA,MATCH(D3225,'Company Hitlist'!$A:$A,0)),)</f>
        <v/>
      </c>
      <c r="O3225">
        <f>IFERROR(INDEX('Company Hitlist'!$N:$N,MATCH(D3225,'Company Hitlist'!$A:$A,0)),)</f>
        <v/>
      </c>
      <c r="Q3225" t="inlineStr">
        <is>
          <t>todo</t>
        </is>
      </c>
    </row>
    <row r="3226">
      <c r="A3226" t="inlineStr">
        <is>
          <t>Sebastian Kunze</t>
        </is>
      </c>
      <c r="B3226" t="inlineStr">
        <is>
          <t>Sponsor</t>
        </is>
      </c>
      <c r="C3226" t="inlineStr">
        <is>
          <t>E-COMMERCE DELIVERY</t>
        </is>
      </c>
      <c r="D3226" t="inlineStr">
        <is>
          <t>THE SPEED OF FLIGHT at DeliverDirect</t>
        </is>
      </c>
      <c r="F3226" t="inlineStr">
        <is>
          <t>Yes</t>
        </is>
      </c>
      <c r="H3226" t="n">
        <v>2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>
        <f>IFERROR(INDEX('Company Hitlist'!$AA:$AA,MATCH(D3226,'Company Hitlist'!$A:$A,0)),)</f>
        <v/>
      </c>
      <c r="O3226">
        <f>IFERROR(INDEX('Company Hitlist'!$N:$N,MATCH(D3226,'Company Hitlist'!$A:$A,0)),)</f>
        <v/>
      </c>
      <c r="Q3226" t="inlineStr">
        <is>
          <t>todo</t>
        </is>
      </c>
    </row>
    <row r="3227">
      <c r="A3227" t="inlineStr">
        <is>
          <t>Jason Evans</t>
        </is>
      </c>
      <c r="B3227" t="inlineStr">
        <is>
          <t>Sponsor</t>
        </is>
      </c>
      <c r="C3227" t="inlineStr">
        <is>
          <t>Director, Systems and Planning</t>
        </is>
      </c>
      <c r="D3227" t="inlineStr">
        <is>
          <t>TOC Logistics</t>
        </is>
      </c>
      <c r="F3227" t="inlineStr">
        <is>
          <t>Yes</t>
        </is>
      </c>
      <c r="H3227" t="n">
        <v>2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>
        <f>IFERROR(INDEX('Company Hitlist'!$AA:$AA,MATCH(D3227,'Company Hitlist'!$A:$A,0)),)</f>
        <v/>
      </c>
      <c r="O3227">
        <f>IFERROR(INDEX('Company Hitlist'!$N:$N,MATCH(D3227,'Company Hitlist'!$A:$A,0)),)</f>
        <v/>
      </c>
      <c r="Q3227" t="inlineStr">
        <is>
          <t>todo</t>
        </is>
      </c>
    </row>
    <row r="3228">
      <c r="A3228" t="inlineStr">
        <is>
          <t>Danielle St Lawrence</t>
        </is>
      </c>
      <c r="B3228" t="inlineStr">
        <is>
          <t>Sponsor</t>
        </is>
      </c>
      <c r="C3228" t="inlineStr">
        <is>
          <t>Event Coordinator</t>
        </is>
      </c>
      <c r="D3228" t="inlineStr">
        <is>
          <t>TORC</t>
        </is>
      </c>
      <c r="E3228" t="inlineStr">
        <is>
          <t>United States</t>
        </is>
      </c>
      <c r="H3228" t="n">
        <v>2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>
        <f>IFERROR(INDEX('Company Hitlist'!$AA:$AA,MATCH(D3228,'Company Hitlist'!$A:$A,0)),)</f>
        <v/>
      </c>
      <c r="O3228">
        <f>IFERROR(INDEX('Company Hitlist'!$N:$N,MATCH(D3228,'Company Hitlist'!$A:$A,0)),)</f>
        <v/>
      </c>
      <c r="Q3228" t="inlineStr">
        <is>
          <t>todo</t>
        </is>
      </c>
    </row>
    <row r="3229">
      <c r="A3229" t="inlineStr">
        <is>
          <t>Grant Hall</t>
        </is>
      </c>
      <c r="B3229" t="inlineStr">
        <is>
          <t>Sponsor</t>
        </is>
      </c>
      <c r="C3229" t="inlineStr">
        <is>
          <t>Commercial Project Manager III</t>
        </is>
      </c>
      <c r="D3229" t="inlineStr">
        <is>
          <t>TORC</t>
        </is>
      </c>
      <c r="E3229" t="inlineStr">
        <is>
          <t>United States</t>
        </is>
      </c>
      <c r="H3229" t="n">
        <v>2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>
        <f>IFERROR(INDEX('Company Hitlist'!$AA:$AA,MATCH(D3229,'Company Hitlist'!$A:$A,0)),)</f>
        <v/>
      </c>
      <c r="O3229">
        <f>IFERROR(INDEX('Company Hitlist'!$N:$N,MATCH(D3229,'Company Hitlist'!$A:$A,0)),)</f>
        <v/>
      </c>
      <c r="Q3229" t="inlineStr">
        <is>
          <t>todo</t>
        </is>
      </c>
    </row>
    <row r="3230">
      <c r="A3230" t="inlineStr">
        <is>
          <t>Jason Payne</t>
        </is>
      </c>
      <c r="B3230" t="inlineStr">
        <is>
          <t>Sponsor</t>
        </is>
      </c>
      <c r="C3230" t="inlineStr">
        <is>
          <t>Senior Brand Manager | Photographer</t>
        </is>
      </c>
      <c r="D3230" t="inlineStr">
        <is>
          <t>TORC</t>
        </is>
      </c>
      <c r="E3230" t="inlineStr">
        <is>
          <t>United States</t>
        </is>
      </c>
      <c r="H3230" t="n">
        <v>2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>
        <f>IFERROR(INDEX('Company Hitlist'!$AA:$AA,MATCH(D3230,'Company Hitlist'!$A:$A,0)),)</f>
        <v/>
      </c>
      <c r="O3230">
        <f>IFERROR(INDEX('Company Hitlist'!$N:$N,MATCH(D3230,'Company Hitlist'!$A:$A,0)),)</f>
        <v/>
      </c>
      <c r="Q3230" t="inlineStr">
        <is>
          <t>todo</t>
        </is>
      </c>
    </row>
    <row r="3231">
      <c r="A3231" t="inlineStr">
        <is>
          <t>Laura Lawton</t>
        </is>
      </c>
      <c r="B3231" t="inlineStr">
        <is>
          <t>Sponsor</t>
        </is>
      </c>
      <c r="C3231" t="inlineStr">
        <is>
          <t>Director of External Communications</t>
        </is>
      </c>
      <c r="D3231" t="inlineStr">
        <is>
          <t>TORC</t>
        </is>
      </c>
      <c r="E3231" t="inlineStr">
        <is>
          <t>United States</t>
        </is>
      </c>
      <c r="H3231" t="n">
        <v>2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>
        <f>IFERROR(INDEX('Company Hitlist'!$AA:$AA,MATCH(D3231,'Company Hitlist'!$A:$A,0)),)</f>
        <v/>
      </c>
      <c r="O3231">
        <f>IFERROR(INDEX('Company Hitlist'!$N:$N,MATCH(D3231,'Company Hitlist'!$A:$A,0)),)</f>
        <v/>
      </c>
      <c r="Q3231" t="inlineStr">
        <is>
          <t>todo</t>
        </is>
      </c>
    </row>
    <row r="3232">
      <c r="A3232" t="inlineStr">
        <is>
          <t>Walter Grigg</t>
        </is>
      </c>
      <c r="B3232" t="inlineStr">
        <is>
          <t>Sponsor</t>
        </is>
      </c>
      <c r="C3232" t="inlineStr">
        <is>
          <t>Customer &amp; Partnerships Management Director</t>
        </is>
      </c>
      <c r="D3232" t="inlineStr">
        <is>
          <t>TORC</t>
        </is>
      </c>
      <c r="E3232" t="inlineStr">
        <is>
          <t>United States</t>
        </is>
      </c>
      <c r="H3232" t="n">
        <v>2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>
        <f>IFERROR(INDEX('Company Hitlist'!$AA:$AA,MATCH(D3232,'Company Hitlist'!$A:$A,0)),)</f>
        <v/>
      </c>
      <c r="O3232">
        <f>IFERROR(INDEX('Company Hitlist'!$N:$N,MATCH(D3232,'Company Hitlist'!$A:$A,0)),)</f>
        <v/>
      </c>
      <c r="Q3232" t="inlineStr">
        <is>
          <t>todo</t>
        </is>
      </c>
    </row>
    <row r="3233">
      <c r="A3233" t="inlineStr">
        <is>
          <t>Carly Thompson</t>
        </is>
      </c>
      <c r="B3233" t="inlineStr">
        <is>
          <t>Sponsor</t>
        </is>
      </c>
      <c r="C3233" t="inlineStr">
        <is>
          <t>Events Manager</t>
        </is>
      </c>
      <c r="D3233" t="inlineStr">
        <is>
          <t>TORC</t>
        </is>
      </c>
      <c r="H3233" t="n">
        <v>2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>
        <f>IFERROR(INDEX('Company Hitlist'!$AA:$AA,MATCH(D3233,'Company Hitlist'!$A:$A,0)),)</f>
        <v/>
      </c>
      <c r="O3233">
        <f>IFERROR(INDEX('Company Hitlist'!$N:$N,MATCH(D3233,'Company Hitlist'!$A:$A,0)),)</f>
        <v/>
      </c>
      <c r="Q3233" t="inlineStr">
        <is>
          <t>todo</t>
        </is>
      </c>
    </row>
    <row r="3234">
      <c r="A3234" t="inlineStr">
        <is>
          <t>Austin Smith</t>
        </is>
      </c>
      <c r="B3234" t="inlineStr">
        <is>
          <t>Sponsor</t>
        </is>
      </c>
      <c r="C3234" t="inlineStr">
        <is>
          <t>Account Manager</t>
        </is>
      </c>
      <c r="D3234" t="inlineStr">
        <is>
          <t>TRUCKSTOP.COM</t>
        </is>
      </c>
      <c r="E3234" t="inlineStr">
        <is>
          <t>United States</t>
        </is>
      </c>
      <c r="H3234" t="n">
        <v>2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>
        <f>IFERROR(INDEX('Company Hitlist'!$AA:$AA,MATCH(D3234,'Company Hitlist'!$A:$A,0)),)</f>
        <v/>
      </c>
      <c r="O3234">
        <f>IFERROR(INDEX('Company Hitlist'!$N:$N,MATCH(D3234,'Company Hitlist'!$A:$A,0)),)</f>
        <v/>
      </c>
      <c r="Q3234" t="inlineStr">
        <is>
          <t>todo</t>
        </is>
      </c>
    </row>
    <row r="3235">
      <c r="A3235" t="inlineStr">
        <is>
          <t>AD Perez</t>
        </is>
      </c>
      <c r="B3235" t="inlineStr">
        <is>
          <t>Sponsor</t>
        </is>
      </c>
      <c r="C3235" t="inlineStr">
        <is>
          <t>Strategic Account Manager</t>
        </is>
      </c>
      <c r="D3235" t="inlineStr">
        <is>
          <t>TRUCKSTOP.COM</t>
        </is>
      </c>
      <c r="H3235" t="n">
        <v>2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>
        <f>IFERROR(INDEX('Company Hitlist'!$AA:$AA,MATCH(D3235,'Company Hitlist'!$A:$A,0)),)</f>
        <v/>
      </c>
      <c r="O3235">
        <f>IFERROR(INDEX('Company Hitlist'!$N:$N,MATCH(D3235,'Company Hitlist'!$A:$A,0)),)</f>
        <v/>
      </c>
      <c r="Q3235" t="inlineStr">
        <is>
          <t>todo</t>
        </is>
      </c>
    </row>
    <row r="3236">
      <c r="A3236" t="inlineStr">
        <is>
          <t>Robert Pridgen</t>
        </is>
      </c>
      <c r="B3236" t="inlineStr">
        <is>
          <t>Sponsor</t>
        </is>
      </c>
      <c r="C3236" t="inlineStr">
        <is>
          <t>Commercial Director</t>
        </is>
      </c>
      <c r="D3236" t="inlineStr">
        <is>
          <t>Tag-N-Trac</t>
        </is>
      </c>
      <c r="F3236" t="inlineStr">
        <is>
          <t>Yes</t>
        </is>
      </c>
      <c r="H3236" t="n">
        <v>2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>
        <f>IFERROR(INDEX('Company Hitlist'!$AA:$AA,MATCH(D3236,'Company Hitlist'!$A:$A,0)),)</f>
        <v/>
      </c>
      <c r="O3236">
        <f>IFERROR(INDEX('Company Hitlist'!$N:$N,MATCH(D3236,'Company Hitlist'!$A:$A,0)),)</f>
        <v/>
      </c>
      <c r="Q3236" t="inlineStr">
        <is>
          <t>todo</t>
        </is>
      </c>
    </row>
    <row r="3237">
      <c r="A3237" t="inlineStr">
        <is>
          <t>Venu Gutlapalli</t>
        </is>
      </c>
      <c r="B3237" t="inlineStr">
        <is>
          <t>Sponsor</t>
        </is>
      </c>
      <c r="C3237" t="inlineStr">
        <is>
          <t>CDO</t>
        </is>
      </c>
      <c r="D3237" t="inlineStr">
        <is>
          <t>Tag-N-Trac</t>
        </is>
      </c>
      <c r="F3237" t="inlineStr">
        <is>
          <t>Yes</t>
        </is>
      </c>
      <c r="H3237" t="n">
        <v>2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>
        <f>IFERROR(INDEX('Company Hitlist'!$AA:$AA,MATCH(D3237,'Company Hitlist'!$A:$A,0)),)</f>
        <v/>
      </c>
      <c r="O3237">
        <f>IFERROR(INDEX('Company Hitlist'!$N:$N,MATCH(D3237,'Company Hitlist'!$A:$A,0)),)</f>
        <v/>
      </c>
      <c r="Q3237" t="inlineStr">
        <is>
          <t>todo</t>
        </is>
      </c>
    </row>
    <row r="3238">
      <c r="A3238" t="inlineStr">
        <is>
          <t>Jeff Jacobs</t>
        </is>
      </c>
      <c r="B3238" t="inlineStr">
        <is>
          <t>Sponsor</t>
        </is>
      </c>
      <c r="C3238" t="inlineStr">
        <is>
          <t>Solutions Consultant</t>
        </is>
      </c>
      <c r="D3238" t="inlineStr">
        <is>
          <t>Tai Software</t>
        </is>
      </c>
      <c r="E3238" t="inlineStr">
        <is>
          <t>United States</t>
        </is>
      </c>
      <c r="F3238" t="inlineStr">
        <is>
          <t>Yes</t>
        </is>
      </c>
      <c r="H3238" t="n">
        <v>2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>
        <f>IFERROR(INDEX('Company Hitlist'!$AA:$AA,MATCH(D3238,'Company Hitlist'!$A:$A,0)),)</f>
        <v/>
      </c>
      <c r="O3238">
        <f>IFERROR(INDEX('Company Hitlist'!$N:$N,MATCH(D3238,'Company Hitlist'!$A:$A,0)),)</f>
        <v/>
      </c>
      <c r="Q3238" t="inlineStr">
        <is>
          <t>todo</t>
        </is>
      </c>
    </row>
    <row r="3239">
      <c r="A3239" t="inlineStr">
        <is>
          <t>Sal Romana</t>
        </is>
      </c>
      <c r="B3239" t="inlineStr">
        <is>
          <t>Sponsor</t>
        </is>
      </c>
      <c r="C3239" t="inlineStr">
        <is>
          <t>Tai Software</t>
        </is>
      </c>
      <c r="D3239" t="inlineStr">
        <is>
          <t>Tai Software</t>
        </is>
      </c>
      <c r="E3239" t="inlineStr">
        <is>
          <t>United States</t>
        </is>
      </c>
      <c r="F3239" t="inlineStr">
        <is>
          <t>Yes</t>
        </is>
      </c>
      <c r="H3239" t="n">
        <v>2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>
        <f>IFERROR(INDEX('Company Hitlist'!$AA:$AA,MATCH(D3239,'Company Hitlist'!$A:$A,0)),)</f>
        <v/>
      </c>
      <c r="O3239">
        <f>IFERROR(INDEX('Company Hitlist'!$N:$N,MATCH(D3239,'Company Hitlist'!$A:$A,0)),)</f>
        <v/>
      </c>
      <c r="Q3239" t="inlineStr">
        <is>
          <t>todo</t>
        </is>
      </c>
    </row>
    <row r="3240">
      <c r="A3240" t="inlineStr">
        <is>
          <t>Daniel Orozco</t>
        </is>
      </c>
      <c r="B3240" t="inlineStr">
        <is>
          <t>Sponsor</t>
        </is>
      </c>
      <c r="C3240" t="inlineStr">
        <is>
          <t>Solutions Consultant</t>
        </is>
      </c>
      <c r="D3240" t="inlineStr">
        <is>
          <t>Tai Software</t>
        </is>
      </c>
      <c r="F3240" t="inlineStr">
        <is>
          <t>Yes</t>
        </is>
      </c>
      <c r="H3240" t="n">
        <v>2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>
        <f>IFERROR(INDEX('Company Hitlist'!$AA:$AA,MATCH(D3240,'Company Hitlist'!$A:$A,0)),)</f>
        <v/>
      </c>
      <c r="O3240">
        <f>IFERROR(INDEX('Company Hitlist'!$N:$N,MATCH(D3240,'Company Hitlist'!$A:$A,0)),)</f>
        <v/>
      </c>
      <c r="Q3240" t="inlineStr">
        <is>
          <t>todo</t>
        </is>
      </c>
    </row>
    <row r="3241">
      <c r="A3241" t="inlineStr">
        <is>
          <t>Mia Mazal</t>
        </is>
      </c>
      <c r="B3241" t="inlineStr">
        <is>
          <t>Sponsor</t>
        </is>
      </c>
      <c r="C3241" t="inlineStr">
        <is>
          <t>Co-Founder</t>
        </is>
      </c>
      <c r="D3241" t="inlineStr">
        <is>
          <t>Talento</t>
        </is>
      </c>
      <c r="E3241" t="inlineStr">
        <is>
          <t>United States</t>
        </is>
      </c>
      <c r="H3241" t="n">
        <v>2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>
        <f>IFERROR(INDEX('Company Hitlist'!$AA:$AA,MATCH(D3241,'Company Hitlist'!$A:$A,0)),)</f>
        <v/>
      </c>
      <c r="O3241">
        <f>IFERROR(INDEX('Company Hitlist'!$N:$N,MATCH(D3241,'Company Hitlist'!$A:$A,0)),)</f>
        <v/>
      </c>
      <c r="Q3241" t="inlineStr">
        <is>
          <t>todo</t>
        </is>
      </c>
    </row>
    <row r="3242">
      <c r="A3242" t="inlineStr">
        <is>
          <t>Tom Stille</t>
        </is>
      </c>
      <c r="B3242" t="inlineStr">
        <is>
          <t>Sponsor</t>
        </is>
      </c>
      <c r="C3242" t="inlineStr">
        <is>
          <t>Principal Enterprise Solutions Engineer</t>
        </is>
      </c>
      <c r="D3242" t="inlineStr">
        <is>
          <t>TeamViewer</t>
        </is>
      </c>
      <c r="E3242" t="inlineStr">
        <is>
          <t>United States</t>
        </is>
      </c>
      <c r="H3242" t="n">
        <v>2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>
        <f>IFERROR(INDEX('Company Hitlist'!$AA:$AA,MATCH(D3242,'Company Hitlist'!$A:$A,0)),)</f>
        <v/>
      </c>
      <c r="O3242">
        <f>IFERROR(INDEX('Company Hitlist'!$N:$N,MATCH(D3242,'Company Hitlist'!$A:$A,0)),)</f>
        <v/>
      </c>
      <c r="Q3242" t="inlineStr">
        <is>
          <t>todo</t>
        </is>
      </c>
    </row>
    <row r="3243">
      <c r="A3243" t="inlineStr">
        <is>
          <t>Rachael Wright</t>
        </is>
      </c>
      <c r="B3243" t="inlineStr">
        <is>
          <t>Sponsor</t>
        </is>
      </c>
      <c r="C3243" t="inlineStr">
        <is>
          <t>Strategic Alliance Manager</t>
        </is>
      </c>
      <c r="D3243" t="inlineStr">
        <is>
          <t>TeamViewer</t>
        </is>
      </c>
      <c r="H3243" t="n">
        <v>2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>
        <f>IFERROR(INDEX('Company Hitlist'!$AA:$AA,MATCH(D3243,'Company Hitlist'!$A:$A,0)),)</f>
        <v/>
      </c>
      <c r="O3243">
        <f>IFERROR(INDEX('Company Hitlist'!$N:$N,MATCH(D3243,'Company Hitlist'!$A:$A,0)),)</f>
        <v/>
      </c>
      <c r="Q3243" t="inlineStr">
        <is>
          <t>todo</t>
        </is>
      </c>
    </row>
    <row r="3244">
      <c r="A3244" t="inlineStr">
        <is>
          <t>Jenna Faville</t>
        </is>
      </c>
      <c r="B3244" t="inlineStr">
        <is>
          <t>Sponsor</t>
        </is>
      </c>
      <c r="C3244" t="inlineStr">
        <is>
          <t>Co-Founder</t>
        </is>
      </c>
      <c r="D3244" t="inlineStr">
        <is>
          <t>Technova Industries</t>
        </is>
      </c>
      <c r="E3244" t="inlineStr">
        <is>
          <t>United States</t>
        </is>
      </c>
      <c r="H3244" t="n">
        <v>2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>
        <f>IFERROR(INDEX('Company Hitlist'!$AA:$AA,MATCH(D3244,'Company Hitlist'!$A:$A,0)),)</f>
        <v/>
      </c>
      <c r="O3244">
        <f>IFERROR(INDEX('Company Hitlist'!$N:$N,MATCH(D3244,'Company Hitlist'!$A:$A,0)),)</f>
        <v/>
      </c>
      <c r="Q3244" t="inlineStr">
        <is>
          <t>todo</t>
        </is>
      </c>
    </row>
    <row r="3245">
      <c r="A3245" t="inlineStr">
        <is>
          <t>Harry Dimirjian</t>
        </is>
      </c>
      <c r="B3245" t="inlineStr">
        <is>
          <t>Sponsor</t>
        </is>
      </c>
      <c r="C3245" t="inlineStr">
        <is>
          <t>Director, Solution Consulting</t>
        </is>
      </c>
      <c r="D3245" t="inlineStr">
        <is>
          <t>Tecsys</t>
        </is>
      </c>
      <c r="E3245" t="inlineStr">
        <is>
          <t>Canada</t>
        </is>
      </c>
      <c r="F3245" t="inlineStr">
        <is>
          <t>Yes</t>
        </is>
      </c>
      <c r="H3245" t="n">
        <v>2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>
        <f>IFERROR(INDEX('Company Hitlist'!$AA:$AA,MATCH(D3245,'Company Hitlist'!$A:$A,0)),)</f>
        <v/>
      </c>
      <c r="O3245">
        <f>IFERROR(INDEX('Company Hitlist'!$N:$N,MATCH(D3245,'Company Hitlist'!$A:$A,0)),)</f>
        <v/>
      </c>
      <c r="Q3245" t="inlineStr">
        <is>
          <t>todo</t>
        </is>
      </c>
    </row>
    <row r="3246">
      <c r="A3246" t="inlineStr">
        <is>
          <t>Jason Robke</t>
        </is>
      </c>
      <c r="B3246" t="inlineStr">
        <is>
          <t>Sponsor</t>
        </is>
      </c>
      <c r="C3246" t="inlineStr">
        <is>
          <t>Associate Director of Market Development</t>
        </is>
      </c>
      <c r="D3246" t="inlineStr">
        <is>
          <t>The Association for Supply Chain Management (ASCM)</t>
        </is>
      </c>
      <c r="E3246" t="inlineStr">
        <is>
          <t>United States</t>
        </is>
      </c>
      <c r="H3246" t="n">
        <v>2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>
        <f>IFERROR(INDEX('Company Hitlist'!$AA:$AA,MATCH(D3246,'Company Hitlist'!$A:$A,0)),)</f>
        <v/>
      </c>
      <c r="O3246">
        <f>IFERROR(INDEX('Company Hitlist'!$N:$N,MATCH(D3246,'Company Hitlist'!$A:$A,0)),)</f>
        <v/>
      </c>
      <c r="Q3246" t="inlineStr">
        <is>
          <t>todo</t>
        </is>
      </c>
    </row>
    <row r="3247">
      <c r="A3247" t="inlineStr">
        <is>
          <t>Nate Shutes</t>
        </is>
      </c>
      <c r="B3247" t="inlineStr">
        <is>
          <t>Sponsor</t>
        </is>
      </c>
      <c r="C3247" t="inlineStr">
        <is>
          <t>Founder</t>
        </is>
      </c>
      <c r="D3247" t="inlineStr">
        <is>
          <t>The Bootstrapper's Guide to Logistics</t>
        </is>
      </c>
      <c r="E3247" t="inlineStr">
        <is>
          <t>United States</t>
        </is>
      </c>
      <c r="F3247" t="inlineStr">
        <is>
          <t>Yes</t>
        </is>
      </c>
      <c r="H3247" t="n">
        <v>2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>
        <f>IFERROR(INDEX('Company Hitlist'!$AA:$AA,MATCH(D3247,'Company Hitlist'!$A:$A,0)),)</f>
        <v/>
      </c>
      <c r="O3247">
        <f>IFERROR(INDEX('Company Hitlist'!$N:$N,MATCH(D3247,'Company Hitlist'!$A:$A,0)),)</f>
        <v/>
      </c>
      <c r="Q3247" t="inlineStr">
        <is>
          <t>todo</t>
        </is>
      </c>
    </row>
    <row r="3248">
      <c r="A3248" t="inlineStr">
        <is>
          <t>Kevin Lawton</t>
        </is>
      </c>
      <c r="B3248" t="inlineStr">
        <is>
          <t>Sponsor</t>
        </is>
      </c>
      <c r="C3248" t="inlineStr">
        <is>
          <t>Founder &amp; Host</t>
        </is>
      </c>
      <c r="D3248" t="inlineStr">
        <is>
          <t>The New Warehouse</t>
        </is>
      </c>
      <c r="E3248" t="inlineStr">
        <is>
          <t>United States</t>
        </is>
      </c>
      <c r="F3248" t="inlineStr">
        <is>
          <t>Yes</t>
        </is>
      </c>
      <c r="H3248" t="n">
        <v>2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>
        <f>IFERROR(INDEX('Company Hitlist'!$AA:$AA,MATCH(D3248,'Company Hitlist'!$A:$A,0)),)</f>
        <v/>
      </c>
      <c r="O3248">
        <f>IFERROR(INDEX('Company Hitlist'!$N:$N,MATCH(D3248,'Company Hitlist'!$A:$A,0)),)</f>
        <v/>
      </c>
      <c r="Q3248" t="inlineStr">
        <is>
          <t>todo</t>
        </is>
      </c>
    </row>
    <row r="3249">
      <c r="A3249" t="inlineStr">
        <is>
          <t>Ricky Lorenzo</t>
        </is>
      </c>
      <c r="B3249" t="inlineStr">
        <is>
          <t>Sponsor</t>
        </is>
      </c>
      <c r="C3249" t="inlineStr">
        <is>
          <t>Videographer</t>
        </is>
      </c>
      <c r="D3249" t="inlineStr">
        <is>
          <t>The New Warehouse</t>
        </is>
      </c>
      <c r="F3249" t="inlineStr">
        <is>
          <t>Yes</t>
        </is>
      </c>
      <c r="H3249" t="n">
        <v>2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>
        <f>IFERROR(INDEX('Company Hitlist'!$AA:$AA,MATCH(D3249,'Company Hitlist'!$A:$A,0)),)</f>
        <v/>
      </c>
      <c r="O3249">
        <f>IFERROR(INDEX('Company Hitlist'!$N:$N,MATCH(D3249,'Company Hitlist'!$A:$A,0)),)</f>
        <v/>
      </c>
      <c r="Q3249" t="inlineStr">
        <is>
          <t>todo</t>
        </is>
      </c>
    </row>
    <row r="3250">
      <c r="A3250" t="inlineStr">
        <is>
          <t>Thomas Werdine</t>
        </is>
      </c>
      <c r="B3250" t="inlineStr">
        <is>
          <t>Sponsor</t>
        </is>
      </c>
      <c r="C3250" t="inlineStr">
        <is>
          <t>Founder</t>
        </is>
      </c>
      <c r="D3250" t="inlineStr">
        <is>
          <t>ThinkFreight</t>
        </is>
      </c>
      <c r="F3250" t="inlineStr">
        <is>
          <t>Yes</t>
        </is>
      </c>
      <c r="H3250" t="n">
        <v>2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>
        <f>IFERROR(INDEX('Company Hitlist'!$AA:$AA,MATCH(D3250,'Company Hitlist'!$A:$A,0)),)</f>
        <v/>
      </c>
      <c r="O3250">
        <f>IFERROR(INDEX('Company Hitlist'!$N:$N,MATCH(D3250,'Company Hitlist'!$A:$A,0)),)</f>
        <v/>
      </c>
      <c r="Q3250" t="inlineStr">
        <is>
          <t>todo</t>
        </is>
      </c>
    </row>
    <row r="3251">
      <c r="A3251" t="inlineStr">
        <is>
          <t>Andrew Lockhart</t>
        </is>
      </c>
      <c r="B3251" t="inlineStr">
        <is>
          <t>Sponsor</t>
        </is>
      </c>
      <c r="C3251" t="inlineStr">
        <is>
          <t>Director, Strategic Engagement</t>
        </is>
      </c>
      <c r="D3251" t="inlineStr">
        <is>
          <t>Toyota Automated Logistics</t>
        </is>
      </c>
      <c r="E3251" t="inlineStr">
        <is>
          <t>United States</t>
        </is>
      </c>
      <c r="F3251" t="inlineStr">
        <is>
          <t>Yes</t>
        </is>
      </c>
      <c r="G3251" t="inlineStr">
        <is>
          <t>Part of Toyota ($275B)</t>
        </is>
      </c>
      <c r="H3251" t="n">
        <v>2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>
        <f>IFERROR(INDEX('Company Hitlist'!$AA:$AA,MATCH(D3251,'Company Hitlist'!$A:$A,0)),)</f>
        <v/>
      </c>
      <c r="O3251">
        <f>IFERROR(INDEX('Company Hitlist'!$N:$N,MATCH(D3251,'Company Hitlist'!$A:$A,0)),)</f>
        <v/>
      </c>
      <c r="Q3251" t="inlineStr">
        <is>
          <t>todo</t>
        </is>
      </c>
    </row>
    <row r="3252">
      <c r="A3252" t="inlineStr">
        <is>
          <t>David Hutto</t>
        </is>
      </c>
      <c r="B3252" t="inlineStr">
        <is>
          <t>Sponsor</t>
        </is>
      </c>
      <c r="C3252" t="inlineStr">
        <is>
          <t>National Partnerships</t>
        </is>
      </c>
      <c r="D3252" t="inlineStr">
        <is>
          <t>Traba</t>
        </is>
      </c>
      <c r="E3252" t="inlineStr">
        <is>
          <t>United States</t>
        </is>
      </c>
      <c r="F3252" t="inlineStr">
        <is>
          <t>Yes</t>
        </is>
      </c>
      <c r="G3252" t="inlineStr">
        <is>
          <t>$5.3 million (2025)</t>
        </is>
      </c>
      <c r="H3252" t="n">
        <v>2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>
        <f>IFERROR(INDEX('Company Hitlist'!$AA:$AA,MATCH(D3252,'Company Hitlist'!$A:$A,0)),)</f>
        <v/>
      </c>
      <c r="O3252">
        <f>IFERROR(INDEX('Company Hitlist'!$N:$N,MATCH(D3252,'Company Hitlist'!$A:$A,0)),)</f>
        <v/>
      </c>
      <c r="Q3252" t="inlineStr">
        <is>
          <t>todo</t>
        </is>
      </c>
    </row>
    <row r="3253">
      <c r="A3253" t="inlineStr">
        <is>
          <t>Jake Bloom</t>
        </is>
      </c>
      <c r="B3253" t="inlineStr">
        <is>
          <t>Sponsor</t>
        </is>
      </c>
      <c r="C3253" t="inlineStr">
        <is>
          <t>National Partnerships</t>
        </is>
      </c>
      <c r="D3253" t="inlineStr">
        <is>
          <t>Traba</t>
        </is>
      </c>
      <c r="E3253" t="inlineStr">
        <is>
          <t>United States</t>
        </is>
      </c>
      <c r="F3253" t="inlineStr">
        <is>
          <t>Yes</t>
        </is>
      </c>
      <c r="G3253" t="inlineStr">
        <is>
          <t>$5.3 million (2025)</t>
        </is>
      </c>
      <c r="H3253" t="n">
        <v>2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>
        <f>IFERROR(INDEX('Company Hitlist'!$AA:$AA,MATCH(D3253,'Company Hitlist'!$A:$A,0)),)</f>
        <v/>
      </c>
      <c r="O3253">
        <f>IFERROR(INDEX('Company Hitlist'!$N:$N,MATCH(D3253,'Company Hitlist'!$A:$A,0)),)</f>
        <v/>
      </c>
      <c r="Q3253" t="inlineStr">
        <is>
          <t>todo</t>
        </is>
      </c>
    </row>
    <row r="3254">
      <c r="A3254" t="inlineStr">
        <is>
          <t>Melanie Burns</t>
        </is>
      </c>
      <c r="B3254" t="inlineStr">
        <is>
          <t>Sponsor</t>
        </is>
      </c>
      <c r="C3254" t="inlineStr">
        <is>
          <t>Senior Director, Parcel Strategy</t>
        </is>
      </c>
      <c r="D3254" t="inlineStr">
        <is>
          <t>Transportation Insight</t>
        </is>
      </c>
      <c r="E3254" t="inlineStr">
        <is>
          <t>United States</t>
        </is>
      </c>
      <c r="H3254" t="n">
        <v>2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>
        <f>IFERROR(INDEX('Company Hitlist'!$AA:$AA,MATCH(D3254,'Company Hitlist'!$A:$A,0)),)</f>
        <v/>
      </c>
      <c r="O3254">
        <f>IFERROR(INDEX('Company Hitlist'!$N:$N,MATCH(D3254,'Company Hitlist'!$A:$A,0)),)</f>
        <v/>
      </c>
      <c r="Q3254" t="inlineStr">
        <is>
          <t>todo</t>
        </is>
      </c>
    </row>
    <row r="3255">
      <c r="A3255" t="inlineStr">
        <is>
          <t>Eileen Dabrowski</t>
        </is>
      </c>
      <c r="B3255" t="inlineStr">
        <is>
          <t>Sponsor</t>
        </is>
      </c>
      <c r="C3255" t="inlineStr">
        <is>
          <t>Programs &amp; Member Director</t>
        </is>
      </c>
      <c r="D3255" t="inlineStr">
        <is>
          <t>Transportation Marketing &amp; Sales Association</t>
        </is>
      </c>
      <c r="E3255" t="inlineStr">
        <is>
          <t>United States</t>
        </is>
      </c>
      <c r="H3255" t="n">
        <v>2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>
        <f>IFERROR(INDEX('Company Hitlist'!$AA:$AA,MATCH(D3255,'Company Hitlist'!$A:$A,0)),)</f>
        <v/>
      </c>
      <c r="O3255">
        <f>IFERROR(INDEX('Company Hitlist'!$N:$N,MATCH(D3255,'Company Hitlist'!$A:$A,0)),)</f>
        <v/>
      </c>
      <c r="Q3255" t="inlineStr">
        <is>
          <t>todo</t>
        </is>
      </c>
    </row>
    <row r="3256">
      <c r="A3256" t="inlineStr">
        <is>
          <t>Jennifer Karpus-Romain</t>
        </is>
      </c>
      <c r="B3256" t="inlineStr">
        <is>
          <t>Sponsor</t>
        </is>
      </c>
      <c r="C3256" t="inlineStr">
        <is>
          <t>Executive Director</t>
        </is>
      </c>
      <c r="D3256" t="inlineStr">
        <is>
          <t>Transportation Marketing and Sales Association (TMSA)</t>
        </is>
      </c>
      <c r="E3256" t="inlineStr">
        <is>
          <t>United States</t>
        </is>
      </c>
      <c r="H3256" t="n">
        <v>2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>
        <f>IFERROR(INDEX('Company Hitlist'!$AA:$AA,MATCH(D3256,'Company Hitlist'!$A:$A,0)),)</f>
        <v/>
      </c>
      <c r="O3256">
        <f>IFERROR(INDEX('Company Hitlist'!$N:$N,MATCH(D3256,'Company Hitlist'!$A:$A,0)),)</f>
        <v/>
      </c>
      <c r="Q3256" t="inlineStr">
        <is>
          <t>todo</t>
        </is>
      </c>
    </row>
    <row r="3257">
      <c r="A3257" t="inlineStr">
        <is>
          <t>Rich Fernandes</t>
        </is>
      </c>
      <c r="B3257" t="inlineStr">
        <is>
          <t>Sponsor</t>
        </is>
      </c>
      <c r="C3257" t="inlineStr">
        <is>
          <t>Senior Product Manager</t>
        </is>
      </c>
      <c r="D3257" t="inlineStr">
        <is>
          <t>Trimble</t>
        </is>
      </c>
      <c r="E3257" t="inlineStr">
        <is>
          <t>United States</t>
        </is>
      </c>
      <c r="H3257" t="n">
        <v>2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>
        <f>IFERROR(INDEX('Company Hitlist'!$AA:$AA,MATCH(D3257,'Company Hitlist'!$A:$A,0)),)</f>
        <v/>
      </c>
      <c r="O3257">
        <f>IFERROR(INDEX('Company Hitlist'!$N:$N,MATCH(D3257,'Company Hitlist'!$A:$A,0)),)</f>
        <v/>
      </c>
      <c r="Q3257" t="inlineStr">
        <is>
          <t>todo</t>
        </is>
      </c>
    </row>
    <row r="3258">
      <c r="A3258" t="inlineStr">
        <is>
          <t>Sam Lusty</t>
        </is>
      </c>
      <c r="B3258" t="inlineStr">
        <is>
          <t>Sponsor</t>
        </is>
      </c>
      <c r="C3258" t="inlineStr">
        <is>
          <t>Program Manager</t>
        </is>
      </c>
      <c r="D3258" t="inlineStr">
        <is>
          <t>Trimble</t>
        </is>
      </c>
      <c r="E3258" t="inlineStr">
        <is>
          <t>United States</t>
        </is>
      </c>
      <c r="H3258" t="n">
        <v>2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>
        <f>IFERROR(INDEX('Company Hitlist'!$AA:$AA,MATCH(D3258,'Company Hitlist'!$A:$A,0)),)</f>
        <v/>
      </c>
      <c r="O3258">
        <f>IFERROR(INDEX('Company Hitlist'!$N:$N,MATCH(D3258,'Company Hitlist'!$A:$A,0)),)</f>
        <v/>
      </c>
      <c r="Q3258" t="inlineStr">
        <is>
          <t>todo</t>
        </is>
      </c>
    </row>
    <row r="3259">
      <c r="A3259" t="inlineStr">
        <is>
          <t>Colleen Kurtz</t>
        </is>
      </c>
      <c r="B3259" t="inlineStr">
        <is>
          <t>Sponsor</t>
        </is>
      </c>
      <c r="C3259" t="inlineStr">
        <is>
          <t>Sr. Event Market Manager</t>
        </is>
      </c>
      <c r="D3259" t="inlineStr">
        <is>
          <t>Truckstop.com</t>
        </is>
      </c>
      <c r="H3259" t="n">
        <v>2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>
        <f>IFERROR(INDEX('Company Hitlist'!$AA:$AA,MATCH(D3259,'Company Hitlist'!$A:$A,0)),)</f>
        <v/>
      </c>
      <c r="O3259">
        <f>IFERROR(INDEX('Company Hitlist'!$N:$N,MATCH(D3259,'Company Hitlist'!$A:$A,0)),)</f>
        <v/>
      </c>
      <c r="Q3259" t="inlineStr">
        <is>
          <t>todo</t>
        </is>
      </c>
    </row>
    <row r="3260">
      <c r="A3260" t="inlineStr">
        <is>
          <t>Dan Ahearn</t>
        </is>
      </c>
      <c r="B3260" t="inlineStr">
        <is>
          <t>Sponsor</t>
        </is>
      </c>
      <c r="C3260" t="inlineStr">
        <is>
          <t>Client Advisor</t>
        </is>
      </c>
      <c r="D3260" t="inlineStr">
        <is>
          <t>Tryon Solutions</t>
        </is>
      </c>
      <c r="E3260" t="inlineStr">
        <is>
          <t>United States</t>
        </is>
      </c>
      <c r="H3260" t="n">
        <v>2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>
        <f>IFERROR(INDEX('Company Hitlist'!$AA:$AA,MATCH(D3260,'Company Hitlist'!$A:$A,0)),)</f>
        <v/>
      </c>
      <c r="O3260">
        <f>IFERROR(INDEX('Company Hitlist'!$N:$N,MATCH(D3260,'Company Hitlist'!$A:$A,0)),)</f>
        <v/>
      </c>
      <c r="Q3260" t="inlineStr">
        <is>
          <t>todo</t>
        </is>
      </c>
    </row>
    <row r="3261">
      <c r="A3261" t="inlineStr">
        <is>
          <t>Greg Malinowski</t>
        </is>
      </c>
      <c r="B3261" t="inlineStr">
        <is>
          <t>Sponsor</t>
        </is>
      </c>
      <c r="C3261" t="inlineStr">
        <is>
          <t>Client Executive</t>
        </is>
      </c>
      <c r="D3261" t="inlineStr">
        <is>
          <t>Tryon Solutions</t>
        </is>
      </c>
      <c r="E3261" t="inlineStr">
        <is>
          <t>United States</t>
        </is>
      </c>
      <c r="H3261" t="n">
        <v>2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>
        <f>IFERROR(INDEX('Company Hitlist'!$AA:$AA,MATCH(D3261,'Company Hitlist'!$A:$A,0)),)</f>
        <v/>
      </c>
      <c r="O3261">
        <f>IFERROR(INDEX('Company Hitlist'!$N:$N,MATCH(D3261,'Company Hitlist'!$A:$A,0)),)</f>
        <v/>
      </c>
      <c r="Q3261" t="inlineStr">
        <is>
          <t>todo</t>
        </is>
      </c>
    </row>
    <row r="3262">
      <c r="A3262" t="inlineStr">
        <is>
          <t>Sumita Gangwani</t>
        </is>
      </c>
      <c r="B3262" t="inlineStr">
        <is>
          <t>Sponsor</t>
        </is>
      </c>
      <c r="C3262" t="inlineStr">
        <is>
          <t>3PL Relationship Manager</t>
        </is>
      </c>
      <c r="D3262" t="inlineStr">
        <is>
          <t>Two Boxes</t>
        </is>
      </c>
      <c r="H3262" t="n">
        <v>2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>
        <f>IFERROR(INDEX('Company Hitlist'!$AA:$AA,MATCH(D3262,'Company Hitlist'!$A:$A,0)),)</f>
        <v/>
      </c>
      <c r="O3262">
        <f>IFERROR(INDEX('Company Hitlist'!$N:$N,MATCH(D3262,'Company Hitlist'!$A:$A,0)),)</f>
        <v/>
      </c>
      <c r="Q3262" t="inlineStr">
        <is>
          <t>todo</t>
        </is>
      </c>
    </row>
    <row r="3263">
      <c r="A3263" t="inlineStr">
        <is>
          <t>Ruth Epping</t>
        </is>
      </c>
      <c r="B3263" t="inlineStr">
        <is>
          <t>Sponsor</t>
        </is>
      </c>
      <c r="C3263" t="inlineStr">
        <is>
          <t>Project Manager</t>
        </is>
      </c>
      <c r="D3263" t="inlineStr">
        <is>
          <t>U.S. Bank Freight Payment</t>
        </is>
      </c>
      <c r="H3263" t="n">
        <v>2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>
        <f>IFERROR(INDEX('Company Hitlist'!$AA:$AA,MATCH(D3263,'Company Hitlist'!$A:$A,0)),)</f>
        <v/>
      </c>
      <c r="O3263">
        <f>IFERROR(INDEX('Company Hitlist'!$N:$N,MATCH(D3263,'Company Hitlist'!$A:$A,0)),)</f>
        <v/>
      </c>
      <c r="Q3263" t="inlineStr">
        <is>
          <t>todo</t>
        </is>
      </c>
    </row>
    <row r="3264">
      <c r="A3264" t="inlineStr">
        <is>
          <t>Paulius Rakauskas</t>
        </is>
      </c>
      <c r="B3264" t="inlineStr">
        <is>
          <t>Sponsor</t>
        </is>
      </c>
      <c r="C3264" t="inlineStr">
        <is>
          <t>Co-founder</t>
        </is>
      </c>
      <c r="D3264" t="inlineStr">
        <is>
          <t>UAB Matomai</t>
        </is>
      </c>
      <c r="H3264" t="n">
        <v>2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>
        <f>IFERROR(INDEX('Company Hitlist'!$AA:$AA,MATCH(D3264,'Company Hitlist'!$A:$A,0)),)</f>
        <v/>
      </c>
      <c r="O3264">
        <f>IFERROR(INDEX('Company Hitlist'!$N:$N,MATCH(D3264,'Company Hitlist'!$A:$A,0)),)</f>
        <v/>
      </c>
      <c r="Q3264" t="inlineStr">
        <is>
          <t>todo</t>
        </is>
      </c>
    </row>
    <row r="3265">
      <c r="A3265" t="inlineStr">
        <is>
          <t>Heidi Harman</t>
        </is>
      </c>
      <c r="B3265" t="inlineStr">
        <is>
          <t>Sponsor</t>
        </is>
      </c>
      <c r="C3265" t="inlineStr">
        <is>
          <t>Sr. Principal Industry, Retail &amp; Hospitality</t>
        </is>
      </c>
      <c r="D3265" t="inlineStr">
        <is>
          <t>UKG</t>
        </is>
      </c>
      <c r="E3265" t="inlineStr">
        <is>
          <t>United States</t>
        </is>
      </c>
      <c r="F3265" t="inlineStr">
        <is>
          <t>Yes</t>
        </is>
      </c>
      <c r="G3265" t="inlineStr">
        <is>
          <t>$4.7B (2025 est.)</t>
        </is>
      </c>
      <c r="H3265" t="n">
        <v>2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>
        <f>IFERROR(INDEX('Company Hitlist'!$AA:$AA,MATCH(D3265,'Company Hitlist'!$A:$A,0)),)</f>
        <v/>
      </c>
      <c r="O3265">
        <f>IFERROR(INDEX('Company Hitlist'!$N:$N,MATCH(D3265,'Company Hitlist'!$A:$A,0)),)</f>
        <v/>
      </c>
      <c r="Q3265" t="inlineStr">
        <is>
          <t>todo</t>
        </is>
      </c>
    </row>
    <row r="3266">
      <c r="A3266" t="inlineStr">
        <is>
          <t>Julia Adey</t>
        </is>
      </c>
      <c r="B3266" t="inlineStr">
        <is>
          <t>Sponsor</t>
        </is>
      </c>
      <c r="C3266" t="inlineStr">
        <is>
          <t>UX Designer &amp; Researcher</t>
        </is>
      </c>
      <c r="D3266" t="inlineStr">
        <is>
          <t>UPWELL</t>
        </is>
      </c>
      <c r="E3266" t="inlineStr">
        <is>
          <t>United States</t>
        </is>
      </c>
      <c r="F3266" t="inlineStr">
        <is>
          <t>Yes</t>
        </is>
      </c>
      <c r="H3266" t="n">
        <v>2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>
        <f>IFERROR(INDEX('Company Hitlist'!$AA:$AA,MATCH(D3266,'Company Hitlist'!$A:$A,0)),)</f>
        <v/>
      </c>
      <c r="O3266">
        <f>IFERROR(INDEX('Company Hitlist'!$N:$N,MATCH(D3266,'Company Hitlist'!$A:$A,0)),)</f>
        <v/>
      </c>
      <c r="Q3266" t="inlineStr">
        <is>
          <t>todo</t>
        </is>
      </c>
    </row>
    <row r="3267">
      <c r="A3267" t="inlineStr">
        <is>
          <t>Michael Pair</t>
        </is>
      </c>
      <c r="B3267" t="inlineStr">
        <is>
          <t>Sponsor</t>
        </is>
      </c>
      <c r="C3267" t="inlineStr">
        <is>
          <t>Product Manager</t>
        </is>
      </c>
      <c r="D3267" t="inlineStr">
        <is>
          <t>UPWELL</t>
        </is>
      </c>
      <c r="E3267" t="inlineStr">
        <is>
          <t>United States</t>
        </is>
      </c>
      <c r="H3267" t="n">
        <v>2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>
        <f>IFERROR(INDEX('Company Hitlist'!$AA:$AA,MATCH(D3267,'Company Hitlist'!$A:$A,0)),)</f>
        <v/>
      </c>
      <c r="O3267">
        <f>IFERROR(INDEX('Company Hitlist'!$N:$N,MATCH(D3267,'Company Hitlist'!$A:$A,0)),)</f>
        <v/>
      </c>
      <c r="Q3267" t="inlineStr">
        <is>
          <t>todo</t>
        </is>
      </c>
    </row>
    <row r="3268">
      <c r="A3268" t="inlineStr">
        <is>
          <t>Ganesh Saravanakumar</t>
        </is>
      </c>
      <c r="B3268" t="inlineStr">
        <is>
          <t>Sponsor</t>
        </is>
      </c>
      <c r="C3268" t="inlineStr">
        <is>
          <t>Co-Founder</t>
        </is>
      </c>
      <c r="D3268" t="inlineStr">
        <is>
          <t>Ultraship TMS</t>
        </is>
      </c>
      <c r="E3268" t="inlineStr">
        <is>
          <t>United States</t>
        </is>
      </c>
      <c r="F3268" t="inlineStr">
        <is>
          <t>Yes</t>
        </is>
      </c>
      <c r="H3268" t="n">
        <v>2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>
        <f>IFERROR(INDEX('Company Hitlist'!$AA:$AA,MATCH(D3268,'Company Hitlist'!$A:$A,0)),)</f>
        <v/>
      </c>
      <c r="O3268">
        <f>IFERROR(INDEX('Company Hitlist'!$N:$N,MATCH(D3268,'Company Hitlist'!$A:$A,0)),)</f>
        <v/>
      </c>
      <c r="Q3268" t="inlineStr">
        <is>
          <t>todo</t>
        </is>
      </c>
    </row>
    <row r="3269">
      <c r="A3269" t="inlineStr">
        <is>
          <t>Raviteja Geesala</t>
        </is>
      </c>
      <c r="B3269" t="inlineStr">
        <is>
          <t>Sponsor</t>
        </is>
      </c>
      <c r="C3269" t="inlineStr">
        <is>
          <t>Associate Director- Product and Technology</t>
        </is>
      </c>
      <c r="D3269" t="inlineStr">
        <is>
          <t>Unbox Robotics Inc</t>
        </is>
      </c>
      <c r="F3269" t="inlineStr">
        <is>
          <t>Yes</t>
        </is>
      </c>
      <c r="H3269" t="n">
        <v>2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>
        <f>IFERROR(INDEX('Company Hitlist'!$AA:$AA,MATCH(D3269,'Company Hitlist'!$A:$A,0)),)</f>
        <v/>
      </c>
      <c r="O3269">
        <f>IFERROR(INDEX('Company Hitlist'!$N:$N,MATCH(D3269,'Company Hitlist'!$A:$A,0)),)</f>
        <v/>
      </c>
      <c r="Q3269" t="inlineStr">
        <is>
          <t>todo</t>
        </is>
      </c>
    </row>
    <row r="3270">
      <c r="A3270" t="inlineStr">
        <is>
          <t>Connor Lee</t>
        </is>
      </c>
      <c r="B3270" t="inlineStr">
        <is>
          <t>Sponsor</t>
        </is>
      </c>
      <c r="C3270" t="inlineStr">
        <is>
          <t>Sr. Account Exec.</t>
        </is>
      </c>
      <c r="D3270" t="inlineStr">
        <is>
          <t>Upwell</t>
        </is>
      </c>
      <c r="E3270" t="inlineStr">
        <is>
          <t>United States</t>
        </is>
      </c>
      <c r="F3270" t="inlineStr">
        <is>
          <t>Yes</t>
        </is>
      </c>
      <c r="H3270" t="n">
        <v>2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>
        <f>IFERROR(INDEX('Company Hitlist'!$AA:$AA,MATCH(D3270,'Company Hitlist'!$A:$A,0)),)</f>
        <v/>
      </c>
      <c r="O3270">
        <f>IFERROR(INDEX('Company Hitlist'!$N:$N,MATCH(D3270,'Company Hitlist'!$A:$A,0)),)</f>
        <v/>
      </c>
      <c r="Q3270" t="inlineStr">
        <is>
          <t>todo</t>
        </is>
      </c>
    </row>
    <row r="3271">
      <c r="A3271" t="inlineStr">
        <is>
          <t>Brooks Pauly</t>
        </is>
      </c>
      <c r="B3271" t="inlineStr">
        <is>
          <t>Sponsor</t>
        </is>
      </c>
      <c r="C3271" t="inlineStr">
        <is>
          <t>Solutions Design Manager</t>
        </is>
      </c>
      <c r="D3271" t="inlineStr">
        <is>
          <t>Vecna Robotics</t>
        </is>
      </c>
      <c r="E3271" t="inlineStr">
        <is>
          <t>United States</t>
        </is>
      </c>
      <c r="H3271" t="n">
        <v>2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>
        <f>IFERROR(INDEX('Company Hitlist'!$AA:$AA,MATCH(D3271,'Company Hitlist'!$A:$A,0)),)</f>
        <v/>
      </c>
      <c r="O3271">
        <f>IFERROR(INDEX('Company Hitlist'!$N:$N,MATCH(D3271,'Company Hitlist'!$A:$A,0)),)</f>
        <v/>
      </c>
      <c r="Q3271" t="inlineStr">
        <is>
          <t>todo</t>
        </is>
      </c>
    </row>
    <row r="3272">
      <c r="A3272" t="inlineStr">
        <is>
          <t>Scott Shaffer</t>
        </is>
      </c>
      <c r="B3272" t="inlineStr">
        <is>
          <t>Sponsor</t>
        </is>
      </c>
      <c r="C3272" t="inlineStr">
        <is>
          <t>Strategic Account Manager</t>
        </is>
      </c>
      <c r="D3272" t="inlineStr">
        <is>
          <t>Vecna Robotics</t>
        </is>
      </c>
      <c r="E3272" t="inlineStr">
        <is>
          <t>United States</t>
        </is>
      </c>
      <c r="H3272" t="n">
        <v>2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>
        <f>IFERROR(INDEX('Company Hitlist'!$AA:$AA,MATCH(D3272,'Company Hitlist'!$A:$A,0)),)</f>
        <v/>
      </c>
      <c r="O3272">
        <f>IFERROR(INDEX('Company Hitlist'!$N:$N,MATCH(D3272,'Company Hitlist'!$A:$A,0)),)</f>
        <v/>
      </c>
      <c r="Q3272" t="inlineStr">
        <is>
          <t>todo</t>
        </is>
      </c>
    </row>
    <row r="3273">
      <c r="A3273" t="inlineStr">
        <is>
          <t>Elizabeth Collett</t>
        </is>
      </c>
      <c r="B3273" t="inlineStr">
        <is>
          <t>Sponsor</t>
        </is>
      </c>
      <c r="C3273" t="inlineStr">
        <is>
          <t>Director of Strategic &amp; Channel Partnerships</t>
        </is>
      </c>
      <c r="D3273" t="inlineStr">
        <is>
          <t>Veho</t>
        </is>
      </c>
      <c r="F3273" t="inlineStr">
        <is>
          <t>Yes</t>
        </is>
      </c>
      <c r="G3273" t="inlineStr">
        <is>
          <t>$21M (2025 est.) (ICP match)</t>
        </is>
      </c>
      <c r="H3273" t="n">
        <v>2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>
        <f>IFERROR(INDEX('Company Hitlist'!$AA:$AA,MATCH(D3273,'Company Hitlist'!$A:$A,0)),)</f>
        <v/>
      </c>
      <c r="O3273">
        <f>IFERROR(INDEX('Company Hitlist'!$N:$N,MATCH(D3273,'Company Hitlist'!$A:$A,0)),)</f>
        <v/>
      </c>
      <c r="Q3273" t="inlineStr">
        <is>
          <t>todo</t>
        </is>
      </c>
    </row>
    <row r="3274">
      <c r="A3274" t="inlineStr">
        <is>
          <t>Michael Harmer</t>
        </is>
      </c>
      <c r="B3274" t="inlineStr">
        <is>
          <t>Sponsor</t>
        </is>
      </c>
      <c r="C3274" t="inlineStr">
        <is>
          <t>Director of Corporate Partnerships</t>
        </is>
      </c>
      <c r="D3274" t="inlineStr">
        <is>
          <t>Vendidit</t>
        </is>
      </c>
      <c r="F3274" t="inlineStr">
        <is>
          <t>Yes</t>
        </is>
      </c>
      <c r="H3274" t="n">
        <v>2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>
        <f>IFERROR(INDEX('Company Hitlist'!$AA:$AA,MATCH(D3274,'Company Hitlist'!$A:$A,0)),)</f>
        <v/>
      </c>
      <c r="O3274">
        <f>IFERROR(INDEX('Company Hitlist'!$N:$N,MATCH(D3274,'Company Hitlist'!$A:$A,0)),)</f>
        <v/>
      </c>
      <c r="Q3274" t="inlineStr">
        <is>
          <t>todo</t>
        </is>
      </c>
    </row>
    <row r="3275">
      <c r="A3275" t="inlineStr">
        <is>
          <t>Benjamin Aguillon</t>
        </is>
      </c>
      <c r="B3275" t="inlineStr">
        <is>
          <t>Sponsor</t>
        </is>
      </c>
      <c r="C3275" t="inlineStr">
        <is>
          <t>Co-Founder</t>
        </is>
      </c>
      <c r="D3275" t="inlineStr">
        <is>
          <t>Ventagium Data Consulting</t>
        </is>
      </c>
      <c r="E3275" t="inlineStr">
        <is>
          <t>United States</t>
        </is>
      </c>
      <c r="H3275" t="n">
        <v>2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>
        <f>IFERROR(INDEX('Company Hitlist'!$AA:$AA,MATCH(D3275,'Company Hitlist'!$A:$A,0)),)</f>
        <v/>
      </c>
      <c r="O3275">
        <f>IFERROR(INDEX('Company Hitlist'!$N:$N,MATCH(D3275,'Company Hitlist'!$A:$A,0)),)</f>
        <v/>
      </c>
      <c r="Q3275" t="inlineStr">
        <is>
          <t>todo</t>
        </is>
      </c>
    </row>
    <row r="3276">
      <c r="A3276" t="inlineStr">
        <is>
          <t>Edgar Cetina</t>
        </is>
      </c>
      <c r="B3276" t="inlineStr">
        <is>
          <t>Sponsor</t>
        </is>
      </c>
      <c r="C3276" t="inlineStr">
        <is>
          <t>CRO</t>
        </is>
      </c>
      <c r="D3276" t="inlineStr">
        <is>
          <t>Ventagium Data Consulting</t>
        </is>
      </c>
      <c r="H3276" t="n">
        <v>2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>
        <f>IFERROR(INDEX('Company Hitlist'!$AA:$AA,MATCH(D3276,'Company Hitlist'!$A:$A,0)),)</f>
        <v/>
      </c>
      <c r="O3276">
        <f>IFERROR(INDEX('Company Hitlist'!$N:$N,MATCH(D3276,'Company Hitlist'!$A:$A,0)),)</f>
        <v/>
      </c>
      <c r="Q3276" t="inlineStr">
        <is>
          <t>todo</t>
        </is>
      </c>
    </row>
    <row r="3277">
      <c r="A3277" t="inlineStr">
        <is>
          <t>Lenzy Rimensberger</t>
        </is>
      </c>
      <c r="B3277" t="inlineStr">
        <is>
          <t>Sponsor</t>
        </is>
      </c>
      <c r="C3277" t="inlineStr">
        <is>
          <t>Client Executive</t>
        </is>
      </c>
      <c r="D3277" t="inlineStr">
        <is>
          <t>Verity</t>
        </is>
      </c>
      <c r="E3277" t="inlineStr">
        <is>
          <t>Switzerland</t>
        </is>
      </c>
      <c r="H3277" t="n">
        <v>2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>
        <f>IFERROR(INDEX('Company Hitlist'!$AA:$AA,MATCH(D3277,'Company Hitlist'!$A:$A,0)),)</f>
        <v/>
      </c>
      <c r="O3277">
        <f>IFERROR(INDEX('Company Hitlist'!$N:$N,MATCH(D3277,'Company Hitlist'!$A:$A,0)),)</f>
        <v/>
      </c>
      <c r="Q3277" t="inlineStr">
        <is>
          <t>todo</t>
        </is>
      </c>
    </row>
    <row r="3278">
      <c r="A3278" t="inlineStr">
        <is>
          <t>Gianluca Tumiatti</t>
        </is>
      </c>
      <c r="B3278" t="inlineStr">
        <is>
          <t>Sponsor</t>
        </is>
      </c>
      <c r="C3278" t="inlineStr">
        <is>
          <t>Client Executive</t>
        </is>
      </c>
      <c r="D3278" t="inlineStr">
        <is>
          <t>Verity</t>
        </is>
      </c>
      <c r="H3278" t="n">
        <v>2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>
        <f>IFERROR(INDEX('Company Hitlist'!$AA:$AA,MATCH(D3278,'Company Hitlist'!$A:$A,0)),)</f>
        <v/>
      </c>
      <c r="O3278">
        <f>IFERROR(INDEX('Company Hitlist'!$N:$N,MATCH(D3278,'Company Hitlist'!$A:$A,0)),)</f>
        <v/>
      </c>
      <c r="Q3278" t="inlineStr">
        <is>
          <t>todo</t>
        </is>
      </c>
    </row>
    <row r="3279">
      <c r="A3279" t="inlineStr">
        <is>
          <t>Jesse Buckingham</t>
        </is>
      </c>
      <c r="B3279" t="inlineStr">
        <is>
          <t>Sponsor</t>
        </is>
      </c>
      <c r="C3279" t="inlineStr">
        <is>
          <t>Founder</t>
        </is>
      </c>
      <c r="D3279" t="inlineStr">
        <is>
          <t>Vooma</t>
        </is>
      </c>
      <c r="E3279" t="inlineStr">
        <is>
          <t>United States</t>
        </is>
      </c>
      <c r="F3279" t="inlineStr">
        <is>
          <t>Yes</t>
        </is>
      </c>
      <c r="H3279" t="n">
        <v>2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>
        <f>IFERROR(INDEX('Company Hitlist'!$AA:$AA,MATCH(D3279,'Company Hitlist'!$A:$A,0)),)</f>
        <v/>
      </c>
      <c r="O3279">
        <f>IFERROR(INDEX('Company Hitlist'!$N:$N,MATCH(D3279,'Company Hitlist'!$A:$A,0)),)</f>
        <v/>
      </c>
      <c r="Q3279" t="inlineStr">
        <is>
          <t>todo</t>
        </is>
      </c>
    </row>
    <row r="3280">
      <c r="A3280" t="inlineStr">
        <is>
          <t>Steve Howard</t>
        </is>
      </c>
      <c r="B3280" t="inlineStr">
        <is>
          <t>Sponsor</t>
        </is>
      </c>
      <c r="C3280" t="inlineStr">
        <is>
          <t>Director eCommerce Solutions</t>
        </is>
      </c>
      <c r="D3280" t="inlineStr">
        <is>
          <t>WCA World</t>
        </is>
      </c>
      <c r="E3280" t="inlineStr">
        <is>
          <t>United States</t>
        </is>
      </c>
      <c r="F3280" t="inlineStr">
        <is>
          <t>Yes</t>
        </is>
      </c>
      <c r="H3280" t="n">
        <v>2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>
        <f>IFERROR(INDEX('Company Hitlist'!$AA:$AA,MATCH(D3280,'Company Hitlist'!$A:$A,0)),)</f>
        <v/>
      </c>
      <c r="O3280">
        <f>IFERROR(INDEX('Company Hitlist'!$N:$N,MATCH(D3280,'Company Hitlist'!$A:$A,0)),)</f>
        <v/>
      </c>
      <c r="Q3280" t="inlineStr">
        <is>
          <t>todo</t>
        </is>
      </c>
    </row>
    <row r="3281">
      <c r="A3281" t="inlineStr">
        <is>
          <t>David Yokeum</t>
        </is>
      </c>
      <c r="B3281" t="inlineStr">
        <is>
          <t>Sponsor</t>
        </is>
      </c>
      <c r="C3281" t="inlineStr">
        <is>
          <t>Chairman</t>
        </is>
      </c>
      <c r="D3281" t="inlineStr">
        <is>
          <t>WCAworld</t>
        </is>
      </c>
      <c r="E3281" t="inlineStr">
        <is>
          <t>United States</t>
        </is>
      </c>
      <c r="F3281" t="inlineStr">
        <is>
          <t>Yes</t>
        </is>
      </c>
      <c r="H3281" t="n">
        <v>2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>
        <f>IFERROR(INDEX('Company Hitlist'!$AA:$AA,MATCH(D3281,'Company Hitlist'!$A:$A,0)),)</f>
        <v/>
      </c>
      <c r="O3281">
        <f>IFERROR(INDEX('Company Hitlist'!$N:$N,MATCH(D3281,'Company Hitlist'!$A:$A,0)),)</f>
        <v/>
      </c>
      <c r="Q3281" t="inlineStr">
        <is>
          <t>todo</t>
        </is>
      </c>
    </row>
    <row r="3282">
      <c r="A3282" t="inlineStr">
        <is>
          <t>Harald Oechsner</t>
        </is>
      </c>
      <c r="B3282" t="inlineStr">
        <is>
          <t>Sponsor</t>
        </is>
      </c>
      <c r="C3282" t="inlineStr">
        <is>
          <t>Director</t>
        </is>
      </c>
      <c r="D3282" t="inlineStr">
        <is>
          <t>WCAworld</t>
        </is>
      </c>
      <c r="E3282" t="inlineStr">
        <is>
          <t>United States</t>
        </is>
      </c>
      <c r="F3282" t="inlineStr">
        <is>
          <t>Yes</t>
        </is>
      </c>
      <c r="H3282" t="n">
        <v>2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>
        <f>IFERROR(INDEX('Company Hitlist'!$AA:$AA,MATCH(D3282,'Company Hitlist'!$A:$A,0)),)</f>
        <v/>
      </c>
      <c r="O3282">
        <f>IFERROR(INDEX('Company Hitlist'!$N:$N,MATCH(D3282,'Company Hitlist'!$A:$A,0)),)</f>
        <v/>
      </c>
      <c r="Q3282" t="inlineStr">
        <is>
          <t>todo</t>
        </is>
      </c>
    </row>
    <row r="3283">
      <c r="A3283" t="inlineStr">
        <is>
          <t>Matthew West</t>
        </is>
      </c>
      <c r="B3283" t="inlineStr">
        <is>
          <t>Sponsor</t>
        </is>
      </c>
      <c r="C3283" t="inlineStr">
        <is>
          <t>Regional Director</t>
        </is>
      </c>
      <c r="D3283" t="inlineStr">
        <is>
          <t>WCAworld</t>
        </is>
      </c>
      <c r="E3283" t="inlineStr">
        <is>
          <t>United States</t>
        </is>
      </c>
      <c r="F3283" t="inlineStr">
        <is>
          <t>Yes</t>
        </is>
      </c>
      <c r="H3283" t="n">
        <v>2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>
        <f>IFERROR(INDEX('Company Hitlist'!$AA:$AA,MATCH(D3283,'Company Hitlist'!$A:$A,0)),)</f>
        <v/>
      </c>
      <c r="O3283">
        <f>IFERROR(INDEX('Company Hitlist'!$N:$N,MATCH(D3283,'Company Hitlist'!$A:$A,0)),)</f>
        <v/>
      </c>
      <c r="Q3283" t="inlineStr">
        <is>
          <t>todo</t>
        </is>
      </c>
    </row>
    <row r="3284">
      <c r="A3284" t="inlineStr">
        <is>
          <t>Joel Gallagos</t>
        </is>
      </c>
      <c r="B3284" t="inlineStr">
        <is>
          <t>Sponsor</t>
        </is>
      </c>
      <c r="C3284" t="inlineStr">
        <is>
          <t>Director of Partnerships</t>
        </is>
      </c>
      <c r="D3284" t="inlineStr">
        <is>
          <t>WSI | KASE</t>
        </is>
      </c>
      <c r="F3284" t="inlineStr">
        <is>
          <t>Yes</t>
        </is>
      </c>
      <c r="H3284" t="n">
        <v>2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>
        <f>IFERROR(INDEX('Company Hitlist'!$AA:$AA,MATCH(D3284,'Company Hitlist'!$A:$A,0)),)</f>
        <v/>
      </c>
      <c r="O3284">
        <f>IFERROR(INDEX('Company Hitlist'!$N:$N,MATCH(D3284,'Company Hitlist'!$A:$A,0)),)</f>
        <v/>
      </c>
      <c r="Q3284" t="inlineStr">
        <is>
          <t>todo</t>
        </is>
      </c>
    </row>
    <row r="3285">
      <c r="A3285" t="inlineStr">
        <is>
          <t>Carrie Hoppenjans</t>
        </is>
      </c>
      <c r="B3285" t="inlineStr">
        <is>
          <t>Sponsor</t>
        </is>
      </c>
      <c r="C3285" t="inlineStr">
        <is>
          <t>Director, Strategic Engagement &amp; Events</t>
        </is>
      </c>
      <c r="D3285" t="inlineStr">
        <is>
          <t>Wabash</t>
        </is>
      </c>
      <c r="E3285" t="inlineStr">
        <is>
          <t>United States</t>
        </is>
      </c>
      <c r="F3285" t="inlineStr">
        <is>
          <t>Yes</t>
        </is>
      </c>
      <c r="G3285" t="inlineStr">
        <is>
          <t>1946740000</t>
        </is>
      </c>
      <c r="H3285" t="n">
        <v>2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>
        <f>IFERROR(INDEX('Company Hitlist'!$AA:$AA,MATCH(D3285,'Company Hitlist'!$A:$A,0)),)</f>
        <v/>
      </c>
      <c r="O3285">
        <f>IFERROR(INDEX('Company Hitlist'!$N:$N,MATCH(D3285,'Company Hitlist'!$A:$A,0)),)</f>
        <v/>
      </c>
      <c r="Q3285" t="inlineStr">
        <is>
          <t>todo</t>
        </is>
      </c>
    </row>
    <row r="3286">
      <c r="A3286" t="inlineStr">
        <is>
          <t>James Song</t>
        </is>
      </c>
      <c r="B3286" t="inlineStr">
        <is>
          <t>Sponsor</t>
        </is>
      </c>
      <c r="C3286" t="inlineStr">
        <is>
          <t>Director, Product Dev Eng</t>
        </is>
      </c>
      <c r="D3286" t="inlineStr">
        <is>
          <t>Wabash</t>
        </is>
      </c>
      <c r="E3286" t="inlineStr">
        <is>
          <t>United States</t>
        </is>
      </c>
      <c r="F3286" t="inlineStr">
        <is>
          <t>Yes</t>
        </is>
      </c>
      <c r="G3286" t="inlineStr">
        <is>
          <t>1946740000</t>
        </is>
      </c>
      <c r="H3286" t="n">
        <v>2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>
        <f>IFERROR(INDEX('Company Hitlist'!$AA:$AA,MATCH(D3286,'Company Hitlist'!$A:$A,0)),)</f>
        <v/>
      </c>
      <c r="O3286">
        <f>IFERROR(INDEX('Company Hitlist'!$N:$N,MATCH(D3286,'Company Hitlist'!$A:$A,0)),)</f>
        <v/>
      </c>
      <c r="Q3286" t="inlineStr">
        <is>
          <t>todo</t>
        </is>
      </c>
    </row>
    <row r="3287">
      <c r="A3287" t="inlineStr">
        <is>
          <t>Kathryn Brown</t>
        </is>
      </c>
      <c r="B3287" t="inlineStr">
        <is>
          <t>Sponsor</t>
        </is>
      </c>
      <c r="C3287" t="inlineStr">
        <is>
          <t>Manager, Trade Shows</t>
        </is>
      </c>
      <c r="D3287" t="inlineStr">
        <is>
          <t>Wabash</t>
        </is>
      </c>
      <c r="E3287" t="inlineStr">
        <is>
          <t>United States</t>
        </is>
      </c>
      <c r="H3287" t="n">
        <v>2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>
        <f>IFERROR(INDEX('Company Hitlist'!$AA:$AA,MATCH(D3287,'Company Hitlist'!$A:$A,0)),)</f>
        <v/>
      </c>
      <c r="O3287">
        <f>IFERROR(INDEX('Company Hitlist'!$N:$N,MATCH(D3287,'Company Hitlist'!$A:$A,0)),)</f>
        <v/>
      </c>
      <c r="Q3287" t="inlineStr">
        <is>
          <t>todo</t>
        </is>
      </c>
    </row>
    <row r="3288">
      <c r="A3288" t="inlineStr">
        <is>
          <t>Matt Whitehouse</t>
        </is>
      </c>
      <c r="B3288" t="inlineStr">
        <is>
          <t>Sponsor</t>
        </is>
      </c>
      <c r="C3288" t="inlineStr">
        <is>
          <t>Predictive Maintenance</t>
        </is>
      </c>
      <c r="D3288" t="inlineStr">
        <is>
          <t>Waites Sensor Technologies</t>
        </is>
      </c>
      <c r="E3288" t="inlineStr">
        <is>
          <t>United States</t>
        </is>
      </c>
      <c r="F3288" t="inlineStr">
        <is>
          <t>Yes</t>
        </is>
      </c>
      <c r="H3288" t="n">
        <v>2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>
        <f>IFERROR(INDEX('Company Hitlist'!$AA:$AA,MATCH(D3288,'Company Hitlist'!$A:$A,0)),)</f>
        <v/>
      </c>
      <c r="O3288">
        <f>IFERROR(INDEX('Company Hitlist'!$N:$N,MATCH(D3288,'Company Hitlist'!$A:$A,0)),)</f>
        <v/>
      </c>
      <c r="Q3288" t="inlineStr">
        <is>
          <t>todo</t>
        </is>
      </c>
    </row>
    <row r="3289">
      <c r="A3289" t="inlineStr">
        <is>
          <t>Dylan Gilbert</t>
        </is>
      </c>
      <c r="B3289" t="inlineStr">
        <is>
          <t>Sponsor</t>
        </is>
      </c>
      <c r="C3289" t="inlineStr">
        <is>
          <t>Predictive Maintenance Expert</t>
        </is>
      </c>
      <c r="D3289" t="inlineStr">
        <is>
          <t>Waites Sensor Technologies</t>
        </is>
      </c>
      <c r="F3289" t="inlineStr">
        <is>
          <t>Yes</t>
        </is>
      </c>
      <c r="H3289" t="n">
        <v>2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>
        <f>IFERROR(INDEX('Company Hitlist'!$AA:$AA,MATCH(D3289,'Company Hitlist'!$A:$A,0)),)</f>
        <v/>
      </c>
      <c r="O3289">
        <f>IFERROR(INDEX('Company Hitlist'!$N:$N,MATCH(D3289,'Company Hitlist'!$A:$A,0)),)</f>
        <v/>
      </c>
      <c r="Q3289" t="inlineStr">
        <is>
          <t>todo</t>
        </is>
      </c>
    </row>
    <row r="3290">
      <c r="A3290" t="inlineStr">
        <is>
          <t>Jenny Hyeon</t>
        </is>
      </c>
      <c r="B3290" t="inlineStr">
        <is>
          <t>Sponsor</t>
        </is>
      </c>
      <c r="C3290" t="inlineStr">
        <is>
          <t>Product Manager</t>
        </is>
      </c>
      <c r="D3290" t="inlineStr">
        <is>
          <t>Willog</t>
        </is>
      </c>
      <c r="H3290" t="n">
        <v>2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>
        <f>IFERROR(INDEX('Company Hitlist'!$AA:$AA,MATCH(D3290,'Company Hitlist'!$A:$A,0)),)</f>
        <v/>
      </c>
      <c r="O3290">
        <f>IFERROR(INDEX('Company Hitlist'!$N:$N,MATCH(D3290,'Company Hitlist'!$A:$A,0)),)</f>
        <v/>
      </c>
      <c r="Q3290" t="inlineStr">
        <is>
          <t>todo</t>
        </is>
      </c>
    </row>
    <row r="3291">
      <c r="A3291" t="inlineStr">
        <is>
          <t>Kenneth Noh</t>
        </is>
      </c>
      <c r="B3291" t="inlineStr">
        <is>
          <t>Sponsor</t>
        </is>
      </c>
      <c r="C3291" t="inlineStr">
        <is>
          <t>Data Lead Dept. Manager</t>
        </is>
      </c>
      <c r="D3291" t="inlineStr">
        <is>
          <t>Willog</t>
        </is>
      </c>
      <c r="H3291" t="n">
        <v>2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>
        <f>IFERROR(INDEX('Company Hitlist'!$AA:$AA,MATCH(D3291,'Company Hitlist'!$A:$A,0)),)</f>
        <v/>
      </c>
      <c r="O3291">
        <f>IFERROR(INDEX('Company Hitlist'!$N:$N,MATCH(D3291,'Company Hitlist'!$A:$A,0)),)</f>
        <v/>
      </c>
      <c r="Q3291" t="inlineStr">
        <is>
          <t>todo</t>
        </is>
      </c>
    </row>
    <row r="3292">
      <c r="A3292" t="inlineStr">
        <is>
          <t>Yera Cho</t>
        </is>
      </c>
      <c r="B3292" t="inlineStr">
        <is>
          <t>Sponsor</t>
        </is>
      </c>
      <c r="C3292" t="inlineStr">
        <is>
          <t>U.S. Market expansion manager</t>
        </is>
      </c>
      <c r="D3292" t="inlineStr">
        <is>
          <t>Willog</t>
        </is>
      </c>
      <c r="H3292" t="n">
        <v>2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>
        <f>IFERROR(INDEX('Company Hitlist'!$AA:$AA,MATCH(D3292,'Company Hitlist'!$A:$A,0)),)</f>
        <v/>
      </c>
      <c r="O3292">
        <f>IFERROR(INDEX('Company Hitlist'!$N:$N,MATCH(D3292,'Company Hitlist'!$A:$A,0)),)</f>
        <v/>
      </c>
      <c r="Q3292" t="inlineStr">
        <is>
          <t>todo</t>
        </is>
      </c>
    </row>
    <row r="3293">
      <c r="A3293" t="inlineStr">
        <is>
          <t>Gil Manhao</t>
        </is>
      </c>
      <c r="B3293" t="inlineStr">
        <is>
          <t>Sponsor</t>
        </is>
      </c>
      <c r="C3293" t="inlineStr">
        <is>
          <t>Account Director</t>
        </is>
      </c>
      <c r="D3293" t="inlineStr">
        <is>
          <t>WorkWhile</t>
        </is>
      </c>
      <c r="E3293" t="inlineStr">
        <is>
          <t>United States</t>
        </is>
      </c>
      <c r="F3293" t="inlineStr">
        <is>
          <t>Yes</t>
        </is>
      </c>
      <c r="H3293" t="n">
        <v>2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>
        <f>IFERROR(INDEX('Company Hitlist'!$AA:$AA,MATCH(D3293,'Company Hitlist'!$A:$A,0)),)</f>
        <v/>
      </c>
      <c r="O3293">
        <f>IFERROR(INDEX('Company Hitlist'!$N:$N,MATCH(D3293,'Company Hitlist'!$A:$A,0)),)</f>
        <v/>
      </c>
      <c r="Q3293" t="inlineStr">
        <is>
          <t>todo</t>
        </is>
      </c>
    </row>
    <row r="3294">
      <c r="A3294" t="inlineStr">
        <is>
          <t>Miranda Palter</t>
        </is>
      </c>
      <c r="B3294" t="inlineStr">
        <is>
          <t>Sponsor</t>
        </is>
      </c>
      <c r="C3294" t="inlineStr">
        <is>
          <t>Partnerships</t>
        </is>
      </c>
      <c r="D3294" t="inlineStr">
        <is>
          <t>WorkWhile</t>
        </is>
      </c>
      <c r="E3294" t="inlineStr">
        <is>
          <t>United States</t>
        </is>
      </c>
      <c r="F3294" t="inlineStr">
        <is>
          <t>Yes</t>
        </is>
      </c>
      <c r="H3294" t="n">
        <v>2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>
        <f>IFERROR(INDEX('Company Hitlist'!$AA:$AA,MATCH(D3294,'Company Hitlist'!$A:$A,0)),)</f>
        <v/>
      </c>
      <c r="O3294">
        <f>IFERROR(INDEX('Company Hitlist'!$N:$N,MATCH(D3294,'Company Hitlist'!$A:$A,0)),)</f>
        <v/>
      </c>
      <c r="Q3294" t="inlineStr">
        <is>
          <t>todo</t>
        </is>
      </c>
    </row>
    <row r="3295">
      <c r="A3295" t="inlineStr">
        <is>
          <t>Mark Eppedio</t>
        </is>
      </c>
      <c r="B3295" t="inlineStr">
        <is>
          <t>Sponsor</t>
        </is>
      </c>
      <c r="C3295" t="inlineStr">
        <is>
          <t>Principal Product Manager</t>
        </is>
      </c>
      <c r="D3295" t="inlineStr">
        <is>
          <t>Zebra Technologies</t>
        </is>
      </c>
      <c r="H3295" t="n">
        <v>2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>
        <f>IFERROR(INDEX('Company Hitlist'!$AA:$AA,MATCH(D3295,'Company Hitlist'!$A:$A,0)),)</f>
        <v/>
      </c>
      <c r="O3295">
        <f>IFERROR(INDEX('Company Hitlist'!$N:$N,MATCH(D3295,'Company Hitlist'!$A:$A,0)),)</f>
        <v/>
      </c>
      <c r="Q3295" t="inlineStr">
        <is>
          <t>todo</t>
        </is>
      </c>
    </row>
    <row r="3296">
      <c r="A3296" t="inlineStr">
        <is>
          <t>James Reilly II</t>
        </is>
      </c>
      <c r="B3296" t="inlineStr">
        <is>
          <t>Sponsor</t>
        </is>
      </c>
      <c r="C3296" t="inlineStr">
        <is>
          <t>Director of Client Acquisition</t>
        </is>
      </c>
      <c r="D3296" t="inlineStr">
        <is>
          <t>Zero Down Supply Chain Solutions</t>
        </is>
      </c>
      <c r="E3296" t="inlineStr">
        <is>
          <t>United States</t>
        </is>
      </c>
      <c r="F3296" t="inlineStr">
        <is>
          <t>Yes</t>
        </is>
      </c>
      <c r="G3296" t="inlineStr">
        <is>
          <t>54436000</t>
        </is>
      </c>
      <c r="H3296" t="n">
        <v>2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>
        <f>IFERROR(INDEX('Company Hitlist'!$AA:$AA,MATCH(D3296,'Company Hitlist'!$A:$A,0)),)</f>
        <v/>
      </c>
      <c r="O3296">
        <f>IFERROR(INDEX('Company Hitlist'!$N:$N,MATCH(D3296,'Company Hitlist'!$A:$A,0)),)</f>
        <v/>
      </c>
      <c r="Q3296" t="inlineStr">
        <is>
          <t>todo</t>
        </is>
      </c>
    </row>
    <row r="3297">
      <c r="A3297" t="inlineStr">
        <is>
          <t>Victor Gelpi</t>
        </is>
      </c>
      <c r="B3297" t="inlineStr">
        <is>
          <t>Sponsor</t>
        </is>
      </c>
      <c r="C3297" t="inlineStr">
        <is>
          <t>Co-Founder</t>
        </is>
      </c>
      <c r="D3297" t="inlineStr">
        <is>
          <t>ZeroError</t>
        </is>
      </c>
      <c r="F3297" t="inlineStr">
        <is>
          <t>Yes</t>
        </is>
      </c>
      <c r="H3297" t="n">
        <v>2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>
        <f>IFERROR(INDEX('Company Hitlist'!$AA:$AA,MATCH(D3297,'Company Hitlist'!$A:$A,0)),)</f>
        <v/>
      </c>
      <c r="O3297">
        <f>IFERROR(INDEX('Company Hitlist'!$N:$N,MATCH(D3297,'Company Hitlist'!$A:$A,0)),)</f>
        <v/>
      </c>
      <c r="Q3297" t="inlineStr">
        <is>
          <t>todo</t>
        </is>
      </c>
    </row>
    <row r="3298">
      <c r="A3298" t="inlineStr">
        <is>
          <t>James Burke</t>
        </is>
      </c>
      <c r="B3298" t="inlineStr">
        <is>
          <t>Sponsor</t>
        </is>
      </c>
      <c r="C3298" t="inlineStr">
        <is>
          <t>Principal Product Manager</t>
        </is>
      </c>
      <c r="D3298" t="inlineStr">
        <is>
          <t>Zipments</t>
        </is>
      </c>
      <c r="E3298" t="inlineStr">
        <is>
          <t>Canada</t>
        </is>
      </c>
      <c r="H3298" t="n">
        <v>2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>
        <f>IFERROR(INDEX('Company Hitlist'!$AA:$AA,MATCH(D3298,'Company Hitlist'!$A:$A,0)),)</f>
        <v/>
      </c>
      <c r="O3298">
        <f>IFERROR(INDEX('Company Hitlist'!$N:$N,MATCH(D3298,'Company Hitlist'!$A:$A,0)),)</f>
        <v/>
      </c>
      <c r="Q3298" t="inlineStr">
        <is>
          <t>todo</t>
        </is>
      </c>
    </row>
    <row r="3299">
      <c r="A3299" t="inlineStr">
        <is>
          <t>Kellan Falconieri</t>
        </is>
      </c>
      <c r="B3299" t="inlineStr">
        <is>
          <t>Sponsor</t>
        </is>
      </c>
      <c r="C3299" t="inlineStr">
        <is>
          <t>Partnerships</t>
        </is>
      </c>
      <c r="D3299" t="inlineStr">
        <is>
          <t>Zonos</t>
        </is>
      </c>
      <c r="E3299" t="inlineStr">
        <is>
          <t>United States</t>
        </is>
      </c>
      <c r="H3299" t="n">
        <v>2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>
        <f>IFERROR(INDEX('Company Hitlist'!$AA:$AA,MATCH(D3299,'Company Hitlist'!$A:$A,0)),)</f>
        <v/>
      </c>
      <c r="O3299">
        <f>IFERROR(INDEX('Company Hitlist'!$N:$N,MATCH(D3299,'Company Hitlist'!$A:$A,0)),)</f>
        <v/>
      </c>
      <c r="Q3299" t="inlineStr">
        <is>
          <t>todo</t>
        </is>
      </c>
    </row>
    <row r="3300">
      <c r="A3300" t="inlineStr">
        <is>
          <t>Kermit McKinney</t>
        </is>
      </c>
      <c r="B3300" t="inlineStr">
        <is>
          <t>Sponsor</t>
        </is>
      </c>
      <c r="C3300" t="inlineStr">
        <is>
          <t>Partnerships</t>
        </is>
      </c>
      <c r="D3300" t="inlineStr">
        <is>
          <t>Zonos</t>
        </is>
      </c>
      <c r="E3300" t="inlineStr">
        <is>
          <t>United States</t>
        </is>
      </c>
      <c r="H3300" t="n">
        <v>2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>
        <f>IFERROR(INDEX('Company Hitlist'!$AA:$AA,MATCH(D3300,'Company Hitlist'!$A:$A,0)),)</f>
        <v/>
      </c>
      <c r="O3300">
        <f>IFERROR(INDEX('Company Hitlist'!$N:$N,MATCH(D3300,'Company Hitlist'!$A:$A,0)),)</f>
        <v/>
      </c>
      <c r="Q3300" t="inlineStr">
        <is>
          <t>todo</t>
        </is>
      </c>
    </row>
    <row r="3301">
      <c r="A3301" t="inlineStr">
        <is>
          <t>Taylor Smith</t>
        </is>
      </c>
      <c r="B3301" t="inlineStr">
        <is>
          <t>Sponsor</t>
        </is>
      </c>
      <c r="C3301" t="inlineStr">
        <is>
          <t>Partnerships</t>
        </is>
      </c>
      <c r="D3301" t="inlineStr">
        <is>
          <t>Zonos</t>
        </is>
      </c>
      <c r="H3301" t="n">
        <v>2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>
        <f>IFERROR(INDEX('Company Hitlist'!$AA:$AA,MATCH(D3301,'Company Hitlist'!$A:$A,0)),)</f>
        <v/>
      </c>
      <c r="O3301">
        <f>IFERROR(INDEX('Company Hitlist'!$N:$N,MATCH(D3301,'Company Hitlist'!$A:$A,0)),)</f>
        <v/>
      </c>
      <c r="Q3301" t="inlineStr">
        <is>
          <t>todo</t>
        </is>
      </c>
    </row>
    <row r="3302">
      <c r="A3302" t="inlineStr">
        <is>
          <t>Scott Tesoiere</t>
        </is>
      </c>
      <c r="B3302" t="inlineStr">
        <is>
          <t>Sponsor</t>
        </is>
      </c>
      <c r="C3302" t="inlineStr">
        <is>
          <t>AVP, Product Management</t>
        </is>
      </c>
      <c r="D3302" t="inlineStr">
        <is>
          <t>e2open - WiseTech Global Group</t>
        </is>
      </c>
      <c r="E3302" t="inlineStr">
        <is>
          <t>United States</t>
        </is>
      </c>
      <c r="F3302" t="inlineStr">
        <is>
          <t>Yes</t>
        </is>
      </c>
      <c r="H3302" t="n">
        <v>2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>
        <f>IFERROR(INDEX('Company Hitlist'!$AA:$AA,MATCH(D3302,'Company Hitlist'!$A:$A,0)),)</f>
        <v/>
      </c>
      <c r="O3302">
        <f>IFERROR(INDEX('Company Hitlist'!$N:$N,MATCH(D3302,'Company Hitlist'!$A:$A,0)),)</f>
        <v/>
      </c>
      <c r="Q3302" t="inlineStr">
        <is>
          <t>todo</t>
        </is>
      </c>
    </row>
    <row r="3303">
      <c r="A3303" t="inlineStr">
        <is>
          <t>Barbara Rausch</t>
        </is>
      </c>
      <c r="B3303" t="inlineStr">
        <is>
          <t>Sponsor</t>
        </is>
      </c>
      <c r="C3303" t="inlineStr">
        <is>
          <t>Global Account Manager</t>
        </is>
      </c>
      <c r="D3303" t="inlineStr">
        <is>
          <t>ePost Global</t>
        </is>
      </c>
      <c r="E3303" t="inlineStr">
        <is>
          <t>United States</t>
        </is>
      </c>
      <c r="H3303" t="n">
        <v>2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>
        <f>IFERROR(INDEX('Company Hitlist'!$AA:$AA,MATCH(D3303,'Company Hitlist'!$A:$A,0)),)</f>
        <v/>
      </c>
      <c r="O3303">
        <f>IFERROR(INDEX('Company Hitlist'!$N:$N,MATCH(D3303,'Company Hitlist'!$A:$A,0)),)</f>
        <v/>
      </c>
      <c r="Q3303" t="inlineStr">
        <is>
          <t>todo</t>
        </is>
      </c>
    </row>
    <row r="3304">
      <c r="A3304" t="inlineStr">
        <is>
          <t>Nick Brown</t>
        </is>
      </c>
      <c r="B3304" t="inlineStr">
        <is>
          <t>Sponsor</t>
        </is>
      </c>
      <c r="C3304" t="inlineStr">
        <is>
          <t>Director</t>
        </is>
      </c>
      <c r="D3304" t="inlineStr">
        <is>
          <t>enVista</t>
        </is>
      </c>
      <c r="E3304" t="inlineStr">
        <is>
          <t>United States</t>
        </is>
      </c>
      <c r="H3304" t="n">
        <v>2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>
        <f>IFERROR(INDEX('Company Hitlist'!$AA:$AA,MATCH(D3304,'Company Hitlist'!$A:$A,0)),)</f>
        <v/>
      </c>
      <c r="O3304">
        <f>IFERROR(INDEX('Company Hitlist'!$N:$N,MATCH(D3304,'Company Hitlist'!$A:$A,0)),)</f>
        <v/>
      </c>
      <c r="Q3304" t="inlineStr">
        <is>
          <t>todo</t>
        </is>
      </c>
    </row>
    <row r="3305">
      <c r="A3305" t="inlineStr">
        <is>
          <t>Luke Krombach</t>
        </is>
      </c>
      <c r="B3305" t="inlineStr">
        <is>
          <t>Sponsor</t>
        </is>
      </c>
      <c r="C3305" t="inlineStr">
        <is>
          <t>Product Manager</t>
        </is>
      </c>
      <c r="D3305" t="inlineStr">
        <is>
          <t>myQ Enterprise</t>
        </is>
      </c>
      <c r="E3305" t="inlineStr">
        <is>
          <t>United States</t>
        </is>
      </c>
      <c r="H3305" t="n">
        <v>2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>
        <f>IFERROR(INDEX('Company Hitlist'!$AA:$AA,MATCH(D3305,'Company Hitlist'!$A:$A,0)),)</f>
        <v/>
      </c>
      <c r="O3305">
        <f>IFERROR(INDEX('Company Hitlist'!$N:$N,MATCH(D3305,'Company Hitlist'!$A:$A,0)),)</f>
        <v/>
      </c>
      <c r="Q3305" t="inlineStr">
        <is>
          <t>todo</t>
        </is>
      </c>
    </row>
    <row r="3306">
      <c r="A3306" t="inlineStr">
        <is>
          <t>Aronah Mukhtar</t>
        </is>
      </c>
      <c r="B3306" t="inlineStr">
        <is>
          <t>Sponsor</t>
        </is>
      </c>
      <c r="C3306" t="inlineStr">
        <is>
          <t>Software Solutions Manager</t>
        </is>
      </c>
      <c r="D3306" t="inlineStr">
        <is>
          <t>myQ Enterprise</t>
        </is>
      </c>
      <c r="H3306" t="n">
        <v>2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>
        <f>IFERROR(INDEX('Company Hitlist'!$AA:$AA,MATCH(D3306,'Company Hitlist'!$A:$A,0)),)</f>
        <v/>
      </c>
      <c r="O3306">
        <f>IFERROR(INDEX('Company Hitlist'!$N:$N,MATCH(D3306,'Company Hitlist'!$A:$A,0)),)</f>
        <v/>
      </c>
      <c r="Q3306" t="inlineStr">
        <is>
          <t>todo</t>
        </is>
      </c>
    </row>
    <row r="3307">
      <c r="A3307" t="inlineStr">
        <is>
          <t>Brent Nagy</t>
        </is>
      </c>
      <c r="B3307" t="inlineStr">
        <is>
          <t>Speaker</t>
        </is>
      </c>
      <c r="C3307" t="inlineStr">
        <is>
          <t>Chief Growth Officer</t>
        </is>
      </c>
      <c r="D3307" t="inlineStr">
        <is>
          <t>Critical Cargo Logistics</t>
        </is>
      </c>
      <c r="F3307" t="inlineStr">
        <is>
          <t>Yes</t>
        </is>
      </c>
      <c r="H3307" t="n">
        <v>1</v>
      </c>
      <c r="I3307" t="b">
        <v>0</v>
      </c>
      <c r="J3307" t="b">
        <v>1</v>
      </c>
      <c r="K3307" t="b">
        <v>0</v>
      </c>
      <c r="L3307" t="b">
        <v>0</v>
      </c>
      <c r="M3307" t="b">
        <v>1</v>
      </c>
      <c r="N3307">
        <f>IFERROR(INDEX('Company Hitlist'!$AA:$AA,MATCH(D3307,'Company Hitlist'!$A:$A,0)),)</f>
        <v/>
      </c>
      <c r="O3307">
        <f>IFERROR(INDEX('Company Hitlist'!$N:$N,MATCH(D3307,'Company Hitlist'!$A:$A,0)),)</f>
        <v/>
      </c>
      <c r="Q3307" t="inlineStr">
        <is>
          <t>todo</t>
        </is>
      </c>
    </row>
    <row r="3308">
      <c r="A3308" t="inlineStr">
        <is>
          <t>Gretchen Torres</t>
        </is>
      </c>
      <c r="B3308" t="inlineStr">
        <is>
          <t>Speaker</t>
        </is>
      </c>
      <c r="C3308" t="inlineStr">
        <is>
          <t>Vice President of Marketing and Engagement</t>
        </is>
      </c>
      <c r="D3308" t="inlineStr">
        <is>
          <t>DHL Supply Chain</t>
        </is>
      </c>
      <c r="F3308" t="inlineStr">
        <is>
          <t>Yes</t>
        </is>
      </c>
      <c r="G3308" t="inlineStr">
        <is>
          <t>$80B (2024; projected $82B in 2025)</t>
        </is>
      </c>
      <c r="H3308" t="n">
        <v>1</v>
      </c>
      <c r="I3308" t="b">
        <v>0</v>
      </c>
      <c r="J3308" t="b">
        <v>1</v>
      </c>
      <c r="K3308" t="b">
        <v>0</v>
      </c>
      <c r="L3308" t="b">
        <v>0</v>
      </c>
      <c r="M3308" t="b">
        <v>1</v>
      </c>
      <c r="N3308">
        <f>IFERROR(INDEX('Company Hitlist'!$AA:$AA,MATCH(D3308,'Company Hitlist'!$A:$A,0)),)</f>
        <v/>
      </c>
      <c r="O3308">
        <f>IFERROR(INDEX('Company Hitlist'!$N:$N,MATCH(D3308,'Company Hitlist'!$A:$A,0)),)</f>
        <v/>
      </c>
      <c r="Q3308" t="inlineStr">
        <is>
          <t>todo</t>
        </is>
      </c>
    </row>
    <row r="3309">
      <c r="A3309" t="inlineStr">
        <is>
          <t>Bryce Feuerstein</t>
        </is>
      </c>
      <c r="B3309" t="inlineStr">
        <is>
          <t>Speaker</t>
        </is>
      </c>
      <c r="C3309" t="inlineStr">
        <is>
          <t>VP, Strategic Growth</t>
        </is>
      </c>
      <c r="D3309" t="inlineStr">
        <is>
          <t>Dataminr</t>
        </is>
      </c>
      <c r="F3309" t="inlineStr">
        <is>
          <t>Yes</t>
        </is>
      </c>
      <c r="G3309" t="inlineStr">
        <is>
          <t>$400M (2024 est.; projected $450M in 2025)</t>
        </is>
      </c>
      <c r="H3309" t="n">
        <v>1</v>
      </c>
      <c r="I3309" t="b">
        <v>0</v>
      </c>
      <c r="J3309" t="b">
        <v>1</v>
      </c>
      <c r="K3309" t="b">
        <v>0</v>
      </c>
      <c r="L3309" t="b">
        <v>0</v>
      </c>
      <c r="M3309" t="b">
        <v>1</v>
      </c>
      <c r="N3309">
        <f>IFERROR(INDEX('Company Hitlist'!$AA:$AA,MATCH(D3309,'Company Hitlist'!$A:$A,0)),)</f>
        <v/>
      </c>
      <c r="O3309">
        <f>IFERROR(INDEX('Company Hitlist'!$N:$N,MATCH(D3309,'Company Hitlist'!$A:$A,0)),)</f>
        <v/>
      </c>
      <c r="Q3309" t="inlineStr">
        <is>
          <t>todo</t>
        </is>
      </c>
    </row>
    <row r="3310">
      <c r="A3310" t="inlineStr">
        <is>
          <t>Tom Larson</t>
        </is>
      </c>
      <c r="B3310" t="inlineStr">
        <is>
          <t>Speaker</t>
        </is>
      </c>
      <c r="C3310" t="inlineStr">
        <is>
          <t>SVP – Enterprise Sales</t>
        </is>
      </c>
      <c r="D3310" t="inlineStr">
        <is>
          <t>ITS Logistics</t>
        </is>
      </c>
      <c r="E3310" t="inlineStr">
        <is>
          <t>United States</t>
        </is>
      </c>
      <c r="H3310" t="n">
        <v>1</v>
      </c>
      <c r="I3310" t="b">
        <v>0</v>
      </c>
      <c r="J3310" t="b">
        <v>1</v>
      </c>
      <c r="K3310" t="b">
        <v>0</v>
      </c>
      <c r="L3310" t="b">
        <v>0</v>
      </c>
      <c r="M3310" t="b">
        <v>1</v>
      </c>
      <c r="N3310">
        <f>IFERROR(INDEX('Company Hitlist'!$AA:$AA,MATCH(D3310,'Company Hitlist'!$A:$A,0)),)</f>
        <v/>
      </c>
      <c r="O3310">
        <f>IFERROR(INDEX('Company Hitlist'!$N:$N,MATCH(D3310,'Company Hitlist'!$A:$A,0)),)</f>
        <v/>
      </c>
      <c r="Q3310" t="inlineStr">
        <is>
          <t>todo</t>
        </is>
      </c>
    </row>
    <row r="3311">
      <c r="A3311" t="inlineStr">
        <is>
          <t>Sam Coiro</t>
        </is>
      </c>
      <c r="B3311" t="inlineStr">
        <is>
          <t>Speaker</t>
        </is>
      </c>
      <c r="C3311" t="inlineStr">
        <is>
          <t>Head of Maersk Ecommerce BD</t>
        </is>
      </c>
      <c r="D3311" t="inlineStr">
        <is>
          <t>Maersk</t>
        </is>
      </c>
      <c r="F3311" t="inlineStr">
        <is>
          <t>Yes</t>
        </is>
      </c>
      <c r="G3311" t="inlineStr">
        <is>
          <t>$61B (2024; projected $65B in 2025)</t>
        </is>
      </c>
      <c r="H3311" t="n">
        <v>1</v>
      </c>
      <c r="I3311" t="b">
        <v>0</v>
      </c>
      <c r="J3311" t="b">
        <v>1</v>
      </c>
      <c r="K3311" t="b">
        <v>0</v>
      </c>
      <c r="L3311" t="b">
        <v>0</v>
      </c>
      <c r="M3311" t="b">
        <v>1</v>
      </c>
      <c r="N3311">
        <f>IFERROR(INDEX('Company Hitlist'!$AA:$AA,MATCH(D3311,'Company Hitlist'!$A:$A,0)),)</f>
        <v/>
      </c>
      <c r="O3311">
        <f>IFERROR(INDEX('Company Hitlist'!$N:$N,MATCH(D3311,'Company Hitlist'!$A:$A,0)),)</f>
        <v/>
      </c>
      <c r="Q3311" t="inlineStr">
        <is>
          <t>todo</t>
        </is>
      </c>
    </row>
    <row r="3312">
      <c r="A3312" t="inlineStr">
        <is>
          <t>Monique Apter</t>
        </is>
      </c>
      <c r="B3312" t="inlineStr">
        <is>
          <t>Speaker</t>
        </is>
      </c>
      <c r="C3312" t="inlineStr">
        <is>
          <t>Chief Revenue Officer</t>
        </is>
      </c>
      <c r="D3312" t="inlineStr">
        <is>
          <t>Ocado Intelligent Automation</t>
        </is>
      </c>
      <c r="H3312" t="n">
        <v>1</v>
      </c>
      <c r="I3312" t="b">
        <v>0</v>
      </c>
      <c r="J3312" t="b">
        <v>1</v>
      </c>
      <c r="K3312" t="b">
        <v>0</v>
      </c>
      <c r="L3312" t="b">
        <v>0</v>
      </c>
      <c r="M3312" t="b">
        <v>1</v>
      </c>
      <c r="N3312">
        <f>IFERROR(INDEX('Company Hitlist'!$AA:$AA,MATCH(D3312,'Company Hitlist'!$A:$A,0)),)</f>
        <v/>
      </c>
      <c r="O3312">
        <f>IFERROR(INDEX('Company Hitlist'!$N:$N,MATCH(D3312,'Company Hitlist'!$A:$A,0)),)</f>
        <v/>
      </c>
      <c r="Q3312" t="inlineStr">
        <is>
          <t>todo</t>
        </is>
      </c>
    </row>
    <row r="3313">
      <c r="A3313" t="inlineStr">
        <is>
          <t>Tim Nagy</t>
        </is>
      </c>
      <c r="B3313" t="inlineStr">
        <is>
          <t>Speaker</t>
        </is>
      </c>
      <c r="C3313" t="inlineStr">
        <is>
          <t>SVP of Sales Engineering</t>
        </is>
      </c>
      <c r="D3313" t="inlineStr">
        <is>
          <t>Samsara</t>
        </is>
      </c>
      <c r="H3313" t="n">
        <v>1</v>
      </c>
      <c r="I3313" t="b">
        <v>0</v>
      </c>
      <c r="J3313" t="b">
        <v>1</v>
      </c>
      <c r="K3313" t="b">
        <v>0</v>
      </c>
      <c r="L3313" t="b">
        <v>0</v>
      </c>
      <c r="M3313" t="b">
        <v>1</v>
      </c>
      <c r="N3313">
        <f>IFERROR(INDEX('Company Hitlist'!$AA:$AA,MATCH(D3313,'Company Hitlist'!$A:$A,0)),)</f>
        <v/>
      </c>
      <c r="O3313">
        <f>IFERROR(INDEX('Company Hitlist'!$N:$N,MATCH(D3313,'Company Hitlist'!$A:$A,0)),)</f>
        <v/>
      </c>
      <c r="Q3313" t="inlineStr">
        <is>
          <t>todo</t>
        </is>
      </c>
    </row>
    <row r="3314">
      <c r="A3314" t="inlineStr">
        <is>
          <t>Ian Silver</t>
        </is>
      </c>
      <c r="B3314" t="inlineStr">
        <is>
          <t>Speaker</t>
        </is>
      </c>
      <c r="C3314" t="inlineStr">
        <is>
          <t>Global Head of Alliances &amp; Partner Delivery</t>
        </is>
      </c>
      <c r="D3314" t="inlineStr">
        <is>
          <t>Samsung SDS</t>
        </is>
      </c>
      <c r="F3314" t="inlineStr">
        <is>
          <t>Yes</t>
        </is>
      </c>
      <c r="G3314" t="inlineStr">
        <is>
          <t>$14B (2025 est.)</t>
        </is>
      </c>
      <c r="H3314" t="n">
        <v>1</v>
      </c>
      <c r="I3314" t="b">
        <v>0</v>
      </c>
      <c r="J3314" t="b">
        <v>1</v>
      </c>
      <c r="K3314" t="b">
        <v>0</v>
      </c>
      <c r="L3314" t="b">
        <v>0</v>
      </c>
      <c r="M3314" t="b">
        <v>1</v>
      </c>
      <c r="N3314">
        <f>IFERROR(INDEX('Company Hitlist'!$AA:$AA,MATCH(D3314,'Company Hitlist'!$A:$A,0)),)</f>
        <v/>
      </c>
      <c r="O3314">
        <f>IFERROR(INDEX('Company Hitlist'!$N:$N,MATCH(D3314,'Company Hitlist'!$A:$A,0)),)</f>
        <v/>
      </c>
      <c r="Q3314" t="inlineStr">
        <is>
          <t>todo</t>
        </is>
      </c>
    </row>
    <row r="3315">
      <c r="A3315" t="inlineStr">
        <is>
          <t>Hugo Ramos</t>
        </is>
      </c>
      <c r="B3315" t="inlineStr">
        <is>
          <t>Speaker</t>
        </is>
      </c>
      <c r="C3315" t="inlineStr">
        <is>
          <t>Vice President of Sales</t>
        </is>
      </c>
      <c r="D3315" t="inlineStr">
        <is>
          <t>Utz Group</t>
        </is>
      </c>
      <c r="H3315" t="n">
        <v>1</v>
      </c>
      <c r="I3315" t="b">
        <v>0</v>
      </c>
      <c r="J3315" t="b">
        <v>1</v>
      </c>
      <c r="K3315" t="b">
        <v>0</v>
      </c>
      <c r="L3315" t="b">
        <v>0</v>
      </c>
      <c r="M3315" t="b">
        <v>1</v>
      </c>
      <c r="N3315">
        <f>IFERROR(INDEX('Company Hitlist'!$AA:$AA,MATCH(D3315,'Company Hitlist'!$A:$A,0)),)</f>
        <v/>
      </c>
      <c r="O3315">
        <f>IFERROR(INDEX('Company Hitlist'!$N:$N,MATCH(D3315,'Company Hitlist'!$A:$A,0)),)</f>
        <v/>
      </c>
      <c r="Q3315" t="inlineStr">
        <is>
          <t>todo</t>
        </is>
      </c>
    </row>
    <row r="3316">
      <c r="A3316" t="inlineStr">
        <is>
          <t>Andrew Larson</t>
        </is>
      </c>
      <c r="B3316" t="inlineStr">
        <is>
          <t>Sponsor</t>
        </is>
      </c>
      <c r="C3316" t="inlineStr">
        <is>
          <t>Head of Sales</t>
        </is>
      </c>
      <c r="D3316" t="inlineStr">
        <is>
          <t>1 Logtech Inc.</t>
        </is>
      </c>
      <c r="E3316" t="inlineStr">
        <is>
          <t>United States</t>
        </is>
      </c>
      <c r="H3316" t="n">
        <v>0</v>
      </c>
      <c r="I3316" t="b">
        <v>0</v>
      </c>
      <c r="J3316" t="b">
        <v>1</v>
      </c>
      <c r="K3316" t="b">
        <v>0</v>
      </c>
      <c r="L3316" t="b">
        <v>0</v>
      </c>
      <c r="M3316" t="b">
        <v>1</v>
      </c>
      <c r="N3316">
        <f>IFERROR(INDEX('Company Hitlist'!$AA:$AA,MATCH(D3316,'Company Hitlist'!$A:$A,0)),)</f>
        <v/>
      </c>
      <c r="O3316">
        <f>IFERROR(INDEX('Company Hitlist'!$N:$N,MATCH(D3316,'Company Hitlist'!$A:$A,0)),)</f>
        <v/>
      </c>
      <c r="Q3316" t="inlineStr">
        <is>
          <t>todo</t>
        </is>
      </c>
    </row>
    <row r="3317">
      <c r="A3317" t="inlineStr">
        <is>
          <t>Chris Bailey</t>
        </is>
      </c>
      <c r="B3317" t="inlineStr">
        <is>
          <t>Attendee</t>
        </is>
      </c>
      <c r="C3317" t="inlineStr">
        <is>
          <t>Owner/Partner</t>
        </is>
      </c>
      <c r="D3317" t="inlineStr">
        <is>
          <t>38 Degrees North</t>
        </is>
      </c>
      <c r="H3317" t="n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>
        <f>IFERROR(INDEX('Company Hitlist'!$AA:$AA,MATCH(D3317,'Company Hitlist'!$A:$A,0)),)</f>
        <v/>
      </c>
      <c r="O3317">
        <f>IFERROR(INDEX('Company Hitlist'!$N:$N,MATCH(D3317,'Company Hitlist'!$A:$A,0)),)</f>
        <v/>
      </c>
      <c r="Q3317" t="inlineStr">
        <is>
          <t>todo</t>
        </is>
      </c>
    </row>
    <row r="3318">
      <c r="A3318" t="inlineStr">
        <is>
          <t>Ryan Mikkelsen</t>
        </is>
      </c>
      <c r="B3318" t="inlineStr">
        <is>
          <t>Attendee</t>
        </is>
      </c>
      <c r="C3318" t="inlineStr">
        <is>
          <t>Partner</t>
        </is>
      </c>
      <c r="D3318" t="inlineStr">
        <is>
          <t>38 Degrees North</t>
        </is>
      </c>
      <c r="H3318" t="n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>
        <f>IFERROR(INDEX('Company Hitlist'!$AA:$AA,MATCH(D3318,'Company Hitlist'!$A:$A,0)),)</f>
        <v/>
      </c>
      <c r="O3318">
        <f>IFERROR(INDEX('Company Hitlist'!$N:$N,MATCH(D3318,'Company Hitlist'!$A:$A,0)),)</f>
        <v/>
      </c>
      <c r="Q3318" t="inlineStr">
        <is>
          <t>todo</t>
        </is>
      </c>
    </row>
    <row r="3319">
      <c r="A3319" t="inlineStr">
        <is>
          <t>Sid Kato</t>
        </is>
      </c>
      <c r="B3319" t="inlineStr">
        <is>
          <t>Attendee</t>
        </is>
      </c>
      <c r="C3319" t="inlineStr">
        <is>
          <t>Chairman</t>
        </is>
      </c>
      <c r="D3319" t="inlineStr">
        <is>
          <t>3PL Systems, Inc.</t>
        </is>
      </c>
      <c r="E3319" t="inlineStr">
        <is>
          <t>United States</t>
        </is>
      </c>
      <c r="F3319" t="inlineStr">
        <is>
          <t>Yes</t>
        </is>
      </c>
      <c r="H3319" t="n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>
        <f>IFERROR(INDEX('Company Hitlist'!$AA:$AA,MATCH(D3319,'Company Hitlist'!$A:$A,0)),)</f>
        <v/>
      </c>
      <c r="O3319">
        <f>IFERROR(INDEX('Company Hitlist'!$N:$N,MATCH(D3319,'Company Hitlist'!$A:$A,0)),)</f>
        <v/>
      </c>
      <c r="Q3319" t="inlineStr">
        <is>
          <t>todo</t>
        </is>
      </c>
    </row>
    <row r="3320">
      <c r="A3320" t="inlineStr">
        <is>
          <t>Bryan Kelly</t>
        </is>
      </c>
      <c r="B3320" t="inlineStr">
        <is>
          <t>Attendee</t>
        </is>
      </c>
      <c r="C3320" t="inlineStr">
        <is>
          <t>Founder</t>
        </is>
      </c>
      <c r="D3320" t="inlineStr">
        <is>
          <t>A-Eye Vision</t>
        </is>
      </c>
      <c r="E3320" t="inlineStr">
        <is>
          <t>United States</t>
        </is>
      </c>
      <c r="F3320" t="inlineStr">
        <is>
          <t>Yes</t>
        </is>
      </c>
      <c r="H3320" t="n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>
        <f>IFERROR(INDEX('Company Hitlist'!$AA:$AA,MATCH(D3320,'Company Hitlist'!$A:$A,0)),)</f>
        <v/>
      </c>
      <c r="O3320">
        <f>IFERROR(INDEX('Company Hitlist'!$N:$N,MATCH(D3320,'Company Hitlist'!$A:$A,0)),)</f>
        <v/>
      </c>
      <c r="Q3320" t="inlineStr">
        <is>
          <t>todo</t>
        </is>
      </c>
    </row>
    <row r="3321">
      <c r="A3321" t="inlineStr">
        <is>
          <t>Jeff Allen</t>
        </is>
      </c>
      <c r="B3321" t="inlineStr">
        <is>
          <t>Attendee</t>
        </is>
      </c>
      <c r="C3321" t="inlineStr">
        <is>
          <t>Product Manager</t>
        </is>
      </c>
      <c r="D3321" t="inlineStr">
        <is>
          <t>A-Eye Vision</t>
        </is>
      </c>
      <c r="E3321" t="inlineStr">
        <is>
          <t>United States</t>
        </is>
      </c>
      <c r="H3321" t="n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>
        <f>IFERROR(INDEX('Company Hitlist'!$AA:$AA,MATCH(D3321,'Company Hitlist'!$A:$A,0)),)</f>
        <v/>
      </c>
      <c r="O3321">
        <f>IFERROR(INDEX('Company Hitlist'!$N:$N,MATCH(D3321,'Company Hitlist'!$A:$A,0)),)</f>
        <v/>
      </c>
      <c r="Q3321" t="inlineStr">
        <is>
          <t>todo</t>
        </is>
      </c>
    </row>
    <row r="3322">
      <c r="A3322" t="inlineStr">
        <is>
          <t>Alva Green</t>
        </is>
      </c>
      <c r="B3322" t="inlineStr">
        <is>
          <t>Attendee</t>
        </is>
      </c>
      <c r="C3322" t="inlineStr">
        <is>
          <t>Freight Specialist</t>
        </is>
      </c>
      <c r="D3322" t="inlineStr">
        <is>
          <t>ABB</t>
        </is>
      </c>
      <c r="H3322" t="n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>
        <f>IFERROR(INDEX('Company Hitlist'!$AA:$AA,MATCH(D3322,'Company Hitlist'!$A:$A,0)),)</f>
        <v/>
      </c>
      <c r="O3322">
        <f>IFERROR(INDEX('Company Hitlist'!$N:$N,MATCH(D3322,'Company Hitlist'!$A:$A,0)),)</f>
        <v/>
      </c>
      <c r="Q3322" t="inlineStr">
        <is>
          <t>todo</t>
        </is>
      </c>
    </row>
    <row r="3323">
      <c r="A3323" t="inlineStr">
        <is>
          <t>Jeffrey Mitch</t>
        </is>
      </c>
      <c r="B3323" t="inlineStr">
        <is>
          <t>Attendee</t>
        </is>
      </c>
      <c r="C3323" t="inlineStr">
        <is>
          <t>Director - Financial Planning And Analysis</t>
        </is>
      </c>
      <c r="D3323" t="inlineStr">
        <is>
          <t>AEO</t>
        </is>
      </c>
      <c r="F3323" t="inlineStr">
        <is>
          <t>Yes</t>
        </is>
      </c>
      <c r="H3323" t="n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>
        <f>IFERROR(INDEX('Company Hitlist'!$AA:$AA,MATCH(D3323,'Company Hitlist'!$A:$A,0)),)</f>
        <v/>
      </c>
      <c r="O3323">
        <f>IFERROR(INDEX('Company Hitlist'!$N:$N,MATCH(D3323,'Company Hitlist'!$A:$A,0)),)</f>
        <v/>
      </c>
      <c r="Q3323" t="inlineStr">
        <is>
          <t>todo</t>
        </is>
      </c>
    </row>
    <row r="3324">
      <c r="A3324" t="inlineStr">
        <is>
          <t>Nikki Mendicino</t>
        </is>
      </c>
      <c r="B3324" t="inlineStr">
        <is>
          <t>Attendee</t>
        </is>
      </c>
      <c r="C3324" t="inlineStr">
        <is>
          <t>Senior Manager - Corporate Communications</t>
        </is>
      </c>
      <c r="D3324" t="inlineStr">
        <is>
          <t>AEO</t>
        </is>
      </c>
      <c r="H3324" t="n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>
        <f>IFERROR(INDEX('Company Hitlist'!$AA:$AA,MATCH(D3324,'Company Hitlist'!$A:$A,0)),)</f>
        <v/>
      </c>
      <c r="O3324">
        <f>IFERROR(INDEX('Company Hitlist'!$N:$N,MATCH(D3324,'Company Hitlist'!$A:$A,0)),)</f>
        <v/>
      </c>
      <c r="Q3324" t="inlineStr">
        <is>
          <t>todo</t>
        </is>
      </c>
    </row>
    <row r="3325">
      <c r="A3325" t="inlineStr">
        <is>
          <t>Steven Willis</t>
        </is>
      </c>
      <c r="B3325" t="inlineStr">
        <is>
          <t>Attendee</t>
        </is>
      </c>
      <c r="C3325" t="inlineStr">
        <is>
          <t>Partner</t>
        </is>
      </c>
      <c r="D3325" t="inlineStr">
        <is>
          <t>AGC Partners</t>
        </is>
      </c>
      <c r="E3325" t="inlineStr">
        <is>
          <t>United States</t>
        </is>
      </c>
      <c r="H3325" t="n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>
        <f>IFERROR(INDEX('Company Hitlist'!$AA:$AA,MATCH(D3325,'Company Hitlist'!$A:$A,0)),)</f>
        <v/>
      </c>
      <c r="O3325">
        <f>IFERROR(INDEX('Company Hitlist'!$N:$N,MATCH(D3325,'Company Hitlist'!$A:$A,0)),)</f>
        <v/>
      </c>
      <c r="Q3325" t="inlineStr">
        <is>
          <t>todo</t>
        </is>
      </c>
    </row>
    <row r="3326">
      <c r="A3326" t="inlineStr">
        <is>
          <t>Phillip Tran</t>
        </is>
      </c>
      <c r="B3326" t="inlineStr">
        <is>
          <t>Attendee</t>
        </is>
      </c>
      <c r="C3326" t="inlineStr">
        <is>
          <t>Director, Commercial Vertical Management</t>
        </is>
      </c>
      <c r="D3326" t="inlineStr">
        <is>
          <t>APL Logistics</t>
        </is>
      </c>
      <c r="E3326" t="inlineStr">
        <is>
          <t>United States</t>
        </is>
      </c>
      <c r="F3326" t="inlineStr">
        <is>
          <t>Yes</t>
        </is>
      </c>
      <c r="G3326" t="inlineStr">
        <is>
          <t>1458000000</t>
        </is>
      </c>
      <c r="H3326" t="n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>
        <f>IFERROR(INDEX('Company Hitlist'!$AA:$AA,MATCH(D3326,'Company Hitlist'!$A:$A,0)),)</f>
        <v/>
      </c>
      <c r="O3326">
        <f>IFERROR(INDEX('Company Hitlist'!$N:$N,MATCH(D3326,'Company Hitlist'!$A:$A,0)),)</f>
        <v/>
      </c>
      <c r="Q3326" t="inlineStr">
        <is>
          <t>todo</t>
        </is>
      </c>
    </row>
    <row r="3327">
      <c r="A3327" t="inlineStr">
        <is>
          <t>Allyson Leal</t>
        </is>
      </c>
      <c r="B3327" t="inlineStr">
        <is>
          <t>Sponsor</t>
        </is>
      </c>
      <c r="C3327" t="inlineStr">
        <is>
          <t>Head of Marketing, Americas</t>
        </is>
      </c>
      <c r="D3327" t="inlineStr">
        <is>
          <t>APL Logistics</t>
        </is>
      </c>
      <c r="F3327" t="inlineStr">
        <is>
          <t>Yes</t>
        </is>
      </c>
      <c r="G3327" t="inlineStr">
        <is>
          <t>1458000000</t>
        </is>
      </c>
      <c r="H3327" t="n">
        <v>0</v>
      </c>
      <c r="I3327" t="b">
        <v>0</v>
      </c>
      <c r="J3327" t="b">
        <v>1</v>
      </c>
      <c r="K3327" t="b">
        <v>0</v>
      </c>
      <c r="L3327" t="b">
        <v>0</v>
      </c>
      <c r="M3327" t="b">
        <v>1</v>
      </c>
      <c r="N3327">
        <f>IFERROR(INDEX('Company Hitlist'!$AA:$AA,MATCH(D3327,'Company Hitlist'!$A:$A,0)),)</f>
        <v/>
      </c>
      <c r="O3327">
        <f>IFERROR(INDEX('Company Hitlist'!$N:$N,MATCH(D3327,'Company Hitlist'!$A:$A,0)),)</f>
        <v/>
      </c>
      <c r="Q3327" t="inlineStr">
        <is>
          <t>todo</t>
        </is>
      </c>
    </row>
    <row r="3328">
      <c r="A3328" t="inlineStr">
        <is>
          <t>Ashley Esparza</t>
        </is>
      </c>
      <c r="B3328" t="inlineStr">
        <is>
          <t>Attendee</t>
        </is>
      </c>
      <c r="C3328" t="inlineStr">
        <is>
          <t>Key Client Director</t>
        </is>
      </c>
      <c r="D3328" t="inlineStr">
        <is>
          <t>APM Terminals - Los Angeles</t>
        </is>
      </c>
      <c r="E3328" t="inlineStr">
        <is>
          <t>United States</t>
        </is>
      </c>
      <c r="F3328" t="inlineStr">
        <is>
          <t>Yes</t>
        </is>
      </c>
      <c r="H3328" t="n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>
        <f>IFERROR(INDEX('Company Hitlist'!$AA:$AA,MATCH(D3328,'Company Hitlist'!$A:$A,0)),)</f>
        <v/>
      </c>
      <c r="O3328">
        <f>IFERROR(INDEX('Company Hitlist'!$N:$N,MATCH(D3328,'Company Hitlist'!$A:$A,0)),)</f>
        <v/>
      </c>
      <c r="Q3328" t="inlineStr">
        <is>
          <t>todo</t>
        </is>
      </c>
    </row>
    <row r="3329">
      <c r="A3329" t="inlineStr">
        <is>
          <t>Zack Buzzatto</t>
        </is>
      </c>
      <c r="B3329" t="inlineStr">
        <is>
          <t>Attendee</t>
        </is>
      </c>
      <c r="C3329" t="inlineStr">
        <is>
          <t>Managing Director</t>
        </is>
      </c>
      <c r="D3329" t="inlineStr">
        <is>
          <t>AQ Technology Partners</t>
        </is>
      </c>
      <c r="E3329" t="inlineStr">
        <is>
          <t>United States</t>
        </is>
      </c>
      <c r="H3329" t="n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>
        <f>IFERROR(INDEX('Company Hitlist'!$AA:$AA,MATCH(D3329,'Company Hitlist'!$A:$A,0)),)</f>
        <v/>
      </c>
      <c r="O3329">
        <f>IFERROR(INDEX('Company Hitlist'!$N:$N,MATCH(D3329,'Company Hitlist'!$A:$A,0)),)</f>
        <v/>
      </c>
      <c r="Q3329" t="inlineStr">
        <is>
          <t>todo</t>
        </is>
      </c>
    </row>
    <row r="3330">
      <c r="A3330" t="inlineStr">
        <is>
          <t>Tyler Bateh</t>
        </is>
      </c>
      <c r="B3330" t="inlineStr">
        <is>
          <t>Attendee</t>
        </is>
      </c>
      <c r="C3330" t="inlineStr">
        <is>
          <t>Senior Project Manager</t>
        </is>
      </c>
      <c r="D3330" t="inlineStr">
        <is>
          <t>ARCO Design/Build</t>
        </is>
      </c>
      <c r="E3330" t="inlineStr">
        <is>
          <t>United States</t>
        </is>
      </c>
      <c r="H3330" t="n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>
        <f>IFERROR(INDEX('Company Hitlist'!$AA:$AA,MATCH(D3330,'Company Hitlist'!$A:$A,0)),)</f>
        <v/>
      </c>
      <c r="O3330">
        <f>IFERROR(INDEX('Company Hitlist'!$N:$N,MATCH(D3330,'Company Hitlist'!$A:$A,0)),)</f>
        <v/>
      </c>
      <c r="Q3330" t="inlineStr">
        <is>
          <t>todo</t>
        </is>
      </c>
    </row>
    <row r="3331">
      <c r="A3331" t="inlineStr">
        <is>
          <t>Stefano Bernabovi</t>
        </is>
      </c>
      <c r="B3331" t="inlineStr">
        <is>
          <t>Attendee</t>
        </is>
      </c>
      <c r="C3331" t="inlineStr">
        <is>
          <t>Business Developer</t>
        </is>
      </c>
      <c r="D3331" t="inlineStr">
        <is>
          <t>ASYGN Inc</t>
        </is>
      </c>
      <c r="E3331" t="inlineStr">
        <is>
          <t>United States</t>
        </is>
      </c>
      <c r="H3331" t="n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>
        <f>IFERROR(INDEX('Company Hitlist'!$AA:$AA,MATCH(D3331,'Company Hitlist'!$A:$A,0)),)</f>
        <v/>
      </c>
      <c r="O3331">
        <f>IFERROR(INDEX('Company Hitlist'!$N:$N,MATCH(D3331,'Company Hitlist'!$A:$A,0)),)</f>
        <v/>
      </c>
      <c r="Q3331" t="inlineStr">
        <is>
          <t>todo</t>
        </is>
      </c>
    </row>
    <row r="3332">
      <c r="A3332" t="inlineStr">
        <is>
          <t>Katie Gerrish</t>
        </is>
      </c>
      <c r="B3332" t="inlineStr">
        <is>
          <t>Attendee</t>
        </is>
      </c>
      <c r="C3332" t="inlineStr">
        <is>
          <t>Asset Manager NA</t>
        </is>
      </c>
      <c r="D3332" t="inlineStr">
        <is>
          <t>AT-PAC</t>
        </is>
      </c>
      <c r="E3332" t="inlineStr">
        <is>
          <t>United States</t>
        </is>
      </c>
      <c r="H3332" t="n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>
        <f>IFERROR(INDEX('Company Hitlist'!$AA:$AA,MATCH(D3332,'Company Hitlist'!$A:$A,0)),)</f>
        <v/>
      </c>
      <c r="O3332">
        <f>IFERROR(INDEX('Company Hitlist'!$N:$N,MATCH(D3332,'Company Hitlist'!$A:$A,0)),)</f>
        <v/>
      </c>
      <c r="Q3332" t="inlineStr">
        <is>
          <t>todo</t>
        </is>
      </c>
    </row>
    <row r="3333">
      <c r="A3333" t="inlineStr">
        <is>
          <t>Kelly Brown</t>
        </is>
      </c>
      <c r="B3333" t="inlineStr">
        <is>
          <t>Attendee</t>
        </is>
      </c>
      <c r="C3333" t="inlineStr">
        <is>
          <t>Founding &amp; Managing Partner</t>
        </is>
      </c>
      <c r="D3333" t="inlineStr">
        <is>
          <t>ATALNT</t>
        </is>
      </c>
      <c r="F3333" t="inlineStr">
        <is>
          <t>Yes</t>
        </is>
      </c>
      <c r="H3333" t="n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>
        <f>IFERROR(INDEX('Company Hitlist'!$AA:$AA,MATCH(D3333,'Company Hitlist'!$A:$A,0)),)</f>
        <v/>
      </c>
      <c r="O3333">
        <f>IFERROR(INDEX('Company Hitlist'!$N:$N,MATCH(D3333,'Company Hitlist'!$A:$A,0)),)</f>
        <v/>
      </c>
      <c r="Q3333" t="inlineStr">
        <is>
          <t>todo</t>
        </is>
      </c>
    </row>
    <row r="3334">
      <c r="A3334" t="inlineStr">
        <is>
          <t>Keith Young</t>
        </is>
      </c>
      <c r="B3334" t="inlineStr">
        <is>
          <t>Attendee</t>
        </is>
      </c>
      <c r="C3334" t="inlineStr">
        <is>
          <t>Managing Director</t>
        </is>
      </c>
      <c r="D3334" t="inlineStr">
        <is>
          <t>ATC Computer Transport &amp; Logistics Part of Arvato</t>
        </is>
      </c>
      <c r="E3334" t="inlineStr">
        <is>
          <t>Ireland</t>
        </is>
      </c>
      <c r="F3334" t="inlineStr">
        <is>
          <t>Yes</t>
        </is>
      </c>
      <c r="H3334" t="n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>
        <f>IFERROR(INDEX('Company Hitlist'!$AA:$AA,MATCH(D3334,'Company Hitlist'!$A:$A,0)),)</f>
        <v/>
      </c>
      <c r="O3334">
        <f>IFERROR(INDEX('Company Hitlist'!$N:$N,MATCH(D3334,'Company Hitlist'!$A:$A,0)),)</f>
        <v/>
      </c>
      <c r="Q3334" t="inlineStr">
        <is>
          <t>todo</t>
        </is>
      </c>
    </row>
    <row r="3335">
      <c r="A3335" t="inlineStr">
        <is>
          <t>Sanjay Arora</t>
        </is>
      </c>
      <c r="B3335" t="inlineStr">
        <is>
          <t>Attendee</t>
        </is>
      </c>
      <c r="C3335" t="inlineStr">
        <is>
          <t>Partner</t>
        </is>
      </c>
      <c r="D3335" t="inlineStr">
        <is>
          <t>ATL Partners</t>
        </is>
      </c>
      <c r="E3335" t="inlineStr">
        <is>
          <t>United States</t>
        </is>
      </c>
      <c r="H3335" t="n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>
        <f>IFERROR(INDEX('Company Hitlist'!$AA:$AA,MATCH(D3335,'Company Hitlist'!$A:$A,0)),)</f>
        <v/>
      </c>
      <c r="O3335">
        <f>IFERROR(INDEX('Company Hitlist'!$N:$N,MATCH(D3335,'Company Hitlist'!$A:$A,0)),)</f>
        <v/>
      </c>
      <c r="Q3335" t="inlineStr">
        <is>
          <t>todo</t>
        </is>
      </c>
    </row>
    <row r="3336">
      <c r="A3336" t="inlineStr">
        <is>
          <t>Jordan Watkins</t>
        </is>
      </c>
      <c r="B3336" t="inlineStr">
        <is>
          <t>Attendee</t>
        </is>
      </c>
      <c r="C3336" t="inlineStr">
        <is>
          <t>Sr Mgr, Americas</t>
        </is>
      </c>
      <c r="D3336" t="inlineStr">
        <is>
          <t>AWS Cloud</t>
        </is>
      </c>
      <c r="F3336" t="inlineStr">
        <is>
          <t>Yes</t>
        </is>
      </c>
      <c r="H3336" t="n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>
        <f>IFERROR(INDEX('Company Hitlist'!$AA:$AA,MATCH(D3336,'Company Hitlist'!$A:$A,0)),)</f>
        <v/>
      </c>
      <c r="O3336">
        <f>IFERROR(INDEX('Company Hitlist'!$N:$N,MATCH(D3336,'Company Hitlist'!$A:$A,0)),)</f>
        <v/>
      </c>
      <c r="Q3336" t="inlineStr">
        <is>
          <t>todo</t>
        </is>
      </c>
    </row>
    <row r="3337">
      <c r="A3337" t="inlineStr">
        <is>
          <t>francisco diaz lara</t>
        </is>
      </c>
      <c r="B3337" t="inlineStr">
        <is>
          <t>Attendee</t>
        </is>
      </c>
      <c r="C3337" t="inlineStr">
        <is>
          <t>director ejecutivo operacional y de transparencia</t>
        </is>
      </c>
      <c r="D3337" t="inlineStr">
        <is>
          <t>Administracion Portuaria integral de Quintana Roo</t>
        </is>
      </c>
      <c r="E3337" t="inlineStr">
        <is>
          <t>Mexico</t>
        </is>
      </c>
      <c r="H3337" t="n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>
        <f>IFERROR(INDEX('Company Hitlist'!$AA:$AA,MATCH(D3337,'Company Hitlist'!$A:$A,0)),)</f>
        <v/>
      </c>
      <c r="O3337">
        <f>IFERROR(INDEX('Company Hitlist'!$N:$N,MATCH(D3337,'Company Hitlist'!$A:$A,0)),)</f>
        <v/>
      </c>
      <c r="Q3337" t="inlineStr">
        <is>
          <t>todo</t>
        </is>
      </c>
    </row>
    <row r="3338">
      <c r="A3338" t="inlineStr">
        <is>
          <t>Gregory Venable</t>
        </is>
      </c>
      <c r="B3338" t="inlineStr">
        <is>
          <t>Attendee</t>
        </is>
      </c>
      <c r="C3338" t="inlineStr">
        <is>
          <t>Director</t>
        </is>
      </c>
      <c r="D3338" t="inlineStr">
        <is>
          <t>Admiral Beverage</t>
        </is>
      </c>
      <c r="F3338" t="inlineStr">
        <is>
          <t>Yes</t>
        </is>
      </c>
      <c r="H3338" t="n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>
        <f>IFERROR(INDEX('Company Hitlist'!$AA:$AA,MATCH(D3338,'Company Hitlist'!$A:$A,0)),)</f>
        <v/>
      </c>
      <c r="O3338">
        <f>IFERROR(INDEX('Company Hitlist'!$N:$N,MATCH(D3338,'Company Hitlist'!$A:$A,0)),)</f>
        <v/>
      </c>
      <c r="Q3338" t="inlineStr">
        <is>
          <t>todo</t>
        </is>
      </c>
    </row>
    <row r="3339">
      <c r="A3339" t="inlineStr">
        <is>
          <t>Evan McNamara</t>
        </is>
      </c>
      <c r="B3339" t="inlineStr">
        <is>
          <t>Attendee</t>
        </is>
      </c>
      <c r="C3339" t="inlineStr">
        <is>
          <t>Manager Demand Planning</t>
        </is>
      </c>
      <c r="D3339" t="inlineStr">
        <is>
          <t>Advanced Drainage Systems</t>
        </is>
      </c>
      <c r="E3339" t="inlineStr">
        <is>
          <t>United States</t>
        </is>
      </c>
      <c r="H3339" t="n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>
        <f>IFERROR(INDEX('Company Hitlist'!$AA:$AA,MATCH(D3339,'Company Hitlist'!$A:$A,0)),)</f>
        <v/>
      </c>
      <c r="O3339">
        <f>IFERROR(INDEX('Company Hitlist'!$N:$N,MATCH(D3339,'Company Hitlist'!$A:$A,0)),)</f>
        <v/>
      </c>
      <c r="Q3339" t="inlineStr">
        <is>
          <t>todo</t>
        </is>
      </c>
    </row>
    <row r="3340">
      <c r="A3340" t="inlineStr">
        <is>
          <t>Chris Condon</t>
        </is>
      </c>
      <c r="B3340" t="inlineStr">
        <is>
          <t>Attendee</t>
        </is>
      </c>
      <c r="C3340" t="inlineStr">
        <is>
          <t>Founder</t>
        </is>
      </c>
      <c r="D3340" t="inlineStr">
        <is>
          <t>Aircon</t>
        </is>
      </c>
      <c r="E3340" t="inlineStr">
        <is>
          <t>United States</t>
        </is>
      </c>
      <c r="H3340" t="n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>
        <f>IFERROR(INDEX('Company Hitlist'!$AA:$AA,MATCH(D3340,'Company Hitlist'!$A:$A,0)),)</f>
        <v/>
      </c>
      <c r="O3340">
        <f>IFERROR(INDEX('Company Hitlist'!$N:$N,MATCH(D3340,'Company Hitlist'!$A:$A,0)),)</f>
        <v/>
      </c>
      <c r="Q3340" t="inlineStr">
        <is>
          <t>todo</t>
        </is>
      </c>
    </row>
    <row r="3341">
      <c r="A3341" t="inlineStr">
        <is>
          <t>Tal Shpigel Shtauber</t>
        </is>
      </c>
      <c r="B3341" t="inlineStr">
        <is>
          <t>Sponsor</t>
        </is>
      </c>
      <c r="C3341" t="inlineStr">
        <is>
          <t>VP of Marketing</t>
        </is>
      </c>
      <c r="D3341" t="inlineStr">
        <is>
          <t>Airwayz</t>
        </is>
      </c>
      <c r="F3341" t="inlineStr">
        <is>
          <t>Yes</t>
        </is>
      </c>
      <c r="H3341" t="n">
        <v>0</v>
      </c>
      <c r="I3341" t="b">
        <v>0</v>
      </c>
      <c r="J3341" t="b">
        <v>1</v>
      </c>
      <c r="K3341" t="b">
        <v>0</v>
      </c>
      <c r="L3341" t="b">
        <v>0</v>
      </c>
      <c r="M3341" t="b">
        <v>1</v>
      </c>
      <c r="N3341">
        <f>IFERROR(INDEX('Company Hitlist'!$AA:$AA,MATCH(D3341,'Company Hitlist'!$A:$A,0)),)</f>
        <v/>
      </c>
      <c r="O3341">
        <f>IFERROR(INDEX('Company Hitlist'!$N:$N,MATCH(D3341,'Company Hitlist'!$A:$A,0)),)</f>
        <v/>
      </c>
      <c r="Q3341" t="inlineStr">
        <is>
          <t>todo</t>
        </is>
      </c>
    </row>
    <row r="3342">
      <c r="A3342" t="inlineStr">
        <is>
          <t>Derek Knueve</t>
        </is>
      </c>
      <c r="B3342" t="inlineStr">
        <is>
          <t>Attendee</t>
        </is>
      </c>
      <c r="C3342" t="inlineStr">
        <is>
          <t>Director</t>
        </is>
      </c>
      <c r="D3342" t="inlineStr">
        <is>
          <t>AlixPartners LLP</t>
        </is>
      </c>
      <c r="E3342" t="inlineStr">
        <is>
          <t>United States</t>
        </is>
      </c>
      <c r="H3342" t="n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>
        <f>IFERROR(INDEX('Company Hitlist'!$AA:$AA,MATCH(D3342,'Company Hitlist'!$A:$A,0)),)</f>
        <v/>
      </c>
      <c r="O3342">
        <f>IFERROR(INDEX('Company Hitlist'!$N:$N,MATCH(D3342,'Company Hitlist'!$A:$A,0)),)</f>
        <v/>
      </c>
      <c r="Q3342" t="inlineStr">
        <is>
          <t>todo</t>
        </is>
      </c>
    </row>
    <row r="3343">
      <c r="A3343" t="inlineStr">
        <is>
          <t>Shawn Vincent</t>
        </is>
      </c>
      <c r="B3343" t="inlineStr">
        <is>
          <t>Attendee</t>
        </is>
      </c>
      <c r="C3343" t="inlineStr">
        <is>
          <t>Regional Manager Stores</t>
        </is>
      </c>
      <c r="D3343" t="inlineStr">
        <is>
          <t>Allegiant</t>
        </is>
      </c>
      <c r="E3343" t="inlineStr">
        <is>
          <t>United States</t>
        </is>
      </c>
      <c r="H3343" t="n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>
        <f>IFERROR(INDEX('Company Hitlist'!$AA:$AA,MATCH(D3343,'Company Hitlist'!$A:$A,0)),)</f>
        <v/>
      </c>
      <c r="O3343">
        <f>IFERROR(INDEX('Company Hitlist'!$N:$N,MATCH(D3343,'Company Hitlist'!$A:$A,0)),)</f>
        <v/>
      </c>
      <c r="Q3343" t="inlineStr">
        <is>
          <t>todo</t>
        </is>
      </c>
    </row>
    <row r="3344">
      <c r="A3344" t="inlineStr">
        <is>
          <t>Aaron Sattley</t>
        </is>
      </c>
      <c r="B3344" t="inlineStr">
        <is>
          <t>Attendee</t>
        </is>
      </c>
      <c r="C3344" t="inlineStr">
        <is>
          <t>AOG Manager</t>
        </is>
      </c>
      <c r="D3344" t="inlineStr">
        <is>
          <t>Allegiant</t>
        </is>
      </c>
      <c r="H3344" t="n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>
        <f>IFERROR(INDEX('Company Hitlist'!$AA:$AA,MATCH(D3344,'Company Hitlist'!$A:$A,0)),)</f>
        <v/>
      </c>
      <c r="O3344">
        <f>IFERROR(INDEX('Company Hitlist'!$N:$N,MATCH(D3344,'Company Hitlist'!$A:$A,0)),)</f>
        <v/>
      </c>
      <c r="Q3344" t="inlineStr">
        <is>
          <t>todo</t>
        </is>
      </c>
    </row>
    <row r="3345">
      <c r="A3345" t="inlineStr">
        <is>
          <t>Natalie Monday</t>
        </is>
      </c>
      <c r="B3345" t="inlineStr">
        <is>
          <t>Attendee</t>
        </is>
      </c>
      <c r="C3345" t="inlineStr">
        <is>
          <t>Manager</t>
        </is>
      </c>
      <c r="D3345" t="inlineStr">
        <is>
          <t>Allegiant</t>
        </is>
      </c>
      <c r="H3345" t="n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>
        <f>IFERROR(INDEX('Company Hitlist'!$AA:$AA,MATCH(D3345,'Company Hitlist'!$A:$A,0)),)</f>
        <v/>
      </c>
      <c r="O3345">
        <f>IFERROR(INDEX('Company Hitlist'!$N:$N,MATCH(D3345,'Company Hitlist'!$A:$A,0)),)</f>
        <v/>
      </c>
      <c r="Q3345" t="inlineStr">
        <is>
          <t>todo</t>
        </is>
      </c>
    </row>
    <row r="3346">
      <c r="A3346" t="inlineStr">
        <is>
          <t>Matt Blackledge</t>
        </is>
      </c>
      <c r="B3346" t="inlineStr">
        <is>
          <t>Attendee</t>
        </is>
      </c>
      <c r="C3346" t="inlineStr">
        <is>
          <t>Sr. Director-Pricing Strategy/Market intel</t>
        </is>
      </c>
      <c r="D3346" t="inlineStr">
        <is>
          <t>Allen Lund Company</t>
        </is>
      </c>
      <c r="E3346" t="inlineStr">
        <is>
          <t>United States</t>
        </is>
      </c>
      <c r="F3346" t="inlineStr">
        <is>
          <t>Yes</t>
        </is>
      </c>
      <c r="H3346" t="n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>
        <f>IFERROR(INDEX('Company Hitlist'!$AA:$AA,MATCH(D3346,'Company Hitlist'!$A:$A,0)),)</f>
        <v/>
      </c>
      <c r="O3346">
        <f>IFERROR(INDEX('Company Hitlist'!$N:$N,MATCH(D3346,'Company Hitlist'!$A:$A,0)),)</f>
        <v/>
      </c>
      <c r="Q3346" t="inlineStr">
        <is>
          <t>todo</t>
        </is>
      </c>
    </row>
    <row r="3347">
      <c r="A3347" t="inlineStr">
        <is>
          <t>Zoe van den Bol</t>
        </is>
      </c>
      <c r="B3347" t="inlineStr">
        <is>
          <t>Attendee</t>
        </is>
      </c>
      <c r="C3347" t="inlineStr">
        <is>
          <t>Investor</t>
        </is>
      </c>
      <c r="D3347" t="inlineStr">
        <is>
          <t>Alpha Partners</t>
        </is>
      </c>
      <c r="E3347" t="inlineStr">
        <is>
          <t>United States</t>
        </is>
      </c>
      <c r="H3347" t="n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>
        <f>IFERROR(INDEX('Company Hitlist'!$AA:$AA,MATCH(D3347,'Company Hitlist'!$A:$A,0)),)</f>
        <v/>
      </c>
      <c r="O3347">
        <f>IFERROR(INDEX('Company Hitlist'!$N:$N,MATCH(D3347,'Company Hitlist'!$A:$A,0)),)</f>
        <v/>
      </c>
      <c r="Q3347" t="inlineStr">
        <is>
          <t>todo</t>
        </is>
      </c>
    </row>
    <row r="3348">
      <c r="A3348" t="inlineStr">
        <is>
          <t>Bryson Becker</t>
        </is>
      </c>
      <c r="B3348" t="inlineStr">
        <is>
          <t>Attendee</t>
        </is>
      </c>
      <c r="C3348" t="inlineStr">
        <is>
          <t>SDR</t>
        </is>
      </c>
      <c r="D3348" t="inlineStr">
        <is>
          <t>Alvys</t>
        </is>
      </c>
      <c r="E3348" t="inlineStr">
        <is>
          <t>United States</t>
        </is>
      </c>
      <c r="F3348" t="inlineStr">
        <is>
          <t>Yes</t>
        </is>
      </c>
      <c r="H3348" t="n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>
        <f>IFERROR(INDEX('Company Hitlist'!$AA:$AA,MATCH(D3348,'Company Hitlist'!$A:$A,0)),)</f>
        <v/>
      </c>
      <c r="O3348">
        <f>IFERROR(INDEX('Company Hitlist'!$N:$N,MATCH(D3348,'Company Hitlist'!$A:$A,0)),)</f>
        <v/>
      </c>
      <c r="Q3348" t="inlineStr">
        <is>
          <t>todo</t>
        </is>
      </c>
    </row>
    <row r="3349">
      <c r="A3349" t="inlineStr">
        <is>
          <t>Carter Chanaberry</t>
        </is>
      </c>
      <c r="B3349" t="inlineStr">
        <is>
          <t>Attendee</t>
        </is>
      </c>
      <c r="C3349" t="inlineStr">
        <is>
          <t>Enterprise SDR</t>
        </is>
      </c>
      <c r="D3349" t="inlineStr">
        <is>
          <t>Alvys</t>
        </is>
      </c>
      <c r="E3349" t="inlineStr">
        <is>
          <t>United States</t>
        </is>
      </c>
      <c r="F3349" t="inlineStr">
        <is>
          <t>Yes</t>
        </is>
      </c>
      <c r="H3349" t="n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>
        <f>IFERROR(INDEX('Company Hitlist'!$AA:$AA,MATCH(D3349,'Company Hitlist'!$A:$A,0)),)</f>
        <v/>
      </c>
      <c r="O3349">
        <f>IFERROR(INDEX('Company Hitlist'!$N:$N,MATCH(D3349,'Company Hitlist'!$A:$A,0)),)</f>
        <v/>
      </c>
      <c r="Q3349" t="inlineStr">
        <is>
          <t>todo</t>
        </is>
      </c>
    </row>
    <row r="3350">
      <c r="A3350" t="inlineStr">
        <is>
          <t>Sourav Sethia</t>
        </is>
      </c>
      <c r="B3350" t="inlineStr">
        <is>
          <t>Attendee</t>
        </is>
      </c>
      <c r="C3350" t="inlineStr">
        <is>
          <t>Business Intelligence Engineer</t>
        </is>
      </c>
      <c r="D3350" t="inlineStr">
        <is>
          <t>Amazon</t>
        </is>
      </c>
      <c r="E3350" t="inlineStr">
        <is>
          <t>United States</t>
        </is>
      </c>
      <c r="F3350" t="inlineStr">
        <is>
          <t>Yes</t>
        </is>
      </c>
      <c r="H3350" t="n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>
        <f>IFERROR(INDEX('Company Hitlist'!$AA:$AA,MATCH(D3350,'Company Hitlist'!$A:$A,0)),)</f>
        <v/>
      </c>
      <c r="O3350">
        <f>IFERROR(INDEX('Company Hitlist'!$N:$N,MATCH(D3350,'Company Hitlist'!$A:$A,0)),)</f>
        <v/>
      </c>
      <c r="Q3350" t="inlineStr">
        <is>
          <t>todo</t>
        </is>
      </c>
    </row>
    <row r="3351">
      <c r="A3351" t="inlineStr">
        <is>
          <t>Davide Maio</t>
        </is>
      </c>
      <c r="B3351" t="inlineStr">
        <is>
          <t>Attendee</t>
        </is>
      </c>
      <c r="C3351" t="inlineStr">
        <is>
          <t>Principal, 3PL Strategy</t>
        </is>
      </c>
      <c r="D3351" t="inlineStr">
        <is>
          <t>Amazon</t>
        </is>
      </c>
      <c r="F3351" t="inlineStr">
        <is>
          <t>Yes</t>
        </is>
      </c>
      <c r="H3351" t="n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>
        <f>IFERROR(INDEX('Company Hitlist'!$AA:$AA,MATCH(D3351,'Company Hitlist'!$A:$A,0)),)</f>
        <v/>
      </c>
      <c r="O3351">
        <f>IFERROR(INDEX('Company Hitlist'!$N:$N,MATCH(D3351,'Company Hitlist'!$A:$A,0)),)</f>
        <v/>
      </c>
      <c r="Q3351" t="inlineStr">
        <is>
          <t>todo</t>
        </is>
      </c>
    </row>
    <row r="3352">
      <c r="A3352" t="inlineStr">
        <is>
          <t>Vicky Tian</t>
        </is>
      </c>
      <c r="B3352" t="inlineStr">
        <is>
          <t>Attendee</t>
        </is>
      </c>
      <c r="C3352" t="inlineStr">
        <is>
          <t>Business Intelligence Engineer</t>
        </is>
      </c>
      <c r="D3352" t="inlineStr">
        <is>
          <t>Amazon</t>
        </is>
      </c>
      <c r="F3352" t="inlineStr">
        <is>
          <t>Yes</t>
        </is>
      </c>
      <c r="H3352" t="n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>
        <f>IFERROR(INDEX('Company Hitlist'!$AA:$AA,MATCH(D3352,'Company Hitlist'!$A:$A,0)),)</f>
        <v/>
      </c>
      <c r="O3352">
        <f>IFERROR(INDEX('Company Hitlist'!$N:$N,MATCH(D3352,'Company Hitlist'!$A:$A,0)),)</f>
        <v/>
      </c>
      <c r="Q3352" t="inlineStr">
        <is>
          <t>todo</t>
        </is>
      </c>
    </row>
    <row r="3353">
      <c r="A3353" t="inlineStr">
        <is>
          <t>Tej Sheth</t>
        </is>
      </c>
      <c r="B3353" t="inlineStr">
        <is>
          <t>Attendee</t>
        </is>
      </c>
      <c r="C3353" t="inlineStr">
        <is>
          <t>Lead Solutions Design Engineer</t>
        </is>
      </c>
      <c r="D3353" t="inlineStr">
        <is>
          <t>Amazon Robotics</t>
        </is>
      </c>
      <c r="E3353" t="inlineStr">
        <is>
          <t>United States</t>
        </is>
      </c>
      <c r="F3353" t="inlineStr">
        <is>
          <t>Yes</t>
        </is>
      </c>
      <c r="H3353" t="n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>
        <f>IFERROR(INDEX('Company Hitlist'!$AA:$AA,MATCH(D3353,'Company Hitlist'!$A:$A,0)),)</f>
        <v/>
      </c>
      <c r="O3353">
        <f>IFERROR(INDEX('Company Hitlist'!$N:$N,MATCH(D3353,'Company Hitlist'!$A:$A,0)),)</f>
        <v/>
      </c>
      <c r="Q3353" t="inlineStr">
        <is>
          <t>todo</t>
        </is>
      </c>
    </row>
    <row r="3354">
      <c r="A3354" t="inlineStr">
        <is>
          <t>Jonathan Toomey</t>
        </is>
      </c>
      <c r="B3354" t="inlineStr">
        <is>
          <t>Sponsor</t>
        </is>
      </c>
      <c r="C3354" t="inlineStr">
        <is>
          <t>Vice President of Business Development, Events &amp; Marketing</t>
        </is>
      </c>
      <c r="D3354" t="inlineStr">
        <is>
          <t>American Association of Port Authorities (AAPA)</t>
        </is>
      </c>
      <c r="E3354" t="inlineStr">
        <is>
          <t>United States</t>
        </is>
      </c>
      <c r="H3354" t="n">
        <v>0</v>
      </c>
      <c r="I3354" t="b">
        <v>0</v>
      </c>
      <c r="J3354" t="b">
        <v>1</v>
      </c>
      <c r="K3354" t="b">
        <v>0</v>
      </c>
      <c r="L3354" t="b">
        <v>0</v>
      </c>
      <c r="M3354" t="b">
        <v>1</v>
      </c>
      <c r="N3354">
        <f>IFERROR(INDEX('Company Hitlist'!$AA:$AA,MATCH(D3354,'Company Hitlist'!$A:$A,0)),)</f>
        <v/>
      </c>
      <c r="O3354">
        <f>IFERROR(INDEX('Company Hitlist'!$N:$N,MATCH(D3354,'Company Hitlist'!$A:$A,0)),)</f>
        <v/>
      </c>
      <c r="Q3354" t="inlineStr">
        <is>
          <t>todo</t>
        </is>
      </c>
    </row>
    <row r="3355">
      <c r="A3355" t="inlineStr">
        <is>
          <t>Michael Peters</t>
        </is>
      </c>
      <c r="B3355" t="inlineStr">
        <is>
          <t>Attendee</t>
        </is>
      </c>
      <c r="C3355" t="inlineStr">
        <is>
          <t>Director of Strategic Partnerships</t>
        </is>
      </c>
      <c r="D3355" t="inlineStr">
        <is>
          <t>American Eagle Solutions</t>
        </is>
      </c>
      <c r="E3355" t="inlineStr">
        <is>
          <t>United States</t>
        </is>
      </c>
      <c r="F3355" t="inlineStr">
        <is>
          <t>Yes</t>
        </is>
      </c>
      <c r="H3355" t="n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>
        <f>IFERROR(INDEX('Company Hitlist'!$AA:$AA,MATCH(D3355,'Company Hitlist'!$A:$A,0)),)</f>
        <v/>
      </c>
      <c r="O3355">
        <f>IFERROR(INDEX('Company Hitlist'!$N:$N,MATCH(D3355,'Company Hitlist'!$A:$A,0)),)</f>
        <v/>
      </c>
      <c r="Q3355" t="inlineStr">
        <is>
          <t>todo</t>
        </is>
      </c>
    </row>
    <row r="3356">
      <c r="A3356" t="inlineStr">
        <is>
          <t>Ryan Huffman</t>
        </is>
      </c>
      <c r="B3356" t="inlineStr">
        <is>
          <t>Attendee</t>
        </is>
      </c>
      <c r="C3356" t="inlineStr">
        <is>
          <t>Director of Strategic Partnerships</t>
        </is>
      </c>
      <c r="D3356" t="inlineStr">
        <is>
          <t>American Eagle Solutions</t>
        </is>
      </c>
      <c r="E3356" t="inlineStr">
        <is>
          <t>United States</t>
        </is>
      </c>
      <c r="F3356" t="inlineStr">
        <is>
          <t>Yes</t>
        </is>
      </c>
      <c r="H3356" t="n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>
        <f>IFERROR(INDEX('Company Hitlist'!$AA:$AA,MATCH(D3356,'Company Hitlist'!$A:$A,0)),)</f>
        <v/>
      </c>
      <c r="O3356">
        <f>IFERROR(INDEX('Company Hitlist'!$N:$N,MATCH(D3356,'Company Hitlist'!$A:$A,0)),)</f>
        <v/>
      </c>
      <c r="Q3356" t="inlineStr">
        <is>
          <t>todo</t>
        </is>
      </c>
    </row>
    <row r="3357">
      <c r="A3357" t="inlineStr">
        <is>
          <t>Lee Conquest</t>
        </is>
      </c>
      <c r="B3357" t="inlineStr">
        <is>
          <t>Attendee</t>
        </is>
      </c>
      <c r="C3357" t="inlineStr">
        <is>
          <t>Manager</t>
        </is>
      </c>
      <c r="D3357" t="inlineStr">
        <is>
          <t>American Furukawa</t>
        </is>
      </c>
      <c r="H3357" t="n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>
        <f>IFERROR(INDEX('Company Hitlist'!$AA:$AA,MATCH(D3357,'Company Hitlist'!$A:$A,0)),)</f>
        <v/>
      </c>
      <c r="O3357">
        <f>IFERROR(INDEX('Company Hitlist'!$N:$N,MATCH(D3357,'Company Hitlist'!$A:$A,0)),)</f>
        <v/>
      </c>
      <c r="Q3357" t="inlineStr">
        <is>
          <t>todo</t>
        </is>
      </c>
    </row>
    <row r="3358">
      <c r="A3358" t="inlineStr">
        <is>
          <t>Daniel Castanon</t>
        </is>
      </c>
      <c r="B3358" t="inlineStr">
        <is>
          <t>Attendee</t>
        </is>
      </c>
      <c r="C3358" t="inlineStr">
        <is>
          <t>Assistant Shipping Manager</t>
        </is>
      </c>
      <c r="D3358" t="inlineStr">
        <is>
          <t>Amplex Corporation</t>
        </is>
      </c>
      <c r="E3358" t="inlineStr">
        <is>
          <t>United States</t>
        </is>
      </c>
      <c r="H3358" t="n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>
        <f>IFERROR(INDEX('Company Hitlist'!$AA:$AA,MATCH(D3358,'Company Hitlist'!$A:$A,0)),)</f>
        <v/>
      </c>
      <c r="O3358">
        <f>IFERROR(INDEX('Company Hitlist'!$N:$N,MATCH(D3358,'Company Hitlist'!$A:$A,0)),)</f>
        <v/>
      </c>
      <c r="Q3358" t="inlineStr">
        <is>
          <t>todo</t>
        </is>
      </c>
    </row>
    <row r="3359">
      <c r="A3359" t="inlineStr">
        <is>
          <t>Scott Elliott</t>
        </is>
      </c>
      <c r="B3359" t="inlineStr">
        <is>
          <t>Attendee</t>
        </is>
      </c>
      <c r="C3359" t="inlineStr">
        <is>
          <t>CRO</t>
        </is>
      </c>
      <c r="D3359" t="inlineStr">
        <is>
          <t>Amware</t>
        </is>
      </c>
      <c r="E3359" t="inlineStr">
        <is>
          <t>United States</t>
        </is>
      </c>
      <c r="F3359" t="inlineStr">
        <is>
          <t>Yes</t>
        </is>
      </c>
      <c r="H3359" t="n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>
        <f>IFERROR(INDEX('Company Hitlist'!$AA:$AA,MATCH(D3359,'Company Hitlist'!$A:$A,0)),)</f>
        <v/>
      </c>
      <c r="O3359">
        <f>IFERROR(INDEX('Company Hitlist'!$N:$N,MATCH(D3359,'Company Hitlist'!$A:$A,0)),)</f>
        <v/>
      </c>
      <c r="Q3359" t="inlineStr">
        <is>
          <t>todo</t>
        </is>
      </c>
    </row>
    <row r="3360">
      <c r="A3360" t="inlineStr">
        <is>
          <t>Rachael Bodensteiner</t>
        </is>
      </c>
      <c r="B3360" t="inlineStr">
        <is>
          <t>Attendee</t>
        </is>
      </c>
      <c r="C3360" t="inlineStr">
        <is>
          <t>Freight Specialist</t>
        </is>
      </c>
      <c r="D3360" t="inlineStr">
        <is>
          <t>Anchor Ingrediants</t>
        </is>
      </c>
      <c r="F3360" t="inlineStr">
        <is>
          <t>Yes</t>
        </is>
      </c>
      <c r="H3360" t="n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>
        <f>IFERROR(INDEX('Company Hitlist'!$AA:$AA,MATCH(D3360,'Company Hitlist'!$A:$A,0)),)</f>
        <v/>
      </c>
      <c r="O3360">
        <f>IFERROR(INDEX('Company Hitlist'!$N:$N,MATCH(D3360,'Company Hitlist'!$A:$A,0)),)</f>
        <v/>
      </c>
      <c r="Q3360" t="inlineStr">
        <is>
          <t>todo</t>
        </is>
      </c>
    </row>
    <row r="3361">
      <c r="A3361" t="inlineStr">
        <is>
          <t>Tobias Nielsen</t>
        </is>
      </c>
      <c r="B3361" t="inlineStr">
        <is>
          <t>Attendee</t>
        </is>
      </c>
      <c r="C3361" t="inlineStr">
        <is>
          <t>Founder</t>
        </is>
      </c>
      <c r="D3361" t="inlineStr">
        <is>
          <t>Anthem</t>
        </is>
      </c>
      <c r="E3361" t="inlineStr">
        <is>
          <t>Denmark</t>
        </is>
      </c>
      <c r="H3361" t="n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>
        <f>IFERROR(INDEX('Company Hitlist'!$AA:$AA,MATCH(D3361,'Company Hitlist'!$A:$A,0)),)</f>
        <v/>
      </c>
      <c r="O3361">
        <f>IFERROR(INDEX('Company Hitlist'!$N:$N,MATCH(D3361,'Company Hitlist'!$A:$A,0)),)</f>
        <v/>
      </c>
      <c r="Q3361" t="inlineStr">
        <is>
          <t>todo</t>
        </is>
      </c>
    </row>
    <row r="3362">
      <c r="A3362" t="inlineStr">
        <is>
          <t>Jack Hayden</t>
        </is>
      </c>
      <c r="B3362" t="inlineStr">
        <is>
          <t>Attendee</t>
        </is>
      </c>
      <c r="C3362" t="inlineStr">
        <is>
          <t>Principal</t>
        </is>
      </c>
      <c r="D3362" t="inlineStr">
        <is>
          <t>Apax Partners</t>
        </is>
      </c>
      <c r="E3362" t="inlineStr">
        <is>
          <t>United States</t>
        </is>
      </c>
      <c r="H3362" t="n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>
        <f>IFERROR(INDEX('Company Hitlist'!$AA:$AA,MATCH(D3362,'Company Hitlist'!$A:$A,0)),)</f>
        <v/>
      </c>
      <c r="O3362">
        <f>IFERROR(INDEX('Company Hitlist'!$N:$N,MATCH(D3362,'Company Hitlist'!$A:$A,0)),)</f>
        <v/>
      </c>
      <c r="Q3362" t="inlineStr">
        <is>
          <t>todo</t>
        </is>
      </c>
    </row>
    <row r="3363">
      <c r="A3363" t="inlineStr">
        <is>
          <t>Jesus Rueda Molins</t>
        </is>
      </c>
      <c r="B3363" t="inlineStr">
        <is>
          <t>Attendee</t>
        </is>
      </c>
      <c r="C3363" t="inlineStr">
        <is>
          <t>Principal</t>
        </is>
      </c>
      <c r="D3363" t="inlineStr">
        <is>
          <t>Apax Partners</t>
        </is>
      </c>
      <c r="E3363" t="inlineStr">
        <is>
          <t>United States</t>
        </is>
      </c>
      <c r="H3363" t="n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>
        <f>IFERROR(INDEX('Company Hitlist'!$AA:$AA,MATCH(D3363,'Company Hitlist'!$A:$A,0)),)</f>
        <v/>
      </c>
      <c r="O3363">
        <f>IFERROR(INDEX('Company Hitlist'!$N:$N,MATCH(D3363,'Company Hitlist'!$A:$A,0)),)</f>
        <v/>
      </c>
      <c r="Q3363" t="inlineStr">
        <is>
          <t>todo</t>
        </is>
      </c>
    </row>
    <row r="3364">
      <c r="A3364" t="inlineStr">
        <is>
          <t>Joy Fu</t>
        </is>
      </c>
      <c r="B3364" t="inlineStr">
        <is>
          <t>Attendee</t>
        </is>
      </c>
      <c r="C3364" t="inlineStr">
        <is>
          <t>Associate</t>
        </is>
      </c>
      <c r="D3364" t="inlineStr">
        <is>
          <t>Apax Partners</t>
        </is>
      </c>
      <c r="E3364" t="inlineStr">
        <is>
          <t>United States</t>
        </is>
      </c>
      <c r="H3364" t="n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>
        <f>IFERROR(INDEX('Company Hitlist'!$AA:$AA,MATCH(D3364,'Company Hitlist'!$A:$A,0)),)</f>
        <v/>
      </c>
      <c r="O3364">
        <f>IFERROR(INDEX('Company Hitlist'!$N:$N,MATCH(D3364,'Company Hitlist'!$A:$A,0)),)</f>
        <v/>
      </c>
      <c r="Q3364" t="inlineStr">
        <is>
          <t>todo</t>
        </is>
      </c>
    </row>
    <row r="3365">
      <c r="A3365" t="inlineStr">
        <is>
          <t>Michael Foster</t>
        </is>
      </c>
      <c r="B3365" t="inlineStr">
        <is>
          <t>Attendee</t>
        </is>
      </c>
      <c r="C3365" t="inlineStr">
        <is>
          <t>Senior Product Manager - NextLOAD</t>
        </is>
      </c>
      <c r="D3365" t="inlineStr">
        <is>
          <t>Apex Capital Corp</t>
        </is>
      </c>
      <c r="E3365" t="inlineStr">
        <is>
          <t>United States</t>
        </is>
      </c>
      <c r="H3365" t="n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>
        <f>IFERROR(INDEX('Company Hitlist'!$AA:$AA,MATCH(D3365,'Company Hitlist'!$A:$A,0)),)</f>
        <v/>
      </c>
      <c r="O3365">
        <f>IFERROR(INDEX('Company Hitlist'!$N:$N,MATCH(D3365,'Company Hitlist'!$A:$A,0)),)</f>
        <v/>
      </c>
      <c r="Q3365" t="inlineStr">
        <is>
          <t>todo</t>
        </is>
      </c>
    </row>
    <row r="3366">
      <c r="A3366" t="inlineStr">
        <is>
          <t>Stephen Wilson</t>
        </is>
      </c>
      <c r="B3366" t="inlineStr">
        <is>
          <t>Attendee</t>
        </is>
      </c>
      <c r="C3366" t="inlineStr">
        <is>
          <t>Director of National Accounts</t>
        </is>
      </c>
      <c r="D3366" t="inlineStr">
        <is>
          <t>Apex Companies</t>
        </is>
      </c>
      <c r="E3366" t="inlineStr">
        <is>
          <t>United States</t>
        </is>
      </c>
      <c r="H3366" t="n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>
        <f>IFERROR(INDEX('Company Hitlist'!$AA:$AA,MATCH(D3366,'Company Hitlist'!$A:$A,0)),)</f>
        <v/>
      </c>
      <c r="O3366">
        <f>IFERROR(INDEX('Company Hitlist'!$N:$N,MATCH(D3366,'Company Hitlist'!$A:$A,0)),)</f>
        <v/>
      </c>
      <c r="Q3366" t="inlineStr">
        <is>
          <t>todo</t>
        </is>
      </c>
    </row>
    <row r="3367">
      <c r="A3367" t="inlineStr">
        <is>
          <t>Scott Baldwin</t>
        </is>
      </c>
      <c r="B3367" t="inlineStr">
        <is>
          <t>Sponsor</t>
        </is>
      </c>
      <c r="C3367" t="inlineStr">
        <is>
          <t>Regional Vice President, Sales</t>
        </is>
      </c>
      <c r="D3367" t="inlineStr">
        <is>
          <t>Aptean Supply Chain</t>
        </is>
      </c>
      <c r="H3367" t="n">
        <v>0</v>
      </c>
      <c r="I3367" t="b">
        <v>0</v>
      </c>
      <c r="J3367" t="b">
        <v>1</v>
      </c>
      <c r="K3367" t="b">
        <v>0</v>
      </c>
      <c r="L3367" t="b">
        <v>0</v>
      </c>
      <c r="M3367" t="b">
        <v>1</v>
      </c>
      <c r="N3367">
        <f>IFERROR(INDEX('Company Hitlist'!$AA:$AA,MATCH(D3367,'Company Hitlist'!$A:$A,0)),)</f>
        <v/>
      </c>
      <c r="O3367">
        <f>IFERROR(INDEX('Company Hitlist'!$N:$N,MATCH(D3367,'Company Hitlist'!$A:$A,0)),)</f>
        <v/>
      </c>
      <c r="Q3367" t="inlineStr">
        <is>
          <t>todo</t>
        </is>
      </c>
    </row>
    <row r="3368">
      <c r="A3368" t="inlineStr">
        <is>
          <t>Francisco Gonzalez</t>
        </is>
      </c>
      <c r="B3368" t="inlineStr">
        <is>
          <t>Attendee</t>
        </is>
      </c>
      <c r="C3368" t="inlineStr">
        <is>
          <t>Engineering Technician</t>
        </is>
      </c>
      <c r="D3368" t="inlineStr">
        <is>
          <t>ArcBest</t>
        </is>
      </c>
      <c r="F3368" t="inlineStr">
        <is>
          <t>Yes</t>
        </is>
      </c>
      <c r="G3368" t="inlineStr">
        <is>
          <t>$4.4 billion (2025)</t>
        </is>
      </c>
      <c r="H3368" t="n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>
        <f>IFERROR(INDEX('Company Hitlist'!$AA:$AA,MATCH(D3368,'Company Hitlist'!$A:$A,0)),)</f>
        <v/>
      </c>
      <c r="O3368">
        <f>IFERROR(INDEX('Company Hitlist'!$N:$N,MATCH(D3368,'Company Hitlist'!$A:$A,0)),)</f>
        <v/>
      </c>
      <c r="Q3368" t="inlineStr">
        <is>
          <t>todo</t>
        </is>
      </c>
    </row>
    <row r="3369">
      <c r="A3369" t="inlineStr">
        <is>
          <t>Lori Brooks</t>
        </is>
      </c>
      <c r="B3369" t="inlineStr">
        <is>
          <t>Sponsor</t>
        </is>
      </c>
      <c r="C3369" t="inlineStr">
        <is>
          <t>Vice President, Marketing and Customer Experience</t>
        </is>
      </c>
      <c r="D3369" t="inlineStr">
        <is>
          <t>ArcBest</t>
        </is>
      </c>
      <c r="F3369" t="inlineStr">
        <is>
          <t>Yes</t>
        </is>
      </c>
      <c r="G3369" t="inlineStr">
        <is>
          <t>$4.4 billion (2025)</t>
        </is>
      </c>
      <c r="H3369" t="n">
        <v>0</v>
      </c>
      <c r="I3369" t="b">
        <v>0</v>
      </c>
      <c r="J3369" t="b">
        <v>1</v>
      </c>
      <c r="K3369" t="b">
        <v>0</v>
      </c>
      <c r="L3369" t="b">
        <v>0</v>
      </c>
      <c r="M3369" t="b">
        <v>1</v>
      </c>
      <c r="N3369">
        <f>IFERROR(INDEX('Company Hitlist'!$AA:$AA,MATCH(D3369,'Company Hitlist'!$A:$A,0)),)</f>
        <v/>
      </c>
      <c r="O3369">
        <f>IFERROR(INDEX('Company Hitlist'!$N:$N,MATCH(D3369,'Company Hitlist'!$A:$A,0)),)</f>
        <v/>
      </c>
      <c r="Q3369" t="inlineStr">
        <is>
          <t>todo</t>
        </is>
      </c>
    </row>
    <row r="3370">
      <c r="A3370" t="inlineStr">
        <is>
          <t>Brady Wamsley</t>
        </is>
      </c>
      <c r="B3370" t="inlineStr">
        <is>
          <t>Sponsor</t>
        </is>
      </c>
      <c r="C3370" t="inlineStr">
        <is>
          <t>Regional Vice President, Enterprise Sales</t>
        </is>
      </c>
      <c r="D3370" t="inlineStr">
        <is>
          <t>ArcBest</t>
        </is>
      </c>
      <c r="H3370" t="n">
        <v>0</v>
      </c>
      <c r="I3370" t="b">
        <v>0</v>
      </c>
      <c r="J3370" t="b">
        <v>1</v>
      </c>
      <c r="K3370" t="b">
        <v>0</v>
      </c>
      <c r="L3370" t="b">
        <v>0</v>
      </c>
      <c r="M3370" t="b">
        <v>1</v>
      </c>
      <c r="N3370">
        <f>IFERROR(INDEX('Company Hitlist'!$AA:$AA,MATCH(D3370,'Company Hitlist'!$A:$A,0)),)</f>
        <v/>
      </c>
      <c r="O3370">
        <f>IFERROR(INDEX('Company Hitlist'!$N:$N,MATCH(D3370,'Company Hitlist'!$A:$A,0)),)</f>
        <v/>
      </c>
      <c r="Q3370" t="inlineStr">
        <is>
          <t>todo</t>
        </is>
      </c>
    </row>
    <row r="3371">
      <c r="A3371" t="inlineStr">
        <is>
          <t>Chris Huff</t>
        </is>
      </c>
      <c r="B3371" t="inlineStr">
        <is>
          <t>Sponsor</t>
        </is>
      </c>
      <c r="C3371" t="inlineStr">
        <is>
          <t>Regional Vice President, Enterprise Sales</t>
        </is>
      </c>
      <c r="D3371" t="inlineStr">
        <is>
          <t>ArcBest</t>
        </is>
      </c>
      <c r="H3371" t="n">
        <v>0</v>
      </c>
      <c r="I3371" t="b">
        <v>0</v>
      </c>
      <c r="J3371" t="b">
        <v>1</v>
      </c>
      <c r="K3371" t="b">
        <v>0</v>
      </c>
      <c r="L3371" t="b">
        <v>0</v>
      </c>
      <c r="M3371" t="b">
        <v>1</v>
      </c>
      <c r="N3371">
        <f>IFERROR(INDEX('Company Hitlist'!$AA:$AA,MATCH(D3371,'Company Hitlist'!$A:$A,0)),)</f>
        <v/>
      </c>
      <c r="O3371">
        <f>IFERROR(INDEX('Company Hitlist'!$N:$N,MATCH(D3371,'Company Hitlist'!$A:$A,0)),)</f>
        <v/>
      </c>
      <c r="Q3371" t="inlineStr">
        <is>
          <t>todo</t>
        </is>
      </c>
    </row>
    <row r="3372">
      <c r="A3372" t="inlineStr">
        <is>
          <t>Dwight Hayes</t>
        </is>
      </c>
      <c r="B3372" t="inlineStr">
        <is>
          <t>Sponsor</t>
        </is>
      </c>
      <c r="C3372" t="inlineStr">
        <is>
          <t>Regional Vice President, Enterprise Sales</t>
        </is>
      </c>
      <c r="D3372" t="inlineStr">
        <is>
          <t>ArcBest</t>
        </is>
      </c>
      <c r="H3372" t="n">
        <v>0</v>
      </c>
      <c r="I3372" t="b">
        <v>0</v>
      </c>
      <c r="J3372" t="b">
        <v>1</v>
      </c>
      <c r="K3372" t="b">
        <v>0</v>
      </c>
      <c r="L3372" t="b">
        <v>0</v>
      </c>
      <c r="M3372" t="b">
        <v>1</v>
      </c>
      <c r="N3372">
        <f>IFERROR(INDEX('Company Hitlist'!$AA:$AA,MATCH(D3372,'Company Hitlist'!$A:$A,0)),)</f>
        <v/>
      </c>
      <c r="O3372">
        <f>IFERROR(INDEX('Company Hitlist'!$N:$N,MATCH(D3372,'Company Hitlist'!$A:$A,0)),)</f>
        <v/>
      </c>
      <c r="Q3372" t="inlineStr">
        <is>
          <t>todo</t>
        </is>
      </c>
    </row>
    <row r="3373">
      <c r="A3373" t="inlineStr">
        <is>
          <t>Nate Ross</t>
        </is>
      </c>
      <c r="B3373" t="inlineStr">
        <is>
          <t>Sponsor</t>
        </is>
      </c>
      <c r="C3373" t="inlineStr">
        <is>
          <t>Vice President, Enterprise Sales</t>
        </is>
      </c>
      <c r="D3373" t="inlineStr">
        <is>
          <t>ArcBest</t>
        </is>
      </c>
      <c r="H3373" t="n">
        <v>0</v>
      </c>
      <c r="I3373" t="b">
        <v>0</v>
      </c>
      <c r="J3373" t="b">
        <v>1</v>
      </c>
      <c r="K3373" t="b">
        <v>0</v>
      </c>
      <c r="L3373" t="b">
        <v>0</v>
      </c>
      <c r="M3373" t="b">
        <v>1</v>
      </c>
      <c r="N3373">
        <f>IFERROR(INDEX('Company Hitlist'!$AA:$AA,MATCH(D3373,'Company Hitlist'!$A:$A,0)),)</f>
        <v/>
      </c>
      <c r="O3373">
        <f>IFERROR(INDEX('Company Hitlist'!$N:$N,MATCH(D3373,'Company Hitlist'!$A:$A,0)),)</f>
        <v/>
      </c>
      <c r="Q3373" t="inlineStr">
        <is>
          <t>todo</t>
        </is>
      </c>
    </row>
    <row r="3374">
      <c r="A3374" t="inlineStr">
        <is>
          <t>Stanley Dobbs</t>
        </is>
      </c>
      <c r="B3374" t="inlineStr">
        <is>
          <t>Sponsor</t>
        </is>
      </c>
      <c r="C3374" t="inlineStr">
        <is>
          <t>Regional Vice President, Enterprise Sales</t>
        </is>
      </c>
      <c r="D3374" t="inlineStr">
        <is>
          <t>ArcBest</t>
        </is>
      </c>
      <c r="H3374" t="n">
        <v>0</v>
      </c>
      <c r="I3374" t="b">
        <v>0</v>
      </c>
      <c r="J3374" t="b">
        <v>1</v>
      </c>
      <c r="K3374" t="b">
        <v>0</v>
      </c>
      <c r="L3374" t="b">
        <v>0</v>
      </c>
      <c r="M3374" t="b">
        <v>1</v>
      </c>
      <c r="N3374">
        <f>IFERROR(INDEX('Company Hitlist'!$AA:$AA,MATCH(D3374,'Company Hitlist'!$A:$A,0)),)</f>
        <v/>
      </c>
      <c r="O3374">
        <f>IFERROR(INDEX('Company Hitlist'!$N:$N,MATCH(D3374,'Company Hitlist'!$A:$A,0)),)</f>
        <v/>
      </c>
      <c r="Q3374" t="inlineStr">
        <is>
          <t>todo</t>
        </is>
      </c>
    </row>
    <row r="3375">
      <c r="A3375" t="inlineStr">
        <is>
          <t>Brian Beasley</t>
        </is>
      </c>
      <c r="B3375" t="inlineStr">
        <is>
          <t>Attendee</t>
        </is>
      </c>
      <c r="C3375" t="inlineStr">
        <is>
          <t>Senior Manager, Innovation Strategy</t>
        </is>
      </c>
      <c r="D3375" t="inlineStr">
        <is>
          <t>ArcBest</t>
        </is>
      </c>
      <c r="H3375" t="n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>
        <f>IFERROR(INDEX('Company Hitlist'!$AA:$AA,MATCH(D3375,'Company Hitlist'!$A:$A,0)),)</f>
        <v/>
      </c>
      <c r="O3375">
        <f>IFERROR(INDEX('Company Hitlist'!$N:$N,MATCH(D3375,'Company Hitlist'!$A:$A,0)),)</f>
        <v/>
      </c>
      <c r="Q3375" t="inlineStr">
        <is>
          <t>todo</t>
        </is>
      </c>
    </row>
    <row r="3376">
      <c r="A3376" t="inlineStr">
        <is>
          <t>Tony Chiappetta</t>
        </is>
      </c>
      <c r="B3376" t="inlineStr">
        <is>
          <t>Attendee</t>
        </is>
      </c>
      <c r="C3376" t="inlineStr">
        <is>
          <t>Co-Owner</t>
        </is>
      </c>
      <c r="D3376" t="inlineStr">
        <is>
          <t>Argents</t>
        </is>
      </c>
      <c r="F3376" t="inlineStr">
        <is>
          <t>Yes</t>
        </is>
      </c>
      <c r="H3376" t="n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>
        <f>IFERROR(INDEX('Company Hitlist'!$AA:$AA,MATCH(D3376,'Company Hitlist'!$A:$A,0)),)</f>
        <v/>
      </c>
      <c r="O3376">
        <f>IFERROR(INDEX('Company Hitlist'!$N:$N,MATCH(D3376,'Company Hitlist'!$A:$A,0)),)</f>
        <v/>
      </c>
      <c r="Q3376" t="inlineStr">
        <is>
          <t>todo</t>
        </is>
      </c>
    </row>
    <row r="3377">
      <c r="A3377" t="inlineStr">
        <is>
          <t>Tim Brindley</t>
        </is>
      </c>
      <c r="B3377" t="inlineStr">
        <is>
          <t>Attendee</t>
        </is>
      </c>
      <c r="C3377" t="inlineStr">
        <is>
          <t>Partner</t>
        </is>
      </c>
      <c r="D3377" t="inlineStr">
        <is>
          <t>Argon &amp; Co</t>
        </is>
      </c>
      <c r="E3377" t="inlineStr">
        <is>
          <t>United States</t>
        </is>
      </c>
      <c r="H3377" t="n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>
        <f>IFERROR(INDEX('Company Hitlist'!$AA:$AA,MATCH(D3377,'Company Hitlist'!$A:$A,0)),)</f>
        <v/>
      </c>
      <c r="O3377">
        <f>IFERROR(INDEX('Company Hitlist'!$N:$N,MATCH(D3377,'Company Hitlist'!$A:$A,0)),)</f>
        <v/>
      </c>
      <c r="Q3377" t="inlineStr">
        <is>
          <t>todo</t>
        </is>
      </c>
    </row>
    <row r="3378">
      <c r="A3378" t="inlineStr">
        <is>
          <t>Christopher Scherschel</t>
        </is>
      </c>
      <c r="B3378" t="inlineStr">
        <is>
          <t>Attendee</t>
        </is>
      </c>
      <c r="C3378" t="inlineStr">
        <is>
          <t>Manufacturing Engineer</t>
        </is>
      </c>
      <c r="D3378" t="inlineStr">
        <is>
          <t>Aristocrat</t>
        </is>
      </c>
      <c r="E3378" t="inlineStr">
        <is>
          <t>United States</t>
        </is>
      </c>
      <c r="H3378" t="n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>
        <f>IFERROR(INDEX('Company Hitlist'!$AA:$AA,MATCH(D3378,'Company Hitlist'!$A:$A,0)),)</f>
        <v/>
      </c>
      <c r="O3378">
        <f>IFERROR(INDEX('Company Hitlist'!$N:$N,MATCH(D3378,'Company Hitlist'!$A:$A,0)),)</f>
        <v/>
      </c>
      <c r="Q3378" t="inlineStr">
        <is>
          <t>todo</t>
        </is>
      </c>
    </row>
    <row r="3379">
      <c r="A3379" t="inlineStr">
        <is>
          <t>Alexander Van Der Enden</t>
        </is>
      </c>
      <c r="B3379" t="inlineStr">
        <is>
          <t>Attendee</t>
        </is>
      </c>
      <c r="C3379" t="inlineStr">
        <is>
          <t>Manufacturing Engineering Supervisor</t>
        </is>
      </c>
      <c r="D3379" t="inlineStr">
        <is>
          <t>Aristocrat Technologies</t>
        </is>
      </c>
      <c r="H3379" t="n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>
        <f>IFERROR(INDEX('Company Hitlist'!$AA:$AA,MATCH(D3379,'Company Hitlist'!$A:$A,0)),)</f>
        <v/>
      </c>
      <c r="O3379">
        <f>IFERROR(INDEX('Company Hitlist'!$N:$N,MATCH(D3379,'Company Hitlist'!$A:$A,0)),)</f>
        <v/>
      </c>
      <c r="Q3379" t="inlineStr">
        <is>
          <t>todo</t>
        </is>
      </c>
    </row>
    <row r="3380">
      <c r="A3380" t="inlineStr">
        <is>
          <t>Chetan Darwey</t>
        </is>
      </c>
      <c r="B3380" t="inlineStr">
        <is>
          <t>Attendee</t>
        </is>
      </c>
      <c r="C3380" t="inlineStr">
        <is>
          <t>Engineer</t>
        </is>
      </c>
      <c r="D3380" t="inlineStr">
        <is>
          <t>Aristocrat Technologies</t>
        </is>
      </c>
      <c r="H3380" t="n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>
        <f>IFERROR(INDEX('Company Hitlist'!$AA:$AA,MATCH(D3380,'Company Hitlist'!$A:$A,0)),)</f>
        <v/>
      </c>
      <c r="O3380">
        <f>IFERROR(INDEX('Company Hitlist'!$N:$N,MATCH(D3380,'Company Hitlist'!$A:$A,0)),)</f>
        <v/>
      </c>
      <c r="Q3380" t="inlineStr">
        <is>
          <t>todo</t>
        </is>
      </c>
    </row>
    <row r="3381">
      <c r="A3381" t="inlineStr">
        <is>
          <t>Frank Basil</t>
        </is>
      </c>
      <c r="B3381" t="inlineStr">
        <is>
          <t>Attendee</t>
        </is>
      </c>
      <c r="C3381" t="inlineStr">
        <is>
          <t>Manufacturing Engineer</t>
        </is>
      </c>
      <c r="D3381" t="inlineStr">
        <is>
          <t>Aristocrat Technologies</t>
        </is>
      </c>
      <c r="H3381" t="n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>
        <f>IFERROR(INDEX('Company Hitlist'!$AA:$AA,MATCH(D3381,'Company Hitlist'!$A:$A,0)),)</f>
        <v/>
      </c>
      <c r="O3381">
        <f>IFERROR(INDEX('Company Hitlist'!$N:$N,MATCH(D3381,'Company Hitlist'!$A:$A,0)),)</f>
        <v/>
      </c>
      <c r="Q3381" t="inlineStr">
        <is>
          <t>todo</t>
        </is>
      </c>
    </row>
    <row r="3382">
      <c r="A3382" t="inlineStr">
        <is>
          <t>Jason Basta</t>
        </is>
      </c>
      <c r="B3382" t="inlineStr">
        <is>
          <t>Attendee</t>
        </is>
      </c>
      <c r="C3382" t="inlineStr">
        <is>
          <t>Engineering Senior Director</t>
        </is>
      </c>
      <c r="D3382" t="inlineStr">
        <is>
          <t>Aristocrat Technologies</t>
        </is>
      </c>
      <c r="H3382" t="n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>
        <f>IFERROR(INDEX('Company Hitlist'!$AA:$AA,MATCH(D3382,'Company Hitlist'!$A:$A,0)),)</f>
        <v/>
      </c>
      <c r="O3382">
        <f>IFERROR(INDEX('Company Hitlist'!$N:$N,MATCH(D3382,'Company Hitlist'!$A:$A,0)),)</f>
        <v/>
      </c>
      <c r="Q3382" t="inlineStr">
        <is>
          <t>todo</t>
        </is>
      </c>
    </row>
    <row r="3383">
      <c r="A3383" t="inlineStr">
        <is>
          <t>Seth Adkins</t>
        </is>
      </c>
      <c r="B3383" t="inlineStr">
        <is>
          <t>Attendee</t>
        </is>
      </c>
      <c r="C3383" t="inlineStr">
        <is>
          <t>Manufacturing Engineer</t>
        </is>
      </c>
      <c r="D3383" t="inlineStr">
        <is>
          <t>Aristocrat Technologies</t>
        </is>
      </c>
      <c r="H3383" t="n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>
        <f>IFERROR(INDEX('Company Hitlist'!$AA:$AA,MATCH(D3383,'Company Hitlist'!$A:$A,0)),)</f>
        <v/>
      </c>
      <c r="O3383">
        <f>IFERROR(INDEX('Company Hitlist'!$N:$N,MATCH(D3383,'Company Hitlist'!$A:$A,0)),)</f>
        <v/>
      </c>
      <c r="Q3383" t="inlineStr">
        <is>
          <t>todo</t>
        </is>
      </c>
    </row>
    <row r="3384">
      <c r="A3384" t="inlineStr">
        <is>
          <t>Tanmay Datta</t>
        </is>
      </c>
      <c r="B3384" t="inlineStr">
        <is>
          <t>Attendee</t>
        </is>
      </c>
      <c r="C3384" t="inlineStr">
        <is>
          <t>Senior Engineer. Continuous Improvement</t>
        </is>
      </c>
      <c r="D3384" t="inlineStr">
        <is>
          <t>Aristocrat Technologies</t>
        </is>
      </c>
      <c r="H3384" t="n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>
        <f>IFERROR(INDEX('Company Hitlist'!$AA:$AA,MATCH(D3384,'Company Hitlist'!$A:$A,0)),)</f>
        <v/>
      </c>
      <c r="O3384">
        <f>IFERROR(INDEX('Company Hitlist'!$N:$N,MATCH(D3384,'Company Hitlist'!$A:$A,0)),)</f>
        <v/>
      </c>
      <c r="Q3384" t="inlineStr">
        <is>
          <t>todo</t>
        </is>
      </c>
    </row>
    <row r="3385">
      <c r="A3385" t="inlineStr">
        <is>
          <t>Vitaly Bekker</t>
        </is>
      </c>
      <c r="B3385" t="inlineStr">
        <is>
          <t>Attendee</t>
        </is>
      </c>
      <c r="C3385" t="inlineStr">
        <is>
          <t>Manager, Carrier Performance</t>
        </is>
      </c>
      <c r="D3385" t="inlineStr">
        <is>
          <t>Aritzia</t>
        </is>
      </c>
      <c r="H3385" t="n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>
        <f>IFERROR(INDEX('Company Hitlist'!$AA:$AA,MATCH(D3385,'Company Hitlist'!$A:$A,0)),)</f>
        <v/>
      </c>
      <c r="O3385">
        <f>IFERROR(INDEX('Company Hitlist'!$N:$N,MATCH(D3385,'Company Hitlist'!$A:$A,0)),)</f>
        <v/>
      </c>
      <c r="Q3385" t="inlineStr">
        <is>
          <t>todo</t>
        </is>
      </c>
    </row>
    <row r="3386">
      <c r="A3386" t="inlineStr">
        <is>
          <t>Blake Collins</t>
        </is>
      </c>
      <c r="B3386" t="inlineStr">
        <is>
          <t>Attendee</t>
        </is>
      </c>
      <c r="C3386" t="inlineStr">
        <is>
          <t>Co-Founder</t>
        </is>
      </c>
      <c r="D3386" t="inlineStr">
        <is>
          <t>Armada Talent Group</t>
        </is>
      </c>
      <c r="E3386" t="inlineStr">
        <is>
          <t>United States</t>
        </is>
      </c>
      <c r="H3386" t="n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>
        <f>IFERROR(INDEX('Company Hitlist'!$AA:$AA,MATCH(D3386,'Company Hitlist'!$A:$A,0)),)</f>
        <v/>
      </c>
      <c r="O3386">
        <f>IFERROR(INDEX('Company Hitlist'!$N:$N,MATCH(D3386,'Company Hitlist'!$A:$A,0)),)</f>
        <v/>
      </c>
      <c r="Q3386" t="inlineStr">
        <is>
          <t>todo</t>
        </is>
      </c>
    </row>
    <row r="3387">
      <c r="A3387" t="inlineStr">
        <is>
          <t>John Lincoln II</t>
        </is>
      </c>
      <c r="B3387" t="inlineStr">
        <is>
          <t>Attendee</t>
        </is>
      </c>
      <c r="C3387" t="inlineStr">
        <is>
          <t>Co-Founder</t>
        </is>
      </c>
      <c r="D3387" t="inlineStr">
        <is>
          <t>Armada Talent Group</t>
        </is>
      </c>
      <c r="E3387" t="inlineStr">
        <is>
          <t>United States</t>
        </is>
      </c>
      <c r="H3387" t="n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>
        <f>IFERROR(INDEX('Company Hitlist'!$AA:$AA,MATCH(D3387,'Company Hitlist'!$A:$A,0)),)</f>
        <v/>
      </c>
      <c r="O3387">
        <f>IFERROR(INDEX('Company Hitlist'!$N:$N,MATCH(D3387,'Company Hitlist'!$A:$A,0)),)</f>
        <v/>
      </c>
      <c r="Q3387" t="inlineStr">
        <is>
          <t>todo</t>
        </is>
      </c>
    </row>
    <row r="3388">
      <c r="A3388" t="inlineStr">
        <is>
          <t>Catarina Carvalho</t>
        </is>
      </c>
      <c r="B3388" t="inlineStr">
        <is>
          <t>Attendee</t>
        </is>
      </c>
      <c r="C3388" t="inlineStr">
        <is>
          <t>Associate Principal</t>
        </is>
      </c>
      <c r="D3388" t="inlineStr">
        <is>
          <t>Arup</t>
        </is>
      </c>
      <c r="E3388" t="inlineStr">
        <is>
          <t>United States</t>
        </is>
      </c>
      <c r="H3388" t="n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>
        <f>IFERROR(INDEX('Company Hitlist'!$AA:$AA,MATCH(D3388,'Company Hitlist'!$A:$A,0)),)</f>
        <v/>
      </c>
      <c r="O3388">
        <f>IFERROR(INDEX('Company Hitlist'!$N:$N,MATCH(D3388,'Company Hitlist'!$A:$A,0)),)</f>
        <v/>
      </c>
      <c r="Q3388" t="inlineStr">
        <is>
          <t>todo</t>
        </is>
      </c>
    </row>
    <row r="3389">
      <c r="A3389" t="inlineStr">
        <is>
          <t>Edward Pincott</t>
        </is>
      </c>
      <c r="B3389" t="inlineStr">
        <is>
          <t>Sponsor</t>
        </is>
      </c>
      <c r="C3389" t="inlineStr">
        <is>
          <t>Vice President, Sales</t>
        </is>
      </c>
      <c r="D3389" t="inlineStr">
        <is>
          <t>Asendia USA</t>
        </is>
      </c>
      <c r="E3389" t="inlineStr">
        <is>
          <t>United States</t>
        </is>
      </c>
      <c r="H3389" t="n">
        <v>0</v>
      </c>
      <c r="I3389" t="b">
        <v>0</v>
      </c>
      <c r="J3389" t="b">
        <v>1</v>
      </c>
      <c r="K3389" t="b">
        <v>0</v>
      </c>
      <c r="L3389" t="b">
        <v>0</v>
      </c>
      <c r="M3389" t="b">
        <v>1</v>
      </c>
      <c r="N3389">
        <f>IFERROR(INDEX('Company Hitlist'!$AA:$AA,MATCH(D3389,'Company Hitlist'!$A:$A,0)),)</f>
        <v/>
      </c>
      <c r="O3389">
        <f>IFERROR(INDEX('Company Hitlist'!$N:$N,MATCH(D3389,'Company Hitlist'!$A:$A,0)),)</f>
        <v/>
      </c>
      <c r="Q3389" t="inlineStr">
        <is>
          <t>todo</t>
        </is>
      </c>
    </row>
    <row r="3390">
      <c r="A3390" t="inlineStr">
        <is>
          <t>Mandy Paris</t>
        </is>
      </c>
      <c r="B3390" t="inlineStr">
        <is>
          <t>Attendee</t>
        </is>
      </c>
      <c r="C3390" t="inlineStr">
        <is>
          <t>Sr. Director, Material Management</t>
        </is>
      </c>
      <c r="D3390" t="inlineStr">
        <is>
          <t>Aspire Bakeries</t>
        </is>
      </c>
      <c r="E3390" t="inlineStr">
        <is>
          <t>Canada</t>
        </is>
      </c>
      <c r="H3390" t="n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>
        <f>IFERROR(INDEX('Company Hitlist'!$AA:$AA,MATCH(D3390,'Company Hitlist'!$A:$A,0)),)</f>
        <v/>
      </c>
      <c r="O3390">
        <f>IFERROR(INDEX('Company Hitlist'!$N:$N,MATCH(D3390,'Company Hitlist'!$A:$A,0)),)</f>
        <v/>
      </c>
      <c r="Q3390" t="inlineStr">
        <is>
          <t>todo</t>
        </is>
      </c>
    </row>
    <row r="3391">
      <c r="A3391" t="inlineStr">
        <is>
          <t>Ralph Jesson</t>
        </is>
      </c>
      <c r="B3391" t="inlineStr">
        <is>
          <t>Attendee</t>
        </is>
      </c>
      <c r="C3391" t="inlineStr">
        <is>
          <t>Manager, Material Management</t>
        </is>
      </c>
      <c r="D3391" t="inlineStr">
        <is>
          <t>Aspire Bakeries</t>
        </is>
      </c>
      <c r="E3391" t="inlineStr">
        <is>
          <t>Canada</t>
        </is>
      </c>
      <c r="H3391" t="n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>
        <f>IFERROR(INDEX('Company Hitlist'!$AA:$AA,MATCH(D3391,'Company Hitlist'!$A:$A,0)),)</f>
        <v/>
      </c>
      <c r="O3391">
        <f>IFERROR(INDEX('Company Hitlist'!$N:$N,MATCH(D3391,'Company Hitlist'!$A:$A,0)),)</f>
        <v/>
      </c>
      <c r="Q3391" t="inlineStr">
        <is>
          <t>todo</t>
        </is>
      </c>
    </row>
    <row r="3392">
      <c r="A3392" t="inlineStr">
        <is>
          <t>Maribel Arias</t>
        </is>
      </c>
      <c r="B3392" t="inlineStr">
        <is>
          <t>Attendee</t>
        </is>
      </c>
      <c r="C3392" t="inlineStr">
        <is>
          <t>Senior Analyst, Material Management</t>
        </is>
      </c>
      <c r="D3392" t="inlineStr">
        <is>
          <t>Aspire Bakeries</t>
        </is>
      </c>
      <c r="E3392" t="inlineStr">
        <is>
          <t>United States</t>
        </is>
      </c>
      <c r="H3392" t="n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>
        <f>IFERROR(INDEX('Company Hitlist'!$AA:$AA,MATCH(D3392,'Company Hitlist'!$A:$A,0)),)</f>
        <v/>
      </c>
      <c r="O3392">
        <f>IFERROR(INDEX('Company Hitlist'!$N:$N,MATCH(D3392,'Company Hitlist'!$A:$A,0)),)</f>
        <v/>
      </c>
      <c r="Q3392" t="inlineStr">
        <is>
          <t>todo</t>
        </is>
      </c>
    </row>
    <row r="3393">
      <c r="A3393" t="inlineStr">
        <is>
          <t>Scott Stevens</t>
        </is>
      </c>
      <c r="B3393" t="inlineStr">
        <is>
          <t>Attendee</t>
        </is>
      </c>
      <c r="C3393" t="inlineStr">
        <is>
          <t>Principal</t>
        </is>
      </c>
      <c r="D3393" t="inlineStr">
        <is>
          <t>Astira Capital Partners</t>
        </is>
      </c>
      <c r="E3393" t="inlineStr">
        <is>
          <t>United States</t>
        </is>
      </c>
      <c r="H3393" t="n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>
        <f>IFERROR(INDEX('Company Hitlist'!$AA:$AA,MATCH(D3393,'Company Hitlist'!$A:$A,0)),)</f>
        <v/>
      </c>
      <c r="O3393">
        <f>IFERROR(INDEX('Company Hitlist'!$N:$N,MATCH(D3393,'Company Hitlist'!$A:$A,0)),)</f>
        <v/>
      </c>
      <c r="Q3393" t="inlineStr">
        <is>
          <t>todo</t>
        </is>
      </c>
    </row>
    <row r="3394">
      <c r="A3394" t="inlineStr">
        <is>
          <t>Andres Zertuche</t>
        </is>
      </c>
      <c r="B3394" t="inlineStr">
        <is>
          <t>Attendee</t>
        </is>
      </c>
      <c r="C3394" t="inlineStr">
        <is>
          <t>Operation Supervisor</t>
        </is>
      </c>
      <c r="D3394" t="inlineStr">
        <is>
          <t>Atlas Energy</t>
        </is>
      </c>
      <c r="E3394" t="inlineStr">
        <is>
          <t>United States</t>
        </is>
      </c>
      <c r="F3394" t="inlineStr">
        <is>
          <t>Yes</t>
        </is>
      </c>
      <c r="H3394" t="n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>
        <f>IFERROR(INDEX('Company Hitlist'!$AA:$AA,MATCH(D3394,'Company Hitlist'!$A:$A,0)),)</f>
        <v/>
      </c>
      <c r="O3394">
        <f>IFERROR(INDEX('Company Hitlist'!$N:$N,MATCH(D3394,'Company Hitlist'!$A:$A,0)),)</f>
        <v/>
      </c>
      <c r="Q3394" t="inlineStr">
        <is>
          <t>todo</t>
        </is>
      </c>
    </row>
    <row r="3395">
      <c r="A3395" t="inlineStr">
        <is>
          <t>NITIN CHOUDHARI</t>
        </is>
      </c>
      <c r="B3395" t="inlineStr">
        <is>
          <t>Attendee</t>
        </is>
      </c>
      <c r="C3395" t="inlineStr">
        <is>
          <t>Founder</t>
        </is>
      </c>
      <c r="D3395" t="inlineStr">
        <is>
          <t>AtomIQ</t>
        </is>
      </c>
      <c r="E3395" t="inlineStr">
        <is>
          <t>United States</t>
        </is>
      </c>
      <c r="F3395" t="inlineStr">
        <is>
          <t>Yes</t>
        </is>
      </c>
      <c r="H3395" t="n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>
        <f>IFERROR(INDEX('Company Hitlist'!$AA:$AA,MATCH(D3395,'Company Hitlist'!$A:$A,0)),)</f>
        <v/>
      </c>
      <c r="O3395">
        <f>IFERROR(INDEX('Company Hitlist'!$N:$N,MATCH(D3395,'Company Hitlist'!$A:$A,0)),)</f>
        <v/>
      </c>
      <c r="Q3395" t="inlineStr">
        <is>
          <t>todo</t>
        </is>
      </c>
    </row>
    <row r="3396">
      <c r="A3396" t="inlineStr">
        <is>
          <t>Andrea Ortega</t>
        </is>
      </c>
      <c r="B3396" t="inlineStr">
        <is>
          <t>Attendee</t>
        </is>
      </c>
      <c r="C3396" t="inlineStr">
        <is>
          <t>Senior Recruiter</t>
        </is>
      </c>
      <c r="D3396" t="inlineStr">
        <is>
          <t>Augment</t>
        </is>
      </c>
      <c r="E3396" t="inlineStr">
        <is>
          <t>United States</t>
        </is>
      </c>
      <c r="F3396" t="inlineStr">
        <is>
          <t>Yes</t>
        </is>
      </c>
      <c r="H3396" t="n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>
        <f>IFERROR(INDEX('Company Hitlist'!$AA:$AA,MATCH(D3396,'Company Hitlist'!$A:$A,0)),)</f>
        <v/>
      </c>
      <c r="O3396">
        <f>IFERROR(INDEX('Company Hitlist'!$N:$N,MATCH(D3396,'Company Hitlist'!$A:$A,0)),)</f>
        <v/>
      </c>
      <c r="Q3396" t="inlineStr">
        <is>
          <t>todo</t>
        </is>
      </c>
    </row>
    <row r="3397">
      <c r="A3397" t="inlineStr">
        <is>
          <t>Cherice Wingfield</t>
        </is>
      </c>
      <c r="B3397" t="inlineStr">
        <is>
          <t>Attendee</t>
        </is>
      </c>
      <c r="C3397" t="inlineStr">
        <is>
          <t>Senior Recruiter</t>
        </is>
      </c>
      <c r="D3397" t="inlineStr">
        <is>
          <t>Augment</t>
        </is>
      </c>
      <c r="E3397" t="inlineStr">
        <is>
          <t>United States</t>
        </is>
      </c>
      <c r="F3397" t="inlineStr">
        <is>
          <t>Yes</t>
        </is>
      </c>
      <c r="H3397" t="n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>
        <f>IFERROR(INDEX('Company Hitlist'!$AA:$AA,MATCH(D3397,'Company Hitlist'!$A:$A,0)),)</f>
        <v/>
      </c>
      <c r="O3397">
        <f>IFERROR(INDEX('Company Hitlist'!$N:$N,MATCH(D3397,'Company Hitlist'!$A:$A,0)),)</f>
        <v/>
      </c>
      <c r="Q3397" t="inlineStr">
        <is>
          <t>todo</t>
        </is>
      </c>
    </row>
    <row r="3398">
      <c r="A3398" t="inlineStr">
        <is>
          <t>Zac Andreoni</t>
        </is>
      </c>
      <c r="B3398" t="inlineStr">
        <is>
          <t>Sponsor</t>
        </is>
      </c>
      <c r="C3398" t="inlineStr">
        <is>
          <t>VP of Business Development</t>
        </is>
      </c>
      <c r="D3398" t="inlineStr">
        <is>
          <t>Aurora</t>
        </is>
      </c>
      <c r="E3398" t="inlineStr">
        <is>
          <t>United States</t>
        </is>
      </c>
      <c r="H3398" t="n">
        <v>0</v>
      </c>
      <c r="I3398" t="b">
        <v>0</v>
      </c>
      <c r="J3398" t="b">
        <v>1</v>
      </c>
      <c r="K3398" t="b">
        <v>0</v>
      </c>
      <c r="L3398" t="b">
        <v>0</v>
      </c>
      <c r="M3398" t="b">
        <v>1</v>
      </c>
      <c r="N3398">
        <f>IFERROR(INDEX('Company Hitlist'!$AA:$AA,MATCH(D3398,'Company Hitlist'!$A:$A,0)),)</f>
        <v/>
      </c>
      <c r="O3398">
        <f>IFERROR(INDEX('Company Hitlist'!$N:$N,MATCH(D3398,'Company Hitlist'!$A:$A,0)),)</f>
        <v/>
      </c>
      <c r="Q3398" t="inlineStr">
        <is>
          <t>todo</t>
        </is>
      </c>
    </row>
    <row r="3399">
      <c r="A3399" t="inlineStr">
        <is>
          <t>Jimmy Moon</t>
        </is>
      </c>
      <c r="B3399" t="inlineStr">
        <is>
          <t>Sponsor</t>
        </is>
      </c>
      <c r="C3399" t="inlineStr">
        <is>
          <t>Head of Sales</t>
        </is>
      </c>
      <c r="D3399" t="inlineStr">
        <is>
          <t>Aurora</t>
        </is>
      </c>
      <c r="H3399" t="n">
        <v>0</v>
      </c>
      <c r="I3399" t="b">
        <v>0</v>
      </c>
      <c r="J3399" t="b">
        <v>1</v>
      </c>
      <c r="K3399" t="b">
        <v>0</v>
      </c>
      <c r="L3399" t="b">
        <v>0</v>
      </c>
      <c r="M3399" t="b">
        <v>1</v>
      </c>
      <c r="N3399">
        <f>IFERROR(INDEX('Company Hitlist'!$AA:$AA,MATCH(D3399,'Company Hitlist'!$A:$A,0)),)</f>
        <v/>
      </c>
      <c r="O3399">
        <f>IFERROR(INDEX('Company Hitlist'!$N:$N,MATCH(D3399,'Company Hitlist'!$A:$A,0)),)</f>
        <v/>
      </c>
      <c r="Q3399" t="inlineStr">
        <is>
          <t>todo</t>
        </is>
      </c>
    </row>
    <row r="3400">
      <c r="A3400" t="inlineStr">
        <is>
          <t>Jon Veschio</t>
        </is>
      </c>
      <c r="B3400" t="inlineStr">
        <is>
          <t>Sponsor</t>
        </is>
      </c>
      <c r="C3400" t="inlineStr">
        <is>
          <t>Vice President, Sales</t>
        </is>
      </c>
      <c r="D3400" t="inlineStr">
        <is>
          <t>AutoScheduler.AI</t>
        </is>
      </c>
      <c r="H3400" t="n">
        <v>0</v>
      </c>
      <c r="I3400" t="b">
        <v>0</v>
      </c>
      <c r="J3400" t="b">
        <v>1</v>
      </c>
      <c r="K3400" t="b">
        <v>0</v>
      </c>
      <c r="L3400" t="b">
        <v>0</v>
      </c>
      <c r="M3400" t="b">
        <v>1</v>
      </c>
      <c r="N3400">
        <f>IFERROR(INDEX('Company Hitlist'!$AA:$AA,MATCH(D3400,'Company Hitlist'!$A:$A,0)),)</f>
        <v/>
      </c>
      <c r="O3400">
        <f>IFERROR(INDEX('Company Hitlist'!$N:$N,MATCH(D3400,'Company Hitlist'!$A:$A,0)),)</f>
        <v/>
      </c>
      <c r="Q3400" t="inlineStr">
        <is>
          <t>todo</t>
        </is>
      </c>
    </row>
    <row r="3401">
      <c r="A3401" t="inlineStr">
        <is>
          <t>Burak Cendek</t>
        </is>
      </c>
      <c r="B3401" t="inlineStr">
        <is>
          <t>Attendee</t>
        </is>
      </c>
      <c r="C3401" t="inlineStr">
        <is>
          <t>Partner</t>
        </is>
      </c>
      <c r="D3401" t="inlineStr">
        <is>
          <t>Autotech Ventures</t>
        </is>
      </c>
      <c r="E3401" t="inlineStr">
        <is>
          <t>United States</t>
        </is>
      </c>
      <c r="H3401" t="n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>
        <f>IFERROR(INDEX('Company Hitlist'!$AA:$AA,MATCH(D3401,'Company Hitlist'!$A:$A,0)),)</f>
        <v/>
      </c>
      <c r="O3401">
        <f>IFERROR(INDEX('Company Hitlist'!$N:$N,MATCH(D3401,'Company Hitlist'!$A:$A,0)),)</f>
        <v/>
      </c>
      <c r="Q3401" t="inlineStr">
        <is>
          <t>todo</t>
        </is>
      </c>
    </row>
    <row r="3402">
      <c r="A3402" t="inlineStr">
        <is>
          <t>Todd Fowler</t>
        </is>
      </c>
      <c r="B3402" t="inlineStr">
        <is>
          <t>Attendee</t>
        </is>
      </c>
      <c r="C3402" t="inlineStr">
        <is>
          <t>Director</t>
        </is>
      </c>
      <c r="D3402" t="inlineStr">
        <is>
          <t>Autotech Ventures</t>
        </is>
      </c>
      <c r="E3402" t="inlineStr">
        <is>
          <t>United States</t>
        </is>
      </c>
      <c r="H3402" t="n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>
        <f>IFERROR(INDEX('Company Hitlist'!$AA:$AA,MATCH(D3402,'Company Hitlist'!$A:$A,0)),)</f>
        <v/>
      </c>
      <c r="O3402">
        <f>IFERROR(INDEX('Company Hitlist'!$N:$N,MATCH(D3402,'Company Hitlist'!$A:$A,0)),)</f>
        <v/>
      </c>
      <c r="Q3402" t="inlineStr">
        <is>
          <t>todo</t>
        </is>
      </c>
    </row>
    <row r="3403">
      <c r="A3403" t="inlineStr">
        <is>
          <t>Dirk Schulte</t>
        </is>
      </c>
      <c r="B3403" t="inlineStr">
        <is>
          <t>Attendee</t>
        </is>
      </c>
      <c r="C3403" t="inlineStr">
        <is>
          <t>Founder</t>
        </is>
      </c>
      <c r="D3403" t="inlineStr">
        <is>
          <t>Avatar Engines</t>
        </is>
      </c>
      <c r="E3403" t="inlineStr">
        <is>
          <t>Germany</t>
        </is>
      </c>
      <c r="H3403" t="n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>
        <f>IFERROR(INDEX('Company Hitlist'!$AA:$AA,MATCH(D3403,'Company Hitlist'!$A:$A,0)),)</f>
        <v/>
      </c>
      <c r="O3403">
        <f>IFERROR(INDEX('Company Hitlist'!$N:$N,MATCH(D3403,'Company Hitlist'!$A:$A,0)),)</f>
        <v/>
      </c>
      <c r="Q3403" t="inlineStr">
        <is>
          <t>todo</t>
        </is>
      </c>
    </row>
    <row r="3404">
      <c r="A3404" t="inlineStr">
        <is>
          <t>Matt Kozar</t>
        </is>
      </c>
      <c r="B3404" t="inlineStr">
        <is>
          <t>Sponsor</t>
        </is>
      </c>
      <c r="C3404" t="inlineStr">
        <is>
          <t>VP, Business Development</t>
        </is>
      </c>
      <c r="D3404" t="inlineStr">
        <is>
          <t>Aviro360</t>
        </is>
      </c>
      <c r="E3404" t="inlineStr">
        <is>
          <t>United States</t>
        </is>
      </c>
      <c r="H3404" t="n">
        <v>0</v>
      </c>
      <c r="I3404" t="b">
        <v>0</v>
      </c>
      <c r="J3404" t="b">
        <v>1</v>
      </c>
      <c r="K3404" t="b">
        <v>0</v>
      </c>
      <c r="L3404" t="b">
        <v>0</v>
      </c>
      <c r="M3404" t="b">
        <v>1</v>
      </c>
      <c r="N3404">
        <f>IFERROR(INDEX('Company Hitlist'!$AA:$AA,MATCH(D3404,'Company Hitlist'!$A:$A,0)),)</f>
        <v/>
      </c>
      <c r="O3404">
        <f>IFERROR(INDEX('Company Hitlist'!$N:$N,MATCH(D3404,'Company Hitlist'!$A:$A,0)),)</f>
        <v/>
      </c>
      <c r="Q3404" t="inlineStr">
        <is>
          <t>todo</t>
        </is>
      </c>
    </row>
    <row r="3405">
      <c r="A3405" t="inlineStr">
        <is>
          <t>Justin One</t>
        </is>
      </c>
      <c r="B3405" t="inlineStr">
        <is>
          <t>Sponsor</t>
        </is>
      </c>
      <c r="C3405" t="inlineStr">
        <is>
          <t>VP, Business Development</t>
        </is>
      </c>
      <c r="D3405" t="inlineStr">
        <is>
          <t>Aviro360</t>
        </is>
      </c>
      <c r="H3405" t="n">
        <v>0</v>
      </c>
      <c r="I3405" t="b">
        <v>0</v>
      </c>
      <c r="J3405" t="b">
        <v>1</v>
      </c>
      <c r="K3405" t="b">
        <v>0</v>
      </c>
      <c r="L3405" t="b">
        <v>0</v>
      </c>
      <c r="M3405" t="b">
        <v>1</v>
      </c>
      <c r="N3405">
        <f>IFERROR(INDEX('Company Hitlist'!$AA:$AA,MATCH(D3405,'Company Hitlist'!$A:$A,0)),)</f>
        <v/>
      </c>
      <c r="O3405">
        <f>IFERROR(INDEX('Company Hitlist'!$N:$N,MATCH(D3405,'Company Hitlist'!$A:$A,0)),)</f>
        <v/>
      </c>
      <c r="Q3405" t="inlineStr">
        <is>
          <t>todo</t>
        </is>
      </c>
    </row>
    <row r="3406">
      <c r="A3406" t="inlineStr">
        <is>
          <t>Vincent Marotta</t>
        </is>
      </c>
      <c r="B3406" t="inlineStr">
        <is>
          <t>Attendee</t>
        </is>
      </c>
      <c r="C3406" t="inlineStr">
        <is>
          <t>Digital Product Manager</t>
        </is>
      </c>
      <c r="D3406" t="inlineStr">
        <is>
          <t>Avnet</t>
        </is>
      </c>
      <c r="E3406" t="inlineStr">
        <is>
          <t>United States</t>
        </is>
      </c>
      <c r="H3406" t="n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>
        <f>IFERROR(INDEX('Company Hitlist'!$AA:$AA,MATCH(D3406,'Company Hitlist'!$A:$A,0)),)</f>
        <v/>
      </c>
      <c r="O3406">
        <f>IFERROR(INDEX('Company Hitlist'!$N:$N,MATCH(D3406,'Company Hitlist'!$A:$A,0)),)</f>
        <v/>
      </c>
      <c r="Q3406" t="inlineStr">
        <is>
          <t>todo</t>
        </is>
      </c>
    </row>
    <row r="3407">
      <c r="A3407" t="inlineStr">
        <is>
          <t>Mark Dixon</t>
        </is>
      </c>
      <c r="B3407" t="inlineStr">
        <is>
          <t>Attendee</t>
        </is>
      </c>
      <c r="C3407" t="inlineStr">
        <is>
          <t>CPO</t>
        </is>
      </c>
      <c r="D3407" t="inlineStr">
        <is>
          <t>Axalta Coating Systems</t>
        </is>
      </c>
      <c r="H3407" t="n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>
        <f>IFERROR(INDEX('Company Hitlist'!$AA:$AA,MATCH(D3407,'Company Hitlist'!$A:$A,0)),)</f>
        <v/>
      </c>
      <c r="O3407">
        <f>IFERROR(INDEX('Company Hitlist'!$N:$N,MATCH(D3407,'Company Hitlist'!$A:$A,0)),)</f>
        <v/>
      </c>
      <c r="Q3407" t="inlineStr">
        <is>
          <t>todo</t>
        </is>
      </c>
    </row>
    <row r="3408">
      <c r="A3408" t="inlineStr">
        <is>
          <t>Prashant Shah</t>
        </is>
      </c>
      <c r="B3408" t="inlineStr">
        <is>
          <t>Attendee</t>
        </is>
      </c>
      <c r="C3408" t="inlineStr">
        <is>
          <t>DVP</t>
        </is>
      </c>
      <c r="D3408" t="inlineStr">
        <is>
          <t>BDA</t>
        </is>
      </c>
      <c r="H3408" t="n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>
        <f>IFERROR(INDEX('Company Hitlist'!$AA:$AA,MATCH(D3408,'Company Hitlist'!$A:$A,0)),)</f>
        <v/>
      </c>
      <c r="O3408">
        <f>IFERROR(INDEX('Company Hitlist'!$N:$N,MATCH(D3408,'Company Hitlist'!$A:$A,0)),)</f>
        <v/>
      </c>
      <c r="Q3408" t="inlineStr">
        <is>
          <t>todo</t>
        </is>
      </c>
    </row>
    <row r="3409">
      <c r="A3409" t="inlineStr">
        <is>
          <t>Anthony Dugarte</t>
        </is>
      </c>
      <c r="B3409" t="inlineStr">
        <is>
          <t>Attendee</t>
        </is>
      </c>
      <c r="C3409" t="inlineStr">
        <is>
          <t>Dev</t>
        </is>
      </c>
      <c r="D3409" t="inlineStr">
        <is>
          <t>BEON</t>
        </is>
      </c>
      <c r="F3409" t="inlineStr">
        <is>
          <t>Yes</t>
        </is>
      </c>
      <c r="H3409" t="n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>
        <f>IFERROR(INDEX('Company Hitlist'!$AA:$AA,MATCH(D3409,'Company Hitlist'!$A:$A,0)),)</f>
        <v/>
      </c>
      <c r="O3409">
        <f>IFERROR(INDEX('Company Hitlist'!$N:$N,MATCH(D3409,'Company Hitlist'!$A:$A,0)),)</f>
        <v/>
      </c>
      <c r="Q3409" t="inlineStr">
        <is>
          <t>todo</t>
        </is>
      </c>
    </row>
    <row r="3410">
      <c r="A3410" t="inlineStr">
        <is>
          <t>Jeremy Lee</t>
        </is>
      </c>
      <c r="B3410" t="inlineStr">
        <is>
          <t>Attendee</t>
        </is>
      </c>
      <c r="C3410" t="inlineStr">
        <is>
          <t>Business Information and Process Control Manager</t>
        </is>
      </c>
      <c r="D3410" t="inlineStr">
        <is>
          <t>BG PRODUCTS</t>
        </is>
      </c>
      <c r="E3410" t="inlineStr">
        <is>
          <t>United States</t>
        </is>
      </c>
      <c r="H3410" t="n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>
        <f>IFERROR(INDEX('Company Hitlist'!$AA:$AA,MATCH(D3410,'Company Hitlist'!$A:$A,0)),)</f>
        <v/>
      </c>
      <c r="O3410">
        <f>IFERROR(INDEX('Company Hitlist'!$N:$N,MATCH(D3410,'Company Hitlist'!$A:$A,0)),)</f>
        <v/>
      </c>
      <c r="Q3410" t="inlineStr">
        <is>
          <t>todo</t>
        </is>
      </c>
    </row>
    <row r="3411">
      <c r="A3411" t="inlineStr">
        <is>
          <t>Nicholas Day</t>
        </is>
      </c>
      <c r="B3411" t="inlineStr">
        <is>
          <t>Attendee</t>
        </is>
      </c>
      <c r="C3411" t="inlineStr">
        <is>
          <t>Inventory Control Manager</t>
        </is>
      </c>
      <c r="D3411" t="inlineStr">
        <is>
          <t>BG Products Inc.</t>
        </is>
      </c>
      <c r="E3411" t="inlineStr">
        <is>
          <t>United States</t>
        </is>
      </c>
      <c r="H3411" t="n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>
        <f>IFERROR(INDEX('Company Hitlist'!$AA:$AA,MATCH(D3411,'Company Hitlist'!$A:$A,0)),)</f>
        <v/>
      </c>
      <c r="O3411">
        <f>IFERROR(INDEX('Company Hitlist'!$N:$N,MATCH(D3411,'Company Hitlist'!$A:$A,0)),)</f>
        <v/>
      </c>
      <c r="Q3411" t="inlineStr">
        <is>
          <t>todo</t>
        </is>
      </c>
    </row>
    <row r="3412">
      <c r="A3412" t="inlineStr">
        <is>
          <t>Yulwoo Jang</t>
        </is>
      </c>
      <c r="B3412" t="inlineStr">
        <is>
          <t>Attendee</t>
        </is>
      </c>
      <c r="C3412" t="inlineStr">
        <is>
          <t>Managing Director</t>
        </is>
      </c>
      <c r="D3412" t="inlineStr">
        <is>
          <t>BGF EcoMaterials</t>
        </is>
      </c>
      <c r="H3412" t="n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>
        <f>IFERROR(INDEX('Company Hitlist'!$AA:$AA,MATCH(D3412,'Company Hitlist'!$A:$A,0)),)</f>
        <v/>
      </c>
      <c r="O3412">
        <f>IFERROR(INDEX('Company Hitlist'!$N:$N,MATCH(D3412,'Company Hitlist'!$A:$A,0)),)</f>
        <v/>
      </c>
      <c r="Q3412" t="inlineStr">
        <is>
          <t>todo</t>
        </is>
      </c>
    </row>
    <row r="3413">
      <c r="A3413" t="inlineStr">
        <is>
          <t>Will Nelson</t>
        </is>
      </c>
      <c r="B3413" t="inlineStr">
        <is>
          <t>Attendee</t>
        </is>
      </c>
      <c r="C3413" t="inlineStr">
        <is>
          <t>Principal</t>
        </is>
      </c>
      <c r="D3413" t="inlineStr">
        <is>
          <t>BGO</t>
        </is>
      </c>
      <c r="E3413" t="inlineStr">
        <is>
          <t>United States</t>
        </is>
      </c>
      <c r="H3413" t="n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>
        <f>IFERROR(INDEX('Company Hitlist'!$AA:$AA,MATCH(D3413,'Company Hitlist'!$A:$A,0)),)</f>
        <v/>
      </c>
      <c r="O3413">
        <f>IFERROR(INDEX('Company Hitlist'!$N:$N,MATCH(D3413,'Company Hitlist'!$A:$A,0)),)</f>
        <v/>
      </c>
      <c r="Q3413" t="inlineStr">
        <is>
          <t>todo</t>
        </is>
      </c>
    </row>
    <row r="3414">
      <c r="A3414" t="inlineStr">
        <is>
          <t>Gregg Zody</t>
        </is>
      </c>
      <c r="B3414" t="inlineStr">
        <is>
          <t>Attendee</t>
        </is>
      </c>
      <c r="C3414" t="inlineStr">
        <is>
          <t>General Director</t>
        </is>
      </c>
      <c r="D3414" t="inlineStr">
        <is>
          <t>BNSF Railway, Inc.</t>
        </is>
      </c>
      <c r="E3414" t="inlineStr">
        <is>
          <t>United States</t>
        </is>
      </c>
      <c r="F3414" t="inlineStr">
        <is>
          <t>Yes</t>
        </is>
      </c>
      <c r="H3414" t="n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>
        <f>IFERROR(INDEX('Company Hitlist'!$AA:$AA,MATCH(D3414,'Company Hitlist'!$A:$A,0)),)</f>
        <v/>
      </c>
      <c r="O3414">
        <f>IFERROR(INDEX('Company Hitlist'!$N:$N,MATCH(D3414,'Company Hitlist'!$A:$A,0)),)</f>
        <v/>
      </c>
      <c r="Q3414" t="inlineStr">
        <is>
          <t>todo</t>
        </is>
      </c>
    </row>
    <row r="3415">
      <c r="A3415" t="inlineStr">
        <is>
          <t>Holmes An</t>
        </is>
      </c>
      <c r="B3415" t="inlineStr">
        <is>
          <t>Attendee</t>
        </is>
      </c>
      <c r="C3415" t="inlineStr">
        <is>
          <t>Branch Manager</t>
        </is>
      </c>
      <c r="D3415" t="inlineStr">
        <is>
          <t>BYD</t>
        </is>
      </c>
      <c r="H3415" t="n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>
        <f>IFERROR(INDEX('Company Hitlist'!$AA:$AA,MATCH(D3415,'Company Hitlist'!$A:$A,0)),)</f>
        <v/>
      </c>
      <c r="O3415">
        <f>IFERROR(INDEX('Company Hitlist'!$N:$N,MATCH(D3415,'Company Hitlist'!$A:$A,0)),)</f>
        <v/>
      </c>
      <c r="Q3415" t="inlineStr">
        <is>
          <t>todo</t>
        </is>
      </c>
    </row>
    <row r="3416">
      <c r="A3416" t="inlineStr">
        <is>
          <t>Kevin Zhang</t>
        </is>
      </c>
      <c r="B3416" t="inlineStr">
        <is>
          <t>Attendee</t>
        </is>
      </c>
      <c r="C3416" t="inlineStr">
        <is>
          <t>Partner</t>
        </is>
      </c>
      <c r="D3416" t="inlineStr">
        <is>
          <t>Bain Capital Ventures</t>
        </is>
      </c>
      <c r="E3416" t="inlineStr">
        <is>
          <t>United States</t>
        </is>
      </c>
      <c r="H3416" t="n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>
        <f>IFERROR(INDEX('Company Hitlist'!$AA:$AA,MATCH(D3416,'Company Hitlist'!$A:$A,0)),)</f>
        <v/>
      </c>
      <c r="O3416">
        <f>IFERROR(INDEX('Company Hitlist'!$N:$N,MATCH(D3416,'Company Hitlist'!$A:$A,0)),)</f>
        <v/>
      </c>
      <c r="Q3416" t="inlineStr">
        <is>
          <t>todo</t>
        </is>
      </c>
    </row>
    <row r="3417">
      <c r="A3417" t="inlineStr">
        <is>
          <t>Rachel Premack</t>
        </is>
      </c>
      <c r="B3417" t="inlineStr">
        <is>
          <t>Attendee</t>
        </is>
      </c>
      <c r="C3417" t="inlineStr">
        <is>
          <t>Senior Researcher</t>
        </is>
      </c>
      <c r="D3417" t="inlineStr">
        <is>
          <t>Balyasny Asset Management</t>
        </is>
      </c>
      <c r="E3417" t="inlineStr">
        <is>
          <t>United States</t>
        </is>
      </c>
      <c r="H3417" t="n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>
        <f>IFERROR(INDEX('Company Hitlist'!$AA:$AA,MATCH(D3417,'Company Hitlist'!$A:$A,0)),)</f>
        <v/>
      </c>
      <c r="O3417">
        <f>IFERROR(INDEX('Company Hitlist'!$N:$N,MATCH(D3417,'Company Hitlist'!$A:$A,0)),)</f>
        <v/>
      </c>
      <c r="Q3417" t="inlineStr">
        <is>
          <t>todo</t>
        </is>
      </c>
    </row>
    <row r="3418">
      <c r="A3418" t="inlineStr">
        <is>
          <t>Anya Nayak</t>
        </is>
      </c>
      <c r="B3418" t="inlineStr">
        <is>
          <t>Attendee</t>
        </is>
      </c>
      <c r="C3418" t="inlineStr">
        <is>
          <t>Operational Excellence and Strategy</t>
        </is>
      </c>
      <c r="D3418" t="inlineStr">
        <is>
          <t>Bandit Running</t>
        </is>
      </c>
      <c r="F3418" t="inlineStr">
        <is>
          <t>Yes</t>
        </is>
      </c>
      <c r="H3418" t="n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>
        <f>IFERROR(INDEX('Company Hitlist'!$AA:$AA,MATCH(D3418,'Company Hitlist'!$A:$A,0)),)</f>
        <v/>
      </c>
      <c r="O3418">
        <f>IFERROR(INDEX('Company Hitlist'!$N:$N,MATCH(D3418,'Company Hitlist'!$A:$A,0)),)</f>
        <v/>
      </c>
      <c r="Q3418" t="inlineStr">
        <is>
          <t>todo</t>
        </is>
      </c>
    </row>
    <row r="3419">
      <c r="A3419" t="inlineStr">
        <is>
          <t>Harjot Sachdeva</t>
        </is>
      </c>
      <c r="B3419" t="inlineStr">
        <is>
          <t>Attendee</t>
        </is>
      </c>
      <c r="C3419" t="inlineStr">
        <is>
          <t>Partner</t>
        </is>
      </c>
      <c r="D3419" t="inlineStr">
        <is>
          <t>Banneker Partners</t>
        </is>
      </c>
      <c r="E3419" t="inlineStr">
        <is>
          <t>United States</t>
        </is>
      </c>
      <c r="H3419" t="n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>
        <f>IFERROR(INDEX('Company Hitlist'!$AA:$AA,MATCH(D3419,'Company Hitlist'!$A:$A,0)),)</f>
        <v/>
      </c>
      <c r="O3419">
        <f>IFERROR(INDEX('Company Hitlist'!$N:$N,MATCH(D3419,'Company Hitlist'!$A:$A,0)),)</f>
        <v/>
      </c>
      <c r="Q3419" t="inlineStr">
        <is>
          <t>todo</t>
        </is>
      </c>
    </row>
    <row r="3420">
      <c r="A3420" t="inlineStr">
        <is>
          <t>Joshua Burkart</t>
        </is>
      </c>
      <c r="B3420" t="inlineStr">
        <is>
          <t>Attendee</t>
        </is>
      </c>
      <c r="C3420" t="inlineStr">
        <is>
          <t>Director of Corporate Development</t>
        </is>
      </c>
      <c r="D3420" t="inlineStr">
        <is>
          <t>Banyan Software</t>
        </is>
      </c>
      <c r="E3420" t="inlineStr">
        <is>
          <t>Canada</t>
        </is>
      </c>
      <c r="H3420" t="n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>
        <f>IFERROR(INDEX('Company Hitlist'!$AA:$AA,MATCH(D3420,'Company Hitlist'!$A:$A,0)),)</f>
        <v/>
      </c>
      <c r="O3420">
        <f>IFERROR(INDEX('Company Hitlist'!$N:$N,MATCH(D3420,'Company Hitlist'!$A:$A,0)),)</f>
        <v/>
      </c>
      <c r="Q3420" t="inlineStr">
        <is>
          <t>todo</t>
        </is>
      </c>
    </row>
    <row r="3421">
      <c r="A3421" t="inlineStr">
        <is>
          <t>Jordan Johnsen</t>
        </is>
      </c>
      <c r="B3421" t="inlineStr">
        <is>
          <t>Attendee</t>
        </is>
      </c>
      <c r="C3421" t="inlineStr">
        <is>
          <t>Director of Finance &amp; Analytics</t>
        </is>
      </c>
      <c r="D3421" t="inlineStr">
        <is>
          <t>Barrett Distribution Centers</t>
        </is>
      </c>
      <c r="E3421" t="inlineStr">
        <is>
          <t>United States</t>
        </is>
      </c>
      <c r="F3421" t="inlineStr">
        <is>
          <t>Yes</t>
        </is>
      </c>
      <c r="H3421" t="n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>
        <f>IFERROR(INDEX('Company Hitlist'!$AA:$AA,MATCH(D3421,'Company Hitlist'!$A:$A,0)),)</f>
        <v/>
      </c>
      <c r="O3421">
        <f>IFERROR(INDEX('Company Hitlist'!$N:$N,MATCH(D3421,'Company Hitlist'!$A:$A,0)),)</f>
        <v/>
      </c>
      <c r="Q3421" t="inlineStr">
        <is>
          <t>todo</t>
        </is>
      </c>
    </row>
    <row r="3422">
      <c r="A3422" t="inlineStr">
        <is>
          <t>Errick Tashro</t>
        </is>
      </c>
      <c r="B3422" t="inlineStr">
        <is>
          <t>Attendee</t>
        </is>
      </c>
      <c r="C3422" t="inlineStr">
        <is>
          <t>Director of Logisitcs</t>
        </is>
      </c>
      <c r="D3422" t="inlineStr">
        <is>
          <t>Basic American Foods</t>
        </is>
      </c>
      <c r="E3422" t="inlineStr">
        <is>
          <t>United States</t>
        </is>
      </c>
      <c r="F3422" t="inlineStr">
        <is>
          <t>Yes</t>
        </is>
      </c>
      <c r="H3422" t="n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>
        <f>IFERROR(INDEX('Company Hitlist'!$AA:$AA,MATCH(D3422,'Company Hitlist'!$A:$A,0)),)</f>
        <v/>
      </c>
      <c r="O3422">
        <f>IFERROR(INDEX('Company Hitlist'!$N:$N,MATCH(D3422,'Company Hitlist'!$A:$A,0)),)</f>
        <v/>
      </c>
      <c r="Q3422" t="inlineStr">
        <is>
          <t>todo</t>
        </is>
      </c>
    </row>
    <row r="3423">
      <c r="A3423" t="inlineStr">
        <is>
          <t>Ryan Elenbaum</t>
        </is>
      </c>
      <c r="B3423" t="inlineStr">
        <is>
          <t>Attendee</t>
        </is>
      </c>
      <c r="C3423" t="inlineStr">
        <is>
          <t>CI Manager</t>
        </is>
      </c>
      <c r="D3423" t="inlineStr">
        <is>
          <t>Bay Logistics</t>
        </is>
      </c>
      <c r="E3423" t="inlineStr">
        <is>
          <t>United States</t>
        </is>
      </c>
      <c r="H3423" t="n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>
        <f>IFERROR(INDEX('Company Hitlist'!$AA:$AA,MATCH(D3423,'Company Hitlist'!$A:$A,0)),)</f>
        <v/>
      </c>
      <c r="O3423">
        <f>IFERROR(INDEX('Company Hitlist'!$N:$N,MATCH(D3423,'Company Hitlist'!$A:$A,0)),)</f>
        <v/>
      </c>
      <c r="Q3423" t="inlineStr">
        <is>
          <t>todo</t>
        </is>
      </c>
    </row>
    <row r="3424">
      <c r="A3424" t="inlineStr">
        <is>
          <t>Jayde Duris</t>
        </is>
      </c>
      <c r="B3424" t="inlineStr">
        <is>
          <t>Attendee</t>
        </is>
      </c>
      <c r="C3424" t="inlineStr">
        <is>
          <t>Product Data Coordinator</t>
        </is>
      </c>
      <c r="D3424" t="inlineStr">
        <is>
          <t>Beam Distributing</t>
        </is>
      </c>
      <c r="F3424" t="inlineStr">
        <is>
          <t>Yes</t>
        </is>
      </c>
      <c r="H3424" t="n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>
        <f>IFERROR(INDEX('Company Hitlist'!$AA:$AA,MATCH(D3424,'Company Hitlist'!$A:$A,0)),)</f>
        <v/>
      </c>
      <c r="O3424">
        <f>IFERROR(INDEX('Company Hitlist'!$N:$N,MATCH(D3424,'Company Hitlist'!$A:$A,0)),)</f>
        <v/>
      </c>
      <c r="Q3424" t="inlineStr">
        <is>
          <t>todo</t>
        </is>
      </c>
    </row>
    <row r="3425">
      <c r="A3425" t="inlineStr">
        <is>
          <t>Adam Kirilichin</t>
        </is>
      </c>
      <c r="B3425" t="inlineStr">
        <is>
          <t>Sponsor</t>
        </is>
      </c>
      <c r="C3425" t="inlineStr">
        <is>
          <t>VP Sales</t>
        </is>
      </c>
      <c r="D3425" t="inlineStr">
        <is>
          <t>Beamup AI</t>
        </is>
      </c>
      <c r="E3425" t="inlineStr">
        <is>
          <t>United States</t>
        </is>
      </c>
      <c r="H3425" t="n">
        <v>0</v>
      </c>
      <c r="I3425" t="b">
        <v>0</v>
      </c>
      <c r="J3425" t="b">
        <v>1</v>
      </c>
      <c r="K3425" t="b">
        <v>0</v>
      </c>
      <c r="L3425" t="b">
        <v>0</v>
      </c>
      <c r="M3425" t="b">
        <v>1</v>
      </c>
      <c r="N3425">
        <f>IFERROR(INDEX('Company Hitlist'!$AA:$AA,MATCH(D3425,'Company Hitlist'!$A:$A,0)),)</f>
        <v/>
      </c>
      <c r="O3425">
        <f>IFERROR(INDEX('Company Hitlist'!$N:$N,MATCH(D3425,'Company Hitlist'!$A:$A,0)),)</f>
        <v/>
      </c>
      <c r="Q3425" t="inlineStr">
        <is>
          <t>todo</t>
        </is>
      </c>
    </row>
    <row r="3426">
      <c r="A3426" t="inlineStr">
        <is>
          <t>Audrey Carroll</t>
        </is>
      </c>
      <c r="B3426" t="inlineStr">
        <is>
          <t>Attendee</t>
        </is>
      </c>
      <c r="C3426" t="inlineStr">
        <is>
          <t>Account Manager</t>
        </is>
      </c>
      <c r="D3426" t="inlineStr">
        <is>
          <t>Bear Icebox Communications</t>
        </is>
      </c>
      <c r="E3426" t="inlineStr">
        <is>
          <t>United States</t>
        </is>
      </c>
      <c r="H3426" t="n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>
        <f>IFERROR(INDEX('Company Hitlist'!$AA:$AA,MATCH(D3426,'Company Hitlist'!$A:$A,0)),)</f>
        <v/>
      </c>
      <c r="O3426">
        <f>IFERROR(INDEX('Company Hitlist'!$N:$N,MATCH(D3426,'Company Hitlist'!$A:$A,0)),)</f>
        <v/>
      </c>
      <c r="Q3426" t="inlineStr">
        <is>
          <t>todo</t>
        </is>
      </c>
    </row>
    <row r="3427">
      <c r="A3427" t="inlineStr">
        <is>
          <t>David Perez</t>
        </is>
      </c>
      <c r="B3427" t="inlineStr">
        <is>
          <t>Attendee</t>
        </is>
      </c>
      <c r="C3427" t="inlineStr">
        <is>
          <t>QA</t>
        </is>
      </c>
      <c r="D3427" t="inlineStr">
        <is>
          <t>Beon</t>
        </is>
      </c>
      <c r="E3427" t="inlineStr">
        <is>
          <t>Peru</t>
        </is>
      </c>
      <c r="F3427" t="inlineStr">
        <is>
          <t>Yes</t>
        </is>
      </c>
      <c r="H3427" t="n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>
        <f>IFERROR(INDEX('Company Hitlist'!$AA:$AA,MATCH(D3427,'Company Hitlist'!$A:$A,0)),)</f>
        <v/>
      </c>
      <c r="O3427">
        <f>IFERROR(INDEX('Company Hitlist'!$N:$N,MATCH(D3427,'Company Hitlist'!$A:$A,0)),)</f>
        <v/>
      </c>
      <c r="Q3427" t="inlineStr">
        <is>
          <t>todo</t>
        </is>
      </c>
    </row>
    <row r="3428">
      <c r="A3428" t="inlineStr">
        <is>
          <t>Diego Berchelmann</t>
        </is>
      </c>
      <c r="B3428" t="inlineStr">
        <is>
          <t>Attendee</t>
        </is>
      </c>
      <c r="C3428" t="inlineStr">
        <is>
          <t>Founder</t>
        </is>
      </c>
      <c r="D3428" t="inlineStr">
        <is>
          <t>Berpar</t>
        </is>
      </c>
      <c r="E3428" t="inlineStr">
        <is>
          <t>Mexico</t>
        </is>
      </c>
      <c r="F3428" t="inlineStr">
        <is>
          <t>Yes</t>
        </is>
      </c>
      <c r="H3428" t="n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>
        <f>IFERROR(INDEX('Company Hitlist'!$AA:$AA,MATCH(D3428,'Company Hitlist'!$A:$A,0)),)</f>
        <v/>
      </c>
      <c r="O3428">
        <f>IFERROR(INDEX('Company Hitlist'!$N:$N,MATCH(D3428,'Company Hitlist'!$A:$A,0)),)</f>
        <v/>
      </c>
      <c r="Q3428" t="inlineStr">
        <is>
          <t>todo</t>
        </is>
      </c>
    </row>
    <row r="3429">
      <c r="A3429" t="inlineStr">
        <is>
          <t>Michel Eliezer</t>
        </is>
      </c>
      <c r="B3429" t="inlineStr">
        <is>
          <t>Attendee</t>
        </is>
      </c>
      <c r="C3429" t="inlineStr">
        <is>
          <t>Senior Analyst Lean Engineering</t>
        </is>
      </c>
      <c r="D3429" t="inlineStr">
        <is>
          <t>Best Buy Canada</t>
        </is>
      </c>
      <c r="H3429" t="n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>
        <f>IFERROR(INDEX('Company Hitlist'!$AA:$AA,MATCH(D3429,'Company Hitlist'!$A:$A,0)),)</f>
        <v/>
      </c>
      <c r="O3429">
        <f>IFERROR(INDEX('Company Hitlist'!$N:$N,MATCH(D3429,'Company Hitlist'!$A:$A,0)),)</f>
        <v/>
      </c>
      <c r="Q3429" t="inlineStr">
        <is>
          <t>todo</t>
        </is>
      </c>
    </row>
    <row r="3430">
      <c r="A3430" t="inlineStr">
        <is>
          <t>Jason Ballejo</t>
        </is>
      </c>
      <c r="B3430" t="inlineStr">
        <is>
          <t>Attendee</t>
        </is>
      </c>
      <c r="C3430" t="inlineStr">
        <is>
          <t>Product Supply Coordinator</t>
        </is>
      </c>
      <c r="D3430" t="inlineStr">
        <is>
          <t>Betenbough Homes</t>
        </is>
      </c>
      <c r="E3430" t="inlineStr">
        <is>
          <t>United States</t>
        </is>
      </c>
      <c r="F3430" t="inlineStr">
        <is>
          <t>Yes</t>
        </is>
      </c>
      <c r="H3430" t="n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>
        <f>IFERROR(INDEX('Company Hitlist'!$AA:$AA,MATCH(D3430,'Company Hitlist'!$A:$A,0)),)</f>
        <v/>
      </c>
      <c r="O3430">
        <f>IFERROR(INDEX('Company Hitlist'!$N:$N,MATCH(D3430,'Company Hitlist'!$A:$A,0)),)</f>
        <v/>
      </c>
      <c r="Q3430" t="inlineStr">
        <is>
          <t>todo</t>
        </is>
      </c>
    </row>
    <row r="3431">
      <c r="A3431" t="inlineStr">
        <is>
          <t>Michele Sanders</t>
        </is>
      </c>
      <c r="B3431" t="inlineStr">
        <is>
          <t>Attendee</t>
        </is>
      </c>
      <c r="C3431" t="inlineStr">
        <is>
          <t>Product Supply Coordinator</t>
        </is>
      </c>
      <c r="D3431" t="inlineStr">
        <is>
          <t>Betenbough Homes</t>
        </is>
      </c>
      <c r="F3431" t="inlineStr">
        <is>
          <t>Yes</t>
        </is>
      </c>
      <c r="H3431" t="n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>
        <f>IFERROR(INDEX('Company Hitlist'!$AA:$AA,MATCH(D3431,'Company Hitlist'!$A:$A,0)),)</f>
        <v/>
      </c>
      <c r="O3431">
        <f>IFERROR(INDEX('Company Hitlist'!$N:$N,MATCH(D3431,'Company Hitlist'!$A:$A,0)),)</f>
        <v/>
      </c>
      <c r="Q3431" t="inlineStr">
        <is>
          <t>todo</t>
        </is>
      </c>
    </row>
    <row r="3432">
      <c r="A3432" t="inlineStr">
        <is>
          <t>Cami Reynolds</t>
        </is>
      </c>
      <c r="B3432" t="inlineStr">
        <is>
          <t>Attendee</t>
        </is>
      </c>
      <c r="C3432" t="inlineStr">
        <is>
          <t>Product Supply Manager</t>
        </is>
      </c>
      <c r="D3432" t="inlineStr">
        <is>
          <t>Betenbough Homes</t>
        </is>
      </c>
      <c r="H3432" t="n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>
        <f>IFERROR(INDEX('Company Hitlist'!$AA:$AA,MATCH(D3432,'Company Hitlist'!$A:$A,0)),)</f>
        <v/>
      </c>
      <c r="O3432">
        <f>IFERROR(INDEX('Company Hitlist'!$N:$N,MATCH(D3432,'Company Hitlist'!$A:$A,0)),)</f>
        <v/>
      </c>
      <c r="Q3432" t="inlineStr">
        <is>
          <t>todo</t>
        </is>
      </c>
    </row>
    <row r="3433">
      <c r="A3433" t="inlineStr">
        <is>
          <t>Trey Benton</t>
        </is>
      </c>
      <c r="B3433" t="inlineStr">
        <is>
          <t>Attendee</t>
        </is>
      </c>
      <c r="C3433" t="inlineStr">
        <is>
          <t>Product Supply Manager</t>
        </is>
      </c>
      <c r="D3433" t="inlineStr">
        <is>
          <t>Betenbough Homes</t>
        </is>
      </c>
      <c r="H3433" t="n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>
        <f>IFERROR(INDEX('Company Hitlist'!$AA:$AA,MATCH(D3433,'Company Hitlist'!$A:$A,0)),)</f>
        <v/>
      </c>
      <c r="O3433">
        <f>IFERROR(INDEX('Company Hitlist'!$N:$N,MATCH(D3433,'Company Hitlist'!$A:$A,0)),)</f>
        <v/>
      </c>
      <c r="Q3433" t="inlineStr">
        <is>
          <t>todo</t>
        </is>
      </c>
    </row>
    <row r="3434">
      <c r="A3434" t="inlineStr">
        <is>
          <t>Brendan Brett</t>
        </is>
      </c>
      <c r="B3434" t="inlineStr">
        <is>
          <t>Attendee</t>
        </is>
      </c>
      <c r="C3434" t="inlineStr">
        <is>
          <t>Director, Strategic Partnerships</t>
        </is>
      </c>
      <c r="D3434" t="inlineStr">
        <is>
          <t>Big Joe Forklifts</t>
        </is>
      </c>
      <c r="E3434" t="inlineStr">
        <is>
          <t>United States</t>
        </is>
      </c>
      <c r="H3434" t="n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>
        <f>IFERROR(INDEX('Company Hitlist'!$AA:$AA,MATCH(D3434,'Company Hitlist'!$A:$A,0)),)</f>
        <v/>
      </c>
      <c r="O3434">
        <f>IFERROR(INDEX('Company Hitlist'!$N:$N,MATCH(D3434,'Company Hitlist'!$A:$A,0)),)</f>
        <v/>
      </c>
      <c r="Q3434" t="inlineStr">
        <is>
          <t>todo</t>
        </is>
      </c>
    </row>
    <row r="3435">
      <c r="A3435" t="inlineStr">
        <is>
          <t>Shannon Hamilton</t>
        </is>
      </c>
      <c r="B3435" t="inlineStr">
        <is>
          <t>Sponsor</t>
        </is>
      </c>
      <c r="C3435" t="inlineStr">
        <is>
          <t>VP of Sales and Marketing</t>
        </is>
      </c>
      <c r="D3435" t="inlineStr">
        <is>
          <t>BlackBerry Radar</t>
        </is>
      </c>
      <c r="E3435" t="inlineStr">
        <is>
          <t>Canada</t>
        </is>
      </c>
      <c r="F3435" t="inlineStr">
        <is>
          <t>Yes</t>
        </is>
      </c>
      <c r="H3435" t="n">
        <v>0</v>
      </c>
      <c r="I3435" t="b">
        <v>0</v>
      </c>
      <c r="J3435" t="b">
        <v>1</v>
      </c>
      <c r="K3435" t="b">
        <v>0</v>
      </c>
      <c r="L3435" t="b">
        <v>0</v>
      </c>
      <c r="M3435" t="b">
        <v>1</v>
      </c>
      <c r="N3435">
        <f>IFERROR(INDEX('Company Hitlist'!$AA:$AA,MATCH(D3435,'Company Hitlist'!$A:$A,0)),)</f>
        <v/>
      </c>
      <c r="O3435">
        <f>IFERROR(INDEX('Company Hitlist'!$N:$N,MATCH(D3435,'Company Hitlist'!$A:$A,0)),)</f>
        <v/>
      </c>
      <c r="Q3435" t="inlineStr">
        <is>
          <t>todo</t>
        </is>
      </c>
    </row>
    <row r="3436">
      <c r="A3436" t="inlineStr">
        <is>
          <t>Maya Ahluwalia</t>
        </is>
      </c>
      <c r="B3436" t="inlineStr">
        <is>
          <t>Sponsor</t>
        </is>
      </c>
      <c r="C3436" t="inlineStr">
        <is>
          <t>Head of Marketing</t>
        </is>
      </c>
      <c r="D3436" t="inlineStr">
        <is>
          <t>Blecon</t>
        </is>
      </c>
      <c r="F3436" t="inlineStr">
        <is>
          <t>Yes</t>
        </is>
      </c>
      <c r="H3436" t="n">
        <v>0</v>
      </c>
      <c r="I3436" t="b">
        <v>0</v>
      </c>
      <c r="J3436" t="b">
        <v>1</v>
      </c>
      <c r="K3436" t="b">
        <v>0</v>
      </c>
      <c r="L3436" t="b">
        <v>0</v>
      </c>
      <c r="M3436" t="b">
        <v>1</v>
      </c>
      <c r="N3436">
        <f>IFERROR(INDEX('Company Hitlist'!$AA:$AA,MATCH(D3436,'Company Hitlist'!$A:$A,0)),)</f>
        <v/>
      </c>
      <c r="O3436">
        <f>IFERROR(INDEX('Company Hitlist'!$N:$N,MATCH(D3436,'Company Hitlist'!$A:$A,0)),)</f>
        <v/>
      </c>
      <c r="Q3436" t="inlineStr">
        <is>
          <t>todo</t>
        </is>
      </c>
    </row>
    <row r="3437">
      <c r="A3437" t="inlineStr">
        <is>
          <t>Brian Roberts</t>
        </is>
      </c>
      <c r="B3437" t="inlineStr">
        <is>
          <t>Attendee</t>
        </is>
      </c>
      <c r="C3437" t="inlineStr">
        <is>
          <t>Consultant</t>
        </is>
      </c>
      <c r="D3437" t="inlineStr">
        <is>
          <t>Bloodhound Tracking Device Inc.</t>
        </is>
      </c>
      <c r="E3437" t="inlineStr">
        <is>
          <t>United States</t>
        </is>
      </c>
      <c r="H3437" t="n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>
        <f>IFERROR(INDEX('Company Hitlist'!$AA:$AA,MATCH(D3437,'Company Hitlist'!$A:$A,0)),)</f>
        <v/>
      </c>
      <c r="O3437">
        <f>IFERROR(INDEX('Company Hitlist'!$N:$N,MATCH(D3437,'Company Hitlist'!$A:$A,0)),)</f>
        <v/>
      </c>
      <c r="Q3437" t="inlineStr">
        <is>
          <t>todo</t>
        </is>
      </c>
    </row>
    <row r="3438">
      <c r="A3438" t="inlineStr">
        <is>
          <t>Spencer Soper</t>
        </is>
      </c>
      <c r="B3438" t="inlineStr">
        <is>
          <t>Attendee</t>
        </is>
      </c>
      <c r="C3438" t="inlineStr">
        <is>
          <t>Tech Reporter</t>
        </is>
      </c>
      <c r="D3438" t="inlineStr">
        <is>
          <t>Bloomberg</t>
        </is>
      </c>
      <c r="H3438" t="n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>
        <f>IFERROR(INDEX('Company Hitlist'!$AA:$AA,MATCH(D3438,'Company Hitlist'!$A:$A,0)),)</f>
        <v/>
      </c>
      <c r="O3438">
        <f>IFERROR(INDEX('Company Hitlist'!$N:$N,MATCH(D3438,'Company Hitlist'!$A:$A,0)),)</f>
        <v/>
      </c>
      <c r="Q3438" t="inlineStr">
        <is>
          <t>todo</t>
        </is>
      </c>
    </row>
    <row r="3439">
      <c r="A3439" t="inlineStr">
        <is>
          <t>Marlon Ramirez</t>
        </is>
      </c>
      <c r="B3439" t="inlineStr">
        <is>
          <t>Attendee</t>
        </is>
      </c>
      <c r="C3439" t="inlineStr">
        <is>
          <t>Founder &amp; GP</t>
        </is>
      </c>
      <c r="D3439" t="inlineStr">
        <is>
          <t>Blue Impact Ventures</t>
        </is>
      </c>
      <c r="E3439" t="inlineStr">
        <is>
          <t>United States</t>
        </is>
      </c>
      <c r="H3439" t="n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>
        <f>IFERROR(INDEX('Company Hitlist'!$AA:$AA,MATCH(D3439,'Company Hitlist'!$A:$A,0)),)</f>
        <v/>
      </c>
      <c r="O3439">
        <f>IFERROR(INDEX('Company Hitlist'!$N:$N,MATCH(D3439,'Company Hitlist'!$A:$A,0)),)</f>
        <v/>
      </c>
      <c r="Q3439" t="inlineStr">
        <is>
          <t>todo</t>
        </is>
      </c>
    </row>
    <row r="3440">
      <c r="A3440" t="inlineStr">
        <is>
          <t>Grant Pollock</t>
        </is>
      </c>
      <c r="B3440" t="inlineStr">
        <is>
          <t>Sponsor</t>
        </is>
      </c>
      <c r="C3440" t="inlineStr">
        <is>
          <t>VP Sales &amp; Success</t>
        </is>
      </c>
      <c r="D3440" t="inlineStr">
        <is>
          <t>BlueCargo</t>
        </is>
      </c>
      <c r="E3440" t="inlineStr">
        <is>
          <t>United States</t>
        </is>
      </c>
      <c r="H3440" t="n">
        <v>0</v>
      </c>
      <c r="I3440" t="b">
        <v>0</v>
      </c>
      <c r="J3440" t="b">
        <v>1</v>
      </c>
      <c r="K3440" t="b">
        <v>0</v>
      </c>
      <c r="L3440" t="b">
        <v>0</v>
      </c>
      <c r="M3440" t="b">
        <v>1</v>
      </c>
      <c r="N3440">
        <f>IFERROR(INDEX('Company Hitlist'!$AA:$AA,MATCH(D3440,'Company Hitlist'!$A:$A,0)),)</f>
        <v/>
      </c>
      <c r="O3440">
        <f>IFERROR(INDEX('Company Hitlist'!$N:$N,MATCH(D3440,'Company Hitlist'!$A:$A,0)),)</f>
        <v/>
      </c>
      <c r="Q3440" t="inlineStr">
        <is>
          <t>todo</t>
        </is>
      </c>
    </row>
    <row r="3441">
      <c r="A3441" t="inlineStr">
        <is>
          <t>Billy Hart</t>
        </is>
      </c>
      <c r="B3441" t="inlineStr">
        <is>
          <t>Attendee</t>
        </is>
      </c>
      <c r="C3441" t="inlineStr">
        <is>
          <t>Managing Partner</t>
        </is>
      </c>
      <c r="D3441" t="inlineStr">
        <is>
          <t>Bluejay Capital</t>
        </is>
      </c>
      <c r="E3441" t="inlineStr">
        <is>
          <t>United States</t>
        </is>
      </c>
      <c r="H3441" t="n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>
        <f>IFERROR(INDEX('Company Hitlist'!$AA:$AA,MATCH(D3441,'Company Hitlist'!$A:$A,0)),)</f>
        <v/>
      </c>
      <c r="O3441">
        <f>IFERROR(INDEX('Company Hitlist'!$N:$N,MATCH(D3441,'Company Hitlist'!$A:$A,0)),)</f>
        <v/>
      </c>
      <c r="Q3441" t="inlineStr">
        <is>
          <t>todo</t>
        </is>
      </c>
    </row>
    <row r="3442">
      <c r="A3442" t="inlineStr">
        <is>
          <t>Raymond Quon</t>
        </is>
      </c>
      <c r="B3442" t="inlineStr">
        <is>
          <t>Attendee</t>
        </is>
      </c>
      <c r="C3442" t="inlineStr">
        <is>
          <t>Provider Management</t>
        </is>
      </c>
      <c r="D3442" t="inlineStr">
        <is>
          <t>Boeing</t>
        </is>
      </c>
      <c r="H3442" t="n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>
        <f>IFERROR(INDEX('Company Hitlist'!$AA:$AA,MATCH(D3442,'Company Hitlist'!$A:$A,0)),)</f>
        <v/>
      </c>
      <c r="O3442">
        <f>IFERROR(INDEX('Company Hitlist'!$N:$N,MATCH(D3442,'Company Hitlist'!$A:$A,0)),)</f>
        <v/>
      </c>
      <c r="Q3442" t="inlineStr">
        <is>
          <t>todo</t>
        </is>
      </c>
    </row>
    <row r="3443">
      <c r="A3443" t="inlineStr">
        <is>
          <t>Court Abel</t>
        </is>
      </c>
      <c r="B3443" t="inlineStr">
        <is>
          <t>Attendee</t>
        </is>
      </c>
      <c r="C3443" t="inlineStr">
        <is>
          <t>Founder</t>
        </is>
      </c>
      <c r="D3443" t="inlineStr">
        <is>
          <t>Brandfox LLC</t>
        </is>
      </c>
      <c r="E3443" t="inlineStr">
        <is>
          <t>United States</t>
        </is>
      </c>
      <c r="H3443" t="n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>
        <f>IFERROR(INDEX('Company Hitlist'!$AA:$AA,MATCH(D3443,'Company Hitlist'!$A:$A,0)),)</f>
        <v/>
      </c>
      <c r="O3443">
        <f>IFERROR(INDEX('Company Hitlist'!$N:$N,MATCH(D3443,'Company Hitlist'!$A:$A,0)),)</f>
        <v/>
      </c>
      <c r="Q3443" t="inlineStr">
        <is>
          <t>todo</t>
        </is>
      </c>
    </row>
    <row r="3444">
      <c r="A3444" t="inlineStr">
        <is>
          <t>Phil Yates</t>
        </is>
      </c>
      <c r="B3444" t="inlineStr">
        <is>
          <t>Attendee</t>
        </is>
      </c>
      <c r="C3444" t="inlineStr">
        <is>
          <t>Partner</t>
        </is>
      </c>
      <c r="D3444" t="inlineStr">
        <is>
          <t>Bregal Sagemount</t>
        </is>
      </c>
      <c r="E3444" t="inlineStr">
        <is>
          <t>United States</t>
        </is>
      </c>
      <c r="H3444" t="n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>
        <f>IFERROR(INDEX('Company Hitlist'!$AA:$AA,MATCH(D3444,'Company Hitlist'!$A:$A,0)),)</f>
        <v/>
      </c>
      <c r="O3444">
        <f>IFERROR(INDEX('Company Hitlist'!$N:$N,MATCH(D3444,'Company Hitlist'!$A:$A,0)),)</f>
        <v/>
      </c>
      <c r="Q3444" t="inlineStr">
        <is>
          <t>todo</t>
        </is>
      </c>
    </row>
    <row r="3445">
      <c r="A3445" t="inlineStr">
        <is>
          <t>Mike Eberle</t>
        </is>
      </c>
      <c r="B3445" t="inlineStr">
        <is>
          <t>Attendee</t>
        </is>
      </c>
      <c r="C3445" t="inlineStr">
        <is>
          <t>Software Investor</t>
        </is>
      </c>
      <c r="D3445" t="inlineStr">
        <is>
          <t>Brighton Park Capital</t>
        </is>
      </c>
      <c r="H3445" t="n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>
        <f>IFERROR(INDEX('Company Hitlist'!$AA:$AA,MATCH(D3445,'Company Hitlist'!$A:$A,0)),)</f>
        <v/>
      </c>
      <c r="O3445">
        <f>IFERROR(INDEX('Company Hitlist'!$N:$N,MATCH(D3445,'Company Hitlist'!$A:$A,0)),)</f>
        <v/>
      </c>
      <c r="Q3445" t="inlineStr">
        <is>
          <t>todo</t>
        </is>
      </c>
    </row>
    <row r="3446">
      <c r="A3446" t="inlineStr">
        <is>
          <t>Alex Moore</t>
        </is>
      </c>
      <c r="B3446" t="inlineStr">
        <is>
          <t>Attendee</t>
        </is>
      </c>
      <c r="C3446" t="inlineStr">
        <is>
          <t>Partner</t>
        </is>
      </c>
      <c r="D3446" t="inlineStr">
        <is>
          <t>Broad Reach</t>
        </is>
      </c>
      <c r="E3446" t="inlineStr">
        <is>
          <t>Canada</t>
        </is>
      </c>
      <c r="F3446" t="inlineStr">
        <is>
          <t>Yes</t>
        </is>
      </c>
      <c r="H3446" t="n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>
        <f>IFERROR(INDEX('Company Hitlist'!$AA:$AA,MATCH(D3446,'Company Hitlist'!$A:$A,0)),)</f>
        <v/>
      </c>
      <c r="O3446">
        <f>IFERROR(INDEX('Company Hitlist'!$N:$N,MATCH(D3446,'Company Hitlist'!$A:$A,0)),)</f>
        <v/>
      </c>
      <c r="Q3446" t="inlineStr">
        <is>
          <t>todo</t>
        </is>
      </c>
    </row>
    <row r="3447">
      <c r="A3447" t="inlineStr">
        <is>
          <t>Craig Radford</t>
        </is>
      </c>
      <c r="B3447" t="inlineStr">
        <is>
          <t>Attendee</t>
        </is>
      </c>
      <c r="C3447" t="inlineStr">
        <is>
          <t>Partner</t>
        </is>
      </c>
      <c r="D3447" t="inlineStr">
        <is>
          <t>Broad Reach</t>
        </is>
      </c>
      <c r="E3447" t="inlineStr">
        <is>
          <t>Canada</t>
        </is>
      </c>
      <c r="F3447" t="inlineStr">
        <is>
          <t>Yes</t>
        </is>
      </c>
      <c r="H3447" t="n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>
        <f>IFERROR(INDEX('Company Hitlist'!$AA:$AA,MATCH(D3447,'Company Hitlist'!$A:$A,0)),)</f>
        <v/>
      </c>
      <c r="O3447">
        <f>IFERROR(INDEX('Company Hitlist'!$N:$N,MATCH(D3447,'Company Hitlist'!$A:$A,0)),)</f>
        <v/>
      </c>
      <c r="Q3447" t="inlineStr">
        <is>
          <t>todo</t>
        </is>
      </c>
    </row>
    <row r="3448">
      <c r="A3448" t="inlineStr">
        <is>
          <t>Michael Magruder</t>
        </is>
      </c>
      <c r="B3448" t="inlineStr">
        <is>
          <t>Attendee</t>
        </is>
      </c>
      <c r="C3448" t="inlineStr">
        <is>
          <t>Managing Director</t>
        </is>
      </c>
      <c r="D3448" t="inlineStr">
        <is>
          <t>Brown Gibbons Lang &amp; Company</t>
        </is>
      </c>
      <c r="E3448" t="inlineStr">
        <is>
          <t>United States</t>
        </is>
      </c>
      <c r="H3448" t="n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>
        <f>IFERROR(INDEX('Company Hitlist'!$AA:$AA,MATCH(D3448,'Company Hitlist'!$A:$A,0)),)</f>
        <v/>
      </c>
      <c r="O3448">
        <f>IFERROR(INDEX('Company Hitlist'!$N:$N,MATCH(D3448,'Company Hitlist'!$A:$A,0)),)</f>
        <v/>
      </c>
      <c r="Q3448" t="inlineStr">
        <is>
          <t>todo</t>
        </is>
      </c>
    </row>
    <row r="3449">
      <c r="A3449" t="inlineStr">
        <is>
          <t>Scott Mattson</t>
        </is>
      </c>
      <c r="B3449" t="inlineStr">
        <is>
          <t>Attendee</t>
        </is>
      </c>
      <c r="C3449" t="inlineStr">
        <is>
          <t>Managing Director</t>
        </is>
      </c>
      <c r="D3449" t="inlineStr">
        <is>
          <t>Brown Gibbons Lang &amp; Company</t>
        </is>
      </c>
      <c r="E3449" t="inlineStr">
        <is>
          <t>United States</t>
        </is>
      </c>
      <c r="H3449" t="n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>
        <f>IFERROR(INDEX('Company Hitlist'!$AA:$AA,MATCH(D3449,'Company Hitlist'!$A:$A,0)),)</f>
        <v/>
      </c>
      <c r="O3449">
        <f>IFERROR(INDEX('Company Hitlist'!$N:$N,MATCH(D3449,'Company Hitlist'!$A:$A,0)),)</f>
        <v/>
      </c>
      <c r="Q3449" t="inlineStr">
        <is>
          <t>todo</t>
        </is>
      </c>
    </row>
    <row r="3450">
      <c r="A3450" t="inlineStr">
        <is>
          <t>Dennis Raap</t>
        </is>
      </c>
      <c r="B3450" t="inlineStr">
        <is>
          <t>Attendee</t>
        </is>
      </c>
      <c r="C3450" t="inlineStr">
        <is>
          <t>Practice Manager</t>
        </is>
      </c>
      <c r="D3450" t="inlineStr">
        <is>
          <t>Bryant Park Consulting</t>
        </is>
      </c>
      <c r="E3450" t="inlineStr">
        <is>
          <t>United States</t>
        </is>
      </c>
      <c r="H3450" t="n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>
        <f>IFERROR(INDEX('Company Hitlist'!$AA:$AA,MATCH(D3450,'Company Hitlist'!$A:$A,0)),)</f>
        <v/>
      </c>
      <c r="O3450">
        <f>IFERROR(INDEX('Company Hitlist'!$N:$N,MATCH(D3450,'Company Hitlist'!$A:$A,0)),)</f>
        <v/>
      </c>
      <c r="Q3450" t="inlineStr">
        <is>
          <t>todo</t>
        </is>
      </c>
    </row>
    <row r="3451">
      <c r="A3451" t="inlineStr">
        <is>
          <t>Bryan Goodyear</t>
        </is>
      </c>
      <c r="B3451" t="inlineStr">
        <is>
          <t>Sponsor</t>
        </is>
      </c>
      <c r="C3451" t="inlineStr">
        <is>
          <t>Vice President, Sales</t>
        </is>
      </c>
      <c r="D3451" t="inlineStr">
        <is>
          <t>Budget Truck Rental</t>
        </is>
      </c>
      <c r="E3451" t="inlineStr">
        <is>
          <t>United States</t>
        </is>
      </c>
      <c r="H3451" t="n">
        <v>0</v>
      </c>
      <c r="I3451" t="b">
        <v>0</v>
      </c>
      <c r="J3451" t="b">
        <v>1</v>
      </c>
      <c r="K3451" t="b">
        <v>0</v>
      </c>
      <c r="L3451" t="b">
        <v>0</v>
      </c>
      <c r="M3451" t="b">
        <v>1</v>
      </c>
      <c r="N3451">
        <f>IFERROR(INDEX('Company Hitlist'!$AA:$AA,MATCH(D3451,'Company Hitlist'!$A:$A,0)),)</f>
        <v/>
      </c>
      <c r="O3451">
        <f>IFERROR(INDEX('Company Hitlist'!$N:$N,MATCH(D3451,'Company Hitlist'!$A:$A,0)),)</f>
        <v/>
      </c>
      <c r="Q3451" t="inlineStr">
        <is>
          <t>todo</t>
        </is>
      </c>
    </row>
    <row r="3452">
      <c r="A3452" t="inlineStr">
        <is>
          <t>Anders Butzbach Christensen</t>
        </is>
      </c>
      <c r="B3452" t="inlineStr">
        <is>
          <t>Attendee</t>
        </is>
      </c>
      <c r="C3452" t="inlineStr">
        <is>
          <t>Director of Enterprise Architecture, Data &amp; AI</t>
        </is>
      </c>
      <c r="D3452" t="inlineStr">
        <is>
          <t>Bunker Holding Group</t>
        </is>
      </c>
      <c r="H3452" t="n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>
        <f>IFERROR(INDEX('Company Hitlist'!$AA:$AA,MATCH(D3452,'Company Hitlist'!$A:$A,0)),)</f>
        <v/>
      </c>
      <c r="O3452">
        <f>IFERROR(INDEX('Company Hitlist'!$N:$N,MATCH(D3452,'Company Hitlist'!$A:$A,0)),)</f>
        <v/>
      </c>
      <c r="Q3452" t="inlineStr">
        <is>
          <t>todo</t>
        </is>
      </c>
    </row>
    <row r="3453">
      <c r="A3453" t="inlineStr">
        <is>
          <t>Ricky Dhingra</t>
        </is>
      </c>
      <c r="B3453" t="inlineStr">
        <is>
          <t>Sponsor</t>
        </is>
      </c>
      <c r="C3453" t="inlineStr">
        <is>
          <t>VP of Sales</t>
        </is>
      </c>
      <c r="D3453" t="inlineStr">
        <is>
          <t>Burq</t>
        </is>
      </c>
      <c r="E3453" t="inlineStr">
        <is>
          <t>United States</t>
        </is>
      </c>
      <c r="H3453" t="n">
        <v>0</v>
      </c>
      <c r="I3453" t="b">
        <v>0</v>
      </c>
      <c r="J3453" t="b">
        <v>1</v>
      </c>
      <c r="K3453" t="b">
        <v>0</v>
      </c>
      <c r="L3453" t="b">
        <v>0</v>
      </c>
      <c r="M3453" t="b">
        <v>1</v>
      </c>
      <c r="N3453">
        <f>IFERROR(INDEX('Company Hitlist'!$AA:$AA,MATCH(D3453,'Company Hitlist'!$A:$A,0)),)</f>
        <v/>
      </c>
      <c r="O3453">
        <f>IFERROR(INDEX('Company Hitlist'!$N:$N,MATCH(D3453,'Company Hitlist'!$A:$A,0)),)</f>
        <v/>
      </c>
      <c r="Q3453" t="inlineStr">
        <is>
          <t>todo</t>
        </is>
      </c>
    </row>
    <row r="3454">
      <c r="A3454" t="inlineStr">
        <is>
          <t>Cj Johnson</t>
        </is>
      </c>
      <c r="B3454" t="inlineStr">
        <is>
          <t>Attendee</t>
        </is>
      </c>
      <c r="C3454" t="inlineStr">
        <is>
          <t>Founder</t>
        </is>
      </c>
      <c r="D3454" t="inlineStr">
        <is>
          <t>Bws logistics</t>
        </is>
      </c>
      <c r="E3454" t="inlineStr">
        <is>
          <t>United States</t>
        </is>
      </c>
      <c r="F3454" t="inlineStr">
        <is>
          <t>Yes</t>
        </is>
      </c>
      <c r="H3454" t="n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>
        <f>IFERROR(INDEX('Company Hitlist'!$AA:$AA,MATCH(D3454,'Company Hitlist'!$A:$A,0)),)</f>
        <v/>
      </c>
      <c r="O3454">
        <f>IFERROR(INDEX('Company Hitlist'!$N:$N,MATCH(D3454,'Company Hitlist'!$A:$A,0)),)</f>
        <v/>
      </c>
      <c r="Q3454" t="inlineStr">
        <is>
          <t>todo</t>
        </is>
      </c>
    </row>
    <row r="3455">
      <c r="A3455" t="inlineStr">
        <is>
          <t>Jim Mancini</t>
        </is>
      </c>
      <c r="B3455" t="inlineStr">
        <is>
          <t>Sponsor</t>
        </is>
      </c>
      <c r="C3455" t="inlineStr">
        <is>
          <t>Vice President - Customer Success</t>
        </is>
      </c>
      <c r="D3455" t="inlineStr">
        <is>
          <t>C.H. Robinson</t>
        </is>
      </c>
      <c r="F3455" t="inlineStr">
        <is>
          <t>Yes</t>
        </is>
      </c>
      <c r="G3455" t="inlineStr">
        <is>
          <t>17724956000</t>
        </is>
      </c>
      <c r="H3455" t="n">
        <v>0</v>
      </c>
      <c r="I3455" t="b">
        <v>0</v>
      </c>
      <c r="J3455" t="b">
        <v>1</v>
      </c>
      <c r="K3455" t="b">
        <v>0</v>
      </c>
      <c r="L3455" t="b">
        <v>0</v>
      </c>
      <c r="M3455" t="b">
        <v>1</v>
      </c>
      <c r="N3455">
        <f>IFERROR(INDEX('Company Hitlist'!$AA:$AA,MATCH(D3455,'Company Hitlist'!$A:$A,0)),)</f>
        <v/>
      </c>
      <c r="O3455">
        <f>IFERROR(INDEX('Company Hitlist'!$N:$N,MATCH(D3455,'Company Hitlist'!$A:$A,0)),)</f>
        <v/>
      </c>
      <c r="Q3455" t="inlineStr">
        <is>
          <t>todo</t>
        </is>
      </c>
    </row>
    <row r="3456">
      <c r="A3456" t="inlineStr">
        <is>
          <t>Dane Secott</t>
        </is>
      </c>
      <c r="B3456" t="inlineStr">
        <is>
          <t>Sponsor</t>
        </is>
      </c>
      <c r="C3456" t="inlineStr">
        <is>
          <t>Vice President - Sales</t>
        </is>
      </c>
      <c r="D3456" t="inlineStr">
        <is>
          <t>C.H. Robinson</t>
        </is>
      </c>
      <c r="E3456" t="inlineStr">
        <is>
          <t>United States</t>
        </is>
      </c>
      <c r="H3456" t="n">
        <v>0</v>
      </c>
      <c r="I3456" t="b">
        <v>0</v>
      </c>
      <c r="J3456" t="b">
        <v>1</v>
      </c>
      <c r="K3456" t="b">
        <v>0</v>
      </c>
      <c r="L3456" t="b">
        <v>0</v>
      </c>
      <c r="M3456" t="b">
        <v>1</v>
      </c>
      <c r="N3456">
        <f>IFERROR(INDEX('Company Hitlist'!$AA:$AA,MATCH(D3456,'Company Hitlist'!$A:$A,0)),)</f>
        <v/>
      </c>
      <c r="O3456">
        <f>IFERROR(INDEX('Company Hitlist'!$N:$N,MATCH(D3456,'Company Hitlist'!$A:$A,0)),)</f>
        <v/>
      </c>
      <c r="Q3456" t="inlineStr">
        <is>
          <t>todo</t>
        </is>
      </c>
    </row>
    <row r="3457">
      <c r="A3457" t="inlineStr">
        <is>
          <t>Sean Fay</t>
        </is>
      </c>
      <c r="B3457" t="inlineStr">
        <is>
          <t>Sponsor</t>
        </is>
      </c>
      <c r="C3457" t="inlineStr">
        <is>
          <t>Vice President -Global Sales</t>
        </is>
      </c>
      <c r="D3457" t="inlineStr">
        <is>
          <t>C.H. Robinson</t>
        </is>
      </c>
      <c r="E3457" t="inlineStr">
        <is>
          <t>United States</t>
        </is>
      </c>
      <c r="H3457" t="n">
        <v>0</v>
      </c>
      <c r="I3457" t="b">
        <v>0</v>
      </c>
      <c r="J3457" t="b">
        <v>1</v>
      </c>
      <c r="K3457" t="b">
        <v>0</v>
      </c>
      <c r="L3457" t="b">
        <v>0</v>
      </c>
      <c r="M3457" t="b">
        <v>1</v>
      </c>
      <c r="N3457">
        <f>IFERROR(INDEX('Company Hitlist'!$AA:$AA,MATCH(D3457,'Company Hitlist'!$A:$A,0)),)</f>
        <v/>
      </c>
      <c r="O3457">
        <f>IFERROR(INDEX('Company Hitlist'!$N:$N,MATCH(D3457,'Company Hitlist'!$A:$A,0)),)</f>
        <v/>
      </c>
      <c r="Q3457" t="inlineStr">
        <is>
          <t>todo</t>
        </is>
      </c>
    </row>
    <row r="3458">
      <c r="A3458" t="inlineStr">
        <is>
          <t>Lori Eakins</t>
        </is>
      </c>
      <c r="B3458" t="inlineStr">
        <is>
          <t>Sponsor</t>
        </is>
      </c>
      <c r="C3458" t="inlineStr">
        <is>
          <t>Vice President of Corporate Sales</t>
        </is>
      </c>
      <c r="D3458" t="inlineStr">
        <is>
          <t>C.R. England Inc.</t>
        </is>
      </c>
      <c r="H3458" t="n">
        <v>0</v>
      </c>
      <c r="I3458" t="b">
        <v>0</v>
      </c>
      <c r="J3458" t="b">
        <v>1</v>
      </c>
      <c r="K3458" t="b">
        <v>0</v>
      </c>
      <c r="L3458" t="b">
        <v>0</v>
      </c>
      <c r="M3458" t="b">
        <v>1</v>
      </c>
      <c r="N3458">
        <f>IFERROR(INDEX('Company Hitlist'!$AA:$AA,MATCH(D3458,'Company Hitlist'!$A:$A,0)),)</f>
        <v/>
      </c>
      <c r="O3458">
        <f>IFERROR(INDEX('Company Hitlist'!$N:$N,MATCH(D3458,'Company Hitlist'!$A:$A,0)),)</f>
        <v/>
      </c>
      <c r="Q3458" t="inlineStr">
        <is>
          <t>todo</t>
        </is>
      </c>
    </row>
    <row r="3459">
      <c r="A3459" t="inlineStr">
        <is>
          <t>Berit McLaughlin</t>
        </is>
      </c>
      <c r="B3459" t="inlineStr">
        <is>
          <t>Attendee</t>
        </is>
      </c>
      <c r="C3459" t="inlineStr">
        <is>
          <t>Associate</t>
        </is>
      </c>
      <c r="D3459" t="inlineStr">
        <is>
          <t>CBRE</t>
        </is>
      </c>
      <c r="E3459" t="inlineStr">
        <is>
          <t>United States</t>
        </is>
      </c>
      <c r="H3459" t="n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>
        <f>IFERROR(INDEX('Company Hitlist'!$AA:$AA,MATCH(D3459,'Company Hitlist'!$A:$A,0)),)</f>
        <v/>
      </c>
      <c r="O3459">
        <f>IFERROR(INDEX('Company Hitlist'!$N:$N,MATCH(D3459,'Company Hitlist'!$A:$A,0)),)</f>
        <v/>
      </c>
      <c r="Q3459" t="inlineStr">
        <is>
          <t>todo</t>
        </is>
      </c>
    </row>
    <row r="3460">
      <c r="A3460" t="inlineStr">
        <is>
          <t>Michael Curcio</t>
        </is>
      </c>
      <c r="B3460" t="inlineStr">
        <is>
          <t>Sponsor</t>
        </is>
      </c>
      <c r="C3460" t="inlineStr">
        <is>
          <t>VP Business Development</t>
        </is>
      </c>
      <c r="D3460" t="inlineStr">
        <is>
          <t>CDL Last Mile</t>
        </is>
      </c>
      <c r="H3460" t="n">
        <v>0</v>
      </c>
      <c r="I3460" t="b">
        <v>0</v>
      </c>
      <c r="J3460" t="b">
        <v>1</v>
      </c>
      <c r="K3460" t="b">
        <v>0</v>
      </c>
      <c r="L3460" t="b">
        <v>0</v>
      </c>
      <c r="M3460" t="b">
        <v>1</v>
      </c>
      <c r="N3460">
        <f>IFERROR(INDEX('Company Hitlist'!$AA:$AA,MATCH(D3460,'Company Hitlist'!$A:$A,0)),)</f>
        <v/>
      </c>
      <c r="O3460">
        <f>IFERROR(INDEX('Company Hitlist'!$N:$N,MATCH(D3460,'Company Hitlist'!$A:$A,0)),)</f>
        <v/>
      </c>
      <c r="Q3460" t="inlineStr">
        <is>
          <t>todo</t>
        </is>
      </c>
    </row>
    <row r="3461">
      <c r="A3461" t="inlineStr">
        <is>
          <t>Curtis Weeks</t>
        </is>
      </c>
      <c r="B3461" t="inlineStr">
        <is>
          <t>Attendee</t>
        </is>
      </c>
      <c r="C3461" t="inlineStr">
        <is>
          <t>Director of IT</t>
        </is>
      </c>
      <c r="D3461" t="inlineStr">
        <is>
          <t>CFS Technology</t>
        </is>
      </c>
      <c r="F3461" t="inlineStr">
        <is>
          <t>Yes</t>
        </is>
      </c>
      <c r="H3461" t="n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>
        <f>IFERROR(INDEX('Company Hitlist'!$AA:$AA,MATCH(D3461,'Company Hitlist'!$A:$A,0)),)</f>
        <v/>
      </c>
      <c r="O3461">
        <f>IFERROR(INDEX('Company Hitlist'!$N:$N,MATCH(D3461,'Company Hitlist'!$A:$A,0)),)</f>
        <v/>
      </c>
      <c r="Q3461" t="inlineStr">
        <is>
          <t>todo</t>
        </is>
      </c>
    </row>
    <row r="3462">
      <c r="A3462" t="inlineStr">
        <is>
          <t>Megan Orth</t>
        </is>
      </c>
      <c r="B3462" t="inlineStr">
        <is>
          <t>Attendee</t>
        </is>
      </c>
      <c r="C3462" t="inlineStr">
        <is>
          <t>Senior Director</t>
        </is>
      </c>
      <c r="D3462" t="inlineStr">
        <is>
          <t>CH Robinson</t>
        </is>
      </c>
      <c r="E3462" t="inlineStr">
        <is>
          <t>United States</t>
        </is>
      </c>
      <c r="F3462" t="inlineStr">
        <is>
          <t>Yes</t>
        </is>
      </c>
      <c r="H3462" t="n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>
        <f>IFERROR(INDEX('Company Hitlist'!$AA:$AA,MATCH(D3462,'Company Hitlist'!$A:$A,0)),)</f>
        <v/>
      </c>
      <c r="O3462">
        <f>IFERROR(INDEX('Company Hitlist'!$N:$N,MATCH(D3462,'Company Hitlist'!$A:$A,0)),)</f>
        <v/>
      </c>
      <c r="Q3462" t="inlineStr">
        <is>
          <t>todo</t>
        </is>
      </c>
    </row>
    <row r="3463">
      <c r="A3463" t="inlineStr">
        <is>
          <t>Rob Uhlemann</t>
        </is>
      </c>
      <c r="B3463" t="inlineStr">
        <is>
          <t>Attendee</t>
        </is>
      </c>
      <c r="C3463" t="inlineStr">
        <is>
          <t>Director of Strategy and Ventures</t>
        </is>
      </c>
      <c r="D3463" t="inlineStr">
        <is>
          <t>CHS</t>
        </is>
      </c>
      <c r="E3463" t="inlineStr">
        <is>
          <t>United States</t>
        </is>
      </c>
      <c r="H3463" t="n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>
        <f>IFERROR(INDEX('Company Hitlist'!$AA:$AA,MATCH(D3463,'Company Hitlist'!$A:$A,0)),)</f>
        <v/>
      </c>
      <c r="O3463">
        <f>IFERROR(INDEX('Company Hitlist'!$N:$N,MATCH(D3463,'Company Hitlist'!$A:$A,0)),)</f>
        <v/>
      </c>
      <c r="Q3463" t="inlineStr">
        <is>
          <t>todo</t>
        </is>
      </c>
    </row>
    <row r="3464">
      <c r="A3464" t="inlineStr">
        <is>
          <t>RANDY COLE</t>
        </is>
      </c>
      <c r="B3464" t="inlineStr">
        <is>
          <t>Sponsor</t>
        </is>
      </c>
      <c r="C3464" t="inlineStr">
        <is>
          <t>VP of Sales and Marketing</t>
        </is>
      </c>
      <c r="D3464" t="inlineStr">
        <is>
          <t>CIMS</t>
        </is>
      </c>
      <c r="E3464" t="inlineStr">
        <is>
          <t>United States</t>
        </is>
      </c>
      <c r="F3464" t="inlineStr">
        <is>
          <t>Yes</t>
        </is>
      </c>
      <c r="H3464" t="n">
        <v>0</v>
      </c>
      <c r="I3464" t="b">
        <v>0</v>
      </c>
      <c r="J3464" t="b">
        <v>1</v>
      </c>
      <c r="K3464" t="b">
        <v>0</v>
      </c>
      <c r="L3464" t="b">
        <v>0</v>
      </c>
      <c r="M3464" t="b">
        <v>1</v>
      </c>
      <c r="N3464">
        <f>IFERROR(INDEX('Company Hitlist'!$AA:$AA,MATCH(D3464,'Company Hitlist'!$A:$A,0)),)</f>
        <v/>
      </c>
      <c r="O3464">
        <f>IFERROR(INDEX('Company Hitlist'!$N:$N,MATCH(D3464,'Company Hitlist'!$A:$A,0)),)</f>
        <v/>
      </c>
      <c r="Q3464" t="inlineStr">
        <is>
          <t>todo</t>
        </is>
      </c>
    </row>
    <row r="3465">
      <c r="A3465" t="inlineStr">
        <is>
          <t>Hong Li</t>
        </is>
      </c>
      <c r="B3465" t="inlineStr">
        <is>
          <t>Sponsor</t>
        </is>
      </c>
      <c r="C3465" t="inlineStr">
        <is>
          <t>Head of Global Sales</t>
        </is>
      </c>
      <c r="D3465" t="inlineStr">
        <is>
          <t>CIRRO Fulfillment</t>
        </is>
      </c>
      <c r="H3465" t="n">
        <v>0</v>
      </c>
      <c r="I3465" t="b">
        <v>0</v>
      </c>
      <c r="J3465" t="b">
        <v>1</v>
      </c>
      <c r="K3465" t="b">
        <v>0</v>
      </c>
      <c r="L3465" t="b">
        <v>0</v>
      </c>
      <c r="M3465" t="b">
        <v>1</v>
      </c>
      <c r="N3465">
        <f>IFERROR(INDEX('Company Hitlist'!$AA:$AA,MATCH(D3465,'Company Hitlist'!$A:$A,0)),)</f>
        <v/>
      </c>
      <c r="O3465">
        <f>IFERROR(INDEX('Company Hitlist'!$N:$N,MATCH(D3465,'Company Hitlist'!$A:$A,0)),)</f>
        <v/>
      </c>
      <c r="Q3465" t="inlineStr">
        <is>
          <t>todo</t>
        </is>
      </c>
    </row>
    <row r="3466">
      <c r="A3466" t="inlineStr">
        <is>
          <t>Christopher Moore</t>
        </is>
      </c>
      <c r="B3466" t="inlineStr">
        <is>
          <t>Sponsor</t>
        </is>
      </c>
      <c r="C3466" t="inlineStr">
        <is>
          <t>Vice President | Business Development</t>
        </is>
      </c>
      <c r="D3466" t="inlineStr">
        <is>
          <t>CIRRO Fulfillment</t>
        </is>
      </c>
      <c r="H3466" t="n">
        <v>0</v>
      </c>
      <c r="I3466" t="b">
        <v>0</v>
      </c>
      <c r="J3466" t="b">
        <v>1</v>
      </c>
      <c r="K3466" t="b">
        <v>0</v>
      </c>
      <c r="L3466" t="b">
        <v>0</v>
      </c>
      <c r="M3466" t="b">
        <v>1</v>
      </c>
      <c r="N3466">
        <f>IFERROR(INDEX('Company Hitlist'!$AA:$AA,MATCH(D3466,'Company Hitlist'!$A:$A,0)),)</f>
        <v/>
      </c>
      <c r="O3466">
        <f>IFERROR(INDEX('Company Hitlist'!$N:$N,MATCH(D3466,'Company Hitlist'!$A:$A,0)),)</f>
        <v/>
      </c>
      <c r="Q3466" t="inlineStr">
        <is>
          <t>todo</t>
        </is>
      </c>
    </row>
    <row r="3467">
      <c r="A3467" t="inlineStr">
        <is>
          <t>Peter Bonte</t>
        </is>
      </c>
      <c r="B3467" t="inlineStr">
        <is>
          <t>Sponsor</t>
        </is>
      </c>
      <c r="C3467" t="inlineStr">
        <is>
          <t>SVP - Partnership and Growth</t>
        </is>
      </c>
      <c r="D3467" t="inlineStr">
        <is>
          <t>CIRROFulfillment</t>
        </is>
      </c>
      <c r="F3467" t="inlineStr">
        <is>
          <t>Yes</t>
        </is>
      </c>
      <c r="H3467" t="n">
        <v>0</v>
      </c>
      <c r="I3467" t="b">
        <v>0</v>
      </c>
      <c r="J3467" t="b">
        <v>1</v>
      </c>
      <c r="K3467" t="b">
        <v>0</v>
      </c>
      <c r="L3467" t="b">
        <v>0</v>
      </c>
      <c r="M3467" t="b">
        <v>1</v>
      </c>
      <c r="N3467">
        <f>IFERROR(INDEX('Company Hitlist'!$AA:$AA,MATCH(D3467,'Company Hitlist'!$A:$A,0)),)</f>
        <v/>
      </c>
      <c r="O3467">
        <f>IFERROR(INDEX('Company Hitlist'!$N:$N,MATCH(D3467,'Company Hitlist'!$A:$A,0)),)</f>
        <v/>
      </c>
      <c r="Q3467" t="inlineStr">
        <is>
          <t>todo</t>
        </is>
      </c>
    </row>
    <row r="3468">
      <c r="A3468" t="inlineStr">
        <is>
          <t>Barry Grove</t>
        </is>
      </c>
      <c r="B3468" t="inlineStr">
        <is>
          <t>Attendee</t>
        </is>
      </c>
      <c r="C3468" t="inlineStr">
        <is>
          <t>CCO</t>
        </is>
      </c>
      <c r="D3468" t="inlineStr">
        <is>
          <t>CO.LAB</t>
        </is>
      </c>
      <c r="E3468" t="inlineStr">
        <is>
          <t>United States</t>
        </is>
      </c>
      <c r="H3468" t="n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>
        <f>IFERROR(INDEX('Company Hitlist'!$AA:$AA,MATCH(D3468,'Company Hitlist'!$A:$A,0)),)</f>
        <v/>
      </c>
      <c r="O3468">
        <f>IFERROR(INDEX('Company Hitlist'!$N:$N,MATCH(D3468,'Company Hitlist'!$A:$A,0)),)</f>
        <v/>
      </c>
      <c r="Q3468" t="inlineStr">
        <is>
          <t>todo</t>
        </is>
      </c>
    </row>
    <row r="3469">
      <c r="A3469" t="inlineStr">
        <is>
          <t>Brian Emanuelson</t>
        </is>
      </c>
      <c r="B3469" t="inlineStr">
        <is>
          <t>Attendee</t>
        </is>
      </c>
      <c r="C3469" t="inlineStr">
        <is>
          <t>Director, Vendor Partnerships</t>
        </is>
      </c>
      <c r="D3469" t="inlineStr">
        <is>
          <t>CP Capital</t>
        </is>
      </c>
      <c r="E3469" t="inlineStr">
        <is>
          <t>United States</t>
        </is>
      </c>
      <c r="H3469" t="n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>
        <f>IFERROR(INDEX('Company Hitlist'!$AA:$AA,MATCH(D3469,'Company Hitlist'!$A:$A,0)),)</f>
        <v/>
      </c>
      <c r="O3469">
        <f>IFERROR(INDEX('Company Hitlist'!$N:$N,MATCH(D3469,'Company Hitlist'!$A:$A,0)),)</f>
        <v/>
      </c>
      <c r="Q3469" t="inlineStr">
        <is>
          <t>todo</t>
        </is>
      </c>
    </row>
    <row r="3470">
      <c r="A3470" t="inlineStr">
        <is>
          <t>SAMUEL MARTINEZ</t>
        </is>
      </c>
      <c r="B3470" t="inlineStr">
        <is>
          <t>Attendee</t>
        </is>
      </c>
      <c r="C3470" t="inlineStr">
        <is>
          <t>IT TEAM LEADER</t>
        </is>
      </c>
      <c r="D3470" t="inlineStr">
        <is>
          <t>CROSSMOTION LOGISTICS</t>
        </is>
      </c>
      <c r="E3470" t="inlineStr">
        <is>
          <t>Mexico</t>
        </is>
      </c>
      <c r="F3470" t="inlineStr">
        <is>
          <t>Yes</t>
        </is>
      </c>
      <c r="H3470" t="n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>
        <f>IFERROR(INDEX('Company Hitlist'!$AA:$AA,MATCH(D3470,'Company Hitlist'!$A:$A,0)),)</f>
        <v/>
      </c>
      <c r="O3470">
        <f>IFERROR(INDEX('Company Hitlist'!$N:$N,MATCH(D3470,'Company Hitlist'!$A:$A,0)),)</f>
        <v/>
      </c>
      <c r="Q3470" t="inlineStr">
        <is>
          <t>todo</t>
        </is>
      </c>
    </row>
    <row r="3471">
      <c r="A3471" t="inlineStr">
        <is>
          <t>Thomas Price</t>
        </is>
      </c>
      <c r="B3471" t="inlineStr">
        <is>
          <t>Attendee</t>
        </is>
      </c>
      <c r="C3471" t="inlineStr">
        <is>
          <t>Senior Director, Originations</t>
        </is>
      </c>
      <c r="D3471" t="inlineStr">
        <is>
          <t>CSC Leasing</t>
        </is>
      </c>
      <c r="E3471" t="inlineStr">
        <is>
          <t>United States</t>
        </is>
      </c>
      <c r="H3471" t="n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>
        <f>IFERROR(INDEX('Company Hitlist'!$AA:$AA,MATCH(D3471,'Company Hitlist'!$A:$A,0)),)</f>
        <v/>
      </c>
      <c r="O3471">
        <f>IFERROR(INDEX('Company Hitlist'!$N:$N,MATCH(D3471,'Company Hitlist'!$A:$A,0)),)</f>
        <v/>
      </c>
      <c r="Q3471" t="inlineStr">
        <is>
          <t>todo</t>
        </is>
      </c>
    </row>
    <row r="3472">
      <c r="A3472" t="inlineStr">
        <is>
          <t>Mark Baillie</t>
        </is>
      </c>
      <c r="B3472" t="inlineStr">
        <is>
          <t>Attendee</t>
        </is>
      </c>
      <c r="C3472" t="inlineStr">
        <is>
          <t>Managing Director</t>
        </is>
      </c>
      <c r="D3472" t="inlineStr">
        <is>
          <t>Cantor Fitzgerald</t>
        </is>
      </c>
      <c r="E3472" t="inlineStr">
        <is>
          <t>United States</t>
        </is>
      </c>
      <c r="H3472" t="n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>
        <f>IFERROR(INDEX('Company Hitlist'!$AA:$AA,MATCH(D3472,'Company Hitlist'!$A:$A,0)),)</f>
        <v/>
      </c>
      <c r="O3472">
        <f>IFERROR(INDEX('Company Hitlist'!$N:$N,MATCH(D3472,'Company Hitlist'!$A:$A,0)),)</f>
        <v/>
      </c>
      <c r="Q3472" t="inlineStr">
        <is>
          <t>todo</t>
        </is>
      </c>
    </row>
    <row r="3473">
      <c r="A3473" t="inlineStr">
        <is>
          <t>Brian Marshall</t>
        </is>
      </c>
      <c r="B3473" t="inlineStr">
        <is>
          <t>Attendee</t>
        </is>
      </c>
      <c r="C3473" t="inlineStr">
        <is>
          <t>Director, Technology</t>
        </is>
      </c>
      <c r="D3473" t="inlineStr">
        <is>
          <t>CarMax</t>
        </is>
      </c>
      <c r="F3473" t="inlineStr">
        <is>
          <t>Yes</t>
        </is>
      </c>
      <c r="G3473" t="inlineStr">
        <is>
          <t>$26.5B (2024; projected $27B in 2025)</t>
        </is>
      </c>
      <c r="H3473" t="n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>
        <f>IFERROR(INDEX('Company Hitlist'!$AA:$AA,MATCH(D3473,'Company Hitlist'!$A:$A,0)),)</f>
        <v/>
      </c>
      <c r="O3473">
        <f>IFERROR(INDEX('Company Hitlist'!$N:$N,MATCH(D3473,'Company Hitlist'!$A:$A,0)),)</f>
        <v/>
      </c>
      <c r="Q3473" t="inlineStr">
        <is>
          <t>todo</t>
        </is>
      </c>
    </row>
    <row r="3474">
      <c r="A3474" t="inlineStr">
        <is>
          <t>Benjamin Hanf</t>
        </is>
      </c>
      <c r="B3474" t="inlineStr">
        <is>
          <t>Attendee</t>
        </is>
      </c>
      <c r="C3474" t="inlineStr">
        <is>
          <t>Director, OptiFreight</t>
        </is>
      </c>
      <c r="D3474" t="inlineStr">
        <is>
          <t>Cardinal Health</t>
        </is>
      </c>
      <c r="F3474" t="inlineStr">
        <is>
          <t>Yes</t>
        </is>
      </c>
      <c r="H3474" t="n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>
        <f>IFERROR(INDEX('Company Hitlist'!$AA:$AA,MATCH(D3474,'Company Hitlist'!$A:$A,0)),)</f>
        <v/>
      </c>
      <c r="O3474">
        <f>IFERROR(INDEX('Company Hitlist'!$N:$N,MATCH(D3474,'Company Hitlist'!$A:$A,0)),)</f>
        <v/>
      </c>
      <c r="Q3474" t="inlineStr">
        <is>
          <t>todo</t>
        </is>
      </c>
    </row>
    <row r="3475">
      <c r="A3475" t="inlineStr">
        <is>
          <t>Robert Perez</t>
        </is>
      </c>
      <c r="B3475" t="inlineStr">
        <is>
          <t>Attendee</t>
        </is>
      </c>
      <c r="C3475" t="inlineStr">
        <is>
          <t>Consultant, Parcel Strategy Product Management and Development</t>
        </is>
      </c>
      <c r="D3475" t="inlineStr">
        <is>
          <t>Cardinal Health</t>
        </is>
      </c>
      <c r="F3475" t="inlineStr">
        <is>
          <t>Yes</t>
        </is>
      </c>
      <c r="H3475" t="n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>
        <f>IFERROR(INDEX('Company Hitlist'!$AA:$AA,MATCH(D3475,'Company Hitlist'!$A:$A,0)),)</f>
        <v/>
      </c>
      <c r="O3475">
        <f>IFERROR(INDEX('Company Hitlist'!$N:$N,MATCH(D3475,'Company Hitlist'!$A:$A,0)),)</f>
        <v/>
      </c>
      <c r="Q3475" t="inlineStr">
        <is>
          <t>todo</t>
        </is>
      </c>
    </row>
    <row r="3476">
      <c r="A3476" t="inlineStr">
        <is>
          <t>Jordan Lee</t>
        </is>
      </c>
      <c r="B3476" t="inlineStr">
        <is>
          <t>Attendee</t>
        </is>
      </c>
      <c r="C3476" t="inlineStr">
        <is>
          <t>Reporter</t>
        </is>
      </c>
      <c r="D3476" t="inlineStr">
        <is>
          <t>Cargo Airports &amp; Airline Services</t>
        </is>
      </c>
      <c r="F3476" t="inlineStr">
        <is>
          <t>Yes</t>
        </is>
      </c>
      <c r="H3476" t="n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>
        <f>IFERROR(INDEX('Company Hitlist'!$AA:$AA,MATCH(D3476,'Company Hitlist'!$A:$A,0)),)</f>
        <v/>
      </c>
      <c r="O3476">
        <f>IFERROR(INDEX('Company Hitlist'!$N:$N,MATCH(D3476,'Company Hitlist'!$A:$A,0)),)</f>
        <v/>
      </c>
      <c r="Q3476" t="inlineStr">
        <is>
          <t>todo</t>
        </is>
      </c>
    </row>
    <row r="3477">
      <c r="A3477" t="inlineStr">
        <is>
          <t>Martin Hubert</t>
        </is>
      </c>
      <c r="B3477" t="inlineStr">
        <is>
          <t>Attendee</t>
        </is>
      </c>
      <c r="C3477" t="inlineStr">
        <is>
          <t>Sr. Editor</t>
        </is>
      </c>
      <c r="D3477" t="inlineStr">
        <is>
          <t>Cargo Now</t>
        </is>
      </c>
      <c r="E3477" t="inlineStr">
        <is>
          <t>United States</t>
        </is>
      </c>
      <c r="F3477" t="inlineStr">
        <is>
          <t>Yes</t>
        </is>
      </c>
      <c r="H3477" t="n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>
        <f>IFERROR(INDEX('Company Hitlist'!$AA:$AA,MATCH(D3477,'Company Hitlist'!$A:$A,0)),)</f>
        <v/>
      </c>
      <c r="O3477">
        <f>IFERROR(INDEX('Company Hitlist'!$N:$N,MATCH(D3477,'Company Hitlist'!$A:$A,0)),)</f>
        <v/>
      </c>
      <c r="Q3477" t="inlineStr">
        <is>
          <t>todo</t>
        </is>
      </c>
    </row>
    <row r="3478">
      <c r="A3478" t="inlineStr">
        <is>
          <t>Tom Aldridge</t>
        </is>
      </c>
      <c r="B3478" t="inlineStr">
        <is>
          <t>Sponsor</t>
        </is>
      </c>
      <c r="C3478" t="inlineStr">
        <is>
          <t>VP, Sales</t>
        </is>
      </c>
      <c r="D3478" t="inlineStr">
        <is>
          <t>Cargomatic, Inc.</t>
        </is>
      </c>
      <c r="E3478" t="inlineStr">
        <is>
          <t>United States</t>
        </is>
      </c>
      <c r="H3478" t="n">
        <v>0</v>
      </c>
      <c r="I3478" t="b">
        <v>0</v>
      </c>
      <c r="J3478" t="b">
        <v>1</v>
      </c>
      <c r="K3478" t="b">
        <v>0</v>
      </c>
      <c r="L3478" t="b">
        <v>0</v>
      </c>
      <c r="M3478" t="b">
        <v>1</v>
      </c>
      <c r="N3478">
        <f>IFERROR(INDEX('Company Hitlist'!$AA:$AA,MATCH(D3478,'Company Hitlist'!$A:$A,0)),)</f>
        <v/>
      </c>
      <c r="O3478">
        <f>IFERROR(INDEX('Company Hitlist'!$N:$N,MATCH(D3478,'Company Hitlist'!$A:$A,0)),)</f>
        <v/>
      </c>
      <c r="Q3478" t="inlineStr">
        <is>
          <t>todo</t>
        </is>
      </c>
    </row>
    <row r="3479">
      <c r="A3479" t="inlineStr">
        <is>
          <t>Jessica Allison</t>
        </is>
      </c>
      <c r="B3479" t="inlineStr">
        <is>
          <t>Attendee</t>
        </is>
      </c>
      <c r="C3479" t="inlineStr">
        <is>
          <t>Director, Product Management</t>
        </is>
      </c>
      <c r="D3479" t="inlineStr">
        <is>
          <t>Carmax</t>
        </is>
      </c>
      <c r="F3479" t="inlineStr">
        <is>
          <t>Yes</t>
        </is>
      </c>
      <c r="G3479" t="inlineStr">
        <is>
          <t>$26.5B (2024; projected $27B in 2025)</t>
        </is>
      </c>
      <c r="H3479" t="n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>
        <f>IFERROR(INDEX('Company Hitlist'!$AA:$AA,MATCH(D3479,'Company Hitlist'!$A:$A,0)),)</f>
        <v/>
      </c>
      <c r="O3479">
        <f>IFERROR(INDEX('Company Hitlist'!$N:$N,MATCH(D3479,'Company Hitlist'!$A:$A,0)),)</f>
        <v/>
      </c>
      <c r="Q3479" t="inlineStr">
        <is>
          <t>todo</t>
        </is>
      </c>
    </row>
    <row r="3480">
      <c r="A3480" t="inlineStr">
        <is>
          <t>Branislav Peric</t>
        </is>
      </c>
      <c r="B3480" t="inlineStr">
        <is>
          <t>Attendee</t>
        </is>
      </c>
      <c r="C3480" t="inlineStr">
        <is>
          <t>Owner</t>
        </is>
      </c>
      <c r="D3480" t="inlineStr">
        <is>
          <t>Carrier Command</t>
        </is>
      </c>
      <c r="F3480" t="inlineStr">
        <is>
          <t>Yes</t>
        </is>
      </c>
      <c r="H3480" t="n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>
        <f>IFERROR(INDEX('Company Hitlist'!$AA:$AA,MATCH(D3480,'Company Hitlist'!$A:$A,0)),)</f>
        <v/>
      </c>
      <c r="O3480">
        <f>IFERROR(INDEX('Company Hitlist'!$N:$N,MATCH(D3480,'Company Hitlist'!$A:$A,0)),)</f>
        <v/>
      </c>
      <c r="Q3480" t="inlineStr">
        <is>
          <t>todo</t>
        </is>
      </c>
    </row>
    <row r="3481">
      <c r="A3481" t="inlineStr">
        <is>
          <t>Jake Papa</t>
        </is>
      </c>
      <c r="B3481" t="inlineStr">
        <is>
          <t>Attendee</t>
        </is>
      </c>
      <c r="C3481" t="inlineStr">
        <is>
          <t>Co-founder</t>
        </is>
      </c>
      <c r="D3481" t="inlineStr">
        <is>
          <t>Carrier1</t>
        </is>
      </c>
      <c r="E3481" t="inlineStr">
        <is>
          <t>United States</t>
        </is>
      </c>
      <c r="F3481" t="inlineStr">
        <is>
          <t>Yes</t>
        </is>
      </c>
      <c r="H3481" t="n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>
        <f>IFERROR(INDEX('Company Hitlist'!$AA:$AA,MATCH(D3481,'Company Hitlist'!$A:$A,0)),)</f>
        <v/>
      </c>
      <c r="O3481">
        <f>IFERROR(INDEX('Company Hitlist'!$N:$N,MATCH(D3481,'Company Hitlist'!$A:$A,0)),)</f>
        <v/>
      </c>
      <c r="Q3481" t="inlineStr">
        <is>
          <t>todo</t>
        </is>
      </c>
    </row>
    <row r="3482">
      <c r="A3482" t="inlineStr">
        <is>
          <t>Carolyn Martin</t>
        </is>
      </c>
      <c r="B3482" t="inlineStr">
        <is>
          <t>Sponsor</t>
        </is>
      </c>
      <c r="C3482" t="inlineStr">
        <is>
          <t>VP, Business Development</t>
        </is>
      </c>
      <c r="D3482" t="inlineStr">
        <is>
          <t>Cart.com</t>
        </is>
      </c>
      <c r="E3482" t="inlineStr">
        <is>
          <t>United States</t>
        </is>
      </c>
      <c r="H3482" t="n">
        <v>0</v>
      </c>
      <c r="I3482" t="b">
        <v>0</v>
      </c>
      <c r="J3482" t="b">
        <v>1</v>
      </c>
      <c r="K3482" t="b">
        <v>0</v>
      </c>
      <c r="L3482" t="b">
        <v>0</v>
      </c>
      <c r="M3482" t="b">
        <v>1</v>
      </c>
      <c r="N3482">
        <f>IFERROR(INDEX('Company Hitlist'!$AA:$AA,MATCH(D3482,'Company Hitlist'!$A:$A,0)),)</f>
        <v/>
      </c>
      <c r="O3482">
        <f>IFERROR(INDEX('Company Hitlist'!$N:$N,MATCH(D3482,'Company Hitlist'!$A:$A,0)),)</f>
        <v/>
      </c>
      <c r="Q3482" t="inlineStr">
        <is>
          <t>todo</t>
        </is>
      </c>
    </row>
    <row r="3483">
      <c r="A3483" t="inlineStr">
        <is>
          <t>Marc Held</t>
        </is>
      </c>
      <c r="B3483" t="inlineStr">
        <is>
          <t>Attendee</t>
        </is>
      </c>
      <c r="C3483" t="inlineStr">
        <is>
          <t>Member</t>
        </is>
      </c>
      <c r="D3483" t="inlineStr">
        <is>
          <t>Cartel</t>
        </is>
      </c>
      <c r="E3483" t="inlineStr">
        <is>
          <t>United States</t>
        </is>
      </c>
      <c r="F3483" t="inlineStr">
        <is>
          <t>Yes</t>
        </is>
      </c>
      <c r="H3483" t="n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>
        <f>IFERROR(INDEX('Company Hitlist'!$AA:$AA,MATCH(D3483,'Company Hitlist'!$A:$A,0)),)</f>
        <v/>
      </c>
      <c r="O3483">
        <f>IFERROR(INDEX('Company Hitlist'!$N:$N,MATCH(D3483,'Company Hitlist'!$A:$A,0)),)</f>
        <v/>
      </c>
      <c r="Q3483" t="inlineStr">
        <is>
          <t>todo</t>
        </is>
      </c>
    </row>
    <row r="3484">
      <c r="A3484" t="inlineStr">
        <is>
          <t>Ben Hadley</t>
        </is>
      </c>
      <c r="B3484" t="inlineStr">
        <is>
          <t>Attendee</t>
        </is>
      </c>
      <c r="C3484" t="inlineStr">
        <is>
          <t>Board Trustee</t>
        </is>
      </c>
      <c r="D3484" t="inlineStr">
        <is>
          <t>Cashmere Fund</t>
        </is>
      </c>
      <c r="E3484" t="inlineStr">
        <is>
          <t>United States</t>
        </is>
      </c>
      <c r="H3484" t="n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>
        <f>IFERROR(INDEX('Company Hitlist'!$AA:$AA,MATCH(D3484,'Company Hitlist'!$A:$A,0)),)</f>
        <v/>
      </c>
      <c r="O3484">
        <f>IFERROR(INDEX('Company Hitlist'!$N:$N,MATCH(D3484,'Company Hitlist'!$A:$A,0)),)</f>
        <v/>
      </c>
      <c r="Q3484" t="inlineStr">
        <is>
          <t>todo</t>
        </is>
      </c>
    </row>
    <row r="3485">
      <c r="A3485" t="inlineStr">
        <is>
          <t>Kellie Dawn Kivett</t>
        </is>
      </c>
      <c r="B3485" t="inlineStr">
        <is>
          <t>Attendee</t>
        </is>
      </c>
      <c r="C3485" t="inlineStr">
        <is>
          <t>Carrier Management</t>
        </is>
      </c>
      <c r="D3485" t="inlineStr">
        <is>
          <t>Castlery</t>
        </is>
      </c>
      <c r="F3485" t="inlineStr">
        <is>
          <t>Yes</t>
        </is>
      </c>
      <c r="H3485" t="n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>
        <f>IFERROR(INDEX('Company Hitlist'!$AA:$AA,MATCH(D3485,'Company Hitlist'!$A:$A,0)),)</f>
        <v/>
      </c>
      <c r="O3485">
        <f>IFERROR(INDEX('Company Hitlist'!$N:$N,MATCH(D3485,'Company Hitlist'!$A:$A,0)),)</f>
        <v/>
      </c>
      <c r="Q3485" t="inlineStr">
        <is>
          <t>todo</t>
        </is>
      </c>
    </row>
    <row r="3486">
      <c r="A3486" t="inlineStr">
        <is>
          <t>Aly Hancock</t>
        </is>
      </c>
      <c r="B3486" t="inlineStr">
        <is>
          <t>Sponsor</t>
        </is>
      </c>
      <c r="C3486" t="inlineStr">
        <is>
          <t>Head of Growth</t>
        </is>
      </c>
      <c r="D3486" t="inlineStr">
        <is>
          <t>Catena</t>
        </is>
      </c>
      <c r="E3486" t="inlineStr">
        <is>
          <t>United States</t>
        </is>
      </c>
      <c r="F3486" t="inlineStr">
        <is>
          <t>Yes</t>
        </is>
      </c>
      <c r="H3486" t="n">
        <v>0</v>
      </c>
      <c r="I3486" t="b">
        <v>0</v>
      </c>
      <c r="J3486" t="b">
        <v>1</v>
      </c>
      <c r="K3486" t="b">
        <v>0</v>
      </c>
      <c r="L3486" t="b">
        <v>0</v>
      </c>
      <c r="M3486" t="b">
        <v>1</v>
      </c>
      <c r="N3486">
        <f>IFERROR(INDEX('Company Hitlist'!$AA:$AA,MATCH(D3486,'Company Hitlist'!$A:$A,0)),)</f>
        <v/>
      </c>
      <c r="O3486">
        <f>IFERROR(INDEX('Company Hitlist'!$N:$N,MATCH(D3486,'Company Hitlist'!$A:$A,0)),)</f>
        <v/>
      </c>
      <c r="Q3486" t="inlineStr">
        <is>
          <t>todo</t>
        </is>
      </c>
    </row>
    <row r="3487">
      <c r="A3487" t="inlineStr">
        <is>
          <t>Elvis Silva</t>
        </is>
      </c>
      <c r="B3487" t="inlineStr">
        <is>
          <t>Attendee</t>
        </is>
      </c>
      <c r="C3487" t="inlineStr">
        <is>
          <t>Logistcs Supervisor</t>
        </is>
      </c>
      <c r="D3487" t="inlineStr">
        <is>
          <t>Cereal Ouro</t>
        </is>
      </c>
      <c r="F3487" t="inlineStr">
        <is>
          <t>Yes</t>
        </is>
      </c>
      <c r="H3487" t="n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>
        <f>IFERROR(INDEX('Company Hitlist'!$AA:$AA,MATCH(D3487,'Company Hitlist'!$A:$A,0)),)</f>
        <v/>
      </c>
      <c r="O3487">
        <f>IFERROR(INDEX('Company Hitlist'!$N:$N,MATCH(D3487,'Company Hitlist'!$A:$A,0)),)</f>
        <v/>
      </c>
      <c r="Q3487" t="inlineStr">
        <is>
          <t>todo</t>
        </is>
      </c>
    </row>
    <row r="3488">
      <c r="A3488" t="inlineStr">
        <is>
          <t>Kevin Jones</t>
        </is>
      </c>
      <c r="B3488" t="inlineStr">
        <is>
          <t>Attendee</t>
        </is>
      </c>
      <c r="C3488" t="inlineStr">
        <is>
          <t>Senior Principal, Cooperative Ventures</t>
        </is>
      </c>
      <c r="D3488" t="inlineStr">
        <is>
          <t>Cerity Partners Ventures</t>
        </is>
      </c>
      <c r="E3488" t="inlineStr">
        <is>
          <t>United States</t>
        </is>
      </c>
      <c r="H3488" t="n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>
        <f>IFERROR(INDEX('Company Hitlist'!$AA:$AA,MATCH(D3488,'Company Hitlist'!$A:$A,0)),)</f>
        <v/>
      </c>
      <c r="O3488">
        <f>IFERROR(INDEX('Company Hitlist'!$N:$N,MATCH(D3488,'Company Hitlist'!$A:$A,0)),)</f>
        <v/>
      </c>
      <c r="Q3488" t="inlineStr">
        <is>
          <t>todo</t>
        </is>
      </c>
    </row>
    <row r="3489">
      <c r="A3489" t="inlineStr">
        <is>
          <t>Melissa Tse</t>
        </is>
      </c>
      <c r="B3489" t="inlineStr">
        <is>
          <t>Attendee</t>
        </is>
      </c>
      <c r="C3489" t="inlineStr">
        <is>
          <t>Senior Principal</t>
        </is>
      </c>
      <c r="D3489" t="inlineStr">
        <is>
          <t>Cerity Partners Ventures</t>
        </is>
      </c>
      <c r="E3489" t="inlineStr">
        <is>
          <t>United States</t>
        </is>
      </c>
      <c r="H3489" t="n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>
        <f>IFERROR(INDEX('Company Hitlist'!$AA:$AA,MATCH(D3489,'Company Hitlist'!$A:$A,0)),)</f>
        <v/>
      </c>
      <c r="O3489">
        <f>IFERROR(INDEX('Company Hitlist'!$N:$N,MATCH(D3489,'Company Hitlist'!$A:$A,0)),)</f>
        <v/>
      </c>
      <c r="Q3489" t="inlineStr">
        <is>
          <t>todo</t>
        </is>
      </c>
    </row>
    <row r="3490">
      <c r="A3490" t="inlineStr">
        <is>
          <t>Kishor Sakkari</t>
        </is>
      </c>
      <c r="B3490" t="inlineStr">
        <is>
          <t>Attendee</t>
        </is>
      </c>
      <c r="C3490" t="inlineStr">
        <is>
          <t>Founder</t>
        </is>
      </c>
      <c r="D3490" t="inlineStr">
        <is>
          <t>Cerrtus</t>
        </is>
      </c>
      <c r="E3490" t="inlineStr">
        <is>
          <t>United States</t>
        </is>
      </c>
      <c r="F3490" t="inlineStr">
        <is>
          <t>Yes</t>
        </is>
      </c>
      <c r="H3490" t="n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>
        <f>IFERROR(INDEX('Company Hitlist'!$AA:$AA,MATCH(D3490,'Company Hitlist'!$A:$A,0)),)</f>
        <v/>
      </c>
      <c r="O3490">
        <f>IFERROR(INDEX('Company Hitlist'!$N:$N,MATCH(D3490,'Company Hitlist'!$A:$A,0)),)</f>
        <v/>
      </c>
      <c r="Q3490" t="inlineStr">
        <is>
          <t>todo</t>
        </is>
      </c>
    </row>
    <row r="3491">
      <c r="A3491" t="inlineStr">
        <is>
          <t>Ed Gillett</t>
        </is>
      </c>
      <c r="B3491" t="inlineStr">
        <is>
          <t>Attendee</t>
        </is>
      </c>
      <c r="C3491" t="inlineStr">
        <is>
          <t>Founder</t>
        </is>
      </c>
      <c r="D3491" t="inlineStr">
        <is>
          <t>CharterSync</t>
        </is>
      </c>
      <c r="E3491" t="inlineStr">
        <is>
          <t>United Kingdom</t>
        </is>
      </c>
      <c r="F3491" t="inlineStr">
        <is>
          <t>Yes</t>
        </is>
      </c>
      <c r="H3491" t="n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>
        <f>IFERROR(INDEX('Company Hitlist'!$AA:$AA,MATCH(D3491,'Company Hitlist'!$A:$A,0)),)</f>
        <v/>
      </c>
      <c r="O3491">
        <f>IFERROR(INDEX('Company Hitlist'!$N:$N,MATCH(D3491,'Company Hitlist'!$A:$A,0)),)</f>
        <v/>
      </c>
      <c r="Q3491" t="inlineStr">
        <is>
          <t>todo</t>
        </is>
      </c>
    </row>
    <row r="3492">
      <c r="A3492" t="inlineStr">
        <is>
          <t>Mohamad Mohamad</t>
        </is>
      </c>
      <c r="B3492" t="inlineStr">
        <is>
          <t>Attendee</t>
        </is>
      </c>
      <c r="C3492" t="inlineStr">
        <is>
          <t>Senior Director Value Creation</t>
        </is>
      </c>
      <c r="D3492" t="inlineStr">
        <is>
          <t>Chobani</t>
        </is>
      </c>
      <c r="F3492" t="inlineStr">
        <is>
          <t>Yes</t>
        </is>
      </c>
      <c r="H3492" t="n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>
        <f>IFERROR(INDEX('Company Hitlist'!$AA:$AA,MATCH(D3492,'Company Hitlist'!$A:$A,0)),)</f>
        <v/>
      </c>
      <c r="O3492">
        <f>IFERROR(INDEX('Company Hitlist'!$N:$N,MATCH(D3492,'Company Hitlist'!$A:$A,0)),)</f>
        <v/>
      </c>
      <c r="Q3492" t="inlineStr">
        <is>
          <t>todo</t>
        </is>
      </c>
    </row>
    <row r="3493">
      <c r="A3493" t="inlineStr">
        <is>
          <t>Bautista Coronado</t>
        </is>
      </c>
      <c r="B3493" t="inlineStr">
        <is>
          <t>Attendee</t>
        </is>
      </c>
      <c r="C3493" t="inlineStr">
        <is>
          <t>Co-Founder</t>
        </is>
      </c>
      <c r="D3493" t="inlineStr">
        <is>
          <t>Chofex</t>
        </is>
      </c>
      <c r="E3493" t="inlineStr">
        <is>
          <t>Mexico</t>
        </is>
      </c>
      <c r="F3493" t="inlineStr">
        <is>
          <t>Yes</t>
        </is>
      </c>
      <c r="H3493" t="n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>
        <f>IFERROR(INDEX('Company Hitlist'!$AA:$AA,MATCH(D3493,'Company Hitlist'!$A:$A,0)),)</f>
        <v/>
      </c>
      <c r="O3493">
        <f>IFERROR(INDEX('Company Hitlist'!$N:$N,MATCH(D3493,'Company Hitlist'!$A:$A,0)),)</f>
        <v/>
      </c>
      <c r="Q3493" t="inlineStr">
        <is>
          <t>todo</t>
        </is>
      </c>
    </row>
    <row r="3494">
      <c r="A3494" t="inlineStr">
        <is>
          <t>Angela Staub</t>
        </is>
      </c>
      <c r="B3494" t="inlineStr">
        <is>
          <t>Attendee</t>
        </is>
      </c>
      <c r="C3494" t="inlineStr">
        <is>
          <t>IT Business Engagement Manager</t>
        </is>
      </c>
      <c r="D3494" t="inlineStr">
        <is>
          <t>Church &amp; Dwight</t>
        </is>
      </c>
      <c r="E3494" t="inlineStr">
        <is>
          <t>United States</t>
        </is>
      </c>
      <c r="H3494" t="n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>
        <f>IFERROR(INDEX('Company Hitlist'!$AA:$AA,MATCH(D3494,'Company Hitlist'!$A:$A,0)),)</f>
        <v/>
      </c>
      <c r="O3494">
        <f>IFERROR(INDEX('Company Hitlist'!$N:$N,MATCH(D3494,'Company Hitlist'!$A:$A,0)),)</f>
        <v/>
      </c>
      <c r="Q3494" t="inlineStr">
        <is>
          <t>todo</t>
        </is>
      </c>
    </row>
    <row r="3495">
      <c r="A3495" t="inlineStr">
        <is>
          <t>Nick Shaver</t>
        </is>
      </c>
      <c r="B3495" t="inlineStr">
        <is>
          <t>Attendee</t>
        </is>
      </c>
      <c r="C3495" t="inlineStr">
        <is>
          <t>Director B2B Truck Strategy</t>
        </is>
      </c>
      <c r="D3495" t="inlineStr">
        <is>
          <t>Circle K</t>
        </is>
      </c>
      <c r="E3495" t="inlineStr">
        <is>
          <t>United States</t>
        </is>
      </c>
      <c r="F3495" t="inlineStr">
        <is>
          <t>Yes</t>
        </is>
      </c>
      <c r="H3495" t="n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>
        <f>IFERROR(INDEX('Company Hitlist'!$AA:$AA,MATCH(D3495,'Company Hitlist'!$A:$A,0)),)</f>
        <v/>
      </c>
      <c r="O3495">
        <f>IFERROR(INDEX('Company Hitlist'!$N:$N,MATCH(D3495,'Company Hitlist'!$A:$A,0)),)</f>
        <v/>
      </c>
      <c r="Q3495" t="inlineStr">
        <is>
          <t>todo</t>
        </is>
      </c>
    </row>
    <row r="3496">
      <c r="A3496" t="inlineStr">
        <is>
          <t>Ron Ballschmiede</t>
        </is>
      </c>
      <c r="B3496" t="inlineStr">
        <is>
          <t>Attendee</t>
        </is>
      </c>
      <c r="C3496" t="inlineStr">
        <is>
          <t>Director</t>
        </is>
      </c>
      <c r="D3496" t="inlineStr">
        <is>
          <t>Citizens Capital Markets - M&amp;A Advisory</t>
        </is>
      </c>
      <c r="E3496" t="inlineStr">
        <is>
          <t>United States</t>
        </is>
      </c>
      <c r="H3496" t="n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>
        <f>IFERROR(INDEX('Company Hitlist'!$AA:$AA,MATCH(D3496,'Company Hitlist'!$A:$A,0)),)</f>
        <v/>
      </c>
      <c r="O3496">
        <f>IFERROR(INDEX('Company Hitlist'!$N:$N,MATCH(D3496,'Company Hitlist'!$A:$A,0)),)</f>
        <v/>
      </c>
      <c r="Q3496" t="inlineStr">
        <is>
          <t>todo</t>
        </is>
      </c>
    </row>
    <row r="3497">
      <c r="A3497" t="inlineStr">
        <is>
          <t>Alex Rafla</t>
        </is>
      </c>
      <c r="B3497" t="inlineStr">
        <is>
          <t>Attendee</t>
        </is>
      </c>
      <c r="C3497" t="inlineStr">
        <is>
          <t>Partner</t>
        </is>
      </c>
      <c r="D3497" t="inlineStr">
        <is>
          <t>Clarendon Capital</t>
        </is>
      </c>
      <c r="E3497" t="inlineStr">
        <is>
          <t>United States</t>
        </is>
      </c>
      <c r="H3497" t="n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>
        <f>IFERROR(INDEX('Company Hitlist'!$AA:$AA,MATCH(D3497,'Company Hitlist'!$A:$A,0)),)</f>
        <v/>
      </c>
      <c r="O3497">
        <f>IFERROR(INDEX('Company Hitlist'!$N:$N,MATCH(D3497,'Company Hitlist'!$A:$A,0)),)</f>
        <v/>
      </c>
      <c r="Q3497" t="inlineStr">
        <is>
          <t>todo</t>
        </is>
      </c>
    </row>
    <row r="3498">
      <c r="A3498" t="inlineStr">
        <is>
          <t>Nic Temple</t>
        </is>
      </c>
      <c r="B3498" t="inlineStr">
        <is>
          <t>Attendee</t>
        </is>
      </c>
      <c r="C3498" t="inlineStr">
        <is>
          <t>Global Account Manager</t>
        </is>
      </c>
      <c r="D3498" t="inlineStr">
        <is>
          <t>Clark Material Handling Co</t>
        </is>
      </c>
      <c r="H3498" t="n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>
        <f>IFERROR(INDEX('Company Hitlist'!$AA:$AA,MATCH(D3498,'Company Hitlist'!$A:$A,0)),)</f>
        <v/>
      </c>
      <c r="O3498">
        <f>IFERROR(INDEX('Company Hitlist'!$N:$N,MATCH(D3498,'Company Hitlist'!$A:$A,0)),)</f>
        <v/>
      </c>
      <c r="Q3498" t="inlineStr">
        <is>
          <t>todo</t>
        </is>
      </c>
    </row>
    <row r="3499">
      <c r="A3499" t="inlineStr">
        <is>
          <t>Choon Woo Ha</t>
        </is>
      </c>
      <c r="B3499" t="inlineStr">
        <is>
          <t>Attendee</t>
        </is>
      </c>
      <c r="C3499" t="inlineStr">
        <is>
          <t>Principal</t>
        </is>
      </c>
      <c r="D3499" t="inlineStr">
        <is>
          <t>Clearhaven Partners</t>
        </is>
      </c>
      <c r="E3499" t="inlineStr">
        <is>
          <t>United States</t>
        </is>
      </c>
      <c r="H3499" t="n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>
        <f>IFERROR(INDEX('Company Hitlist'!$AA:$AA,MATCH(D3499,'Company Hitlist'!$A:$A,0)),)</f>
        <v/>
      </c>
      <c r="O3499">
        <f>IFERROR(INDEX('Company Hitlist'!$N:$N,MATCH(D3499,'Company Hitlist'!$A:$A,0)),)</f>
        <v/>
      </c>
      <c r="Q3499" t="inlineStr">
        <is>
          <t>todo</t>
        </is>
      </c>
    </row>
    <row r="3500">
      <c r="A3500" t="inlineStr">
        <is>
          <t>Tushar Patel</t>
        </is>
      </c>
      <c r="B3500" t="inlineStr">
        <is>
          <t>Sponsor</t>
        </is>
      </c>
      <c r="C3500" t="inlineStr">
        <is>
          <t>Chief Marketing Officer</t>
        </is>
      </c>
      <c r="D3500" t="inlineStr">
        <is>
          <t>Cleo</t>
        </is>
      </c>
      <c r="E3500" t="inlineStr">
        <is>
          <t>United States</t>
        </is>
      </c>
      <c r="F3500" t="inlineStr">
        <is>
          <t>Yes</t>
        </is>
      </c>
      <c r="G3500" t="inlineStr">
        <is>
          <t>$84 million (2025)</t>
        </is>
      </c>
      <c r="H3500" t="n">
        <v>0</v>
      </c>
      <c r="I3500" t="b">
        <v>0</v>
      </c>
      <c r="J3500" t="b">
        <v>1</v>
      </c>
      <c r="K3500" t="b">
        <v>0</v>
      </c>
      <c r="L3500" t="b">
        <v>0</v>
      </c>
      <c r="M3500" t="b">
        <v>1</v>
      </c>
      <c r="N3500">
        <f>IFERROR(INDEX('Company Hitlist'!$AA:$AA,MATCH(D3500,'Company Hitlist'!$A:$A,0)),)</f>
        <v/>
      </c>
      <c r="O3500">
        <f>IFERROR(INDEX('Company Hitlist'!$N:$N,MATCH(D3500,'Company Hitlist'!$A:$A,0)),)</f>
        <v/>
      </c>
      <c r="Q3500" t="inlineStr">
        <is>
          <t>todo</t>
        </is>
      </c>
    </row>
    <row r="3501">
      <c r="A3501" t="inlineStr">
        <is>
          <t>Kyle Richards</t>
        </is>
      </c>
      <c r="B3501" t="inlineStr">
        <is>
          <t>Sponsor</t>
        </is>
      </c>
      <c r="C3501" t="inlineStr">
        <is>
          <t>VP of Sales</t>
        </is>
      </c>
      <c r="D3501" t="inlineStr">
        <is>
          <t>Cloneops.ai</t>
        </is>
      </c>
      <c r="E3501" t="inlineStr">
        <is>
          <t>United States</t>
        </is>
      </c>
      <c r="H3501" t="n">
        <v>0</v>
      </c>
      <c r="I3501" t="b">
        <v>0</v>
      </c>
      <c r="J3501" t="b">
        <v>1</v>
      </c>
      <c r="K3501" t="b">
        <v>0</v>
      </c>
      <c r="L3501" t="b">
        <v>0</v>
      </c>
      <c r="M3501" t="b">
        <v>1</v>
      </c>
      <c r="N3501">
        <f>IFERROR(INDEX('Company Hitlist'!$AA:$AA,MATCH(D3501,'Company Hitlist'!$A:$A,0)),)</f>
        <v/>
      </c>
      <c r="O3501">
        <f>IFERROR(INDEX('Company Hitlist'!$N:$N,MATCH(D3501,'Company Hitlist'!$A:$A,0)),)</f>
        <v/>
      </c>
      <c r="Q3501" t="inlineStr">
        <is>
          <t>todo</t>
        </is>
      </c>
    </row>
    <row r="3502">
      <c r="A3502" t="inlineStr">
        <is>
          <t>Jimme Peters</t>
        </is>
      </c>
      <c r="B3502" t="inlineStr">
        <is>
          <t>Sponsor</t>
        </is>
      </c>
      <c r="C3502" t="inlineStr">
        <is>
          <t>VP of Marketing</t>
        </is>
      </c>
      <c r="D3502" t="inlineStr">
        <is>
          <t>CloudPaths</t>
        </is>
      </c>
      <c r="F3502" t="inlineStr">
        <is>
          <t>Yes</t>
        </is>
      </c>
      <c r="G3502" t="inlineStr">
        <is>
          <t>27600000</t>
        </is>
      </c>
      <c r="H3502" t="n">
        <v>0</v>
      </c>
      <c r="I3502" t="b">
        <v>0</v>
      </c>
      <c r="J3502" t="b">
        <v>1</v>
      </c>
      <c r="K3502" t="b">
        <v>0</v>
      </c>
      <c r="L3502" t="b">
        <v>0</v>
      </c>
      <c r="M3502" t="b">
        <v>1</v>
      </c>
      <c r="N3502">
        <f>IFERROR(INDEX('Company Hitlist'!$AA:$AA,MATCH(D3502,'Company Hitlist'!$A:$A,0)),)</f>
        <v/>
      </c>
      <c r="O3502">
        <f>IFERROR(INDEX('Company Hitlist'!$N:$N,MATCH(D3502,'Company Hitlist'!$A:$A,0)),)</f>
        <v/>
      </c>
      <c r="Q3502" t="inlineStr">
        <is>
          <t>todo</t>
        </is>
      </c>
    </row>
    <row r="3503">
      <c r="A3503" t="inlineStr">
        <is>
          <t>Ron Blackburn</t>
        </is>
      </c>
      <c r="B3503" t="inlineStr">
        <is>
          <t>Sponsor</t>
        </is>
      </c>
      <c r="C3503" t="inlineStr">
        <is>
          <t>VP of Sales</t>
        </is>
      </c>
      <c r="D3503" t="inlineStr">
        <is>
          <t>CloudPaths</t>
        </is>
      </c>
      <c r="E3503" t="inlineStr">
        <is>
          <t>United States</t>
        </is>
      </c>
      <c r="H3503" t="n">
        <v>0</v>
      </c>
      <c r="I3503" t="b">
        <v>0</v>
      </c>
      <c r="J3503" t="b">
        <v>1</v>
      </c>
      <c r="K3503" t="b">
        <v>0</v>
      </c>
      <c r="L3503" t="b">
        <v>0</v>
      </c>
      <c r="M3503" t="b">
        <v>1</v>
      </c>
      <c r="N3503">
        <f>IFERROR(INDEX('Company Hitlist'!$AA:$AA,MATCH(D3503,'Company Hitlist'!$A:$A,0)),)</f>
        <v/>
      </c>
      <c r="O3503">
        <f>IFERROR(INDEX('Company Hitlist'!$N:$N,MATCH(D3503,'Company Hitlist'!$A:$A,0)),)</f>
        <v/>
      </c>
      <c r="Q3503" t="inlineStr">
        <is>
          <t>todo</t>
        </is>
      </c>
    </row>
    <row r="3504">
      <c r="A3504" t="inlineStr">
        <is>
          <t>Adrian Martinez</t>
        </is>
      </c>
      <c r="B3504" t="inlineStr">
        <is>
          <t>Attendee</t>
        </is>
      </c>
      <c r="C3504" t="inlineStr">
        <is>
          <t>Editor</t>
        </is>
      </c>
      <c r="D3504" t="inlineStr">
        <is>
          <t>Cluster Industrial Media</t>
        </is>
      </c>
      <c r="H3504" t="n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>
        <f>IFERROR(INDEX('Company Hitlist'!$AA:$AA,MATCH(D3504,'Company Hitlist'!$A:$A,0)),)</f>
        <v/>
      </c>
      <c r="O3504">
        <f>IFERROR(INDEX('Company Hitlist'!$N:$N,MATCH(D3504,'Company Hitlist'!$A:$A,0)),)</f>
        <v/>
      </c>
      <c r="Q3504" t="inlineStr">
        <is>
          <t>todo</t>
        </is>
      </c>
    </row>
    <row r="3505">
      <c r="A3505" t="inlineStr">
        <is>
          <t>Taylor Richardson</t>
        </is>
      </c>
      <c r="B3505" t="inlineStr">
        <is>
          <t>Attendee</t>
        </is>
      </c>
      <c r="C3505" t="inlineStr">
        <is>
          <t>Customer Solutions Engineer</t>
        </is>
      </c>
      <c r="D3505" t="inlineStr">
        <is>
          <t>Cobot</t>
        </is>
      </c>
      <c r="E3505" t="inlineStr">
        <is>
          <t>United States</t>
        </is>
      </c>
      <c r="H3505" t="n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>
        <f>IFERROR(INDEX('Company Hitlist'!$AA:$AA,MATCH(D3505,'Company Hitlist'!$A:$A,0)),)</f>
        <v/>
      </c>
      <c r="O3505">
        <f>IFERROR(INDEX('Company Hitlist'!$N:$N,MATCH(D3505,'Company Hitlist'!$A:$A,0)),)</f>
        <v/>
      </c>
      <c r="Q3505" t="inlineStr">
        <is>
          <t>todo</t>
        </is>
      </c>
    </row>
    <row r="3506">
      <c r="A3506" t="inlineStr">
        <is>
          <t>Bharath Krishnamurthy</t>
        </is>
      </c>
      <c r="B3506" t="inlineStr">
        <is>
          <t>Sponsor</t>
        </is>
      </c>
      <c r="C3506" t="inlineStr">
        <is>
          <t>Sales Head</t>
        </is>
      </c>
      <c r="D3506" t="inlineStr">
        <is>
          <t>Cognida.ai</t>
        </is>
      </c>
      <c r="H3506" t="n">
        <v>0</v>
      </c>
      <c r="I3506" t="b">
        <v>0</v>
      </c>
      <c r="J3506" t="b">
        <v>1</v>
      </c>
      <c r="K3506" t="b">
        <v>0</v>
      </c>
      <c r="L3506" t="b">
        <v>0</v>
      </c>
      <c r="M3506" t="b">
        <v>1</v>
      </c>
      <c r="N3506">
        <f>IFERROR(INDEX('Company Hitlist'!$AA:$AA,MATCH(D3506,'Company Hitlist'!$A:$A,0)),)</f>
        <v/>
      </c>
      <c r="O3506">
        <f>IFERROR(INDEX('Company Hitlist'!$N:$N,MATCH(D3506,'Company Hitlist'!$A:$A,0)),)</f>
        <v/>
      </c>
      <c r="Q3506" t="inlineStr">
        <is>
          <t>todo</t>
        </is>
      </c>
    </row>
    <row r="3507">
      <c r="A3507" t="inlineStr">
        <is>
          <t>Eric West</t>
        </is>
      </c>
      <c r="B3507" t="inlineStr">
        <is>
          <t>Attendee</t>
        </is>
      </c>
      <c r="C3507" t="inlineStr">
        <is>
          <t>Advisor</t>
        </is>
      </c>
      <c r="D3507" t="inlineStr">
        <is>
          <t>Coldcart, Inc.</t>
        </is>
      </c>
      <c r="E3507" t="inlineStr">
        <is>
          <t>United States</t>
        </is>
      </c>
      <c r="H3507" t="n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>
        <f>IFERROR(INDEX('Company Hitlist'!$AA:$AA,MATCH(D3507,'Company Hitlist'!$A:$A,0)),)</f>
        <v/>
      </c>
      <c r="O3507">
        <f>IFERROR(INDEX('Company Hitlist'!$N:$N,MATCH(D3507,'Company Hitlist'!$A:$A,0)),)</f>
        <v/>
      </c>
      <c r="Q3507" t="inlineStr">
        <is>
          <t>todo</t>
        </is>
      </c>
    </row>
    <row r="3508">
      <c r="A3508" t="inlineStr">
        <is>
          <t>Eduardo Salnisky</t>
        </is>
      </c>
      <c r="B3508" t="inlineStr">
        <is>
          <t>Attendee</t>
        </is>
      </c>
      <c r="C3508" t="inlineStr">
        <is>
          <t>Warehousing Project Manager</t>
        </is>
      </c>
      <c r="D3508" t="inlineStr">
        <is>
          <t>Colgate Palmolive</t>
        </is>
      </c>
      <c r="H3508" t="n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>
        <f>IFERROR(INDEX('Company Hitlist'!$AA:$AA,MATCH(D3508,'Company Hitlist'!$A:$A,0)),)</f>
        <v/>
      </c>
      <c r="O3508">
        <f>IFERROR(INDEX('Company Hitlist'!$N:$N,MATCH(D3508,'Company Hitlist'!$A:$A,0)),)</f>
        <v/>
      </c>
      <c r="Q3508" t="inlineStr">
        <is>
          <t>todo</t>
        </is>
      </c>
    </row>
    <row r="3509">
      <c r="A3509" t="inlineStr">
        <is>
          <t>Linda Weidenbaum</t>
        </is>
      </c>
      <c r="B3509" t="inlineStr">
        <is>
          <t>Sponsor</t>
        </is>
      </c>
      <c r="C3509" t="inlineStr">
        <is>
          <t>Vice President Brand Marketing</t>
        </is>
      </c>
      <c r="D3509" t="inlineStr">
        <is>
          <t>Commonwealth Packaging Company</t>
        </is>
      </c>
      <c r="F3509" t="inlineStr">
        <is>
          <t>Yes</t>
        </is>
      </c>
      <c r="H3509" t="n">
        <v>0</v>
      </c>
      <c r="I3509" t="b">
        <v>0</v>
      </c>
      <c r="J3509" t="b">
        <v>1</v>
      </c>
      <c r="K3509" t="b">
        <v>0</v>
      </c>
      <c r="L3509" t="b">
        <v>0</v>
      </c>
      <c r="M3509" t="b">
        <v>1</v>
      </c>
      <c r="N3509">
        <f>IFERROR(INDEX('Company Hitlist'!$AA:$AA,MATCH(D3509,'Company Hitlist'!$A:$A,0)),)</f>
        <v/>
      </c>
      <c r="O3509">
        <f>IFERROR(INDEX('Company Hitlist'!$N:$N,MATCH(D3509,'Company Hitlist'!$A:$A,0)),)</f>
        <v/>
      </c>
      <c r="Q3509" t="inlineStr">
        <is>
          <t>todo</t>
        </is>
      </c>
    </row>
    <row r="3510">
      <c r="A3510" t="inlineStr">
        <is>
          <t>Keith Archer</t>
        </is>
      </c>
      <c r="B3510" t="inlineStr">
        <is>
          <t>Attendee</t>
        </is>
      </c>
      <c r="C3510" t="inlineStr">
        <is>
          <t>Principal Partner</t>
        </is>
      </c>
      <c r="D3510" t="inlineStr">
        <is>
          <t>Compass</t>
        </is>
      </c>
      <c r="E3510" t="inlineStr">
        <is>
          <t>United States</t>
        </is>
      </c>
      <c r="H3510" t="n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>
        <f>IFERROR(INDEX('Company Hitlist'!$AA:$AA,MATCH(D3510,'Company Hitlist'!$A:$A,0)),)</f>
        <v/>
      </c>
      <c r="O3510">
        <f>IFERROR(INDEX('Company Hitlist'!$N:$N,MATCH(D3510,'Company Hitlist'!$A:$A,0)),)</f>
        <v/>
      </c>
      <c r="Q3510" t="inlineStr">
        <is>
          <t>todo</t>
        </is>
      </c>
    </row>
    <row r="3511">
      <c r="A3511" t="inlineStr">
        <is>
          <t>Carl Collmorgen</t>
        </is>
      </c>
      <c r="B3511" t="inlineStr">
        <is>
          <t>Attendee</t>
        </is>
      </c>
      <c r="C3511" t="inlineStr">
        <is>
          <t>Lead Infrastructure Technician</t>
        </is>
      </c>
      <c r="D3511" t="inlineStr">
        <is>
          <t>Compass SCS</t>
        </is>
      </c>
      <c r="E3511" t="inlineStr">
        <is>
          <t>United States</t>
        </is>
      </c>
      <c r="H3511" t="n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>
        <f>IFERROR(INDEX('Company Hitlist'!$AA:$AA,MATCH(D3511,'Company Hitlist'!$A:$A,0)),)</f>
        <v/>
      </c>
      <c r="O3511">
        <f>IFERROR(INDEX('Company Hitlist'!$N:$N,MATCH(D3511,'Company Hitlist'!$A:$A,0)),)</f>
        <v/>
      </c>
      <c r="Q3511" t="inlineStr">
        <is>
          <t>todo</t>
        </is>
      </c>
    </row>
    <row r="3512">
      <c r="A3512" t="inlineStr">
        <is>
          <t>Matt Orednick</t>
        </is>
      </c>
      <c r="B3512" t="inlineStr">
        <is>
          <t>Attendee</t>
        </is>
      </c>
      <c r="C3512" t="inlineStr">
        <is>
          <t>Sr. Program Manager</t>
        </is>
      </c>
      <c r="D3512" t="inlineStr">
        <is>
          <t>Compass SCS</t>
        </is>
      </c>
      <c r="E3512" t="inlineStr">
        <is>
          <t>United States</t>
        </is>
      </c>
      <c r="H3512" t="n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>
        <f>IFERROR(INDEX('Company Hitlist'!$AA:$AA,MATCH(D3512,'Company Hitlist'!$A:$A,0)),)</f>
        <v/>
      </c>
      <c r="O3512">
        <f>IFERROR(INDEX('Company Hitlist'!$N:$N,MATCH(D3512,'Company Hitlist'!$A:$A,0)),)</f>
        <v/>
      </c>
      <c r="Q3512" t="inlineStr">
        <is>
          <t>todo</t>
        </is>
      </c>
    </row>
    <row r="3513">
      <c r="A3513" t="inlineStr">
        <is>
          <t>Zach Bond</t>
        </is>
      </c>
      <c r="B3513" t="inlineStr">
        <is>
          <t>Attendee</t>
        </is>
      </c>
      <c r="C3513" t="inlineStr">
        <is>
          <t>Associate Director of Client Services</t>
        </is>
      </c>
      <c r="D3513" t="inlineStr">
        <is>
          <t>Compass SCS</t>
        </is>
      </c>
      <c r="E3513" t="inlineStr">
        <is>
          <t>United States</t>
        </is>
      </c>
      <c r="H3513" t="n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>
        <f>IFERROR(INDEX('Company Hitlist'!$AA:$AA,MATCH(D3513,'Company Hitlist'!$A:$A,0)),)</f>
        <v/>
      </c>
      <c r="O3513">
        <f>IFERROR(INDEX('Company Hitlist'!$N:$N,MATCH(D3513,'Company Hitlist'!$A:$A,0)),)</f>
        <v/>
      </c>
      <c r="Q3513" t="inlineStr">
        <is>
          <t>todo</t>
        </is>
      </c>
    </row>
    <row r="3514">
      <c r="A3514" t="inlineStr">
        <is>
          <t>Levi Newman</t>
        </is>
      </c>
      <c r="B3514" t="inlineStr">
        <is>
          <t>Attendee</t>
        </is>
      </c>
      <c r="C3514" t="inlineStr">
        <is>
          <t>Account Manager</t>
        </is>
      </c>
      <c r="D3514" t="inlineStr">
        <is>
          <t>Complete Shipping Solutions</t>
        </is>
      </c>
      <c r="E3514" t="inlineStr">
        <is>
          <t>Canada</t>
        </is>
      </c>
      <c r="H3514" t="n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>
        <f>IFERROR(INDEX('Company Hitlist'!$AA:$AA,MATCH(D3514,'Company Hitlist'!$A:$A,0)),)</f>
        <v/>
      </c>
      <c r="O3514">
        <f>IFERROR(INDEX('Company Hitlist'!$N:$N,MATCH(D3514,'Company Hitlist'!$A:$A,0)),)</f>
        <v/>
      </c>
      <c r="Q3514" t="inlineStr">
        <is>
          <t>todo</t>
        </is>
      </c>
    </row>
    <row r="3515">
      <c r="A3515" t="inlineStr">
        <is>
          <t>Ray Roberts</t>
        </is>
      </c>
      <c r="B3515" t="inlineStr">
        <is>
          <t>Sponsor</t>
        </is>
      </c>
      <c r="C3515" t="inlineStr">
        <is>
          <t>Head of Sales</t>
        </is>
      </c>
      <c r="D3515" t="inlineStr">
        <is>
          <t>Conduit</t>
        </is>
      </c>
      <c r="E3515" t="inlineStr">
        <is>
          <t>United States</t>
        </is>
      </c>
      <c r="H3515" t="n">
        <v>0</v>
      </c>
      <c r="I3515" t="b">
        <v>0</v>
      </c>
      <c r="J3515" t="b">
        <v>1</v>
      </c>
      <c r="K3515" t="b">
        <v>0</v>
      </c>
      <c r="L3515" t="b">
        <v>0</v>
      </c>
      <c r="M3515" t="b">
        <v>1</v>
      </c>
      <c r="N3515">
        <f>IFERROR(INDEX('Company Hitlist'!$AA:$AA,MATCH(D3515,'Company Hitlist'!$A:$A,0)),)</f>
        <v/>
      </c>
      <c r="O3515">
        <f>IFERROR(INDEX('Company Hitlist'!$N:$N,MATCH(D3515,'Company Hitlist'!$A:$A,0)),)</f>
        <v/>
      </c>
      <c r="Q3515" t="inlineStr">
        <is>
          <t>todo</t>
        </is>
      </c>
    </row>
    <row r="3516">
      <c r="A3516" t="inlineStr">
        <is>
          <t>Gary Marksman</t>
        </is>
      </c>
      <c r="B3516" t="inlineStr">
        <is>
          <t>Attendee</t>
        </is>
      </c>
      <c r="C3516" t="inlineStr">
        <is>
          <t>QA</t>
        </is>
      </c>
      <c r="D3516" t="inlineStr">
        <is>
          <t>Connectiv</t>
        </is>
      </c>
      <c r="E3516" t="inlineStr">
        <is>
          <t>United States</t>
        </is>
      </c>
      <c r="F3516" t="inlineStr">
        <is>
          <t>Yes</t>
        </is>
      </c>
      <c r="H3516" t="n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>
        <f>IFERROR(INDEX('Company Hitlist'!$AA:$AA,MATCH(D3516,'Company Hitlist'!$A:$A,0)),)</f>
        <v/>
      </c>
      <c r="O3516">
        <f>IFERROR(INDEX('Company Hitlist'!$N:$N,MATCH(D3516,'Company Hitlist'!$A:$A,0)),)</f>
        <v/>
      </c>
      <c r="Q3516" t="inlineStr">
        <is>
          <t>todo</t>
        </is>
      </c>
    </row>
    <row r="3517">
      <c r="A3517" t="inlineStr">
        <is>
          <t>gary newberg</t>
        </is>
      </c>
      <c r="B3517" t="inlineStr">
        <is>
          <t>Attendee</t>
        </is>
      </c>
      <c r="C3517" t="inlineStr">
        <is>
          <t>qa</t>
        </is>
      </c>
      <c r="D3517" t="inlineStr">
        <is>
          <t>Connectiv</t>
        </is>
      </c>
      <c r="E3517" t="inlineStr">
        <is>
          <t>United States</t>
        </is>
      </c>
      <c r="F3517" t="inlineStr">
        <is>
          <t>Yes</t>
        </is>
      </c>
      <c r="H3517" t="n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>
        <f>IFERROR(INDEX('Company Hitlist'!$AA:$AA,MATCH(D3517,'Company Hitlist'!$A:$A,0)),)</f>
        <v/>
      </c>
      <c r="O3517">
        <f>IFERROR(INDEX('Company Hitlist'!$N:$N,MATCH(D3517,'Company Hitlist'!$A:$A,0)),)</f>
        <v/>
      </c>
      <c r="Q3517" t="inlineStr">
        <is>
          <t>todo</t>
        </is>
      </c>
    </row>
    <row r="3518">
      <c r="A3518" t="inlineStr">
        <is>
          <t>Mike Teston</t>
        </is>
      </c>
      <c r="B3518" t="inlineStr">
        <is>
          <t>Attendee</t>
        </is>
      </c>
      <c r="C3518" t="inlineStr">
        <is>
          <t>QA</t>
        </is>
      </c>
      <c r="D3518" t="inlineStr">
        <is>
          <t>Connectiv</t>
        </is>
      </c>
      <c r="E3518" t="inlineStr">
        <is>
          <t>United States</t>
        </is>
      </c>
      <c r="F3518" t="inlineStr">
        <is>
          <t>Yes</t>
        </is>
      </c>
      <c r="H3518" t="n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>
        <f>IFERROR(INDEX('Company Hitlist'!$AA:$AA,MATCH(D3518,'Company Hitlist'!$A:$A,0)),)</f>
        <v/>
      </c>
      <c r="O3518">
        <f>IFERROR(INDEX('Company Hitlist'!$N:$N,MATCH(D3518,'Company Hitlist'!$A:$A,0)),)</f>
        <v/>
      </c>
      <c r="Q3518" t="inlineStr">
        <is>
          <t>todo</t>
        </is>
      </c>
    </row>
    <row r="3519">
      <c r="A3519" t="inlineStr">
        <is>
          <t>Gary LaVaskesis</t>
        </is>
      </c>
      <c r="B3519" t="inlineStr">
        <is>
          <t>Attendee</t>
        </is>
      </c>
      <c r="C3519" t="inlineStr">
        <is>
          <t>QA</t>
        </is>
      </c>
      <c r="D3519" t="inlineStr">
        <is>
          <t>Connectiv</t>
        </is>
      </c>
      <c r="F3519" t="inlineStr">
        <is>
          <t>Yes</t>
        </is>
      </c>
      <c r="H3519" t="n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>
        <f>IFERROR(INDEX('Company Hitlist'!$AA:$AA,MATCH(D3519,'Company Hitlist'!$A:$A,0)),)</f>
        <v/>
      </c>
      <c r="O3519">
        <f>IFERROR(INDEX('Company Hitlist'!$N:$N,MATCH(D3519,'Company Hitlist'!$A:$A,0)),)</f>
        <v/>
      </c>
      <c r="Q3519" t="inlineStr">
        <is>
          <t>todo</t>
        </is>
      </c>
    </row>
    <row r="3520">
      <c r="A3520" t="inlineStr">
        <is>
          <t>Gary Lazlovitz</t>
        </is>
      </c>
      <c r="B3520" t="inlineStr">
        <is>
          <t>Attendee</t>
        </is>
      </c>
      <c r="C3520" t="inlineStr">
        <is>
          <t>QA</t>
        </is>
      </c>
      <c r="D3520" t="inlineStr">
        <is>
          <t>Connectiv</t>
        </is>
      </c>
      <c r="F3520" t="inlineStr">
        <is>
          <t>Yes</t>
        </is>
      </c>
      <c r="H3520" t="n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>
        <f>IFERROR(INDEX('Company Hitlist'!$AA:$AA,MATCH(D3520,'Company Hitlist'!$A:$A,0)),)</f>
        <v/>
      </c>
      <c r="O3520">
        <f>IFERROR(INDEX('Company Hitlist'!$N:$N,MATCH(D3520,'Company Hitlist'!$A:$A,0)),)</f>
        <v/>
      </c>
      <c r="Q3520" t="inlineStr">
        <is>
          <t>todo</t>
        </is>
      </c>
    </row>
    <row r="3521">
      <c r="A3521" t="inlineStr">
        <is>
          <t>Gary Lorington</t>
        </is>
      </c>
      <c r="B3521" t="inlineStr">
        <is>
          <t>Attendee</t>
        </is>
      </c>
      <c r="C3521" t="inlineStr">
        <is>
          <t>QA</t>
        </is>
      </c>
      <c r="D3521" t="inlineStr">
        <is>
          <t>Connectiv</t>
        </is>
      </c>
      <c r="F3521" t="inlineStr">
        <is>
          <t>Yes</t>
        </is>
      </c>
      <c r="H3521" t="n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>
        <f>IFERROR(INDEX('Company Hitlist'!$AA:$AA,MATCH(D3521,'Company Hitlist'!$A:$A,0)),)</f>
        <v/>
      </c>
      <c r="O3521">
        <f>IFERROR(INDEX('Company Hitlist'!$N:$N,MATCH(D3521,'Company Hitlist'!$A:$A,0)),)</f>
        <v/>
      </c>
      <c r="Q3521" t="inlineStr">
        <is>
          <t>todo</t>
        </is>
      </c>
    </row>
    <row r="3522">
      <c r="A3522" t="inlineStr">
        <is>
          <t>Gary Testovitch</t>
        </is>
      </c>
      <c r="B3522" t="inlineStr">
        <is>
          <t>Attendee</t>
        </is>
      </c>
      <c r="C3522" t="inlineStr">
        <is>
          <t>QA</t>
        </is>
      </c>
      <c r="D3522" t="inlineStr">
        <is>
          <t>Connectiv</t>
        </is>
      </c>
      <c r="F3522" t="inlineStr">
        <is>
          <t>Yes</t>
        </is>
      </c>
      <c r="H3522" t="n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>
        <f>IFERROR(INDEX('Company Hitlist'!$AA:$AA,MATCH(D3522,'Company Hitlist'!$A:$A,0)),)</f>
        <v/>
      </c>
      <c r="O3522">
        <f>IFERROR(INDEX('Company Hitlist'!$N:$N,MATCH(D3522,'Company Hitlist'!$A:$A,0)),)</f>
        <v/>
      </c>
      <c r="Q3522" t="inlineStr">
        <is>
          <t>todo</t>
        </is>
      </c>
    </row>
    <row r="3523">
      <c r="A3523" t="inlineStr">
        <is>
          <t>Leland Chamlin</t>
        </is>
      </c>
      <c r="B3523" t="inlineStr">
        <is>
          <t>Attendee</t>
        </is>
      </c>
      <c r="C3523" t="inlineStr">
        <is>
          <t>Investor</t>
        </is>
      </c>
      <c r="D3523" t="inlineStr">
        <is>
          <t>Construct Capital</t>
        </is>
      </c>
      <c r="E3523" t="inlineStr">
        <is>
          <t>United States</t>
        </is>
      </c>
      <c r="H3523" t="n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>
        <f>IFERROR(INDEX('Company Hitlist'!$AA:$AA,MATCH(D3523,'Company Hitlist'!$A:$A,0)),)</f>
        <v/>
      </c>
      <c r="O3523">
        <f>IFERROR(INDEX('Company Hitlist'!$N:$N,MATCH(D3523,'Company Hitlist'!$A:$A,0)),)</f>
        <v/>
      </c>
      <c r="Q3523" t="inlineStr">
        <is>
          <t>todo</t>
        </is>
      </c>
    </row>
    <row r="3524">
      <c r="A3524" t="inlineStr">
        <is>
          <t>Michael McSpedon</t>
        </is>
      </c>
      <c r="B3524" t="inlineStr">
        <is>
          <t>Sponsor</t>
        </is>
      </c>
      <c r="C3524" t="inlineStr">
        <is>
          <t>Chief Revenue Officer</t>
        </is>
      </c>
      <c r="D3524" t="inlineStr">
        <is>
          <t>Corvus Robotics</t>
        </is>
      </c>
      <c r="E3524" t="inlineStr">
        <is>
          <t>United States</t>
        </is>
      </c>
      <c r="F3524" t="inlineStr">
        <is>
          <t>Yes</t>
        </is>
      </c>
      <c r="G3524" t="inlineStr">
        <is>
          <t>$5M (2024 est.; projected $6M in 2025)</t>
        </is>
      </c>
      <c r="H3524" t="n">
        <v>0</v>
      </c>
      <c r="I3524" t="b">
        <v>0</v>
      </c>
      <c r="J3524" t="b">
        <v>1</v>
      </c>
      <c r="K3524" t="b">
        <v>0</v>
      </c>
      <c r="L3524" t="b">
        <v>0</v>
      </c>
      <c r="M3524" t="b">
        <v>1</v>
      </c>
      <c r="N3524">
        <f>IFERROR(INDEX('Company Hitlist'!$AA:$AA,MATCH(D3524,'Company Hitlist'!$A:$A,0)),)</f>
        <v/>
      </c>
      <c r="O3524">
        <f>IFERROR(INDEX('Company Hitlist'!$N:$N,MATCH(D3524,'Company Hitlist'!$A:$A,0)),)</f>
        <v/>
      </c>
      <c r="Q3524" t="inlineStr">
        <is>
          <t>todo</t>
        </is>
      </c>
    </row>
    <row r="3525">
      <c r="A3525" t="inlineStr">
        <is>
          <t>Andrew Burer</t>
        </is>
      </c>
      <c r="B3525" t="inlineStr">
        <is>
          <t>Sponsor</t>
        </is>
      </c>
      <c r="C3525" t="inlineStr">
        <is>
          <t>Head of Marketing</t>
        </is>
      </c>
      <c r="D3525" t="inlineStr">
        <is>
          <t>Corvus Robotics</t>
        </is>
      </c>
      <c r="F3525" t="inlineStr">
        <is>
          <t>Yes</t>
        </is>
      </c>
      <c r="G3525" t="inlineStr">
        <is>
          <t>$5M (2024 est.; projected $6M in 2025)</t>
        </is>
      </c>
      <c r="H3525" t="n">
        <v>0</v>
      </c>
      <c r="I3525" t="b">
        <v>0</v>
      </c>
      <c r="J3525" t="b">
        <v>1</v>
      </c>
      <c r="K3525" t="b">
        <v>0</v>
      </c>
      <c r="L3525" t="b">
        <v>0</v>
      </c>
      <c r="M3525" t="b">
        <v>1</v>
      </c>
      <c r="N3525">
        <f>IFERROR(INDEX('Company Hitlist'!$AA:$AA,MATCH(D3525,'Company Hitlist'!$A:$A,0)),)</f>
        <v/>
      </c>
      <c r="O3525">
        <f>IFERROR(INDEX('Company Hitlist'!$N:$N,MATCH(D3525,'Company Hitlist'!$A:$A,0)),)</f>
        <v/>
      </c>
      <c r="Q3525" t="inlineStr">
        <is>
          <t>todo</t>
        </is>
      </c>
    </row>
    <row r="3526">
      <c r="A3526" t="inlineStr">
        <is>
          <t>Brian McBride</t>
        </is>
      </c>
      <c r="B3526" t="inlineStr">
        <is>
          <t>Attendee</t>
        </is>
      </c>
      <c r="C3526" t="inlineStr">
        <is>
          <t>Global IT/Innovation</t>
        </is>
      </c>
      <c r="D3526" t="inlineStr">
        <is>
          <t>Costco</t>
        </is>
      </c>
      <c r="F3526" t="inlineStr">
        <is>
          <t>Yes</t>
        </is>
      </c>
      <c r="H3526" t="n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>
        <f>IFERROR(INDEX('Company Hitlist'!$AA:$AA,MATCH(D3526,'Company Hitlist'!$A:$A,0)),)</f>
        <v/>
      </c>
      <c r="O3526">
        <f>IFERROR(INDEX('Company Hitlist'!$N:$N,MATCH(D3526,'Company Hitlist'!$A:$A,0)),)</f>
        <v/>
      </c>
      <c r="Q3526" t="inlineStr">
        <is>
          <t>todo</t>
        </is>
      </c>
    </row>
    <row r="3527">
      <c r="A3527" t="inlineStr">
        <is>
          <t>Kate Domer</t>
        </is>
      </c>
      <c r="B3527" t="inlineStr">
        <is>
          <t>Attendee</t>
        </is>
      </c>
      <c r="C3527" t="inlineStr">
        <is>
          <t>Innovation Analyst</t>
        </is>
      </c>
      <c r="D3527" t="inlineStr">
        <is>
          <t>Costco</t>
        </is>
      </c>
      <c r="F3527" t="inlineStr">
        <is>
          <t>Yes</t>
        </is>
      </c>
      <c r="H3527" t="n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>
        <f>IFERROR(INDEX('Company Hitlist'!$AA:$AA,MATCH(D3527,'Company Hitlist'!$A:$A,0)),)</f>
        <v/>
      </c>
      <c r="O3527">
        <f>IFERROR(INDEX('Company Hitlist'!$N:$N,MATCH(D3527,'Company Hitlist'!$A:$A,0)),)</f>
        <v/>
      </c>
      <c r="Q3527" t="inlineStr">
        <is>
          <t>todo</t>
        </is>
      </c>
    </row>
    <row r="3528">
      <c r="A3528" t="inlineStr">
        <is>
          <t>Krissie Connors</t>
        </is>
      </c>
      <c r="B3528" t="inlineStr">
        <is>
          <t>Attendee</t>
        </is>
      </c>
      <c r="C3528" t="inlineStr">
        <is>
          <t>Analyst - Innovation</t>
        </is>
      </c>
      <c r="D3528" t="inlineStr">
        <is>
          <t>Costco</t>
        </is>
      </c>
      <c r="F3528" t="inlineStr">
        <is>
          <t>Yes</t>
        </is>
      </c>
      <c r="H3528" t="n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>
        <f>IFERROR(INDEX('Company Hitlist'!$AA:$AA,MATCH(D3528,'Company Hitlist'!$A:$A,0)),)</f>
        <v/>
      </c>
      <c r="O3528">
        <f>IFERROR(INDEX('Company Hitlist'!$N:$N,MATCH(D3528,'Company Hitlist'!$A:$A,0)),)</f>
        <v/>
      </c>
      <c r="Q3528" t="inlineStr">
        <is>
          <t>todo</t>
        </is>
      </c>
    </row>
    <row r="3529">
      <c r="A3529" t="inlineStr">
        <is>
          <t>Troy Ness</t>
        </is>
      </c>
      <c r="B3529" t="inlineStr">
        <is>
          <t>Attendee</t>
        </is>
      </c>
      <c r="C3529" t="inlineStr">
        <is>
          <t>Director of Global Innovation</t>
        </is>
      </c>
      <c r="D3529" t="inlineStr">
        <is>
          <t>Costco</t>
        </is>
      </c>
      <c r="F3529" t="inlineStr">
        <is>
          <t>Yes</t>
        </is>
      </c>
      <c r="H3529" t="n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>
        <f>IFERROR(INDEX('Company Hitlist'!$AA:$AA,MATCH(D3529,'Company Hitlist'!$A:$A,0)),)</f>
        <v/>
      </c>
      <c r="O3529">
        <f>IFERROR(INDEX('Company Hitlist'!$N:$N,MATCH(D3529,'Company Hitlist'!$A:$A,0)),)</f>
        <v/>
      </c>
      <c r="Q3529" t="inlineStr">
        <is>
          <t>todo</t>
        </is>
      </c>
    </row>
    <row r="3530">
      <c r="A3530" t="inlineStr">
        <is>
          <t>Brian McBride</t>
        </is>
      </c>
      <c r="B3530" t="inlineStr">
        <is>
          <t>Attendee</t>
        </is>
      </c>
      <c r="C3530" t="inlineStr">
        <is>
          <t>IT Manager - Innovation</t>
        </is>
      </c>
      <c r="D3530" t="inlineStr">
        <is>
          <t>Costco</t>
        </is>
      </c>
      <c r="H3530" t="n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>
        <f>IFERROR(INDEX('Company Hitlist'!$AA:$AA,MATCH(D3530,'Company Hitlist'!$A:$A,0)),)</f>
        <v/>
      </c>
      <c r="O3530">
        <f>IFERROR(INDEX('Company Hitlist'!$N:$N,MATCH(D3530,'Company Hitlist'!$A:$A,0)),)</f>
        <v/>
      </c>
      <c r="Q3530" t="inlineStr">
        <is>
          <t>todo</t>
        </is>
      </c>
    </row>
    <row r="3531">
      <c r="A3531" t="inlineStr">
        <is>
          <t>Mikey Kailis</t>
        </is>
      </c>
      <c r="B3531" t="inlineStr">
        <is>
          <t>Attendee</t>
        </is>
      </c>
      <c r="C3531" t="inlineStr">
        <is>
          <t>Principal</t>
        </is>
      </c>
      <c r="D3531" t="inlineStr">
        <is>
          <t>Counterpart Ventures</t>
        </is>
      </c>
      <c r="E3531" t="inlineStr">
        <is>
          <t>United States</t>
        </is>
      </c>
      <c r="H3531" t="n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>
        <f>IFERROR(INDEX('Company Hitlist'!$AA:$AA,MATCH(D3531,'Company Hitlist'!$A:$A,0)),)</f>
        <v/>
      </c>
      <c r="O3531">
        <f>IFERROR(INDEX('Company Hitlist'!$N:$N,MATCH(D3531,'Company Hitlist'!$A:$A,0)),)</f>
        <v/>
      </c>
      <c r="Q3531" t="inlineStr">
        <is>
          <t>todo</t>
        </is>
      </c>
    </row>
    <row r="3532">
      <c r="A3532" t="inlineStr">
        <is>
          <t>Francesco Favaro</t>
        </is>
      </c>
      <c r="B3532" t="inlineStr">
        <is>
          <t>Attendee</t>
        </is>
      </c>
      <c r="C3532" t="inlineStr">
        <is>
          <t>Managing Partner</t>
        </is>
      </c>
      <c r="D3532" t="inlineStr">
        <is>
          <t>Crosscourt Ventures</t>
        </is>
      </c>
      <c r="E3532" t="inlineStr">
        <is>
          <t>United States</t>
        </is>
      </c>
      <c r="H3532" t="n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>
        <f>IFERROR(INDEX('Company Hitlist'!$AA:$AA,MATCH(D3532,'Company Hitlist'!$A:$A,0)),)</f>
        <v/>
      </c>
      <c r="O3532">
        <f>IFERROR(INDEX('Company Hitlist'!$N:$N,MATCH(D3532,'Company Hitlist'!$A:$A,0)),)</f>
        <v/>
      </c>
      <c r="Q3532" t="inlineStr">
        <is>
          <t>todo</t>
        </is>
      </c>
    </row>
    <row r="3533">
      <c r="A3533" t="inlineStr">
        <is>
          <t>Anoop Mohandas</t>
        </is>
      </c>
      <c r="B3533" t="inlineStr">
        <is>
          <t>Attendee</t>
        </is>
      </c>
      <c r="C3533" t="inlineStr">
        <is>
          <t>Data Science &amp; Digital Innovation</t>
        </is>
      </c>
      <c r="D3533" t="inlineStr">
        <is>
          <t>Crowley Coorperation</t>
        </is>
      </c>
      <c r="E3533" t="inlineStr">
        <is>
          <t>United States</t>
        </is>
      </c>
      <c r="H3533" t="n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>
        <f>IFERROR(INDEX('Company Hitlist'!$AA:$AA,MATCH(D3533,'Company Hitlist'!$A:$A,0)),)</f>
        <v/>
      </c>
      <c r="O3533">
        <f>IFERROR(INDEX('Company Hitlist'!$N:$N,MATCH(D3533,'Company Hitlist'!$A:$A,0)),)</f>
        <v/>
      </c>
      <c r="Q3533" t="inlineStr">
        <is>
          <t>todo</t>
        </is>
      </c>
    </row>
    <row r="3534">
      <c r="A3534" t="inlineStr">
        <is>
          <t>Melissa Schmidt</t>
        </is>
      </c>
      <c r="B3534" t="inlineStr">
        <is>
          <t>Attendee</t>
        </is>
      </c>
      <c r="C3534" t="inlineStr">
        <is>
          <t>Director, Strategy and Transformation</t>
        </is>
      </c>
      <c r="D3534" t="inlineStr">
        <is>
          <t>Cummins</t>
        </is>
      </c>
      <c r="F3534" t="inlineStr">
        <is>
          <t>Yes</t>
        </is>
      </c>
      <c r="H3534" t="n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>
        <f>IFERROR(INDEX('Company Hitlist'!$AA:$AA,MATCH(D3534,'Company Hitlist'!$A:$A,0)),)</f>
        <v/>
      </c>
      <c r="O3534">
        <f>IFERROR(INDEX('Company Hitlist'!$N:$N,MATCH(D3534,'Company Hitlist'!$A:$A,0)),)</f>
        <v/>
      </c>
      <c r="Q3534" t="inlineStr">
        <is>
          <t>todo</t>
        </is>
      </c>
    </row>
    <row r="3535">
      <c r="A3535" t="inlineStr">
        <is>
          <t>Andres Camacho</t>
        </is>
      </c>
      <c r="B3535" t="inlineStr">
        <is>
          <t>Attendee</t>
        </is>
      </c>
      <c r="C3535" t="inlineStr">
        <is>
          <t>Corporate Real Estate Advisor</t>
        </is>
      </c>
      <c r="D3535" t="inlineStr">
        <is>
          <t>Cushman &amp; Wakefield</t>
        </is>
      </c>
      <c r="E3535" t="inlineStr">
        <is>
          <t>United States</t>
        </is>
      </c>
      <c r="H3535" t="n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>
        <f>IFERROR(INDEX('Company Hitlist'!$AA:$AA,MATCH(D3535,'Company Hitlist'!$A:$A,0)),)</f>
        <v/>
      </c>
      <c r="O3535">
        <f>IFERROR(INDEX('Company Hitlist'!$N:$N,MATCH(D3535,'Company Hitlist'!$A:$A,0)),)</f>
        <v/>
      </c>
      <c r="Q3535" t="inlineStr">
        <is>
          <t>todo</t>
        </is>
      </c>
    </row>
    <row r="3536">
      <c r="A3536" t="inlineStr">
        <is>
          <t>Vijay Dharmavarapu</t>
        </is>
      </c>
      <c r="B3536" t="inlineStr">
        <is>
          <t>Attendee</t>
        </is>
      </c>
      <c r="C3536" t="inlineStr">
        <is>
          <t>Engagement Manager</t>
        </is>
      </c>
      <c r="D3536" t="inlineStr">
        <is>
          <t>Cybage Software Inc</t>
        </is>
      </c>
      <c r="E3536" t="inlineStr">
        <is>
          <t>United States</t>
        </is>
      </c>
      <c r="H3536" t="n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>
        <f>IFERROR(INDEX('Company Hitlist'!$AA:$AA,MATCH(D3536,'Company Hitlist'!$A:$A,0)),)</f>
        <v/>
      </c>
      <c r="O3536">
        <f>IFERROR(INDEX('Company Hitlist'!$N:$N,MATCH(D3536,'Company Hitlist'!$A:$A,0)),)</f>
        <v/>
      </c>
      <c r="Q3536" t="inlineStr">
        <is>
          <t>todo</t>
        </is>
      </c>
    </row>
    <row r="3537">
      <c r="A3537" t="inlineStr">
        <is>
          <t>Julio Somohano</t>
        </is>
      </c>
      <c r="B3537" t="inlineStr">
        <is>
          <t>Sponsor</t>
        </is>
      </c>
      <c r="C3537" t="inlineStr">
        <is>
          <t>SVP of Sales</t>
        </is>
      </c>
      <c r="D3537" t="inlineStr">
        <is>
          <t>Cycle Labs</t>
        </is>
      </c>
      <c r="E3537" t="inlineStr">
        <is>
          <t>United States</t>
        </is>
      </c>
      <c r="H3537" t="n">
        <v>0</v>
      </c>
      <c r="I3537" t="b">
        <v>0</v>
      </c>
      <c r="J3537" t="b">
        <v>1</v>
      </c>
      <c r="K3537" t="b">
        <v>0</v>
      </c>
      <c r="L3537" t="b">
        <v>0</v>
      </c>
      <c r="M3537" t="b">
        <v>1</v>
      </c>
      <c r="N3537">
        <f>IFERROR(INDEX('Company Hitlist'!$AA:$AA,MATCH(D3537,'Company Hitlist'!$A:$A,0)),)</f>
        <v/>
      </c>
      <c r="O3537">
        <f>IFERROR(INDEX('Company Hitlist'!$N:$N,MATCH(D3537,'Company Hitlist'!$A:$A,0)),)</f>
        <v/>
      </c>
      <c r="Q3537" t="inlineStr">
        <is>
          <t>todo</t>
        </is>
      </c>
    </row>
    <row r="3538">
      <c r="A3538" t="inlineStr">
        <is>
          <t>Jason Kowlaskie</t>
        </is>
      </c>
      <c r="B3538" t="inlineStr">
        <is>
          <t>Attendee</t>
        </is>
      </c>
      <c r="C3538" t="inlineStr">
        <is>
          <t>Senior Director</t>
        </is>
      </c>
      <c r="D3538" t="inlineStr">
        <is>
          <t>D and H</t>
        </is>
      </c>
      <c r="F3538" t="inlineStr">
        <is>
          <t>Yes</t>
        </is>
      </c>
      <c r="H3538" t="n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>
        <f>IFERROR(INDEX('Company Hitlist'!$AA:$AA,MATCH(D3538,'Company Hitlist'!$A:$A,0)),)</f>
        <v/>
      </c>
      <c r="O3538">
        <f>IFERROR(INDEX('Company Hitlist'!$N:$N,MATCH(D3538,'Company Hitlist'!$A:$A,0)),)</f>
        <v/>
      </c>
      <c r="Q3538" t="inlineStr">
        <is>
          <t>todo</t>
        </is>
      </c>
    </row>
    <row r="3539">
      <c r="A3539" t="inlineStr">
        <is>
          <t>Michael Abrams</t>
        </is>
      </c>
      <c r="B3539" t="inlineStr">
        <is>
          <t>Attendee</t>
        </is>
      </c>
      <c r="C3539" t="inlineStr">
        <is>
          <t>Strategy and Solutions Leader</t>
        </is>
      </c>
      <c r="D3539" t="inlineStr">
        <is>
          <t>D&amp;H</t>
        </is>
      </c>
      <c r="F3539" t="inlineStr">
        <is>
          <t>Yes</t>
        </is>
      </c>
      <c r="H3539" t="n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>
        <f>IFERROR(INDEX('Company Hitlist'!$AA:$AA,MATCH(D3539,'Company Hitlist'!$A:$A,0)),)</f>
        <v/>
      </c>
      <c r="O3539">
        <f>IFERROR(INDEX('Company Hitlist'!$N:$N,MATCH(D3539,'Company Hitlist'!$A:$A,0)),)</f>
        <v/>
      </c>
      <c r="Q3539" t="inlineStr">
        <is>
          <t>todo</t>
        </is>
      </c>
    </row>
    <row r="3540">
      <c r="A3540" t="inlineStr">
        <is>
          <t>Eric Libby</t>
        </is>
      </c>
      <c r="B3540" t="inlineStr">
        <is>
          <t>Attendee</t>
        </is>
      </c>
      <c r="C3540" t="inlineStr">
        <is>
          <t>Director, Marketplace Integrity</t>
        </is>
      </c>
      <c r="D3540" t="inlineStr">
        <is>
          <t>DAT Freight &amp; Analytics</t>
        </is>
      </c>
      <c r="E3540" t="inlineStr">
        <is>
          <t>United States</t>
        </is>
      </c>
      <c r="F3540" t="inlineStr">
        <is>
          <t>Yes</t>
        </is>
      </c>
      <c r="G3540" t="inlineStr">
        <is>
          <t>$105 million (2025)</t>
        </is>
      </c>
      <c r="H3540" t="n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>
        <f>IFERROR(INDEX('Company Hitlist'!$AA:$AA,MATCH(D3540,'Company Hitlist'!$A:$A,0)),)</f>
        <v/>
      </c>
      <c r="O3540">
        <f>IFERROR(INDEX('Company Hitlist'!$N:$N,MATCH(D3540,'Company Hitlist'!$A:$A,0)),)</f>
        <v/>
      </c>
      <c r="Q3540" t="inlineStr">
        <is>
          <t>todo</t>
        </is>
      </c>
    </row>
    <row r="3541">
      <c r="A3541" t="inlineStr">
        <is>
          <t>Jackson Lever</t>
        </is>
      </c>
      <c r="B3541" t="inlineStr">
        <is>
          <t>Attendee</t>
        </is>
      </c>
      <c r="C3541" t="inlineStr">
        <is>
          <t>Convoy Platform</t>
        </is>
      </c>
      <c r="D3541" t="inlineStr">
        <is>
          <t>DAT Freight &amp; Analytics</t>
        </is>
      </c>
      <c r="E3541" t="inlineStr">
        <is>
          <t>United States</t>
        </is>
      </c>
      <c r="F3541" t="inlineStr">
        <is>
          <t>Yes</t>
        </is>
      </c>
      <c r="G3541" t="inlineStr">
        <is>
          <t>$105 million (2025)</t>
        </is>
      </c>
      <c r="H3541" t="n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>
        <f>IFERROR(INDEX('Company Hitlist'!$AA:$AA,MATCH(D3541,'Company Hitlist'!$A:$A,0)),)</f>
        <v/>
      </c>
      <c r="O3541">
        <f>IFERROR(INDEX('Company Hitlist'!$N:$N,MATCH(D3541,'Company Hitlist'!$A:$A,0)),)</f>
        <v/>
      </c>
      <c r="Q3541" t="inlineStr">
        <is>
          <t>todo</t>
        </is>
      </c>
    </row>
    <row r="3542">
      <c r="A3542" t="inlineStr">
        <is>
          <t>Peter Soroko</t>
        </is>
      </c>
      <c r="B3542" t="inlineStr">
        <is>
          <t>Attendee</t>
        </is>
      </c>
      <c r="C3542" t="inlineStr">
        <is>
          <t>Assoc Dir, Partnerships</t>
        </is>
      </c>
      <c r="D3542" t="inlineStr">
        <is>
          <t>DAT Freight &amp; Analytics</t>
        </is>
      </c>
      <c r="E3542" t="inlineStr">
        <is>
          <t>United States</t>
        </is>
      </c>
      <c r="F3542" t="inlineStr">
        <is>
          <t>Yes</t>
        </is>
      </c>
      <c r="G3542" t="inlineStr">
        <is>
          <t>$105 million (2025)</t>
        </is>
      </c>
      <c r="H3542" t="n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>
        <f>IFERROR(INDEX('Company Hitlist'!$AA:$AA,MATCH(D3542,'Company Hitlist'!$A:$A,0)),)</f>
        <v/>
      </c>
      <c r="O3542">
        <f>IFERROR(INDEX('Company Hitlist'!$N:$N,MATCH(D3542,'Company Hitlist'!$A:$A,0)),)</f>
        <v/>
      </c>
      <c r="Q3542" t="inlineStr">
        <is>
          <t>todo</t>
        </is>
      </c>
    </row>
    <row r="3543">
      <c r="A3543" t="inlineStr">
        <is>
          <t>Joan Wilhelm-Schwarze</t>
        </is>
      </c>
      <c r="B3543" t="inlineStr">
        <is>
          <t>Attendee</t>
        </is>
      </c>
      <c r="C3543" t="inlineStr">
        <is>
          <t>Sr. Global Innovation Manager</t>
        </is>
      </c>
      <c r="D3543" t="inlineStr">
        <is>
          <t>DHL</t>
        </is>
      </c>
      <c r="E3543" t="inlineStr">
        <is>
          <t>United States</t>
        </is>
      </c>
      <c r="H3543" t="n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>
        <f>IFERROR(INDEX('Company Hitlist'!$AA:$AA,MATCH(D3543,'Company Hitlist'!$A:$A,0)),)</f>
        <v/>
      </c>
      <c r="O3543">
        <f>IFERROR(INDEX('Company Hitlist'!$N:$N,MATCH(D3543,'Company Hitlist'!$A:$A,0)),)</f>
        <v/>
      </c>
      <c r="Q3543" t="inlineStr">
        <is>
          <t>todo</t>
        </is>
      </c>
    </row>
    <row r="3544">
      <c r="A3544" t="inlineStr">
        <is>
          <t>Timothy Lang</t>
        </is>
      </c>
      <c r="B3544" t="inlineStr">
        <is>
          <t>Attendee</t>
        </is>
      </c>
      <c r="C3544" t="inlineStr">
        <is>
          <t>Director of Project Management / Engineering</t>
        </is>
      </c>
      <c r="D3544" t="inlineStr">
        <is>
          <t>DHL Express</t>
        </is>
      </c>
      <c r="F3544" t="inlineStr">
        <is>
          <t>Yes</t>
        </is>
      </c>
      <c r="H3544" t="n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>
        <f>IFERROR(INDEX('Company Hitlist'!$AA:$AA,MATCH(D3544,'Company Hitlist'!$A:$A,0)),)</f>
        <v/>
      </c>
      <c r="O3544">
        <f>IFERROR(INDEX('Company Hitlist'!$N:$N,MATCH(D3544,'Company Hitlist'!$A:$A,0)),)</f>
        <v/>
      </c>
      <c r="Q3544" t="inlineStr">
        <is>
          <t>todo</t>
        </is>
      </c>
    </row>
    <row r="3545">
      <c r="A3545" t="inlineStr">
        <is>
          <t>Mike DiPilato</t>
        </is>
      </c>
      <c r="B3545" t="inlineStr">
        <is>
          <t>Attendee</t>
        </is>
      </c>
      <c r="C3545" t="inlineStr">
        <is>
          <t>Sr. Project Manager, Engineering and Infrastructure</t>
        </is>
      </c>
      <c r="D3545" t="inlineStr">
        <is>
          <t>DHL Express</t>
        </is>
      </c>
      <c r="E3545" t="inlineStr">
        <is>
          <t>United States</t>
        </is>
      </c>
      <c r="H3545" t="n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>
        <f>IFERROR(INDEX('Company Hitlist'!$AA:$AA,MATCH(D3545,'Company Hitlist'!$A:$A,0)),)</f>
        <v/>
      </c>
      <c r="O3545">
        <f>IFERROR(INDEX('Company Hitlist'!$N:$N,MATCH(D3545,'Company Hitlist'!$A:$A,0)),)</f>
        <v/>
      </c>
      <c r="Q3545" t="inlineStr">
        <is>
          <t>todo</t>
        </is>
      </c>
    </row>
    <row r="3546">
      <c r="A3546" t="inlineStr">
        <is>
          <t>Jeff Bradshaw</t>
        </is>
      </c>
      <c r="B3546" t="inlineStr">
        <is>
          <t>Attendee</t>
        </is>
      </c>
      <c r="C3546" t="inlineStr">
        <is>
          <t>Sr. Project Manager - Engineering</t>
        </is>
      </c>
      <c r="D3546" t="inlineStr">
        <is>
          <t>DHL Express</t>
        </is>
      </c>
      <c r="H3546" t="n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>
        <f>IFERROR(INDEX('Company Hitlist'!$AA:$AA,MATCH(D3546,'Company Hitlist'!$A:$A,0)),)</f>
        <v/>
      </c>
      <c r="O3546">
        <f>IFERROR(INDEX('Company Hitlist'!$N:$N,MATCH(D3546,'Company Hitlist'!$A:$A,0)),)</f>
        <v/>
      </c>
      <c r="Q3546" t="inlineStr">
        <is>
          <t>todo</t>
        </is>
      </c>
    </row>
    <row r="3547">
      <c r="A3547" t="inlineStr">
        <is>
          <t>Dave Kopstein</t>
        </is>
      </c>
      <c r="B3547" t="inlineStr">
        <is>
          <t>Sponsor</t>
        </is>
      </c>
      <c r="C3547" t="inlineStr">
        <is>
          <t>Vice President Business Development</t>
        </is>
      </c>
      <c r="D3547" t="inlineStr">
        <is>
          <t>DHL Supply Chain</t>
        </is>
      </c>
      <c r="H3547" t="n">
        <v>0</v>
      </c>
      <c r="I3547" t="b">
        <v>0</v>
      </c>
      <c r="J3547" t="b">
        <v>1</v>
      </c>
      <c r="K3547" t="b">
        <v>0</v>
      </c>
      <c r="L3547" t="b">
        <v>0</v>
      </c>
      <c r="M3547" t="b">
        <v>1</v>
      </c>
      <c r="N3547">
        <f>IFERROR(INDEX('Company Hitlist'!$AA:$AA,MATCH(D3547,'Company Hitlist'!$A:$A,0)),)</f>
        <v/>
      </c>
      <c r="O3547">
        <f>IFERROR(INDEX('Company Hitlist'!$N:$N,MATCH(D3547,'Company Hitlist'!$A:$A,0)),)</f>
        <v/>
      </c>
      <c r="Q3547" t="inlineStr">
        <is>
          <t>todo</t>
        </is>
      </c>
    </row>
    <row r="3548">
      <c r="A3548" t="inlineStr">
        <is>
          <t>Ed Smith</t>
        </is>
      </c>
      <c r="B3548" t="inlineStr">
        <is>
          <t>Sponsor</t>
        </is>
      </c>
      <c r="C3548" t="inlineStr">
        <is>
          <t>Vice President Business Development</t>
        </is>
      </c>
      <c r="D3548" t="inlineStr">
        <is>
          <t>DHL Supply Chain</t>
        </is>
      </c>
      <c r="H3548" t="n">
        <v>0</v>
      </c>
      <c r="I3548" t="b">
        <v>0</v>
      </c>
      <c r="J3548" t="b">
        <v>1</v>
      </c>
      <c r="K3548" t="b">
        <v>0</v>
      </c>
      <c r="L3548" t="b">
        <v>0</v>
      </c>
      <c r="M3548" t="b">
        <v>1</v>
      </c>
      <c r="N3548">
        <f>IFERROR(INDEX('Company Hitlist'!$AA:$AA,MATCH(D3548,'Company Hitlist'!$A:$A,0)),)</f>
        <v/>
      </c>
      <c r="O3548">
        <f>IFERROR(INDEX('Company Hitlist'!$N:$N,MATCH(D3548,'Company Hitlist'!$A:$A,0)),)</f>
        <v/>
      </c>
      <c r="Q3548" t="inlineStr">
        <is>
          <t>todo</t>
        </is>
      </c>
    </row>
    <row r="3549">
      <c r="A3549" t="inlineStr">
        <is>
          <t>Jason Bailey</t>
        </is>
      </c>
      <c r="B3549" t="inlineStr">
        <is>
          <t>Sponsor</t>
        </is>
      </c>
      <c r="C3549" t="inlineStr">
        <is>
          <t>Vice President Business Development</t>
        </is>
      </c>
      <c r="D3549" t="inlineStr">
        <is>
          <t>DHL Supply Chain</t>
        </is>
      </c>
      <c r="H3549" t="n">
        <v>0</v>
      </c>
      <c r="I3549" t="b">
        <v>0</v>
      </c>
      <c r="J3549" t="b">
        <v>1</v>
      </c>
      <c r="K3549" t="b">
        <v>0</v>
      </c>
      <c r="L3549" t="b">
        <v>0</v>
      </c>
      <c r="M3549" t="b">
        <v>1</v>
      </c>
      <c r="N3549">
        <f>IFERROR(INDEX('Company Hitlist'!$AA:$AA,MATCH(D3549,'Company Hitlist'!$A:$A,0)),)</f>
        <v/>
      </c>
      <c r="O3549">
        <f>IFERROR(INDEX('Company Hitlist'!$N:$N,MATCH(D3549,'Company Hitlist'!$A:$A,0)),)</f>
        <v/>
      </c>
      <c r="Q3549" t="inlineStr">
        <is>
          <t>todo</t>
        </is>
      </c>
    </row>
    <row r="3550">
      <c r="A3550" t="inlineStr">
        <is>
          <t>Jenny Sander</t>
        </is>
      </c>
      <c r="B3550" t="inlineStr">
        <is>
          <t>Sponsor</t>
        </is>
      </c>
      <c r="C3550" t="inlineStr">
        <is>
          <t>Vice President Business Development</t>
        </is>
      </c>
      <c r="D3550" t="inlineStr">
        <is>
          <t>DHL Supply Chain</t>
        </is>
      </c>
      <c r="H3550" t="n">
        <v>0</v>
      </c>
      <c r="I3550" t="b">
        <v>0</v>
      </c>
      <c r="J3550" t="b">
        <v>1</v>
      </c>
      <c r="K3550" t="b">
        <v>0</v>
      </c>
      <c r="L3550" t="b">
        <v>0</v>
      </c>
      <c r="M3550" t="b">
        <v>1</v>
      </c>
      <c r="N3550">
        <f>IFERROR(INDEX('Company Hitlist'!$AA:$AA,MATCH(D3550,'Company Hitlist'!$A:$A,0)),)</f>
        <v/>
      </c>
      <c r="O3550">
        <f>IFERROR(INDEX('Company Hitlist'!$N:$N,MATCH(D3550,'Company Hitlist'!$A:$A,0)),)</f>
        <v/>
      </c>
      <c r="Q3550" t="inlineStr">
        <is>
          <t>todo</t>
        </is>
      </c>
    </row>
    <row r="3551">
      <c r="A3551" t="inlineStr">
        <is>
          <t>Jonathan Chapman</t>
        </is>
      </c>
      <c r="B3551" t="inlineStr">
        <is>
          <t>Sponsor</t>
        </is>
      </c>
      <c r="C3551" t="inlineStr">
        <is>
          <t>Vice President Business Development</t>
        </is>
      </c>
      <c r="D3551" t="inlineStr">
        <is>
          <t>DHL Supply Chain</t>
        </is>
      </c>
      <c r="H3551" t="n">
        <v>0</v>
      </c>
      <c r="I3551" t="b">
        <v>0</v>
      </c>
      <c r="J3551" t="b">
        <v>1</v>
      </c>
      <c r="K3551" t="b">
        <v>0</v>
      </c>
      <c r="L3551" t="b">
        <v>0</v>
      </c>
      <c r="M3551" t="b">
        <v>1</v>
      </c>
      <c r="N3551">
        <f>IFERROR(INDEX('Company Hitlist'!$AA:$AA,MATCH(D3551,'Company Hitlist'!$A:$A,0)),)</f>
        <v/>
      </c>
      <c r="O3551">
        <f>IFERROR(INDEX('Company Hitlist'!$N:$N,MATCH(D3551,'Company Hitlist'!$A:$A,0)),)</f>
        <v/>
      </c>
      <c r="Q3551" t="inlineStr">
        <is>
          <t>todo</t>
        </is>
      </c>
    </row>
    <row r="3552">
      <c r="A3552" t="inlineStr">
        <is>
          <t>Shelly Nirvelli</t>
        </is>
      </c>
      <c r="B3552" t="inlineStr">
        <is>
          <t>Sponsor</t>
        </is>
      </c>
      <c r="C3552" t="inlineStr">
        <is>
          <t>VP Business Development</t>
        </is>
      </c>
      <c r="D3552" t="inlineStr">
        <is>
          <t>DHL Supply Chain</t>
        </is>
      </c>
      <c r="H3552" t="n">
        <v>0</v>
      </c>
      <c r="I3552" t="b">
        <v>0</v>
      </c>
      <c r="J3552" t="b">
        <v>1</v>
      </c>
      <c r="K3552" t="b">
        <v>0</v>
      </c>
      <c r="L3552" t="b">
        <v>0</v>
      </c>
      <c r="M3552" t="b">
        <v>1</v>
      </c>
      <c r="N3552">
        <f>IFERROR(INDEX('Company Hitlist'!$AA:$AA,MATCH(D3552,'Company Hitlist'!$A:$A,0)),)</f>
        <v/>
      </c>
      <c r="O3552">
        <f>IFERROR(INDEX('Company Hitlist'!$N:$N,MATCH(D3552,'Company Hitlist'!$A:$A,0)),)</f>
        <v/>
      </c>
      <c r="Q3552" t="inlineStr">
        <is>
          <t>todo</t>
        </is>
      </c>
    </row>
    <row r="3553">
      <c r="A3553" t="inlineStr">
        <is>
          <t>Andy Rowan</t>
        </is>
      </c>
      <c r="B3553" t="inlineStr">
        <is>
          <t>Attendee</t>
        </is>
      </c>
      <c r="C3553" t="inlineStr">
        <is>
          <t>CCO</t>
        </is>
      </c>
      <c r="D3553" t="inlineStr">
        <is>
          <t>DSS Final Mile</t>
        </is>
      </c>
      <c r="E3553" t="inlineStr">
        <is>
          <t>United States</t>
        </is>
      </c>
      <c r="F3553" t="inlineStr">
        <is>
          <t>Yes</t>
        </is>
      </c>
      <c r="H3553" t="n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>
        <f>IFERROR(INDEX('Company Hitlist'!$AA:$AA,MATCH(D3553,'Company Hitlist'!$A:$A,0)),)</f>
        <v/>
      </c>
      <c r="O3553">
        <f>IFERROR(INDEX('Company Hitlist'!$N:$N,MATCH(D3553,'Company Hitlist'!$A:$A,0)),)</f>
        <v/>
      </c>
      <c r="Q3553" t="inlineStr">
        <is>
          <t>todo</t>
        </is>
      </c>
    </row>
    <row r="3554">
      <c r="A3554" t="inlineStr">
        <is>
          <t>Josh Mize</t>
        </is>
      </c>
      <c r="B3554" t="inlineStr">
        <is>
          <t>Attendee</t>
        </is>
      </c>
      <c r="C3554" t="inlineStr">
        <is>
          <t>Director, Global Accounts</t>
        </is>
      </c>
      <c r="D3554" t="inlineStr">
        <is>
          <t>DSV</t>
        </is>
      </c>
      <c r="E3554" t="inlineStr">
        <is>
          <t>United States</t>
        </is>
      </c>
      <c r="F3554" t="inlineStr">
        <is>
          <t>Yes</t>
        </is>
      </c>
      <c r="H3554" t="n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>
        <f>IFERROR(INDEX('Company Hitlist'!$AA:$AA,MATCH(D3554,'Company Hitlist'!$A:$A,0)),)</f>
        <v/>
      </c>
      <c r="O3554">
        <f>IFERROR(INDEX('Company Hitlist'!$N:$N,MATCH(D3554,'Company Hitlist'!$A:$A,0)),)</f>
        <v/>
      </c>
      <c r="Q3554" t="inlineStr">
        <is>
          <t>todo</t>
        </is>
      </c>
    </row>
    <row r="3555">
      <c r="A3555" t="inlineStr">
        <is>
          <t>Ryan White</t>
        </is>
      </c>
      <c r="B3555" t="inlineStr">
        <is>
          <t>Attendee</t>
        </is>
      </c>
      <c r="C3555" t="inlineStr">
        <is>
          <t>Global Accounts</t>
        </is>
      </c>
      <c r="D3555" t="inlineStr">
        <is>
          <t>DSV</t>
        </is>
      </c>
      <c r="E3555" t="inlineStr">
        <is>
          <t>United States</t>
        </is>
      </c>
      <c r="F3555" t="inlineStr">
        <is>
          <t>Yes</t>
        </is>
      </c>
      <c r="H3555" t="n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>
        <f>IFERROR(INDEX('Company Hitlist'!$AA:$AA,MATCH(D3555,'Company Hitlist'!$A:$A,0)),)</f>
        <v/>
      </c>
      <c r="O3555">
        <f>IFERROR(INDEX('Company Hitlist'!$N:$N,MATCH(D3555,'Company Hitlist'!$A:$A,0)),)</f>
        <v/>
      </c>
      <c r="Q3555" t="inlineStr">
        <is>
          <t>todo</t>
        </is>
      </c>
    </row>
    <row r="3556">
      <c r="A3556" t="inlineStr">
        <is>
          <t>Franco Caffagni</t>
        </is>
      </c>
      <c r="B3556" t="inlineStr">
        <is>
          <t>Attendee</t>
        </is>
      </c>
      <c r="C3556" t="inlineStr">
        <is>
          <t>Regional Director US West</t>
        </is>
      </c>
      <c r="D3556" t="inlineStr">
        <is>
          <t>DSV</t>
        </is>
      </c>
      <c r="F3556" t="inlineStr">
        <is>
          <t>Yes</t>
        </is>
      </c>
      <c r="H3556" t="n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>
        <f>IFERROR(INDEX('Company Hitlist'!$AA:$AA,MATCH(D3556,'Company Hitlist'!$A:$A,0)),)</f>
        <v/>
      </c>
      <c r="O3556">
        <f>IFERROR(INDEX('Company Hitlist'!$N:$N,MATCH(D3556,'Company Hitlist'!$A:$A,0)),)</f>
        <v/>
      </c>
      <c r="Q3556" t="inlineStr">
        <is>
          <t>todo</t>
        </is>
      </c>
    </row>
    <row r="3557">
      <c r="A3557" t="inlineStr">
        <is>
          <t>Malcolm Dwyer</t>
        </is>
      </c>
      <c r="B3557" t="inlineStr">
        <is>
          <t>Attendee</t>
        </is>
      </c>
      <c r="C3557" t="inlineStr">
        <is>
          <t>CCO, Air &amp; Sea, US</t>
        </is>
      </c>
      <c r="D3557" t="inlineStr">
        <is>
          <t>DSV</t>
        </is>
      </c>
      <c r="F3557" t="inlineStr">
        <is>
          <t>Yes</t>
        </is>
      </c>
      <c r="H3557" t="n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>
        <f>IFERROR(INDEX('Company Hitlist'!$AA:$AA,MATCH(D3557,'Company Hitlist'!$A:$A,0)),)</f>
        <v/>
      </c>
      <c r="O3557">
        <f>IFERROR(INDEX('Company Hitlist'!$N:$N,MATCH(D3557,'Company Hitlist'!$A:$A,0)),)</f>
        <v/>
      </c>
      <c r="Q3557" t="inlineStr">
        <is>
          <t>todo</t>
        </is>
      </c>
    </row>
    <row r="3558">
      <c r="A3558" t="inlineStr">
        <is>
          <t>Todd Litton</t>
        </is>
      </c>
      <c r="B3558" t="inlineStr">
        <is>
          <t>Sponsor</t>
        </is>
      </c>
      <c r="C3558" t="inlineStr">
        <is>
          <t>SVP Field Services &amp; Customer Success</t>
        </is>
      </c>
      <c r="D3558" t="inlineStr">
        <is>
          <t>Dane Technologies</t>
        </is>
      </c>
      <c r="H3558" t="n">
        <v>0</v>
      </c>
      <c r="I3558" t="b">
        <v>0</v>
      </c>
      <c r="J3558" t="b">
        <v>1</v>
      </c>
      <c r="K3558" t="b">
        <v>0</v>
      </c>
      <c r="L3558" t="b">
        <v>0</v>
      </c>
      <c r="M3558" t="b">
        <v>1</v>
      </c>
      <c r="N3558">
        <f>IFERROR(INDEX('Company Hitlist'!$AA:$AA,MATCH(D3558,'Company Hitlist'!$A:$A,0)),)</f>
        <v/>
      </c>
      <c r="O3558">
        <f>IFERROR(INDEX('Company Hitlist'!$N:$N,MATCH(D3558,'Company Hitlist'!$A:$A,0)),)</f>
        <v/>
      </c>
      <c r="Q3558" t="inlineStr">
        <is>
          <t>todo</t>
        </is>
      </c>
    </row>
    <row r="3559">
      <c r="A3559" t="inlineStr">
        <is>
          <t>Scott Pearson</t>
        </is>
      </c>
      <c r="B3559" t="inlineStr">
        <is>
          <t>Sponsor</t>
        </is>
      </c>
      <c r="C3559" t="inlineStr">
        <is>
          <t>Senior Vice President Sales</t>
        </is>
      </c>
      <c r="D3559" t="inlineStr">
        <is>
          <t>Dane Technologies Inc</t>
        </is>
      </c>
      <c r="E3559" t="inlineStr">
        <is>
          <t>United States</t>
        </is>
      </c>
      <c r="H3559" t="n">
        <v>0</v>
      </c>
      <c r="I3559" t="b">
        <v>0</v>
      </c>
      <c r="J3559" t="b">
        <v>1</v>
      </c>
      <c r="K3559" t="b">
        <v>0</v>
      </c>
      <c r="L3559" t="b">
        <v>0</v>
      </c>
      <c r="M3559" t="b">
        <v>1</v>
      </c>
      <c r="N3559">
        <f>IFERROR(INDEX('Company Hitlist'!$AA:$AA,MATCH(D3559,'Company Hitlist'!$A:$A,0)),)</f>
        <v/>
      </c>
      <c r="O3559">
        <f>IFERROR(INDEX('Company Hitlist'!$N:$N,MATCH(D3559,'Company Hitlist'!$A:$A,0)),)</f>
        <v/>
      </c>
      <c r="Q3559" t="inlineStr">
        <is>
          <t>todo</t>
        </is>
      </c>
    </row>
    <row r="3560">
      <c r="A3560" t="inlineStr">
        <is>
          <t>Aaron Bursch</t>
        </is>
      </c>
      <c r="B3560" t="inlineStr">
        <is>
          <t>Attendee</t>
        </is>
      </c>
      <c r="C3560" t="inlineStr">
        <is>
          <t>Regional Manager</t>
        </is>
      </c>
      <c r="D3560" t="inlineStr">
        <is>
          <t>Dash Express, LLC</t>
        </is>
      </c>
      <c r="E3560" t="inlineStr">
        <is>
          <t>United States</t>
        </is>
      </c>
      <c r="H3560" t="n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>
        <f>IFERROR(INDEX('Company Hitlist'!$AA:$AA,MATCH(D3560,'Company Hitlist'!$A:$A,0)),)</f>
        <v/>
      </c>
      <c r="O3560">
        <f>IFERROR(INDEX('Company Hitlist'!$N:$N,MATCH(D3560,'Company Hitlist'!$A:$A,0)),)</f>
        <v/>
      </c>
      <c r="Q3560" t="inlineStr">
        <is>
          <t>todo</t>
        </is>
      </c>
    </row>
    <row r="3561">
      <c r="A3561" t="inlineStr">
        <is>
          <t>Patrick Beene</t>
        </is>
      </c>
      <c r="B3561" t="inlineStr">
        <is>
          <t>Attendee</t>
        </is>
      </c>
      <c r="C3561" t="inlineStr">
        <is>
          <t>Founder</t>
        </is>
      </c>
      <c r="D3561" t="inlineStr">
        <is>
          <t>DataHAUL</t>
        </is>
      </c>
      <c r="E3561" t="inlineStr">
        <is>
          <t>United States</t>
        </is>
      </c>
      <c r="F3561" t="inlineStr">
        <is>
          <t>Yes</t>
        </is>
      </c>
      <c r="H3561" t="n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>
        <f>IFERROR(INDEX('Company Hitlist'!$AA:$AA,MATCH(D3561,'Company Hitlist'!$A:$A,0)),)</f>
        <v/>
      </c>
      <c r="O3561">
        <f>IFERROR(INDEX('Company Hitlist'!$N:$N,MATCH(D3561,'Company Hitlist'!$A:$A,0)),)</f>
        <v/>
      </c>
      <c r="Q3561" t="inlineStr">
        <is>
          <t>todo</t>
        </is>
      </c>
    </row>
    <row r="3562">
      <c r="A3562" t="inlineStr">
        <is>
          <t>Chris Neal</t>
        </is>
      </c>
      <c r="B3562" t="inlineStr">
        <is>
          <t>Attendee</t>
        </is>
      </c>
      <c r="C3562" t="inlineStr">
        <is>
          <t>API &amp; Integrations Engineer</t>
        </is>
      </c>
      <c r="D3562" t="inlineStr">
        <is>
          <t>Datatrac</t>
        </is>
      </c>
      <c r="E3562" t="inlineStr">
        <is>
          <t>Canada</t>
        </is>
      </c>
      <c r="F3562" t="inlineStr">
        <is>
          <t>Yes</t>
        </is>
      </c>
      <c r="H3562" t="n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>
        <f>IFERROR(INDEX('Company Hitlist'!$AA:$AA,MATCH(D3562,'Company Hitlist'!$A:$A,0)),)</f>
        <v/>
      </c>
      <c r="O3562">
        <f>IFERROR(INDEX('Company Hitlist'!$N:$N,MATCH(D3562,'Company Hitlist'!$A:$A,0)),)</f>
        <v/>
      </c>
      <c r="Q3562" t="inlineStr">
        <is>
          <t>todo</t>
        </is>
      </c>
    </row>
    <row r="3563">
      <c r="A3563" t="inlineStr">
        <is>
          <t>Raman Paulovich</t>
        </is>
      </c>
      <c r="B3563" t="inlineStr">
        <is>
          <t>Attendee</t>
        </is>
      </c>
      <c r="C3563" t="inlineStr">
        <is>
          <t>Managing Director</t>
        </is>
      </c>
      <c r="D3563" t="inlineStr">
        <is>
          <t>Datatrac</t>
        </is>
      </c>
      <c r="E3563" t="inlineStr">
        <is>
          <t>Canada</t>
        </is>
      </c>
      <c r="F3563" t="inlineStr">
        <is>
          <t>Yes</t>
        </is>
      </c>
      <c r="H3563" t="n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>
        <f>IFERROR(INDEX('Company Hitlist'!$AA:$AA,MATCH(D3563,'Company Hitlist'!$A:$A,0)),)</f>
        <v/>
      </c>
      <c r="O3563">
        <f>IFERROR(INDEX('Company Hitlist'!$N:$N,MATCH(D3563,'Company Hitlist'!$A:$A,0)),)</f>
        <v/>
      </c>
      <c r="Q3563" t="inlineStr">
        <is>
          <t>todo</t>
        </is>
      </c>
    </row>
    <row r="3564">
      <c r="A3564" t="inlineStr">
        <is>
          <t>John Carr</t>
        </is>
      </c>
      <c r="B3564" t="inlineStr">
        <is>
          <t>Attendee</t>
        </is>
      </c>
      <c r="C3564" t="inlineStr">
        <is>
          <t>Managing Partner</t>
        </is>
      </c>
      <c r="D3564" t="inlineStr">
        <is>
          <t>DeSpir Logistics</t>
        </is>
      </c>
      <c r="E3564" t="inlineStr">
        <is>
          <t>United States</t>
        </is>
      </c>
      <c r="F3564" t="inlineStr">
        <is>
          <t>Yes</t>
        </is>
      </c>
      <c r="H3564" t="n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>
        <f>IFERROR(INDEX('Company Hitlist'!$AA:$AA,MATCH(D3564,'Company Hitlist'!$A:$A,0)),)</f>
        <v/>
      </c>
      <c r="O3564">
        <f>IFERROR(INDEX('Company Hitlist'!$N:$N,MATCH(D3564,'Company Hitlist'!$A:$A,0)),)</f>
        <v/>
      </c>
      <c r="Q3564" t="inlineStr">
        <is>
          <t>todo</t>
        </is>
      </c>
    </row>
    <row r="3565">
      <c r="A3565" t="inlineStr">
        <is>
          <t>Justin Clark</t>
        </is>
      </c>
      <c r="B3565" t="inlineStr">
        <is>
          <t>Attendee</t>
        </is>
      </c>
      <c r="C3565" t="inlineStr">
        <is>
          <t>Sr. Director, North America</t>
        </is>
      </c>
      <c r="D3565" t="inlineStr">
        <is>
          <t>DecisionBrain</t>
        </is>
      </c>
      <c r="E3565" t="inlineStr">
        <is>
          <t>United States</t>
        </is>
      </c>
      <c r="F3565" t="inlineStr">
        <is>
          <t>Yes</t>
        </is>
      </c>
      <c r="H3565" t="n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>
        <f>IFERROR(INDEX('Company Hitlist'!$AA:$AA,MATCH(D3565,'Company Hitlist'!$A:$A,0)),)</f>
        <v/>
      </c>
      <c r="O3565">
        <f>IFERROR(INDEX('Company Hitlist'!$N:$N,MATCH(D3565,'Company Hitlist'!$A:$A,0)),)</f>
        <v/>
      </c>
      <c r="Q3565" t="inlineStr">
        <is>
          <t>todo</t>
        </is>
      </c>
    </row>
    <row r="3566">
      <c r="A3566" t="inlineStr">
        <is>
          <t>Derreck Travers</t>
        </is>
      </c>
      <c r="B3566" t="inlineStr">
        <is>
          <t>Sponsor</t>
        </is>
      </c>
      <c r="C3566" t="inlineStr">
        <is>
          <t>SVP of E-commerce and Business Development</t>
        </is>
      </c>
      <c r="D3566" t="inlineStr">
        <is>
          <t>DeliverDirect</t>
        </is>
      </c>
      <c r="H3566" t="n">
        <v>0</v>
      </c>
      <c r="I3566" t="b">
        <v>0</v>
      </c>
      <c r="J3566" t="b">
        <v>1</v>
      </c>
      <c r="K3566" t="b">
        <v>0</v>
      </c>
      <c r="L3566" t="b">
        <v>0</v>
      </c>
      <c r="M3566" t="b">
        <v>1</v>
      </c>
      <c r="N3566">
        <f>IFERROR(INDEX('Company Hitlist'!$AA:$AA,MATCH(D3566,'Company Hitlist'!$A:$A,0)),)</f>
        <v/>
      </c>
      <c r="O3566">
        <f>IFERROR(INDEX('Company Hitlist'!$N:$N,MATCH(D3566,'Company Hitlist'!$A:$A,0)),)</f>
        <v/>
      </c>
      <c r="Q3566" t="inlineStr">
        <is>
          <t>todo</t>
        </is>
      </c>
    </row>
    <row r="3567">
      <c r="A3567" t="inlineStr">
        <is>
          <t>Joanne Strong</t>
        </is>
      </c>
      <c r="B3567" t="inlineStr">
        <is>
          <t>Attendee</t>
        </is>
      </c>
      <c r="C3567" t="inlineStr">
        <is>
          <t>Senior Manager</t>
        </is>
      </c>
      <c r="D3567" t="inlineStr">
        <is>
          <t>Deloitte</t>
        </is>
      </c>
      <c r="E3567" t="inlineStr">
        <is>
          <t>United States</t>
        </is>
      </c>
      <c r="H3567" t="n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>
        <f>IFERROR(INDEX('Company Hitlist'!$AA:$AA,MATCH(D3567,'Company Hitlist'!$A:$A,0)),)</f>
        <v/>
      </c>
      <c r="O3567">
        <f>IFERROR(INDEX('Company Hitlist'!$N:$N,MATCH(D3567,'Company Hitlist'!$A:$A,0)),)</f>
        <v/>
      </c>
      <c r="Q3567" t="inlineStr">
        <is>
          <t>todo</t>
        </is>
      </c>
    </row>
    <row r="3568">
      <c r="A3568" t="inlineStr">
        <is>
          <t>Wanda Johnson</t>
        </is>
      </c>
      <c r="B3568" t="inlineStr">
        <is>
          <t>Attendee</t>
        </is>
      </c>
      <c r="C3568" t="inlineStr">
        <is>
          <t>Technology Fellow</t>
        </is>
      </c>
      <c r="D3568" t="inlineStr">
        <is>
          <t>Deloitte</t>
        </is>
      </c>
      <c r="E3568" t="inlineStr">
        <is>
          <t>United States</t>
        </is>
      </c>
      <c r="H3568" t="n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>
        <f>IFERROR(INDEX('Company Hitlist'!$AA:$AA,MATCH(D3568,'Company Hitlist'!$A:$A,0)),)</f>
        <v/>
      </c>
      <c r="O3568">
        <f>IFERROR(INDEX('Company Hitlist'!$N:$N,MATCH(D3568,'Company Hitlist'!$A:$A,0)),)</f>
        <v/>
      </c>
      <c r="Q3568" t="inlineStr">
        <is>
          <t>todo</t>
        </is>
      </c>
    </row>
    <row r="3569">
      <c r="A3569" t="inlineStr">
        <is>
          <t>Bryan Jolliff</t>
        </is>
      </c>
      <c r="B3569" t="inlineStr">
        <is>
          <t>Sponsor</t>
        </is>
      </c>
      <c r="C3569" t="inlineStr">
        <is>
          <t>VP of Sales</t>
        </is>
      </c>
      <c r="D3569" t="inlineStr">
        <is>
          <t>Dependable Supply Chain Services</t>
        </is>
      </c>
      <c r="E3569" t="inlineStr">
        <is>
          <t>United States</t>
        </is>
      </c>
      <c r="H3569" t="n">
        <v>0</v>
      </c>
      <c r="I3569" t="b">
        <v>0</v>
      </c>
      <c r="J3569" t="b">
        <v>1</v>
      </c>
      <c r="K3569" t="b">
        <v>0</v>
      </c>
      <c r="L3569" t="b">
        <v>0</v>
      </c>
      <c r="M3569" t="b">
        <v>1</v>
      </c>
      <c r="N3569">
        <f>IFERROR(INDEX('Company Hitlist'!$AA:$AA,MATCH(D3569,'Company Hitlist'!$A:$A,0)),)</f>
        <v/>
      </c>
      <c r="O3569">
        <f>IFERROR(INDEX('Company Hitlist'!$N:$N,MATCH(D3569,'Company Hitlist'!$A:$A,0)),)</f>
        <v/>
      </c>
      <c r="Q3569" t="inlineStr">
        <is>
          <t>todo</t>
        </is>
      </c>
    </row>
    <row r="3570">
      <c r="A3570" t="inlineStr">
        <is>
          <t>Dede Aguayo</t>
        </is>
      </c>
      <c r="B3570" t="inlineStr">
        <is>
          <t>Sponsor</t>
        </is>
      </c>
      <c r="C3570" t="inlineStr">
        <is>
          <t>VP Strategic Sales</t>
        </is>
      </c>
      <c r="D3570" t="inlineStr">
        <is>
          <t>Dependable Supply Chain Services</t>
        </is>
      </c>
      <c r="E3570" t="inlineStr">
        <is>
          <t>United States</t>
        </is>
      </c>
      <c r="H3570" t="n">
        <v>0</v>
      </c>
      <c r="I3570" t="b">
        <v>0</v>
      </c>
      <c r="J3570" t="b">
        <v>1</v>
      </c>
      <c r="K3570" t="b">
        <v>0</v>
      </c>
      <c r="L3570" t="b">
        <v>0</v>
      </c>
      <c r="M3570" t="b">
        <v>1</v>
      </c>
      <c r="N3570">
        <f>IFERROR(INDEX('Company Hitlist'!$AA:$AA,MATCH(D3570,'Company Hitlist'!$A:$A,0)),)</f>
        <v/>
      </c>
      <c r="O3570">
        <f>IFERROR(INDEX('Company Hitlist'!$N:$N,MATCH(D3570,'Company Hitlist'!$A:$A,0)),)</f>
        <v/>
      </c>
      <c r="Q3570" t="inlineStr">
        <is>
          <t>todo</t>
        </is>
      </c>
    </row>
    <row r="3571">
      <c r="A3571" t="inlineStr">
        <is>
          <t>John Ricketts</t>
        </is>
      </c>
      <c r="B3571" t="inlineStr">
        <is>
          <t>Sponsor</t>
        </is>
      </c>
      <c r="C3571" t="inlineStr">
        <is>
          <t>VP Strategic Sales</t>
        </is>
      </c>
      <c r="D3571" t="inlineStr">
        <is>
          <t>Dependable Supply Chain Services</t>
        </is>
      </c>
      <c r="E3571" t="inlineStr">
        <is>
          <t>United States</t>
        </is>
      </c>
      <c r="H3571" t="n">
        <v>0</v>
      </c>
      <c r="I3571" t="b">
        <v>0</v>
      </c>
      <c r="J3571" t="b">
        <v>1</v>
      </c>
      <c r="K3571" t="b">
        <v>0</v>
      </c>
      <c r="L3571" t="b">
        <v>0</v>
      </c>
      <c r="M3571" t="b">
        <v>1</v>
      </c>
      <c r="N3571">
        <f>IFERROR(INDEX('Company Hitlist'!$AA:$AA,MATCH(D3571,'Company Hitlist'!$A:$A,0)),)</f>
        <v/>
      </c>
      <c r="O3571">
        <f>IFERROR(INDEX('Company Hitlist'!$N:$N,MATCH(D3571,'Company Hitlist'!$A:$A,0)),)</f>
        <v/>
      </c>
      <c r="Q3571" t="inlineStr">
        <is>
          <t>todo</t>
        </is>
      </c>
    </row>
    <row r="3572">
      <c r="A3572" t="inlineStr">
        <is>
          <t>Jack Margeson</t>
        </is>
      </c>
      <c r="B3572" t="inlineStr">
        <is>
          <t>Sponsor</t>
        </is>
      </c>
      <c r="C3572" t="inlineStr">
        <is>
          <t>Vice President, Alliances</t>
        </is>
      </c>
      <c r="D3572" t="inlineStr">
        <is>
          <t>Deposco</t>
        </is>
      </c>
      <c r="E3572" t="inlineStr">
        <is>
          <t>United States</t>
        </is>
      </c>
      <c r="F3572" t="inlineStr">
        <is>
          <t>Yes</t>
        </is>
      </c>
      <c r="G3572" t="inlineStr">
        <is>
          <t>$50M (2024 est.; projected $55M in 2025)</t>
        </is>
      </c>
      <c r="H3572" t="n">
        <v>0</v>
      </c>
      <c r="I3572" t="b">
        <v>0</v>
      </c>
      <c r="J3572" t="b">
        <v>1</v>
      </c>
      <c r="K3572" t="b">
        <v>0</v>
      </c>
      <c r="L3572" t="b">
        <v>0</v>
      </c>
      <c r="M3572" t="b">
        <v>1</v>
      </c>
      <c r="N3572">
        <f>IFERROR(INDEX('Company Hitlist'!$AA:$AA,MATCH(D3572,'Company Hitlist'!$A:$A,0)),)</f>
        <v/>
      </c>
      <c r="O3572">
        <f>IFERROR(INDEX('Company Hitlist'!$N:$N,MATCH(D3572,'Company Hitlist'!$A:$A,0)),)</f>
        <v/>
      </c>
      <c r="Q3572" t="inlineStr">
        <is>
          <t>todo</t>
        </is>
      </c>
    </row>
    <row r="3573">
      <c r="A3573" t="inlineStr">
        <is>
          <t>Justin Stone</t>
        </is>
      </c>
      <c r="B3573" t="inlineStr">
        <is>
          <t>Sponsor</t>
        </is>
      </c>
      <c r="C3573" t="inlineStr">
        <is>
          <t>SVP, Community &amp; Growth</t>
        </is>
      </c>
      <c r="D3573" t="inlineStr">
        <is>
          <t>Deposco</t>
        </is>
      </c>
      <c r="E3573" t="inlineStr">
        <is>
          <t>United States</t>
        </is>
      </c>
      <c r="F3573" t="inlineStr">
        <is>
          <t>Yes</t>
        </is>
      </c>
      <c r="G3573" t="inlineStr">
        <is>
          <t>$50M (2024 est.; projected $55M in 2025)</t>
        </is>
      </c>
      <c r="H3573" t="n">
        <v>0</v>
      </c>
      <c r="I3573" t="b">
        <v>0</v>
      </c>
      <c r="J3573" t="b">
        <v>1</v>
      </c>
      <c r="K3573" t="b">
        <v>0</v>
      </c>
      <c r="L3573" t="b">
        <v>0</v>
      </c>
      <c r="M3573" t="b">
        <v>1</v>
      </c>
      <c r="N3573">
        <f>IFERROR(INDEX('Company Hitlist'!$AA:$AA,MATCH(D3573,'Company Hitlist'!$A:$A,0)),)</f>
        <v/>
      </c>
      <c r="O3573">
        <f>IFERROR(INDEX('Company Hitlist'!$N:$N,MATCH(D3573,'Company Hitlist'!$A:$A,0)),)</f>
        <v/>
      </c>
      <c r="Q3573" t="inlineStr">
        <is>
          <t>todo</t>
        </is>
      </c>
    </row>
    <row r="3574">
      <c r="A3574" t="inlineStr">
        <is>
          <t>Tom Ward</t>
        </is>
      </c>
      <c r="B3574" t="inlineStr">
        <is>
          <t>Sponsor</t>
        </is>
      </c>
      <c r="C3574" t="inlineStr">
        <is>
          <t>SVP, Global Sales</t>
        </is>
      </c>
      <c r="D3574" t="inlineStr">
        <is>
          <t>Deposco</t>
        </is>
      </c>
      <c r="E3574" t="inlineStr">
        <is>
          <t>United States</t>
        </is>
      </c>
      <c r="H3574" t="n">
        <v>0</v>
      </c>
      <c r="I3574" t="b">
        <v>0</v>
      </c>
      <c r="J3574" t="b">
        <v>1</v>
      </c>
      <c r="K3574" t="b">
        <v>0</v>
      </c>
      <c r="L3574" t="b">
        <v>0</v>
      </c>
      <c r="M3574" t="b">
        <v>1</v>
      </c>
      <c r="N3574">
        <f>IFERROR(INDEX('Company Hitlist'!$AA:$AA,MATCH(D3574,'Company Hitlist'!$A:$A,0)),)</f>
        <v/>
      </c>
      <c r="O3574">
        <f>IFERROR(INDEX('Company Hitlist'!$N:$N,MATCH(D3574,'Company Hitlist'!$A:$A,0)),)</f>
        <v/>
      </c>
      <c r="Q3574" t="inlineStr">
        <is>
          <t>todo</t>
        </is>
      </c>
    </row>
    <row r="3575">
      <c r="A3575" t="inlineStr">
        <is>
          <t>Alexa Brock</t>
        </is>
      </c>
      <c r="B3575" t="inlineStr">
        <is>
          <t>Attendee</t>
        </is>
      </c>
      <c r="C3575" t="inlineStr">
        <is>
          <t>Client Development Representative</t>
        </is>
      </c>
      <c r="D3575" t="inlineStr">
        <is>
          <t>Designed Conveyor Systems (DCS)</t>
        </is>
      </c>
      <c r="E3575" t="inlineStr">
        <is>
          <t>United States</t>
        </is>
      </c>
      <c r="F3575" t="inlineStr">
        <is>
          <t>Yes</t>
        </is>
      </c>
      <c r="H3575" t="n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>
        <f>IFERROR(INDEX('Company Hitlist'!$AA:$AA,MATCH(D3575,'Company Hitlist'!$A:$A,0)),)</f>
        <v/>
      </c>
      <c r="O3575">
        <f>IFERROR(INDEX('Company Hitlist'!$N:$N,MATCH(D3575,'Company Hitlist'!$A:$A,0)),)</f>
        <v/>
      </c>
      <c r="Q3575" t="inlineStr">
        <is>
          <t>todo</t>
        </is>
      </c>
    </row>
    <row r="3576">
      <c r="A3576" t="inlineStr">
        <is>
          <t>Juan Trinidad</t>
        </is>
      </c>
      <c r="B3576" t="inlineStr">
        <is>
          <t>Sponsor</t>
        </is>
      </c>
      <c r="C3576" t="inlineStr">
        <is>
          <t>VP of Sales and Marketing</t>
        </is>
      </c>
      <c r="D3576" t="inlineStr">
        <is>
          <t>Digital Logistics and Trade LLC. DBA: DIGILOG</t>
        </is>
      </c>
      <c r="F3576" t="inlineStr">
        <is>
          <t>Yes</t>
        </is>
      </c>
      <c r="H3576" t="n">
        <v>0</v>
      </c>
      <c r="I3576" t="b">
        <v>0</v>
      </c>
      <c r="J3576" t="b">
        <v>1</v>
      </c>
      <c r="K3576" t="b">
        <v>0</v>
      </c>
      <c r="L3576" t="b">
        <v>0</v>
      </c>
      <c r="M3576" t="b">
        <v>1</v>
      </c>
      <c r="N3576">
        <f>IFERROR(INDEX('Company Hitlist'!$AA:$AA,MATCH(D3576,'Company Hitlist'!$A:$A,0)),)</f>
        <v/>
      </c>
      <c r="O3576">
        <f>IFERROR(INDEX('Company Hitlist'!$N:$N,MATCH(D3576,'Company Hitlist'!$A:$A,0)),)</f>
        <v/>
      </c>
      <c r="Q3576" t="inlineStr">
        <is>
          <t>todo</t>
        </is>
      </c>
    </row>
    <row r="3577">
      <c r="A3577" t="inlineStr">
        <is>
          <t>Merisa Lee Gimpel</t>
        </is>
      </c>
      <c r="B3577" t="inlineStr">
        <is>
          <t>Attendee</t>
        </is>
      </c>
      <c r="C3577" t="inlineStr">
        <is>
          <t>Founder &amp; MD</t>
        </is>
      </c>
      <c r="D3577" t="inlineStr">
        <is>
          <t>Digital Trade Works</t>
        </is>
      </c>
      <c r="E3577" t="inlineStr">
        <is>
          <t>United Kingdom</t>
        </is>
      </c>
      <c r="F3577" t="inlineStr">
        <is>
          <t>Yes</t>
        </is>
      </c>
      <c r="H3577" t="n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>
        <f>IFERROR(INDEX('Company Hitlist'!$AA:$AA,MATCH(D3577,'Company Hitlist'!$A:$A,0)),)</f>
        <v/>
      </c>
      <c r="O3577">
        <f>IFERROR(INDEX('Company Hitlist'!$N:$N,MATCH(D3577,'Company Hitlist'!$A:$A,0)),)</f>
        <v/>
      </c>
      <c r="Q3577" t="inlineStr">
        <is>
          <t>todo</t>
        </is>
      </c>
    </row>
    <row r="3578">
      <c r="A3578" t="inlineStr">
        <is>
          <t>Jacqueline Epifanie</t>
        </is>
      </c>
      <c r="B3578" t="inlineStr">
        <is>
          <t>Sponsor</t>
        </is>
      </c>
      <c r="C3578" t="inlineStr">
        <is>
          <t>Chief Marketing Officer</t>
        </is>
      </c>
      <c r="D3578" t="inlineStr">
        <is>
          <t>Dispatch Science</t>
        </is>
      </c>
      <c r="F3578" t="inlineStr">
        <is>
          <t>Yes</t>
        </is>
      </c>
      <c r="H3578" t="n">
        <v>0</v>
      </c>
      <c r="I3578" t="b">
        <v>0</v>
      </c>
      <c r="J3578" t="b">
        <v>1</v>
      </c>
      <c r="K3578" t="b">
        <v>0</v>
      </c>
      <c r="L3578" t="b">
        <v>0</v>
      </c>
      <c r="M3578" t="b">
        <v>1</v>
      </c>
      <c r="N3578">
        <f>IFERROR(INDEX('Company Hitlist'!$AA:$AA,MATCH(D3578,'Company Hitlist'!$A:$A,0)),)</f>
        <v/>
      </c>
      <c r="O3578">
        <f>IFERROR(INDEX('Company Hitlist'!$N:$N,MATCH(D3578,'Company Hitlist'!$A:$A,0)),)</f>
        <v/>
      </c>
      <c r="Q3578" t="inlineStr">
        <is>
          <t>todo</t>
        </is>
      </c>
    </row>
    <row r="3579">
      <c r="A3579" t="inlineStr">
        <is>
          <t>Rick Villarreal</t>
        </is>
      </c>
      <c r="B3579" t="inlineStr">
        <is>
          <t>Attendee</t>
        </is>
      </c>
      <c r="C3579" t="inlineStr">
        <is>
          <t>Sr. Director of Consumer Delivery</t>
        </is>
      </c>
      <c r="D3579" t="inlineStr">
        <is>
          <t>DispatchTrack</t>
        </is>
      </c>
      <c r="F3579" t="inlineStr">
        <is>
          <t>Yes</t>
        </is>
      </c>
      <c r="G3579" t="inlineStr">
        <is>
          <t>$8.5M (est. 2024)</t>
        </is>
      </c>
      <c r="H3579" t="n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>
        <f>IFERROR(INDEX('Company Hitlist'!$AA:$AA,MATCH(D3579,'Company Hitlist'!$A:$A,0)),)</f>
        <v/>
      </c>
      <c r="O3579">
        <f>IFERROR(INDEX('Company Hitlist'!$N:$N,MATCH(D3579,'Company Hitlist'!$A:$A,0)),)</f>
        <v/>
      </c>
      <c r="Q3579" t="inlineStr">
        <is>
          <t>todo</t>
        </is>
      </c>
    </row>
    <row r="3580">
      <c r="A3580" t="inlineStr">
        <is>
          <t>Craig Fisher</t>
        </is>
      </c>
      <c r="B3580" t="inlineStr">
        <is>
          <t>Sponsor</t>
        </is>
      </c>
      <c r="C3580" t="inlineStr">
        <is>
          <t>VP of Sales</t>
        </is>
      </c>
      <c r="D3580" t="inlineStr">
        <is>
          <t>DispatchTrack</t>
        </is>
      </c>
      <c r="E3580" t="inlineStr">
        <is>
          <t>United States</t>
        </is>
      </c>
      <c r="H3580" t="n">
        <v>0</v>
      </c>
      <c r="I3580" t="b">
        <v>0</v>
      </c>
      <c r="J3580" t="b">
        <v>1</v>
      </c>
      <c r="K3580" t="b">
        <v>0</v>
      </c>
      <c r="L3580" t="b">
        <v>0</v>
      </c>
      <c r="M3580" t="b">
        <v>1</v>
      </c>
      <c r="N3580">
        <f>IFERROR(INDEX('Company Hitlist'!$AA:$AA,MATCH(D3580,'Company Hitlist'!$A:$A,0)),)</f>
        <v/>
      </c>
      <c r="O3580">
        <f>IFERROR(INDEX('Company Hitlist'!$N:$N,MATCH(D3580,'Company Hitlist'!$A:$A,0)),)</f>
        <v/>
      </c>
      <c r="Q3580" t="inlineStr">
        <is>
          <t>todo</t>
        </is>
      </c>
    </row>
    <row r="3581">
      <c r="A3581" t="inlineStr">
        <is>
          <t>Alejandro Cienfuegos</t>
        </is>
      </c>
      <c r="B3581" t="inlineStr">
        <is>
          <t>Attendee</t>
        </is>
      </c>
      <c r="C3581" t="inlineStr">
        <is>
          <t>Replenishment Director</t>
        </is>
      </c>
      <c r="D3581" t="inlineStr">
        <is>
          <t>Dollar City</t>
        </is>
      </c>
      <c r="F3581" t="inlineStr">
        <is>
          <t>Yes</t>
        </is>
      </c>
      <c r="G3581" t="inlineStr">
        <is>
          <t>$1B (2024 est.; projected $1.1B in 2025)</t>
        </is>
      </c>
      <c r="H3581" t="n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>
        <f>IFERROR(INDEX('Company Hitlist'!$AA:$AA,MATCH(D3581,'Company Hitlist'!$A:$A,0)),)</f>
        <v/>
      </c>
      <c r="O3581">
        <f>IFERROR(INDEX('Company Hitlist'!$N:$N,MATCH(D3581,'Company Hitlist'!$A:$A,0)),)</f>
        <v/>
      </c>
      <c r="Q3581" t="inlineStr">
        <is>
          <t>todo</t>
        </is>
      </c>
    </row>
    <row r="3582">
      <c r="A3582" t="inlineStr">
        <is>
          <t>Brian Mitchell</t>
        </is>
      </c>
      <c r="B3582" t="inlineStr">
        <is>
          <t>Attendee</t>
        </is>
      </c>
      <c r="C3582" t="inlineStr">
        <is>
          <t>Sr. Director</t>
        </is>
      </c>
      <c r="D3582" t="inlineStr">
        <is>
          <t>Dollar General</t>
        </is>
      </c>
      <c r="E3582" t="inlineStr">
        <is>
          <t>United States</t>
        </is>
      </c>
      <c r="F3582" t="inlineStr">
        <is>
          <t>Yes</t>
        </is>
      </c>
      <c r="G3582" t="inlineStr">
        <is>
          <t>$38.7B (2024; projected $40B in 2025)</t>
        </is>
      </c>
      <c r="H3582" t="n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>
        <f>IFERROR(INDEX('Company Hitlist'!$AA:$AA,MATCH(D3582,'Company Hitlist'!$A:$A,0)),)</f>
        <v/>
      </c>
      <c r="O3582">
        <f>IFERROR(INDEX('Company Hitlist'!$N:$N,MATCH(D3582,'Company Hitlist'!$A:$A,0)),)</f>
        <v/>
      </c>
      <c r="Q3582" t="inlineStr">
        <is>
          <t>todo</t>
        </is>
      </c>
    </row>
    <row r="3583">
      <c r="A3583" t="inlineStr">
        <is>
          <t>Luke LaBlond</t>
        </is>
      </c>
      <c r="B3583" t="inlineStr">
        <is>
          <t>Attendee</t>
        </is>
      </c>
      <c r="C3583" t="inlineStr">
        <is>
          <t>Parcel Partnerships</t>
        </is>
      </c>
      <c r="D3583" t="inlineStr">
        <is>
          <t>DoorDash</t>
        </is>
      </c>
      <c r="E3583" t="inlineStr">
        <is>
          <t>United States</t>
        </is>
      </c>
      <c r="F3583" t="inlineStr">
        <is>
          <t>Yes</t>
        </is>
      </c>
      <c r="H3583" t="n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>
        <f>IFERROR(INDEX('Company Hitlist'!$AA:$AA,MATCH(D3583,'Company Hitlist'!$A:$A,0)),)</f>
        <v/>
      </c>
      <c r="O3583">
        <f>IFERROR(INDEX('Company Hitlist'!$N:$N,MATCH(D3583,'Company Hitlist'!$A:$A,0)),)</f>
        <v/>
      </c>
      <c r="Q3583" t="inlineStr">
        <is>
          <t>todo</t>
        </is>
      </c>
    </row>
    <row r="3584">
      <c r="A3584" t="inlineStr">
        <is>
          <t>Dan Fleishman</t>
        </is>
      </c>
      <c r="B3584" t="inlineStr">
        <is>
          <t>Attendee</t>
        </is>
      </c>
      <c r="C3584" t="inlineStr">
        <is>
          <t>Technical Product Manager</t>
        </is>
      </c>
      <c r="D3584" t="inlineStr">
        <is>
          <t>Dot Ai Corp</t>
        </is>
      </c>
      <c r="E3584" t="inlineStr">
        <is>
          <t>United States</t>
        </is>
      </c>
      <c r="H3584" t="n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>
        <f>IFERROR(INDEX('Company Hitlist'!$AA:$AA,MATCH(D3584,'Company Hitlist'!$A:$A,0)),)</f>
        <v/>
      </c>
      <c r="O3584">
        <f>IFERROR(INDEX('Company Hitlist'!$N:$N,MATCH(D3584,'Company Hitlist'!$A:$A,0)),)</f>
        <v/>
      </c>
      <c r="Q3584" t="inlineStr">
        <is>
          <t>todo</t>
        </is>
      </c>
    </row>
    <row r="3585">
      <c r="A3585" t="inlineStr">
        <is>
          <t>Walter Pickel</t>
        </is>
      </c>
      <c r="B3585" t="inlineStr">
        <is>
          <t>Attendee</t>
        </is>
      </c>
      <c r="C3585" t="inlineStr">
        <is>
          <t>Sr Product Manager</t>
        </is>
      </c>
      <c r="D3585" t="inlineStr">
        <is>
          <t>Dot Ai Corp</t>
        </is>
      </c>
      <c r="E3585" t="inlineStr">
        <is>
          <t>United States</t>
        </is>
      </c>
      <c r="H3585" t="n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>
        <f>IFERROR(INDEX('Company Hitlist'!$AA:$AA,MATCH(D3585,'Company Hitlist'!$A:$A,0)),)</f>
        <v/>
      </c>
      <c r="O3585">
        <f>IFERROR(INDEX('Company Hitlist'!$N:$N,MATCH(D3585,'Company Hitlist'!$A:$A,0)),)</f>
        <v/>
      </c>
      <c r="Q3585" t="inlineStr">
        <is>
          <t>todo</t>
        </is>
      </c>
    </row>
    <row r="3586">
      <c r="A3586" t="inlineStr">
        <is>
          <t>Brad Coons</t>
        </is>
      </c>
      <c r="B3586" t="inlineStr">
        <is>
          <t>Attendee</t>
        </is>
      </c>
      <c r="C3586" t="inlineStr">
        <is>
          <t>Sr Director of Enterprise Architecture</t>
        </is>
      </c>
      <c r="D3586" t="inlineStr">
        <is>
          <t>Dot Foods</t>
        </is>
      </c>
      <c r="F3586" t="inlineStr">
        <is>
          <t>Yes</t>
        </is>
      </c>
      <c r="H3586" t="n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>
        <f>IFERROR(INDEX('Company Hitlist'!$AA:$AA,MATCH(D3586,'Company Hitlist'!$A:$A,0)),)</f>
        <v/>
      </c>
      <c r="O3586">
        <f>IFERROR(INDEX('Company Hitlist'!$N:$N,MATCH(D3586,'Company Hitlist'!$A:$A,0)),)</f>
        <v/>
      </c>
      <c r="Q3586" t="inlineStr">
        <is>
          <t>todo</t>
        </is>
      </c>
    </row>
    <row r="3587">
      <c r="A3587" t="inlineStr">
        <is>
          <t>Jeff Barry</t>
        </is>
      </c>
      <c r="B3587" t="inlineStr">
        <is>
          <t>Attendee</t>
        </is>
      </c>
      <c r="C3587" t="inlineStr">
        <is>
          <t>Director, Innovation</t>
        </is>
      </c>
      <c r="D3587" t="inlineStr">
        <is>
          <t>Dot Foods</t>
        </is>
      </c>
      <c r="F3587" t="inlineStr">
        <is>
          <t>Yes</t>
        </is>
      </c>
      <c r="H3587" t="n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>
        <f>IFERROR(INDEX('Company Hitlist'!$AA:$AA,MATCH(D3587,'Company Hitlist'!$A:$A,0)),)</f>
        <v/>
      </c>
      <c r="O3587">
        <f>IFERROR(INDEX('Company Hitlist'!$N:$N,MATCH(D3587,'Company Hitlist'!$A:$A,0)),)</f>
        <v/>
      </c>
      <c r="Q3587" t="inlineStr">
        <is>
          <t>todo</t>
        </is>
      </c>
    </row>
    <row r="3588">
      <c r="A3588" t="inlineStr">
        <is>
          <t>Troy Schenk</t>
        </is>
      </c>
      <c r="B3588" t="inlineStr">
        <is>
          <t>Attendee</t>
        </is>
      </c>
      <c r="C3588" t="inlineStr">
        <is>
          <t>Director of Automation</t>
        </is>
      </c>
      <c r="D3588" t="inlineStr">
        <is>
          <t>Dot Foods</t>
        </is>
      </c>
      <c r="F3588" t="inlineStr">
        <is>
          <t>Yes</t>
        </is>
      </c>
      <c r="H3588" t="n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>
        <f>IFERROR(INDEX('Company Hitlist'!$AA:$AA,MATCH(D3588,'Company Hitlist'!$A:$A,0)),)</f>
        <v/>
      </c>
      <c r="O3588">
        <f>IFERROR(INDEX('Company Hitlist'!$N:$N,MATCH(D3588,'Company Hitlist'!$A:$A,0)),)</f>
        <v/>
      </c>
      <c r="Q3588" t="inlineStr">
        <is>
          <t>todo</t>
        </is>
      </c>
    </row>
    <row r="3589">
      <c r="A3589" t="inlineStr">
        <is>
          <t>Mike Kim</t>
        </is>
      </c>
      <c r="B3589" t="inlineStr">
        <is>
          <t>Attendee</t>
        </is>
      </c>
      <c r="C3589" t="inlineStr">
        <is>
          <t>ERP &amp; Systems Manager</t>
        </is>
      </c>
      <c r="D3589" t="inlineStr">
        <is>
          <t>Dr. Squatch</t>
        </is>
      </c>
      <c r="E3589" t="inlineStr">
        <is>
          <t>United States</t>
        </is>
      </c>
      <c r="H3589" t="n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>
        <f>IFERROR(INDEX('Company Hitlist'!$AA:$AA,MATCH(D3589,'Company Hitlist'!$A:$A,0)),)</f>
        <v/>
      </c>
      <c r="O3589">
        <f>IFERROR(INDEX('Company Hitlist'!$N:$N,MATCH(D3589,'Company Hitlist'!$A:$A,0)),)</f>
        <v/>
      </c>
      <c r="Q3589" t="inlineStr">
        <is>
          <t>todo</t>
        </is>
      </c>
    </row>
    <row r="3590">
      <c r="A3590" t="inlineStr">
        <is>
          <t>Olivier Thellend</t>
        </is>
      </c>
      <c r="B3590" t="inlineStr">
        <is>
          <t>Sponsor</t>
        </is>
      </c>
      <c r="C3590" t="inlineStr">
        <is>
          <t>Vice President, Marketing</t>
        </is>
      </c>
      <c r="D3590" t="inlineStr">
        <is>
          <t>Dragonfly</t>
        </is>
      </c>
      <c r="E3590" t="inlineStr">
        <is>
          <t>Canada</t>
        </is>
      </c>
      <c r="F3590" t="inlineStr">
        <is>
          <t>Yes</t>
        </is>
      </c>
      <c r="H3590" t="n">
        <v>0</v>
      </c>
      <c r="I3590" t="b">
        <v>0</v>
      </c>
      <c r="J3590" t="b">
        <v>1</v>
      </c>
      <c r="K3590" t="b">
        <v>0</v>
      </c>
      <c r="L3590" t="b">
        <v>0</v>
      </c>
      <c r="M3590" t="b">
        <v>1</v>
      </c>
      <c r="N3590">
        <f>IFERROR(INDEX('Company Hitlist'!$AA:$AA,MATCH(D3590,'Company Hitlist'!$A:$A,0)),)</f>
        <v/>
      </c>
      <c r="O3590">
        <f>IFERROR(INDEX('Company Hitlist'!$N:$N,MATCH(D3590,'Company Hitlist'!$A:$A,0)),)</f>
        <v/>
      </c>
      <c r="Q3590" t="inlineStr">
        <is>
          <t>todo</t>
        </is>
      </c>
    </row>
    <row r="3591">
      <c r="A3591" t="inlineStr">
        <is>
          <t>Pooja Nagpal</t>
        </is>
      </c>
      <c r="B3591" t="inlineStr">
        <is>
          <t>Sponsor</t>
        </is>
      </c>
      <c r="C3591" t="inlineStr">
        <is>
          <t>Chief Revenue and Product Officer</t>
        </is>
      </c>
      <c r="D3591" t="inlineStr">
        <is>
          <t>Dragonfly</t>
        </is>
      </c>
      <c r="E3591" t="inlineStr">
        <is>
          <t>Canada</t>
        </is>
      </c>
      <c r="F3591" t="inlineStr">
        <is>
          <t>Yes</t>
        </is>
      </c>
      <c r="H3591" t="n">
        <v>0</v>
      </c>
      <c r="I3591" t="b">
        <v>0</v>
      </c>
      <c r="J3591" t="b">
        <v>1</v>
      </c>
      <c r="K3591" t="b">
        <v>0</v>
      </c>
      <c r="L3591" t="b">
        <v>0</v>
      </c>
      <c r="M3591" t="b">
        <v>1</v>
      </c>
      <c r="N3591">
        <f>IFERROR(INDEX('Company Hitlist'!$AA:$AA,MATCH(D3591,'Company Hitlist'!$A:$A,0)),)</f>
        <v/>
      </c>
      <c r="O3591">
        <f>IFERROR(INDEX('Company Hitlist'!$N:$N,MATCH(D3591,'Company Hitlist'!$A:$A,0)),)</f>
        <v/>
      </c>
      <c r="Q3591" t="inlineStr">
        <is>
          <t>todo</t>
        </is>
      </c>
    </row>
    <row r="3592">
      <c r="A3592" t="inlineStr">
        <is>
          <t>Jean-Daniel Gervais</t>
        </is>
      </c>
      <c r="B3592" t="inlineStr">
        <is>
          <t>Sponsor</t>
        </is>
      </c>
      <c r="C3592" t="inlineStr">
        <is>
          <t>Vice President, Global Business Development and Client Management</t>
        </is>
      </c>
      <c r="D3592" t="inlineStr">
        <is>
          <t>Dragonfly</t>
        </is>
      </c>
      <c r="H3592" t="n">
        <v>0</v>
      </c>
      <c r="I3592" t="b">
        <v>0</v>
      </c>
      <c r="J3592" t="b">
        <v>1</v>
      </c>
      <c r="K3592" t="b">
        <v>0</v>
      </c>
      <c r="L3592" t="b">
        <v>0</v>
      </c>
      <c r="M3592" t="b">
        <v>1</v>
      </c>
      <c r="N3592">
        <f>IFERROR(INDEX('Company Hitlist'!$AA:$AA,MATCH(D3592,'Company Hitlist'!$A:$A,0)),)</f>
        <v/>
      </c>
      <c r="O3592">
        <f>IFERROR(INDEX('Company Hitlist'!$N:$N,MATCH(D3592,'Company Hitlist'!$A:$A,0)),)</f>
        <v/>
      </c>
      <c r="Q3592" t="inlineStr">
        <is>
          <t>todo</t>
        </is>
      </c>
    </row>
    <row r="3593">
      <c r="A3593" t="inlineStr">
        <is>
          <t>Lanze Diomampo</t>
        </is>
      </c>
      <c r="B3593" t="inlineStr">
        <is>
          <t>Attendee</t>
        </is>
      </c>
      <c r="C3593" t="inlineStr">
        <is>
          <t>Export Manager</t>
        </is>
      </c>
      <c r="D3593" t="inlineStr">
        <is>
          <t>Dura Chemical</t>
        </is>
      </c>
      <c r="H3593" t="n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>
        <f>IFERROR(INDEX('Company Hitlist'!$AA:$AA,MATCH(D3593,'Company Hitlist'!$A:$A,0)),)</f>
        <v/>
      </c>
      <c r="O3593">
        <f>IFERROR(INDEX('Company Hitlist'!$N:$N,MATCH(D3593,'Company Hitlist'!$A:$A,0)),)</f>
        <v/>
      </c>
      <c r="Q3593" t="inlineStr">
        <is>
          <t>todo</t>
        </is>
      </c>
    </row>
    <row r="3594">
      <c r="A3594" t="inlineStr">
        <is>
          <t>Mandy Dwight</t>
        </is>
      </c>
      <c r="B3594" t="inlineStr">
        <is>
          <t>Attendee</t>
        </is>
      </c>
      <c r="C3594" t="inlineStr">
        <is>
          <t>Founder</t>
        </is>
      </c>
      <c r="D3594" t="inlineStr">
        <is>
          <t>Dwight &amp; Company</t>
        </is>
      </c>
      <c r="E3594" t="inlineStr">
        <is>
          <t>United States</t>
        </is>
      </c>
      <c r="H3594" t="n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>
        <f>IFERROR(INDEX('Company Hitlist'!$AA:$AA,MATCH(D3594,'Company Hitlist'!$A:$A,0)),)</f>
        <v/>
      </c>
      <c r="O3594">
        <f>IFERROR(INDEX('Company Hitlist'!$N:$N,MATCH(D3594,'Company Hitlist'!$A:$A,0)),)</f>
        <v/>
      </c>
      <c r="Q3594" t="inlineStr">
        <is>
          <t>todo</t>
        </is>
      </c>
    </row>
    <row r="3595">
      <c r="A3595" t="inlineStr">
        <is>
          <t>Maria John</t>
        </is>
      </c>
      <c r="B3595" t="inlineStr">
        <is>
          <t>Attendee</t>
        </is>
      </c>
      <c r="C3595" t="inlineStr">
        <is>
          <t>Director of International Logisitcs</t>
        </is>
      </c>
      <c r="D3595" t="inlineStr">
        <is>
          <t>E&amp;S International</t>
        </is>
      </c>
      <c r="E3595" t="inlineStr">
        <is>
          <t>United States</t>
        </is>
      </c>
      <c r="H3595" t="n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>
        <f>IFERROR(INDEX('Company Hitlist'!$AA:$AA,MATCH(D3595,'Company Hitlist'!$A:$A,0)),)</f>
        <v/>
      </c>
      <c r="O3595">
        <f>IFERROR(INDEX('Company Hitlist'!$N:$N,MATCH(D3595,'Company Hitlist'!$A:$A,0)),)</f>
        <v/>
      </c>
      <c r="Q3595" t="inlineStr">
        <is>
          <t>todo</t>
        </is>
      </c>
    </row>
    <row r="3596">
      <c r="A3596" t="inlineStr">
        <is>
          <t>Stephen Murphy</t>
        </is>
      </c>
      <c r="B3596" t="inlineStr">
        <is>
          <t>Attendee</t>
        </is>
      </c>
      <c r="C3596" t="inlineStr">
        <is>
          <t>KA Director</t>
        </is>
      </c>
      <c r="D3596" t="inlineStr">
        <is>
          <t>ECMS Express Inc</t>
        </is>
      </c>
      <c r="E3596" t="inlineStr">
        <is>
          <t>United States</t>
        </is>
      </c>
      <c r="F3596" t="inlineStr">
        <is>
          <t>Yes</t>
        </is>
      </c>
      <c r="H3596" t="n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>
        <f>IFERROR(INDEX('Company Hitlist'!$AA:$AA,MATCH(D3596,'Company Hitlist'!$A:$A,0)),)</f>
        <v/>
      </c>
      <c r="O3596">
        <f>IFERROR(INDEX('Company Hitlist'!$N:$N,MATCH(D3596,'Company Hitlist'!$A:$A,0)),)</f>
        <v/>
      </c>
      <c r="Q3596" t="inlineStr">
        <is>
          <t>todo</t>
        </is>
      </c>
    </row>
    <row r="3597">
      <c r="A3597" t="inlineStr">
        <is>
          <t>Andrew Hanks</t>
        </is>
      </c>
      <c r="B3597" t="inlineStr">
        <is>
          <t>Attendee</t>
        </is>
      </c>
      <c r="C3597" t="inlineStr">
        <is>
          <t>Senior Dir. Business Applications</t>
        </is>
      </c>
      <c r="D3597" t="inlineStr">
        <is>
          <t>EFL Global</t>
        </is>
      </c>
      <c r="E3597" t="inlineStr">
        <is>
          <t>United States</t>
        </is>
      </c>
      <c r="F3597" t="inlineStr">
        <is>
          <t>Yes</t>
        </is>
      </c>
      <c r="H3597" t="n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>
        <f>IFERROR(INDEX('Company Hitlist'!$AA:$AA,MATCH(D3597,'Company Hitlist'!$A:$A,0)),)</f>
        <v/>
      </c>
      <c r="O3597">
        <f>IFERROR(INDEX('Company Hitlist'!$N:$N,MATCH(D3597,'Company Hitlist'!$A:$A,0)),)</f>
        <v/>
      </c>
      <c r="Q3597" t="inlineStr">
        <is>
          <t>todo</t>
        </is>
      </c>
    </row>
    <row r="3598">
      <c r="A3598" t="inlineStr">
        <is>
          <t>Vince Zaleski</t>
        </is>
      </c>
      <c r="B3598" t="inlineStr">
        <is>
          <t>Sponsor</t>
        </is>
      </c>
      <c r="C3598" t="inlineStr">
        <is>
          <t>Senior Vice President, Business Development</t>
        </is>
      </c>
      <c r="D3598" t="inlineStr">
        <is>
          <t>EFL Global</t>
        </is>
      </c>
      <c r="E3598" t="inlineStr">
        <is>
          <t>United States</t>
        </is>
      </c>
      <c r="H3598" t="n">
        <v>0</v>
      </c>
      <c r="I3598" t="b">
        <v>0</v>
      </c>
      <c r="J3598" t="b">
        <v>1</v>
      </c>
      <c r="K3598" t="b">
        <v>0</v>
      </c>
      <c r="L3598" t="b">
        <v>0</v>
      </c>
      <c r="M3598" t="b">
        <v>1</v>
      </c>
      <c r="N3598">
        <f>IFERROR(INDEX('Company Hitlist'!$AA:$AA,MATCH(D3598,'Company Hitlist'!$A:$A,0)),)</f>
        <v/>
      </c>
      <c r="O3598">
        <f>IFERROR(INDEX('Company Hitlist'!$N:$N,MATCH(D3598,'Company Hitlist'!$A:$A,0)),)</f>
        <v/>
      </c>
      <c r="Q3598" t="inlineStr">
        <is>
          <t>todo</t>
        </is>
      </c>
    </row>
    <row r="3599">
      <c r="A3599" t="inlineStr">
        <is>
          <t>Martin Schweizer</t>
        </is>
      </c>
      <c r="B3599" t="inlineStr">
        <is>
          <t>Attendee</t>
        </is>
      </c>
      <c r="C3599" t="inlineStr">
        <is>
          <t>Director Partnermanagement &amp; Strategic Projects</t>
        </is>
      </c>
      <c r="D3599" t="inlineStr">
        <is>
          <t>EURO-LOG AG</t>
        </is>
      </c>
      <c r="E3599" t="inlineStr">
        <is>
          <t>Germany</t>
        </is>
      </c>
      <c r="F3599" t="inlineStr">
        <is>
          <t>Yes</t>
        </is>
      </c>
      <c r="H3599" t="n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>
        <f>IFERROR(INDEX('Company Hitlist'!$AA:$AA,MATCH(D3599,'Company Hitlist'!$A:$A,0)),)</f>
        <v/>
      </c>
      <c r="O3599">
        <f>IFERROR(INDEX('Company Hitlist'!$N:$N,MATCH(D3599,'Company Hitlist'!$A:$A,0)),)</f>
        <v/>
      </c>
      <c r="Q3599" t="inlineStr">
        <is>
          <t>todo</t>
        </is>
      </c>
    </row>
    <row r="3600">
      <c r="A3600" t="inlineStr">
        <is>
          <t>Charles Gracey</t>
        </is>
      </c>
      <c r="B3600" t="inlineStr">
        <is>
          <t>Attendee</t>
        </is>
      </c>
      <c r="C3600" t="inlineStr">
        <is>
          <t>Radio Host | SiriusXM</t>
        </is>
      </c>
      <c r="D3600" t="inlineStr">
        <is>
          <t>EVP | Broker-Carrier Summit</t>
        </is>
      </c>
      <c r="E3600" t="inlineStr">
        <is>
          <t>United States</t>
        </is>
      </c>
      <c r="H3600" t="n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>
        <f>IFERROR(INDEX('Company Hitlist'!$AA:$AA,MATCH(D3600,'Company Hitlist'!$A:$A,0)),)</f>
        <v/>
      </c>
      <c r="O3600">
        <f>IFERROR(INDEX('Company Hitlist'!$N:$N,MATCH(D3600,'Company Hitlist'!$A:$A,0)),)</f>
        <v/>
      </c>
      <c r="Q3600" t="inlineStr">
        <is>
          <t>todo</t>
        </is>
      </c>
    </row>
    <row r="3601">
      <c r="A3601" t="inlineStr">
        <is>
          <t>Jake Hanson</t>
        </is>
      </c>
      <c r="B3601" t="inlineStr">
        <is>
          <t>Attendee</t>
        </is>
      </c>
      <c r="C3601" t="inlineStr">
        <is>
          <t>Sr Product Director</t>
        </is>
      </c>
      <c r="D3601" t="inlineStr">
        <is>
          <t>Echo</t>
        </is>
      </c>
      <c r="E3601" t="inlineStr">
        <is>
          <t>United States</t>
        </is>
      </c>
      <c r="F3601" t="inlineStr">
        <is>
          <t>Yes</t>
        </is>
      </c>
      <c r="H3601" t="n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>
        <f>IFERROR(INDEX('Company Hitlist'!$AA:$AA,MATCH(D3601,'Company Hitlist'!$A:$A,0)),)</f>
        <v/>
      </c>
      <c r="O3601">
        <f>IFERROR(INDEX('Company Hitlist'!$N:$N,MATCH(D3601,'Company Hitlist'!$A:$A,0)),)</f>
        <v/>
      </c>
      <c r="Q3601" t="inlineStr">
        <is>
          <t>todo</t>
        </is>
      </c>
    </row>
    <row r="3602">
      <c r="A3602" t="inlineStr">
        <is>
          <t>Bobby Wade</t>
        </is>
      </c>
      <c r="B3602" t="inlineStr">
        <is>
          <t>Attendee</t>
        </is>
      </c>
      <c r="C3602" t="inlineStr">
        <is>
          <t>Investor</t>
        </is>
      </c>
      <c r="D3602" t="inlineStr">
        <is>
          <t>Edison Partners</t>
        </is>
      </c>
      <c r="E3602" t="inlineStr">
        <is>
          <t>United States</t>
        </is>
      </c>
      <c r="H3602" t="n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>
        <f>IFERROR(INDEX('Company Hitlist'!$AA:$AA,MATCH(D3602,'Company Hitlist'!$A:$A,0)),)</f>
        <v/>
      </c>
      <c r="O3602">
        <f>IFERROR(INDEX('Company Hitlist'!$N:$N,MATCH(D3602,'Company Hitlist'!$A:$A,0)),)</f>
        <v/>
      </c>
      <c r="Q3602" t="inlineStr">
        <is>
          <t>todo</t>
        </is>
      </c>
    </row>
    <row r="3603">
      <c r="A3603" t="inlineStr">
        <is>
          <t>Souleymen Mlalih</t>
        </is>
      </c>
      <c r="B3603" t="inlineStr">
        <is>
          <t>Attendee</t>
        </is>
      </c>
      <c r="C3603" t="inlineStr">
        <is>
          <t>Enterprise Architect</t>
        </is>
      </c>
      <c r="D3603" t="inlineStr">
        <is>
          <t>Eggo</t>
        </is>
      </c>
      <c r="F3603" t="inlineStr">
        <is>
          <t>Yes</t>
        </is>
      </c>
      <c r="H3603" t="n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>
        <f>IFERROR(INDEX('Company Hitlist'!$AA:$AA,MATCH(D3603,'Company Hitlist'!$A:$A,0)),)</f>
        <v/>
      </c>
      <c r="O3603">
        <f>IFERROR(INDEX('Company Hitlist'!$N:$N,MATCH(D3603,'Company Hitlist'!$A:$A,0)),)</f>
        <v/>
      </c>
      <c r="Q3603" t="inlineStr">
        <is>
          <t>todo</t>
        </is>
      </c>
    </row>
    <row r="3604">
      <c r="A3604" t="inlineStr">
        <is>
          <t>Baptiste Le Poittevin</t>
        </is>
      </c>
      <c r="B3604" t="inlineStr">
        <is>
          <t>Attendee</t>
        </is>
      </c>
      <c r="C3604" t="inlineStr">
        <is>
          <t>Commercial Director - Autonomous</t>
        </is>
      </c>
      <c r="D3604" t="inlineStr">
        <is>
          <t>Einride</t>
        </is>
      </c>
      <c r="E3604" t="inlineStr">
        <is>
          <t>United States</t>
        </is>
      </c>
      <c r="H3604" t="n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>
        <f>IFERROR(INDEX('Company Hitlist'!$AA:$AA,MATCH(D3604,'Company Hitlist'!$A:$A,0)),)</f>
        <v/>
      </c>
      <c r="O3604">
        <f>IFERROR(INDEX('Company Hitlist'!$N:$N,MATCH(D3604,'Company Hitlist'!$A:$A,0)),)</f>
        <v/>
      </c>
      <c r="Q3604" t="inlineStr">
        <is>
          <t>todo</t>
        </is>
      </c>
    </row>
    <row r="3605">
      <c r="A3605" t="inlineStr">
        <is>
          <t>Warren Cheely</t>
        </is>
      </c>
      <c r="B3605" t="inlineStr">
        <is>
          <t>Attendee</t>
        </is>
      </c>
      <c r="C3605" t="inlineStr">
        <is>
          <t>Commercial Director NA</t>
        </is>
      </c>
      <c r="D3605" t="inlineStr">
        <is>
          <t>Einride</t>
        </is>
      </c>
      <c r="E3605" t="inlineStr">
        <is>
          <t>United States</t>
        </is>
      </c>
      <c r="H3605" t="n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>
        <f>IFERROR(INDEX('Company Hitlist'!$AA:$AA,MATCH(D3605,'Company Hitlist'!$A:$A,0)),)</f>
        <v/>
      </c>
      <c r="O3605">
        <f>IFERROR(INDEX('Company Hitlist'!$N:$N,MATCH(D3605,'Company Hitlist'!$A:$A,0)),)</f>
        <v/>
      </c>
      <c r="Q3605" t="inlineStr">
        <is>
          <t>todo</t>
        </is>
      </c>
    </row>
    <row r="3606">
      <c r="A3606" t="inlineStr">
        <is>
          <t>Sharon Cummings</t>
        </is>
      </c>
      <c r="B3606" t="inlineStr">
        <is>
          <t>Attendee</t>
        </is>
      </c>
      <c r="C3606" t="inlineStr">
        <is>
          <t>CoFounder</t>
        </is>
      </c>
      <c r="D3606" t="inlineStr">
        <is>
          <t>Elixart</t>
        </is>
      </c>
      <c r="F3606" t="inlineStr">
        <is>
          <t>Yes</t>
        </is>
      </c>
      <c r="H3606" t="n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>
        <f>IFERROR(INDEX('Company Hitlist'!$AA:$AA,MATCH(D3606,'Company Hitlist'!$A:$A,0)),)</f>
        <v/>
      </c>
      <c r="O3606">
        <f>IFERROR(INDEX('Company Hitlist'!$N:$N,MATCH(D3606,'Company Hitlist'!$A:$A,0)),)</f>
        <v/>
      </c>
      <c r="Q3606" t="inlineStr">
        <is>
          <t>todo</t>
        </is>
      </c>
    </row>
    <row r="3607">
      <c r="A3607" t="inlineStr">
        <is>
          <t>Joseph Piazza</t>
        </is>
      </c>
      <c r="B3607" t="inlineStr">
        <is>
          <t>Attendee</t>
        </is>
      </c>
      <c r="C3607" t="inlineStr">
        <is>
          <t>Dir. Of Solutions Engineering</t>
        </is>
      </c>
      <c r="D3607" t="inlineStr">
        <is>
          <t>Emerge</t>
        </is>
      </c>
      <c r="E3607" t="inlineStr">
        <is>
          <t>United States</t>
        </is>
      </c>
      <c r="F3607" t="inlineStr">
        <is>
          <t>Yes</t>
        </is>
      </c>
      <c r="H3607" t="n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>
        <f>IFERROR(INDEX('Company Hitlist'!$AA:$AA,MATCH(D3607,'Company Hitlist'!$A:$A,0)),)</f>
        <v/>
      </c>
      <c r="O3607">
        <f>IFERROR(INDEX('Company Hitlist'!$N:$N,MATCH(D3607,'Company Hitlist'!$A:$A,0)),)</f>
        <v/>
      </c>
      <c r="Q3607" t="inlineStr">
        <is>
          <t>todo</t>
        </is>
      </c>
    </row>
    <row r="3608">
      <c r="A3608" t="inlineStr">
        <is>
          <t>Alex Cheesman</t>
        </is>
      </c>
      <c r="B3608" t="inlineStr">
        <is>
          <t>Attendee</t>
        </is>
      </c>
      <c r="C3608" t="inlineStr">
        <is>
          <t>Senior Industry Advisor</t>
        </is>
      </c>
      <c r="D3608" t="inlineStr">
        <is>
          <t>Endava</t>
        </is>
      </c>
      <c r="E3608" t="inlineStr">
        <is>
          <t>United States</t>
        </is>
      </c>
      <c r="F3608" t="inlineStr">
        <is>
          <t>Yes</t>
        </is>
      </c>
      <c r="H3608" t="n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>
        <f>IFERROR(INDEX('Company Hitlist'!$AA:$AA,MATCH(D3608,'Company Hitlist'!$A:$A,0)),)</f>
        <v/>
      </c>
      <c r="O3608">
        <f>IFERROR(INDEX('Company Hitlist'!$N:$N,MATCH(D3608,'Company Hitlist'!$A:$A,0)),)</f>
        <v/>
      </c>
      <c r="Q3608" t="inlineStr">
        <is>
          <t>todo</t>
        </is>
      </c>
    </row>
    <row r="3609">
      <c r="A3609" t="inlineStr">
        <is>
          <t>Christina Cavano</t>
        </is>
      </c>
      <c r="B3609" t="inlineStr">
        <is>
          <t>Sponsor</t>
        </is>
      </c>
      <c r="C3609" t="inlineStr">
        <is>
          <t>VP of Sales</t>
        </is>
      </c>
      <c r="D3609" t="inlineStr">
        <is>
          <t>EndeavorB2B</t>
        </is>
      </c>
      <c r="E3609" t="inlineStr">
        <is>
          <t>United States</t>
        </is>
      </c>
      <c r="H3609" t="n">
        <v>0</v>
      </c>
      <c r="I3609" t="b">
        <v>0</v>
      </c>
      <c r="J3609" t="b">
        <v>1</v>
      </c>
      <c r="K3609" t="b">
        <v>0</v>
      </c>
      <c r="L3609" t="b">
        <v>0</v>
      </c>
      <c r="M3609" t="b">
        <v>1</v>
      </c>
      <c r="N3609">
        <f>IFERROR(INDEX('Company Hitlist'!$AA:$AA,MATCH(D3609,'Company Hitlist'!$A:$A,0)),)</f>
        <v/>
      </c>
      <c r="O3609">
        <f>IFERROR(INDEX('Company Hitlist'!$N:$N,MATCH(D3609,'Company Hitlist'!$A:$A,0)),)</f>
        <v/>
      </c>
      <c r="Q3609" t="inlineStr">
        <is>
          <t>todo</t>
        </is>
      </c>
    </row>
    <row r="3610">
      <c r="A3610" t="inlineStr">
        <is>
          <t>Jason DeSarle</t>
        </is>
      </c>
      <c r="B3610" t="inlineStr">
        <is>
          <t>Sponsor</t>
        </is>
      </c>
      <c r="C3610" t="inlineStr">
        <is>
          <t>VP Of Sales</t>
        </is>
      </c>
      <c r="D3610" t="inlineStr">
        <is>
          <t>EndeavorB2B</t>
        </is>
      </c>
      <c r="E3610" t="inlineStr">
        <is>
          <t>United States</t>
        </is>
      </c>
      <c r="H3610" t="n">
        <v>0</v>
      </c>
      <c r="I3610" t="b">
        <v>0</v>
      </c>
      <c r="J3610" t="b">
        <v>1</v>
      </c>
      <c r="K3610" t="b">
        <v>0</v>
      </c>
      <c r="L3610" t="b">
        <v>0</v>
      </c>
      <c r="M3610" t="b">
        <v>1</v>
      </c>
      <c r="N3610">
        <f>IFERROR(INDEX('Company Hitlist'!$AA:$AA,MATCH(D3610,'Company Hitlist'!$A:$A,0)),)</f>
        <v/>
      </c>
      <c r="O3610">
        <f>IFERROR(INDEX('Company Hitlist'!$N:$N,MATCH(D3610,'Company Hitlist'!$A:$A,0)),)</f>
        <v/>
      </c>
      <c r="Q3610" t="inlineStr">
        <is>
          <t>todo</t>
        </is>
      </c>
    </row>
    <row r="3611">
      <c r="A3611" t="inlineStr">
        <is>
          <t>Nate Endicott</t>
        </is>
      </c>
      <c r="B3611" t="inlineStr">
        <is>
          <t>Sponsor</t>
        </is>
      </c>
      <c r="C3611" t="inlineStr">
        <is>
          <t>SVP of Growth</t>
        </is>
      </c>
      <c r="D3611" t="inlineStr">
        <is>
          <t>Enveyo</t>
        </is>
      </c>
      <c r="E3611" t="inlineStr">
        <is>
          <t>United States</t>
        </is>
      </c>
      <c r="F3611" t="inlineStr">
        <is>
          <t>Yes</t>
        </is>
      </c>
      <c r="H3611" t="n">
        <v>0</v>
      </c>
      <c r="I3611" t="b">
        <v>0</v>
      </c>
      <c r="J3611" t="b">
        <v>1</v>
      </c>
      <c r="K3611" t="b">
        <v>0</v>
      </c>
      <c r="L3611" t="b">
        <v>0</v>
      </c>
      <c r="M3611" t="b">
        <v>1</v>
      </c>
      <c r="N3611">
        <f>IFERROR(INDEX('Company Hitlist'!$AA:$AA,MATCH(D3611,'Company Hitlist'!$A:$A,0)),)</f>
        <v/>
      </c>
      <c r="O3611">
        <f>IFERROR(INDEX('Company Hitlist'!$N:$N,MATCH(D3611,'Company Hitlist'!$A:$A,0)),)</f>
        <v/>
      </c>
      <c r="Q3611" t="inlineStr">
        <is>
          <t>todo</t>
        </is>
      </c>
    </row>
    <row r="3612">
      <c r="A3612" t="inlineStr">
        <is>
          <t>Joshua Funkhouser</t>
        </is>
      </c>
      <c r="B3612" t="inlineStr">
        <is>
          <t>Attendee</t>
        </is>
      </c>
      <c r="C3612" t="inlineStr">
        <is>
          <t>Analyst</t>
        </is>
      </c>
      <c r="D3612" t="inlineStr">
        <is>
          <t>Estes Logistics</t>
        </is>
      </c>
      <c r="E3612" t="inlineStr">
        <is>
          <t>United States</t>
        </is>
      </c>
      <c r="F3612" t="inlineStr">
        <is>
          <t>Yes</t>
        </is>
      </c>
      <c r="H3612" t="n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>
        <f>IFERROR(INDEX('Company Hitlist'!$AA:$AA,MATCH(D3612,'Company Hitlist'!$A:$A,0)),)</f>
        <v/>
      </c>
      <c r="O3612">
        <f>IFERROR(INDEX('Company Hitlist'!$N:$N,MATCH(D3612,'Company Hitlist'!$A:$A,0)),)</f>
        <v/>
      </c>
      <c r="Q3612" t="inlineStr">
        <is>
          <t>todo</t>
        </is>
      </c>
    </row>
    <row r="3613">
      <c r="A3613" t="inlineStr">
        <is>
          <t>Mike Koch</t>
        </is>
      </c>
      <c r="B3613" t="inlineStr">
        <is>
          <t>Attendee</t>
        </is>
      </c>
      <c r="C3613" t="inlineStr">
        <is>
          <t>Analyst</t>
        </is>
      </c>
      <c r="D3613" t="inlineStr">
        <is>
          <t>Estes Logistics</t>
        </is>
      </c>
      <c r="E3613" t="inlineStr">
        <is>
          <t>United States</t>
        </is>
      </c>
      <c r="F3613" t="inlineStr">
        <is>
          <t>Yes</t>
        </is>
      </c>
      <c r="H3613" t="n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>
        <f>IFERROR(INDEX('Company Hitlist'!$AA:$AA,MATCH(D3613,'Company Hitlist'!$A:$A,0)),)</f>
        <v/>
      </c>
      <c r="O3613">
        <f>IFERROR(INDEX('Company Hitlist'!$N:$N,MATCH(D3613,'Company Hitlist'!$A:$A,0)),)</f>
        <v/>
      </c>
      <c r="Q3613" t="inlineStr">
        <is>
          <t>todo</t>
        </is>
      </c>
    </row>
    <row r="3614">
      <c r="A3614" t="inlineStr">
        <is>
          <t>Gregg Monastiero</t>
        </is>
      </c>
      <c r="B3614" t="inlineStr">
        <is>
          <t>Attendee</t>
        </is>
      </c>
      <c r="C3614" t="inlineStr">
        <is>
          <t>Partner</t>
        </is>
      </c>
      <c r="D3614" t="inlineStr">
        <is>
          <t>Ethos Capital</t>
        </is>
      </c>
      <c r="E3614" t="inlineStr">
        <is>
          <t>United States</t>
        </is>
      </c>
      <c r="H3614" t="n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>
        <f>IFERROR(INDEX('Company Hitlist'!$AA:$AA,MATCH(D3614,'Company Hitlist'!$A:$A,0)),)</f>
        <v/>
      </c>
      <c r="O3614">
        <f>IFERROR(INDEX('Company Hitlist'!$N:$N,MATCH(D3614,'Company Hitlist'!$A:$A,0)),)</f>
        <v/>
      </c>
      <c r="Q3614" t="inlineStr">
        <is>
          <t>todo</t>
        </is>
      </c>
    </row>
    <row r="3615">
      <c r="A3615" t="inlineStr">
        <is>
          <t>Hayley Kirman</t>
        </is>
      </c>
      <c r="B3615" t="inlineStr">
        <is>
          <t>Attendee</t>
        </is>
      </c>
      <c r="C3615" t="inlineStr">
        <is>
          <t>Principal, Investments</t>
        </is>
      </c>
      <c r="D3615" t="inlineStr">
        <is>
          <t>Ethos Capital</t>
        </is>
      </c>
      <c r="E3615" t="inlineStr">
        <is>
          <t>United States</t>
        </is>
      </c>
      <c r="H3615" t="n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>
        <f>IFERROR(INDEX('Company Hitlist'!$AA:$AA,MATCH(D3615,'Company Hitlist'!$A:$A,0)),)</f>
        <v/>
      </c>
      <c r="O3615">
        <f>IFERROR(INDEX('Company Hitlist'!$N:$N,MATCH(D3615,'Company Hitlist'!$A:$A,0)),)</f>
        <v/>
      </c>
      <c r="Q3615" t="inlineStr">
        <is>
          <t>todo</t>
        </is>
      </c>
    </row>
    <row r="3616">
      <c r="A3616" t="inlineStr">
        <is>
          <t>Nicole Owens</t>
        </is>
      </c>
      <c r="B3616" t="inlineStr">
        <is>
          <t>Attendee</t>
        </is>
      </c>
      <c r="C3616" t="inlineStr">
        <is>
          <t>Senior Associate</t>
        </is>
      </c>
      <c r="D3616" t="inlineStr">
        <is>
          <t>Ethos Capital</t>
        </is>
      </c>
      <c r="E3616" t="inlineStr">
        <is>
          <t>United States</t>
        </is>
      </c>
      <c r="H3616" t="n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>
        <f>IFERROR(INDEX('Company Hitlist'!$AA:$AA,MATCH(D3616,'Company Hitlist'!$A:$A,0)),)</f>
        <v/>
      </c>
      <c r="O3616">
        <f>IFERROR(INDEX('Company Hitlist'!$N:$N,MATCH(D3616,'Company Hitlist'!$A:$A,0)),)</f>
        <v/>
      </c>
      <c r="Q3616" t="inlineStr">
        <is>
          <t>todo</t>
        </is>
      </c>
    </row>
    <row r="3617">
      <c r="A3617" t="inlineStr">
        <is>
          <t>Brian Wood</t>
        </is>
      </c>
      <c r="B3617" t="inlineStr">
        <is>
          <t>Attendee</t>
        </is>
      </c>
      <c r="C3617" t="inlineStr">
        <is>
          <t>Founder</t>
        </is>
      </c>
      <c r="D3617" t="inlineStr">
        <is>
          <t>Eve11</t>
        </is>
      </c>
      <c r="F3617" t="inlineStr">
        <is>
          <t>Yes</t>
        </is>
      </c>
      <c r="H3617" t="n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>
        <f>IFERROR(INDEX('Company Hitlist'!$AA:$AA,MATCH(D3617,'Company Hitlist'!$A:$A,0)),)</f>
        <v/>
      </c>
      <c r="O3617">
        <f>IFERROR(INDEX('Company Hitlist'!$N:$N,MATCH(D3617,'Company Hitlist'!$A:$A,0)),)</f>
        <v/>
      </c>
      <c r="Q3617" t="inlineStr">
        <is>
          <t>todo</t>
        </is>
      </c>
    </row>
    <row r="3618">
      <c r="A3618" t="inlineStr">
        <is>
          <t>James Hyland</t>
        </is>
      </c>
      <c r="B3618" t="inlineStr">
        <is>
          <t>Attendee</t>
        </is>
      </c>
      <c r="C3618" t="inlineStr">
        <is>
          <t>Managing Director</t>
        </is>
      </c>
      <c r="D3618" t="inlineStr">
        <is>
          <t>Evercore</t>
        </is>
      </c>
      <c r="E3618" t="inlineStr">
        <is>
          <t>United States</t>
        </is>
      </c>
      <c r="H3618" t="n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>
        <f>IFERROR(INDEX('Company Hitlist'!$AA:$AA,MATCH(D3618,'Company Hitlist'!$A:$A,0)),)</f>
        <v/>
      </c>
      <c r="O3618">
        <f>IFERROR(INDEX('Company Hitlist'!$N:$N,MATCH(D3618,'Company Hitlist'!$A:$A,0)),)</f>
        <v/>
      </c>
      <c r="Q3618" t="inlineStr">
        <is>
          <t>todo</t>
        </is>
      </c>
    </row>
    <row r="3619">
      <c r="A3619" t="inlineStr">
        <is>
          <t>Sid Henderson</t>
        </is>
      </c>
      <c r="B3619" t="inlineStr">
        <is>
          <t>Sponsor</t>
        </is>
      </c>
      <c r="C3619" t="inlineStr">
        <is>
          <t>VP Business Development</t>
        </is>
      </c>
      <c r="D3619" t="inlineStr">
        <is>
          <t>Exotec</t>
        </is>
      </c>
      <c r="E3619" t="inlineStr">
        <is>
          <t>United States</t>
        </is>
      </c>
      <c r="H3619" t="n">
        <v>0</v>
      </c>
      <c r="I3619" t="b">
        <v>0</v>
      </c>
      <c r="J3619" t="b">
        <v>1</v>
      </c>
      <c r="K3619" t="b">
        <v>0</v>
      </c>
      <c r="L3619" t="b">
        <v>0</v>
      </c>
      <c r="M3619" t="b">
        <v>1</v>
      </c>
      <c r="N3619">
        <f>IFERROR(INDEX('Company Hitlist'!$AA:$AA,MATCH(D3619,'Company Hitlist'!$A:$A,0)),)</f>
        <v/>
      </c>
      <c r="O3619">
        <f>IFERROR(INDEX('Company Hitlist'!$N:$N,MATCH(D3619,'Company Hitlist'!$A:$A,0)),)</f>
        <v/>
      </c>
      <c r="Q3619" t="inlineStr">
        <is>
          <t>todo</t>
        </is>
      </c>
    </row>
    <row r="3620">
      <c r="A3620" t="inlineStr">
        <is>
          <t>Dan Koume</t>
        </is>
      </c>
      <c r="B3620" t="inlineStr">
        <is>
          <t>Attendee</t>
        </is>
      </c>
      <c r="C3620" t="inlineStr">
        <is>
          <t>Manager of Strategic Partnerships</t>
        </is>
      </c>
      <c r="D3620" t="inlineStr">
        <is>
          <t>Expedite All</t>
        </is>
      </c>
      <c r="E3620" t="inlineStr">
        <is>
          <t>United States</t>
        </is>
      </c>
      <c r="H3620" t="n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>
        <f>IFERROR(INDEX('Company Hitlist'!$AA:$AA,MATCH(D3620,'Company Hitlist'!$A:$A,0)),)</f>
        <v/>
      </c>
      <c r="O3620">
        <f>IFERROR(INDEX('Company Hitlist'!$N:$N,MATCH(D3620,'Company Hitlist'!$A:$A,0)),)</f>
        <v/>
      </c>
      <c r="Q3620" t="inlineStr">
        <is>
          <t>todo</t>
        </is>
      </c>
    </row>
    <row r="3621">
      <c r="A3621" t="inlineStr">
        <is>
          <t>Jake Elliott</t>
        </is>
      </c>
      <c r="B3621" t="inlineStr">
        <is>
          <t>Attendee</t>
        </is>
      </c>
      <c r="C3621" t="inlineStr">
        <is>
          <t>Manager of Strategic Partnerships</t>
        </is>
      </c>
      <c r="D3621" t="inlineStr">
        <is>
          <t>Expedite All</t>
        </is>
      </c>
      <c r="E3621" t="inlineStr">
        <is>
          <t>United States</t>
        </is>
      </c>
      <c r="H3621" t="n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>
        <f>IFERROR(INDEX('Company Hitlist'!$AA:$AA,MATCH(D3621,'Company Hitlist'!$A:$A,0)),)</f>
        <v/>
      </c>
      <c r="O3621">
        <f>IFERROR(INDEX('Company Hitlist'!$N:$N,MATCH(D3621,'Company Hitlist'!$A:$A,0)),)</f>
        <v/>
      </c>
      <c r="Q3621" t="inlineStr">
        <is>
          <t>todo</t>
        </is>
      </c>
    </row>
    <row r="3622">
      <c r="A3622" t="inlineStr">
        <is>
          <t>Oscar Ceballos</t>
        </is>
      </c>
      <c r="B3622" t="inlineStr">
        <is>
          <t>Attendee</t>
        </is>
      </c>
      <c r="C3622" t="inlineStr">
        <is>
          <t>Director Financiero</t>
        </is>
      </c>
      <c r="D3622" t="inlineStr">
        <is>
          <t>Express MG</t>
        </is>
      </c>
      <c r="E3622" t="inlineStr">
        <is>
          <t>Mexico</t>
        </is>
      </c>
      <c r="H3622" t="n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>
        <f>IFERROR(INDEX('Company Hitlist'!$AA:$AA,MATCH(D3622,'Company Hitlist'!$A:$A,0)),)</f>
        <v/>
      </c>
      <c r="O3622">
        <f>IFERROR(INDEX('Company Hitlist'!$N:$N,MATCH(D3622,'Company Hitlist'!$A:$A,0)),)</f>
        <v/>
      </c>
      <c r="Q3622" t="inlineStr">
        <is>
          <t>todo</t>
        </is>
      </c>
    </row>
    <row r="3623">
      <c r="A3623" t="inlineStr">
        <is>
          <t>JULIO ALONSO LOPEZ GONZALEZ</t>
        </is>
      </c>
      <c r="B3623" t="inlineStr">
        <is>
          <t>Attendee</t>
        </is>
      </c>
      <c r="C3623" t="inlineStr">
        <is>
          <t>DIRECTOR GENERAL</t>
        </is>
      </c>
      <c r="D3623" t="inlineStr">
        <is>
          <t>Express MG SA de CV</t>
        </is>
      </c>
      <c r="E3623" t="inlineStr">
        <is>
          <t>Mexico</t>
        </is>
      </c>
      <c r="F3623" t="inlineStr">
        <is>
          <t>Yes</t>
        </is>
      </c>
      <c r="H3623" t="n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>
        <f>IFERROR(INDEX('Company Hitlist'!$AA:$AA,MATCH(D3623,'Company Hitlist'!$A:$A,0)),)</f>
        <v/>
      </c>
      <c r="O3623">
        <f>IFERROR(INDEX('Company Hitlist'!$N:$N,MATCH(D3623,'Company Hitlist'!$A:$A,0)),)</f>
        <v/>
      </c>
      <c r="Q3623" t="inlineStr">
        <is>
          <t>todo</t>
        </is>
      </c>
    </row>
    <row r="3624">
      <c r="A3624" t="inlineStr">
        <is>
          <t>Christine Haan</t>
        </is>
      </c>
      <c r="B3624" t="inlineStr">
        <is>
          <t>Attendee</t>
        </is>
      </c>
      <c r="C3624" t="inlineStr">
        <is>
          <t>Strategic Account Manager</t>
        </is>
      </c>
      <c r="D3624" t="inlineStr">
        <is>
          <t>FIDELITONE</t>
        </is>
      </c>
      <c r="E3624" t="inlineStr">
        <is>
          <t>United States</t>
        </is>
      </c>
      <c r="H3624" t="n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>
        <f>IFERROR(INDEX('Company Hitlist'!$AA:$AA,MATCH(D3624,'Company Hitlist'!$A:$A,0)),)</f>
        <v/>
      </c>
      <c r="O3624">
        <f>IFERROR(INDEX('Company Hitlist'!$N:$N,MATCH(D3624,'Company Hitlist'!$A:$A,0)),)</f>
        <v/>
      </c>
      <c r="Q3624" t="inlineStr">
        <is>
          <t>todo</t>
        </is>
      </c>
    </row>
    <row r="3625">
      <c r="A3625" t="inlineStr">
        <is>
          <t>Bas Dubbeldam</t>
        </is>
      </c>
      <c r="B3625" t="inlineStr">
        <is>
          <t>Attendee</t>
        </is>
      </c>
      <c r="C3625" t="inlineStr">
        <is>
          <t>Managing Partner</t>
        </is>
      </c>
      <c r="D3625" t="inlineStr">
        <is>
          <t>FIX LOGISTIX LLC</t>
        </is>
      </c>
      <c r="E3625" t="inlineStr">
        <is>
          <t>United States</t>
        </is>
      </c>
      <c r="F3625" t="inlineStr">
        <is>
          <t>Yes</t>
        </is>
      </c>
      <c r="H3625" t="n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>
        <f>IFERROR(INDEX('Company Hitlist'!$AA:$AA,MATCH(D3625,'Company Hitlist'!$A:$A,0)),)</f>
        <v/>
      </c>
      <c r="O3625">
        <f>IFERROR(INDEX('Company Hitlist'!$N:$N,MATCH(D3625,'Company Hitlist'!$A:$A,0)),)</f>
        <v/>
      </c>
      <c r="Q3625" t="inlineStr">
        <is>
          <t>todo</t>
        </is>
      </c>
    </row>
    <row r="3626">
      <c r="A3626" t="inlineStr">
        <is>
          <t>Mark Norman</t>
        </is>
      </c>
      <c r="B3626" t="inlineStr">
        <is>
          <t>Attendee</t>
        </is>
      </c>
      <c r="C3626" t="inlineStr">
        <is>
          <t>Managing Partner</t>
        </is>
      </c>
      <c r="D3626" t="inlineStr">
        <is>
          <t>FM Capital</t>
        </is>
      </c>
      <c r="E3626" t="inlineStr">
        <is>
          <t>United States</t>
        </is>
      </c>
      <c r="H3626" t="n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>
        <f>IFERROR(INDEX('Company Hitlist'!$AA:$AA,MATCH(D3626,'Company Hitlist'!$A:$A,0)),)</f>
        <v/>
      </c>
      <c r="O3626">
        <f>IFERROR(INDEX('Company Hitlist'!$N:$N,MATCH(D3626,'Company Hitlist'!$A:$A,0)),)</f>
        <v/>
      </c>
      <c r="Q3626" t="inlineStr">
        <is>
          <t>todo</t>
        </is>
      </c>
    </row>
    <row r="3627">
      <c r="A3627" t="inlineStr">
        <is>
          <t>Kendra Apelt</t>
        </is>
      </c>
      <c r="B3627" t="inlineStr">
        <is>
          <t>Attendee</t>
        </is>
      </c>
      <c r="C3627" t="inlineStr">
        <is>
          <t>Sr. Director of Digital Solutions</t>
        </is>
      </c>
      <c r="D3627" t="inlineStr">
        <is>
          <t>FORTÉ</t>
        </is>
      </c>
      <c r="E3627" t="inlineStr">
        <is>
          <t>United States</t>
        </is>
      </c>
      <c r="F3627" t="inlineStr">
        <is>
          <t>Yes</t>
        </is>
      </c>
      <c r="H3627" t="n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>
        <f>IFERROR(INDEX('Company Hitlist'!$AA:$AA,MATCH(D3627,'Company Hitlist'!$A:$A,0)),)</f>
        <v/>
      </c>
      <c r="O3627">
        <f>IFERROR(INDEX('Company Hitlist'!$N:$N,MATCH(D3627,'Company Hitlist'!$A:$A,0)),)</f>
        <v/>
      </c>
      <c r="Q3627" t="inlineStr">
        <is>
          <t>todo</t>
        </is>
      </c>
    </row>
    <row r="3628">
      <c r="A3628" t="inlineStr">
        <is>
          <t>Arun Singh</t>
        </is>
      </c>
      <c r="B3628" t="inlineStr">
        <is>
          <t>Attendee</t>
        </is>
      </c>
      <c r="C3628" t="inlineStr">
        <is>
          <t>Principal</t>
        </is>
      </c>
      <c r="D3628" t="inlineStr">
        <is>
          <t>FTV Capital</t>
        </is>
      </c>
      <c r="E3628" t="inlineStr">
        <is>
          <t>United States</t>
        </is>
      </c>
      <c r="H3628" t="n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>
        <f>IFERROR(INDEX('Company Hitlist'!$AA:$AA,MATCH(D3628,'Company Hitlist'!$A:$A,0)),)</f>
        <v/>
      </c>
      <c r="O3628">
        <f>IFERROR(INDEX('Company Hitlist'!$N:$N,MATCH(D3628,'Company Hitlist'!$A:$A,0)),)</f>
        <v/>
      </c>
      <c r="Q3628" t="inlineStr">
        <is>
          <t>todo</t>
        </is>
      </c>
    </row>
    <row r="3629">
      <c r="A3629" t="inlineStr">
        <is>
          <t>Kyle Eng</t>
        </is>
      </c>
      <c r="B3629" t="inlineStr">
        <is>
          <t>Attendee</t>
        </is>
      </c>
      <c r="C3629" t="inlineStr">
        <is>
          <t>Investor</t>
        </is>
      </c>
      <c r="D3629" t="inlineStr">
        <is>
          <t>FTV Capital</t>
        </is>
      </c>
      <c r="E3629" t="inlineStr">
        <is>
          <t>United States</t>
        </is>
      </c>
      <c r="H3629" t="n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>
        <f>IFERROR(INDEX('Company Hitlist'!$AA:$AA,MATCH(D3629,'Company Hitlist'!$A:$A,0)),)</f>
        <v/>
      </c>
      <c r="O3629">
        <f>IFERROR(INDEX('Company Hitlist'!$N:$N,MATCH(D3629,'Company Hitlist'!$A:$A,0)),)</f>
        <v/>
      </c>
      <c r="Q3629" t="inlineStr">
        <is>
          <t>todo</t>
        </is>
      </c>
    </row>
    <row r="3630">
      <c r="A3630" t="inlineStr">
        <is>
          <t>Mark Gavin</t>
        </is>
      </c>
      <c r="B3630" t="inlineStr">
        <is>
          <t>Attendee</t>
        </is>
      </c>
      <c r="C3630" t="inlineStr">
        <is>
          <t>Sr Director, Global IT</t>
        </is>
      </c>
      <c r="D3630" t="inlineStr">
        <is>
          <t>FabFitFun</t>
        </is>
      </c>
      <c r="F3630" t="inlineStr">
        <is>
          <t>Yes</t>
        </is>
      </c>
      <c r="G3630" t="inlineStr">
        <is>
          <t>$300M (2024 est.; projected $320M in 2025)</t>
        </is>
      </c>
      <c r="H3630" t="n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>
        <f>IFERROR(INDEX('Company Hitlist'!$AA:$AA,MATCH(D3630,'Company Hitlist'!$A:$A,0)),)</f>
        <v/>
      </c>
      <c r="O3630">
        <f>IFERROR(INDEX('Company Hitlist'!$N:$N,MATCH(D3630,'Company Hitlist'!$A:$A,0)),)</f>
        <v/>
      </c>
      <c r="Q3630" t="inlineStr">
        <is>
          <t>todo</t>
        </is>
      </c>
    </row>
    <row r="3631">
      <c r="A3631" t="inlineStr">
        <is>
          <t>Polly Chow</t>
        </is>
      </c>
      <c r="B3631" t="inlineStr">
        <is>
          <t>Attendee</t>
        </is>
      </c>
      <c r="C3631" t="inlineStr">
        <is>
          <t>Director, Trade Compliance</t>
        </is>
      </c>
      <c r="D3631" t="inlineStr">
        <is>
          <t>Fabletics</t>
        </is>
      </c>
      <c r="F3631" t="inlineStr">
        <is>
          <t>Yes</t>
        </is>
      </c>
      <c r="G3631" t="inlineStr">
        <is>
          <t>$500M (2024 est.; projected $550M in 2025)</t>
        </is>
      </c>
      <c r="H3631" t="n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>
        <f>IFERROR(INDEX('Company Hitlist'!$AA:$AA,MATCH(D3631,'Company Hitlist'!$A:$A,0)),)</f>
        <v/>
      </c>
      <c r="O3631">
        <f>IFERROR(INDEX('Company Hitlist'!$N:$N,MATCH(D3631,'Company Hitlist'!$A:$A,0)),)</f>
        <v/>
      </c>
      <c r="Q3631" t="inlineStr">
        <is>
          <t>todo</t>
        </is>
      </c>
    </row>
    <row r="3632">
      <c r="A3632" t="inlineStr">
        <is>
          <t>Michael Goetzmann</t>
        </is>
      </c>
      <c r="B3632" t="inlineStr">
        <is>
          <t>Attendee</t>
        </is>
      </c>
      <c r="C3632" t="inlineStr">
        <is>
          <t>Journalist</t>
        </is>
      </c>
      <c r="D3632" t="inlineStr">
        <is>
          <t>Fabulous Las Vegas</t>
        </is>
      </c>
      <c r="F3632" t="inlineStr">
        <is>
          <t>Yes</t>
        </is>
      </c>
      <c r="H3632" t="n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>
        <f>IFERROR(INDEX('Company Hitlist'!$AA:$AA,MATCH(D3632,'Company Hitlist'!$A:$A,0)),)</f>
        <v/>
      </c>
      <c r="O3632">
        <f>IFERROR(INDEX('Company Hitlist'!$N:$N,MATCH(D3632,'Company Hitlist'!$A:$A,0)),)</f>
        <v/>
      </c>
      <c r="Q3632" t="inlineStr">
        <is>
          <t>todo</t>
        </is>
      </c>
    </row>
    <row r="3633">
      <c r="A3633" t="inlineStr">
        <is>
          <t>Santiago Garcia</t>
        </is>
      </c>
      <c r="B3633" t="inlineStr">
        <is>
          <t>Attendee</t>
        </is>
      </c>
      <c r="C3633" t="inlineStr">
        <is>
          <t>Finance Manager</t>
        </is>
      </c>
      <c r="D3633" t="inlineStr">
        <is>
          <t>Fear of God</t>
        </is>
      </c>
      <c r="H3633" t="n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>
        <f>IFERROR(INDEX('Company Hitlist'!$AA:$AA,MATCH(D3633,'Company Hitlist'!$A:$A,0)),)</f>
        <v/>
      </c>
      <c r="O3633">
        <f>IFERROR(INDEX('Company Hitlist'!$N:$N,MATCH(D3633,'Company Hitlist'!$A:$A,0)),)</f>
        <v/>
      </c>
      <c r="Q3633" t="inlineStr">
        <is>
          <t>todo</t>
        </is>
      </c>
    </row>
    <row r="3634">
      <c r="A3634" t="inlineStr">
        <is>
          <t>Gururaj Rao</t>
        </is>
      </c>
      <c r="B3634" t="inlineStr">
        <is>
          <t>Attendee</t>
        </is>
      </c>
      <c r="C3634" t="inlineStr">
        <is>
          <t>Principal, Corporate Strategy</t>
        </is>
      </c>
      <c r="D3634" t="inlineStr">
        <is>
          <t>FedEx</t>
        </is>
      </c>
      <c r="E3634" t="inlineStr">
        <is>
          <t>United States</t>
        </is>
      </c>
      <c r="F3634" t="inlineStr">
        <is>
          <t>Yes</t>
        </is>
      </c>
      <c r="G3634" t="inlineStr">
        <is>
          <t>$87.7B (2024; projected $88B in 2025)</t>
        </is>
      </c>
      <c r="H3634" t="n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>
        <f>IFERROR(INDEX('Company Hitlist'!$AA:$AA,MATCH(D3634,'Company Hitlist'!$A:$A,0)),)</f>
        <v/>
      </c>
      <c r="O3634">
        <f>IFERROR(INDEX('Company Hitlist'!$N:$N,MATCH(D3634,'Company Hitlist'!$A:$A,0)),)</f>
        <v/>
      </c>
      <c r="Q3634" t="inlineStr">
        <is>
          <t>todo</t>
        </is>
      </c>
    </row>
    <row r="3635">
      <c r="A3635" t="inlineStr">
        <is>
          <t>Sumika Singh</t>
        </is>
      </c>
      <c r="B3635" t="inlineStr">
        <is>
          <t>Attendee</t>
        </is>
      </c>
      <c r="C3635" t="inlineStr">
        <is>
          <t>Digital Product Fellow</t>
        </is>
      </c>
      <c r="D3635" t="inlineStr">
        <is>
          <t>FedEx</t>
        </is>
      </c>
      <c r="E3635" t="inlineStr">
        <is>
          <t>United States</t>
        </is>
      </c>
      <c r="F3635" t="inlineStr">
        <is>
          <t>Yes</t>
        </is>
      </c>
      <c r="G3635" t="inlineStr">
        <is>
          <t>$87.7B (2024; projected $88B in 2025)</t>
        </is>
      </c>
      <c r="H3635" t="n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>
        <f>IFERROR(INDEX('Company Hitlist'!$AA:$AA,MATCH(D3635,'Company Hitlist'!$A:$A,0)),)</f>
        <v/>
      </c>
      <c r="O3635">
        <f>IFERROR(INDEX('Company Hitlist'!$N:$N,MATCH(D3635,'Company Hitlist'!$A:$A,0)),)</f>
        <v/>
      </c>
      <c r="Q3635" t="inlineStr">
        <is>
          <t>todo</t>
        </is>
      </c>
    </row>
    <row r="3636">
      <c r="A3636" t="inlineStr">
        <is>
          <t>Olivia Pittard</t>
        </is>
      </c>
      <c r="B3636" t="inlineStr">
        <is>
          <t>Attendee</t>
        </is>
      </c>
      <c r="C3636" t="inlineStr">
        <is>
          <t>Senior Associate</t>
        </is>
      </c>
      <c r="D3636" t="inlineStr">
        <is>
          <t>Fika Ventures</t>
        </is>
      </c>
      <c r="H3636" t="n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>
        <f>IFERROR(INDEX('Company Hitlist'!$AA:$AA,MATCH(D3636,'Company Hitlist'!$A:$A,0)),)</f>
        <v/>
      </c>
      <c r="O3636">
        <f>IFERROR(INDEX('Company Hitlist'!$N:$N,MATCH(D3636,'Company Hitlist'!$A:$A,0)),)</f>
        <v/>
      </c>
      <c r="Q3636" t="inlineStr">
        <is>
          <t>todo</t>
        </is>
      </c>
    </row>
    <row r="3637">
      <c r="A3637" t="inlineStr">
        <is>
          <t>Paul Sandhu</t>
        </is>
      </c>
      <c r="B3637" t="inlineStr">
        <is>
          <t>Attendee</t>
        </is>
      </c>
      <c r="C3637" t="inlineStr">
        <is>
          <t>Co-Founder</t>
        </is>
      </c>
      <c r="D3637" t="inlineStr">
        <is>
          <t>FireFly Systems LLC</t>
        </is>
      </c>
      <c r="E3637" t="inlineStr">
        <is>
          <t>United States</t>
        </is>
      </c>
      <c r="H3637" t="n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>
        <f>IFERROR(INDEX('Company Hitlist'!$AA:$AA,MATCH(D3637,'Company Hitlist'!$A:$A,0)),)</f>
        <v/>
      </c>
      <c r="O3637">
        <f>IFERROR(INDEX('Company Hitlist'!$N:$N,MATCH(D3637,'Company Hitlist'!$A:$A,0)),)</f>
        <v/>
      </c>
      <c r="Q3637" t="inlineStr">
        <is>
          <t>todo</t>
        </is>
      </c>
    </row>
    <row r="3638">
      <c r="A3638" t="inlineStr">
        <is>
          <t>Walid Elmekki</t>
        </is>
      </c>
      <c r="B3638" t="inlineStr">
        <is>
          <t>Attendee</t>
        </is>
      </c>
      <c r="C3638" t="inlineStr">
        <is>
          <t>Associate</t>
        </is>
      </c>
      <c r="D3638" t="inlineStr">
        <is>
          <t>First Analysis</t>
        </is>
      </c>
      <c r="E3638" t="inlineStr">
        <is>
          <t>United States</t>
        </is>
      </c>
      <c r="H3638" t="n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>
        <f>IFERROR(INDEX('Company Hitlist'!$AA:$AA,MATCH(D3638,'Company Hitlist'!$A:$A,0)),)</f>
        <v/>
      </c>
      <c r="O3638">
        <f>IFERROR(INDEX('Company Hitlist'!$N:$N,MATCH(D3638,'Company Hitlist'!$A:$A,0)),)</f>
        <v/>
      </c>
      <c r="Q3638" t="inlineStr">
        <is>
          <t>todo</t>
        </is>
      </c>
    </row>
    <row r="3639">
      <c r="A3639" t="inlineStr">
        <is>
          <t>Corey Greedale</t>
        </is>
      </c>
      <c r="B3639" t="inlineStr">
        <is>
          <t>Attendee</t>
        </is>
      </c>
      <c r="C3639" t="inlineStr">
        <is>
          <t>Research Analyst</t>
        </is>
      </c>
      <c r="D3639" t="inlineStr">
        <is>
          <t>First Analysis</t>
        </is>
      </c>
      <c r="H3639" t="n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>
        <f>IFERROR(INDEX('Company Hitlist'!$AA:$AA,MATCH(D3639,'Company Hitlist'!$A:$A,0)),)</f>
        <v/>
      </c>
      <c r="O3639">
        <f>IFERROR(INDEX('Company Hitlist'!$N:$N,MATCH(D3639,'Company Hitlist'!$A:$A,0)),)</f>
        <v/>
      </c>
      <c r="Q3639" t="inlineStr">
        <is>
          <t>todo</t>
        </is>
      </c>
    </row>
    <row r="3640">
      <c r="A3640" t="inlineStr">
        <is>
          <t>Josh Aroesty</t>
        </is>
      </c>
      <c r="B3640" t="inlineStr">
        <is>
          <t>Attendee</t>
        </is>
      </c>
      <c r="C3640" t="inlineStr">
        <is>
          <t>Senior Associate</t>
        </is>
      </c>
      <c r="D3640" t="inlineStr">
        <is>
          <t>Five Elms Capital</t>
        </is>
      </c>
      <c r="E3640" t="inlineStr">
        <is>
          <t>United States</t>
        </is>
      </c>
      <c r="H3640" t="n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>
        <f>IFERROR(INDEX('Company Hitlist'!$AA:$AA,MATCH(D3640,'Company Hitlist'!$A:$A,0)),)</f>
        <v/>
      </c>
      <c r="O3640">
        <f>IFERROR(INDEX('Company Hitlist'!$N:$N,MATCH(D3640,'Company Hitlist'!$A:$A,0)),)</f>
        <v/>
      </c>
      <c r="Q3640" t="inlineStr">
        <is>
          <t>todo</t>
        </is>
      </c>
    </row>
    <row r="3641">
      <c r="A3641" t="inlineStr">
        <is>
          <t>Kirk Ferrell</t>
        </is>
      </c>
      <c r="B3641" t="inlineStr">
        <is>
          <t>Attendee</t>
        </is>
      </c>
      <c r="C3641" t="inlineStr">
        <is>
          <t>Managing Partner</t>
        </is>
      </c>
      <c r="D3641" t="inlineStr">
        <is>
          <t>Flat World Global Solutions</t>
        </is>
      </c>
      <c r="E3641" t="inlineStr">
        <is>
          <t>United States</t>
        </is>
      </c>
      <c r="F3641" t="inlineStr">
        <is>
          <t>Yes</t>
        </is>
      </c>
      <c r="H3641" t="n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>
        <f>IFERROR(INDEX('Company Hitlist'!$AA:$AA,MATCH(D3641,'Company Hitlist'!$A:$A,0)),)</f>
        <v/>
      </c>
      <c r="O3641">
        <f>IFERROR(INDEX('Company Hitlist'!$N:$N,MATCH(D3641,'Company Hitlist'!$A:$A,0)),)</f>
        <v/>
      </c>
      <c r="Q3641" t="inlineStr">
        <is>
          <t>todo</t>
        </is>
      </c>
    </row>
    <row r="3642">
      <c r="A3642" t="inlineStr">
        <is>
          <t>Brian Thom</t>
        </is>
      </c>
      <c r="B3642" t="inlineStr">
        <is>
          <t>Sponsor</t>
        </is>
      </c>
      <c r="C3642" t="inlineStr">
        <is>
          <t>VP of Sales</t>
        </is>
      </c>
      <c r="D3642" t="inlineStr">
        <is>
          <t>FlavorCloud</t>
        </is>
      </c>
      <c r="H3642" t="n">
        <v>0</v>
      </c>
      <c r="I3642" t="b">
        <v>0</v>
      </c>
      <c r="J3642" t="b">
        <v>1</v>
      </c>
      <c r="K3642" t="b">
        <v>0</v>
      </c>
      <c r="L3642" t="b">
        <v>0</v>
      </c>
      <c r="M3642" t="b">
        <v>1</v>
      </c>
      <c r="N3642">
        <f>IFERROR(INDEX('Company Hitlist'!$AA:$AA,MATCH(D3642,'Company Hitlist'!$A:$A,0)),)</f>
        <v/>
      </c>
      <c r="O3642">
        <f>IFERROR(INDEX('Company Hitlist'!$N:$N,MATCH(D3642,'Company Hitlist'!$A:$A,0)),)</f>
        <v/>
      </c>
      <c r="Q3642" t="inlineStr">
        <is>
          <t>todo</t>
        </is>
      </c>
    </row>
    <row r="3643">
      <c r="A3643" t="inlineStr">
        <is>
          <t>Doug Stern</t>
        </is>
      </c>
      <c r="B3643" t="inlineStr">
        <is>
          <t>Sponsor</t>
        </is>
      </c>
      <c r="C3643" t="inlineStr">
        <is>
          <t>Head of Sales</t>
        </is>
      </c>
      <c r="D3643" t="inlineStr">
        <is>
          <t>Flexe</t>
        </is>
      </c>
      <c r="E3643" t="inlineStr">
        <is>
          <t>United States</t>
        </is>
      </c>
      <c r="H3643" t="n">
        <v>0</v>
      </c>
      <c r="I3643" t="b">
        <v>0</v>
      </c>
      <c r="J3643" t="b">
        <v>1</v>
      </c>
      <c r="K3643" t="b">
        <v>0</v>
      </c>
      <c r="L3643" t="b">
        <v>0</v>
      </c>
      <c r="M3643" t="b">
        <v>1</v>
      </c>
      <c r="N3643">
        <f>IFERROR(INDEX('Company Hitlist'!$AA:$AA,MATCH(D3643,'Company Hitlist'!$A:$A,0)),)</f>
        <v/>
      </c>
      <c r="O3643">
        <f>IFERROR(INDEX('Company Hitlist'!$N:$N,MATCH(D3643,'Company Hitlist'!$A:$A,0)),)</f>
        <v/>
      </c>
      <c r="Q3643" t="inlineStr">
        <is>
          <t>todo</t>
        </is>
      </c>
    </row>
    <row r="3644">
      <c r="A3644" t="inlineStr">
        <is>
          <t>Jim Quaid</t>
        </is>
      </c>
      <c r="B3644" t="inlineStr">
        <is>
          <t>Sponsor</t>
        </is>
      </c>
      <c r="C3644" t="inlineStr">
        <is>
          <t>Head of Sales, Americas</t>
        </is>
      </c>
      <c r="D3644" t="inlineStr">
        <is>
          <t>Flexport</t>
        </is>
      </c>
      <c r="E3644" t="inlineStr">
        <is>
          <t>United States</t>
        </is>
      </c>
      <c r="H3644" t="n">
        <v>0</v>
      </c>
      <c r="I3644" t="b">
        <v>0</v>
      </c>
      <c r="J3644" t="b">
        <v>1</v>
      </c>
      <c r="K3644" t="b">
        <v>0</v>
      </c>
      <c r="L3644" t="b">
        <v>0</v>
      </c>
      <c r="M3644" t="b">
        <v>1</v>
      </c>
      <c r="N3644">
        <f>IFERROR(INDEX('Company Hitlist'!$AA:$AA,MATCH(D3644,'Company Hitlist'!$A:$A,0)),)</f>
        <v/>
      </c>
      <c r="O3644">
        <f>IFERROR(INDEX('Company Hitlist'!$N:$N,MATCH(D3644,'Company Hitlist'!$A:$A,0)),)</f>
        <v/>
      </c>
      <c r="Q3644" t="inlineStr">
        <is>
          <t>todo</t>
        </is>
      </c>
    </row>
    <row r="3645">
      <c r="A3645" t="inlineStr">
        <is>
          <t>Carmen Mirabella</t>
        </is>
      </c>
      <c r="B3645" t="inlineStr">
        <is>
          <t>Attendee</t>
        </is>
      </c>
      <c r="C3645" t="inlineStr">
        <is>
          <t>Fulex</t>
        </is>
      </c>
      <c r="D3645" t="inlineStr">
        <is>
          <t>Founder</t>
        </is>
      </c>
      <c r="H3645" t="n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>
        <f>IFERROR(INDEX('Company Hitlist'!$AA:$AA,MATCH(D3645,'Company Hitlist'!$A:$A,0)),)</f>
        <v/>
      </c>
      <c r="O3645">
        <f>IFERROR(INDEX('Company Hitlist'!$N:$N,MATCH(D3645,'Company Hitlist'!$A:$A,0)),)</f>
        <v/>
      </c>
      <c r="Q3645" t="inlineStr">
        <is>
          <t>todo</t>
        </is>
      </c>
    </row>
    <row r="3646">
      <c r="A3646" t="inlineStr">
        <is>
          <t>John Cantrell</t>
        </is>
      </c>
      <c r="B3646" t="inlineStr">
        <is>
          <t>Attendee</t>
        </is>
      </c>
      <c r="C3646" t="inlineStr">
        <is>
          <t>Director of Client Strategy</t>
        </is>
      </c>
      <c r="D3646" t="inlineStr">
        <is>
          <t>Four Eighteen Technologies</t>
        </is>
      </c>
      <c r="E3646" t="inlineStr">
        <is>
          <t>United States</t>
        </is>
      </c>
      <c r="F3646" t="inlineStr">
        <is>
          <t>Yes</t>
        </is>
      </c>
      <c r="H3646" t="n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>
        <f>IFERROR(INDEX('Company Hitlist'!$AA:$AA,MATCH(D3646,'Company Hitlist'!$A:$A,0)),)</f>
        <v/>
      </c>
      <c r="O3646">
        <f>IFERROR(INDEX('Company Hitlist'!$N:$N,MATCH(D3646,'Company Hitlist'!$A:$A,0)),)</f>
        <v/>
      </c>
      <c r="Q3646" t="inlineStr">
        <is>
          <t>todo</t>
        </is>
      </c>
    </row>
    <row r="3647">
      <c r="A3647" t="inlineStr">
        <is>
          <t>Amanda Dyson</t>
        </is>
      </c>
      <c r="B3647" t="inlineStr">
        <is>
          <t>Sponsor</t>
        </is>
      </c>
      <c r="C3647" t="inlineStr">
        <is>
          <t>VP of Marketing</t>
        </is>
      </c>
      <c r="D3647" t="inlineStr">
        <is>
          <t>FourKites</t>
        </is>
      </c>
      <c r="E3647" t="inlineStr">
        <is>
          <t>United States</t>
        </is>
      </c>
      <c r="F3647" t="inlineStr">
        <is>
          <t>Yes</t>
        </is>
      </c>
      <c r="G3647" t="inlineStr">
        <is>
          <t>$100M (2024 est.; projected $110M in 2025)</t>
        </is>
      </c>
      <c r="H3647" t="n">
        <v>0</v>
      </c>
      <c r="I3647" t="b">
        <v>0</v>
      </c>
      <c r="J3647" t="b">
        <v>1</v>
      </c>
      <c r="K3647" t="b">
        <v>0</v>
      </c>
      <c r="L3647" t="b">
        <v>0</v>
      </c>
      <c r="M3647" t="b">
        <v>1</v>
      </c>
      <c r="N3647">
        <f>IFERROR(INDEX('Company Hitlist'!$AA:$AA,MATCH(D3647,'Company Hitlist'!$A:$A,0)),)</f>
        <v/>
      </c>
      <c r="O3647">
        <f>IFERROR(INDEX('Company Hitlist'!$N:$N,MATCH(D3647,'Company Hitlist'!$A:$A,0)),)</f>
        <v/>
      </c>
      <c r="Q3647" t="inlineStr">
        <is>
          <t>todo</t>
        </is>
      </c>
    </row>
    <row r="3648">
      <c r="A3648" t="inlineStr">
        <is>
          <t>Ron Richardson</t>
        </is>
      </c>
      <c r="B3648" t="inlineStr">
        <is>
          <t>Sponsor</t>
        </is>
      </c>
      <c r="C3648" t="inlineStr">
        <is>
          <t>Chief Revenue Officer</t>
        </is>
      </c>
      <c r="D3648" t="inlineStr">
        <is>
          <t>FourKites</t>
        </is>
      </c>
      <c r="E3648" t="inlineStr">
        <is>
          <t>United States</t>
        </is>
      </c>
      <c r="F3648" t="inlineStr">
        <is>
          <t>Yes</t>
        </is>
      </c>
      <c r="G3648" t="inlineStr">
        <is>
          <t>$100M (2024 est.; projected $110M in 2025)</t>
        </is>
      </c>
      <c r="H3648" t="n">
        <v>0</v>
      </c>
      <c r="I3648" t="b">
        <v>0</v>
      </c>
      <c r="J3648" t="b">
        <v>1</v>
      </c>
      <c r="K3648" t="b">
        <v>0</v>
      </c>
      <c r="L3648" t="b">
        <v>0</v>
      </c>
      <c r="M3648" t="b">
        <v>1</v>
      </c>
      <c r="N3648">
        <f>IFERROR(INDEX('Company Hitlist'!$AA:$AA,MATCH(D3648,'Company Hitlist'!$A:$A,0)),)</f>
        <v/>
      </c>
      <c r="O3648">
        <f>IFERROR(INDEX('Company Hitlist'!$N:$N,MATCH(D3648,'Company Hitlist'!$A:$A,0)),)</f>
        <v/>
      </c>
      <c r="Q3648" t="inlineStr">
        <is>
          <t>todo</t>
        </is>
      </c>
    </row>
    <row r="3649">
      <c r="A3649" t="inlineStr">
        <is>
          <t>Chad Smutny</t>
        </is>
      </c>
      <c r="B3649" t="inlineStr">
        <is>
          <t>Attendee</t>
        </is>
      </c>
      <c r="C3649" t="inlineStr">
        <is>
          <t>Director of IT</t>
        </is>
      </c>
      <c r="D3649" t="inlineStr">
        <is>
          <t>Fracht FWO</t>
        </is>
      </c>
      <c r="E3649" t="inlineStr">
        <is>
          <t>United States</t>
        </is>
      </c>
      <c r="H3649" t="n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>
        <f>IFERROR(INDEX('Company Hitlist'!$AA:$AA,MATCH(D3649,'Company Hitlist'!$A:$A,0)),)</f>
        <v/>
      </c>
      <c r="O3649">
        <f>IFERROR(INDEX('Company Hitlist'!$N:$N,MATCH(D3649,'Company Hitlist'!$A:$A,0)),)</f>
        <v/>
      </c>
      <c r="Q3649" t="inlineStr">
        <is>
          <t>todo</t>
        </is>
      </c>
    </row>
    <row r="3650">
      <c r="A3650" t="inlineStr">
        <is>
          <t>Janick Bujiiks</t>
        </is>
      </c>
      <c r="B3650" t="inlineStr">
        <is>
          <t>Attendee</t>
        </is>
      </c>
      <c r="C3650" t="inlineStr">
        <is>
          <t>Technology Innovation Manager</t>
        </is>
      </c>
      <c r="D3650" t="inlineStr">
        <is>
          <t>Fracht FWO</t>
        </is>
      </c>
      <c r="E3650" t="inlineStr">
        <is>
          <t>United States</t>
        </is>
      </c>
      <c r="H3650" t="n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>
        <f>IFERROR(INDEX('Company Hitlist'!$AA:$AA,MATCH(D3650,'Company Hitlist'!$A:$A,0)),)</f>
        <v/>
      </c>
      <c r="O3650">
        <f>IFERROR(INDEX('Company Hitlist'!$N:$N,MATCH(D3650,'Company Hitlist'!$A:$A,0)),)</f>
        <v/>
      </c>
      <c r="Q3650" t="inlineStr">
        <is>
          <t>todo</t>
        </is>
      </c>
    </row>
    <row r="3651">
      <c r="A3651" t="inlineStr">
        <is>
          <t>Frank Craven</t>
        </is>
      </c>
      <c r="B3651" t="inlineStr">
        <is>
          <t>Sponsor</t>
        </is>
      </c>
      <c r="C3651" t="inlineStr">
        <is>
          <t>Vice President, Sales</t>
        </is>
      </c>
      <c r="D3651" t="inlineStr">
        <is>
          <t>FragilePAK</t>
        </is>
      </c>
      <c r="E3651" t="inlineStr">
        <is>
          <t>United States</t>
        </is>
      </c>
      <c r="H3651" t="n">
        <v>0</v>
      </c>
      <c r="I3651" t="b">
        <v>0</v>
      </c>
      <c r="J3651" t="b">
        <v>1</v>
      </c>
      <c r="K3651" t="b">
        <v>0</v>
      </c>
      <c r="L3651" t="b">
        <v>0</v>
      </c>
      <c r="M3651" t="b">
        <v>1</v>
      </c>
      <c r="N3651">
        <f>IFERROR(INDEX('Company Hitlist'!$AA:$AA,MATCH(D3651,'Company Hitlist'!$A:$A,0)),)</f>
        <v/>
      </c>
      <c r="O3651">
        <f>IFERROR(INDEX('Company Hitlist'!$N:$N,MATCH(D3651,'Company Hitlist'!$A:$A,0)),)</f>
        <v/>
      </c>
      <c r="Q3651" t="inlineStr">
        <is>
          <t>todo</t>
        </is>
      </c>
    </row>
    <row r="3652">
      <c r="A3652" t="inlineStr">
        <is>
          <t>Joshua Carter</t>
        </is>
      </c>
      <c r="B3652" t="inlineStr">
        <is>
          <t>Sponsor</t>
        </is>
      </c>
      <c r="C3652" t="inlineStr">
        <is>
          <t>Vice President of Sales</t>
        </is>
      </c>
      <c r="D3652" t="inlineStr">
        <is>
          <t>FragilePAK</t>
        </is>
      </c>
      <c r="E3652" t="inlineStr">
        <is>
          <t>United States</t>
        </is>
      </c>
      <c r="H3652" t="n">
        <v>0</v>
      </c>
      <c r="I3652" t="b">
        <v>0</v>
      </c>
      <c r="J3652" t="b">
        <v>1</v>
      </c>
      <c r="K3652" t="b">
        <v>0</v>
      </c>
      <c r="L3652" t="b">
        <v>0</v>
      </c>
      <c r="M3652" t="b">
        <v>1</v>
      </c>
      <c r="N3652">
        <f>IFERROR(INDEX('Company Hitlist'!$AA:$AA,MATCH(D3652,'Company Hitlist'!$A:$A,0)),)</f>
        <v/>
      </c>
      <c r="O3652">
        <f>IFERROR(INDEX('Company Hitlist'!$N:$N,MATCH(D3652,'Company Hitlist'!$A:$A,0)),)</f>
        <v/>
      </c>
      <c r="Q3652" t="inlineStr">
        <is>
          <t>todo</t>
        </is>
      </c>
    </row>
    <row r="3653">
      <c r="A3653" t="inlineStr">
        <is>
          <t>Michael Machnicki</t>
        </is>
      </c>
      <c r="B3653" t="inlineStr">
        <is>
          <t>Sponsor</t>
        </is>
      </c>
      <c r="C3653" t="inlineStr">
        <is>
          <t>Vice President, Sales</t>
        </is>
      </c>
      <c r="D3653" t="inlineStr">
        <is>
          <t>FragilePAK</t>
        </is>
      </c>
      <c r="E3653" t="inlineStr">
        <is>
          <t>United States</t>
        </is>
      </c>
      <c r="H3653" t="n">
        <v>0</v>
      </c>
      <c r="I3653" t="b">
        <v>0</v>
      </c>
      <c r="J3653" t="b">
        <v>1</v>
      </c>
      <c r="K3653" t="b">
        <v>0</v>
      </c>
      <c r="L3653" t="b">
        <v>0</v>
      </c>
      <c r="M3653" t="b">
        <v>1</v>
      </c>
      <c r="N3653">
        <f>IFERROR(INDEX('Company Hitlist'!$AA:$AA,MATCH(D3653,'Company Hitlist'!$A:$A,0)),)</f>
        <v/>
      </c>
      <c r="O3653">
        <f>IFERROR(INDEX('Company Hitlist'!$N:$N,MATCH(D3653,'Company Hitlist'!$A:$A,0)),)</f>
        <v/>
      </c>
      <c r="Q3653" t="inlineStr">
        <is>
          <t>todo</t>
        </is>
      </c>
    </row>
    <row r="3654">
      <c r="A3654" t="inlineStr">
        <is>
          <t>Jim Hilbert</t>
        </is>
      </c>
      <c r="B3654" t="inlineStr">
        <is>
          <t>Sponsor</t>
        </is>
      </c>
      <c r="C3654" t="inlineStr">
        <is>
          <t>Chief Revenue Officer</t>
        </is>
      </c>
      <c r="D3654" t="inlineStr">
        <is>
          <t>Free Hand</t>
        </is>
      </c>
      <c r="E3654" t="inlineStr">
        <is>
          <t>United States</t>
        </is>
      </c>
      <c r="F3654" t="inlineStr">
        <is>
          <t>Yes</t>
        </is>
      </c>
      <c r="H3654" t="n">
        <v>0</v>
      </c>
      <c r="I3654" t="b">
        <v>0</v>
      </c>
      <c r="J3654" t="b">
        <v>1</v>
      </c>
      <c r="K3654" t="b">
        <v>0</v>
      </c>
      <c r="L3654" t="b">
        <v>0</v>
      </c>
      <c r="M3654" t="b">
        <v>1</v>
      </c>
      <c r="N3654">
        <f>IFERROR(INDEX('Company Hitlist'!$AA:$AA,MATCH(D3654,'Company Hitlist'!$A:$A,0)),)</f>
        <v/>
      </c>
      <c r="O3654">
        <f>IFERROR(INDEX('Company Hitlist'!$N:$N,MATCH(D3654,'Company Hitlist'!$A:$A,0)),)</f>
        <v/>
      </c>
      <c r="Q3654" t="inlineStr">
        <is>
          <t>todo</t>
        </is>
      </c>
    </row>
    <row r="3655">
      <c r="A3655" t="inlineStr">
        <is>
          <t>Nimesh Patel</t>
        </is>
      </c>
      <c r="B3655" t="inlineStr">
        <is>
          <t>Sponsor</t>
        </is>
      </c>
      <c r="C3655" t="inlineStr">
        <is>
          <t>Vice President, Strategy &amp; Alliances</t>
        </is>
      </c>
      <c r="D3655" t="inlineStr">
        <is>
          <t>Free Hand</t>
        </is>
      </c>
      <c r="E3655" t="inlineStr">
        <is>
          <t>United States</t>
        </is>
      </c>
      <c r="F3655" t="inlineStr">
        <is>
          <t>Yes</t>
        </is>
      </c>
      <c r="H3655" t="n">
        <v>0</v>
      </c>
      <c r="I3655" t="b">
        <v>0</v>
      </c>
      <c r="J3655" t="b">
        <v>1</v>
      </c>
      <c r="K3655" t="b">
        <v>0</v>
      </c>
      <c r="L3655" t="b">
        <v>0</v>
      </c>
      <c r="M3655" t="b">
        <v>1</v>
      </c>
      <c r="N3655">
        <f>IFERROR(INDEX('Company Hitlist'!$AA:$AA,MATCH(D3655,'Company Hitlist'!$A:$A,0)),)</f>
        <v/>
      </c>
      <c r="O3655">
        <f>IFERROR(INDEX('Company Hitlist'!$N:$N,MATCH(D3655,'Company Hitlist'!$A:$A,0)),)</f>
        <v/>
      </c>
      <c r="Q3655" t="inlineStr">
        <is>
          <t>todo</t>
        </is>
      </c>
    </row>
    <row r="3656">
      <c r="A3656" t="inlineStr">
        <is>
          <t>Jim Waters</t>
        </is>
      </c>
      <c r="B3656" t="inlineStr">
        <is>
          <t>Attendee</t>
        </is>
      </c>
      <c r="C3656" t="inlineStr">
        <is>
          <t>Industry Advisor</t>
        </is>
      </c>
      <c r="D3656" t="inlineStr">
        <is>
          <t>FreighTech</t>
        </is>
      </c>
      <c r="E3656" t="inlineStr">
        <is>
          <t>United States</t>
        </is>
      </c>
      <c r="F3656" t="inlineStr">
        <is>
          <t>Yes</t>
        </is>
      </c>
      <c r="H3656" t="n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>
        <f>IFERROR(INDEX('Company Hitlist'!$AA:$AA,MATCH(D3656,'Company Hitlist'!$A:$A,0)),)</f>
        <v/>
      </c>
      <c r="O3656">
        <f>IFERROR(INDEX('Company Hitlist'!$N:$N,MATCH(D3656,'Company Hitlist'!$A:$A,0)),)</f>
        <v/>
      </c>
      <c r="Q3656" t="inlineStr">
        <is>
          <t>todo</t>
        </is>
      </c>
    </row>
    <row r="3657">
      <c r="A3657" t="inlineStr">
        <is>
          <t>Brad Hoffman</t>
        </is>
      </c>
      <c r="B3657" t="inlineStr">
        <is>
          <t>Sponsor</t>
        </is>
      </c>
      <c r="C3657" t="inlineStr">
        <is>
          <t>VP of Sales</t>
        </is>
      </c>
      <c r="D3657" t="inlineStr">
        <is>
          <t>FreightWise &amp; Kuebix</t>
        </is>
      </c>
      <c r="H3657" t="n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1</v>
      </c>
      <c r="N3657">
        <f>IFERROR(INDEX('Company Hitlist'!$AA:$AA,MATCH(D3657,'Company Hitlist'!$A:$A,0)),)</f>
        <v/>
      </c>
      <c r="O3657">
        <f>IFERROR(INDEX('Company Hitlist'!$N:$N,MATCH(D3657,'Company Hitlist'!$A:$A,0)),)</f>
        <v/>
      </c>
      <c r="Q3657" t="inlineStr">
        <is>
          <t>todo</t>
        </is>
      </c>
    </row>
    <row r="3658">
      <c r="A3658" t="inlineStr">
        <is>
          <t>Aadithya V</t>
        </is>
      </c>
      <c r="B3658" t="inlineStr">
        <is>
          <t>Attendee</t>
        </is>
      </c>
      <c r="C3658" t="inlineStr">
        <is>
          <t>Co-Founder</t>
        </is>
      </c>
      <c r="D3658" t="inlineStr">
        <is>
          <t>Freightify</t>
        </is>
      </c>
      <c r="E3658" t="inlineStr">
        <is>
          <t>Singapore</t>
        </is>
      </c>
      <c r="F3658" t="inlineStr">
        <is>
          <t>Yes</t>
        </is>
      </c>
      <c r="H3658" t="n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>
        <f>IFERROR(INDEX('Company Hitlist'!$AA:$AA,MATCH(D3658,'Company Hitlist'!$A:$A,0)),)</f>
        <v/>
      </c>
      <c r="O3658">
        <f>IFERROR(INDEX('Company Hitlist'!$N:$N,MATCH(D3658,'Company Hitlist'!$A:$A,0)),)</f>
        <v/>
      </c>
      <c r="Q3658" t="inlineStr">
        <is>
          <t>todo</t>
        </is>
      </c>
    </row>
    <row r="3659">
      <c r="A3659" t="inlineStr">
        <is>
          <t>Pankaj Giroti</t>
        </is>
      </c>
      <c r="B3659" t="inlineStr">
        <is>
          <t>Attendee</t>
        </is>
      </c>
      <c r="C3659" t="inlineStr">
        <is>
          <t>Co-Founder</t>
        </is>
      </c>
      <c r="D3659" t="inlineStr">
        <is>
          <t>Freightify</t>
        </is>
      </c>
      <c r="F3659" t="inlineStr">
        <is>
          <t>Yes</t>
        </is>
      </c>
      <c r="H3659" t="n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>
        <f>IFERROR(INDEX('Company Hitlist'!$AA:$AA,MATCH(D3659,'Company Hitlist'!$A:$A,0)),)</f>
        <v/>
      </c>
      <c r="O3659">
        <f>IFERROR(INDEX('Company Hitlist'!$N:$N,MATCH(D3659,'Company Hitlist'!$A:$A,0)),)</f>
        <v/>
      </c>
      <c r="Q3659" t="inlineStr">
        <is>
          <t>todo</t>
        </is>
      </c>
    </row>
    <row r="3660">
      <c r="A3660" t="inlineStr">
        <is>
          <t>Thomas Wasson</t>
        </is>
      </c>
      <c r="B3660" t="inlineStr">
        <is>
          <t>Attendee</t>
        </is>
      </c>
      <c r="C3660" t="inlineStr">
        <is>
          <t>Enterprise Trucking Expert</t>
        </is>
      </c>
      <c r="D3660" t="inlineStr">
        <is>
          <t>Freightwaves</t>
        </is>
      </c>
      <c r="E3660" t="inlineStr">
        <is>
          <t>United States</t>
        </is>
      </c>
      <c r="H3660" t="n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>
        <f>IFERROR(INDEX('Company Hitlist'!$AA:$AA,MATCH(D3660,'Company Hitlist'!$A:$A,0)),)</f>
        <v/>
      </c>
      <c r="O3660">
        <f>IFERROR(INDEX('Company Hitlist'!$N:$N,MATCH(D3660,'Company Hitlist'!$A:$A,0)),)</f>
        <v/>
      </c>
      <c r="Q3660" t="inlineStr">
        <is>
          <t>todo</t>
        </is>
      </c>
    </row>
    <row r="3661">
      <c r="A3661" t="inlineStr">
        <is>
          <t>Pinar Kucukyilmaz</t>
        </is>
      </c>
      <c r="B3661" t="inlineStr">
        <is>
          <t>Attendee</t>
        </is>
      </c>
      <c r="C3661" t="inlineStr">
        <is>
          <t>Director, Continuous Improvement</t>
        </is>
      </c>
      <c r="D3661" t="inlineStr">
        <is>
          <t>FreshDirect</t>
        </is>
      </c>
      <c r="E3661" t="inlineStr">
        <is>
          <t>United States</t>
        </is>
      </c>
      <c r="F3661" t="inlineStr">
        <is>
          <t>Yes</t>
        </is>
      </c>
      <c r="H3661" t="n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>
        <f>IFERROR(INDEX('Company Hitlist'!$AA:$AA,MATCH(D3661,'Company Hitlist'!$A:$A,0)),)</f>
        <v/>
      </c>
      <c r="O3661">
        <f>IFERROR(INDEX('Company Hitlist'!$N:$N,MATCH(D3661,'Company Hitlist'!$A:$A,0)),)</f>
        <v/>
      </c>
      <c r="Q3661" t="inlineStr">
        <is>
          <t>todo</t>
        </is>
      </c>
    </row>
    <row r="3662">
      <c r="A3662" t="inlineStr">
        <is>
          <t>Andy Viteo</t>
        </is>
      </c>
      <c r="B3662" t="inlineStr">
        <is>
          <t>Attendee</t>
        </is>
      </c>
      <c r="C3662" t="inlineStr">
        <is>
          <t>Director of Order Processing</t>
        </is>
      </c>
      <c r="D3662" t="inlineStr">
        <is>
          <t>Frida Baby</t>
        </is>
      </c>
      <c r="F3662" t="inlineStr">
        <is>
          <t>Yes</t>
        </is>
      </c>
      <c r="H3662" t="n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>
        <f>IFERROR(INDEX('Company Hitlist'!$AA:$AA,MATCH(D3662,'Company Hitlist'!$A:$A,0)),)</f>
        <v/>
      </c>
      <c r="O3662">
        <f>IFERROR(INDEX('Company Hitlist'!$N:$N,MATCH(D3662,'Company Hitlist'!$A:$A,0)),)</f>
        <v/>
      </c>
      <c r="Q3662" t="inlineStr">
        <is>
          <t>todo</t>
        </is>
      </c>
    </row>
    <row r="3663">
      <c r="A3663" t="inlineStr">
        <is>
          <t>Jennifer Besomi</t>
        </is>
      </c>
      <c r="B3663" t="inlineStr">
        <is>
          <t>Attendee</t>
        </is>
      </c>
      <c r="C3663" t="inlineStr">
        <is>
          <t>Editor</t>
        </is>
      </c>
      <c r="D3663" t="inlineStr">
        <is>
          <t>Froid News</t>
        </is>
      </c>
      <c r="E3663" t="inlineStr">
        <is>
          <t>United States</t>
        </is>
      </c>
      <c r="H3663" t="n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>
        <f>IFERROR(INDEX('Company Hitlist'!$AA:$AA,MATCH(D3663,'Company Hitlist'!$A:$A,0)),)</f>
        <v/>
      </c>
      <c r="O3663">
        <f>IFERROR(INDEX('Company Hitlist'!$N:$N,MATCH(D3663,'Company Hitlist'!$A:$A,0)),)</f>
        <v/>
      </c>
      <c r="Q3663" t="inlineStr">
        <is>
          <t>todo</t>
        </is>
      </c>
    </row>
    <row r="3664">
      <c r="A3664" t="inlineStr">
        <is>
          <t>Sylvie Warnet</t>
        </is>
      </c>
      <c r="B3664" t="inlineStr">
        <is>
          <t>Attendee</t>
        </is>
      </c>
      <c r="C3664" t="inlineStr">
        <is>
          <t>Editor</t>
        </is>
      </c>
      <c r="D3664" t="inlineStr">
        <is>
          <t>Froid News</t>
        </is>
      </c>
      <c r="E3664" t="inlineStr">
        <is>
          <t>United States</t>
        </is>
      </c>
      <c r="H3664" t="n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>
        <f>IFERROR(INDEX('Company Hitlist'!$AA:$AA,MATCH(D3664,'Company Hitlist'!$A:$A,0)),)</f>
        <v/>
      </c>
      <c r="O3664">
        <f>IFERROR(INDEX('Company Hitlist'!$N:$N,MATCH(D3664,'Company Hitlist'!$A:$A,0)),)</f>
        <v/>
      </c>
      <c r="Q3664" t="inlineStr">
        <is>
          <t>todo</t>
        </is>
      </c>
    </row>
    <row r="3665">
      <c r="A3665" t="inlineStr">
        <is>
          <t>Brent Dorfman</t>
        </is>
      </c>
      <c r="B3665" t="inlineStr">
        <is>
          <t>Attendee</t>
        </is>
      </c>
      <c r="C3665" t="inlineStr">
        <is>
          <t>Principal</t>
        </is>
      </c>
      <c r="D3665" t="inlineStr">
        <is>
          <t>Fulcrum Equity Partners</t>
        </is>
      </c>
      <c r="E3665" t="inlineStr">
        <is>
          <t>United States</t>
        </is>
      </c>
      <c r="H3665" t="n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>
        <f>IFERROR(INDEX('Company Hitlist'!$AA:$AA,MATCH(D3665,'Company Hitlist'!$A:$A,0)),)</f>
        <v/>
      </c>
      <c r="O3665">
        <f>IFERROR(INDEX('Company Hitlist'!$N:$N,MATCH(D3665,'Company Hitlist'!$A:$A,0)),)</f>
        <v/>
      </c>
      <c r="Q3665" t="inlineStr">
        <is>
          <t>todo</t>
        </is>
      </c>
    </row>
    <row r="3666">
      <c r="A3666" t="inlineStr">
        <is>
          <t>Kurt Hamilton</t>
        </is>
      </c>
      <c r="B3666" t="inlineStr">
        <is>
          <t>Attendee</t>
        </is>
      </c>
      <c r="C3666" t="inlineStr">
        <is>
          <t>Executive Director</t>
        </is>
      </c>
      <c r="D3666" t="inlineStr">
        <is>
          <t>Fullfillment House</t>
        </is>
      </c>
      <c r="E3666" t="inlineStr">
        <is>
          <t>United States</t>
        </is>
      </c>
      <c r="F3666" t="inlineStr">
        <is>
          <t>Yes</t>
        </is>
      </c>
      <c r="H3666" t="n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>
        <f>IFERROR(INDEX('Company Hitlist'!$AA:$AA,MATCH(D3666,'Company Hitlist'!$A:$A,0)),)</f>
        <v/>
      </c>
      <c r="O3666">
        <f>IFERROR(INDEX('Company Hitlist'!$N:$N,MATCH(D3666,'Company Hitlist'!$A:$A,0)),)</f>
        <v/>
      </c>
      <c r="Q3666" t="inlineStr">
        <is>
          <t>todo</t>
        </is>
      </c>
    </row>
    <row r="3667">
      <c r="A3667" t="inlineStr">
        <is>
          <t>Bobby Walker</t>
        </is>
      </c>
      <c r="B3667" t="inlineStr">
        <is>
          <t>Attendee</t>
        </is>
      </c>
      <c r="C3667" t="inlineStr">
        <is>
          <t>Solutions Executive</t>
        </is>
      </c>
      <c r="D3667" t="inlineStr">
        <is>
          <t>G&amp;P</t>
        </is>
      </c>
      <c r="E3667" t="inlineStr">
        <is>
          <t>United States</t>
        </is>
      </c>
      <c r="H3667" t="n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>
        <f>IFERROR(INDEX('Company Hitlist'!$AA:$AA,MATCH(D3667,'Company Hitlist'!$A:$A,0)),)</f>
        <v/>
      </c>
      <c r="O3667">
        <f>IFERROR(INDEX('Company Hitlist'!$N:$N,MATCH(D3667,'Company Hitlist'!$A:$A,0)),)</f>
        <v/>
      </c>
      <c r="Q3667" t="inlineStr">
        <is>
          <t>todo</t>
        </is>
      </c>
    </row>
    <row r="3668">
      <c r="A3668" t="inlineStr">
        <is>
          <t>Daniel Gorey</t>
        </is>
      </c>
      <c r="B3668" t="inlineStr">
        <is>
          <t>Attendee</t>
        </is>
      </c>
      <c r="C3668" t="inlineStr">
        <is>
          <t>Director of Real Estate</t>
        </is>
      </c>
      <c r="D3668" t="inlineStr">
        <is>
          <t>G&amp;P</t>
        </is>
      </c>
      <c r="E3668" t="inlineStr">
        <is>
          <t>United States</t>
        </is>
      </c>
      <c r="H3668" t="n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>
        <f>IFERROR(INDEX('Company Hitlist'!$AA:$AA,MATCH(D3668,'Company Hitlist'!$A:$A,0)),)</f>
        <v/>
      </c>
      <c r="O3668">
        <f>IFERROR(INDEX('Company Hitlist'!$N:$N,MATCH(D3668,'Company Hitlist'!$A:$A,0)),)</f>
        <v/>
      </c>
      <c r="Q3668" t="inlineStr">
        <is>
          <t>todo</t>
        </is>
      </c>
    </row>
    <row r="3669">
      <c r="A3669" t="inlineStr">
        <is>
          <t>Martin Lyczewski</t>
        </is>
      </c>
      <c r="B3669" t="inlineStr">
        <is>
          <t>Attendee</t>
        </is>
      </c>
      <c r="C3669" t="inlineStr">
        <is>
          <t>National Account Manager</t>
        </is>
      </c>
      <c r="D3669" t="inlineStr">
        <is>
          <t>G&amp;P</t>
        </is>
      </c>
      <c r="E3669" t="inlineStr">
        <is>
          <t>United States</t>
        </is>
      </c>
      <c r="H3669" t="n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>
        <f>IFERROR(INDEX('Company Hitlist'!$AA:$AA,MATCH(D3669,'Company Hitlist'!$A:$A,0)),)</f>
        <v/>
      </c>
      <c r="O3669">
        <f>IFERROR(INDEX('Company Hitlist'!$N:$N,MATCH(D3669,'Company Hitlist'!$A:$A,0)),)</f>
        <v/>
      </c>
      <c r="Q3669" t="inlineStr">
        <is>
          <t>todo</t>
        </is>
      </c>
    </row>
    <row r="3670">
      <c r="A3670" t="inlineStr">
        <is>
          <t>Matt Eymann</t>
        </is>
      </c>
      <c r="B3670" t="inlineStr">
        <is>
          <t>Attendee</t>
        </is>
      </c>
      <c r="C3670" t="inlineStr">
        <is>
          <t>National Account Manager</t>
        </is>
      </c>
      <c r="D3670" t="inlineStr">
        <is>
          <t>G&amp;P</t>
        </is>
      </c>
      <c r="E3670" t="inlineStr">
        <is>
          <t>United States</t>
        </is>
      </c>
      <c r="H3670" t="n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>
        <f>IFERROR(INDEX('Company Hitlist'!$AA:$AA,MATCH(D3670,'Company Hitlist'!$A:$A,0)),)</f>
        <v/>
      </c>
      <c r="O3670">
        <f>IFERROR(INDEX('Company Hitlist'!$N:$N,MATCH(D3670,'Company Hitlist'!$A:$A,0)),)</f>
        <v/>
      </c>
      <c r="Q3670" t="inlineStr">
        <is>
          <t>todo</t>
        </is>
      </c>
    </row>
    <row r="3671">
      <c r="A3671" t="inlineStr">
        <is>
          <t>Megan Kohler</t>
        </is>
      </c>
      <c r="B3671" t="inlineStr">
        <is>
          <t>Attendee</t>
        </is>
      </c>
      <c r="C3671" t="inlineStr">
        <is>
          <t>Strategic Brand Ambassador</t>
        </is>
      </c>
      <c r="D3671" t="inlineStr">
        <is>
          <t>G&amp;P</t>
        </is>
      </c>
      <c r="E3671" t="inlineStr">
        <is>
          <t>United States</t>
        </is>
      </c>
      <c r="H3671" t="n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>
        <f>IFERROR(INDEX('Company Hitlist'!$AA:$AA,MATCH(D3671,'Company Hitlist'!$A:$A,0)),)</f>
        <v/>
      </c>
      <c r="O3671">
        <f>IFERROR(INDEX('Company Hitlist'!$N:$N,MATCH(D3671,'Company Hitlist'!$A:$A,0)),)</f>
        <v/>
      </c>
      <c r="Q3671" t="inlineStr">
        <is>
          <t>todo</t>
        </is>
      </c>
    </row>
    <row r="3672">
      <c r="A3672" t="inlineStr">
        <is>
          <t>Nick Gorey</t>
        </is>
      </c>
      <c r="B3672" t="inlineStr">
        <is>
          <t>Attendee</t>
        </is>
      </c>
      <c r="C3672" t="inlineStr">
        <is>
          <t>Owner</t>
        </is>
      </c>
      <c r="D3672" t="inlineStr">
        <is>
          <t>G&amp;P</t>
        </is>
      </c>
      <c r="E3672" t="inlineStr">
        <is>
          <t>United States</t>
        </is>
      </c>
      <c r="H3672" t="n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>
        <f>IFERROR(INDEX('Company Hitlist'!$AA:$AA,MATCH(D3672,'Company Hitlist'!$A:$A,0)),)</f>
        <v/>
      </c>
      <c r="O3672">
        <f>IFERROR(INDEX('Company Hitlist'!$N:$N,MATCH(D3672,'Company Hitlist'!$A:$A,0)),)</f>
        <v/>
      </c>
      <c r="Q3672" t="inlineStr">
        <is>
          <t>todo</t>
        </is>
      </c>
    </row>
    <row r="3673">
      <c r="A3673" t="inlineStr">
        <is>
          <t>Mike Gorey</t>
        </is>
      </c>
      <c r="B3673" t="inlineStr">
        <is>
          <t>Attendee</t>
        </is>
      </c>
      <c r="C3673" t="inlineStr">
        <is>
          <t>Owner</t>
        </is>
      </c>
      <c r="D3673" t="inlineStr">
        <is>
          <t>G&amp;P Construction</t>
        </is>
      </c>
      <c r="E3673" t="inlineStr">
        <is>
          <t>United States</t>
        </is>
      </c>
      <c r="H3673" t="n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>
        <f>IFERROR(INDEX('Company Hitlist'!$AA:$AA,MATCH(D3673,'Company Hitlist'!$A:$A,0)),)</f>
        <v/>
      </c>
      <c r="O3673">
        <f>IFERROR(INDEX('Company Hitlist'!$N:$N,MATCH(D3673,'Company Hitlist'!$A:$A,0)),)</f>
        <v/>
      </c>
      <c r="Q3673" t="inlineStr">
        <is>
          <t>todo</t>
        </is>
      </c>
    </row>
    <row r="3674">
      <c r="A3674" t="inlineStr">
        <is>
          <t>Jake Tauscher</t>
        </is>
      </c>
      <c r="B3674" t="inlineStr">
        <is>
          <t>Attendee</t>
        </is>
      </c>
      <c r="C3674" t="inlineStr">
        <is>
          <t>Partner</t>
        </is>
      </c>
      <c r="D3674" t="inlineStr">
        <is>
          <t>G2 Venture Partners</t>
        </is>
      </c>
      <c r="E3674" t="inlineStr">
        <is>
          <t>United States</t>
        </is>
      </c>
      <c r="H3674" t="n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>
        <f>IFERROR(INDEX('Company Hitlist'!$AA:$AA,MATCH(D3674,'Company Hitlist'!$A:$A,0)),)</f>
        <v/>
      </c>
      <c r="O3674">
        <f>IFERROR(INDEX('Company Hitlist'!$N:$N,MATCH(D3674,'Company Hitlist'!$A:$A,0)),)</f>
        <v/>
      </c>
      <c r="Q3674" t="inlineStr">
        <is>
          <t>todo</t>
        </is>
      </c>
    </row>
    <row r="3675">
      <c r="A3675" t="inlineStr">
        <is>
          <t>Stephen Bernard</t>
        </is>
      </c>
      <c r="B3675" t="inlineStr">
        <is>
          <t>Attendee</t>
        </is>
      </c>
      <c r="C3675" t="inlineStr">
        <is>
          <t>Senior Product Manager</t>
        </is>
      </c>
      <c r="D3675" t="inlineStr">
        <is>
          <t>G3 Enterprises</t>
        </is>
      </c>
      <c r="E3675" t="inlineStr">
        <is>
          <t>United States</t>
        </is>
      </c>
      <c r="H3675" t="n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>
        <f>IFERROR(INDEX('Company Hitlist'!$AA:$AA,MATCH(D3675,'Company Hitlist'!$A:$A,0)),)</f>
        <v/>
      </c>
      <c r="O3675">
        <f>IFERROR(INDEX('Company Hitlist'!$N:$N,MATCH(D3675,'Company Hitlist'!$A:$A,0)),)</f>
        <v/>
      </c>
      <c r="Q3675" t="inlineStr">
        <is>
          <t>todo</t>
        </is>
      </c>
    </row>
    <row r="3676">
      <c r="A3676" t="inlineStr">
        <is>
          <t>Avik Mkrtichyan</t>
        </is>
      </c>
      <c r="B3676" t="inlineStr">
        <is>
          <t>Attendee</t>
        </is>
      </c>
      <c r="C3676" t="inlineStr">
        <is>
          <t>Founder</t>
        </is>
      </c>
      <c r="D3676" t="inlineStr">
        <is>
          <t>GA LOGISTICS LLC</t>
        </is>
      </c>
      <c r="E3676" t="inlineStr">
        <is>
          <t>United States</t>
        </is>
      </c>
      <c r="F3676" t="inlineStr">
        <is>
          <t>Yes</t>
        </is>
      </c>
      <c r="H3676" t="n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>
        <f>IFERROR(INDEX('Company Hitlist'!$AA:$AA,MATCH(D3676,'Company Hitlist'!$A:$A,0)),)</f>
        <v/>
      </c>
      <c r="O3676">
        <f>IFERROR(INDEX('Company Hitlist'!$N:$N,MATCH(D3676,'Company Hitlist'!$A:$A,0)),)</f>
        <v/>
      </c>
      <c r="Q3676" t="inlineStr">
        <is>
          <t>todo</t>
        </is>
      </c>
    </row>
    <row r="3677">
      <c r="A3677" t="inlineStr">
        <is>
          <t>Giorgi Kiknadze</t>
        </is>
      </c>
      <c r="B3677" t="inlineStr">
        <is>
          <t>Attendee</t>
        </is>
      </c>
      <c r="C3677" t="inlineStr">
        <is>
          <t>Founder</t>
        </is>
      </c>
      <c r="D3677" t="inlineStr">
        <is>
          <t>GA LOGISTICS LLC</t>
        </is>
      </c>
      <c r="E3677" t="inlineStr">
        <is>
          <t>United States</t>
        </is>
      </c>
      <c r="F3677" t="inlineStr">
        <is>
          <t>Yes</t>
        </is>
      </c>
      <c r="H3677" t="n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>
        <f>IFERROR(INDEX('Company Hitlist'!$AA:$AA,MATCH(D3677,'Company Hitlist'!$A:$A,0)),)</f>
        <v/>
      </c>
      <c r="O3677">
        <f>IFERROR(INDEX('Company Hitlist'!$N:$N,MATCH(D3677,'Company Hitlist'!$A:$A,0)),)</f>
        <v/>
      </c>
      <c r="Q3677" t="inlineStr">
        <is>
          <t>todo</t>
        </is>
      </c>
    </row>
    <row r="3678">
      <c r="A3678" t="inlineStr">
        <is>
          <t>Gregor Thompson</t>
        </is>
      </c>
      <c r="B3678" t="inlineStr">
        <is>
          <t>Sponsor</t>
        </is>
      </c>
      <c r="C3678" t="inlineStr">
        <is>
          <t>VP Business Development</t>
        </is>
      </c>
      <c r="D3678" t="inlineStr">
        <is>
          <t>GEODIS</t>
        </is>
      </c>
      <c r="E3678" t="inlineStr">
        <is>
          <t>United States</t>
        </is>
      </c>
      <c r="H3678" t="n">
        <v>0</v>
      </c>
      <c r="I3678" t="b">
        <v>0</v>
      </c>
      <c r="J3678" t="b">
        <v>1</v>
      </c>
      <c r="K3678" t="b">
        <v>0</v>
      </c>
      <c r="L3678" t="b">
        <v>0</v>
      </c>
      <c r="M3678" t="b">
        <v>1</v>
      </c>
      <c r="N3678">
        <f>IFERROR(INDEX('Company Hitlist'!$AA:$AA,MATCH(D3678,'Company Hitlist'!$A:$A,0)),)</f>
        <v/>
      </c>
      <c r="O3678">
        <f>IFERROR(INDEX('Company Hitlist'!$N:$N,MATCH(D3678,'Company Hitlist'!$A:$A,0)),)</f>
        <v/>
      </c>
      <c r="Q3678" t="inlineStr">
        <is>
          <t>todo</t>
        </is>
      </c>
    </row>
    <row r="3679">
      <c r="A3679" t="inlineStr">
        <is>
          <t>Kevvon Burdette</t>
        </is>
      </c>
      <c r="B3679" t="inlineStr">
        <is>
          <t>Sponsor</t>
        </is>
      </c>
      <c r="C3679" t="inlineStr">
        <is>
          <t>SVP Business Development</t>
        </is>
      </c>
      <c r="D3679" t="inlineStr">
        <is>
          <t>GEODIS</t>
        </is>
      </c>
      <c r="H3679" t="n">
        <v>0</v>
      </c>
      <c r="I3679" t="b">
        <v>0</v>
      </c>
      <c r="J3679" t="b">
        <v>1</v>
      </c>
      <c r="K3679" t="b">
        <v>0</v>
      </c>
      <c r="L3679" t="b">
        <v>0</v>
      </c>
      <c r="M3679" t="b">
        <v>1</v>
      </c>
      <c r="N3679">
        <f>IFERROR(INDEX('Company Hitlist'!$AA:$AA,MATCH(D3679,'Company Hitlist'!$A:$A,0)),)</f>
        <v/>
      </c>
      <c r="O3679">
        <f>IFERROR(INDEX('Company Hitlist'!$N:$N,MATCH(D3679,'Company Hitlist'!$A:$A,0)),)</f>
        <v/>
      </c>
      <c r="Q3679" t="inlineStr">
        <is>
          <t>todo</t>
        </is>
      </c>
    </row>
    <row r="3680">
      <c r="A3680" t="inlineStr">
        <is>
          <t>Chris Hostettler</t>
        </is>
      </c>
      <c r="B3680" t="inlineStr">
        <is>
          <t>Attendee</t>
        </is>
      </c>
      <c r="C3680" t="inlineStr">
        <is>
          <t>Sr. Practice Leader</t>
        </is>
      </c>
      <c r="D3680" t="inlineStr">
        <is>
          <t>GESG</t>
        </is>
      </c>
      <c r="E3680" t="inlineStr">
        <is>
          <t>United States</t>
        </is>
      </c>
      <c r="F3680" t="inlineStr">
        <is>
          <t>Yes</t>
        </is>
      </c>
      <c r="H3680" t="n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>
        <f>IFERROR(INDEX('Company Hitlist'!$AA:$AA,MATCH(D3680,'Company Hitlist'!$A:$A,0)),)</f>
        <v/>
      </c>
      <c r="O3680">
        <f>IFERROR(INDEX('Company Hitlist'!$N:$N,MATCH(D3680,'Company Hitlist'!$A:$A,0)),)</f>
        <v/>
      </c>
      <c r="Q3680" t="inlineStr">
        <is>
          <t>todo</t>
        </is>
      </c>
    </row>
    <row r="3681">
      <c r="A3681" t="inlineStr">
        <is>
          <t>Katelyn Reed</t>
        </is>
      </c>
      <c r="B3681" t="inlineStr">
        <is>
          <t>Attendee</t>
        </is>
      </c>
      <c r="C3681" t="inlineStr">
        <is>
          <t>Sr. Director</t>
        </is>
      </c>
      <c r="D3681" t="inlineStr">
        <is>
          <t>GESG</t>
        </is>
      </c>
      <c r="E3681" t="inlineStr">
        <is>
          <t>United States</t>
        </is>
      </c>
      <c r="F3681" t="inlineStr">
        <is>
          <t>Yes</t>
        </is>
      </c>
      <c r="H3681" t="n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>
        <f>IFERROR(INDEX('Company Hitlist'!$AA:$AA,MATCH(D3681,'Company Hitlist'!$A:$A,0)),)</f>
        <v/>
      </c>
      <c r="O3681">
        <f>IFERROR(INDEX('Company Hitlist'!$N:$N,MATCH(D3681,'Company Hitlist'!$A:$A,0)),)</f>
        <v/>
      </c>
      <c r="Q3681" t="inlineStr">
        <is>
          <t>todo</t>
        </is>
      </c>
    </row>
    <row r="3682">
      <c r="A3682" t="inlineStr">
        <is>
          <t>Mike Knox</t>
        </is>
      </c>
      <c r="B3682" t="inlineStr">
        <is>
          <t>Attendee</t>
        </is>
      </c>
      <c r="C3682" t="inlineStr">
        <is>
          <t>Sr. Managing Partner</t>
        </is>
      </c>
      <c r="D3682" t="inlineStr">
        <is>
          <t>GESG</t>
        </is>
      </c>
      <c r="E3682" t="inlineStr">
        <is>
          <t>United States</t>
        </is>
      </c>
      <c r="F3682" t="inlineStr">
        <is>
          <t>Yes</t>
        </is>
      </c>
      <c r="H3682" t="n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>
        <f>IFERROR(INDEX('Company Hitlist'!$AA:$AA,MATCH(D3682,'Company Hitlist'!$A:$A,0)),)</f>
        <v/>
      </c>
      <c r="O3682">
        <f>IFERROR(INDEX('Company Hitlist'!$N:$N,MATCH(D3682,'Company Hitlist'!$A:$A,0)),)</f>
        <v/>
      </c>
      <c r="Q3682" t="inlineStr">
        <is>
          <t>todo</t>
        </is>
      </c>
    </row>
    <row r="3683">
      <c r="A3683" t="inlineStr">
        <is>
          <t>Justin Shin</t>
        </is>
      </c>
      <c r="B3683" t="inlineStr">
        <is>
          <t>Attendee</t>
        </is>
      </c>
      <c r="C3683" t="inlineStr">
        <is>
          <t>Investments</t>
        </is>
      </c>
      <c r="D3683" t="inlineStr">
        <is>
          <t>GI Partners</t>
        </is>
      </c>
      <c r="E3683" t="inlineStr">
        <is>
          <t>United States</t>
        </is>
      </c>
      <c r="H3683" t="n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>
        <f>IFERROR(INDEX('Company Hitlist'!$AA:$AA,MATCH(D3683,'Company Hitlist'!$A:$A,0)),)</f>
        <v/>
      </c>
      <c r="O3683">
        <f>IFERROR(INDEX('Company Hitlist'!$N:$N,MATCH(D3683,'Company Hitlist'!$A:$A,0)),)</f>
        <v/>
      </c>
      <c r="Q3683" t="inlineStr">
        <is>
          <t>todo</t>
        </is>
      </c>
    </row>
    <row r="3684">
      <c r="A3684" t="inlineStr">
        <is>
          <t>Michael Smith</t>
        </is>
      </c>
      <c r="B3684" t="inlineStr">
        <is>
          <t>Attendee</t>
        </is>
      </c>
      <c r="C3684" t="inlineStr">
        <is>
          <t>Principal</t>
        </is>
      </c>
      <c r="D3684" t="inlineStr">
        <is>
          <t>GKG Law PC</t>
        </is>
      </c>
      <c r="E3684" t="inlineStr">
        <is>
          <t>United States</t>
        </is>
      </c>
      <c r="H3684" t="n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>
        <f>IFERROR(INDEX('Company Hitlist'!$AA:$AA,MATCH(D3684,'Company Hitlist'!$A:$A,0)),)</f>
        <v/>
      </c>
      <c r="O3684">
        <f>IFERROR(INDEX('Company Hitlist'!$N:$N,MATCH(D3684,'Company Hitlist'!$A:$A,0)),)</f>
        <v/>
      </c>
      <c r="Q3684" t="inlineStr">
        <is>
          <t>todo</t>
        </is>
      </c>
    </row>
    <row r="3685">
      <c r="A3685" t="inlineStr">
        <is>
          <t>Maria Luepke</t>
        </is>
      </c>
      <c r="B3685" t="inlineStr">
        <is>
          <t>Attendee</t>
        </is>
      </c>
      <c r="C3685" t="inlineStr">
        <is>
          <t>Strategic Support Manager</t>
        </is>
      </c>
      <c r="D3685" t="inlineStr">
        <is>
          <t>GLCS</t>
        </is>
      </c>
      <c r="E3685" t="inlineStr">
        <is>
          <t>United States</t>
        </is>
      </c>
      <c r="H3685" t="n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>
        <f>IFERROR(INDEX('Company Hitlist'!$AA:$AA,MATCH(D3685,'Company Hitlist'!$A:$A,0)),)</f>
        <v/>
      </c>
      <c r="O3685">
        <f>IFERROR(INDEX('Company Hitlist'!$N:$N,MATCH(D3685,'Company Hitlist'!$A:$A,0)),)</f>
        <v/>
      </c>
      <c r="Q3685" t="inlineStr">
        <is>
          <t>todo</t>
        </is>
      </c>
    </row>
    <row r="3686">
      <c r="A3686" t="inlineStr">
        <is>
          <t>Chris Thurman</t>
        </is>
      </c>
      <c r="B3686" t="inlineStr">
        <is>
          <t>Attendee</t>
        </is>
      </c>
      <c r="C3686" t="inlineStr">
        <is>
          <t>Director of Partnerships, Solutions and National Accounts</t>
        </is>
      </c>
      <c r="D3686" t="inlineStr">
        <is>
          <t>GLS US</t>
        </is>
      </c>
      <c r="E3686" t="inlineStr">
        <is>
          <t>United States</t>
        </is>
      </c>
      <c r="F3686" t="inlineStr">
        <is>
          <t>Yes</t>
        </is>
      </c>
      <c r="H3686" t="n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>
        <f>IFERROR(INDEX('Company Hitlist'!$AA:$AA,MATCH(D3686,'Company Hitlist'!$A:$A,0)),)</f>
        <v/>
      </c>
      <c r="O3686">
        <f>IFERROR(INDEX('Company Hitlist'!$N:$N,MATCH(D3686,'Company Hitlist'!$A:$A,0)),)</f>
        <v/>
      </c>
      <c r="Q3686" t="inlineStr">
        <is>
          <t>todo</t>
        </is>
      </c>
    </row>
    <row r="3687">
      <c r="A3687" t="inlineStr">
        <is>
          <t>Stacey King</t>
        </is>
      </c>
      <c r="B3687" t="inlineStr">
        <is>
          <t>Attendee</t>
        </is>
      </c>
      <c r="C3687" t="inlineStr">
        <is>
          <t>National Account Manager</t>
        </is>
      </c>
      <c r="D3687" t="inlineStr">
        <is>
          <t>GLS US</t>
        </is>
      </c>
      <c r="E3687" t="inlineStr">
        <is>
          <t>United States</t>
        </is>
      </c>
      <c r="H3687" t="n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>
        <f>IFERROR(INDEX('Company Hitlist'!$AA:$AA,MATCH(D3687,'Company Hitlist'!$A:$A,0)),)</f>
        <v/>
      </c>
      <c r="O3687">
        <f>IFERROR(INDEX('Company Hitlist'!$N:$N,MATCH(D3687,'Company Hitlist'!$A:$A,0)),)</f>
        <v/>
      </c>
      <c r="Q3687" t="inlineStr">
        <is>
          <t>todo</t>
        </is>
      </c>
    </row>
    <row r="3688">
      <c r="A3688" t="inlineStr">
        <is>
          <t>Jaeseung Shyn</t>
        </is>
      </c>
      <c r="B3688" t="inlineStr">
        <is>
          <t>Attendee</t>
        </is>
      </c>
      <c r="C3688" t="inlineStr">
        <is>
          <t>Manager</t>
        </is>
      </c>
      <c r="D3688" t="inlineStr">
        <is>
          <t>GM</t>
        </is>
      </c>
      <c r="H3688" t="n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>
        <f>IFERROR(INDEX('Company Hitlist'!$AA:$AA,MATCH(D3688,'Company Hitlist'!$A:$A,0)),)</f>
        <v/>
      </c>
      <c r="O3688">
        <f>IFERROR(INDEX('Company Hitlist'!$N:$N,MATCH(D3688,'Company Hitlist'!$A:$A,0)),)</f>
        <v/>
      </c>
      <c r="Q3688" t="inlineStr">
        <is>
          <t>todo</t>
        </is>
      </c>
    </row>
    <row r="3689">
      <c r="A3689" t="inlineStr">
        <is>
          <t>Richard Kim</t>
        </is>
      </c>
      <c r="B3689" t="inlineStr">
        <is>
          <t>Attendee</t>
        </is>
      </c>
      <c r="C3689" t="inlineStr">
        <is>
          <t>Director of Product Management</t>
        </is>
      </c>
      <c r="D3689" t="inlineStr">
        <is>
          <t>GOAT Group</t>
        </is>
      </c>
      <c r="F3689" t="inlineStr">
        <is>
          <t>Yes</t>
        </is>
      </c>
      <c r="H3689" t="n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>
        <f>IFERROR(INDEX('Company Hitlist'!$AA:$AA,MATCH(D3689,'Company Hitlist'!$A:$A,0)),)</f>
        <v/>
      </c>
      <c r="O3689">
        <f>IFERROR(INDEX('Company Hitlist'!$N:$N,MATCH(D3689,'Company Hitlist'!$A:$A,0)),)</f>
        <v/>
      </c>
      <c r="Q3689" t="inlineStr">
        <is>
          <t>todo</t>
        </is>
      </c>
    </row>
    <row r="3690">
      <c r="A3690" t="inlineStr">
        <is>
          <t>Vincent D'Amato</t>
        </is>
      </c>
      <c r="B3690" t="inlineStr">
        <is>
          <t>Sponsor</t>
        </is>
      </c>
      <c r="C3690" t="inlineStr">
        <is>
          <t>Chief Sales Officer - North America</t>
        </is>
      </c>
      <c r="D3690" t="inlineStr">
        <is>
          <t>GOFO</t>
        </is>
      </c>
      <c r="H3690" t="n">
        <v>0</v>
      </c>
      <c r="I3690" t="b">
        <v>0</v>
      </c>
      <c r="J3690" t="b">
        <v>1</v>
      </c>
      <c r="K3690" t="b">
        <v>0</v>
      </c>
      <c r="L3690" t="b">
        <v>0</v>
      </c>
      <c r="M3690" t="b">
        <v>1</v>
      </c>
      <c r="N3690">
        <f>IFERROR(INDEX('Company Hitlist'!$AA:$AA,MATCH(D3690,'Company Hitlist'!$A:$A,0)),)</f>
        <v/>
      </c>
      <c r="O3690">
        <f>IFERROR(INDEX('Company Hitlist'!$N:$N,MATCH(D3690,'Company Hitlist'!$A:$A,0)),)</f>
        <v/>
      </c>
      <c r="Q3690" t="inlineStr">
        <is>
          <t>todo</t>
        </is>
      </c>
    </row>
    <row r="3691">
      <c r="A3691" t="inlineStr">
        <is>
          <t>GABRIEL RAMIREZ</t>
        </is>
      </c>
      <c r="B3691" t="inlineStr">
        <is>
          <t>Attendee</t>
        </is>
      </c>
      <c r="C3691" t="inlineStr">
        <is>
          <t>CCO</t>
        </is>
      </c>
      <c r="D3691" t="inlineStr">
        <is>
          <t>GRUPO AMPM</t>
        </is>
      </c>
      <c r="E3691" t="inlineStr">
        <is>
          <t>Mexico</t>
        </is>
      </c>
      <c r="F3691" t="inlineStr">
        <is>
          <t>Yes</t>
        </is>
      </c>
      <c r="H3691" t="n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>
        <f>IFERROR(INDEX('Company Hitlist'!$AA:$AA,MATCH(D3691,'Company Hitlist'!$A:$A,0)),)</f>
        <v/>
      </c>
      <c r="O3691">
        <f>IFERROR(INDEX('Company Hitlist'!$N:$N,MATCH(D3691,'Company Hitlist'!$A:$A,0)),)</f>
        <v/>
      </c>
      <c r="Q3691" t="inlineStr">
        <is>
          <t>todo</t>
        </is>
      </c>
    </row>
    <row r="3692">
      <c r="A3692" t="inlineStr">
        <is>
          <t>ENRIQUE BARREDA</t>
        </is>
      </c>
      <c r="B3692" t="inlineStr">
        <is>
          <t>Attendee</t>
        </is>
      </c>
      <c r="C3692" t="inlineStr">
        <is>
          <t>DIRECTOR GENERAL</t>
        </is>
      </c>
      <c r="D3692" t="inlineStr">
        <is>
          <t>GRUPO BARREDA</t>
        </is>
      </c>
      <c r="F3692" t="inlineStr">
        <is>
          <t>Yes</t>
        </is>
      </c>
      <c r="H3692" t="n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>
        <f>IFERROR(INDEX('Company Hitlist'!$AA:$AA,MATCH(D3692,'Company Hitlist'!$A:$A,0)),)</f>
        <v/>
      </c>
      <c r="O3692">
        <f>IFERROR(INDEX('Company Hitlist'!$N:$N,MATCH(D3692,'Company Hitlist'!$A:$A,0)),)</f>
        <v/>
      </c>
      <c r="Q3692" t="inlineStr">
        <is>
          <t>todo</t>
        </is>
      </c>
    </row>
    <row r="3693">
      <c r="A3693" t="inlineStr">
        <is>
          <t>Jazzmyne Reed</t>
        </is>
      </c>
      <c r="B3693" t="inlineStr">
        <is>
          <t>Attendee</t>
        </is>
      </c>
      <c r="C3693" t="inlineStr">
        <is>
          <t>Global Standards Specialist</t>
        </is>
      </c>
      <c r="D3693" t="inlineStr">
        <is>
          <t>GS1 US</t>
        </is>
      </c>
      <c r="E3693" t="inlineStr">
        <is>
          <t>United States</t>
        </is>
      </c>
      <c r="H3693" t="n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>
        <f>IFERROR(INDEX('Company Hitlist'!$AA:$AA,MATCH(D3693,'Company Hitlist'!$A:$A,0)),)</f>
        <v/>
      </c>
      <c r="O3693">
        <f>IFERROR(INDEX('Company Hitlist'!$N:$N,MATCH(D3693,'Company Hitlist'!$A:$A,0)),)</f>
        <v/>
      </c>
      <c r="Q3693" t="inlineStr">
        <is>
          <t>todo</t>
        </is>
      </c>
    </row>
    <row r="3694">
      <c r="A3694" t="inlineStr">
        <is>
          <t>Nicholas Latwis</t>
        </is>
      </c>
      <c r="B3694" t="inlineStr">
        <is>
          <t>Attendee</t>
        </is>
      </c>
      <c r="C3694" t="inlineStr">
        <is>
          <t>Director of Innovation</t>
        </is>
      </c>
      <c r="D3694" t="inlineStr">
        <is>
          <t>GS1 US</t>
        </is>
      </c>
      <c r="E3694" t="inlineStr">
        <is>
          <t>United States</t>
        </is>
      </c>
      <c r="H3694" t="n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>
        <f>IFERROR(INDEX('Company Hitlist'!$AA:$AA,MATCH(D3694,'Company Hitlist'!$A:$A,0)),)</f>
        <v/>
      </c>
      <c r="O3694">
        <f>IFERROR(INDEX('Company Hitlist'!$N:$N,MATCH(D3694,'Company Hitlist'!$A:$A,0)),)</f>
        <v/>
      </c>
      <c r="Q3694" t="inlineStr">
        <is>
          <t>todo</t>
        </is>
      </c>
    </row>
    <row r="3695">
      <c r="A3695" t="inlineStr">
        <is>
          <t>Patrick Javick</t>
        </is>
      </c>
      <c r="B3695" t="inlineStr">
        <is>
          <t>Attendee</t>
        </is>
      </c>
      <c r="C3695" t="inlineStr">
        <is>
          <t>Director, Partnerships</t>
        </is>
      </c>
      <c r="D3695" t="inlineStr">
        <is>
          <t>GS1 US</t>
        </is>
      </c>
      <c r="E3695" t="inlineStr">
        <is>
          <t>United States</t>
        </is>
      </c>
      <c r="H3695" t="n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>
        <f>IFERROR(INDEX('Company Hitlist'!$AA:$AA,MATCH(D3695,'Company Hitlist'!$A:$A,0)),)</f>
        <v/>
      </c>
      <c r="O3695">
        <f>IFERROR(INDEX('Company Hitlist'!$N:$N,MATCH(D3695,'Company Hitlist'!$A:$A,0)),)</f>
        <v/>
      </c>
      <c r="Q3695" t="inlineStr">
        <is>
          <t>todo</t>
        </is>
      </c>
    </row>
    <row r="3696">
      <c r="A3696" t="inlineStr">
        <is>
          <t>Stephanie Ramos</t>
        </is>
      </c>
      <c r="B3696" t="inlineStr">
        <is>
          <t>Attendee</t>
        </is>
      </c>
      <c r="C3696" t="inlineStr">
        <is>
          <t>Innovation Manager</t>
        </is>
      </c>
      <c r="D3696" t="inlineStr">
        <is>
          <t>GS1 US</t>
        </is>
      </c>
      <c r="E3696" t="inlineStr">
        <is>
          <t>United States</t>
        </is>
      </c>
      <c r="H3696" t="n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>
        <f>IFERROR(INDEX('Company Hitlist'!$AA:$AA,MATCH(D3696,'Company Hitlist'!$A:$A,0)),)</f>
        <v/>
      </c>
      <c r="O3696">
        <f>IFERROR(INDEX('Company Hitlist'!$N:$N,MATCH(D3696,'Company Hitlist'!$A:$A,0)),)</f>
        <v/>
      </c>
      <c r="Q3696" t="inlineStr">
        <is>
          <t>todo</t>
        </is>
      </c>
    </row>
    <row r="3697">
      <c r="A3697" t="inlineStr">
        <is>
          <t>Mario Durso</t>
        </is>
      </c>
      <c r="B3697" t="inlineStr">
        <is>
          <t>Attendee</t>
        </is>
      </c>
      <c r="C3697" t="inlineStr">
        <is>
          <t>Owner</t>
        </is>
      </c>
      <c r="D3697" t="inlineStr">
        <is>
          <t>GTA Group</t>
        </is>
      </c>
      <c r="F3697" t="inlineStr">
        <is>
          <t>Yes</t>
        </is>
      </c>
      <c r="H3697" t="n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>
        <f>IFERROR(INDEX('Company Hitlist'!$AA:$AA,MATCH(D3697,'Company Hitlist'!$A:$A,0)),)</f>
        <v/>
      </c>
      <c r="O3697">
        <f>IFERROR(INDEX('Company Hitlist'!$N:$N,MATCH(D3697,'Company Hitlist'!$A:$A,0)),)</f>
        <v/>
      </c>
      <c r="Q3697" t="inlineStr">
        <is>
          <t>todo</t>
        </is>
      </c>
    </row>
    <row r="3698">
      <c r="A3698" t="inlineStr">
        <is>
          <t>Ali Tabibian</t>
        </is>
      </c>
      <c r="B3698" t="inlineStr">
        <is>
          <t>Attendee</t>
        </is>
      </c>
      <c r="C3698" t="inlineStr">
        <is>
          <t>Managing Partner</t>
        </is>
      </c>
      <c r="D3698" t="inlineStr">
        <is>
          <t>GTK Partners</t>
        </is>
      </c>
      <c r="E3698" t="inlineStr">
        <is>
          <t>United States</t>
        </is>
      </c>
      <c r="H3698" t="n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>
        <f>IFERROR(INDEX('Company Hitlist'!$AA:$AA,MATCH(D3698,'Company Hitlist'!$A:$A,0)),)</f>
        <v/>
      </c>
      <c r="O3698">
        <f>IFERROR(INDEX('Company Hitlist'!$N:$N,MATCH(D3698,'Company Hitlist'!$A:$A,0)),)</f>
        <v/>
      </c>
      <c r="Q3698" t="inlineStr">
        <is>
          <t>todo</t>
        </is>
      </c>
    </row>
    <row r="3699">
      <c r="A3699" t="inlineStr">
        <is>
          <t>Ryan Federico</t>
        </is>
      </c>
      <c r="B3699" t="inlineStr">
        <is>
          <t>Attendee</t>
        </is>
      </c>
      <c r="C3699" t="inlineStr">
        <is>
          <t>Director, Data Science &amp; Engineering</t>
        </is>
      </c>
      <c r="D3699" t="inlineStr">
        <is>
          <t>GXO</t>
        </is>
      </c>
      <c r="F3699" t="inlineStr">
        <is>
          <t>Yes</t>
        </is>
      </c>
      <c r="G3699" t="inlineStr">
        <is>
          <t>$10.4B (2024; projected $11B in 2025)</t>
        </is>
      </c>
      <c r="H3699" t="n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>
        <f>IFERROR(INDEX('Company Hitlist'!$AA:$AA,MATCH(D3699,'Company Hitlist'!$A:$A,0)),)</f>
        <v/>
      </c>
      <c r="O3699">
        <f>IFERROR(INDEX('Company Hitlist'!$N:$N,MATCH(D3699,'Company Hitlist'!$A:$A,0)),)</f>
        <v/>
      </c>
      <c r="Q3699" t="inlineStr">
        <is>
          <t>todo</t>
        </is>
      </c>
    </row>
    <row r="3700">
      <c r="A3700" t="inlineStr">
        <is>
          <t>Jonathan Crowther</t>
        </is>
      </c>
      <c r="B3700" t="inlineStr">
        <is>
          <t>Sponsor</t>
        </is>
      </c>
      <c r="C3700" t="inlineStr">
        <is>
          <t>Vice President, Head of Sales</t>
        </is>
      </c>
      <c r="D3700" t="inlineStr">
        <is>
          <t>GXO Logistics</t>
        </is>
      </c>
      <c r="E3700" t="inlineStr">
        <is>
          <t>United States</t>
        </is>
      </c>
      <c r="H3700" t="n">
        <v>0</v>
      </c>
      <c r="I3700" t="b">
        <v>0</v>
      </c>
      <c r="J3700" t="b">
        <v>1</v>
      </c>
      <c r="K3700" t="b">
        <v>0</v>
      </c>
      <c r="L3700" t="b">
        <v>0</v>
      </c>
      <c r="M3700" t="b">
        <v>1</v>
      </c>
      <c r="N3700">
        <f>IFERROR(INDEX('Company Hitlist'!$AA:$AA,MATCH(D3700,'Company Hitlist'!$A:$A,0)),)</f>
        <v/>
      </c>
      <c r="O3700">
        <f>IFERROR(INDEX('Company Hitlist'!$N:$N,MATCH(D3700,'Company Hitlist'!$A:$A,0)),)</f>
        <v/>
      </c>
      <c r="Q3700" t="inlineStr">
        <is>
          <t>todo</t>
        </is>
      </c>
    </row>
    <row r="3701">
      <c r="A3701" t="inlineStr">
        <is>
          <t>Stephen Murrow</t>
        </is>
      </c>
      <c r="B3701" t="inlineStr">
        <is>
          <t>Sponsor</t>
        </is>
      </c>
      <c r="C3701" t="inlineStr">
        <is>
          <t>Vice President, Head of Sales</t>
        </is>
      </c>
      <c r="D3701" t="inlineStr">
        <is>
          <t>GXO Logistics</t>
        </is>
      </c>
      <c r="E3701" t="inlineStr">
        <is>
          <t>United States</t>
        </is>
      </c>
      <c r="H3701" t="n">
        <v>0</v>
      </c>
      <c r="I3701" t="b">
        <v>0</v>
      </c>
      <c r="J3701" t="b">
        <v>1</v>
      </c>
      <c r="K3701" t="b">
        <v>0</v>
      </c>
      <c r="L3701" t="b">
        <v>0</v>
      </c>
      <c r="M3701" t="b">
        <v>1</v>
      </c>
      <c r="N3701">
        <f>IFERROR(INDEX('Company Hitlist'!$AA:$AA,MATCH(D3701,'Company Hitlist'!$A:$A,0)),)</f>
        <v/>
      </c>
      <c r="O3701">
        <f>IFERROR(INDEX('Company Hitlist'!$N:$N,MATCH(D3701,'Company Hitlist'!$A:$A,0)),)</f>
        <v/>
      </c>
      <c r="Q3701" t="inlineStr">
        <is>
          <t>todo</t>
        </is>
      </c>
    </row>
    <row r="3702">
      <c r="A3702" t="inlineStr">
        <is>
          <t>Steve Faivre</t>
        </is>
      </c>
      <c r="B3702" t="inlineStr">
        <is>
          <t>Sponsor</t>
        </is>
      </c>
      <c r="C3702" t="inlineStr">
        <is>
          <t>Vice President, Head of Sales</t>
        </is>
      </c>
      <c r="D3702" t="inlineStr">
        <is>
          <t>GXO Logistics</t>
        </is>
      </c>
      <c r="H3702" t="n">
        <v>0</v>
      </c>
      <c r="I3702" t="b">
        <v>0</v>
      </c>
      <c r="J3702" t="b">
        <v>1</v>
      </c>
      <c r="K3702" t="b">
        <v>0</v>
      </c>
      <c r="L3702" t="b">
        <v>0</v>
      </c>
      <c r="M3702" t="b">
        <v>1</v>
      </c>
      <c r="N3702">
        <f>IFERROR(INDEX('Company Hitlist'!$AA:$AA,MATCH(D3702,'Company Hitlist'!$A:$A,0)),)</f>
        <v/>
      </c>
      <c r="O3702">
        <f>IFERROR(INDEX('Company Hitlist'!$N:$N,MATCH(D3702,'Company Hitlist'!$A:$A,0)),)</f>
        <v/>
      </c>
      <c r="Q3702" t="inlineStr">
        <is>
          <t>todo</t>
        </is>
      </c>
    </row>
    <row r="3703">
      <c r="A3703" t="inlineStr">
        <is>
          <t>David Jones</t>
        </is>
      </c>
      <c r="B3703" t="inlineStr">
        <is>
          <t>Sponsor</t>
        </is>
      </c>
      <c r="C3703" t="inlineStr">
        <is>
          <t>Vice President, Business Development</t>
        </is>
      </c>
      <c r="D3703" t="inlineStr">
        <is>
          <t>GXO Logistics</t>
        </is>
      </c>
      <c r="E3703" t="inlineStr">
        <is>
          <t>United States</t>
        </is>
      </c>
      <c r="H3703" t="n">
        <v>0</v>
      </c>
      <c r="I3703" t="b">
        <v>0</v>
      </c>
      <c r="J3703" t="b">
        <v>1</v>
      </c>
      <c r="K3703" t="b">
        <v>0</v>
      </c>
      <c r="L3703" t="b">
        <v>0</v>
      </c>
      <c r="M3703" t="b">
        <v>1</v>
      </c>
      <c r="N3703">
        <f>IFERROR(INDEX('Company Hitlist'!$AA:$AA,MATCH(D3703,'Company Hitlist'!$A:$A,0)),)</f>
        <v/>
      </c>
      <c r="O3703">
        <f>IFERROR(INDEX('Company Hitlist'!$N:$N,MATCH(D3703,'Company Hitlist'!$A:$A,0)),)</f>
        <v/>
      </c>
      <c r="Q3703" t="inlineStr">
        <is>
          <t>todo</t>
        </is>
      </c>
    </row>
    <row r="3704">
      <c r="A3704" t="inlineStr">
        <is>
          <t>Sam Wartell</t>
        </is>
      </c>
      <c r="B3704" t="inlineStr">
        <is>
          <t>Sponsor</t>
        </is>
      </c>
      <c r="C3704" t="inlineStr">
        <is>
          <t>Vice President, Business Development</t>
        </is>
      </c>
      <c r="D3704" t="inlineStr">
        <is>
          <t>GXO Logistics</t>
        </is>
      </c>
      <c r="E3704" t="inlineStr">
        <is>
          <t>United States</t>
        </is>
      </c>
      <c r="H3704" t="n">
        <v>0</v>
      </c>
      <c r="I3704" t="b">
        <v>0</v>
      </c>
      <c r="J3704" t="b">
        <v>1</v>
      </c>
      <c r="K3704" t="b">
        <v>0</v>
      </c>
      <c r="L3704" t="b">
        <v>0</v>
      </c>
      <c r="M3704" t="b">
        <v>1</v>
      </c>
      <c r="N3704">
        <f>IFERROR(INDEX('Company Hitlist'!$AA:$AA,MATCH(D3704,'Company Hitlist'!$A:$A,0)),)</f>
        <v/>
      </c>
      <c r="O3704">
        <f>IFERROR(INDEX('Company Hitlist'!$N:$N,MATCH(D3704,'Company Hitlist'!$A:$A,0)),)</f>
        <v/>
      </c>
      <c r="Q3704" t="inlineStr">
        <is>
          <t>todo</t>
        </is>
      </c>
    </row>
    <row r="3705">
      <c r="A3705" t="inlineStr">
        <is>
          <t>Phillip Kelterborn</t>
        </is>
      </c>
      <c r="B3705" t="inlineStr">
        <is>
          <t>Sponsor</t>
        </is>
      </c>
      <c r="C3705" t="inlineStr">
        <is>
          <t>Vice President, Business Development</t>
        </is>
      </c>
      <c r="D3705" t="inlineStr">
        <is>
          <t>GXO Logistics</t>
        </is>
      </c>
      <c r="H3705" t="n">
        <v>0</v>
      </c>
      <c r="I3705" t="b">
        <v>0</v>
      </c>
      <c r="J3705" t="b">
        <v>1</v>
      </c>
      <c r="K3705" t="b">
        <v>0</v>
      </c>
      <c r="L3705" t="b">
        <v>0</v>
      </c>
      <c r="M3705" t="b">
        <v>1</v>
      </c>
      <c r="N3705">
        <f>IFERROR(INDEX('Company Hitlist'!$AA:$AA,MATCH(D3705,'Company Hitlist'!$A:$A,0)),)</f>
        <v/>
      </c>
      <c r="O3705">
        <f>IFERROR(INDEX('Company Hitlist'!$N:$N,MATCH(D3705,'Company Hitlist'!$A:$A,0)),)</f>
        <v/>
      </c>
      <c r="Q3705" t="inlineStr">
        <is>
          <t>todo</t>
        </is>
      </c>
    </row>
    <row r="3706">
      <c r="A3706" t="inlineStr">
        <is>
          <t>Chad Clausen</t>
        </is>
      </c>
      <c r="B3706" t="inlineStr">
        <is>
          <t>Attendee</t>
        </is>
      </c>
      <c r="C3706" t="inlineStr">
        <is>
          <t>Sr. Value Stream Manager</t>
        </is>
      </c>
      <c r="D3706" t="inlineStr">
        <is>
          <t>Gallo</t>
        </is>
      </c>
      <c r="H3706" t="n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>
        <f>IFERROR(INDEX('Company Hitlist'!$AA:$AA,MATCH(D3706,'Company Hitlist'!$A:$A,0)),)</f>
        <v/>
      </c>
      <c r="O3706">
        <f>IFERROR(INDEX('Company Hitlist'!$N:$N,MATCH(D3706,'Company Hitlist'!$A:$A,0)),)</f>
        <v/>
      </c>
      <c r="Q3706" t="inlineStr">
        <is>
          <t>todo</t>
        </is>
      </c>
    </row>
    <row r="3707">
      <c r="A3707" t="inlineStr">
        <is>
          <t>Mariel Zare</t>
        </is>
      </c>
      <c r="B3707" t="inlineStr">
        <is>
          <t>Attendee</t>
        </is>
      </c>
      <c r="C3707" t="inlineStr">
        <is>
          <t>Senior Value Stream Manager</t>
        </is>
      </c>
      <c r="D3707" t="inlineStr">
        <is>
          <t>Gallo</t>
        </is>
      </c>
      <c r="H3707" t="n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>
        <f>IFERROR(INDEX('Company Hitlist'!$AA:$AA,MATCH(D3707,'Company Hitlist'!$A:$A,0)),)</f>
        <v/>
      </c>
      <c r="O3707">
        <f>IFERROR(INDEX('Company Hitlist'!$N:$N,MATCH(D3707,'Company Hitlist'!$A:$A,0)),)</f>
        <v/>
      </c>
      <c r="Q3707" t="inlineStr">
        <is>
          <t>todo</t>
        </is>
      </c>
    </row>
    <row r="3708">
      <c r="A3708" t="inlineStr">
        <is>
          <t>Joseph Milstein</t>
        </is>
      </c>
      <c r="B3708" t="inlineStr">
        <is>
          <t>Attendee</t>
        </is>
      </c>
      <c r="C3708" t="inlineStr">
        <is>
          <t>Founder &amp; Managing Partner</t>
        </is>
      </c>
      <c r="D3708" t="inlineStr">
        <is>
          <t>Gamma Point Advisory LLC</t>
        </is>
      </c>
      <c r="E3708" t="inlineStr">
        <is>
          <t>United States</t>
        </is>
      </c>
      <c r="H3708" t="n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>
        <f>IFERROR(INDEX('Company Hitlist'!$AA:$AA,MATCH(D3708,'Company Hitlist'!$A:$A,0)),)</f>
        <v/>
      </c>
      <c r="O3708">
        <f>IFERROR(INDEX('Company Hitlist'!$N:$N,MATCH(D3708,'Company Hitlist'!$A:$A,0)),)</f>
        <v/>
      </c>
      <c r="Q3708" t="inlineStr">
        <is>
          <t>todo</t>
        </is>
      </c>
    </row>
    <row r="3709">
      <c r="A3709" t="inlineStr">
        <is>
          <t>Alec Sheaff</t>
        </is>
      </c>
      <c r="B3709" t="inlineStr">
        <is>
          <t>Sponsor</t>
        </is>
      </c>
      <c r="C3709" t="inlineStr">
        <is>
          <t>Vice President of Sales</t>
        </is>
      </c>
      <c r="D3709" t="inlineStr">
        <is>
          <t>Gardian Holdings, LLC</t>
        </is>
      </c>
      <c r="E3709" t="inlineStr">
        <is>
          <t>United States</t>
        </is>
      </c>
      <c r="H3709" t="n">
        <v>0</v>
      </c>
      <c r="I3709" t="b">
        <v>0</v>
      </c>
      <c r="J3709" t="b">
        <v>1</v>
      </c>
      <c r="K3709" t="b">
        <v>0</v>
      </c>
      <c r="L3709" t="b">
        <v>0</v>
      </c>
      <c r="M3709" t="b">
        <v>1</v>
      </c>
      <c r="N3709">
        <f>IFERROR(INDEX('Company Hitlist'!$AA:$AA,MATCH(D3709,'Company Hitlist'!$A:$A,0)),)</f>
        <v/>
      </c>
      <c r="O3709">
        <f>IFERROR(INDEX('Company Hitlist'!$N:$N,MATCH(D3709,'Company Hitlist'!$A:$A,0)),)</f>
        <v/>
      </c>
      <c r="Q3709" t="inlineStr">
        <is>
          <t>todo</t>
        </is>
      </c>
    </row>
    <row r="3710">
      <c r="A3710" t="inlineStr">
        <is>
          <t>Spencer Ruhlin</t>
        </is>
      </c>
      <c r="B3710" t="inlineStr">
        <is>
          <t>Sponsor</t>
        </is>
      </c>
      <c r="C3710" t="inlineStr">
        <is>
          <t>Regional Sales Manager, Midwest - Chemical Sector Head</t>
        </is>
      </c>
      <c r="D3710" t="inlineStr">
        <is>
          <t>Gardian Holdings, LLC</t>
        </is>
      </c>
      <c r="E3710" t="inlineStr">
        <is>
          <t>United States</t>
        </is>
      </c>
      <c r="H3710" t="n">
        <v>0</v>
      </c>
      <c r="I3710" t="b">
        <v>0</v>
      </c>
      <c r="J3710" t="b">
        <v>1</v>
      </c>
      <c r="K3710" t="b">
        <v>0</v>
      </c>
      <c r="L3710" t="b">
        <v>0</v>
      </c>
      <c r="M3710" t="b">
        <v>1</v>
      </c>
      <c r="N3710">
        <f>IFERROR(INDEX('Company Hitlist'!$AA:$AA,MATCH(D3710,'Company Hitlist'!$A:$A,0)),)</f>
        <v/>
      </c>
      <c r="O3710">
        <f>IFERROR(INDEX('Company Hitlist'!$N:$N,MATCH(D3710,'Company Hitlist'!$A:$A,0)),)</f>
        <v/>
      </c>
      <c r="Q3710" t="inlineStr">
        <is>
          <t>todo</t>
        </is>
      </c>
    </row>
    <row r="3711">
      <c r="A3711" t="inlineStr">
        <is>
          <t>Rob Rozicki</t>
        </is>
      </c>
      <c r="B3711" t="inlineStr">
        <is>
          <t>Sponsor</t>
        </is>
      </c>
      <c r="C3711" t="inlineStr">
        <is>
          <t>Head of Marketing</t>
        </is>
      </c>
      <c r="D3711" t="inlineStr">
        <is>
          <t>Gather AI</t>
        </is>
      </c>
      <c r="E3711" t="inlineStr">
        <is>
          <t>United States</t>
        </is>
      </c>
      <c r="F3711" t="inlineStr">
        <is>
          <t>Yes</t>
        </is>
      </c>
      <c r="H3711" t="n">
        <v>0</v>
      </c>
      <c r="I3711" t="b">
        <v>0</v>
      </c>
      <c r="J3711" t="b">
        <v>1</v>
      </c>
      <c r="K3711" t="b">
        <v>0</v>
      </c>
      <c r="L3711" t="b">
        <v>0</v>
      </c>
      <c r="M3711" t="b">
        <v>1</v>
      </c>
      <c r="N3711">
        <f>IFERROR(INDEX('Company Hitlist'!$AA:$AA,MATCH(D3711,'Company Hitlist'!$A:$A,0)),)</f>
        <v/>
      </c>
      <c r="O3711">
        <f>IFERROR(INDEX('Company Hitlist'!$N:$N,MATCH(D3711,'Company Hitlist'!$A:$A,0)),)</f>
        <v/>
      </c>
      <c r="Q3711" t="inlineStr">
        <is>
          <t>todo</t>
        </is>
      </c>
    </row>
    <row r="3712">
      <c r="A3712" t="inlineStr">
        <is>
          <t>Chris Visnic</t>
        </is>
      </c>
      <c r="B3712" t="inlineStr">
        <is>
          <t>Sponsor</t>
        </is>
      </c>
      <c r="C3712" t="inlineStr">
        <is>
          <t>Head of Sales</t>
        </is>
      </c>
      <c r="D3712" t="inlineStr">
        <is>
          <t>Gather AI</t>
        </is>
      </c>
      <c r="E3712" t="inlineStr">
        <is>
          <t>United States</t>
        </is>
      </c>
      <c r="H3712" t="n">
        <v>0</v>
      </c>
      <c r="I3712" t="b">
        <v>0</v>
      </c>
      <c r="J3712" t="b">
        <v>1</v>
      </c>
      <c r="K3712" t="b">
        <v>0</v>
      </c>
      <c r="L3712" t="b">
        <v>0</v>
      </c>
      <c r="M3712" t="b">
        <v>1</v>
      </c>
      <c r="N3712">
        <f>IFERROR(INDEX('Company Hitlist'!$AA:$AA,MATCH(D3712,'Company Hitlist'!$A:$A,0)),)</f>
        <v/>
      </c>
      <c r="O3712">
        <f>IFERROR(INDEX('Company Hitlist'!$N:$N,MATCH(D3712,'Company Hitlist'!$A:$A,0)),)</f>
        <v/>
      </c>
      <c r="Q3712" t="inlineStr">
        <is>
          <t>todo</t>
        </is>
      </c>
    </row>
    <row r="3713">
      <c r="A3713" t="inlineStr">
        <is>
          <t>Daniela Wurm</t>
        </is>
      </c>
      <c r="B3713" t="inlineStr">
        <is>
          <t>Attendee</t>
        </is>
      </c>
      <c r="C3713" t="inlineStr">
        <is>
          <t>CCO/CPO</t>
        </is>
      </c>
      <c r="D3713" t="inlineStr">
        <is>
          <t>Gebr der Weiss</t>
        </is>
      </c>
      <c r="H3713" t="n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>
        <f>IFERROR(INDEX('Company Hitlist'!$AA:$AA,MATCH(D3713,'Company Hitlist'!$A:$A,0)),)</f>
        <v/>
      </c>
      <c r="O3713">
        <f>IFERROR(INDEX('Company Hitlist'!$N:$N,MATCH(D3713,'Company Hitlist'!$A:$A,0)),)</f>
        <v/>
      </c>
      <c r="Q3713" t="inlineStr">
        <is>
          <t>todo</t>
        </is>
      </c>
    </row>
    <row r="3714">
      <c r="A3714" t="inlineStr">
        <is>
          <t>Kate Leatherbury</t>
        </is>
      </c>
      <c r="B3714" t="inlineStr">
        <is>
          <t>Attendee</t>
        </is>
      </c>
      <c r="C3714" t="inlineStr">
        <is>
          <t>Director of North American LTL Solutions</t>
        </is>
      </c>
      <c r="D3714" t="inlineStr">
        <is>
          <t>Gebr der Weiss</t>
        </is>
      </c>
      <c r="H3714" t="n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>
        <f>IFERROR(INDEX('Company Hitlist'!$AA:$AA,MATCH(D3714,'Company Hitlist'!$A:$A,0)),)</f>
        <v/>
      </c>
      <c r="O3714">
        <f>IFERROR(INDEX('Company Hitlist'!$N:$N,MATCH(D3714,'Company Hitlist'!$A:$A,0)),)</f>
        <v/>
      </c>
      <c r="Q3714" t="inlineStr">
        <is>
          <t>todo</t>
        </is>
      </c>
    </row>
    <row r="3715">
      <c r="A3715" t="inlineStr">
        <is>
          <t>Michael Crandall</t>
        </is>
      </c>
      <c r="B3715" t="inlineStr">
        <is>
          <t>Sponsor</t>
        </is>
      </c>
      <c r="C3715" t="inlineStr">
        <is>
          <t>Vice President of Sales</t>
        </is>
      </c>
      <c r="D3715" t="inlineStr">
        <is>
          <t>Gebrüder Weiss - Transport and Logistics</t>
        </is>
      </c>
      <c r="E3715" t="inlineStr">
        <is>
          <t>United States</t>
        </is>
      </c>
      <c r="H3715" t="n">
        <v>0</v>
      </c>
      <c r="I3715" t="b">
        <v>0</v>
      </c>
      <c r="J3715" t="b">
        <v>1</v>
      </c>
      <c r="K3715" t="b">
        <v>0</v>
      </c>
      <c r="L3715" t="b">
        <v>0</v>
      </c>
      <c r="M3715" t="b">
        <v>1</v>
      </c>
      <c r="N3715">
        <f>IFERROR(INDEX('Company Hitlist'!$AA:$AA,MATCH(D3715,'Company Hitlist'!$A:$A,0)),)</f>
        <v/>
      </c>
      <c r="O3715">
        <f>IFERROR(INDEX('Company Hitlist'!$N:$N,MATCH(D3715,'Company Hitlist'!$A:$A,0)),)</f>
        <v/>
      </c>
      <c r="Q3715" t="inlineStr">
        <is>
          <t>todo</t>
        </is>
      </c>
    </row>
    <row r="3716">
      <c r="A3716" t="inlineStr">
        <is>
          <t>Bill Hohenadel</t>
        </is>
      </c>
      <c r="B3716" t="inlineStr">
        <is>
          <t>Attendee</t>
        </is>
      </c>
      <c r="C3716" t="inlineStr">
        <is>
          <t>Trade Lane Manager - Germany</t>
        </is>
      </c>
      <c r="D3716" t="inlineStr">
        <is>
          <t>Gebrüder Weiss - Transport and Logistics</t>
        </is>
      </c>
      <c r="E3716" t="inlineStr">
        <is>
          <t>United States</t>
        </is>
      </c>
      <c r="H3716" t="n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>
        <f>IFERROR(INDEX('Company Hitlist'!$AA:$AA,MATCH(D3716,'Company Hitlist'!$A:$A,0)),)</f>
        <v/>
      </c>
      <c r="O3716">
        <f>IFERROR(INDEX('Company Hitlist'!$N:$N,MATCH(D3716,'Company Hitlist'!$A:$A,0)),)</f>
        <v/>
      </c>
      <c r="Q3716" t="inlineStr">
        <is>
          <t>todo</t>
        </is>
      </c>
    </row>
    <row r="3717">
      <c r="A3717" t="inlineStr">
        <is>
          <t>Nicole Uchrin</t>
        </is>
      </c>
      <c r="B3717" t="inlineStr">
        <is>
          <t>Attendee</t>
        </is>
      </c>
      <c r="C3717" t="inlineStr">
        <is>
          <t>Managing Director</t>
        </is>
      </c>
      <c r="D3717" t="inlineStr">
        <is>
          <t>Gemini Shippers Association</t>
        </is>
      </c>
      <c r="E3717" t="inlineStr">
        <is>
          <t>United States</t>
        </is>
      </c>
      <c r="H3717" t="n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>
        <f>IFERROR(INDEX('Company Hitlist'!$AA:$AA,MATCH(D3717,'Company Hitlist'!$A:$A,0)),)</f>
        <v/>
      </c>
      <c r="O3717">
        <f>IFERROR(INDEX('Company Hitlist'!$N:$N,MATCH(D3717,'Company Hitlist'!$A:$A,0)),)</f>
        <v/>
      </c>
      <c r="Q3717" t="inlineStr">
        <is>
          <t>todo</t>
        </is>
      </c>
    </row>
    <row r="3718">
      <c r="A3718" t="inlineStr">
        <is>
          <t>Josh Lipinski</t>
        </is>
      </c>
      <c r="B3718" t="inlineStr">
        <is>
          <t>Attendee</t>
        </is>
      </c>
      <c r="C3718" t="inlineStr">
        <is>
          <t>Sr Director of Digital</t>
        </is>
      </c>
      <c r="D3718" t="inlineStr">
        <is>
          <t>General Mills</t>
        </is>
      </c>
      <c r="H3718" t="n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>
        <f>IFERROR(INDEX('Company Hitlist'!$AA:$AA,MATCH(D3718,'Company Hitlist'!$A:$A,0)),)</f>
        <v/>
      </c>
      <c r="O3718">
        <f>IFERROR(INDEX('Company Hitlist'!$N:$N,MATCH(D3718,'Company Hitlist'!$A:$A,0)),)</f>
        <v/>
      </c>
      <c r="Q3718" t="inlineStr">
        <is>
          <t>todo</t>
        </is>
      </c>
    </row>
    <row r="3719">
      <c r="A3719" t="inlineStr">
        <is>
          <t>Rob Verschelden</t>
        </is>
      </c>
      <c r="B3719" t="inlineStr">
        <is>
          <t>Sponsor</t>
        </is>
      </c>
      <c r="C3719" t="inlineStr">
        <is>
          <t>Head of Sales</t>
        </is>
      </c>
      <c r="D3719" t="inlineStr">
        <is>
          <t>GeoPostcodes</t>
        </is>
      </c>
      <c r="E3719" t="inlineStr">
        <is>
          <t>Belgium</t>
        </is>
      </c>
      <c r="H3719" t="n">
        <v>0</v>
      </c>
      <c r="I3719" t="b">
        <v>0</v>
      </c>
      <c r="J3719" t="b">
        <v>1</v>
      </c>
      <c r="K3719" t="b">
        <v>0</v>
      </c>
      <c r="L3719" t="b">
        <v>0</v>
      </c>
      <c r="M3719" t="b">
        <v>1</v>
      </c>
      <c r="N3719">
        <f>IFERROR(INDEX('Company Hitlist'!$AA:$AA,MATCH(D3719,'Company Hitlist'!$A:$A,0)),)</f>
        <v/>
      </c>
      <c r="O3719">
        <f>IFERROR(INDEX('Company Hitlist'!$N:$N,MATCH(D3719,'Company Hitlist'!$A:$A,0)),)</f>
        <v/>
      </c>
      <c r="Q3719" t="inlineStr">
        <is>
          <t>todo</t>
        </is>
      </c>
    </row>
    <row r="3720">
      <c r="A3720" t="inlineStr">
        <is>
          <t>Scott Paquette</t>
        </is>
      </c>
      <c r="B3720" t="inlineStr">
        <is>
          <t>Attendee</t>
        </is>
      </c>
      <c r="C3720" t="inlineStr">
        <is>
          <t>Account Director</t>
        </is>
      </c>
      <c r="D3720" t="inlineStr">
        <is>
          <t>Giesecke+Devrient (G+D)</t>
        </is>
      </c>
      <c r="E3720" t="inlineStr">
        <is>
          <t>United States</t>
        </is>
      </c>
      <c r="F3720" t="inlineStr">
        <is>
          <t>Yes</t>
        </is>
      </c>
      <c r="H3720" t="n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>
        <f>IFERROR(INDEX('Company Hitlist'!$AA:$AA,MATCH(D3720,'Company Hitlist'!$A:$A,0)),)</f>
        <v/>
      </c>
      <c r="O3720">
        <f>IFERROR(INDEX('Company Hitlist'!$N:$N,MATCH(D3720,'Company Hitlist'!$A:$A,0)),)</f>
        <v/>
      </c>
      <c r="Q3720" t="inlineStr">
        <is>
          <t>todo</t>
        </is>
      </c>
    </row>
    <row r="3721">
      <c r="A3721" t="inlineStr">
        <is>
          <t>Alex Gillespie</t>
        </is>
      </c>
      <c r="B3721" t="inlineStr">
        <is>
          <t>Attendee</t>
        </is>
      </c>
      <c r="C3721" t="inlineStr">
        <is>
          <t>Founder, Director</t>
        </is>
      </c>
      <c r="D3721" t="inlineStr">
        <is>
          <t>Gillespie Manners Search &amp; Selection</t>
        </is>
      </c>
      <c r="E3721" t="inlineStr">
        <is>
          <t>United Kingdom</t>
        </is>
      </c>
      <c r="H3721" t="n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>
        <f>IFERROR(INDEX('Company Hitlist'!$AA:$AA,MATCH(D3721,'Company Hitlist'!$A:$A,0)),)</f>
        <v/>
      </c>
      <c r="O3721">
        <f>IFERROR(INDEX('Company Hitlist'!$N:$N,MATCH(D3721,'Company Hitlist'!$A:$A,0)),)</f>
        <v/>
      </c>
      <c r="Q3721" t="inlineStr">
        <is>
          <t>todo</t>
        </is>
      </c>
    </row>
    <row r="3722">
      <c r="A3722" t="inlineStr">
        <is>
          <t>Kleida Martiro</t>
        </is>
      </c>
      <c r="B3722" t="inlineStr">
        <is>
          <t>Attendee</t>
        </is>
      </c>
      <c r="C3722" t="inlineStr">
        <is>
          <t>Managing Director</t>
        </is>
      </c>
      <c r="D3722" t="inlineStr">
        <is>
          <t>Glasswing Ventures</t>
        </is>
      </c>
      <c r="E3722" t="inlineStr">
        <is>
          <t>United States</t>
        </is>
      </c>
      <c r="H3722" t="n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>
        <f>IFERROR(INDEX('Company Hitlist'!$AA:$AA,MATCH(D3722,'Company Hitlist'!$A:$A,0)),)</f>
        <v/>
      </c>
      <c r="O3722">
        <f>IFERROR(INDEX('Company Hitlist'!$N:$N,MATCH(D3722,'Company Hitlist'!$A:$A,0)),)</f>
        <v/>
      </c>
      <c r="Q3722" t="inlineStr">
        <is>
          <t>todo</t>
        </is>
      </c>
    </row>
    <row r="3723">
      <c r="A3723" t="inlineStr">
        <is>
          <t>Mandar Gupte</t>
        </is>
      </c>
      <c r="B3723" t="inlineStr">
        <is>
          <t>Attendee</t>
        </is>
      </c>
      <c r="C3723" t="inlineStr">
        <is>
          <t>Sr. Director</t>
        </is>
      </c>
      <c r="D3723" t="inlineStr">
        <is>
          <t>Global Industrial Company</t>
        </is>
      </c>
      <c r="E3723" t="inlineStr">
        <is>
          <t>United States</t>
        </is>
      </c>
      <c r="H3723" t="n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>
        <f>IFERROR(INDEX('Company Hitlist'!$AA:$AA,MATCH(D3723,'Company Hitlist'!$A:$A,0)),)</f>
        <v/>
      </c>
      <c r="O3723">
        <f>IFERROR(INDEX('Company Hitlist'!$N:$N,MATCH(D3723,'Company Hitlist'!$A:$A,0)),)</f>
        <v/>
      </c>
      <c r="Q3723" t="inlineStr">
        <is>
          <t>todo</t>
        </is>
      </c>
    </row>
    <row r="3724">
      <c r="A3724" t="inlineStr">
        <is>
          <t>Mark Hoffstetter</t>
        </is>
      </c>
      <c r="B3724" t="inlineStr">
        <is>
          <t>Attendee</t>
        </is>
      </c>
      <c r="C3724" t="inlineStr">
        <is>
          <t>Senior Director, Operational Excellence</t>
        </is>
      </c>
      <c r="D3724" t="inlineStr">
        <is>
          <t>Global Industrial Company</t>
        </is>
      </c>
      <c r="E3724" t="inlineStr">
        <is>
          <t>United States</t>
        </is>
      </c>
      <c r="H3724" t="n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>
        <f>IFERROR(INDEX('Company Hitlist'!$AA:$AA,MATCH(D3724,'Company Hitlist'!$A:$A,0)),)</f>
        <v/>
      </c>
      <c r="O3724">
        <f>IFERROR(INDEX('Company Hitlist'!$N:$N,MATCH(D3724,'Company Hitlist'!$A:$A,0)),)</f>
        <v/>
      </c>
      <c r="Q3724" t="inlineStr">
        <is>
          <t>todo</t>
        </is>
      </c>
    </row>
    <row r="3725">
      <c r="A3725" t="inlineStr">
        <is>
          <t>Grace Cronin</t>
        </is>
      </c>
      <c r="B3725" t="inlineStr">
        <is>
          <t>Attendee</t>
        </is>
      </c>
      <c r="C3725" t="inlineStr">
        <is>
          <t>Director of Account Management</t>
        </is>
      </c>
      <c r="D3725" t="inlineStr">
        <is>
          <t>Global Logistical Connections</t>
        </is>
      </c>
      <c r="E3725" t="inlineStr">
        <is>
          <t>United States</t>
        </is>
      </c>
      <c r="F3725" t="inlineStr">
        <is>
          <t>Yes</t>
        </is>
      </c>
      <c r="H3725" t="n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>
        <f>IFERROR(INDEX('Company Hitlist'!$AA:$AA,MATCH(D3725,'Company Hitlist'!$A:$A,0)),)</f>
        <v/>
      </c>
      <c r="O3725">
        <f>IFERROR(INDEX('Company Hitlist'!$N:$N,MATCH(D3725,'Company Hitlist'!$A:$A,0)),)</f>
        <v/>
      </c>
      <c r="Q3725" t="inlineStr">
        <is>
          <t>todo</t>
        </is>
      </c>
    </row>
    <row r="3726">
      <c r="A3726" t="inlineStr">
        <is>
          <t>Cami Zimmer</t>
        </is>
      </c>
      <c r="B3726" t="inlineStr">
        <is>
          <t>Attendee</t>
        </is>
      </c>
      <c r="C3726" t="inlineStr">
        <is>
          <t>CBO</t>
        </is>
      </c>
      <c r="D3726" t="inlineStr">
        <is>
          <t>Glympse</t>
        </is>
      </c>
      <c r="E3726" t="inlineStr">
        <is>
          <t>United States</t>
        </is>
      </c>
      <c r="F3726" t="inlineStr">
        <is>
          <t>Yes</t>
        </is>
      </c>
      <c r="H3726" t="n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>
        <f>IFERROR(INDEX('Company Hitlist'!$AA:$AA,MATCH(D3726,'Company Hitlist'!$A:$A,0)),)</f>
        <v/>
      </c>
      <c r="O3726">
        <f>IFERROR(INDEX('Company Hitlist'!$N:$N,MATCH(D3726,'Company Hitlist'!$A:$A,0)),)</f>
        <v/>
      </c>
      <c r="Q3726" t="inlineStr">
        <is>
          <t>todo</t>
        </is>
      </c>
    </row>
    <row r="3727">
      <c r="A3727" t="inlineStr">
        <is>
          <t>Carter McCrory</t>
        </is>
      </c>
      <c r="B3727" t="inlineStr">
        <is>
          <t>Sponsor</t>
        </is>
      </c>
      <c r="C3727" t="inlineStr">
        <is>
          <t>SVP of Sales</t>
        </is>
      </c>
      <c r="D3727" t="inlineStr">
        <is>
          <t>Gnosis Freight</t>
        </is>
      </c>
      <c r="H3727" t="n">
        <v>0</v>
      </c>
      <c r="I3727" t="b">
        <v>0</v>
      </c>
      <c r="J3727" t="b">
        <v>1</v>
      </c>
      <c r="K3727" t="b">
        <v>0</v>
      </c>
      <c r="L3727" t="b">
        <v>0</v>
      </c>
      <c r="M3727" t="b">
        <v>1</v>
      </c>
      <c r="N3727">
        <f>IFERROR(INDEX('Company Hitlist'!$AA:$AA,MATCH(D3727,'Company Hitlist'!$A:$A,0)),)</f>
        <v/>
      </c>
      <c r="O3727">
        <f>IFERROR(INDEX('Company Hitlist'!$N:$N,MATCH(D3727,'Company Hitlist'!$A:$A,0)),)</f>
        <v/>
      </c>
      <c r="Q3727" t="inlineStr">
        <is>
          <t>todo</t>
        </is>
      </c>
    </row>
    <row r="3728">
      <c r="A3728" t="inlineStr">
        <is>
          <t>Johny Stephen</t>
        </is>
      </c>
      <c r="B3728" t="inlineStr">
        <is>
          <t>Sponsor</t>
        </is>
      </c>
      <c r="C3728" t="inlineStr">
        <is>
          <t>Head of Global Sales</t>
        </is>
      </c>
      <c r="D3728" t="inlineStr">
        <is>
          <t>GoComet</t>
        </is>
      </c>
      <c r="H3728" t="n">
        <v>0</v>
      </c>
      <c r="I3728" t="b">
        <v>0</v>
      </c>
      <c r="J3728" t="b">
        <v>1</v>
      </c>
      <c r="K3728" t="b">
        <v>0</v>
      </c>
      <c r="L3728" t="b">
        <v>0</v>
      </c>
      <c r="M3728" t="b">
        <v>1</v>
      </c>
      <c r="N3728">
        <f>IFERROR(INDEX('Company Hitlist'!$AA:$AA,MATCH(D3728,'Company Hitlist'!$A:$A,0)),)</f>
        <v/>
      </c>
      <c r="O3728">
        <f>IFERROR(INDEX('Company Hitlist'!$N:$N,MATCH(D3728,'Company Hitlist'!$A:$A,0)),)</f>
        <v/>
      </c>
      <c r="Q3728" t="inlineStr">
        <is>
          <t>todo</t>
        </is>
      </c>
    </row>
    <row r="3729">
      <c r="A3729" t="inlineStr">
        <is>
          <t>Ariana Callender</t>
        </is>
      </c>
      <c r="B3729" t="inlineStr">
        <is>
          <t>Attendee</t>
        </is>
      </c>
      <c r="C3729" t="inlineStr">
        <is>
          <t>Investor</t>
        </is>
      </c>
      <c r="D3729" t="inlineStr">
        <is>
          <t>Goldman Sachs</t>
        </is>
      </c>
      <c r="E3729" t="inlineStr">
        <is>
          <t>United States</t>
        </is>
      </c>
      <c r="H3729" t="n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>
        <f>IFERROR(INDEX('Company Hitlist'!$AA:$AA,MATCH(D3729,'Company Hitlist'!$A:$A,0)),)</f>
        <v/>
      </c>
      <c r="O3729">
        <f>IFERROR(INDEX('Company Hitlist'!$N:$N,MATCH(D3729,'Company Hitlist'!$A:$A,0)),)</f>
        <v/>
      </c>
      <c r="Q3729" t="inlineStr">
        <is>
          <t>todo</t>
        </is>
      </c>
    </row>
    <row r="3730">
      <c r="A3730" t="inlineStr">
        <is>
          <t>Gabrielle Knust</t>
        </is>
      </c>
      <c r="B3730" t="inlineStr">
        <is>
          <t>Sponsor</t>
        </is>
      </c>
      <c r="C3730" t="inlineStr">
        <is>
          <t>Head of Customer Success</t>
        </is>
      </c>
      <c r="D3730" t="inlineStr">
        <is>
          <t>GoodShip</t>
        </is>
      </c>
      <c r="E3730" t="inlineStr">
        <is>
          <t>United States</t>
        </is>
      </c>
      <c r="F3730" t="inlineStr">
        <is>
          <t>Yes</t>
        </is>
      </c>
      <c r="G3730" t="inlineStr">
        <is>
          <t>$9.2 million (2025)</t>
        </is>
      </c>
      <c r="H3730" t="n">
        <v>0</v>
      </c>
      <c r="I3730" t="b">
        <v>0</v>
      </c>
      <c r="J3730" t="b">
        <v>1</v>
      </c>
      <c r="K3730" t="b">
        <v>0</v>
      </c>
      <c r="L3730" t="b">
        <v>0</v>
      </c>
      <c r="M3730" t="b">
        <v>1</v>
      </c>
      <c r="N3730">
        <f>IFERROR(INDEX('Company Hitlist'!$AA:$AA,MATCH(D3730,'Company Hitlist'!$A:$A,0)),)</f>
        <v/>
      </c>
      <c r="O3730">
        <f>IFERROR(INDEX('Company Hitlist'!$N:$N,MATCH(D3730,'Company Hitlist'!$A:$A,0)),)</f>
        <v/>
      </c>
      <c r="Q3730" t="inlineStr">
        <is>
          <t>todo</t>
        </is>
      </c>
    </row>
    <row r="3731">
      <c r="A3731" t="inlineStr">
        <is>
          <t>Kindra Brownlee</t>
        </is>
      </c>
      <c r="B3731" t="inlineStr">
        <is>
          <t>Sponsor</t>
        </is>
      </c>
      <c r="C3731" t="inlineStr">
        <is>
          <t>Head of Marketing</t>
        </is>
      </c>
      <c r="D3731" t="inlineStr">
        <is>
          <t>GoodShip</t>
        </is>
      </c>
      <c r="F3731" t="inlineStr">
        <is>
          <t>Yes</t>
        </is>
      </c>
      <c r="G3731" t="inlineStr">
        <is>
          <t>$9.2 million (2025)</t>
        </is>
      </c>
      <c r="H3731" t="n">
        <v>0</v>
      </c>
      <c r="I3731" t="b">
        <v>0</v>
      </c>
      <c r="J3731" t="b">
        <v>1</v>
      </c>
      <c r="K3731" t="b">
        <v>0</v>
      </c>
      <c r="L3731" t="b">
        <v>0</v>
      </c>
      <c r="M3731" t="b">
        <v>1</v>
      </c>
      <c r="N3731">
        <f>IFERROR(INDEX('Company Hitlist'!$AA:$AA,MATCH(D3731,'Company Hitlist'!$A:$A,0)),)</f>
        <v/>
      </c>
      <c r="O3731">
        <f>IFERROR(INDEX('Company Hitlist'!$N:$N,MATCH(D3731,'Company Hitlist'!$A:$A,0)),)</f>
        <v/>
      </c>
      <c r="Q3731" t="inlineStr">
        <is>
          <t>todo</t>
        </is>
      </c>
    </row>
    <row r="3732">
      <c r="A3732" t="inlineStr">
        <is>
          <t>Nick Boston</t>
        </is>
      </c>
      <c r="B3732" t="inlineStr">
        <is>
          <t>Sponsor</t>
        </is>
      </c>
      <c r="C3732" t="inlineStr">
        <is>
          <t>VP of Sales</t>
        </is>
      </c>
      <c r="D3732" t="inlineStr">
        <is>
          <t>GoodShip</t>
        </is>
      </c>
      <c r="H3732" t="n">
        <v>0</v>
      </c>
      <c r="I3732" t="b">
        <v>0</v>
      </c>
      <c r="J3732" t="b">
        <v>1</v>
      </c>
      <c r="K3732" t="b">
        <v>0</v>
      </c>
      <c r="L3732" t="b">
        <v>0</v>
      </c>
      <c r="M3732" t="b">
        <v>1</v>
      </c>
      <c r="N3732">
        <f>IFERROR(INDEX('Company Hitlist'!$AA:$AA,MATCH(D3732,'Company Hitlist'!$A:$A,0)),)</f>
        <v/>
      </c>
      <c r="O3732">
        <f>IFERROR(INDEX('Company Hitlist'!$N:$N,MATCH(D3732,'Company Hitlist'!$A:$A,0)),)</f>
        <v/>
      </c>
      <c r="Q3732" t="inlineStr">
        <is>
          <t>todo</t>
        </is>
      </c>
    </row>
    <row r="3733">
      <c r="A3733" t="inlineStr">
        <is>
          <t>Toni Bianco</t>
        </is>
      </c>
      <c r="B3733" t="inlineStr">
        <is>
          <t>Attendee</t>
        </is>
      </c>
      <c r="C3733" t="inlineStr">
        <is>
          <t>Planning Manager</t>
        </is>
      </c>
      <c r="D3733" t="inlineStr">
        <is>
          <t>Goodr</t>
        </is>
      </c>
      <c r="H3733" t="n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>
        <f>IFERROR(INDEX('Company Hitlist'!$AA:$AA,MATCH(D3733,'Company Hitlist'!$A:$A,0)),)</f>
        <v/>
      </c>
      <c r="O3733">
        <f>IFERROR(INDEX('Company Hitlist'!$N:$N,MATCH(D3733,'Company Hitlist'!$A:$A,0)),)</f>
        <v/>
      </c>
      <c r="Q3733" t="inlineStr">
        <is>
          <t>todo</t>
        </is>
      </c>
    </row>
    <row r="3734">
      <c r="A3734" t="inlineStr">
        <is>
          <t>Sid Handa</t>
        </is>
      </c>
      <c r="B3734" t="inlineStr">
        <is>
          <t>Attendee</t>
        </is>
      </c>
      <c r="C3734" t="inlineStr">
        <is>
          <t>Dir, SC Strategy, Engineering &amp; Technology</t>
        </is>
      </c>
      <c r="D3734" t="inlineStr">
        <is>
          <t>Gordon Food Service</t>
        </is>
      </c>
      <c r="E3734" t="inlineStr">
        <is>
          <t>United States</t>
        </is>
      </c>
      <c r="F3734" t="inlineStr">
        <is>
          <t>Yes</t>
        </is>
      </c>
      <c r="H3734" t="n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>
        <f>IFERROR(INDEX('Company Hitlist'!$AA:$AA,MATCH(D3734,'Company Hitlist'!$A:$A,0)),)</f>
        <v/>
      </c>
      <c r="O3734">
        <f>IFERROR(INDEX('Company Hitlist'!$N:$N,MATCH(D3734,'Company Hitlist'!$A:$A,0)),)</f>
        <v/>
      </c>
      <c r="Q3734" t="inlineStr">
        <is>
          <t>todo</t>
        </is>
      </c>
    </row>
    <row r="3735">
      <c r="A3735" t="inlineStr">
        <is>
          <t>Thomas Duke</t>
        </is>
      </c>
      <c r="B3735" t="inlineStr">
        <is>
          <t>Attendee</t>
        </is>
      </c>
      <c r="C3735" t="inlineStr">
        <is>
          <t>Director, Advisory Services &amp; Strategic Partnerships</t>
        </is>
      </c>
      <c r="D3735" t="inlineStr">
        <is>
          <t>Green Mountain</t>
        </is>
      </c>
      <c r="E3735" t="inlineStr">
        <is>
          <t>United States</t>
        </is>
      </c>
      <c r="H3735" t="n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>
        <f>IFERROR(INDEX('Company Hitlist'!$AA:$AA,MATCH(D3735,'Company Hitlist'!$A:$A,0)),)</f>
        <v/>
      </c>
      <c r="O3735">
        <f>IFERROR(INDEX('Company Hitlist'!$N:$N,MATCH(D3735,'Company Hitlist'!$A:$A,0)),)</f>
        <v/>
      </c>
      <c r="Q3735" t="inlineStr">
        <is>
          <t>todo</t>
        </is>
      </c>
    </row>
    <row r="3736">
      <c r="A3736" t="inlineStr">
        <is>
          <t>Brad Harrison</t>
        </is>
      </c>
      <c r="B3736" t="inlineStr">
        <is>
          <t>Sponsor</t>
        </is>
      </c>
      <c r="C3736" t="inlineStr">
        <is>
          <t>Vice President, Sales</t>
        </is>
      </c>
      <c r="D3736" t="inlineStr">
        <is>
          <t>Green Mountain</t>
        </is>
      </c>
      <c r="E3736" t="inlineStr">
        <is>
          <t>United States</t>
        </is>
      </c>
      <c r="H3736" t="n">
        <v>0</v>
      </c>
      <c r="I3736" t="b">
        <v>0</v>
      </c>
      <c r="J3736" t="b">
        <v>1</v>
      </c>
      <c r="K3736" t="b">
        <v>0</v>
      </c>
      <c r="L3736" t="b">
        <v>0</v>
      </c>
      <c r="M3736" t="b">
        <v>1</v>
      </c>
      <c r="N3736">
        <f>IFERROR(INDEX('Company Hitlist'!$AA:$AA,MATCH(D3736,'Company Hitlist'!$A:$A,0)),)</f>
        <v/>
      </c>
      <c r="O3736">
        <f>IFERROR(INDEX('Company Hitlist'!$N:$N,MATCH(D3736,'Company Hitlist'!$A:$A,0)),)</f>
        <v/>
      </c>
      <c r="Q3736" t="inlineStr">
        <is>
          <t>todo</t>
        </is>
      </c>
    </row>
    <row r="3737">
      <c r="A3737" t="inlineStr">
        <is>
          <t>Jennifer Saunier</t>
        </is>
      </c>
      <c r="B3737" t="inlineStr">
        <is>
          <t>Sponsor</t>
        </is>
      </c>
      <c r="C3737" t="inlineStr">
        <is>
          <t>Vice President of Business Development</t>
        </is>
      </c>
      <c r="D3737" t="inlineStr">
        <is>
          <t>Green Mountain</t>
        </is>
      </c>
      <c r="E3737" t="inlineStr">
        <is>
          <t>United States</t>
        </is>
      </c>
      <c r="H3737" t="n">
        <v>0</v>
      </c>
      <c r="I3737" t="b">
        <v>0</v>
      </c>
      <c r="J3737" t="b">
        <v>1</v>
      </c>
      <c r="K3737" t="b">
        <v>0</v>
      </c>
      <c r="L3737" t="b">
        <v>0</v>
      </c>
      <c r="M3737" t="b">
        <v>1</v>
      </c>
      <c r="N3737">
        <f>IFERROR(INDEX('Company Hitlist'!$AA:$AA,MATCH(D3737,'Company Hitlist'!$A:$A,0)),)</f>
        <v/>
      </c>
      <c r="O3737">
        <f>IFERROR(INDEX('Company Hitlist'!$N:$N,MATCH(D3737,'Company Hitlist'!$A:$A,0)),)</f>
        <v/>
      </c>
      <c r="Q3737" t="inlineStr">
        <is>
          <t>todo</t>
        </is>
      </c>
    </row>
    <row r="3738">
      <c r="A3738" t="inlineStr">
        <is>
          <t>Thomas Suggs</t>
        </is>
      </c>
      <c r="B3738" t="inlineStr">
        <is>
          <t>Attendee</t>
        </is>
      </c>
      <c r="C3738" t="inlineStr">
        <is>
          <t>Technology Solutions Manager</t>
        </is>
      </c>
      <c r="D3738" t="inlineStr">
        <is>
          <t>Green Worldwide Shipping</t>
        </is>
      </c>
      <c r="E3738" t="inlineStr">
        <is>
          <t>United States</t>
        </is>
      </c>
      <c r="H3738" t="n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>
        <f>IFERROR(INDEX('Company Hitlist'!$AA:$AA,MATCH(D3738,'Company Hitlist'!$A:$A,0)),)</f>
        <v/>
      </c>
      <c r="O3738">
        <f>IFERROR(INDEX('Company Hitlist'!$N:$N,MATCH(D3738,'Company Hitlist'!$A:$A,0)),)</f>
        <v/>
      </c>
      <c r="Q3738" t="inlineStr">
        <is>
          <t>todo</t>
        </is>
      </c>
    </row>
    <row r="3739">
      <c r="A3739" t="inlineStr">
        <is>
          <t>Jackie DiMonte</t>
        </is>
      </c>
      <c r="B3739" t="inlineStr">
        <is>
          <t>Attendee</t>
        </is>
      </c>
      <c r="C3739" t="inlineStr">
        <is>
          <t>General Partner</t>
        </is>
      </c>
      <c r="D3739" t="inlineStr">
        <is>
          <t>Grid Capital</t>
        </is>
      </c>
      <c r="E3739" t="inlineStr">
        <is>
          <t>United States</t>
        </is>
      </c>
      <c r="H3739" t="n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>
        <f>IFERROR(INDEX('Company Hitlist'!$AA:$AA,MATCH(D3739,'Company Hitlist'!$A:$A,0)),)</f>
        <v/>
      </c>
      <c r="O3739">
        <f>IFERROR(INDEX('Company Hitlist'!$N:$N,MATCH(D3739,'Company Hitlist'!$A:$A,0)),)</f>
        <v/>
      </c>
      <c r="Q3739" t="inlineStr">
        <is>
          <t>todo</t>
        </is>
      </c>
    </row>
    <row r="3740">
      <c r="A3740" t="inlineStr">
        <is>
          <t>Peter Christman</t>
        </is>
      </c>
      <c r="B3740" t="inlineStr">
        <is>
          <t>Attendee</t>
        </is>
      </c>
      <c r="C3740" t="inlineStr">
        <is>
          <t>General Partner</t>
        </is>
      </c>
      <c r="D3740" t="inlineStr">
        <is>
          <t>Grid Capital</t>
        </is>
      </c>
      <c r="E3740" t="inlineStr">
        <is>
          <t>United States</t>
        </is>
      </c>
      <c r="H3740" t="n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>
        <f>IFERROR(INDEX('Company Hitlist'!$AA:$AA,MATCH(D3740,'Company Hitlist'!$A:$A,0)),)</f>
        <v/>
      </c>
      <c r="O3740">
        <f>IFERROR(INDEX('Company Hitlist'!$N:$N,MATCH(D3740,'Company Hitlist'!$A:$A,0)),)</f>
        <v/>
      </c>
      <c r="Q3740" t="inlineStr">
        <is>
          <t>todo</t>
        </is>
      </c>
    </row>
    <row r="3741">
      <c r="A3741" t="inlineStr">
        <is>
          <t>Andrew Bell</t>
        </is>
      </c>
      <c r="B3741" t="inlineStr">
        <is>
          <t>Attendee</t>
        </is>
      </c>
      <c r="C3741" t="inlineStr">
        <is>
          <t>Import Specialist</t>
        </is>
      </c>
      <c r="D3741" t="inlineStr">
        <is>
          <t>GroupeVusion Ltée</t>
        </is>
      </c>
      <c r="F3741" t="inlineStr">
        <is>
          <t>Yes</t>
        </is>
      </c>
      <c r="H3741" t="n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>
        <f>IFERROR(INDEX('Company Hitlist'!$AA:$AA,MATCH(D3741,'Company Hitlist'!$A:$A,0)),)</f>
        <v/>
      </c>
      <c r="O3741">
        <f>IFERROR(INDEX('Company Hitlist'!$N:$N,MATCH(D3741,'Company Hitlist'!$A:$A,0)),)</f>
        <v/>
      </c>
      <c r="Q3741" t="inlineStr">
        <is>
          <t>todo</t>
        </is>
      </c>
    </row>
    <row r="3742">
      <c r="A3742" t="inlineStr">
        <is>
          <t>Avinash Khachane</t>
        </is>
      </c>
      <c r="B3742" t="inlineStr">
        <is>
          <t>Attendee</t>
        </is>
      </c>
      <c r="C3742" t="inlineStr">
        <is>
          <t>Managing Director</t>
        </is>
      </c>
      <c r="D3742" t="inlineStr">
        <is>
          <t>Guggenheim Securities, LLC</t>
        </is>
      </c>
      <c r="E3742" t="inlineStr">
        <is>
          <t>United States</t>
        </is>
      </c>
      <c r="H3742" t="n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>
        <f>IFERROR(INDEX('Company Hitlist'!$AA:$AA,MATCH(D3742,'Company Hitlist'!$A:$A,0)),)</f>
        <v/>
      </c>
      <c r="O3742">
        <f>IFERROR(INDEX('Company Hitlist'!$N:$N,MATCH(D3742,'Company Hitlist'!$A:$A,0)),)</f>
        <v/>
      </c>
      <c r="Q3742" t="inlineStr">
        <is>
          <t>todo</t>
        </is>
      </c>
    </row>
    <row r="3743">
      <c r="A3743" t="inlineStr">
        <is>
          <t>Taylor Doherty</t>
        </is>
      </c>
      <c r="B3743" t="inlineStr">
        <is>
          <t>Attendee</t>
        </is>
      </c>
      <c r="C3743" t="inlineStr">
        <is>
          <t>Principal</t>
        </is>
      </c>
      <c r="D3743" t="inlineStr">
        <is>
          <t>Guidepost Growth Equity</t>
        </is>
      </c>
      <c r="E3743" t="inlineStr">
        <is>
          <t>United States</t>
        </is>
      </c>
      <c r="H3743" t="n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>
        <f>IFERROR(INDEX('Company Hitlist'!$AA:$AA,MATCH(D3743,'Company Hitlist'!$A:$A,0)),)</f>
        <v/>
      </c>
      <c r="O3743">
        <f>IFERROR(INDEX('Company Hitlist'!$N:$N,MATCH(D3743,'Company Hitlist'!$A:$A,0)),)</f>
        <v/>
      </c>
      <c r="Q3743" t="inlineStr">
        <is>
          <t>todo</t>
        </is>
      </c>
    </row>
    <row r="3744">
      <c r="A3744" t="inlineStr">
        <is>
          <t>Alysse Ligon</t>
        </is>
      </c>
      <c r="B3744" t="inlineStr">
        <is>
          <t>Attendee</t>
        </is>
      </c>
      <c r="C3744" t="inlineStr">
        <is>
          <t>Director of Innovation</t>
        </is>
      </c>
      <c r="D3744" t="inlineStr">
        <is>
          <t>Gulf Winds International</t>
        </is>
      </c>
      <c r="E3744" t="inlineStr">
        <is>
          <t>United States</t>
        </is>
      </c>
      <c r="F3744" t="inlineStr">
        <is>
          <t>Yes</t>
        </is>
      </c>
      <c r="H3744" t="n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>
        <f>IFERROR(INDEX('Company Hitlist'!$AA:$AA,MATCH(D3744,'Company Hitlist'!$A:$A,0)),)</f>
        <v/>
      </c>
      <c r="O3744">
        <f>IFERROR(INDEX('Company Hitlist'!$N:$N,MATCH(D3744,'Company Hitlist'!$A:$A,0)),)</f>
        <v/>
      </c>
      <c r="Q3744" t="inlineStr">
        <is>
          <t>todo</t>
        </is>
      </c>
    </row>
    <row r="3745">
      <c r="A3745" t="inlineStr">
        <is>
          <t>Toby Milligan</t>
        </is>
      </c>
      <c r="B3745" t="inlineStr">
        <is>
          <t>Attendee</t>
        </is>
      </c>
      <c r="C3745" t="inlineStr">
        <is>
          <t>Director</t>
        </is>
      </c>
      <c r="D3745" t="inlineStr">
        <is>
          <t>HD Shipping Solutions</t>
        </is>
      </c>
      <c r="E3745" t="inlineStr">
        <is>
          <t>United States</t>
        </is>
      </c>
      <c r="F3745" t="inlineStr">
        <is>
          <t>Yes</t>
        </is>
      </c>
      <c r="H3745" t="n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>
        <f>IFERROR(INDEX('Company Hitlist'!$AA:$AA,MATCH(D3745,'Company Hitlist'!$A:$A,0)),)</f>
        <v/>
      </c>
      <c r="O3745">
        <f>IFERROR(INDEX('Company Hitlist'!$N:$N,MATCH(D3745,'Company Hitlist'!$A:$A,0)),)</f>
        <v/>
      </c>
      <c r="Q3745" t="inlineStr">
        <is>
          <t>todo</t>
        </is>
      </c>
    </row>
    <row r="3746">
      <c r="A3746" t="inlineStr">
        <is>
          <t>OCTAVIO GARCIA</t>
        </is>
      </c>
      <c r="B3746" t="inlineStr">
        <is>
          <t>Attendee</t>
        </is>
      </c>
      <c r="C3746" t="inlineStr">
        <is>
          <t>IT DIRECTOR</t>
        </is>
      </c>
      <c r="D3746" t="inlineStr">
        <is>
          <t>HG TRANSPORTACIONES</t>
        </is>
      </c>
      <c r="E3746" t="inlineStr">
        <is>
          <t>Mexico</t>
        </is>
      </c>
      <c r="F3746" t="inlineStr">
        <is>
          <t>Yes</t>
        </is>
      </c>
      <c r="H3746" t="n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>
        <f>IFERROR(INDEX('Company Hitlist'!$AA:$AA,MATCH(D3746,'Company Hitlist'!$A:$A,0)),)</f>
        <v/>
      </c>
      <c r="O3746">
        <f>IFERROR(INDEX('Company Hitlist'!$N:$N,MATCH(D3746,'Company Hitlist'!$A:$A,0)),)</f>
        <v/>
      </c>
      <c r="Q3746" t="inlineStr">
        <is>
          <t>todo</t>
        </is>
      </c>
    </row>
    <row r="3747">
      <c r="A3747" t="inlineStr">
        <is>
          <t>Hariesh Manaadiar</t>
        </is>
      </c>
      <c r="B3747" t="inlineStr">
        <is>
          <t>Attendee</t>
        </is>
      </c>
      <c r="C3747" t="inlineStr">
        <is>
          <t>Founder</t>
        </is>
      </c>
      <c r="D3747" t="inlineStr">
        <is>
          <t>HM Business Solutions</t>
        </is>
      </c>
      <c r="H3747" t="n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>
        <f>IFERROR(INDEX('Company Hitlist'!$AA:$AA,MATCH(D3747,'Company Hitlist'!$A:$A,0)),)</f>
        <v/>
      </c>
      <c r="O3747">
        <f>IFERROR(INDEX('Company Hitlist'!$N:$N,MATCH(D3747,'Company Hitlist'!$A:$A,0)),)</f>
        <v/>
      </c>
      <c r="Q3747" t="inlineStr">
        <is>
          <t>todo</t>
        </is>
      </c>
    </row>
    <row r="3748">
      <c r="A3748" t="inlineStr">
        <is>
          <t>Michael Sachaj</t>
        </is>
      </c>
      <c r="B3748" t="inlineStr">
        <is>
          <t>Attendee</t>
        </is>
      </c>
      <c r="C3748" t="inlineStr">
        <is>
          <t>Partner</t>
        </is>
      </c>
      <c r="D3748" t="inlineStr">
        <is>
          <t>HPA VC</t>
        </is>
      </c>
      <c r="E3748" t="inlineStr">
        <is>
          <t>United States</t>
        </is>
      </c>
      <c r="H3748" t="n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>
        <f>IFERROR(INDEX('Company Hitlist'!$AA:$AA,MATCH(D3748,'Company Hitlist'!$A:$A,0)),)</f>
        <v/>
      </c>
      <c r="O3748">
        <f>IFERROR(INDEX('Company Hitlist'!$N:$N,MATCH(D3748,'Company Hitlist'!$A:$A,0)),)</f>
        <v/>
      </c>
      <c r="Q3748" t="inlineStr">
        <is>
          <t>todo</t>
        </is>
      </c>
    </row>
    <row r="3749">
      <c r="A3749" t="inlineStr">
        <is>
          <t>Ryan Suckow</t>
        </is>
      </c>
      <c r="B3749" t="inlineStr">
        <is>
          <t>Attendee</t>
        </is>
      </c>
      <c r="C3749" t="inlineStr">
        <is>
          <t>Director and Managing Partner</t>
        </is>
      </c>
      <c r="D3749" t="inlineStr">
        <is>
          <t>HTR Logistics</t>
        </is>
      </c>
      <c r="E3749" t="inlineStr">
        <is>
          <t>United States</t>
        </is>
      </c>
      <c r="F3749" t="inlineStr">
        <is>
          <t>Yes</t>
        </is>
      </c>
      <c r="H3749" t="n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>
        <f>IFERROR(INDEX('Company Hitlist'!$AA:$AA,MATCH(D3749,'Company Hitlist'!$A:$A,0)),)</f>
        <v/>
      </c>
      <c r="O3749">
        <f>IFERROR(INDEX('Company Hitlist'!$N:$N,MATCH(D3749,'Company Hitlist'!$A:$A,0)),)</f>
        <v/>
      </c>
      <c r="Q3749" t="inlineStr">
        <is>
          <t>todo</t>
        </is>
      </c>
    </row>
    <row r="3750">
      <c r="A3750" t="inlineStr">
        <is>
          <t>Seunghwan Hong</t>
        </is>
      </c>
      <c r="B3750" t="inlineStr">
        <is>
          <t>Attendee</t>
        </is>
      </c>
      <c r="C3750" t="inlineStr">
        <is>
          <t>Canada Corportation Managing Director</t>
        </is>
      </c>
      <c r="D3750" t="inlineStr">
        <is>
          <t>Hankook Tire Canada</t>
        </is>
      </c>
      <c r="H3750" t="n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>
        <f>IFERROR(INDEX('Company Hitlist'!$AA:$AA,MATCH(D3750,'Company Hitlist'!$A:$A,0)),)</f>
        <v/>
      </c>
      <c r="O3750">
        <f>IFERROR(INDEX('Company Hitlist'!$N:$N,MATCH(D3750,'Company Hitlist'!$A:$A,0)),)</f>
        <v/>
      </c>
      <c r="Q3750" t="inlineStr">
        <is>
          <t>todo</t>
        </is>
      </c>
    </row>
    <row r="3751">
      <c r="A3751" t="inlineStr">
        <is>
          <t>Daehee Han</t>
        </is>
      </c>
      <c r="B3751" t="inlineStr">
        <is>
          <t>Attendee</t>
        </is>
      </c>
      <c r="C3751" t="inlineStr">
        <is>
          <t>Team leader</t>
        </is>
      </c>
      <c r="D3751" t="inlineStr">
        <is>
          <t>Hankook Tire U.S.A</t>
        </is>
      </c>
      <c r="H3751" t="n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>
        <f>IFERROR(INDEX('Company Hitlist'!$AA:$AA,MATCH(D3751,'Company Hitlist'!$A:$A,0)),)</f>
        <v/>
      </c>
      <c r="O3751">
        <f>IFERROR(INDEX('Company Hitlist'!$N:$N,MATCH(D3751,'Company Hitlist'!$A:$A,0)),)</f>
        <v/>
      </c>
      <c r="Q3751" t="inlineStr">
        <is>
          <t>todo</t>
        </is>
      </c>
    </row>
    <row r="3752">
      <c r="A3752" t="inlineStr">
        <is>
          <t>Wonseok Kang</t>
        </is>
      </c>
      <c r="B3752" t="inlineStr">
        <is>
          <t>Attendee</t>
        </is>
      </c>
      <c r="C3752" t="inlineStr">
        <is>
          <t>Team leader</t>
        </is>
      </c>
      <c r="D3752" t="inlineStr">
        <is>
          <t>Hankook Tire U.S.A</t>
        </is>
      </c>
      <c r="H3752" t="n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>
        <f>IFERROR(INDEX('Company Hitlist'!$AA:$AA,MATCH(D3752,'Company Hitlist'!$A:$A,0)),)</f>
        <v/>
      </c>
      <c r="O3752">
        <f>IFERROR(INDEX('Company Hitlist'!$N:$N,MATCH(D3752,'Company Hitlist'!$A:$A,0)),)</f>
        <v/>
      </c>
      <c r="Q3752" t="inlineStr">
        <is>
          <t>todo</t>
        </is>
      </c>
    </row>
    <row r="3753">
      <c r="A3753" t="inlineStr">
        <is>
          <t>Kevin Herrera</t>
        </is>
      </c>
      <c r="B3753" t="inlineStr">
        <is>
          <t>Attendee</t>
        </is>
      </c>
      <c r="C3753" t="inlineStr">
        <is>
          <t>Regional Inland Manager</t>
        </is>
      </c>
      <c r="D3753" t="inlineStr">
        <is>
          <t>Hapag Lloyd</t>
        </is>
      </c>
      <c r="E3753" t="inlineStr">
        <is>
          <t>United States</t>
        </is>
      </c>
      <c r="H3753" t="n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>
        <f>IFERROR(INDEX('Company Hitlist'!$AA:$AA,MATCH(D3753,'Company Hitlist'!$A:$A,0)),)</f>
        <v/>
      </c>
      <c r="O3753">
        <f>IFERROR(INDEX('Company Hitlist'!$N:$N,MATCH(D3753,'Company Hitlist'!$A:$A,0)),)</f>
        <v/>
      </c>
      <c r="Q3753" t="inlineStr">
        <is>
          <t>todo</t>
        </is>
      </c>
    </row>
    <row r="3754">
      <c r="A3754" t="inlineStr">
        <is>
          <t>Kathryn Dean</t>
        </is>
      </c>
      <c r="B3754" t="inlineStr">
        <is>
          <t>Sponsor</t>
        </is>
      </c>
      <c r="C3754" t="inlineStr">
        <is>
          <t>Head of Growth</t>
        </is>
      </c>
      <c r="D3754" t="inlineStr">
        <is>
          <t>HappyRobot</t>
        </is>
      </c>
      <c r="E3754" t="inlineStr">
        <is>
          <t>United States</t>
        </is>
      </c>
      <c r="F3754" t="inlineStr">
        <is>
          <t>Yes</t>
        </is>
      </c>
      <c r="H3754" t="n">
        <v>0</v>
      </c>
      <c r="I3754" t="b">
        <v>0</v>
      </c>
      <c r="J3754" t="b">
        <v>1</v>
      </c>
      <c r="K3754" t="b">
        <v>0</v>
      </c>
      <c r="L3754" t="b">
        <v>0</v>
      </c>
      <c r="M3754" t="b">
        <v>1</v>
      </c>
      <c r="N3754">
        <f>IFERROR(INDEX('Company Hitlist'!$AA:$AA,MATCH(D3754,'Company Hitlist'!$A:$A,0)),)</f>
        <v/>
      </c>
      <c r="O3754">
        <f>IFERROR(INDEX('Company Hitlist'!$N:$N,MATCH(D3754,'Company Hitlist'!$A:$A,0)),)</f>
        <v/>
      </c>
      <c r="Q3754" t="inlineStr">
        <is>
          <t>todo</t>
        </is>
      </c>
    </row>
    <row r="3755">
      <c r="A3755" t="inlineStr">
        <is>
          <t>Paulina Szyzdek</t>
        </is>
      </c>
      <c r="B3755" t="inlineStr">
        <is>
          <t>Attendee</t>
        </is>
      </c>
      <c r="C3755" t="inlineStr">
        <is>
          <t>Principal</t>
        </is>
      </c>
      <c r="D3755" t="inlineStr">
        <is>
          <t>HardTech Reads: AI &amp; Robotics Revolution</t>
        </is>
      </c>
      <c r="E3755" t="inlineStr">
        <is>
          <t>United States</t>
        </is>
      </c>
      <c r="H3755" t="n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>
        <f>IFERROR(INDEX('Company Hitlist'!$AA:$AA,MATCH(D3755,'Company Hitlist'!$A:$A,0)),)</f>
        <v/>
      </c>
      <c r="O3755">
        <f>IFERROR(INDEX('Company Hitlist'!$N:$N,MATCH(D3755,'Company Hitlist'!$A:$A,0)),)</f>
        <v/>
      </c>
      <c r="Q3755" t="inlineStr">
        <is>
          <t>todo</t>
        </is>
      </c>
    </row>
    <row r="3756">
      <c r="A3756" t="inlineStr">
        <is>
          <t>Anthony James</t>
        </is>
      </c>
      <c r="B3756" t="inlineStr">
        <is>
          <t>Attendee</t>
        </is>
      </c>
      <c r="C3756" t="inlineStr">
        <is>
          <t>Director, Corporate Development</t>
        </is>
      </c>
      <c r="D3756" t="inlineStr">
        <is>
          <t>Harris</t>
        </is>
      </c>
      <c r="E3756" t="inlineStr">
        <is>
          <t>United States</t>
        </is>
      </c>
      <c r="H3756" t="n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>
        <f>IFERROR(INDEX('Company Hitlist'!$AA:$AA,MATCH(D3756,'Company Hitlist'!$A:$A,0)),)</f>
        <v/>
      </c>
      <c r="O3756">
        <f>IFERROR(INDEX('Company Hitlist'!$N:$N,MATCH(D3756,'Company Hitlist'!$A:$A,0)),)</f>
        <v/>
      </c>
      <c r="Q3756" t="inlineStr">
        <is>
          <t>todo</t>
        </is>
      </c>
    </row>
    <row r="3757">
      <c r="A3757" t="inlineStr">
        <is>
          <t>Nick Petrick</t>
        </is>
      </c>
      <c r="B3757" t="inlineStr">
        <is>
          <t>Attendee</t>
        </is>
      </c>
      <c r="C3757" t="inlineStr">
        <is>
          <t>Director</t>
        </is>
      </c>
      <c r="D3757" t="inlineStr">
        <is>
          <t>Harris Williams LLC</t>
        </is>
      </c>
      <c r="E3757" t="inlineStr">
        <is>
          <t>United States</t>
        </is>
      </c>
      <c r="H3757" t="n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>
        <f>IFERROR(INDEX('Company Hitlist'!$AA:$AA,MATCH(D3757,'Company Hitlist'!$A:$A,0)),)</f>
        <v/>
      </c>
      <c r="O3757">
        <f>IFERROR(INDEX('Company Hitlist'!$N:$N,MATCH(D3757,'Company Hitlist'!$A:$A,0)),)</f>
        <v/>
      </c>
      <c r="Q3757" t="inlineStr">
        <is>
          <t>todo</t>
        </is>
      </c>
    </row>
    <row r="3758">
      <c r="A3758" t="inlineStr">
        <is>
          <t>Ryan Costa</t>
        </is>
      </c>
      <c r="B3758" t="inlineStr">
        <is>
          <t>Attendee</t>
        </is>
      </c>
      <c r="C3758" t="inlineStr">
        <is>
          <t>Director</t>
        </is>
      </c>
      <c r="D3758" t="inlineStr">
        <is>
          <t>Harris Williams LLC</t>
        </is>
      </c>
      <c r="E3758" t="inlineStr">
        <is>
          <t>United States</t>
        </is>
      </c>
      <c r="H3758" t="n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>
        <f>IFERROR(INDEX('Company Hitlist'!$AA:$AA,MATCH(D3758,'Company Hitlist'!$A:$A,0)),)</f>
        <v/>
      </c>
      <c r="O3758">
        <f>IFERROR(INDEX('Company Hitlist'!$N:$N,MATCH(D3758,'Company Hitlist'!$A:$A,0)),)</f>
        <v/>
      </c>
      <c r="Q3758" t="inlineStr">
        <is>
          <t>todo</t>
        </is>
      </c>
    </row>
    <row r="3759">
      <c r="A3759" t="inlineStr">
        <is>
          <t>Jerry Fung</t>
        </is>
      </c>
      <c r="B3759" t="inlineStr">
        <is>
          <t>Attendee</t>
        </is>
      </c>
      <c r="C3759" t="inlineStr">
        <is>
          <t>Investor</t>
        </is>
      </c>
      <c r="D3759" t="inlineStr">
        <is>
          <t>Headline</t>
        </is>
      </c>
      <c r="E3759" t="inlineStr">
        <is>
          <t>United States</t>
        </is>
      </c>
      <c r="H3759" t="n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>
        <f>IFERROR(INDEX('Company Hitlist'!$AA:$AA,MATCH(D3759,'Company Hitlist'!$A:$A,0)),)</f>
        <v/>
      </c>
      <c r="O3759">
        <f>IFERROR(INDEX('Company Hitlist'!$N:$N,MATCH(D3759,'Company Hitlist'!$A:$A,0)),)</f>
        <v/>
      </c>
      <c r="Q3759" t="inlineStr">
        <is>
          <t>todo</t>
        </is>
      </c>
    </row>
    <row r="3760">
      <c r="A3760" t="inlineStr">
        <is>
          <t>David Famolari</t>
        </is>
      </c>
      <c r="B3760" t="inlineStr">
        <is>
          <t>Attendee</t>
        </is>
      </c>
      <c r="C3760" t="inlineStr">
        <is>
          <t>Managing Director</t>
        </is>
      </c>
      <c r="D3760" t="inlineStr">
        <is>
          <t>Hearst Ventures</t>
        </is>
      </c>
      <c r="E3760" t="inlineStr">
        <is>
          <t>United States</t>
        </is>
      </c>
      <c r="H3760" t="n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>
        <f>IFERROR(INDEX('Company Hitlist'!$AA:$AA,MATCH(D3760,'Company Hitlist'!$A:$A,0)),)</f>
        <v/>
      </c>
      <c r="O3760">
        <f>IFERROR(INDEX('Company Hitlist'!$N:$N,MATCH(D3760,'Company Hitlist'!$A:$A,0)),)</f>
        <v/>
      </c>
      <c r="Q3760" t="inlineStr">
        <is>
          <t>todo</t>
        </is>
      </c>
    </row>
    <row r="3761">
      <c r="A3761" t="inlineStr">
        <is>
          <t>Shiran Nusbaum</t>
        </is>
      </c>
      <c r="B3761" t="inlineStr">
        <is>
          <t>Attendee</t>
        </is>
      </c>
      <c r="C3761" t="inlineStr">
        <is>
          <t>Managing Director</t>
        </is>
      </c>
      <c r="D3761" t="inlineStr">
        <is>
          <t>Hellmann Strategic Growth Investments GmbH</t>
        </is>
      </c>
      <c r="E3761" t="inlineStr">
        <is>
          <t>Germany</t>
        </is>
      </c>
      <c r="H3761" t="n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>
        <f>IFERROR(INDEX('Company Hitlist'!$AA:$AA,MATCH(D3761,'Company Hitlist'!$A:$A,0)),)</f>
        <v/>
      </c>
      <c r="O3761">
        <f>IFERROR(INDEX('Company Hitlist'!$N:$N,MATCH(D3761,'Company Hitlist'!$A:$A,0)),)</f>
        <v/>
      </c>
      <c r="Q3761" t="inlineStr">
        <is>
          <t>todo</t>
        </is>
      </c>
    </row>
    <row r="3762">
      <c r="A3762" t="inlineStr">
        <is>
          <t>Michel Heck</t>
        </is>
      </c>
      <c r="B3762" t="inlineStr">
        <is>
          <t>Attendee</t>
        </is>
      </c>
      <c r="C3762" t="inlineStr">
        <is>
          <t>Global Innovation Manager</t>
        </is>
      </c>
      <c r="D3762" t="inlineStr">
        <is>
          <t>Hellmann Worldwide Logistics</t>
        </is>
      </c>
      <c r="H3762" t="n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>
        <f>IFERROR(INDEX('Company Hitlist'!$AA:$AA,MATCH(D3762,'Company Hitlist'!$A:$A,0)),)</f>
        <v/>
      </c>
      <c r="O3762">
        <f>IFERROR(INDEX('Company Hitlist'!$N:$N,MATCH(D3762,'Company Hitlist'!$A:$A,0)),)</f>
        <v/>
      </c>
      <c r="Q3762" t="inlineStr">
        <is>
          <t>todo</t>
        </is>
      </c>
    </row>
    <row r="3763">
      <c r="A3763" t="inlineStr">
        <is>
          <t>Tara Piirala</t>
        </is>
      </c>
      <c r="B3763" t="inlineStr">
        <is>
          <t>Attendee</t>
        </is>
      </c>
      <c r="C3763" t="inlineStr">
        <is>
          <t>Director Innovation &amp; Continuous Improvement</t>
        </is>
      </c>
      <c r="D3763" t="inlineStr">
        <is>
          <t>Henkel</t>
        </is>
      </c>
      <c r="F3763" t="inlineStr">
        <is>
          <t>Yes</t>
        </is>
      </c>
      <c r="H3763" t="n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>
        <f>IFERROR(INDEX('Company Hitlist'!$AA:$AA,MATCH(D3763,'Company Hitlist'!$A:$A,0)),)</f>
        <v/>
      </c>
      <c r="O3763">
        <f>IFERROR(INDEX('Company Hitlist'!$N:$N,MATCH(D3763,'Company Hitlist'!$A:$A,0)),)</f>
        <v/>
      </c>
      <c r="Q3763" t="inlineStr">
        <is>
          <t>todo</t>
        </is>
      </c>
    </row>
    <row r="3764">
      <c r="A3764" t="inlineStr">
        <is>
          <t>Cheryl Lamb</t>
        </is>
      </c>
      <c r="B3764" t="inlineStr">
        <is>
          <t>Attendee</t>
        </is>
      </c>
      <c r="C3764" t="inlineStr">
        <is>
          <t>Sr Manager, Journey to Excellence</t>
        </is>
      </c>
      <c r="D3764" t="inlineStr">
        <is>
          <t>Henkel</t>
        </is>
      </c>
      <c r="H3764" t="n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>
        <f>IFERROR(INDEX('Company Hitlist'!$AA:$AA,MATCH(D3764,'Company Hitlist'!$A:$A,0)),)</f>
        <v/>
      </c>
      <c r="O3764">
        <f>IFERROR(INDEX('Company Hitlist'!$N:$N,MATCH(D3764,'Company Hitlist'!$A:$A,0)),)</f>
        <v/>
      </c>
      <c r="Q3764" t="inlineStr">
        <is>
          <t>todo</t>
        </is>
      </c>
    </row>
    <row r="3765">
      <c r="A3765" t="inlineStr">
        <is>
          <t>Marina Peterson</t>
        </is>
      </c>
      <c r="B3765" t="inlineStr">
        <is>
          <t>Attendee</t>
        </is>
      </c>
      <c r="C3765" t="inlineStr">
        <is>
          <t>owner</t>
        </is>
      </c>
      <c r="D3765" t="inlineStr">
        <is>
          <t>Hermes National Transport, LLC</t>
        </is>
      </c>
      <c r="E3765" t="inlineStr">
        <is>
          <t>United States</t>
        </is>
      </c>
      <c r="F3765" t="inlineStr">
        <is>
          <t>Yes</t>
        </is>
      </c>
      <c r="H3765" t="n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>
        <f>IFERROR(INDEX('Company Hitlist'!$AA:$AA,MATCH(D3765,'Company Hitlist'!$A:$A,0)),)</f>
        <v/>
      </c>
      <c r="O3765">
        <f>IFERROR(INDEX('Company Hitlist'!$N:$N,MATCH(D3765,'Company Hitlist'!$A:$A,0)),)</f>
        <v/>
      </c>
      <c r="Q3765" t="inlineStr">
        <is>
          <t>todo</t>
        </is>
      </c>
    </row>
    <row r="3766">
      <c r="A3766" t="inlineStr">
        <is>
          <t>Jameson Wachtell</t>
        </is>
      </c>
      <c r="B3766" t="inlineStr">
        <is>
          <t>Sponsor</t>
        </is>
      </c>
      <c r="C3766" t="inlineStr">
        <is>
          <t>Head of US Sales</t>
        </is>
      </c>
      <c r="D3766" t="inlineStr">
        <is>
          <t>Hexight</t>
        </is>
      </c>
      <c r="E3766" t="inlineStr">
        <is>
          <t>United States</t>
        </is>
      </c>
      <c r="H3766" t="n">
        <v>0</v>
      </c>
      <c r="I3766" t="b">
        <v>0</v>
      </c>
      <c r="J3766" t="b">
        <v>1</v>
      </c>
      <c r="K3766" t="b">
        <v>0</v>
      </c>
      <c r="L3766" t="b">
        <v>0</v>
      </c>
      <c r="M3766" t="b">
        <v>1</v>
      </c>
      <c r="N3766">
        <f>IFERROR(INDEX('Company Hitlist'!$AA:$AA,MATCH(D3766,'Company Hitlist'!$A:$A,0)),)</f>
        <v/>
      </c>
      <c r="O3766">
        <f>IFERROR(INDEX('Company Hitlist'!$N:$N,MATCH(D3766,'Company Hitlist'!$A:$A,0)),)</f>
        <v/>
      </c>
      <c r="Q3766" t="inlineStr">
        <is>
          <t>todo</t>
        </is>
      </c>
    </row>
    <row r="3767">
      <c r="A3767" t="inlineStr">
        <is>
          <t>Anthony Bartucci</t>
        </is>
      </c>
      <c r="B3767" t="inlineStr">
        <is>
          <t>Attendee</t>
        </is>
      </c>
      <c r="C3767" t="inlineStr">
        <is>
          <t>Associate</t>
        </is>
      </c>
      <c r="D3767" t="inlineStr">
        <is>
          <t>Hg Capital</t>
        </is>
      </c>
      <c r="E3767" t="inlineStr">
        <is>
          <t>United States</t>
        </is>
      </c>
      <c r="H3767" t="n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>
        <f>IFERROR(INDEX('Company Hitlist'!$AA:$AA,MATCH(D3767,'Company Hitlist'!$A:$A,0)),)</f>
        <v/>
      </c>
      <c r="O3767">
        <f>IFERROR(INDEX('Company Hitlist'!$N:$N,MATCH(D3767,'Company Hitlist'!$A:$A,0)),)</f>
        <v/>
      </c>
      <c r="Q3767" t="inlineStr">
        <is>
          <t>todo</t>
        </is>
      </c>
    </row>
    <row r="3768">
      <c r="A3768" t="inlineStr">
        <is>
          <t>David Rivoir</t>
        </is>
      </c>
      <c r="B3768" t="inlineStr">
        <is>
          <t>Attendee</t>
        </is>
      </c>
      <c r="C3768" t="inlineStr">
        <is>
          <t>Senior Associate</t>
        </is>
      </c>
      <c r="D3768" t="inlineStr">
        <is>
          <t>Hg Capital</t>
        </is>
      </c>
      <c r="E3768" t="inlineStr">
        <is>
          <t>United States</t>
        </is>
      </c>
      <c r="H3768" t="n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>
        <f>IFERROR(INDEX('Company Hitlist'!$AA:$AA,MATCH(D3768,'Company Hitlist'!$A:$A,0)),)</f>
        <v/>
      </c>
      <c r="O3768">
        <f>IFERROR(INDEX('Company Hitlist'!$N:$N,MATCH(D3768,'Company Hitlist'!$A:$A,0)),)</f>
        <v/>
      </c>
      <c r="Q3768" t="inlineStr">
        <is>
          <t>todo</t>
        </is>
      </c>
    </row>
    <row r="3769">
      <c r="A3769" t="inlineStr">
        <is>
          <t>David Ausdenmoore</t>
        </is>
      </c>
      <c r="B3769" t="inlineStr">
        <is>
          <t>Attendee</t>
        </is>
      </c>
      <c r="C3769" t="inlineStr">
        <is>
          <t>Product Manager</t>
        </is>
      </c>
      <c r="D3769" t="inlineStr">
        <is>
          <t>Hiab</t>
        </is>
      </c>
      <c r="H3769" t="n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>
        <f>IFERROR(INDEX('Company Hitlist'!$AA:$AA,MATCH(D3769,'Company Hitlist'!$A:$A,0)),)</f>
        <v/>
      </c>
      <c r="O3769">
        <f>IFERROR(INDEX('Company Hitlist'!$N:$N,MATCH(D3769,'Company Hitlist'!$A:$A,0)),)</f>
        <v/>
      </c>
      <c r="Q3769" t="inlineStr">
        <is>
          <t>todo</t>
        </is>
      </c>
    </row>
    <row r="3770">
      <c r="A3770" t="inlineStr">
        <is>
          <t>Jessica Hale</t>
        </is>
      </c>
      <c r="B3770" t="inlineStr">
        <is>
          <t>Sponsor</t>
        </is>
      </c>
      <c r="C3770" t="inlineStr">
        <is>
          <t>VP of Customer Success</t>
        </is>
      </c>
      <c r="D3770" t="inlineStr">
        <is>
          <t>Highway</t>
        </is>
      </c>
      <c r="E3770" t="inlineStr">
        <is>
          <t>United States</t>
        </is>
      </c>
      <c r="F3770" t="inlineStr">
        <is>
          <t>Yes</t>
        </is>
      </c>
      <c r="G3770" t="inlineStr">
        <is>
          <t>24940000</t>
        </is>
      </c>
      <c r="H3770" t="n">
        <v>0</v>
      </c>
      <c r="I3770" t="b">
        <v>0</v>
      </c>
      <c r="J3770" t="b">
        <v>1</v>
      </c>
      <c r="K3770" t="b">
        <v>0</v>
      </c>
      <c r="L3770" t="b">
        <v>0</v>
      </c>
      <c r="M3770" t="b">
        <v>1</v>
      </c>
      <c r="N3770">
        <f>IFERROR(INDEX('Company Hitlist'!$AA:$AA,MATCH(D3770,'Company Hitlist'!$A:$A,0)),)</f>
        <v/>
      </c>
      <c r="O3770">
        <f>IFERROR(INDEX('Company Hitlist'!$N:$N,MATCH(D3770,'Company Hitlist'!$A:$A,0)),)</f>
        <v/>
      </c>
      <c r="Q3770" t="inlineStr">
        <is>
          <t>todo</t>
        </is>
      </c>
    </row>
    <row r="3771">
      <c r="A3771" t="inlineStr">
        <is>
          <t>Jayson Peterson</t>
        </is>
      </c>
      <c r="B3771" t="inlineStr">
        <is>
          <t>Sponsor</t>
        </is>
      </c>
      <c r="C3771" t="inlineStr">
        <is>
          <t>VP of Partnerships &amp; Alliances</t>
        </is>
      </c>
      <c r="D3771" t="inlineStr">
        <is>
          <t>Highway</t>
        </is>
      </c>
      <c r="F3771" t="inlineStr">
        <is>
          <t>Yes</t>
        </is>
      </c>
      <c r="G3771" t="inlineStr">
        <is>
          <t>24940000</t>
        </is>
      </c>
      <c r="H3771" t="n">
        <v>0</v>
      </c>
      <c r="I3771" t="b">
        <v>0</v>
      </c>
      <c r="J3771" t="b">
        <v>1</v>
      </c>
      <c r="K3771" t="b">
        <v>0</v>
      </c>
      <c r="L3771" t="b">
        <v>0</v>
      </c>
      <c r="M3771" t="b">
        <v>1</v>
      </c>
      <c r="N3771">
        <f>IFERROR(INDEX('Company Hitlist'!$AA:$AA,MATCH(D3771,'Company Hitlist'!$A:$A,0)),)</f>
        <v/>
      </c>
      <c r="O3771">
        <f>IFERROR(INDEX('Company Hitlist'!$N:$N,MATCH(D3771,'Company Hitlist'!$A:$A,0)),)</f>
        <v/>
      </c>
      <c r="Q3771" t="inlineStr">
        <is>
          <t>todo</t>
        </is>
      </c>
    </row>
    <row r="3772">
      <c r="A3772" t="inlineStr">
        <is>
          <t>Arnab Chakrabarti</t>
        </is>
      </c>
      <c r="B3772" t="inlineStr">
        <is>
          <t>Attendee</t>
        </is>
      </c>
      <c r="C3772" t="inlineStr">
        <is>
          <t>Director and Lab Manager, R&amp;D / Financial Innovation Lab</t>
        </is>
      </c>
      <c r="D3772" t="inlineStr">
        <is>
          <t>Hitachi America, Ltd</t>
        </is>
      </c>
      <c r="E3772" t="inlineStr">
        <is>
          <t>United States</t>
        </is>
      </c>
      <c r="H3772" t="n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>
        <f>IFERROR(INDEX('Company Hitlist'!$AA:$AA,MATCH(D3772,'Company Hitlist'!$A:$A,0)),)</f>
        <v/>
      </c>
      <c r="O3772">
        <f>IFERROR(INDEX('Company Hitlist'!$N:$N,MATCH(D3772,'Company Hitlist'!$A:$A,0)),)</f>
        <v/>
      </c>
      <c r="Q3772" t="inlineStr">
        <is>
          <t>todo</t>
        </is>
      </c>
    </row>
    <row r="3773">
      <c r="A3773" t="inlineStr">
        <is>
          <t>Misaki Mito</t>
        </is>
      </c>
      <c r="B3773" t="inlineStr">
        <is>
          <t>Attendee</t>
        </is>
      </c>
      <c r="C3773" t="inlineStr">
        <is>
          <t>Researcher</t>
        </is>
      </c>
      <c r="D3773" t="inlineStr">
        <is>
          <t>Hitachi America, Ltd.</t>
        </is>
      </c>
      <c r="E3773" t="inlineStr">
        <is>
          <t>United States</t>
        </is>
      </c>
      <c r="F3773" t="inlineStr">
        <is>
          <t>Yes</t>
        </is>
      </c>
      <c r="H3773" t="n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>
        <f>IFERROR(INDEX('Company Hitlist'!$AA:$AA,MATCH(D3773,'Company Hitlist'!$A:$A,0)),)</f>
        <v/>
      </c>
      <c r="O3773">
        <f>IFERROR(INDEX('Company Hitlist'!$N:$N,MATCH(D3773,'Company Hitlist'!$A:$A,0)),)</f>
        <v/>
      </c>
      <c r="Q3773" t="inlineStr">
        <is>
          <t>todo</t>
        </is>
      </c>
    </row>
    <row r="3774">
      <c r="A3774" t="inlineStr">
        <is>
          <t>Grace Mathis</t>
        </is>
      </c>
      <c r="B3774" t="inlineStr">
        <is>
          <t>Attendee</t>
        </is>
      </c>
      <c r="C3774" t="inlineStr">
        <is>
          <t>Investor</t>
        </is>
      </c>
      <c r="D3774" t="inlineStr">
        <is>
          <t>Hitachi Ventures</t>
        </is>
      </c>
      <c r="E3774" t="inlineStr">
        <is>
          <t>United States</t>
        </is>
      </c>
      <c r="H3774" t="n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>
        <f>IFERROR(INDEX('Company Hitlist'!$AA:$AA,MATCH(D3774,'Company Hitlist'!$A:$A,0)),)</f>
        <v/>
      </c>
      <c r="O3774">
        <f>IFERROR(INDEX('Company Hitlist'!$N:$N,MATCH(D3774,'Company Hitlist'!$A:$A,0)),)</f>
        <v/>
      </c>
      <c r="Q3774" t="inlineStr">
        <is>
          <t>todo</t>
        </is>
      </c>
    </row>
    <row r="3775">
      <c r="A3775" t="inlineStr">
        <is>
          <t>William Kent</t>
        </is>
      </c>
      <c r="B3775" t="inlineStr">
        <is>
          <t>Attendee</t>
        </is>
      </c>
      <c r="C3775" t="inlineStr">
        <is>
          <t>Partner</t>
        </is>
      </c>
      <c r="D3775" t="inlineStr">
        <is>
          <t>Holland &amp; Knight LLP</t>
        </is>
      </c>
      <c r="E3775" t="inlineStr">
        <is>
          <t>United States</t>
        </is>
      </c>
      <c r="H3775" t="n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>
        <f>IFERROR(INDEX('Company Hitlist'!$AA:$AA,MATCH(D3775,'Company Hitlist'!$A:$A,0)),)</f>
        <v/>
      </c>
      <c r="O3775">
        <f>IFERROR(INDEX('Company Hitlist'!$N:$N,MATCH(D3775,'Company Hitlist'!$A:$A,0)),)</f>
        <v/>
      </c>
      <c r="Q3775" t="inlineStr">
        <is>
          <t>todo</t>
        </is>
      </c>
    </row>
    <row r="3776">
      <c r="A3776" t="inlineStr">
        <is>
          <t>Jeanne Flavian</t>
        </is>
      </c>
      <c r="B3776" t="inlineStr">
        <is>
          <t>Attendee</t>
        </is>
      </c>
      <c r="C3776" t="inlineStr">
        <is>
          <t>CBO</t>
        </is>
      </c>
      <c r="D3776" t="inlineStr">
        <is>
          <t>Hoopo</t>
        </is>
      </c>
      <c r="F3776" t="inlineStr">
        <is>
          <t>Yes</t>
        </is>
      </c>
      <c r="H3776" t="n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>
        <f>IFERROR(INDEX('Company Hitlist'!$AA:$AA,MATCH(D3776,'Company Hitlist'!$A:$A,0)),)</f>
        <v/>
      </c>
      <c r="O3776">
        <f>IFERROR(INDEX('Company Hitlist'!$N:$N,MATCH(D3776,'Company Hitlist'!$A:$A,0)),)</f>
        <v/>
      </c>
      <c r="Q3776" t="inlineStr">
        <is>
          <t>todo</t>
        </is>
      </c>
    </row>
    <row r="3777">
      <c r="A3777" t="inlineStr">
        <is>
          <t>Tal Leemor</t>
        </is>
      </c>
      <c r="B3777" t="inlineStr">
        <is>
          <t>Sponsor</t>
        </is>
      </c>
      <c r="C3777" t="inlineStr">
        <is>
          <t>SVP Marketing &amp; Partnerships</t>
        </is>
      </c>
      <c r="D3777" t="inlineStr">
        <is>
          <t>Hoopo Systems Ltd.</t>
        </is>
      </c>
      <c r="F3777" t="inlineStr">
        <is>
          <t>Yes</t>
        </is>
      </c>
      <c r="H3777" t="n">
        <v>0</v>
      </c>
      <c r="I3777" t="b">
        <v>0</v>
      </c>
      <c r="J3777" t="b">
        <v>1</v>
      </c>
      <c r="K3777" t="b">
        <v>0</v>
      </c>
      <c r="L3777" t="b">
        <v>0</v>
      </c>
      <c r="M3777" t="b">
        <v>1</v>
      </c>
      <c r="N3777">
        <f>IFERROR(INDEX('Company Hitlist'!$AA:$AA,MATCH(D3777,'Company Hitlist'!$A:$A,0)),)</f>
        <v/>
      </c>
      <c r="O3777">
        <f>IFERROR(INDEX('Company Hitlist'!$N:$N,MATCH(D3777,'Company Hitlist'!$A:$A,0)),)</f>
        <v/>
      </c>
      <c r="Q3777" t="inlineStr">
        <is>
          <t>todo</t>
        </is>
      </c>
    </row>
    <row r="3778">
      <c r="A3778" t="inlineStr">
        <is>
          <t>Tim Whitson</t>
        </is>
      </c>
      <c r="B3778" t="inlineStr">
        <is>
          <t>Attendee</t>
        </is>
      </c>
      <c r="C3778" t="inlineStr">
        <is>
          <t>Corporate Manager, Warehousing</t>
        </is>
      </c>
      <c r="D3778" t="inlineStr">
        <is>
          <t>Hormel</t>
        </is>
      </c>
      <c r="H3778" t="n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>
        <f>IFERROR(INDEX('Company Hitlist'!$AA:$AA,MATCH(D3778,'Company Hitlist'!$A:$A,0)),)</f>
        <v/>
      </c>
      <c r="O3778">
        <f>IFERROR(INDEX('Company Hitlist'!$N:$N,MATCH(D3778,'Company Hitlist'!$A:$A,0)),)</f>
        <v/>
      </c>
      <c r="Q3778" t="inlineStr">
        <is>
          <t>todo</t>
        </is>
      </c>
    </row>
    <row r="3779">
      <c r="A3779" t="inlineStr">
        <is>
          <t>Ben Strand</t>
        </is>
      </c>
      <c r="B3779" t="inlineStr">
        <is>
          <t>Attendee</t>
        </is>
      </c>
      <c r="C3779" t="inlineStr">
        <is>
          <t>Manager</t>
        </is>
      </c>
      <c r="D3779" t="inlineStr">
        <is>
          <t>Huckberry</t>
        </is>
      </c>
      <c r="H3779" t="n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>
        <f>IFERROR(INDEX('Company Hitlist'!$AA:$AA,MATCH(D3779,'Company Hitlist'!$A:$A,0)),)</f>
        <v/>
      </c>
      <c r="O3779">
        <f>IFERROR(INDEX('Company Hitlist'!$N:$N,MATCH(D3779,'Company Hitlist'!$A:$A,0)),)</f>
        <v/>
      </c>
      <c r="Q3779" t="inlineStr">
        <is>
          <t>todo</t>
        </is>
      </c>
    </row>
    <row r="3780">
      <c r="A3780" t="inlineStr">
        <is>
          <t>Jeff Resch</t>
        </is>
      </c>
      <c r="B3780" t="inlineStr">
        <is>
          <t>Sponsor</t>
        </is>
      </c>
      <c r="C3780" t="inlineStr">
        <is>
          <t>VP of Business Development</t>
        </is>
      </c>
      <c r="D3780" t="inlineStr">
        <is>
          <t>Hyperscale</t>
        </is>
      </c>
      <c r="E3780" t="inlineStr">
        <is>
          <t>United States</t>
        </is>
      </c>
      <c r="H3780" t="n">
        <v>0</v>
      </c>
      <c r="I3780" t="b">
        <v>0</v>
      </c>
      <c r="J3780" t="b">
        <v>1</v>
      </c>
      <c r="K3780" t="b">
        <v>0</v>
      </c>
      <c r="L3780" t="b">
        <v>0</v>
      </c>
      <c r="M3780" t="b">
        <v>1</v>
      </c>
      <c r="N3780">
        <f>IFERROR(INDEX('Company Hitlist'!$AA:$AA,MATCH(D3780,'Company Hitlist'!$A:$A,0)),)</f>
        <v/>
      </c>
      <c r="O3780">
        <f>IFERROR(INDEX('Company Hitlist'!$N:$N,MATCH(D3780,'Company Hitlist'!$A:$A,0)),)</f>
        <v/>
      </c>
      <c r="Q3780" t="inlineStr">
        <is>
          <t>todo</t>
        </is>
      </c>
    </row>
    <row r="3781">
      <c r="A3781" t="inlineStr">
        <is>
          <t>Linda Bew</t>
        </is>
      </c>
      <c r="B3781" t="inlineStr">
        <is>
          <t>Sponsor</t>
        </is>
      </c>
      <c r="C3781" t="inlineStr">
        <is>
          <t>Head of Business Development</t>
        </is>
      </c>
      <c r="D3781" t="inlineStr">
        <is>
          <t>IGD</t>
        </is>
      </c>
      <c r="E3781" t="inlineStr">
        <is>
          <t>United Kingdom</t>
        </is>
      </c>
      <c r="H3781" t="n">
        <v>0</v>
      </c>
      <c r="I3781" t="b">
        <v>0</v>
      </c>
      <c r="J3781" t="b">
        <v>1</v>
      </c>
      <c r="K3781" t="b">
        <v>0</v>
      </c>
      <c r="L3781" t="b">
        <v>0</v>
      </c>
      <c r="M3781" t="b">
        <v>1</v>
      </c>
      <c r="N3781">
        <f>IFERROR(INDEX('Company Hitlist'!$AA:$AA,MATCH(D3781,'Company Hitlist'!$A:$A,0)),)</f>
        <v/>
      </c>
      <c r="O3781">
        <f>IFERROR(INDEX('Company Hitlist'!$N:$N,MATCH(D3781,'Company Hitlist'!$A:$A,0)),)</f>
        <v/>
      </c>
      <c r="Q3781" t="inlineStr">
        <is>
          <t>todo</t>
        </is>
      </c>
    </row>
    <row r="3782">
      <c r="A3782" t="inlineStr">
        <is>
          <t>Yonguk Jeong</t>
        </is>
      </c>
      <c r="B3782" t="inlineStr">
        <is>
          <t>Attendee</t>
        </is>
      </c>
      <c r="C3782" t="inlineStr">
        <is>
          <t>Plant Manager</t>
        </is>
      </c>
      <c r="D3782" t="inlineStr">
        <is>
          <t>ILJIN USA</t>
        </is>
      </c>
      <c r="H3782" t="n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>
        <f>IFERROR(INDEX('Company Hitlist'!$AA:$AA,MATCH(D3782,'Company Hitlist'!$A:$A,0)),)</f>
        <v/>
      </c>
      <c r="O3782">
        <f>IFERROR(INDEX('Company Hitlist'!$N:$N,MATCH(D3782,'Company Hitlist'!$A:$A,0)),)</f>
        <v/>
      </c>
      <c r="Q3782" t="inlineStr">
        <is>
          <t>todo</t>
        </is>
      </c>
    </row>
    <row r="3783">
      <c r="A3783" t="inlineStr">
        <is>
          <t>Tom O'Brien</t>
        </is>
      </c>
      <c r="B3783" t="inlineStr">
        <is>
          <t>Attendee</t>
        </is>
      </c>
      <c r="C3783" t="inlineStr">
        <is>
          <t>Director, Client Development</t>
        </is>
      </c>
      <c r="D3783" t="inlineStr">
        <is>
          <t>IMS</t>
        </is>
      </c>
      <c r="E3783" t="inlineStr">
        <is>
          <t>United States</t>
        </is>
      </c>
      <c r="F3783" t="inlineStr">
        <is>
          <t>Yes</t>
        </is>
      </c>
      <c r="H3783" t="n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>
        <f>IFERROR(INDEX('Company Hitlist'!$AA:$AA,MATCH(D3783,'Company Hitlist'!$A:$A,0)),)</f>
        <v/>
      </c>
      <c r="O3783">
        <f>IFERROR(INDEX('Company Hitlist'!$N:$N,MATCH(D3783,'Company Hitlist'!$A:$A,0)),)</f>
        <v/>
      </c>
      <c r="Q3783" t="inlineStr">
        <is>
          <t>todo</t>
        </is>
      </c>
    </row>
    <row r="3784">
      <c r="A3784" t="inlineStr">
        <is>
          <t>Jack Brate</t>
        </is>
      </c>
      <c r="B3784" t="inlineStr">
        <is>
          <t>Sponsor</t>
        </is>
      </c>
      <c r="C3784" t="inlineStr">
        <is>
          <t>Vice President - Enterprise Sales</t>
        </is>
      </c>
      <c r="D3784" t="inlineStr">
        <is>
          <t>ITS Logistics</t>
        </is>
      </c>
      <c r="E3784" t="inlineStr">
        <is>
          <t>United States</t>
        </is>
      </c>
      <c r="H3784" t="n">
        <v>0</v>
      </c>
      <c r="I3784" t="b">
        <v>0</v>
      </c>
      <c r="J3784" t="b">
        <v>1</v>
      </c>
      <c r="K3784" t="b">
        <v>0</v>
      </c>
      <c r="L3784" t="b">
        <v>0</v>
      </c>
      <c r="M3784" t="b">
        <v>1</v>
      </c>
      <c r="N3784">
        <f>IFERROR(INDEX('Company Hitlist'!$AA:$AA,MATCH(D3784,'Company Hitlist'!$A:$A,0)),)</f>
        <v/>
      </c>
      <c r="O3784">
        <f>IFERROR(INDEX('Company Hitlist'!$N:$N,MATCH(D3784,'Company Hitlist'!$A:$A,0)),)</f>
        <v/>
      </c>
      <c r="Q3784" t="inlineStr">
        <is>
          <t>todo</t>
        </is>
      </c>
    </row>
    <row r="3785">
      <c r="A3785" t="inlineStr">
        <is>
          <t>Jen Gumusata</t>
        </is>
      </c>
      <c r="B3785" t="inlineStr">
        <is>
          <t>Sponsor</t>
        </is>
      </c>
      <c r="C3785" t="inlineStr">
        <is>
          <t>Vice President - Solution Sales</t>
        </is>
      </c>
      <c r="D3785" t="inlineStr">
        <is>
          <t>ITS Logistics</t>
        </is>
      </c>
      <c r="E3785" t="inlineStr">
        <is>
          <t>United States</t>
        </is>
      </c>
      <c r="H3785" t="n">
        <v>0</v>
      </c>
      <c r="I3785" t="b">
        <v>0</v>
      </c>
      <c r="J3785" t="b">
        <v>1</v>
      </c>
      <c r="K3785" t="b">
        <v>0</v>
      </c>
      <c r="L3785" t="b">
        <v>0</v>
      </c>
      <c r="M3785" t="b">
        <v>1</v>
      </c>
      <c r="N3785">
        <f>IFERROR(INDEX('Company Hitlist'!$AA:$AA,MATCH(D3785,'Company Hitlist'!$A:$A,0)),)</f>
        <v/>
      </c>
      <c r="O3785">
        <f>IFERROR(INDEX('Company Hitlist'!$N:$N,MATCH(D3785,'Company Hitlist'!$A:$A,0)),)</f>
        <v/>
      </c>
      <c r="Q3785" t="inlineStr">
        <is>
          <t>todo</t>
        </is>
      </c>
    </row>
    <row r="3786">
      <c r="A3786" t="inlineStr">
        <is>
          <t>Ty Ray</t>
        </is>
      </c>
      <c r="B3786" t="inlineStr">
        <is>
          <t>Sponsor</t>
        </is>
      </c>
      <c r="C3786" t="inlineStr">
        <is>
          <t>Vice President - Enterprise Sales</t>
        </is>
      </c>
      <c r="D3786" t="inlineStr">
        <is>
          <t>ITS Logistics</t>
        </is>
      </c>
      <c r="E3786" t="inlineStr">
        <is>
          <t>United States</t>
        </is>
      </c>
      <c r="H3786" t="n">
        <v>0</v>
      </c>
      <c r="I3786" t="b">
        <v>0</v>
      </c>
      <c r="J3786" t="b">
        <v>1</v>
      </c>
      <c r="K3786" t="b">
        <v>0</v>
      </c>
      <c r="L3786" t="b">
        <v>0</v>
      </c>
      <c r="M3786" t="b">
        <v>1</v>
      </c>
      <c r="N3786">
        <f>IFERROR(INDEX('Company Hitlist'!$AA:$AA,MATCH(D3786,'Company Hitlist'!$A:$A,0)),)</f>
        <v/>
      </c>
      <c r="O3786">
        <f>IFERROR(INDEX('Company Hitlist'!$N:$N,MATCH(D3786,'Company Hitlist'!$A:$A,0)),)</f>
        <v/>
      </c>
      <c r="Q3786" t="inlineStr">
        <is>
          <t>todo</t>
        </is>
      </c>
    </row>
    <row r="3787">
      <c r="A3787" t="inlineStr">
        <is>
          <t>James Brewer</t>
        </is>
      </c>
      <c r="B3787" t="inlineStr">
        <is>
          <t>Attendee</t>
        </is>
      </c>
      <c r="C3787" t="inlineStr">
        <is>
          <t>Co-Founder</t>
        </is>
      </c>
      <c r="D3787" t="inlineStr">
        <is>
          <t>ImportYeti</t>
        </is>
      </c>
      <c r="E3787" t="inlineStr">
        <is>
          <t>United States</t>
        </is>
      </c>
      <c r="F3787" t="inlineStr">
        <is>
          <t>Yes</t>
        </is>
      </c>
      <c r="H3787" t="n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>
        <f>IFERROR(INDEX('Company Hitlist'!$AA:$AA,MATCH(D3787,'Company Hitlist'!$A:$A,0)),)</f>
        <v/>
      </c>
      <c r="O3787">
        <f>IFERROR(INDEX('Company Hitlist'!$N:$N,MATCH(D3787,'Company Hitlist'!$A:$A,0)),)</f>
        <v/>
      </c>
      <c r="Q3787" t="inlineStr">
        <is>
          <t>todo</t>
        </is>
      </c>
    </row>
    <row r="3788">
      <c r="A3788" t="inlineStr">
        <is>
          <t>Antone Gonsalves</t>
        </is>
      </c>
      <c r="B3788" t="inlineStr">
        <is>
          <t>Attendee</t>
        </is>
      </c>
      <c r="C3788" t="inlineStr">
        <is>
          <t>Reporter</t>
        </is>
      </c>
      <c r="D3788" t="inlineStr">
        <is>
          <t>Industry Dive</t>
        </is>
      </c>
      <c r="E3788" t="inlineStr">
        <is>
          <t>United States</t>
        </is>
      </c>
      <c r="H3788" t="n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>
        <f>IFERROR(INDEX('Company Hitlist'!$AA:$AA,MATCH(D3788,'Company Hitlist'!$A:$A,0)),)</f>
        <v/>
      </c>
      <c r="O3788">
        <f>IFERROR(INDEX('Company Hitlist'!$N:$N,MATCH(D3788,'Company Hitlist'!$A:$A,0)),)</f>
        <v/>
      </c>
      <c r="Q3788" t="inlineStr">
        <is>
          <t>todo</t>
        </is>
      </c>
    </row>
    <row r="3789">
      <c r="A3789" t="inlineStr">
        <is>
          <t>Max Garland</t>
        </is>
      </c>
      <c r="B3789" t="inlineStr">
        <is>
          <t>Attendee</t>
        </is>
      </c>
      <c r="C3789" t="inlineStr">
        <is>
          <t>Senior Reporter</t>
        </is>
      </c>
      <c r="D3789" t="inlineStr">
        <is>
          <t>Industry Dive</t>
        </is>
      </c>
      <c r="E3789" t="inlineStr">
        <is>
          <t>United States</t>
        </is>
      </c>
      <c r="H3789" t="n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>
        <f>IFERROR(INDEX('Company Hitlist'!$AA:$AA,MATCH(D3789,'Company Hitlist'!$A:$A,0)),)</f>
        <v/>
      </c>
      <c r="O3789">
        <f>IFERROR(INDEX('Company Hitlist'!$N:$N,MATCH(D3789,'Company Hitlist'!$A:$A,0)),)</f>
        <v/>
      </c>
      <c r="Q3789" t="inlineStr">
        <is>
          <t>todo</t>
        </is>
      </c>
    </row>
    <row r="3790">
      <c r="A3790" t="inlineStr">
        <is>
          <t>Phil Neuffer</t>
        </is>
      </c>
      <c r="B3790" t="inlineStr">
        <is>
          <t>Attendee</t>
        </is>
      </c>
      <c r="C3790" t="inlineStr">
        <is>
          <t>Senior Editor</t>
        </is>
      </c>
      <c r="D3790" t="inlineStr">
        <is>
          <t>Industry Dive</t>
        </is>
      </c>
      <c r="E3790" t="inlineStr">
        <is>
          <t>United States</t>
        </is>
      </c>
      <c r="H3790" t="n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>
        <f>IFERROR(INDEX('Company Hitlist'!$AA:$AA,MATCH(D3790,'Company Hitlist'!$A:$A,0)),)</f>
        <v/>
      </c>
      <c r="O3790">
        <f>IFERROR(INDEX('Company Hitlist'!$N:$N,MATCH(D3790,'Company Hitlist'!$A:$A,0)),)</f>
        <v/>
      </c>
      <c r="Q3790" t="inlineStr">
        <is>
          <t>todo</t>
        </is>
      </c>
    </row>
    <row r="3791">
      <c r="A3791" t="inlineStr">
        <is>
          <t>Cees Aanhaanen</t>
        </is>
      </c>
      <c r="B3791" t="inlineStr">
        <is>
          <t>Attendee</t>
        </is>
      </c>
      <c r="C3791" t="inlineStr">
        <is>
          <t>Investment/ M&amp;A Director</t>
        </is>
      </c>
      <c r="D3791" t="inlineStr">
        <is>
          <t>Ingka Investments</t>
        </is>
      </c>
      <c r="E3791" t="inlineStr">
        <is>
          <t>Netherlands</t>
        </is>
      </c>
      <c r="H3791" t="n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>
        <f>IFERROR(INDEX('Company Hitlist'!$AA:$AA,MATCH(D3791,'Company Hitlist'!$A:$A,0)),)</f>
        <v/>
      </c>
      <c r="O3791">
        <f>IFERROR(INDEX('Company Hitlist'!$N:$N,MATCH(D3791,'Company Hitlist'!$A:$A,0)),)</f>
        <v/>
      </c>
      <c r="Q3791" t="inlineStr">
        <is>
          <t>todo</t>
        </is>
      </c>
    </row>
    <row r="3792">
      <c r="A3792" t="inlineStr">
        <is>
          <t>Laurien Verster</t>
        </is>
      </c>
      <c r="B3792" t="inlineStr">
        <is>
          <t>Attendee</t>
        </is>
      </c>
      <c r="C3792" t="inlineStr">
        <is>
          <t>Investment Director</t>
        </is>
      </c>
      <c r="D3792" t="inlineStr">
        <is>
          <t>Ingka Investments</t>
        </is>
      </c>
      <c r="E3792" t="inlineStr">
        <is>
          <t>Netherlands</t>
        </is>
      </c>
      <c r="H3792" t="n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>
        <f>IFERROR(INDEX('Company Hitlist'!$AA:$AA,MATCH(D3792,'Company Hitlist'!$A:$A,0)),)</f>
        <v/>
      </c>
      <c r="O3792">
        <f>IFERROR(INDEX('Company Hitlist'!$N:$N,MATCH(D3792,'Company Hitlist'!$A:$A,0)),)</f>
        <v/>
      </c>
      <c r="Q3792" t="inlineStr">
        <is>
          <t>todo</t>
        </is>
      </c>
    </row>
    <row r="3793">
      <c r="A3793" t="inlineStr">
        <is>
          <t>René Wouters</t>
        </is>
      </c>
      <c r="B3793" t="inlineStr">
        <is>
          <t>Attendee</t>
        </is>
      </c>
      <c r="C3793" t="inlineStr">
        <is>
          <t>Investment Manager</t>
        </is>
      </c>
      <c r="D3793" t="inlineStr">
        <is>
          <t>Ingka Investments</t>
        </is>
      </c>
      <c r="E3793" t="inlineStr">
        <is>
          <t>Netherlands</t>
        </is>
      </c>
      <c r="H3793" t="n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>
        <f>IFERROR(INDEX('Company Hitlist'!$AA:$AA,MATCH(D3793,'Company Hitlist'!$A:$A,0)),)</f>
        <v/>
      </c>
      <c r="O3793">
        <f>IFERROR(INDEX('Company Hitlist'!$N:$N,MATCH(D3793,'Company Hitlist'!$A:$A,0)),)</f>
        <v/>
      </c>
      <c r="Q3793" t="inlineStr">
        <is>
          <t>todo</t>
        </is>
      </c>
    </row>
    <row r="3794">
      <c r="A3794" t="inlineStr">
        <is>
          <t>Delon Rashid</t>
        </is>
      </c>
      <c r="B3794" t="inlineStr">
        <is>
          <t>Attendee</t>
        </is>
      </c>
      <c r="C3794" t="inlineStr">
        <is>
          <t>Managing Partner</t>
        </is>
      </c>
      <c r="D3794" t="inlineStr">
        <is>
          <t>Inside Logistics</t>
        </is>
      </c>
      <c r="E3794" t="inlineStr">
        <is>
          <t>United States</t>
        </is>
      </c>
      <c r="H3794" t="n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>
        <f>IFERROR(INDEX('Company Hitlist'!$AA:$AA,MATCH(D3794,'Company Hitlist'!$A:$A,0)),)</f>
        <v/>
      </c>
      <c r="O3794">
        <f>IFERROR(INDEX('Company Hitlist'!$N:$N,MATCH(D3794,'Company Hitlist'!$A:$A,0)),)</f>
        <v/>
      </c>
      <c r="Q3794" t="inlineStr">
        <is>
          <t>todo</t>
        </is>
      </c>
    </row>
    <row r="3795">
      <c r="A3795" t="inlineStr">
        <is>
          <t>Derek Clouthier</t>
        </is>
      </c>
      <c r="B3795" t="inlineStr">
        <is>
          <t>Attendee</t>
        </is>
      </c>
      <c r="C3795" t="inlineStr">
        <is>
          <t>Editor</t>
        </is>
      </c>
      <c r="D3795" t="inlineStr">
        <is>
          <t>Inside Logistics</t>
        </is>
      </c>
      <c r="E3795" t="inlineStr">
        <is>
          <t>United States</t>
        </is>
      </c>
      <c r="H3795" t="n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>
        <f>IFERROR(INDEX('Company Hitlist'!$AA:$AA,MATCH(D3795,'Company Hitlist'!$A:$A,0)),)</f>
        <v/>
      </c>
      <c r="O3795">
        <f>IFERROR(INDEX('Company Hitlist'!$N:$N,MATCH(D3795,'Company Hitlist'!$A:$A,0)),)</f>
        <v/>
      </c>
      <c r="Q3795" t="inlineStr">
        <is>
          <t>todo</t>
        </is>
      </c>
    </row>
    <row r="3796">
      <c r="A3796" t="inlineStr">
        <is>
          <t>Hailey Steinberg</t>
        </is>
      </c>
      <c r="B3796" t="inlineStr">
        <is>
          <t>Attendee</t>
        </is>
      </c>
      <c r="C3796" t="inlineStr">
        <is>
          <t>Investor</t>
        </is>
      </c>
      <c r="D3796" t="inlineStr">
        <is>
          <t>Insight Partners</t>
        </is>
      </c>
      <c r="E3796" t="inlineStr">
        <is>
          <t>United States</t>
        </is>
      </c>
      <c r="H3796" t="n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>
        <f>IFERROR(INDEX('Company Hitlist'!$AA:$AA,MATCH(D3796,'Company Hitlist'!$A:$A,0)),)</f>
        <v/>
      </c>
      <c r="O3796">
        <f>IFERROR(INDEX('Company Hitlist'!$N:$N,MATCH(D3796,'Company Hitlist'!$A:$A,0)),)</f>
        <v/>
      </c>
      <c r="Q3796" t="inlineStr">
        <is>
          <t>todo</t>
        </is>
      </c>
    </row>
    <row r="3797">
      <c r="A3797" t="inlineStr">
        <is>
          <t>Kyle Hussey</t>
        </is>
      </c>
      <c r="B3797" t="inlineStr">
        <is>
          <t>Sponsor</t>
        </is>
      </c>
      <c r="C3797" t="inlineStr">
        <is>
          <t>VP, Sales &amp; Account Management</t>
        </is>
      </c>
      <c r="D3797" t="inlineStr">
        <is>
          <t>Instawork</t>
        </is>
      </c>
      <c r="E3797" t="inlineStr">
        <is>
          <t>United States</t>
        </is>
      </c>
      <c r="H3797" t="n">
        <v>0</v>
      </c>
      <c r="I3797" t="b">
        <v>0</v>
      </c>
      <c r="J3797" t="b">
        <v>1</v>
      </c>
      <c r="K3797" t="b">
        <v>0</v>
      </c>
      <c r="L3797" t="b">
        <v>0</v>
      </c>
      <c r="M3797" t="b">
        <v>1</v>
      </c>
      <c r="N3797">
        <f>IFERROR(INDEX('Company Hitlist'!$AA:$AA,MATCH(D3797,'Company Hitlist'!$A:$A,0)),)</f>
        <v/>
      </c>
      <c r="O3797">
        <f>IFERROR(INDEX('Company Hitlist'!$N:$N,MATCH(D3797,'Company Hitlist'!$A:$A,0)),)</f>
        <v/>
      </c>
      <c r="Q3797" t="inlineStr">
        <is>
          <t>todo</t>
        </is>
      </c>
    </row>
    <row r="3798">
      <c r="A3798" t="inlineStr">
        <is>
          <t>Hannah Deljkic</t>
        </is>
      </c>
      <c r="B3798" t="inlineStr">
        <is>
          <t>Attendee</t>
        </is>
      </c>
      <c r="C3798" t="inlineStr">
        <is>
          <t>Associate</t>
        </is>
      </c>
      <c r="D3798" t="inlineStr">
        <is>
          <t>Integrity Growth Partners</t>
        </is>
      </c>
      <c r="E3798" t="inlineStr">
        <is>
          <t>United States</t>
        </is>
      </c>
      <c r="H3798" t="n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>
        <f>IFERROR(INDEX('Company Hitlist'!$AA:$AA,MATCH(D3798,'Company Hitlist'!$A:$A,0)),)</f>
        <v/>
      </c>
      <c r="O3798">
        <f>IFERROR(INDEX('Company Hitlist'!$N:$N,MATCH(D3798,'Company Hitlist'!$A:$A,0)),)</f>
        <v/>
      </c>
      <c r="Q3798" t="inlineStr">
        <is>
          <t>todo</t>
        </is>
      </c>
    </row>
    <row r="3799">
      <c r="A3799" t="inlineStr">
        <is>
          <t>Matt Everson</t>
        </is>
      </c>
      <c r="B3799" t="inlineStr">
        <is>
          <t>Sponsor</t>
        </is>
      </c>
      <c r="C3799" t="inlineStr">
        <is>
          <t>SVP of Sales and Marketing</t>
        </is>
      </c>
      <c r="D3799" t="inlineStr">
        <is>
          <t>IntelliTrans</t>
        </is>
      </c>
      <c r="E3799" t="inlineStr">
        <is>
          <t>United States</t>
        </is>
      </c>
      <c r="F3799" t="inlineStr">
        <is>
          <t>Yes</t>
        </is>
      </c>
      <c r="G3799" t="inlineStr">
        <is>
          <t>$27.8 million (2025)</t>
        </is>
      </c>
      <c r="H3799" t="n">
        <v>0</v>
      </c>
      <c r="I3799" t="b">
        <v>0</v>
      </c>
      <c r="J3799" t="b">
        <v>1</v>
      </c>
      <c r="K3799" t="b">
        <v>0</v>
      </c>
      <c r="L3799" t="b">
        <v>0</v>
      </c>
      <c r="M3799" t="b">
        <v>1</v>
      </c>
      <c r="N3799">
        <f>IFERROR(INDEX('Company Hitlist'!$AA:$AA,MATCH(D3799,'Company Hitlist'!$A:$A,0)),)</f>
        <v/>
      </c>
      <c r="O3799">
        <f>IFERROR(INDEX('Company Hitlist'!$N:$N,MATCH(D3799,'Company Hitlist'!$A:$A,0)),)</f>
        <v/>
      </c>
      <c r="Q3799" t="inlineStr">
        <is>
          <t>todo</t>
        </is>
      </c>
    </row>
    <row r="3800">
      <c r="A3800" t="inlineStr">
        <is>
          <t>Steve Triedman</t>
        </is>
      </c>
      <c r="B3800" t="inlineStr">
        <is>
          <t>Attendee</t>
        </is>
      </c>
      <c r="C3800" t="inlineStr">
        <is>
          <t>Managing Partner</t>
        </is>
      </c>
      <c r="D3800" t="inlineStr">
        <is>
          <t>Intelligent Expense Management</t>
        </is>
      </c>
      <c r="E3800" t="inlineStr">
        <is>
          <t>United States</t>
        </is>
      </c>
      <c r="F3800" t="inlineStr">
        <is>
          <t>Yes</t>
        </is>
      </c>
      <c r="H3800" t="n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>
        <f>IFERROR(INDEX('Company Hitlist'!$AA:$AA,MATCH(D3800,'Company Hitlist'!$A:$A,0)),)</f>
        <v/>
      </c>
      <c r="O3800">
        <f>IFERROR(INDEX('Company Hitlist'!$N:$N,MATCH(D3800,'Company Hitlist'!$A:$A,0)),)</f>
        <v/>
      </c>
      <c r="Q3800" t="inlineStr">
        <is>
          <t>todo</t>
        </is>
      </c>
    </row>
    <row r="3801">
      <c r="A3801" t="inlineStr">
        <is>
          <t>Chas Gorham</t>
        </is>
      </c>
      <c r="B3801" t="inlineStr">
        <is>
          <t>Sponsor</t>
        </is>
      </c>
      <c r="C3801" t="inlineStr">
        <is>
          <t>Vice President, Sales</t>
        </is>
      </c>
      <c r="D3801" t="inlineStr">
        <is>
          <t>International Bridge</t>
        </is>
      </c>
      <c r="E3801" t="inlineStr">
        <is>
          <t>United States</t>
        </is>
      </c>
      <c r="H3801" t="n">
        <v>0</v>
      </c>
      <c r="I3801" t="b">
        <v>0</v>
      </c>
      <c r="J3801" t="b">
        <v>1</v>
      </c>
      <c r="K3801" t="b">
        <v>0</v>
      </c>
      <c r="L3801" t="b">
        <v>0</v>
      </c>
      <c r="M3801" t="b">
        <v>1</v>
      </c>
      <c r="N3801">
        <f>IFERROR(INDEX('Company Hitlist'!$AA:$AA,MATCH(D3801,'Company Hitlist'!$A:$A,0)),)</f>
        <v/>
      </c>
      <c r="O3801">
        <f>IFERROR(INDEX('Company Hitlist'!$N:$N,MATCH(D3801,'Company Hitlist'!$A:$A,0)),)</f>
        <v/>
      </c>
      <c r="Q3801" t="inlineStr">
        <is>
          <t>todo</t>
        </is>
      </c>
    </row>
    <row r="3802">
      <c r="A3802" t="inlineStr">
        <is>
          <t>Kirk Atamian</t>
        </is>
      </c>
      <c r="B3802" t="inlineStr">
        <is>
          <t>Attendee</t>
        </is>
      </c>
      <c r="C3802" t="inlineStr">
        <is>
          <t>Director, Business Process Solutions</t>
        </is>
      </c>
      <c r="D3802" t="inlineStr">
        <is>
          <t>International Forest Products (IFP)</t>
        </is>
      </c>
      <c r="E3802" t="inlineStr">
        <is>
          <t>United States</t>
        </is>
      </c>
      <c r="H3802" t="n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>
        <f>IFERROR(INDEX('Company Hitlist'!$AA:$AA,MATCH(D3802,'Company Hitlist'!$A:$A,0)),)</f>
        <v/>
      </c>
      <c r="O3802">
        <f>IFERROR(INDEX('Company Hitlist'!$N:$N,MATCH(D3802,'Company Hitlist'!$A:$A,0)),)</f>
        <v/>
      </c>
      <c r="Q3802" t="inlineStr">
        <is>
          <t>todo</t>
        </is>
      </c>
    </row>
    <row r="3803">
      <c r="A3803" t="inlineStr">
        <is>
          <t>Lisa Chai</t>
        </is>
      </c>
      <c r="B3803" t="inlineStr">
        <is>
          <t>Attendee</t>
        </is>
      </c>
      <c r="C3803" t="inlineStr">
        <is>
          <t>General Partner</t>
        </is>
      </c>
      <c r="D3803" t="inlineStr">
        <is>
          <t>Interwoven Ventures</t>
        </is>
      </c>
      <c r="E3803" t="inlineStr">
        <is>
          <t>United States</t>
        </is>
      </c>
      <c r="H3803" t="n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>
        <f>IFERROR(INDEX('Company Hitlist'!$AA:$AA,MATCH(D3803,'Company Hitlist'!$A:$A,0)),)</f>
        <v/>
      </c>
      <c r="O3803">
        <f>IFERROR(INDEX('Company Hitlist'!$N:$N,MATCH(D3803,'Company Hitlist'!$A:$A,0)),)</f>
        <v/>
      </c>
      <c r="Q3803" t="inlineStr">
        <is>
          <t>todo</t>
        </is>
      </c>
    </row>
    <row r="3804">
      <c r="A3804" t="inlineStr">
        <is>
          <t>Terry Jiang</t>
        </is>
      </c>
      <c r="B3804" t="inlineStr">
        <is>
          <t>Attendee</t>
        </is>
      </c>
      <c r="C3804" t="inlineStr">
        <is>
          <t>Managing Director</t>
        </is>
      </c>
      <c r="D3804" t="inlineStr">
        <is>
          <t>Intrepid</t>
        </is>
      </c>
      <c r="E3804" t="inlineStr">
        <is>
          <t>United States</t>
        </is>
      </c>
      <c r="H3804" t="n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>
        <f>IFERROR(INDEX('Company Hitlist'!$AA:$AA,MATCH(D3804,'Company Hitlist'!$A:$A,0)),)</f>
        <v/>
      </c>
      <c r="O3804">
        <f>IFERROR(INDEX('Company Hitlist'!$N:$N,MATCH(D3804,'Company Hitlist'!$A:$A,0)),)</f>
        <v/>
      </c>
      <c r="Q3804" t="inlineStr">
        <is>
          <t>todo</t>
        </is>
      </c>
    </row>
    <row r="3805">
      <c r="A3805" t="inlineStr">
        <is>
          <t>Josh Moses</t>
        </is>
      </c>
      <c r="B3805" t="inlineStr">
        <is>
          <t>Attendee</t>
        </is>
      </c>
      <c r="C3805" t="inlineStr">
        <is>
          <t>Managing Director</t>
        </is>
      </c>
      <c r="D3805" t="inlineStr">
        <is>
          <t>Intrepid Investment Bankers</t>
        </is>
      </c>
      <c r="E3805" t="inlineStr">
        <is>
          <t>United States</t>
        </is>
      </c>
      <c r="H3805" t="n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>
        <f>IFERROR(INDEX('Company Hitlist'!$AA:$AA,MATCH(D3805,'Company Hitlist'!$A:$A,0)),)</f>
        <v/>
      </c>
      <c r="O3805">
        <f>IFERROR(INDEX('Company Hitlist'!$N:$N,MATCH(D3805,'Company Hitlist'!$A:$A,0)),)</f>
        <v/>
      </c>
      <c r="Q3805" t="inlineStr">
        <is>
          <t>todo</t>
        </is>
      </c>
    </row>
    <row r="3806">
      <c r="A3806" t="inlineStr">
        <is>
          <t>Ryan Geary</t>
        </is>
      </c>
      <c r="B3806" t="inlineStr">
        <is>
          <t>Attendee</t>
        </is>
      </c>
      <c r="C3806" t="inlineStr">
        <is>
          <t>Principal</t>
        </is>
      </c>
      <c r="D3806" t="inlineStr">
        <is>
          <t>Inverness Graham Investments</t>
        </is>
      </c>
      <c r="E3806" t="inlineStr">
        <is>
          <t>United States</t>
        </is>
      </c>
      <c r="H3806" t="n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>
        <f>IFERROR(INDEX('Company Hitlist'!$AA:$AA,MATCH(D3806,'Company Hitlist'!$A:$A,0)),)</f>
        <v/>
      </c>
      <c r="O3806">
        <f>IFERROR(INDEX('Company Hitlist'!$N:$N,MATCH(D3806,'Company Hitlist'!$A:$A,0)),)</f>
        <v/>
      </c>
      <c r="Q3806" t="inlineStr">
        <is>
          <t>todo</t>
        </is>
      </c>
    </row>
    <row r="3807">
      <c r="A3807" t="inlineStr">
        <is>
          <t>Jeremy Lai</t>
        </is>
      </c>
      <c r="B3807" t="inlineStr">
        <is>
          <t>Attendee</t>
        </is>
      </c>
      <c r="C3807" t="inlineStr">
        <is>
          <t>Partner</t>
        </is>
      </c>
      <c r="D3807" t="inlineStr">
        <is>
          <t>Invictus Growth Partners</t>
        </is>
      </c>
      <c r="E3807" t="inlineStr">
        <is>
          <t>United States</t>
        </is>
      </c>
      <c r="H3807" t="n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>
        <f>IFERROR(INDEX('Company Hitlist'!$AA:$AA,MATCH(D3807,'Company Hitlist'!$A:$A,0)),)</f>
        <v/>
      </c>
      <c r="O3807">
        <f>IFERROR(INDEX('Company Hitlist'!$N:$N,MATCH(D3807,'Company Hitlist'!$A:$A,0)),)</f>
        <v/>
      </c>
      <c r="Q3807" t="inlineStr">
        <is>
          <t>todo</t>
        </is>
      </c>
    </row>
    <row r="3808">
      <c r="A3808" t="inlineStr">
        <is>
          <t>Spencer Frazier</t>
        </is>
      </c>
      <c r="B3808" t="inlineStr">
        <is>
          <t>Sponsor</t>
        </is>
      </c>
      <c r="C3808" t="inlineStr">
        <is>
          <t>EVP Sales &amp; Marketing</t>
        </is>
      </c>
      <c r="D3808" t="inlineStr">
        <is>
          <t>J.B. Hunt</t>
        </is>
      </c>
      <c r="E3808" t="inlineStr">
        <is>
          <t>United States</t>
        </is>
      </c>
      <c r="F3808" t="inlineStr">
        <is>
          <t>Yes</t>
        </is>
      </c>
      <c r="G3808" t="inlineStr">
        <is>
          <t>$12.5B (2024; projected $13B in 2025)</t>
        </is>
      </c>
      <c r="H3808" t="n">
        <v>0</v>
      </c>
      <c r="I3808" t="b">
        <v>0</v>
      </c>
      <c r="J3808" t="b">
        <v>1</v>
      </c>
      <c r="K3808" t="b">
        <v>0</v>
      </c>
      <c r="L3808" t="b">
        <v>0</v>
      </c>
      <c r="M3808" t="b">
        <v>1</v>
      </c>
      <c r="N3808">
        <f>IFERROR(INDEX('Company Hitlist'!$AA:$AA,MATCH(D3808,'Company Hitlist'!$A:$A,0)),)</f>
        <v/>
      </c>
      <c r="O3808">
        <f>IFERROR(INDEX('Company Hitlist'!$N:$N,MATCH(D3808,'Company Hitlist'!$A:$A,0)),)</f>
        <v/>
      </c>
      <c r="Q3808" t="inlineStr">
        <is>
          <t>todo</t>
        </is>
      </c>
    </row>
    <row r="3809">
      <c r="A3809" t="inlineStr">
        <is>
          <t>Lindsay Goodman</t>
        </is>
      </c>
      <c r="B3809" t="inlineStr">
        <is>
          <t>Sponsor</t>
        </is>
      </c>
      <c r="C3809" t="inlineStr">
        <is>
          <t>SVP Sales</t>
        </is>
      </c>
      <c r="D3809" t="inlineStr">
        <is>
          <t>J.B. Hunt</t>
        </is>
      </c>
      <c r="E3809" t="inlineStr">
        <is>
          <t>United States</t>
        </is>
      </c>
      <c r="H3809" t="n">
        <v>0</v>
      </c>
      <c r="I3809" t="b">
        <v>0</v>
      </c>
      <c r="J3809" t="b">
        <v>1</v>
      </c>
      <c r="K3809" t="b">
        <v>0</v>
      </c>
      <c r="L3809" t="b">
        <v>0</v>
      </c>
      <c r="M3809" t="b">
        <v>1</v>
      </c>
      <c r="N3809">
        <f>IFERROR(INDEX('Company Hitlist'!$AA:$AA,MATCH(D3809,'Company Hitlist'!$A:$A,0)),)</f>
        <v/>
      </c>
      <c r="O3809">
        <f>IFERROR(INDEX('Company Hitlist'!$N:$N,MATCH(D3809,'Company Hitlist'!$A:$A,0)),)</f>
        <v/>
      </c>
      <c r="Q3809" t="inlineStr">
        <is>
          <t>todo</t>
        </is>
      </c>
    </row>
    <row r="3810">
      <c r="A3810" t="inlineStr">
        <is>
          <t>Rodney Nye</t>
        </is>
      </c>
      <c r="B3810" t="inlineStr">
        <is>
          <t>Sponsor</t>
        </is>
      </c>
      <c r="C3810" t="inlineStr">
        <is>
          <t>SVP Dedicated Sales</t>
        </is>
      </c>
      <c r="D3810" t="inlineStr">
        <is>
          <t>J.B. Hunt</t>
        </is>
      </c>
      <c r="E3810" t="inlineStr">
        <is>
          <t>United States</t>
        </is>
      </c>
      <c r="H3810" t="n">
        <v>0</v>
      </c>
      <c r="I3810" t="b">
        <v>0</v>
      </c>
      <c r="J3810" t="b">
        <v>1</v>
      </c>
      <c r="K3810" t="b">
        <v>0</v>
      </c>
      <c r="L3810" t="b">
        <v>0</v>
      </c>
      <c r="M3810" t="b">
        <v>1</v>
      </c>
      <c r="N3810">
        <f>IFERROR(INDEX('Company Hitlist'!$AA:$AA,MATCH(D3810,'Company Hitlist'!$A:$A,0)),)</f>
        <v/>
      </c>
      <c r="O3810">
        <f>IFERROR(INDEX('Company Hitlist'!$N:$N,MATCH(D3810,'Company Hitlist'!$A:$A,0)),)</f>
        <v/>
      </c>
      <c r="Q3810" t="inlineStr">
        <is>
          <t>todo</t>
        </is>
      </c>
    </row>
    <row r="3811">
      <c r="A3811" t="inlineStr">
        <is>
          <t>Tami Allensworth</t>
        </is>
      </c>
      <c r="B3811" t="inlineStr">
        <is>
          <t>Sponsor</t>
        </is>
      </c>
      <c r="C3811" t="inlineStr">
        <is>
          <t>SVP Sales</t>
        </is>
      </c>
      <c r="D3811" t="inlineStr">
        <is>
          <t>J.B. Hunt</t>
        </is>
      </c>
      <c r="E3811" t="inlineStr">
        <is>
          <t>United States</t>
        </is>
      </c>
      <c r="H3811" t="n">
        <v>0</v>
      </c>
      <c r="I3811" t="b">
        <v>0</v>
      </c>
      <c r="J3811" t="b">
        <v>1</v>
      </c>
      <c r="K3811" t="b">
        <v>0</v>
      </c>
      <c r="L3811" t="b">
        <v>0</v>
      </c>
      <c r="M3811" t="b">
        <v>1</v>
      </c>
      <c r="N3811">
        <f>IFERROR(INDEX('Company Hitlist'!$AA:$AA,MATCH(D3811,'Company Hitlist'!$A:$A,0)),)</f>
        <v/>
      </c>
      <c r="O3811">
        <f>IFERROR(INDEX('Company Hitlist'!$N:$N,MATCH(D3811,'Company Hitlist'!$A:$A,0)),)</f>
        <v/>
      </c>
      <c r="Q3811" t="inlineStr">
        <is>
          <t>todo</t>
        </is>
      </c>
    </row>
    <row r="3812">
      <c r="A3812" t="inlineStr">
        <is>
          <t>Grady Carr</t>
        </is>
      </c>
      <c r="B3812" t="inlineStr">
        <is>
          <t>Attendee</t>
        </is>
      </c>
      <c r="C3812" t="inlineStr">
        <is>
          <t>Associate</t>
        </is>
      </c>
      <c r="D3812" t="inlineStr">
        <is>
          <t>J.P. Morgan Securities LLC</t>
        </is>
      </c>
      <c r="E3812" t="inlineStr">
        <is>
          <t>United States</t>
        </is>
      </c>
      <c r="H3812" t="n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>
        <f>IFERROR(INDEX('Company Hitlist'!$AA:$AA,MATCH(D3812,'Company Hitlist'!$A:$A,0)),)</f>
        <v/>
      </c>
      <c r="O3812">
        <f>IFERROR(INDEX('Company Hitlist'!$N:$N,MATCH(D3812,'Company Hitlist'!$A:$A,0)),)</f>
        <v/>
      </c>
      <c r="Q3812" t="inlineStr">
        <is>
          <t>todo</t>
        </is>
      </c>
    </row>
    <row r="3813">
      <c r="A3813" t="inlineStr">
        <is>
          <t>Rob Wheeler</t>
        </is>
      </c>
      <c r="B3813" t="inlineStr">
        <is>
          <t>Attendee</t>
        </is>
      </c>
      <c r="C3813" t="inlineStr">
        <is>
          <t>Managing Director</t>
        </is>
      </c>
      <c r="D3813" t="inlineStr">
        <is>
          <t>JLL</t>
        </is>
      </c>
      <c r="E3813" t="inlineStr">
        <is>
          <t>United States</t>
        </is>
      </c>
      <c r="H3813" t="n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>
        <f>IFERROR(INDEX('Company Hitlist'!$AA:$AA,MATCH(D3813,'Company Hitlist'!$A:$A,0)),)</f>
        <v/>
      </c>
      <c r="O3813">
        <f>IFERROR(INDEX('Company Hitlist'!$N:$N,MATCH(D3813,'Company Hitlist'!$A:$A,0)),)</f>
        <v/>
      </c>
      <c r="Q3813" t="inlineStr">
        <is>
          <t>todo</t>
        </is>
      </c>
    </row>
    <row r="3814">
      <c r="A3814" t="inlineStr">
        <is>
          <t>Robert Tamillo</t>
        </is>
      </c>
      <c r="B3814" t="inlineStr">
        <is>
          <t>Attendee</t>
        </is>
      </c>
      <c r="C3814" t="inlineStr">
        <is>
          <t>Managing Director</t>
        </is>
      </c>
      <c r="D3814" t="inlineStr">
        <is>
          <t>JLL</t>
        </is>
      </c>
      <c r="E3814" t="inlineStr">
        <is>
          <t>United States</t>
        </is>
      </c>
      <c r="H3814" t="n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>
        <f>IFERROR(INDEX('Company Hitlist'!$AA:$AA,MATCH(D3814,'Company Hitlist'!$A:$A,0)),)</f>
        <v/>
      </c>
      <c r="O3814">
        <f>IFERROR(INDEX('Company Hitlist'!$N:$N,MATCH(D3814,'Company Hitlist'!$A:$A,0)),)</f>
        <v/>
      </c>
      <c r="Q3814" t="inlineStr">
        <is>
          <t>todo</t>
        </is>
      </c>
    </row>
    <row r="3815">
      <c r="A3815" t="inlineStr">
        <is>
          <t>Trent Welch</t>
        </is>
      </c>
      <c r="B3815" t="inlineStr">
        <is>
          <t>Attendee</t>
        </is>
      </c>
      <c r="C3815" t="inlineStr">
        <is>
          <t>Catagory Manager- Bulk</t>
        </is>
      </c>
      <c r="D3815" t="inlineStr">
        <is>
          <t>JM Huber</t>
        </is>
      </c>
      <c r="H3815" t="n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>
        <f>IFERROR(INDEX('Company Hitlist'!$AA:$AA,MATCH(D3815,'Company Hitlist'!$A:$A,0)),)</f>
        <v/>
      </c>
      <c r="O3815">
        <f>IFERROR(INDEX('Company Hitlist'!$N:$N,MATCH(D3815,'Company Hitlist'!$A:$A,0)),)</f>
        <v/>
      </c>
      <c r="Q3815" t="inlineStr">
        <is>
          <t>todo</t>
        </is>
      </c>
    </row>
    <row r="3816">
      <c r="A3816" t="inlineStr">
        <is>
          <t>Garrett McCullough</t>
        </is>
      </c>
      <c r="B3816" t="inlineStr">
        <is>
          <t>Attendee</t>
        </is>
      </c>
      <c r="C3816" t="inlineStr">
        <is>
          <t>Senior Associate</t>
        </is>
      </c>
      <c r="D3816" t="inlineStr">
        <is>
          <t>JMI Equity</t>
        </is>
      </c>
      <c r="E3816" t="inlineStr">
        <is>
          <t>United States</t>
        </is>
      </c>
      <c r="H3816" t="n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>
        <f>IFERROR(INDEX('Company Hitlist'!$AA:$AA,MATCH(D3816,'Company Hitlist'!$A:$A,0)),)</f>
        <v/>
      </c>
      <c r="O3816">
        <f>IFERROR(INDEX('Company Hitlist'!$N:$N,MATCH(D3816,'Company Hitlist'!$A:$A,0)),)</f>
        <v/>
      </c>
      <c r="Q3816" t="inlineStr">
        <is>
          <t>todo</t>
        </is>
      </c>
    </row>
    <row r="3817">
      <c r="A3817" t="inlineStr">
        <is>
          <t>Shawn Ward</t>
        </is>
      </c>
      <c r="B3817" t="inlineStr">
        <is>
          <t>Attendee</t>
        </is>
      </c>
      <c r="C3817" t="inlineStr">
        <is>
          <t>SR Management Director</t>
        </is>
      </c>
      <c r="D3817" t="inlineStr">
        <is>
          <t>Jack Henry</t>
        </is>
      </c>
      <c r="E3817" t="inlineStr">
        <is>
          <t>United States</t>
        </is>
      </c>
      <c r="F3817" t="inlineStr">
        <is>
          <t>Yes</t>
        </is>
      </c>
      <c r="H3817" t="n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>
        <f>IFERROR(INDEX('Company Hitlist'!$AA:$AA,MATCH(D3817,'Company Hitlist'!$A:$A,0)),)</f>
        <v/>
      </c>
      <c r="O3817">
        <f>IFERROR(INDEX('Company Hitlist'!$N:$N,MATCH(D3817,'Company Hitlist'!$A:$A,0)),)</f>
        <v/>
      </c>
      <c r="Q3817" t="inlineStr">
        <is>
          <t>todo</t>
        </is>
      </c>
    </row>
    <row r="3818">
      <c r="A3818" t="inlineStr">
        <is>
          <t>Carl Mount</t>
        </is>
      </c>
      <c r="B3818" t="inlineStr">
        <is>
          <t>Attendee</t>
        </is>
      </c>
      <c r="C3818" t="inlineStr">
        <is>
          <t>CSCO</t>
        </is>
      </c>
      <c r="D3818" t="inlineStr">
        <is>
          <t>Jack in the Box</t>
        </is>
      </c>
      <c r="F3818" t="inlineStr">
        <is>
          <t>Yes</t>
        </is>
      </c>
      <c r="H3818" t="n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>
        <f>IFERROR(INDEX('Company Hitlist'!$AA:$AA,MATCH(D3818,'Company Hitlist'!$A:$A,0)),)</f>
        <v/>
      </c>
      <c r="O3818">
        <f>IFERROR(INDEX('Company Hitlist'!$N:$N,MATCH(D3818,'Company Hitlist'!$A:$A,0)),)</f>
        <v/>
      </c>
      <c r="Q3818" t="inlineStr">
        <is>
          <t>todo</t>
        </is>
      </c>
    </row>
    <row r="3819">
      <c r="A3819" t="inlineStr">
        <is>
          <t>Mufaddal Badshah</t>
        </is>
      </c>
      <c r="B3819" t="inlineStr">
        <is>
          <t>Attendee</t>
        </is>
      </c>
      <c r="C3819" t="inlineStr">
        <is>
          <t>Continuous Improvement Manager</t>
        </is>
      </c>
      <c r="D3819" t="inlineStr">
        <is>
          <t>James Group</t>
        </is>
      </c>
      <c r="H3819" t="n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>
        <f>IFERROR(INDEX('Company Hitlist'!$AA:$AA,MATCH(D3819,'Company Hitlist'!$A:$A,0)),)</f>
        <v/>
      </c>
      <c r="O3819">
        <f>IFERROR(INDEX('Company Hitlist'!$N:$N,MATCH(D3819,'Company Hitlist'!$A:$A,0)),)</f>
        <v/>
      </c>
      <c r="Q3819" t="inlineStr">
        <is>
          <t>todo</t>
        </is>
      </c>
    </row>
    <row r="3820">
      <c r="A3820" t="inlineStr">
        <is>
          <t>Shotaro Nakamura</t>
        </is>
      </c>
      <c r="B3820" t="inlineStr">
        <is>
          <t>Attendee</t>
        </is>
      </c>
      <c r="C3820" t="inlineStr">
        <is>
          <t>Innovation Manager</t>
        </is>
      </c>
      <c r="D3820" t="inlineStr">
        <is>
          <t>Japan Post</t>
        </is>
      </c>
      <c r="H3820" t="n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>
        <f>IFERROR(INDEX('Company Hitlist'!$AA:$AA,MATCH(D3820,'Company Hitlist'!$A:$A,0)),)</f>
        <v/>
      </c>
      <c r="O3820">
        <f>IFERROR(INDEX('Company Hitlist'!$N:$N,MATCH(D3820,'Company Hitlist'!$A:$A,0)),)</f>
        <v/>
      </c>
      <c r="Q3820" t="inlineStr">
        <is>
          <t>todo</t>
        </is>
      </c>
    </row>
    <row r="3821">
      <c r="A3821" t="inlineStr">
        <is>
          <t>Joe Palombo</t>
        </is>
      </c>
      <c r="B3821" t="inlineStr">
        <is>
          <t>Sponsor</t>
        </is>
      </c>
      <c r="C3821" t="inlineStr">
        <is>
          <t>VP, Sales &amp; Client Success</t>
        </is>
      </c>
      <c r="D3821" t="inlineStr">
        <is>
          <t>Jitsu</t>
        </is>
      </c>
      <c r="E3821" t="inlineStr">
        <is>
          <t>United States</t>
        </is>
      </c>
      <c r="H3821" t="n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1</v>
      </c>
      <c r="N3821">
        <f>IFERROR(INDEX('Company Hitlist'!$AA:$AA,MATCH(D3821,'Company Hitlist'!$A:$A,0)),)</f>
        <v/>
      </c>
      <c r="O3821">
        <f>IFERROR(INDEX('Company Hitlist'!$N:$N,MATCH(D3821,'Company Hitlist'!$A:$A,0)),)</f>
        <v/>
      </c>
      <c r="Q3821" t="inlineStr">
        <is>
          <t>todo</t>
        </is>
      </c>
    </row>
    <row r="3822">
      <c r="A3822" t="inlineStr">
        <is>
          <t>Kanthi Paul Rapaka</t>
        </is>
      </c>
      <c r="B3822" t="inlineStr">
        <is>
          <t>Attendee</t>
        </is>
      </c>
      <c r="C3822" t="inlineStr">
        <is>
          <t>Senior Manager</t>
        </is>
      </c>
      <c r="D3822" t="inlineStr">
        <is>
          <t>Johnson and Johnson</t>
        </is>
      </c>
      <c r="E3822" t="inlineStr">
        <is>
          <t>United States</t>
        </is>
      </c>
      <c r="H3822" t="n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>
        <f>IFERROR(INDEX('Company Hitlist'!$AA:$AA,MATCH(D3822,'Company Hitlist'!$A:$A,0)),)</f>
        <v/>
      </c>
      <c r="O3822">
        <f>IFERROR(INDEX('Company Hitlist'!$N:$N,MATCH(D3822,'Company Hitlist'!$A:$A,0)),)</f>
        <v/>
      </c>
      <c r="Q3822" t="inlineStr">
        <is>
          <t>todo</t>
        </is>
      </c>
    </row>
    <row r="3823">
      <c r="A3823" t="inlineStr">
        <is>
          <t>Chris Schmidt</t>
        </is>
      </c>
      <c r="B3823" t="inlineStr">
        <is>
          <t>Attendee</t>
        </is>
      </c>
      <c r="C3823" t="inlineStr">
        <is>
          <t>Managing Director</t>
        </is>
      </c>
      <c r="D3823" t="inlineStr">
        <is>
          <t>Jones Lang LaSalle</t>
        </is>
      </c>
      <c r="E3823" t="inlineStr">
        <is>
          <t>United States</t>
        </is>
      </c>
      <c r="H3823" t="n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>
        <f>IFERROR(INDEX('Company Hitlist'!$AA:$AA,MATCH(D3823,'Company Hitlist'!$A:$A,0)),)</f>
        <v/>
      </c>
      <c r="O3823">
        <f>IFERROR(INDEX('Company Hitlist'!$N:$N,MATCH(D3823,'Company Hitlist'!$A:$A,0)),)</f>
        <v/>
      </c>
      <c r="Q3823" t="inlineStr">
        <is>
          <t>todo</t>
        </is>
      </c>
    </row>
    <row r="3824">
      <c r="A3824" t="inlineStr">
        <is>
          <t>Justin Turner</t>
        </is>
      </c>
      <c r="B3824" t="inlineStr">
        <is>
          <t>Attendee</t>
        </is>
      </c>
      <c r="C3824" t="inlineStr">
        <is>
          <t>Managing Partner</t>
        </is>
      </c>
      <c r="D3824" t="inlineStr">
        <is>
          <t>Journey</t>
        </is>
      </c>
      <c r="E3824" t="inlineStr">
        <is>
          <t>United States</t>
        </is>
      </c>
      <c r="F3824" t="inlineStr">
        <is>
          <t>Yes</t>
        </is>
      </c>
      <c r="H3824" t="n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>
        <f>IFERROR(INDEX('Company Hitlist'!$AA:$AA,MATCH(D3824,'Company Hitlist'!$A:$A,0)),)</f>
        <v/>
      </c>
      <c r="O3824">
        <f>IFERROR(INDEX('Company Hitlist'!$N:$N,MATCH(D3824,'Company Hitlist'!$A:$A,0)),)</f>
        <v/>
      </c>
      <c r="Q3824" t="inlineStr">
        <is>
          <t>todo</t>
        </is>
      </c>
    </row>
    <row r="3825">
      <c r="A3825" t="inlineStr">
        <is>
          <t>John Webb</t>
        </is>
      </c>
      <c r="B3825" t="inlineStr">
        <is>
          <t>Sponsor</t>
        </is>
      </c>
      <c r="C3825" t="inlineStr">
        <is>
          <t>VP Sales, Retail</t>
        </is>
      </c>
      <c r="D3825" t="inlineStr">
        <is>
          <t>K.Hartwall</t>
        </is>
      </c>
      <c r="H3825" t="n">
        <v>0</v>
      </c>
      <c r="I3825" t="b">
        <v>0</v>
      </c>
      <c r="J3825" t="b">
        <v>1</v>
      </c>
      <c r="K3825" t="b">
        <v>0</v>
      </c>
      <c r="L3825" t="b">
        <v>0</v>
      </c>
      <c r="M3825" t="b">
        <v>1</v>
      </c>
      <c r="N3825">
        <f>IFERROR(INDEX('Company Hitlist'!$AA:$AA,MATCH(D3825,'Company Hitlist'!$A:$A,0)),)</f>
        <v/>
      </c>
      <c r="O3825">
        <f>IFERROR(INDEX('Company Hitlist'!$N:$N,MATCH(D3825,'Company Hitlist'!$A:$A,0)),)</f>
        <v/>
      </c>
      <c r="Q3825" t="inlineStr">
        <is>
          <t>todo</t>
        </is>
      </c>
    </row>
    <row r="3826">
      <c r="A3826" t="inlineStr">
        <is>
          <t>Hunter Burke</t>
        </is>
      </c>
      <c r="B3826" t="inlineStr">
        <is>
          <t>Attendee</t>
        </is>
      </c>
      <c r="C3826" t="inlineStr">
        <is>
          <t>Director, Digital Portfolio</t>
        </is>
      </c>
      <c r="D3826" t="inlineStr">
        <is>
          <t>KBX</t>
        </is>
      </c>
      <c r="E3826" t="inlineStr">
        <is>
          <t>United States</t>
        </is>
      </c>
      <c r="H3826" t="n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>
        <f>IFERROR(INDEX('Company Hitlist'!$AA:$AA,MATCH(D3826,'Company Hitlist'!$A:$A,0)),)</f>
        <v/>
      </c>
      <c r="O3826">
        <f>IFERROR(INDEX('Company Hitlist'!$N:$N,MATCH(D3826,'Company Hitlist'!$A:$A,0)),)</f>
        <v/>
      </c>
      <c r="Q3826" t="inlineStr">
        <is>
          <t>todo</t>
        </is>
      </c>
    </row>
    <row r="3827">
      <c r="A3827" t="inlineStr">
        <is>
          <t>Annant Patel</t>
        </is>
      </c>
      <c r="B3827" t="inlineStr">
        <is>
          <t>Attendee</t>
        </is>
      </c>
      <c r="C3827" t="inlineStr">
        <is>
          <t>CCO &amp; Asset Strategy Leader</t>
        </is>
      </c>
      <c r="D3827" t="inlineStr">
        <is>
          <t>KBX</t>
        </is>
      </c>
      <c r="H3827" t="n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>
        <f>IFERROR(INDEX('Company Hitlist'!$AA:$AA,MATCH(D3827,'Company Hitlist'!$A:$A,0)),)</f>
        <v/>
      </c>
      <c r="O3827">
        <f>IFERROR(INDEX('Company Hitlist'!$N:$N,MATCH(D3827,'Company Hitlist'!$A:$A,0)),)</f>
        <v/>
      </c>
      <c r="Q3827" t="inlineStr">
        <is>
          <t>todo</t>
        </is>
      </c>
    </row>
    <row r="3828">
      <c r="A3828" t="inlineStr">
        <is>
          <t>Young Park</t>
        </is>
      </c>
      <c r="B3828" t="inlineStr">
        <is>
          <t>Attendee</t>
        </is>
      </c>
      <c r="C3828" t="inlineStr">
        <is>
          <t>Director</t>
        </is>
      </c>
      <c r="D3828" t="inlineStr">
        <is>
          <t>KCE Logistics</t>
        </is>
      </c>
      <c r="E3828" t="inlineStr">
        <is>
          <t>United States</t>
        </is>
      </c>
      <c r="F3828" t="inlineStr">
        <is>
          <t>Yes</t>
        </is>
      </c>
      <c r="H3828" t="n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>
        <f>IFERROR(INDEX('Company Hitlist'!$AA:$AA,MATCH(D3828,'Company Hitlist'!$A:$A,0)),)</f>
        <v/>
      </c>
      <c r="O3828">
        <f>IFERROR(INDEX('Company Hitlist'!$N:$N,MATCH(D3828,'Company Hitlist'!$A:$A,0)),)</f>
        <v/>
      </c>
      <c r="Q3828" t="inlineStr">
        <is>
          <t>todo</t>
        </is>
      </c>
    </row>
    <row r="3829">
      <c r="A3829" t="inlineStr">
        <is>
          <t>Jae Yang</t>
        </is>
      </c>
      <c r="B3829" t="inlineStr">
        <is>
          <t>Attendee</t>
        </is>
      </c>
      <c r="C3829" t="inlineStr">
        <is>
          <t>Director</t>
        </is>
      </c>
      <c r="D3829" t="inlineStr">
        <is>
          <t>KCE Logistics</t>
        </is>
      </c>
      <c r="F3829" t="inlineStr">
        <is>
          <t>Yes</t>
        </is>
      </c>
      <c r="H3829" t="n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>
        <f>IFERROR(INDEX('Company Hitlist'!$AA:$AA,MATCH(D3829,'Company Hitlist'!$A:$A,0)),)</f>
        <v/>
      </c>
      <c r="O3829">
        <f>IFERROR(INDEX('Company Hitlist'!$N:$N,MATCH(D3829,'Company Hitlist'!$A:$A,0)),)</f>
        <v/>
      </c>
      <c r="Q3829" t="inlineStr">
        <is>
          <t>todo</t>
        </is>
      </c>
    </row>
    <row r="3830">
      <c r="A3830" t="inlineStr">
        <is>
          <t>Nupur Marwaha</t>
        </is>
      </c>
      <c r="B3830" t="inlineStr">
        <is>
          <t>Sponsor</t>
        </is>
      </c>
      <c r="C3830" t="inlineStr">
        <is>
          <t>VP, Sales Engineering</t>
        </is>
      </c>
      <c r="D3830" t="inlineStr">
        <is>
          <t>KIBO</t>
        </is>
      </c>
      <c r="H3830" t="n">
        <v>0</v>
      </c>
      <c r="I3830" t="b">
        <v>0</v>
      </c>
      <c r="J3830" t="b">
        <v>1</v>
      </c>
      <c r="K3830" t="b">
        <v>0</v>
      </c>
      <c r="L3830" t="b">
        <v>0</v>
      </c>
      <c r="M3830" t="b">
        <v>1</v>
      </c>
      <c r="N3830">
        <f>IFERROR(INDEX('Company Hitlist'!$AA:$AA,MATCH(D3830,'Company Hitlist'!$A:$A,0)),)</f>
        <v/>
      </c>
      <c r="O3830">
        <f>IFERROR(INDEX('Company Hitlist'!$N:$N,MATCH(D3830,'Company Hitlist'!$A:$A,0)),)</f>
        <v/>
      </c>
      <c r="Q3830" t="inlineStr">
        <is>
          <t>todo</t>
        </is>
      </c>
    </row>
    <row r="3831">
      <c r="A3831" t="inlineStr">
        <is>
          <t>Stefan Schober</t>
        </is>
      </c>
      <c r="B3831" t="inlineStr">
        <is>
          <t>Attendee</t>
        </is>
      </c>
      <c r="C3831" t="inlineStr">
        <is>
          <t>Principal Software &amp; Automation Consultant</t>
        </is>
      </c>
      <c r="D3831" t="inlineStr">
        <is>
          <t>KNAPP</t>
        </is>
      </c>
      <c r="E3831" t="inlineStr">
        <is>
          <t>United States</t>
        </is>
      </c>
      <c r="F3831" t="inlineStr">
        <is>
          <t>Yes</t>
        </is>
      </c>
      <c r="H3831" t="n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>
        <f>IFERROR(INDEX('Company Hitlist'!$AA:$AA,MATCH(D3831,'Company Hitlist'!$A:$A,0)),)</f>
        <v/>
      </c>
      <c r="O3831">
        <f>IFERROR(INDEX('Company Hitlist'!$N:$N,MATCH(D3831,'Company Hitlist'!$A:$A,0)),)</f>
        <v/>
      </c>
      <c r="Q3831" t="inlineStr">
        <is>
          <t>todo</t>
        </is>
      </c>
    </row>
    <row r="3832">
      <c r="A3832" t="inlineStr">
        <is>
          <t>Tamara Coffey</t>
        </is>
      </c>
      <c r="B3832" t="inlineStr">
        <is>
          <t>Attendee</t>
        </is>
      </c>
      <c r="C3832" t="inlineStr">
        <is>
          <t>Western Region</t>
        </is>
      </c>
      <c r="D3832" t="inlineStr">
        <is>
          <t>Kale Logistics</t>
        </is>
      </c>
      <c r="E3832" t="inlineStr">
        <is>
          <t>United States</t>
        </is>
      </c>
      <c r="F3832" t="inlineStr">
        <is>
          <t>Yes</t>
        </is>
      </c>
      <c r="H3832" t="n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>
        <f>IFERROR(INDEX('Company Hitlist'!$AA:$AA,MATCH(D3832,'Company Hitlist'!$A:$A,0)),)</f>
        <v/>
      </c>
      <c r="O3832">
        <f>IFERROR(INDEX('Company Hitlist'!$N:$N,MATCH(D3832,'Company Hitlist'!$A:$A,0)),)</f>
        <v/>
      </c>
      <c r="Q3832" t="inlineStr">
        <is>
          <t>todo</t>
        </is>
      </c>
    </row>
    <row r="3833">
      <c r="A3833" t="inlineStr">
        <is>
          <t>Ari Myers</t>
        </is>
      </c>
      <c r="B3833" t="inlineStr">
        <is>
          <t>Attendee</t>
        </is>
      </c>
      <c r="C3833" t="inlineStr">
        <is>
          <t>Co-founder &amp; CRO</t>
        </is>
      </c>
      <c r="D3833" t="inlineStr">
        <is>
          <t>Kanmon</t>
        </is>
      </c>
      <c r="E3833" t="inlineStr">
        <is>
          <t>United States</t>
        </is>
      </c>
      <c r="H3833" t="n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>
        <f>IFERROR(INDEX('Company Hitlist'!$AA:$AA,MATCH(D3833,'Company Hitlist'!$A:$A,0)),)</f>
        <v/>
      </c>
      <c r="O3833">
        <f>IFERROR(INDEX('Company Hitlist'!$N:$N,MATCH(D3833,'Company Hitlist'!$A:$A,0)),)</f>
        <v/>
      </c>
      <c r="Q3833" t="inlineStr">
        <is>
          <t>todo</t>
        </is>
      </c>
    </row>
    <row r="3834">
      <c r="A3834" t="inlineStr">
        <is>
          <t>Audrey Boyd</t>
        </is>
      </c>
      <c r="B3834" t="inlineStr">
        <is>
          <t>Attendee</t>
        </is>
      </c>
      <c r="C3834" t="inlineStr">
        <is>
          <t>Software Implementation Engineer</t>
        </is>
      </c>
      <c r="D3834" t="inlineStr">
        <is>
          <t>Kardex</t>
        </is>
      </c>
      <c r="E3834" t="inlineStr">
        <is>
          <t>United States</t>
        </is>
      </c>
      <c r="H3834" t="n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>
        <f>IFERROR(INDEX('Company Hitlist'!$AA:$AA,MATCH(D3834,'Company Hitlist'!$A:$A,0)),)</f>
        <v/>
      </c>
      <c r="O3834">
        <f>IFERROR(INDEX('Company Hitlist'!$N:$N,MATCH(D3834,'Company Hitlist'!$A:$A,0)),)</f>
        <v/>
      </c>
      <c r="Q3834" t="inlineStr">
        <is>
          <t>todo</t>
        </is>
      </c>
    </row>
    <row r="3835">
      <c r="A3835" t="inlineStr">
        <is>
          <t>Unsoi Chio</t>
        </is>
      </c>
      <c r="B3835" t="inlineStr">
        <is>
          <t>Attendee</t>
        </is>
      </c>
      <c r="C3835" t="inlineStr">
        <is>
          <t>Principal &amp; Corporate Counsel</t>
        </is>
      </c>
      <c r="D3835" t="inlineStr">
        <is>
          <t>Kearney</t>
        </is>
      </c>
      <c r="E3835" t="inlineStr">
        <is>
          <t>United States</t>
        </is>
      </c>
      <c r="H3835" t="n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>
        <f>IFERROR(INDEX('Company Hitlist'!$AA:$AA,MATCH(D3835,'Company Hitlist'!$A:$A,0)),)</f>
        <v/>
      </c>
      <c r="O3835">
        <f>IFERROR(INDEX('Company Hitlist'!$N:$N,MATCH(D3835,'Company Hitlist'!$A:$A,0)),)</f>
        <v/>
      </c>
      <c r="Q3835" t="inlineStr">
        <is>
          <t>todo</t>
        </is>
      </c>
    </row>
    <row r="3836">
      <c r="A3836" t="inlineStr">
        <is>
          <t>Aaron Parsons</t>
        </is>
      </c>
      <c r="B3836" t="inlineStr">
        <is>
          <t>Attendee</t>
        </is>
      </c>
      <c r="C3836" t="inlineStr">
        <is>
          <t>Director - Parcel Solutions</t>
        </is>
      </c>
      <c r="D3836" t="inlineStr">
        <is>
          <t>Kenco</t>
        </is>
      </c>
      <c r="E3836" t="inlineStr">
        <is>
          <t>United States</t>
        </is>
      </c>
      <c r="F3836" t="inlineStr">
        <is>
          <t>Yes</t>
        </is>
      </c>
      <c r="G3836" t="inlineStr">
        <is>
          <t>$626M (est.)</t>
        </is>
      </c>
      <c r="H3836" t="n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>
        <f>IFERROR(INDEX('Company Hitlist'!$AA:$AA,MATCH(D3836,'Company Hitlist'!$A:$A,0)),)</f>
        <v/>
      </c>
      <c r="O3836">
        <f>IFERROR(INDEX('Company Hitlist'!$N:$N,MATCH(D3836,'Company Hitlist'!$A:$A,0)),)</f>
        <v/>
      </c>
      <c r="Q3836" t="inlineStr">
        <is>
          <t>todo</t>
        </is>
      </c>
    </row>
    <row r="3837">
      <c r="A3837" t="inlineStr">
        <is>
          <t>Kurt Richardson</t>
        </is>
      </c>
      <c r="B3837" t="inlineStr">
        <is>
          <t>Attendee</t>
        </is>
      </c>
      <c r="C3837" t="inlineStr">
        <is>
          <t>Senior Manager</t>
        </is>
      </c>
      <c r="D3837" t="inlineStr">
        <is>
          <t>Kenvue</t>
        </is>
      </c>
      <c r="H3837" t="n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>
        <f>IFERROR(INDEX('Company Hitlist'!$AA:$AA,MATCH(D3837,'Company Hitlist'!$A:$A,0)),)</f>
        <v/>
      </c>
      <c r="O3837">
        <f>IFERROR(INDEX('Company Hitlist'!$N:$N,MATCH(D3837,'Company Hitlist'!$A:$A,0)),)</f>
        <v/>
      </c>
      <c r="Q3837" t="inlineStr">
        <is>
          <t>todo</t>
        </is>
      </c>
    </row>
    <row r="3838">
      <c r="A3838" t="inlineStr">
        <is>
          <t>Frannie Heine</t>
        </is>
      </c>
      <c r="B3838" t="inlineStr">
        <is>
          <t>Attendee</t>
        </is>
      </c>
      <c r="C3838" t="inlineStr">
        <is>
          <t>Director</t>
        </is>
      </c>
      <c r="D3838" t="inlineStr">
        <is>
          <t>Kering</t>
        </is>
      </c>
      <c r="H3838" t="n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>
        <f>IFERROR(INDEX('Company Hitlist'!$AA:$AA,MATCH(D3838,'Company Hitlist'!$A:$A,0)),)</f>
        <v/>
      </c>
      <c r="O3838">
        <f>IFERROR(INDEX('Company Hitlist'!$N:$N,MATCH(D3838,'Company Hitlist'!$A:$A,0)),)</f>
        <v/>
      </c>
      <c r="Q3838" t="inlineStr">
        <is>
          <t>todo</t>
        </is>
      </c>
    </row>
    <row r="3839">
      <c r="A3839" t="inlineStr">
        <is>
          <t>Patrick Scardilli</t>
        </is>
      </c>
      <c r="B3839" t="inlineStr">
        <is>
          <t>Sponsor</t>
        </is>
      </c>
      <c r="C3839" t="inlineStr">
        <is>
          <t>VP of Sales and Marketing</t>
        </is>
      </c>
      <c r="D3839" t="inlineStr">
        <is>
          <t>Key Software Systems</t>
        </is>
      </c>
      <c r="E3839" t="inlineStr">
        <is>
          <t>United States</t>
        </is>
      </c>
      <c r="F3839" t="inlineStr">
        <is>
          <t>Yes</t>
        </is>
      </c>
      <c r="H3839" t="n">
        <v>0</v>
      </c>
      <c r="I3839" t="b">
        <v>0</v>
      </c>
      <c r="J3839" t="b">
        <v>1</v>
      </c>
      <c r="K3839" t="b">
        <v>0</v>
      </c>
      <c r="L3839" t="b">
        <v>0</v>
      </c>
      <c r="M3839" t="b">
        <v>1</v>
      </c>
      <c r="N3839">
        <f>IFERROR(INDEX('Company Hitlist'!$AA:$AA,MATCH(D3839,'Company Hitlist'!$A:$A,0)),)</f>
        <v/>
      </c>
      <c r="O3839">
        <f>IFERROR(INDEX('Company Hitlist'!$N:$N,MATCH(D3839,'Company Hitlist'!$A:$A,0)),)</f>
        <v/>
      </c>
      <c r="Q3839" t="inlineStr">
        <is>
          <t>todo</t>
        </is>
      </c>
    </row>
    <row r="3840">
      <c r="A3840" t="inlineStr">
        <is>
          <t>Chris Gilbert</t>
        </is>
      </c>
      <c r="B3840" t="inlineStr">
        <is>
          <t>Attendee</t>
        </is>
      </c>
      <c r="C3840" t="inlineStr">
        <is>
          <t>Manager, Data Foundations</t>
        </is>
      </c>
      <c r="D3840" t="inlineStr">
        <is>
          <t>Kimberly Clark Company</t>
        </is>
      </c>
      <c r="H3840" t="n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>
        <f>IFERROR(INDEX('Company Hitlist'!$AA:$AA,MATCH(D3840,'Company Hitlist'!$A:$A,0)),)</f>
        <v/>
      </c>
      <c r="O3840">
        <f>IFERROR(INDEX('Company Hitlist'!$N:$N,MATCH(D3840,'Company Hitlist'!$A:$A,0)),)</f>
        <v/>
      </c>
      <c r="Q3840" t="inlineStr">
        <is>
          <t>todo</t>
        </is>
      </c>
    </row>
    <row r="3841">
      <c r="A3841" t="inlineStr">
        <is>
          <t>Suraj Sriram</t>
        </is>
      </c>
      <c r="B3841" t="inlineStr">
        <is>
          <t>Attendee</t>
        </is>
      </c>
      <c r="C3841" t="inlineStr">
        <is>
          <t>Digital Manufacturing Sr. Manager</t>
        </is>
      </c>
      <c r="D3841" t="inlineStr">
        <is>
          <t>Kimberly Clark Company</t>
        </is>
      </c>
      <c r="H3841" t="n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>
        <f>IFERROR(INDEX('Company Hitlist'!$AA:$AA,MATCH(D3841,'Company Hitlist'!$A:$A,0)),)</f>
        <v/>
      </c>
      <c r="O3841">
        <f>IFERROR(INDEX('Company Hitlist'!$N:$N,MATCH(D3841,'Company Hitlist'!$A:$A,0)),)</f>
        <v/>
      </c>
      <c r="Q3841" t="inlineStr">
        <is>
          <t>todo</t>
        </is>
      </c>
    </row>
    <row r="3842">
      <c r="A3842" t="inlineStr">
        <is>
          <t>Kathy Makranyi</t>
        </is>
      </c>
      <c r="B3842" t="inlineStr">
        <is>
          <t>Sponsor</t>
        </is>
      </c>
      <c r="C3842" t="inlineStr">
        <is>
          <t>Head of Global Field and Partner Marketing</t>
        </is>
      </c>
      <c r="D3842" t="inlineStr">
        <is>
          <t>Kinaxis</t>
        </is>
      </c>
      <c r="E3842" t="inlineStr">
        <is>
          <t>United States</t>
        </is>
      </c>
      <c r="F3842" t="inlineStr">
        <is>
          <t>Yes</t>
        </is>
      </c>
      <c r="G3842" t="inlineStr">
        <is>
          <t>$450M (2024 est.; projected $480M in 2025)</t>
        </is>
      </c>
      <c r="H3842" t="n">
        <v>0</v>
      </c>
      <c r="I3842" t="b">
        <v>0</v>
      </c>
      <c r="J3842" t="b">
        <v>1</v>
      </c>
      <c r="K3842" t="b">
        <v>0</v>
      </c>
      <c r="L3842" t="b">
        <v>0</v>
      </c>
      <c r="M3842" t="b">
        <v>1</v>
      </c>
      <c r="N3842">
        <f>IFERROR(INDEX('Company Hitlist'!$AA:$AA,MATCH(D3842,'Company Hitlist'!$A:$A,0)),)</f>
        <v/>
      </c>
      <c r="O3842">
        <f>IFERROR(INDEX('Company Hitlist'!$N:$N,MATCH(D3842,'Company Hitlist'!$A:$A,0)),)</f>
        <v/>
      </c>
      <c r="Q3842" t="inlineStr">
        <is>
          <t>todo</t>
        </is>
      </c>
    </row>
    <row r="3843">
      <c r="A3843" t="inlineStr">
        <is>
          <t>Kevin Climans</t>
        </is>
      </c>
      <c r="B3843" t="inlineStr">
        <is>
          <t>Attendee</t>
        </is>
      </c>
      <c r="C3843" t="inlineStr">
        <is>
          <t>Principal</t>
        </is>
      </c>
      <c r="D3843" t="inlineStr">
        <is>
          <t>Klass Capital</t>
        </is>
      </c>
      <c r="E3843" t="inlineStr">
        <is>
          <t>Canada</t>
        </is>
      </c>
      <c r="H3843" t="n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>
        <f>IFERROR(INDEX('Company Hitlist'!$AA:$AA,MATCH(D3843,'Company Hitlist'!$A:$A,0)),)</f>
        <v/>
      </c>
      <c r="O3843">
        <f>IFERROR(INDEX('Company Hitlist'!$N:$N,MATCH(D3843,'Company Hitlist'!$A:$A,0)),)</f>
        <v/>
      </c>
      <c r="Q3843" t="inlineStr">
        <is>
          <t>todo</t>
        </is>
      </c>
    </row>
    <row r="3844">
      <c r="A3844" t="inlineStr">
        <is>
          <t>Andrew MacDonald</t>
        </is>
      </c>
      <c r="B3844" t="inlineStr">
        <is>
          <t>Sponsor</t>
        </is>
      </c>
      <c r="C3844" t="inlineStr">
        <is>
          <t>Assistant VP of Sales</t>
        </is>
      </c>
      <c r="D3844" t="inlineStr">
        <is>
          <t>Kleinschmidt Inc.</t>
        </is>
      </c>
      <c r="E3844" t="inlineStr">
        <is>
          <t>United States</t>
        </is>
      </c>
      <c r="H3844" t="n">
        <v>0</v>
      </c>
      <c r="I3844" t="b">
        <v>0</v>
      </c>
      <c r="J3844" t="b">
        <v>1</v>
      </c>
      <c r="K3844" t="b">
        <v>0</v>
      </c>
      <c r="L3844" t="b">
        <v>0</v>
      </c>
      <c r="M3844" t="b">
        <v>1</v>
      </c>
      <c r="N3844">
        <f>IFERROR(INDEX('Company Hitlist'!$AA:$AA,MATCH(D3844,'Company Hitlist'!$A:$A,0)),)</f>
        <v/>
      </c>
      <c r="O3844">
        <f>IFERROR(INDEX('Company Hitlist'!$N:$N,MATCH(D3844,'Company Hitlist'!$A:$A,0)),)</f>
        <v/>
      </c>
      <c r="Q3844" t="inlineStr">
        <is>
          <t>todo</t>
        </is>
      </c>
    </row>
    <row r="3845">
      <c r="A3845" t="inlineStr">
        <is>
          <t>Keaton Goedert</t>
        </is>
      </c>
      <c r="B3845" t="inlineStr">
        <is>
          <t>Attendee</t>
        </is>
      </c>
      <c r="C3845" t="inlineStr">
        <is>
          <t>Investment Director</t>
        </is>
      </c>
      <c r="D3845" t="inlineStr">
        <is>
          <t>Koch Disruptive Technologies</t>
        </is>
      </c>
      <c r="E3845" t="inlineStr">
        <is>
          <t>United States</t>
        </is>
      </c>
      <c r="H3845" t="n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>
        <f>IFERROR(INDEX('Company Hitlist'!$AA:$AA,MATCH(D3845,'Company Hitlist'!$A:$A,0)),)</f>
        <v/>
      </c>
      <c r="O3845">
        <f>IFERROR(INDEX('Company Hitlist'!$N:$N,MATCH(D3845,'Company Hitlist'!$A:$A,0)),)</f>
        <v/>
      </c>
      <c r="Q3845" t="inlineStr">
        <is>
          <t>todo</t>
        </is>
      </c>
    </row>
    <row r="3846">
      <c r="A3846" t="inlineStr">
        <is>
          <t>Nate Purdum</t>
        </is>
      </c>
      <c r="B3846" t="inlineStr">
        <is>
          <t>Attendee</t>
        </is>
      </c>
      <c r="C3846" t="inlineStr">
        <is>
          <t>Director</t>
        </is>
      </c>
      <c r="D3846" t="inlineStr">
        <is>
          <t>Koch Disruptive Technologies</t>
        </is>
      </c>
      <c r="E3846" t="inlineStr">
        <is>
          <t>United States</t>
        </is>
      </c>
      <c r="H3846" t="n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>
        <f>IFERROR(INDEX('Company Hitlist'!$AA:$AA,MATCH(D3846,'Company Hitlist'!$A:$A,0)),)</f>
        <v/>
      </c>
      <c r="O3846">
        <f>IFERROR(INDEX('Company Hitlist'!$N:$N,MATCH(D3846,'Company Hitlist'!$A:$A,0)),)</f>
        <v/>
      </c>
      <c r="Q3846" t="inlineStr">
        <is>
          <t>todo</t>
        </is>
      </c>
    </row>
    <row r="3847">
      <c r="A3847" t="inlineStr">
        <is>
          <t>Mike Zayonc</t>
        </is>
      </c>
      <c r="B3847" t="inlineStr">
        <is>
          <t>Attendee</t>
        </is>
      </c>
      <c r="C3847" t="inlineStr">
        <is>
          <t>Co-Founder</t>
        </is>
      </c>
      <c r="D3847" t="inlineStr">
        <is>
          <t>Kodif</t>
        </is>
      </c>
      <c r="E3847" t="inlineStr">
        <is>
          <t>United States</t>
        </is>
      </c>
      <c r="F3847" t="inlineStr">
        <is>
          <t>Yes</t>
        </is>
      </c>
      <c r="H3847" t="n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>
        <f>IFERROR(INDEX('Company Hitlist'!$AA:$AA,MATCH(D3847,'Company Hitlist'!$A:$A,0)),)</f>
        <v/>
      </c>
      <c r="O3847">
        <f>IFERROR(INDEX('Company Hitlist'!$N:$N,MATCH(D3847,'Company Hitlist'!$A:$A,0)),)</f>
        <v/>
      </c>
      <c r="Q3847" t="inlineStr">
        <is>
          <t>todo</t>
        </is>
      </c>
    </row>
    <row r="3848">
      <c r="A3848" t="inlineStr">
        <is>
          <t>Katie Chester</t>
        </is>
      </c>
      <c r="B3848" t="inlineStr">
        <is>
          <t>Attendee</t>
        </is>
      </c>
      <c r="C3848" t="inlineStr">
        <is>
          <t>Commercial Team Lead, Maritime</t>
        </is>
      </c>
      <c r="D3848" t="inlineStr">
        <is>
          <t>Kpler</t>
        </is>
      </c>
      <c r="E3848" t="inlineStr">
        <is>
          <t>United States</t>
        </is>
      </c>
      <c r="F3848" t="inlineStr">
        <is>
          <t>Yes</t>
        </is>
      </c>
      <c r="H3848" t="n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>
        <f>IFERROR(INDEX('Company Hitlist'!$AA:$AA,MATCH(D3848,'Company Hitlist'!$A:$A,0)),)</f>
        <v/>
      </c>
      <c r="O3848">
        <f>IFERROR(INDEX('Company Hitlist'!$N:$N,MATCH(D3848,'Company Hitlist'!$A:$A,0)),)</f>
        <v/>
      </c>
      <c r="Q3848" t="inlineStr">
        <is>
          <t>todo</t>
        </is>
      </c>
    </row>
    <row r="3849">
      <c r="A3849" t="inlineStr">
        <is>
          <t>Rebecca Gerdes</t>
        </is>
      </c>
      <c r="B3849" t="inlineStr">
        <is>
          <t>Attendee</t>
        </is>
      </c>
      <c r="C3849" t="inlineStr">
        <is>
          <t>Product Analyst</t>
        </is>
      </c>
      <c r="D3849" t="inlineStr">
        <is>
          <t>Kpler</t>
        </is>
      </c>
      <c r="E3849" t="inlineStr">
        <is>
          <t>United States</t>
        </is>
      </c>
      <c r="F3849" t="inlineStr">
        <is>
          <t>Yes</t>
        </is>
      </c>
      <c r="H3849" t="n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>
        <f>IFERROR(INDEX('Company Hitlist'!$AA:$AA,MATCH(D3849,'Company Hitlist'!$A:$A,0)),)</f>
        <v/>
      </c>
      <c r="O3849">
        <f>IFERROR(INDEX('Company Hitlist'!$N:$N,MATCH(D3849,'Company Hitlist'!$A:$A,0)),)</f>
        <v/>
      </c>
      <c r="Q3849" t="inlineStr">
        <is>
          <t>todo</t>
        </is>
      </c>
    </row>
    <row r="3850">
      <c r="A3850" t="inlineStr">
        <is>
          <t>Ryan Pope</t>
        </is>
      </c>
      <c r="B3850" t="inlineStr">
        <is>
          <t>Attendee</t>
        </is>
      </c>
      <c r="C3850" t="inlineStr">
        <is>
          <t>Director, Key Accounts Development</t>
        </is>
      </c>
      <c r="D3850" t="inlineStr">
        <is>
          <t>Kuehne + Nagel</t>
        </is>
      </c>
      <c r="E3850" t="inlineStr">
        <is>
          <t>United States</t>
        </is>
      </c>
      <c r="F3850" t="inlineStr">
        <is>
          <t>Yes</t>
        </is>
      </c>
      <c r="H3850" t="n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>
        <f>IFERROR(INDEX('Company Hitlist'!$AA:$AA,MATCH(D3850,'Company Hitlist'!$A:$A,0)),)</f>
        <v/>
      </c>
      <c r="O3850">
        <f>IFERROR(INDEX('Company Hitlist'!$N:$N,MATCH(D3850,'Company Hitlist'!$A:$A,0)),)</f>
        <v/>
      </c>
      <c r="Q3850" t="inlineStr">
        <is>
          <t>todo</t>
        </is>
      </c>
    </row>
    <row r="3851">
      <c r="A3851" t="inlineStr">
        <is>
          <t>Roy(Jeongwoo) Yoon</t>
        </is>
      </c>
      <c r="B3851" t="inlineStr">
        <is>
          <t>Attendee</t>
        </is>
      </c>
      <c r="C3851" t="inlineStr">
        <is>
          <t>SCM Manager</t>
        </is>
      </c>
      <c r="D3851" t="inlineStr">
        <is>
          <t>Kwangjin America</t>
        </is>
      </c>
      <c r="H3851" t="n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>
        <f>IFERROR(INDEX('Company Hitlist'!$AA:$AA,MATCH(D3851,'Company Hitlist'!$A:$A,0)),)</f>
        <v/>
      </c>
      <c r="O3851">
        <f>IFERROR(INDEX('Company Hitlist'!$N:$N,MATCH(D3851,'Company Hitlist'!$A:$A,0)),)</f>
        <v/>
      </c>
      <c r="Q3851" t="inlineStr">
        <is>
          <t>todo</t>
        </is>
      </c>
    </row>
    <row r="3852">
      <c r="A3852" t="inlineStr">
        <is>
          <t>ERIK PERALES</t>
        </is>
      </c>
      <c r="B3852" t="inlineStr">
        <is>
          <t>Attendee</t>
        </is>
      </c>
      <c r="C3852" t="inlineStr">
        <is>
          <t>GENERAL DIRECTOR</t>
        </is>
      </c>
      <c r="D3852" t="inlineStr">
        <is>
          <t>L11 LOGISTICS</t>
        </is>
      </c>
      <c r="F3852" t="inlineStr">
        <is>
          <t>Yes</t>
        </is>
      </c>
      <c r="H3852" t="n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>
        <f>IFERROR(INDEX('Company Hitlist'!$AA:$AA,MATCH(D3852,'Company Hitlist'!$A:$A,0)),)</f>
        <v/>
      </c>
      <c r="O3852">
        <f>IFERROR(INDEX('Company Hitlist'!$N:$N,MATCH(D3852,'Company Hitlist'!$A:$A,0)),)</f>
        <v/>
      </c>
      <c r="Q3852" t="inlineStr">
        <is>
          <t>todo</t>
        </is>
      </c>
    </row>
    <row r="3853">
      <c r="A3853" t="inlineStr">
        <is>
          <t>Peter Haver</t>
        </is>
      </c>
      <c r="B3853" t="inlineStr">
        <is>
          <t>Attendee</t>
        </is>
      </c>
      <c r="C3853" t="inlineStr">
        <is>
          <t>CCO, Americas</t>
        </is>
      </c>
      <c r="D3853" t="inlineStr">
        <is>
          <t>LEMAN</t>
        </is>
      </c>
      <c r="E3853" t="inlineStr">
        <is>
          <t>United States</t>
        </is>
      </c>
      <c r="F3853" t="inlineStr">
        <is>
          <t>Yes</t>
        </is>
      </c>
      <c r="H3853" t="n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>
        <f>IFERROR(INDEX('Company Hitlist'!$AA:$AA,MATCH(D3853,'Company Hitlist'!$A:$A,0)),)</f>
        <v/>
      </c>
      <c r="O3853">
        <f>IFERROR(INDEX('Company Hitlist'!$N:$N,MATCH(D3853,'Company Hitlist'!$A:$A,0)),)</f>
        <v/>
      </c>
      <c r="Q3853" t="inlineStr">
        <is>
          <t>todo</t>
        </is>
      </c>
    </row>
    <row r="3854">
      <c r="A3854" t="inlineStr">
        <is>
          <t>Adithya Haridas</t>
        </is>
      </c>
      <c r="B3854" t="inlineStr">
        <is>
          <t>Attendee</t>
        </is>
      </c>
      <c r="C3854" t="inlineStr">
        <is>
          <t>Investment Associate</t>
        </is>
      </c>
      <c r="D3854" t="inlineStr">
        <is>
          <t>LPX Partners</t>
        </is>
      </c>
      <c r="E3854" t="inlineStr">
        <is>
          <t>Singapore</t>
        </is>
      </c>
      <c r="H3854" t="n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>
        <f>IFERROR(INDEX('Company Hitlist'!$AA:$AA,MATCH(D3854,'Company Hitlist'!$A:$A,0)),)</f>
        <v/>
      </c>
      <c r="O3854">
        <f>IFERROR(INDEX('Company Hitlist'!$N:$N,MATCH(D3854,'Company Hitlist'!$A:$A,0)),)</f>
        <v/>
      </c>
      <c r="Q3854" t="inlineStr">
        <is>
          <t>todo</t>
        </is>
      </c>
    </row>
    <row r="3855">
      <c r="A3855" t="inlineStr">
        <is>
          <t>Yongmo Jeong</t>
        </is>
      </c>
      <c r="B3855" t="inlineStr">
        <is>
          <t>Attendee</t>
        </is>
      </c>
      <c r="C3855" t="inlineStr">
        <is>
          <t>Project Manager</t>
        </is>
      </c>
      <c r="D3855" t="inlineStr">
        <is>
          <t>LS Electric</t>
        </is>
      </c>
      <c r="H3855" t="n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>
        <f>IFERROR(INDEX('Company Hitlist'!$AA:$AA,MATCH(D3855,'Company Hitlist'!$A:$A,0)),)</f>
        <v/>
      </c>
      <c r="O3855">
        <f>IFERROR(INDEX('Company Hitlist'!$N:$N,MATCH(D3855,'Company Hitlist'!$A:$A,0)),)</f>
        <v/>
      </c>
      <c r="Q3855" t="inlineStr">
        <is>
          <t>todo</t>
        </is>
      </c>
    </row>
    <row r="3856">
      <c r="A3856" t="inlineStr">
        <is>
          <t>Malcolm Friedberg</t>
        </is>
      </c>
      <c r="B3856" t="inlineStr">
        <is>
          <t>Attendee</t>
        </is>
      </c>
      <c r="C3856" t="inlineStr">
        <is>
          <t>CRO</t>
        </is>
      </c>
      <c r="D3856" t="inlineStr">
        <is>
          <t>LaborAI</t>
        </is>
      </c>
      <c r="E3856" t="inlineStr">
        <is>
          <t>United States</t>
        </is>
      </c>
      <c r="F3856" t="inlineStr">
        <is>
          <t>Yes</t>
        </is>
      </c>
      <c r="H3856" t="n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>
        <f>IFERROR(INDEX('Company Hitlist'!$AA:$AA,MATCH(D3856,'Company Hitlist'!$A:$A,0)),)</f>
        <v/>
      </c>
      <c r="O3856">
        <f>IFERROR(INDEX('Company Hitlist'!$N:$N,MATCH(D3856,'Company Hitlist'!$A:$A,0)),)</f>
        <v/>
      </c>
      <c r="Q3856" t="inlineStr">
        <is>
          <t>todo</t>
        </is>
      </c>
    </row>
    <row r="3857">
      <c r="A3857" t="inlineStr">
        <is>
          <t>Milos Trkulja</t>
        </is>
      </c>
      <c r="B3857" t="inlineStr">
        <is>
          <t>Attendee</t>
        </is>
      </c>
      <c r="C3857" t="inlineStr">
        <is>
          <t>Lead, Strategic Development</t>
        </is>
      </c>
      <c r="D3857" t="inlineStr">
        <is>
          <t>Lanaco</t>
        </is>
      </c>
      <c r="H3857" t="n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>
        <f>IFERROR(INDEX('Company Hitlist'!$AA:$AA,MATCH(D3857,'Company Hitlist'!$A:$A,0)),)</f>
        <v/>
      </c>
      <c r="O3857">
        <f>IFERROR(INDEX('Company Hitlist'!$N:$N,MATCH(D3857,'Company Hitlist'!$A:$A,0)),)</f>
        <v/>
      </c>
      <c r="Q3857" t="inlineStr">
        <is>
          <t>todo</t>
        </is>
      </c>
    </row>
    <row r="3858">
      <c r="A3858" t="inlineStr">
        <is>
          <t>Mark Volchek</t>
        </is>
      </c>
      <c r="B3858" t="inlineStr">
        <is>
          <t>Attendee</t>
        </is>
      </c>
      <c r="C3858" t="inlineStr">
        <is>
          <t>Founding Partner</t>
        </is>
      </c>
      <c r="D3858" t="inlineStr">
        <is>
          <t>Las Olas VC</t>
        </is>
      </c>
      <c r="E3858" t="inlineStr">
        <is>
          <t>United States</t>
        </is>
      </c>
      <c r="H3858" t="n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>
        <f>IFERROR(INDEX('Company Hitlist'!$AA:$AA,MATCH(D3858,'Company Hitlist'!$A:$A,0)),)</f>
        <v/>
      </c>
      <c r="O3858">
        <f>IFERROR(INDEX('Company Hitlist'!$N:$N,MATCH(D3858,'Company Hitlist'!$A:$A,0)),)</f>
        <v/>
      </c>
      <c r="Q3858" t="inlineStr">
        <is>
          <t>todo</t>
        </is>
      </c>
    </row>
    <row r="3859">
      <c r="A3859" t="inlineStr">
        <is>
          <t>Jorge Perez</t>
        </is>
      </c>
      <c r="B3859" t="inlineStr">
        <is>
          <t>Sponsor</t>
        </is>
      </c>
      <c r="C3859" t="inlineStr">
        <is>
          <t>Head of Marketing</t>
        </is>
      </c>
      <c r="D3859" t="inlineStr">
        <is>
          <t>Lateral Fulfillment LLC</t>
        </is>
      </c>
      <c r="F3859" t="inlineStr">
        <is>
          <t>Yes</t>
        </is>
      </c>
      <c r="H3859" t="n">
        <v>0</v>
      </c>
      <c r="I3859" t="b">
        <v>0</v>
      </c>
      <c r="J3859" t="b">
        <v>1</v>
      </c>
      <c r="K3859" t="b">
        <v>0</v>
      </c>
      <c r="L3859" t="b">
        <v>0</v>
      </c>
      <c r="M3859" t="b">
        <v>1</v>
      </c>
      <c r="N3859">
        <f>IFERROR(INDEX('Company Hitlist'!$AA:$AA,MATCH(D3859,'Company Hitlist'!$A:$A,0)),)</f>
        <v/>
      </c>
      <c r="O3859">
        <f>IFERROR(INDEX('Company Hitlist'!$N:$N,MATCH(D3859,'Company Hitlist'!$A:$A,0)),)</f>
        <v/>
      </c>
      <c r="Q3859" t="inlineStr">
        <is>
          <t>todo</t>
        </is>
      </c>
    </row>
    <row r="3860">
      <c r="A3860" t="inlineStr">
        <is>
          <t>John Kester</t>
        </is>
      </c>
      <c r="B3860" t="inlineStr">
        <is>
          <t>Attendee</t>
        </is>
      </c>
      <c r="C3860" t="inlineStr">
        <is>
          <t>Attorney</t>
        </is>
      </c>
      <c r="D3860" t="inlineStr">
        <is>
          <t>Law at GKG Law, P.C.</t>
        </is>
      </c>
      <c r="E3860" t="inlineStr">
        <is>
          <t>United States</t>
        </is>
      </c>
      <c r="H3860" t="n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>
        <f>IFERROR(INDEX('Company Hitlist'!$AA:$AA,MATCH(D3860,'Company Hitlist'!$A:$A,0)),)</f>
        <v/>
      </c>
      <c r="O3860">
        <f>IFERROR(INDEX('Company Hitlist'!$N:$N,MATCH(D3860,'Company Hitlist'!$A:$A,0)),)</f>
        <v/>
      </c>
      <c r="Q3860" t="inlineStr">
        <is>
          <t>todo</t>
        </is>
      </c>
    </row>
    <row r="3861">
      <c r="A3861" t="inlineStr">
        <is>
          <t>Edward Parslow</t>
        </is>
      </c>
      <c r="B3861" t="inlineStr">
        <is>
          <t>Attendee</t>
        </is>
      </c>
      <c r="C3861" t="inlineStr">
        <is>
          <t>Managing Director</t>
        </is>
      </c>
      <c r="D3861" t="inlineStr">
        <is>
          <t>Lazard</t>
        </is>
      </c>
      <c r="E3861" t="inlineStr">
        <is>
          <t>United States</t>
        </is>
      </c>
      <c r="H3861" t="n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>
        <f>IFERROR(INDEX('Company Hitlist'!$AA:$AA,MATCH(D3861,'Company Hitlist'!$A:$A,0)),)</f>
        <v/>
      </c>
      <c r="O3861">
        <f>IFERROR(INDEX('Company Hitlist'!$N:$N,MATCH(D3861,'Company Hitlist'!$A:$A,0)),)</f>
        <v/>
      </c>
      <c r="Q3861" t="inlineStr">
        <is>
          <t>todo</t>
        </is>
      </c>
    </row>
    <row r="3862">
      <c r="A3862" t="inlineStr">
        <is>
          <t>Domenic Maiani</t>
        </is>
      </c>
      <c r="B3862" t="inlineStr">
        <is>
          <t>Attendee</t>
        </is>
      </c>
      <c r="C3862" t="inlineStr">
        <is>
          <t>Founder</t>
        </is>
      </c>
      <c r="D3862" t="inlineStr">
        <is>
          <t>Lazio Search Group</t>
        </is>
      </c>
      <c r="E3862" t="inlineStr">
        <is>
          <t>United States</t>
        </is>
      </c>
      <c r="H3862" t="n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>
        <f>IFERROR(INDEX('Company Hitlist'!$AA:$AA,MATCH(D3862,'Company Hitlist'!$A:$A,0)),)</f>
        <v/>
      </c>
      <c r="O3862">
        <f>IFERROR(INDEX('Company Hitlist'!$N:$N,MATCH(D3862,'Company Hitlist'!$A:$A,0)),)</f>
        <v/>
      </c>
      <c r="Q3862" t="inlineStr">
        <is>
          <t>todo</t>
        </is>
      </c>
    </row>
    <row r="3863">
      <c r="A3863" t="inlineStr">
        <is>
          <t>Jeff Courtney</t>
        </is>
      </c>
      <c r="B3863" t="inlineStr">
        <is>
          <t>Sponsor</t>
        </is>
      </c>
      <c r="C3863" t="inlineStr">
        <is>
          <t>Head of Sales</t>
        </is>
      </c>
      <c r="D3863" t="inlineStr">
        <is>
          <t>LeadCoverage</t>
        </is>
      </c>
      <c r="H3863" t="n">
        <v>0</v>
      </c>
      <c r="I3863" t="b">
        <v>0</v>
      </c>
      <c r="J3863" t="b">
        <v>1</v>
      </c>
      <c r="K3863" t="b">
        <v>0</v>
      </c>
      <c r="L3863" t="b">
        <v>0</v>
      </c>
      <c r="M3863" t="b">
        <v>1</v>
      </c>
      <c r="N3863">
        <f>IFERROR(INDEX('Company Hitlist'!$AA:$AA,MATCH(D3863,'Company Hitlist'!$A:$A,0)),)</f>
        <v/>
      </c>
      <c r="O3863">
        <f>IFERROR(INDEX('Company Hitlist'!$N:$N,MATCH(D3863,'Company Hitlist'!$A:$A,0)),)</f>
        <v/>
      </c>
      <c r="Q3863" t="inlineStr">
        <is>
          <t>todo</t>
        </is>
      </c>
    </row>
    <row r="3864">
      <c r="A3864" t="inlineStr">
        <is>
          <t>Andrew Johnson</t>
        </is>
      </c>
      <c r="B3864" t="inlineStr">
        <is>
          <t>Sponsor</t>
        </is>
      </c>
      <c r="C3864" t="inlineStr">
        <is>
          <t>Head of Revenue Marketing</t>
        </is>
      </c>
      <c r="D3864" t="inlineStr">
        <is>
          <t>Lean Solutions Group</t>
        </is>
      </c>
      <c r="E3864" t="inlineStr">
        <is>
          <t>United States</t>
        </is>
      </c>
      <c r="H3864" t="n">
        <v>0</v>
      </c>
      <c r="I3864" t="b">
        <v>0</v>
      </c>
      <c r="J3864" t="b">
        <v>1</v>
      </c>
      <c r="K3864" t="b">
        <v>0</v>
      </c>
      <c r="L3864" t="b">
        <v>0</v>
      </c>
      <c r="M3864" t="b">
        <v>1</v>
      </c>
      <c r="N3864">
        <f>IFERROR(INDEX('Company Hitlist'!$AA:$AA,MATCH(D3864,'Company Hitlist'!$A:$A,0)),)</f>
        <v/>
      </c>
      <c r="O3864">
        <f>IFERROR(INDEX('Company Hitlist'!$N:$N,MATCH(D3864,'Company Hitlist'!$A:$A,0)),)</f>
        <v/>
      </c>
      <c r="Q3864" t="inlineStr">
        <is>
          <t>todo</t>
        </is>
      </c>
    </row>
    <row r="3865">
      <c r="A3865" t="inlineStr">
        <is>
          <t>David Lee</t>
        </is>
      </c>
      <c r="B3865" t="inlineStr">
        <is>
          <t>Sponsor</t>
        </is>
      </c>
      <c r="C3865" t="inlineStr">
        <is>
          <t>Vice President Sales Engineer</t>
        </is>
      </c>
      <c r="D3865" t="inlineStr">
        <is>
          <t>Lean Solutions Group</t>
        </is>
      </c>
      <c r="E3865" t="inlineStr">
        <is>
          <t>United States</t>
        </is>
      </c>
      <c r="H3865" t="n">
        <v>0</v>
      </c>
      <c r="I3865" t="b">
        <v>0</v>
      </c>
      <c r="J3865" t="b">
        <v>1</v>
      </c>
      <c r="K3865" t="b">
        <v>0</v>
      </c>
      <c r="L3865" t="b">
        <v>0</v>
      </c>
      <c r="M3865" t="b">
        <v>1</v>
      </c>
      <c r="N3865">
        <f>IFERROR(INDEX('Company Hitlist'!$AA:$AA,MATCH(D3865,'Company Hitlist'!$A:$A,0)),)</f>
        <v/>
      </c>
      <c r="O3865">
        <f>IFERROR(INDEX('Company Hitlist'!$N:$N,MATCH(D3865,'Company Hitlist'!$A:$A,0)),)</f>
        <v/>
      </c>
      <c r="Q3865" t="inlineStr">
        <is>
          <t>todo</t>
        </is>
      </c>
    </row>
    <row r="3866">
      <c r="A3866" t="inlineStr">
        <is>
          <t>Vishal Shelar</t>
        </is>
      </c>
      <c r="B3866" t="inlineStr">
        <is>
          <t>Attendee</t>
        </is>
      </c>
      <c r="C3866" t="inlineStr">
        <is>
          <t>Senior Project Manager</t>
        </is>
      </c>
      <c r="D3866" t="inlineStr">
        <is>
          <t>Lego</t>
        </is>
      </c>
      <c r="H3866" t="n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>
        <f>IFERROR(INDEX('Company Hitlist'!$AA:$AA,MATCH(D3866,'Company Hitlist'!$A:$A,0)),)</f>
        <v/>
      </c>
      <c r="O3866">
        <f>IFERROR(INDEX('Company Hitlist'!$N:$N,MATCH(D3866,'Company Hitlist'!$A:$A,0)),)</f>
        <v/>
      </c>
      <c r="Q3866" t="inlineStr">
        <is>
          <t>todo</t>
        </is>
      </c>
    </row>
    <row r="3867">
      <c r="A3867" t="inlineStr">
        <is>
          <t>Jack Chen</t>
        </is>
      </c>
      <c r="B3867" t="inlineStr">
        <is>
          <t>Attendee</t>
        </is>
      </c>
      <c r="C3867" t="inlineStr">
        <is>
          <t>Principal</t>
        </is>
      </c>
      <c r="D3867" t="inlineStr">
        <is>
          <t>Leidos</t>
        </is>
      </c>
      <c r="E3867" t="inlineStr">
        <is>
          <t>United States</t>
        </is>
      </c>
      <c r="H3867" t="n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>
        <f>IFERROR(INDEX('Company Hitlist'!$AA:$AA,MATCH(D3867,'Company Hitlist'!$A:$A,0)),)</f>
        <v/>
      </c>
      <c r="O3867">
        <f>IFERROR(INDEX('Company Hitlist'!$N:$N,MATCH(D3867,'Company Hitlist'!$A:$A,0)),)</f>
        <v/>
      </c>
      <c r="Q3867" t="inlineStr">
        <is>
          <t>todo</t>
        </is>
      </c>
    </row>
    <row r="3868">
      <c r="A3868" t="inlineStr">
        <is>
          <t>Abby Baird</t>
        </is>
      </c>
      <c r="B3868" t="inlineStr">
        <is>
          <t>Attendee</t>
        </is>
      </c>
      <c r="C3868" t="inlineStr">
        <is>
          <t>Content Associate</t>
        </is>
      </c>
      <c r="D3868" t="inlineStr">
        <is>
          <t>Let's Talk Supply Chain</t>
        </is>
      </c>
      <c r="E3868" t="inlineStr">
        <is>
          <t>United States</t>
        </is>
      </c>
      <c r="H3868" t="n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>
        <f>IFERROR(INDEX('Company Hitlist'!$AA:$AA,MATCH(D3868,'Company Hitlist'!$A:$A,0)),)</f>
        <v/>
      </c>
      <c r="O3868">
        <f>IFERROR(INDEX('Company Hitlist'!$N:$N,MATCH(D3868,'Company Hitlist'!$A:$A,0)),)</f>
        <v/>
      </c>
      <c r="Q3868" t="inlineStr">
        <is>
          <t>todo</t>
        </is>
      </c>
    </row>
    <row r="3869">
      <c r="A3869" t="inlineStr">
        <is>
          <t>Abigail Baird</t>
        </is>
      </c>
      <c r="B3869" t="inlineStr">
        <is>
          <t>Attendee</t>
        </is>
      </c>
      <c r="C3869" t="inlineStr">
        <is>
          <t>Content Creator</t>
        </is>
      </c>
      <c r="D3869" t="inlineStr">
        <is>
          <t>Let's Talk Supply Chain</t>
        </is>
      </c>
      <c r="E3869" t="inlineStr">
        <is>
          <t>United States</t>
        </is>
      </c>
      <c r="H3869" t="n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>
        <f>IFERROR(INDEX('Company Hitlist'!$AA:$AA,MATCH(D3869,'Company Hitlist'!$A:$A,0)),)</f>
        <v/>
      </c>
      <c r="O3869">
        <f>IFERROR(INDEX('Company Hitlist'!$N:$N,MATCH(D3869,'Company Hitlist'!$A:$A,0)),)</f>
        <v/>
      </c>
      <c r="Q3869" t="inlineStr">
        <is>
          <t>todo</t>
        </is>
      </c>
    </row>
    <row r="3870">
      <c r="A3870" t="inlineStr">
        <is>
          <t>Bob Finkelstein</t>
        </is>
      </c>
      <c r="B3870" t="inlineStr">
        <is>
          <t>Attendee</t>
        </is>
      </c>
      <c r="C3870" t="inlineStr">
        <is>
          <t>Videographer</t>
        </is>
      </c>
      <c r="D3870" t="inlineStr">
        <is>
          <t>Let's Talk Supply Chain</t>
        </is>
      </c>
      <c r="E3870" t="inlineStr">
        <is>
          <t>United States</t>
        </is>
      </c>
      <c r="H3870" t="n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>
        <f>IFERROR(INDEX('Company Hitlist'!$AA:$AA,MATCH(D3870,'Company Hitlist'!$A:$A,0)),)</f>
        <v/>
      </c>
      <c r="O3870">
        <f>IFERROR(INDEX('Company Hitlist'!$N:$N,MATCH(D3870,'Company Hitlist'!$A:$A,0)),)</f>
        <v/>
      </c>
      <c r="Q3870" t="inlineStr">
        <is>
          <t>todo</t>
        </is>
      </c>
    </row>
    <row r="3871">
      <c r="A3871" t="inlineStr">
        <is>
          <t>Mark Winkelmann</t>
        </is>
      </c>
      <c r="B3871" t="inlineStr">
        <is>
          <t>Attendee</t>
        </is>
      </c>
      <c r="C3871" t="inlineStr">
        <is>
          <t>Founder / Chairman of the Board</t>
        </is>
      </c>
      <c r="D3871" t="inlineStr">
        <is>
          <t>LetMeShip</t>
        </is>
      </c>
      <c r="E3871" t="inlineStr">
        <is>
          <t>Germany</t>
        </is>
      </c>
      <c r="F3871" t="inlineStr">
        <is>
          <t>Yes</t>
        </is>
      </c>
      <c r="H3871" t="n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>
        <f>IFERROR(INDEX('Company Hitlist'!$AA:$AA,MATCH(D3871,'Company Hitlist'!$A:$A,0)),)</f>
        <v/>
      </c>
      <c r="O3871">
        <f>IFERROR(INDEX('Company Hitlist'!$N:$N,MATCH(D3871,'Company Hitlist'!$A:$A,0)),)</f>
        <v/>
      </c>
      <c r="Q3871" t="inlineStr">
        <is>
          <t>todo</t>
        </is>
      </c>
    </row>
    <row r="3872">
      <c r="A3872" t="inlineStr">
        <is>
          <t>John Mesa</t>
        </is>
      </c>
      <c r="B3872" t="inlineStr">
        <is>
          <t>Attendee</t>
        </is>
      </c>
      <c r="C3872" t="inlineStr">
        <is>
          <t>Sr Industrial Engineer</t>
        </is>
      </c>
      <c r="D3872" t="inlineStr">
        <is>
          <t>Levi</t>
        </is>
      </c>
      <c r="E3872" t="inlineStr">
        <is>
          <t>United States</t>
        </is>
      </c>
      <c r="F3872" t="inlineStr">
        <is>
          <t>Yes</t>
        </is>
      </c>
      <c r="H3872" t="n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>
        <f>IFERROR(INDEX('Company Hitlist'!$AA:$AA,MATCH(D3872,'Company Hitlist'!$A:$A,0)),)</f>
        <v/>
      </c>
      <c r="O3872">
        <f>IFERROR(INDEX('Company Hitlist'!$N:$N,MATCH(D3872,'Company Hitlist'!$A:$A,0)),)</f>
        <v/>
      </c>
      <c r="Q3872" t="inlineStr">
        <is>
          <t>todo</t>
        </is>
      </c>
    </row>
    <row r="3873">
      <c r="A3873" t="inlineStr">
        <is>
          <t>Arne Wolfewicz</t>
        </is>
      </c>
      <c r="B3873" t="inlineStr">
        <is>
          <t>Sponsor</t>
        </is>
      </c>
      <c r="C3873" t="inlineStr">
        <is>
          <t>Head of Sales</t>
        </is>
      </c>
      <c r="D3873" t="inlineStr">
        <is>
          <t>Levity AI Inc.</t>
        </is>
      </c>
      <c r="H3873" t="n">
        <v>0</v>
      </c>
      <c r="I3873" t="b">
        <v>0</v>
      </c>
      <c r="J3873" t="b">
        <v>1</v>
      </c>
      <c r="K3873" t="b">
        <v>0</v>
      </c>
      <c r="L3873" t="b">
        <v>0</v>
      </c>
      <c r="M3873" t="b">
        <v>1</v>
      </c>
      <c r="N3873">
        <f>IFERROR(INDEX('Company Hitlist'!$AA:$AA,MATCH(D3873,'Company Hitlist'!$A:$A,0)),)</f>
        <v/>
      </c>
      <c r="O3873">
        <f>IFERROR(INDEX('Company Hitlist'!$N:$N,MATCH(D3873,'Company Hitlist'!$A:$A,0)),)</f>
        <v/>
      </c>
      <c r="Q3873" t="inlineStr">
        <is>
          <t>todo</t>
        </is>
      </c>
    </row>
    <row r="3874">
      <c r="A3874" t="inlineStr">
        <is>
          <t>Umair Khan</t>
        </is>
      </c>
      <c r="B3874" t="inlineStr">
        <is>
          <t>Attendee</t>
        </is>
      </c>
      <c r="C3874" t="inlineStr">
        <is>
          <t>Senior Director - Origination</t>
        </is>
      </c>
      <c r="D3874" t="inlineStr">
        <is>
          <t>Libra Software Group</t>
        </is>
      </c>
      <c r="E3874" t="inlineStr">
        <is>
          <t>Canada</t>
        </is>
      </c>
      <c r="F3874" t="inlineStr">
        <is>
          <t>Yes</t>
        </is>
      </c>
      <c r="H3874" t="n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>
        <f>IFERROR(INDEX('Company Hitlist'!$AA:$AA,MATCH(D3874,'Company Hitlist'!$A:$A,0)),)</f>
        <v/>
      </c>
      <c r="O3874">
        <f>IFERROR(INDEX('Company Hitlist'!$N:$N,MATCH(D3874,'Company Hitlist'!$A:$A,0)),)</f>
        <v/>
      </c>
      <c r="Q3874" t="inlineStr">
        <is>
          <t>todo</t>
        </is>
      </c>
    </row>
    <row r="3875">
      <c r="A3875" t="inlineStr">
        <is>
          <t>Brian Estell</t>
        </is>
      </c>
      <c r="B3875" t="inlineStr">
        <is>
          <t>Attendee</t>
        </is>
      </c>
      <c r="C3875" t="inlineStr">
        <is>
          <t>Demand Planning Senior Manager</t>
        </is>
      </c>
      <c r="D3875" t="inlineStr">
        <is>
          <t>Light &amp; Wonder</t>
        </is>
      </c>
      <c r="E3875" t="inlineStr">
        <is>
          <t>United States</t>
        </is>
      </c>
      <c r="H3875" t="n">
        <v>0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>
        <f>IFERROR(INDEX('Company Hitlist'!$AA:$AA,MATCH(D3875,'Company Hitlist'!$A:$A,0)),)</f>
        <v/>
      </c>
      <c r="O3875">
        <f>IFERROR(INDEX('Company Hitlist'!$N:$N,MATCH(D3875,'Company Hitlist'!$A:$A,0)),)</f>
        <v/>
      </c>
      <c r="Q3875" t="inlineStr">
        <is>
          <t>todo</t>
        </is>
      </c>
    </row>
    <row r="3876">
      <c r="A3876" t="inlineStr">
        <is>
          <t>Bailey Way</t>
        </is>
      </c>
      <c r="B3876" t="inlineStr">
        <is>
          <t>Attendee</t>
        </is>
      </c>
      <c r="C3876" t="inlineStr">
        <is>
          <t>Sr Manager, Center of Excellence</t>
        </is>
      </c>
      <c r="D3876" t="inlineStr">
        <is>
          <t>Light &amp; Wonder</t>
        </is>
      </c>
      <c r="H3876" t="n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>
        <f>IFERROR(INDEX('Company Hitlist'!$AA:$AA,MATCH(D3876,'Company Hitlist'!$A:$A,0)),)</f>
        <v/>
      </c>
      <c r="O3876">
        <f>IFERROR(INDEX('Company Hitlist'!$N:$N,MATCH(D3876,'Company Hitlist'!$A:$A,0)),)</f>
        <v/>
      </c>
      <c r="Q3876" t="inlineStr">
        <is>
          <t>todo</t>
        </is>
      </c>
    </row>
    <row r="3877">
      <c r="A3877" t="inlineStr">
        <is>
          <t>Jesse Espinoza</t>
        </is>
      </c>
      <c r="B3877" t="inlineStr">
        <is>
          <t>Attendee</t>
        </is>
      </c>
      <c r="C3877" t="inlineStr">
        <is>
          <t>Managing Director</t>
        </is>
      </c>
      <c r="D3877" t="inlineStr">
        <is>
          <t>Lincoln International</t>
        </is>
      </c>
      <c r="E3877" t="inlineStr">
        <is>
          <t>United States</t>
        </is>
      </c>
      <c r="H3877" t="n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>
        <f>IFERROR(INDEX('Company Hitlist'!$AA:$AA,MATCH(D3877,'Company Hitlist'!$A:$A,0)),)</f>
        <v/>
      </c>
      <c r="O3877">
        <f>IFERROR(INDEX('Company Hitlist'!$N:$N,MATCH(D3877,'Company Hitlist'!$A:$A,0)),)</f>
        <v/>
      </c>
      <c r="Q3877" t="inlineStr">
        <is>
          <t>todo</t>
        </is>
      </c>
    </row>
    <row r="3878">
      <c r="A3878" t="inlineStr">
        <is>
          <t>Ed Pratt</t>
        </is>
      </c>
      <c r="B3878" t="inlineStr">
        <is>
          <t>Attendee</t>
        </is>
      </c>
      <c r="C3878" t="inlineStr">
        <is>
          <t>Strategic Account Manager</t>
        </is>
      </c>
      <c r="D3878" t="inlineStr">
        <is>
          <t>Lindenmeyr Munroe</t>
        </is>
      </c>
      <c r="E3878" t="inlineStr">
        <is>
          <t>United States</t>
        </is>
      </c>
      <c r="H3878" t="n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>
        <f>IFERROR(INDEX('Company Hitlist'!$AA:$AA,MATCH(D3878,'Company Hitlist'!$A:$A,0)),)</f>
        <v/>
      </c>
      <c r="O3878">
        <f>IFERROR(INDEX('Company Hitlist'!$N:$N,MATCH(D3878,'Company Hitlist'!$A:$A,0)),)</f>
        <v/>
      </c>
      <c r="Q3878" t="inlineStr">
        <is>
          <t>todo</t>
        </is>
      </c>
    </row>
    <row r="3879">
      <c r="A3879" t="inlineStr">
        <is>
          <t>John Ward</t>
        </is>
      </c>
      <c r="B3879" t="inlineStr">
        <is>
          <t>Attendee</t>
        </is>
      </c>
      <c r="C3879" t="inlineStr">
        <is>
          <t>Director of Engineering &amp; Strategic Partnerships</t>
        </is>
      </c>
      <c r="D3879" t="inlineStr">
        <is>
          <t>Lion Power</t>
        </is>
      </c>
      <c r="E3879" t="inlineStr">
        <is>
          <t>United States</t>
        </is>
      </c>
      <c r="F3879" t="inlineStr">
        <is>
          <t>Yes</t>
        </is>
      </c>
      <c r="H3879" t="n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>
        <f>IFERROR(INDEX('Company Hitlist'!$AA:$AA,MATCH(D3879,'Company Hitlist'!$A:$A,0)),)</f>
        <v/>
      </c>
      <c r="O3879">
        <f>IFERROR(INDEX('Company Hitlist'!$N:$N,MATCH(D3879,'Company Hitlist'!$A:$A,0)),)</f>
        <v/>
      </c>
      <c r="Q3879" t="inlineStr">
        <is>
          <t>todo</t>
        </is>
      </c>
    </row>
    <row r="3880">
      <c r="A3880" t="inlineStr">
        <is>
          <t>Ryan Davis</t>
        </is>
      </c>
      <c r="B3880" t="inlineStr">
        <is>
          <t>Attendee</t>
        </is>
      </c>
      <c r="C3880" t="inlineStr">
        <is>
          <t>Sr Director</t>
        </is>
      </c>
      <c r="D3880" t="inlineStr">
        <is>
          <t>Living Spaces</t>
        </is>
      </c>
      <c r="F3880" t="inlineStr">
        <is>
          <t>Yes</t>
        </is>
      </c>
      <c r="H3880" t="n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>
        <f>IFERROR(INDEX('Company Hitlist'!$AA:$AA,MATCH(D3880,'Company Hitlist'!$A:$A,0)),)</f>
        <v/>
      </c>
      <c r="O3880">
        <f>IFERROR(INDEX('Company Hitlist'!$N:$N,MATCH(D3880,'Company Hitlist'!$A:$A,0)),)</f>
        <v/>
      </c>
      <c r="Q3880" t="inlineStr">
        <is>
          <t>todo</t>
        </is>
      </c>
    </row>
    <row r="3881">
      <c r="A3881" t="inlineStr">
        <is>
          <t>Patrick Riley</t>
        </is>
      </c>
      <c r="B3881" t="inlineStr">
        <is>
          <t>Attendee</t>
        </is>
      </c>
      <c r="C3881" t="inlineStr">
        <is>
          <t>Manager, e-Commerce Solutions</t>
        </is>
      </c>
      <c r="D3881" t="inlineStr">
        <is>
          <t>Livingston International</t>
        </is>
      </c>
      <c r="E3881" t="inlineStr">
        <is>
          <t>United States</t>
        </is>
      </c>
      <c r="H3881" t="n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>
        <f>IFERROR(INDEX('Company Hitlist'!$AA:$AA,MATCH(D3881,'Company Hitlist'!$A:$A,0)),)</f>
        <v/>
      </c>
      <c r="O3881">
        <f>IFERROR(INDEX('Company Hitlist'!$N:$N,MATCH(D3881,'Company Hitlist'!$A:$A,0)),)</f>
        <v/>
      </c>
      <c r="Q3881" t="inlineStr">
        <is>
          <t>todo</t>
        </is>
      </c>
    </row>
    <row r="3882">
      <c r="A3882" t="inlineStr">
        <is>
          <t>Hector Rodriguez</t>
        </is>
      </c>
      <c r="B3882" t="inlineStr">
        <is>
          <t>Attendee</t>
        </is>
      </c>
      <c r="C3882" t="inlineStr">
        <is>
          <t>Social Media Influencer</t>
        </is>
      </c>
      <c r="D3882" t="inlineStr">
        <is>
          <t>Load Partner</t>
        </is>
      </c>
      <c r="E3882" t="inlineStr">
        <is>
          <t>United States</t>
        </is>
      </c>
      <c r="F3882" t="inlineStr">
        <is>
          <t>Yes</t>
        </is>
      </c>
      <c r="H3882" t="n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>
        <f>IFERROR(INDEX('Company Hitlist'!$AA:$AA,MATCH(D3882,'Company Hitlist'!$A:$A,0)),)</f>
        <v/>
      </c>
      <c r="O3882">
        <f>IFERROR(INDEX('Company Hitlist'!$N:$N,MATCH(D3882,'Company Hitlist'!$A:$A,0)),)</f>
        <v/>
      </c>
      <c r="Q3882" t="inlineStr">
        <is>
          <t>todo</t>
        </is>
      </c>
    </row>
    <row r="3883">
      <c r="A3883" t="inlineStr">
        <is>
          <t>Rob Paterick</t>
        </is>
      </c>
      <c r="B3883" t="inlineStr">
        <is>
          <t>Attendee</t>
        </is>
      </c>
      <c r="C3883" t="inlineStr">
        <is>
          <t>North America Strategic Solutions Director</t>
        </is>
      </c>
      <c r="D3883" t="inlineStr">
        <is>
          <t>Loadar</t>
        </is>
      </c>
      <c r="E3883" t="inlineStr">
        <is>
          <t>United Kingdom</t>
        </is>
      </c>
      <c r="F3883" t="inlineStr">
        <is>
          <t>Yes</t>
        </is>
      </c>
      <c r="H3883" t="n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>
        <f>IFERROR(INDEX('Company Hitlist'!$AA:$AA,MATCH(D3883,'Company Hitlist'!$A:$A,0)),)</f>
        <v/>
      </c>
      <c r="O3883">
        <f>IFERROR(INDEX('Company Hitlist'!$N:$N,MATCH(D3883,'Company Hitlist'!$A:$A,0)),)</f>
        <v/>
      </c>
      <c r="Q3883" t="inlineStr">
        <is>
          <t>todo</t>
        </is>
      </c>
    </row>
    <row r="3884">
      <c r="A3884" t="inlineStr">
        <is>
          <t>Kait Peterson</t>
        </is>
      </c>
      <c r="B3884" t="inlineStr">
        <is>
          <t>Sponsor</t>
        </is>
      </c>
      <c r="C3884" t="inlineStr">
        <is>
          <t>VP and Head of Marketing</t>
        </is>
      </c>
      <c r="D3884" t="inlineStr">
        <is>
          <t>Locus Robotics</t>
        </is>
      </c>
      <c r="F3884" t="inlineStr">
        <is>
          <t>Yes</t>
        </is>
      </c>
      <c r="G3884" t="inlineStr">
        <is>
          <t>100000000</t>
        </is>
      </c>
      <c r="H3884" t="n">
        <v>0</v>
      </c>
      <c r="I3884" t="b">
        <v>0</v>
      </c>
      <c r="J3884" t="b">
        <v>1</v>
      </c>
      <c r="K3884" t="b">
        <v>0</v>
      </c>
      <c r="L3884" t="b">
        <v>0</v>
      </c>
      <c r="M3884" t="b">
        <v>1</v>
      </c>
      <c r="N3884">
        <f>IFERROR(INDEX('Company Hitlist'!$AA:$AA,MATCH(D3884,'Company Hitlist'!$A:$A,0)),)</f>
        <v/>
      </c>
      <c r="O3884">
        <f>IFERROR(INDEX('Company Hitlist'!$N:$N,MATCH(D3884,'Company Hitlist'!$A:$A,0)),)</f>
        <v/>
      </c>
      <c r="Q3884" t="inlineStr">
        <is>
          <t>todo</t>
        </is>
      </c>
    </row>
    <row r="3885">
      <c r="A3885" t="inlineStr">
        <is>
          <t>Steve Simmerman</t>
        </is>
      </c>
      <c r="B3885" t="inlineStr">
        <is>
          <t>Sponsor</t>
        </is>
      </c>
      <c r="C3885" t="inlineStr">
        <is>
          <t>VP, Channels &amp; Alliances</t>
        </is>
      </c>
      <c r="D3885" t="inlineStr">
        <is>
          <t>Locus Robotics</t>
        </is>
      </c>
      <c r="F3885" t="inlineStr">
        <is>
          <t>Yes</t>
        </is>
      </c>
      <c r="G3885" t="inlineStr">
        <is>
          <t>100000000</t>
        </is>
      </c>
      <c r="H3885" t="n">
        <v>0</v>
      </c>
      <c r="I3885" t="b">
        <v>0</v>
      </c>
      <c r="J3885" t="b">
        <v>1</v>
      </c>
      <c r="K3885" t="b">
        <v>0</v>
      </c>
      <c r="L3885" t="b">
        <v>0</v>
      </c>
      <c r="M3885" t="b">
        <v>1</v>
      </c>
      <c r="N3885">
        <f>IFERROR(INDEX('Company Hitlist'!$AA:$AA,MATCH(D3885,'Company Hitlist'!$A:$A,0)),)</f>
        <v/>
      </c>
      <c r="O3885">
        <f>IFERROR(INDEX('Company Hitlist'!$N:$N,MATCH(D3885,'Company Hitlist'!$A:$A,0)),)</f>
        <v/>
      </c>
      <c r="Q3885" t="inlineStr">
        <is>
          <t>todo</t>
        </is>
      </c>
    </row>
    <row r="3886">
      <c r="A3886" t="inlineStr">
        <is>
          <t>Sean Pineau</t>
        </is>
      </c>
      <c r="B3886" t="inlineStr">
        <is>
          <t>Sponsor</t>
        </is>
      </c>
      <c r="C3886" t="inlineStr">
        <is>
          <t>VP, Sales</t>
        </is>
      </c>
      <c r="D3886" t="inlineStr">
        <is>
          <t>Locus Robotics</t>
        </is>
      </c>
      <c r="E3886" t="inlineStr">
        <is>
          <t>United States</t>
        </is>
      </c>
      <c r="H3886" t="n">
        <v>0</v>
      </c>
      <c r="I3886" t="b">
        <v>0</v>
      </c>
      <c r="J3886" t="b">
        <v>1</v>
      </c>
      <c r="K3886" t="b">
        <v>0</v>
      </c>
      <c r="L3886" t="b">
        <v>0</v>
      </c>
      <c r="M3886" t="b">
        <v>1</v>
      </c>
      <c r="N3886">
        <f>IFERROR(INDEX('Company Hitlist'!$AA:$AA,MATCH(D3886,'Company Hitlist'!$A:$A,0)),)</f>
        <v/>
      </c>
      <c r="O3886">
        <f>IFERROR(INDEX('Company Hitlist'!$N:$N,MATCH(D3886,'Company Hitlist'!$A:$A,0)),)</f>
        <v/>
      </c>
      <c r="Q3886" t="inlineStr">
        <is>
          <t>todo</t>
        </is>
      </c>
    </row>
    <row r="3887">
      <c r="A3887" t="inlineStr">
        <is>
          <t>Kendra Jackson</t>
        </is>
      </c>
      <c r="B3887" t="inlineStr">
        <is>
          <t>Sponsor</t>
        </is>
      </c>
      <c r="C3887" t="inlineStr">
        <is>
          <t>Chief Revenue Officer</t>
        </is>
      </c>
      <c r="D3887" t="inlineStr">
        <is>
          <t>LogicPath Logistics, LLC</t>
        </is>
      </c>
      <c r="F3887" t="inlineStr">
        <is>
          <t>Yes</t>
        </is>
      </c>
      <c r="H3887" t="n">
        <v>0</v>
      </c>
      <c r="I3887" t="b">
        <v>0</v>
      </c>
      <c r="J3887" t="b">
        <v>1</v>
      </c>
      <c r="K3887" t="b">
        <v>0</v>
      </c>
      <c r="L3887" t="b">
        <v>0</v>
      </c>
      <c r="M3887" t="b">
        <v>1</v>
      </c>
      <c r="N3887">
        <f>IFERROR(INDEX('Company Hitlist'!$AA:$AA,MATCH(D3887,'Company Hitlist'!$A:$A,0)),)</f>
        <v/>
      </c>
      <c r="O3887">
        <f>IFERROR(INDEX('Company Hitlist'!$N:$N,MATCH(D3887,'Company Hitlist'!$A:$A,0)),)</f>
        <v/>
      </c>
      <c r="Q3887" t="inlineStr">
        <is>
          <t>todo</t>
        </is>
      </c>
    </row>
    <row r="3888">
      <c r="A3888" t="inlineStr">
        <is>
          <t>Marco Holdorf</t>
        </is>
      </c>
      <c r="B3888" t="inlineStr">
        <is>
          <t>Attendee</t>
        </is>
      </c>
      <c r="C3888" t="inlineStr">
        <is>
          <t>Manager Managed Service Oceania</t>
        </is>
      </c>
      <c r="D3888" t="inlineStr">
        <is>
          <t>Logineer</t>
        </is>
      </c>
      <c r="E3888" t="inlineStr">
        <is>
          <t>United States</t>
        </is>
      </c>
      <c r="H3888" t="n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>
        <f>IFERROR(INDEX('Company Hitlist'!$AA:$AA,MATCH(D3888,'Company Hitlist'!$A:$A,0)),)</f>
        <v/>
      </c>
      <c r="O3888">
        <f>IFERROR(INDEX('Company Hitlist'!$N:$N,MATCH(D3888,'Company Hitlist'!$A:$A,0)),)</f>
        <v/>
      </c>
      <c r="Q3888" t="inlineStr">
        <is>
          <t>todo</t>
        </is>
      </c>
    </row>
    <row r="3889">
      <c r="A3889" t="inlineStr">
        <is>
          <t>Rohit Poola</t>
        </is>
      </c>
      <c r="B3889" t="inlineStr">
        <is>
          <t>Attendee</t>
        </is>
      </c>
      <c r="C3889" t="inlineStr">
        <is>
          <t>Unilever Prestige</t>
        </is>
      </c>
      <c r="D3889" t="inlineStr">
        <is>
          <t>Logistics Director USA</t>
        </is>
      </c>
      <c r="E3889" t="inlineStr">
        <is>
          <t>United States</t>
        </is>
      </c>
      <c r="H3889" t="n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>
        <f>IFERROR(INDEX('Company Hitlist'!$AA:$AA,MATCH(D3889,'Company Hitlist'!$A:$A,0)),)</f>
        <v/>
      </c>
      <c r="O3889">
        <f>IFERROR(INDEX('Company Hitlist'!$N:$N,MATCH(D3889,'Company Hitlist'!$A:$A,0)),)</f>
        <v/>
      </c>
      <c r="Q3889" t="inlineStr">
        <is>
          <t>todo</t>
        </is>
      </c>
    </row>
    <row r="3890">
      <c r="A3890" t="inlineStr">
        <is>
          <t>Todd Kolber</t>
        </is>
      </c>
      <c r="B3890" t="inlineStr">
        <is>
          <t>Attendee</t>
        </is>
      </c>
      <c r="C3890" t="inlineStr">
        <is>
          <t>Partner</t>
        </is>
      </c>
      <c r="D3890" t="inlineStr">
        <is>
          <t>Logistics Reply US</t>
        </is>
      </c>
      <c r="E3890" t="inlineStr">
        <is>
          <t>United States</t>
        </is>
      </c>
      <c r="H3890" t="n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>
        <f>IFERROR(INDEX('Company Hitlist'!$AA:$AA,MATCH(D3890,'Company Hitlist'!$A:$A,0)),)</f>
        <v/>
      </c>
      <c r="O3890">
        <f>IFERROR(INDEX('Company Hitlist'!$N:$N,MATCH(D3890,'Company Hitlist'!$A:$A,0)),)</f>
        <v/>
      </c>
      <c r="Q3890" t="inlineStr">
        <is>
          <t>todo</t>
        </is>
      </c>
    </row>
    <row r="3891">
      <c r="A3891" t="inlineStr">
        <is>
          <t>Pat Kreiner</t>
        </is>
      </c>
      <c r="B3891" t="inlineStr">
        <is>
          <t>Attendee</t>
        </is>
      </c>
      <c r="C3891" t="inlineStr">
        <is>
          <t>Photo Journalist</t>
        </is>
      </c>
      <c r="D3891" t="inlineStr">
        <is>
          <t>Logistics Roundtable</t>
        </is>
      </c>
      <c r="H3891" t="n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>
        <f>IFERROR(INDEX('Company Hitlist'!$AA:$AA,MATCH(D3891,'Company Hitlist'!$A:$A,0)),)</f>
        <v/>
      </c>
      <c r="O3891">
        <f>IFERROR(INDEX('Company Hitlist'!$N:$N,MATCH(D3891,'Company Hitlist'!$A:$A,0)),)</f>
        <v/>
      </c>
      <c r="Q3891" t="inlineStr">
        <is>
          <t>todo</t>
        </is>
      </c>
    </row>
    <row r="3892">
      <c r="A3892" t="inlineStr">
        <is>
          <t>Cody Rothwell</t>
        </is>
      </c>
      <c r="B3892" t="inlineStr">
        <is>
          <t>Attendee</t>
        </is>
      </c>
      <c r="C3892" t="inlineStr">
        <is>
          <t>Buy-Side Director</t>
        </is>
      </c>
      <c r="D3892" t="inlineStr">
        <is>
          <t>Logisyn Advisors</t>
        </is>
      </c>
      <c r="E3892" t="inlineStr">
        <is>
          <t>United States</t>
        </is>
      </c>
      <c r="H3892" t="n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>
        <f>IFERROR(INDEX('Company Hitlist'!$AA:$AA,MATCH(D3892,'Company Hitlist'!$A:$A,0)),)</f>
        <v/>
      </c>
      <c r="O3892">
        <f>IFERROR(INDEX('Company Hitlist'!$N:$N,MATCH(D3892,'Company Hitlist'!$A:$A,0)),)</f>
        <v/>
      </c>
      <c r="Q3892" t="inlineStr">
        <is>
          <t>todo</t>
        </is>
      </c>
    </row>
    <row r="3893">
      <c r="A3893" t="inlineStr">
        <is>
          <t>Max Ibata-Arens</t>
        </is>
      </c>
      <c r="B3893" t="inlineStr">
        <is>
          <t>Attendee</t>
        </is>
      </c>
      <c r="C3893" t="inlineStr">
        <is>
          <t>Director: Technology Sector</t>
        </is>
      </c>
      <c r="D3893" t="inlineStr">
        <is>
          <t>Logisyn Advisors</t>
        </is>
      </c>
      <c r="E3893" t="inlineStr">
        <is>
          <t>United States</t>
        </is>
      </c>
      <c r="H3893" t="n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>
        <f>IFERROR(INDEX('Company Hitlist'!$AA:$AA,MATCH(D3893,'Company Hitlist'!$A:$A,0)),)</f>
        <v/>
      </c>
      <c r="O3893">
        <f>IFERROR(INDEX('Company Hitlist'!$N:$N,MATCH(D3893,'Company Hitlist'!$A:$A,0)),)</f>
        <v/>
      </c>
      <c r="Q3893" t="inlineStr">
        <is>
          <t>todo</t>
        </is>
      </c>
    </row>
    <row r="3894">
      <c r="A3894" t="inlineStr">
        <is>
          <t>Erik Fonseca</t>
        </is>
      </c>
      <c r="B3894" t="inlineStr">
        <is>
          <t>Attendee</t>
        </is>
      </c>
      <c r="C3894" t="inlineStr">
        <is>
          <t>CRO</t>
        </is>
      </c>
      <c r="D3894" t="inlineStr">
        <is>
          <t>Logiwa</t>
        </is>
      </c>
      <c r="E3894" t="inlineStr">
        <is>
          <t>Canada</t>
        </is>
      </c>
      <c r="F3894" t="inlineStr">
        <is>
          <t>Yes</t>
        </is>
      </c>
      <c r="G3894" t="inlineStr">
        <is>
          <t>$46.4 million (2025)</t>
        </is>
      </c>
      <c r="H3894" t="n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>
        <f>IFERROR(INDEX('Company Hitlist'!$AA:$AA,MATCH(D3894,'Company Hitlist'!$A:$A,0)),)</f>
        <v/>
      </c>
      <c r="O3894">
        <f>IFERROR(INDEX('Company Hitlist'!$N:$N,MATCH(D3894,'Company Hitlist'!$A:$A,0)),)</f>
        <v/>
      </c>
      <c r="Q3894" t="inlineStr">
        <is>
          <t>todo</t>
        </is>
      </c>
    </row>
    <row r="3895">
      <c r="A3895" t="inlineStr">
        <is>
          <t>Eric Byun</t>
        </is>
      </c>
      <c r="B3895" t="inlineStr">
        <is>
          <t>Attendee</t>
        </is>
      </c>
      <c r="C3895" t="inlineStr">
        <is>
          <t>Director of Solution Engineering</t>
        </is>
      </c>
      <c r="D3895" t="inlineStr">
        <is>
          <t>Logiwa</t>
        </is>
      </c>
      <c r="E3895" t="inlineStr">
        <is>
          <t>United States</t>
        </is>
      </c>
      <c r="F3895" t="inlineStr">
        <is>
          <t>Yes</t>
        </is>
      </c>
      <c r="G3895" t="inlineStr">
        <is>
          <t>$46.4 million (2025)</t>
        </is>
      </c>
      <c r="H3895" t="n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>
        <f>IFERROR(INDEX('Company Hitlist'!$AA:$AA,MATCH(D3895,'Company Hitlist'!$A:$A,0)),)</f>
        <v/>
      </c>
      <c r="O3895">
        <f>IFERROR(INDEX('Company Hitlist'!$N:$N,MATCH(D3895,'Company Hitlist'!$A:$A,0)),)</f>
        <v/>
      </c>
      <c r="Q3895" t="inlineStr">
        <is>
          <t>todo</t>
        </is>
      </c>
    </row>
    <row r="3896">
      <c r="A3896" t="inlineStr">
        <is>
          <t>Dan Salazar</t>
        </is>
      </c>
      <c r="B3896" t="inlineStr">
        <is>
          <t>Sponsor</t>
        </is>
      </c>
      <c r="C3896" t="inlineStr">
        <is>
          <t>SVP of Sales and Partnerships</t>
        </is>
      </c>
      <c r="D3896" t="inlineStr">
        <is>
          <t>Logiwa</t>
        </is>
      </c>
      <c r="E3896" t="inlineStr">
        <is>
          <t>United States</t>
        </is>
      </c>
      <c r="H3896" t="n">
        <v>0</v>
      </c>
      <c r="I3896" t="b">
        <v>0</v>
      </c>
      <c r="J3896" t="b">
        <v>1</v>
      </c>
      <c r="K3896" t="b">
        <v>0</v>
      </c>
      <c r="L3896" t="b">
        <v>0</v>
      </c>
      <c r="M3896" t="b">
        <v>1</v>
      </c>
      <c r="N3896">
        <f>IFERROR(INDEX('Company Hitlist'!$AA:$AA,MATCH(D3896,'Company Hitlist'!$A:$A,0)),)</f>
        <v/>
      </c>
      <c r="O3896">
        <f>IFERROR(INDEX('Company Hitlist'!$N:$N,MATCH(D3896,'Company Hitlist'!$A:$A,0)),)</f>
        <v/>
      </c>
      <c r="Q3896" t="inlineStr">
        <is>
          <t>todo</t>
        </is>
      </c>
    </row>
    <row r="3897">
      <c r="A3897" t="inlineStr">
        <is>
          <t>Matt Bressler</t>
        </is>
      </c>
      <c r="B3897" t="inlineStr">
        <is>
          <t>Attendee</t>
        </is>
      </c>
      <c r="C3897" t="inlineStr">
        <is>
          <t>General Partner</t>
        </is>
      </c>
      <c r="D3897" t="inlineStr">
        <is>
          <t>Lookout Ventures</t>
        </is>
      </c>
      <c r="E3897" t="inlineStr">
        <is>
          <t>United States</t>
        </is>
      </c>
      <c r="H3897" t="n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>
        <f>IFERROR(INDEX('Company Hitlist'!$AA:$AA,MATCH(D3897,'Company Hitlist'!$A:$A,0)),)</f>
        <v/>
      </c>
      <c r="O3897">
        <f>IFERROR(INDEX('Company Hitlist'!$N:$N,MATCH(D3897,'Company Hitlist'!$A:$A,0)),)</f>
        <v/>
      </c>
      <c r="Q3897" t="inlineStr">
        <is>
          <t>todo</t>
        </is>
      </c>
    </row>
    <row r="3898">
      <c r="A3898" t="inlineStr">
        <is>
          <t>Marco De Paulis</t>
        </is>
      </c>
      <c r="B3898" t="inlineStr">
        <is>
          <t>Attendee</t>
        </is>
      </c>
      <c r="C3898" t="inlineStr">
        <is>
          <t>Partnerships</t>
        </is>
      </c>
      <c r="D3898" t="inlineStr">
        <is>
          <t>Loop</t>
        </is>
      </c>
      <c r="E3898" t="inlineStr">
        <is>
          <t>United States</t>
        </is>
      </c>
      <c r="F3898" t="inlineStr">
        <is>
          <t>Yes</t>
        </is>
      </c>
      <c r="H3898" t="n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>
        <f>IFERROR(INDEX('Company Hitlist'!$AA:$AA,MATCH(D3898,'Company Hitlist'!$A:$A,0)),)</f>
        <v/>
      </c>
      <c r="O3898">
        <f>IFERROR(INDEX('Company Hitlist'!$N:$N,MATCH(D3898,'Company Hitlist'!$A:$A,0)),)</f>
        <v/>
      </c>
      <c r="Q3898" t="inlineStr">
        <is>
          <t>todo</t>
        </is>
      </c>
    </row>
    <row r="3899">
      <c r="A3899" t="inlineStr">
        <is>
          <t>Nathan Lesperance</t>
        </is>
      </c>
      <c r="B3899" t="inlineStr">
        <is>
          <t>Attendee</t>
        </is>
      </c>
      <c r="C3899" t="inlineStr">
        <is>
          <t>Partnerships</t>
        </is>
      </c>
      <c r="D3899" t="inlineStr">
        <is>
          <t>Loop</t>
        </is>
      </c>
      <c r="E3899" t="inlineStr">
        <is>
          <t>United States</t>
        </is>
      </c>
      <c r="F3899" t="inlineStr">
        <is>
          <t>Yes</t>
        </is>
      </c>
      <c r="H3899" t="n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>
        <f>IFERROR(INDEX('Company Hitlist'!$AA:$AA,MATCH(D3899,'Company Hitlist'!$A:$A,0)),)</f>
        <v/>
      </c>
      <c r="O3899">
        <f>IFERROR(INDEX('Company Hitlist'!$N:$N,MATCH(D3899,'Company Hitlist'!$A:$A,0)),)</f>
        <v/>
      </c>
      <c r="Q3899" t="inlineStr">
        <is>
          <t>todo</t>
        </is>
      </c>
    </row>
    <row r="3900">
      <c r="A3900" t="inlineStr">
        <is>
          <t>Susanna Tuan</t>
        </is>
      </c>
      <c r="B3900" t="inlineStr">
        <is>
          <t>Attendee</t>
        </is>
      </c>
      <c r="C3900" t="inlineStr">
        <is>
          <t>Partnerships</t>
        </is>
      </c>
      <c r="D3900" t="inlineStr">
        <is>
          <t>Loop</t>
        </is>
      </c>
      <c r="E3900" t="inlineStr">
        <is>
          <t>United States</t>
        </is>
      </c>
      <c r="F3900" t="inlineStr">
        <is>
          <t>Yes</t>
        </is>
      </c>
      <c r="H3900" t="n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>
        <f>IFERROR(INDEX('Company Hitlist'!$AA:$AA,MATCH(D3900,'Company Hitlist'!$A:$A,0)),)</f>
        <v/>
      </c>
      <c r="O3900">
        <f>IFERROR(INDEX('Company Hitlist'!$N:$N,MATCH(D3900,'Company Hitlist'!$A:$A,0)),)</f>
        <v/>
      </c>
      <c r="Q3900" t="inlineStr">
        <is>
          <t>todo</t>
        </is>
      </c>
    </row>
    <row r="3901">
      <c r="A3901" t="inlineStr">
        <is>
          <t>Michael Haag</t>
        </is>
      </c>
      <c r="B3901" t="inlineStr">
        <is>
          <t>Sponsor</t>
        </is>
      </c>
      <c r="C3901" t="inlineStr">
        <is>
          <t>Head of Product Marketing</t>
        </is>
      </c>
      <c r="D3901" t="inlineStr">
        <is>
          <t>Loop</t>
        </is>
      </c>
      <c r="E3901" t="inlineStr">
        <is>
          <t>United States</t>
        </is>
      </c>
      <c r="F3901" t="inlineStr">
        <is>
          <t>Yes</t>
        </is>
      </c>
      <c r="H3901" t="n">
        <v>0</v>
      </c>
      <c r="I3901" t="b">
        <v>0</v>
      </c>
      <c r="J3901" t="b">
        <v>1</v>
      </c>
      <c r="K3901" t="b">
        <v>0</v>
      </c>
      <c r="L3901" t="b">
        <v>0</v>
      </c>
      <c r="M3901" t="b">
        <v>1</v>
      </c>
      <c r="N3901">
        <f>IFERROR(INDEX('Company Hitlist'!$AA:$AA,MATCH(D3901,'Company Hitlist'!$A:$A,0)),)</f>
        <v/>
      </c>
      <c r="O3901">
        <f>IFERROR(INDEX('Company Hitlist'!$N:$N,MATCH(D3901,'Company Hitlist'!$A:$A,0)),)</f>
        <v/>
      </c>
      <c r="Q3901" t="inlineStr">
        <is>
          <t>todo</t>
        </is>
      </c>
    </row>
    <row r="3902">
      <c r="A3902" t="inlineStr">
        <is>
          <t>Robyn Winner</t>
        </is>
      </c>
      <c r="B3902" t="inlineStr">
        <is>
          <t>Sponsor</t>
        </is>
      </c>
      <c r="C3902" t="inlineStr">
        <is>
          <t>Head of Marketing</t>
        </is>
      </c>
      <c r="D3902" t="inlineStr">
        <is>
          <t>Loop</t>
        </is>
      </c>
      <c r="E3902" t="inlineStr">
        <is>
          <t>United States</t>
        </is>
      </c>
      <c r="F3902" t="inlineStr">
        <is>
          <t>Yes</t>
        </is>
      </c>
      <c r="H3902" t="n">
        <v>0</v>
      </c>
      <c r="I3902" t="b">
        <v>0</v>
      </c>
      <c r="J3902" t="b">
        <v>1</v>
      </c>
      <c r="K3902" t="b">
        <v>0</v>
      </c>
      <c r="L3902" t="b">
        <v>0</v>
      </c>
      <c r="M3902" t="b">
        <v>1</v>
      </c>
      <c r="N3902">
        <f>IFERROR(INDEX('Company Hitlist'!$AA:$AA,MATCH(D3902,'Company Hitlist'!$A:$A,0)),)</f>
        <v/>
      </c>
      <c r="O3902">
        <f>IFERROR(INDEX('Company Hitlist'!$N:$N,MATCH(D3902,'Company Hitlist'!$A:$A,0)),)</f>
        <v/>
      </c>
      <c r="Q3902" t="inlineStr">
        <is>
          <t>todo</t>
        </is>
      </c>
    </row>
    <row r="3903">
      <c r="A3903" t="inlineStr">
        <is>
          <t>Jeremy Cox</t>
        </is>
      </c>
      <c r="B3903" t="inlineStr">
        <is>
          <t>Attendee</t>
        </is>
      </c>
      <c r="C3903" t="inlineStr">
        <is>
          <t>Sr. Manager, Truckload &amp; International</t>
        </is>
      </c>
      <c r="D3903" t="inlineStr">
        <is>
          <t>Louisiana-Pacific</t>
        </is>
      </c>
      <c r="H3903" t="n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>
        <f>IFERROR(INDEX('Company Hitlist'!$AA:$AA,MATCH(D3903,'Company Hitlist'!$A:$A,0)),)</f>
        <v/>
      </c>
      <c r="O3903">
        <f>IFERROR(INDEX('Company Hitlist'!$N:$N,MATCH(D3903,'Company Hitlist'!$A:$A,0)),)</f>
        <v/>
      </c>
      <c r="Q3903" t="inlineStr">
        <is>
          <t>todo</t>
        </is>
      </c>
    </row>
    <row r="3904">
      <c r="A3904" t="inlineStr">
        <is>
          <t>Tiffany Love</t>
        </is>
      </c>
      <c r="B3904" t="inlineStr">
        <is>
          <t>Attendee</t>
        </is>
      </c>
      <c r="C3904" t="inlineStr">
        <is>
          <t>Owner</t>
        </is>
      </c>
      <c r="D3904" t="inlineStr">
        <is>
          <t>LoveTrine</t>
        </is>
      </c>
      <c r="F3904" t="inlineStr">
        <is>
          <t>Yes</t>
        </is>
      </c>
      <c r="H3904" t="n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>
        <f>IFERROR(INDEX('Company Hitlist'!$AA:$AA,MATCH(D3904,'Company Hitlist'!$A:$A,0)),)</f>
        <v/>
      </c>
      <c r="O3904">
        <f>IFERROR(INDEX('Company Hitlist'!$N:$N,MATCH(D3904,'Company Hitlist'!$A:$A,0)),)</f>
        <v/>
      </c>
      <c r="Q3904" t="inlineStr">
        <is>
          <t>todo</t>
        </is>
      </c>
    </row>
    <row r="3905">
      <c r="A3905" t="inlineStr">
        <is>
          <t>April Peacock</t>
        </is>
      </c>
      <c r="B3905" t="inlineStr">
        <is>
          <t>Attendee</t>
        </is>
      </c>
      <c r="C3905" t="inlineStr">
        <is>
          <t>Account Manager</t>
        </is>
      </c>
      <c r="D3905" t="inlineStr">
        <is>
          <t>Luxor Staffing</t>
        </is>
      </c>
      <c r="E3905" t="inlineStr">
        <is>
          <t>United States</t>
        </is>
      </c>
      <c r="H3905" t="n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>
        <f>IFERROR(INDEX('Company Hitlist'!$AA:$AA,MATCH(D3905,'Company Hitlist'!$A:$A,0)),)</f>
        <v/>
      </c>
      <c r="O3905">
        <f>IFERROR(INDEX('Company Hitlist'!$N:$N,MATCH(D3905,'Company Hitlist'!$A:$A,0)),)</f>
        <v/>
      </c>
      <c r="Q3905" t="inlineStr">
        <is>
          <t>todo</t>
        </is>
      </c>
    </row>
    <row r="3906">
      <c r="A3906" t="inlineStr">
        <is>
          <t>Denise Witt</t>
        </is>
      </c>
      <c r="B3906" t="inlineStr">
        <is>
          <t>Attendee</t>
        </is>
      </c>
      <c r="C3906" t="inlineStr">
        <is>
          <t>Account Manager</t>
        </is>
      </c>
      <c r="D3906" t="inlineStr">
        <is>
          <t>Luxor Staffing</t>
        </is>
      </c>
      <c r="E3906" t="inlineStr">
        <is>
          <t>United States</t>
        </is>
      </c>
      <c r="H3906" t="n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>
        <f>IFERROR(INDEX('Company Hitlist'!$AA:$AA,MATCH(D3906,'Company Hitlist'!$A:$A,0)),)</f>
        <v/>
      </c>
      <c r="O3906">
        <f>IFERROR(INDEX('Company Hitlist'!$N:$N,MATCH(D3906,'Company Hitlist'!$A:$A,0)),)</f>
        <v/>
      </c>
      <c r="Q3906" t="inlineStr">
        <is>
          <t>todo</t>
        </is>
      </c>
    </row>
    <row r="3907">
      <c r="A3907" t="inlineStr">
        <is>
          <t>Jacob Caughell</t>
        </is>
      </c>
      <c r="B3907" t="inlineStr">
        <is>
          <t>Attendee</t>
        </is>
      </c>
      <c r="C3907" t="inlineStr">
        <is>
          <t>Account Manager</t>
        </is>
      </c>
      <c r="D3907" t="inlineStr">
        <is>
          <t>Luxor Staffing</t>
        </is>
      </c>
      <c r="E3907" t="inlineStr">
        <is>
          <t>United States</t>
        </is>
      </c>
      <c r="H3907" t="n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>
        <f>IFERROR(INDEX('Company Hitlist'!$AA:$AA,MATCH(D3907,'Company Hitlist'!$A:$A,0)),)</f>
        <v/>
      </c>
      <c r="O3907">
        <f>IFERROR(INDEX('Company Hitlist'!$N:$N,MATCH(D3907,'Company Hitlist'!$A:$A,0)),)</f>
        <v/>
      </c>
      <c r="Q3907" t="inlineStr">
        <is>
          <t>todo</t>
        </is>
      </c>
    </row>
    <row r="3908">
      <c r="A3908" t="inlineStr">
        <is>
          <t>Tiffany Martinez</t>
        </is>
      </c>
      <c r="B3908" t="inlineStr">
        <is>
          <t>Attendee</t>
        </is>
      </c>
      <c r="C3908" t="inlineStr">
        <is>
          <t>Account Manager</t>
        </is>
      </c>
      <c r="D3908" t="inlineStr">
        <is>
          <t>Luxor Staffing</t>
        </is>
      </c>
      <c r="E3908" t="inlineStr">
        <is>
          <t>United States</t>
        </is>
      </c>
      <c r="H3908" t="n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>
        <f>IFERROR(INDEX('Company Hitlist'!$AA:$AA,MATCH(D3908,'Company Hitlist'!$A:$A,0)),)</f>
        <v/>
      </c>
      <c r="O3908">
        <f>IFERROR(INDEX('Company Hitlist'!$N:$N,MATCH(D3908,'Company Hitlist'!$A:$A,0)),)</f>
        <v/>
      </c>
      <c r="Q3908" t="inlineStr">
        <is>
          <t>todo</t>
        </is>
      </c>
    </row>
    <row r="3909">
      <c r="A3909" t="inlineStr">
        <is>
          <t>Jordan Bourkab</t>
        </is>
      </c>
      <c r="B3909" t="inlineStr">
        <is>
          <t>Attendee</t>
        </is>
      </c>
      <c r="C3909" t="inlineStr">
        <is>
          <t>Associate</t>
        </is>
      </c>
      <c r="D3909" t="inlineStr">
        <is>
          <t>Luzern Risk</t>
        </is>
      </c>
      <c r="E3909" t="inlineStr">
        <is>
          <t>United States</t>
        </is>
      </c>
      <c r="H3909" t="n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>
        <f>IFERROR(INDEX('Company Hitlist'!$AA:$AA,MATCH(D3909,'Company Hitlist'!$A:$A,0)),)</f>
        <v/>
      </c>
      <c r="O3909">
        <f>IFERROR(INDEX('Company Hitlist'!$N:$N,MATCH(D3909,'Company Hitlist'!$A:$A,0)),)</f>
        <v/>
      </c>
      <c r="Q3909" t="inlineStr">
        <is>
          <t>todo</t>
        </is>
      </c>
    </row>
    <row r="3910">
      <c r="A3910" t="inlineStr">
        <is>
          <t>Angela Miale</t>
        </is>
      </c>
      <c r="B3910" t="inlineStr">
        <is>
          <t>Attendee</t>
        </is>
      </c>
      <c r="C3910" t="inlineStr">
        <is>
          <t>Parcel Specialist</t>
        </is>
      </c>
      <c r="D3910" t="inlineStr">
        <is>
          <t>MAERSK OCEAN AND LOGISTICS</t>
        </is>
      </c>
      <c r="E3910" t="inlineStr">
        <is>
          <t>United States</t>
        </is>
      </c>
      <c r="F3910" t="inlineStr">
        <is>
          <t>Yes</t>
        </is>
      </c>
      <c r="H3910" t="n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>
        <f>IFERROR(INDEX('Company Hitlist'!$AA:$AA,MATCH(D3910,'Company Hitlist'!$A:$A,0)),)</f>
        <v/>
      </c>
      <c r="O3910">
        <f>IFERROR(INDEX('Company Hitlist'!$N:$N,MATCH(D3910,'Company Hitlist'!$A:$A,0)),)</f>
        <v/>
      </c>
      <c r="Q3910" t="inlineStr">
        <is>
          <t>todo</t>
        </is>
      </c>
    </row>
    <row r="3911">
      <c r="A3911" t="inlineStr">
        <is>
          <t>Daniel McKinnon</t>
        </is>
      </c>
      <c r="B3911" t="inlineStr">
        <is>
          <t>Attendee</t>
        </is>
      </c>
      <c r="C3911" t="inlineStr">
        <is>
          <t>CxO</t>
        </is>
      </c>
      <c r="D3911" t="inlineStr">
        <is>
          <t>MHI</t>
        </is>
      </c>
      <c r="E3911" t="inlineStr">
        <is>
          <t>United States</t>
        </is>
      </c>
      <c r="H3911" t="n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>
        <f>IFERROR(INDEX('Company Hitlist'!$AA:$AA,MATCH(D3911,'Company Hitlist'!$A:$A,0)),)</f>
        <v/>
      </c>
      <c r="O3911">
        <f>IFERROR(INDEX('Company Hitlist'!$N:$N,MATCH(D3911,'Company Hitlist'!$A:$A,0)),)</f>
        <v/>
      </c>
      <c r="Q3911" t="inlineStr">
        <is>
          <t>todo</t>
        </is>
      </c>
    </row>
    <row r="3912">
      <c r="A3912" t="inlineStr">
        <is>
          <t>Lauren Brummett</t>
        </is>
      </c>
      <c r="B3912" t="inlineStr">
        <is>
          <t>Sponsor</t>
        </is>
      </c>
      <c r="C3912" t="inlineStr">
        <is>
          <t>VP, Sales</t>
        </is>
      </c>
      <c r="D3912" t="inlineStr">
        <is>
          <t>MODE Global</t>
        </is>
      </c>
      <c r="E3912" t="inlineStr">
        <is>
          <t>United States</t>
        </is>
      </c>
      <c r="H3912" t="n">
        <v>0</v>
      </c>
      <c r="I3912" t="b">
        <v>0</v>
      </c>
      <c r="J3912" t="b">
        <v>1</v>
      </c>
      <c r="K3912" t="b">
        <v>0</v>
      </c>
      <c r="L3912" t="b">
        <v>0</v>
      </c>
      <c r="M3912" t="b">
        <v>1</v>
      </c>
      <c r="N3912">
        <f>IFERROR(INDEX('Company Hitlist'!$AA:$AA,MATCH(D3912,'Company Hitlist'!$A:$A,0)),)</f>
        <v/>
      </c>
      <c r="O3912">
        <f>IFERROR(INDEX('Company Hitlist'!$N:$N,MATCH(D3912,'Company Hitlist'!$A:$A,0)),)</f>
        <v/>
      </c>
      <c r="Q3912" t="inlineStr">
        <is>
          <t>todo</t>
        </is>
      </c>
    </row>
    <row r="3913">
      <c r="A3913" t="inlineStr">
        <is>
          <t>Greg Ager</t>
        </is>
      </c>
      <c r="B3913" t="inlineStr">
        <is>
          <t>Attendee</t>
        </is>
      </c>
      <c r="C3913" t="inlineStr">
        <is>
          <t>Managing Director</t>
        </is>
      </c>
      <c r="D3913" t="inlineStr">
        <is>
          <t>Macquarie Capital</t>
        </is>
      </c>
      <c r="E3913" t="inlineStr">
        <is>
          <t>United States</t>
        </is>
      </c>
      <c r="H3913" t="n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>
        <f>IFERROR(INDEX('Company Hitlist'!$AA:$AA,MATCH(D3913,'Company Hitlist'!$A:$A,0)),)</f>
        <v/>
      </c>
      <c r="O3913">
        <f>IFERROR(INDEX('Company Hitlist'!$N:$N,MATCH(D3913,'Company Hitlist'!$A:$A,0)),)</f>
        <v/>
      </c>
      <c r="Q3913" t="inlineStr">
        <is>
          <t>todo</t>
        </is>
      </c>
    </row>
    <row r="3914">
      <c r="A3914" t="inlineStr">
        <is>
          <t>Ari Chiszes</t>
        </is>
      </c>
      <c r="B3914" t="inlineStr">
        <is>
          <t>Attendee</t>
        </is>
      </c>
      <c r="C3914" t="inlineStr">
        <is>
          <t>Senior Director of E-Commerce and Omni-channel</t>
        </is>
      </c>
      <c r="D3914" t="inlineStr">
        <is>
          <t>Made Hoops</t>
        </is>
      </c>
      <c r="F3914" t="inlineStr">
        <is>
          <t>Yes</t>
        </is>
      </c>
      <c r="H3914" t="n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>
        <f>IFERROR(INDEX('Company Hitlist'!$AA:$AA,MATCH(D3914,'Company Hitlist'!$A:$A,0)),)</f>
        <v/>
      </c>
      <c r="O3914">
        <f>IFERROR(INDEX('Company Hitlist'!$N:$N,MATCH(D3914,'Company Hitlist'!$A:$A,0)),)</f>
        <v/>
      </c>
      <c r="Q3914" t="inlineStr">
        <is>
          <t>todo</t>
        </is>
      </c>
    </row>
    <row r="3915">
      <c r="A3915" t="inlineStr">
        <is>
          <t>Renee Truttmann</t>
        </is>
      </c>
      <c r="B3915" t="inlineStr">
        <is>
          <t>Sponsor</t>
        </is>
      </c>
      <c r="C3915" t="inlineStr">
        <is>
          <t>Chief Marketing Officer</t>
        </is>
      </c>
      <c r="D3915" t="inlineStr">
        <is>
          <t>Made4net</t>
        </is>
      </c>
      <c r="E3915" t="inlineStr">
        <is>
          <t>United States</t>
        </is>
      </c>
      <c r="F3915" t="inlineStr">
        <is>
          <t>Yes</t>
        </is>
      </c>
      <c r="G3915" t="inlineStr">
        <is>
          <t>$31.9 million (2025)</t>
        </is>
      </c>
      <c r="H3915" t="n">
        <v>0</v>
      </c>
      <c r="I3915" t="b">
        <v>0</v>
      </c>
      <c r="J3915" t="b">
        <v>1</v>
      </c>
      <c r="K3915" t="b">
        <v>0</v>
      </c>
      <c r="L3915" t="b">
        <v>0</v>
      </c>
      <c r="M3915" t="b">
        <v>1</v>
      </c>
      <c r="N3915">
        <f>IFERROR(INDEX('Company Hitlist'!$AA:$AA,MATCH(D3915,'Company Hitlist'!$A:$A,0)),)</f>
        <v/>
      </c>
      <c r="O3915">
        <f>IFERROR(INDEX('Company Hitlist'!$N:$N,MATCH(D3915,'Company Hitlist'!$A:$A,0)),)</f>
        <v/>
      </c>
      <c r="Q3915" t="inlineStr">
        <is>
          <t>todo</t>
        </is>
      </c>
    </row>
    <row r="3916">
      <c r="A3916" t="inlineStr">
        <is>
          <t>Amit Levy</t>
        </is>
      </c>
      <c r="B3916" t="inlineStr">
        <is>
          <t>Sponsor</t>
        </is>
      </c>
      <c r="C3916" t="inlineStr">
        <is>
          <t>EVP of Sales and Strategy</t>
        </is>
      </c>
      <c r="D3916" t="inlineStr">
        <is>
          <t>Made4net</t>
        </is>
      </c>
      <c r="H3916" t="n">
        <v>0</v>
      </c>
      <c r="I3916" t="b">
        <v>0</v>
      </c>
      <c r="J3916" t="b">
        <v>1</v>
      </c>
      <c r="K3916" t="b">
        <v>0</v>
      </c>
      <c r="L3916" t="b">
        <v>0</v>
      </c>
      <c r="M3916" t="b">
        <v>1</v>
      </c>
      <c r="N3916">
        <f>IFERROR(INDEX('Company Hitlist'!$AA:$AA,MATCH(D3916,'Company Hitlist'!$A:$A,0)),)</f>
        <v/>
      </c>
      <c r="O3916">
        <f>IFERROR(INDEX('Company Hitlist'!$N:$N,MATCH(D3916,'Company Hitlist'!$A:$A,0)),)</f>
        <v/>
      </c>
      <c r="Q3916" t="inlineStr">
        <is>
          <t>todo</t>
        </is>
      </c>
    </row>
    <row r="3917">
      <c r="A3917" t="inlineStr">
        <is>
          <t>Ankush Khandelwal</t>
        </is>
      </c>
      <c r="B3917" t="inlineStr">
        <is>
          <t>Attendee</t>
        </is>
      </c>
      <c r="C3917" t="inlineStr">
        <is>
          <t>Senior Manager, Maersk Ecommerce</t>
        </is>
      </c>
      <c r="D3917" t="inlineStr">
        <is>
          <t>Maersk</t>
        </is>
      </c>
      <c r="E3917" t="inlineStr">
        <is>
          <t>United States</t>
        </is>
      </c>
      <c r="H3917" t="n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>
        <f>IFERROR(INDEX('Company Hitlist'!$AA:$AA,MATCH(D3917,'Company Hitlist'!$A:$A,0)),)</f>
        <v/>
      </c>
      <c r="O3917">
        <f>IFERROR(INDEX('Company Hitlist'!$N:$N,MATCH(D3917,'Company Hitlist'!$A:$A,0)),)</f>
        <v/>
      </c>
      <c r="Q3917" t="inlineStr">
        <is>
          <t>todo</t>
        </is>
      </c>
    </row>
    <row r="3918">
      <c r="A3918" t="inlineStr">
        <is>
          <t>Luigi Bruni</t>
        </is>
      </c>
      <c r="B3918" t="inlineStr">
        <is>
          <t>Attendee</t>
        </is>
      </c>
      <c r="C3918" t="inlineStr">
        <is>
          <t>Commercial Business Manager</t>
        </is>
      </c>
      <c r="D3918" t="inlineStr">
        <is>
          <t>Maersk</t>
        </is>
      </c>
      <c r="E3918" t="inlineStr">
        <is>
          <t>United States</t>
        </is>
      </c>
      <c r="H3918" t="n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>
        <f>IFERROR(INDEX('Company Hitlist'!$AA:$AA,MATCH(D3918,'Company Hitlist'!$A:$A,0)),)</f>
        <v/>
      </c>
      <c r="O3918">
        <f>IFERROR(INDEX('Company Hitlist'!$N:$N,MATCH(D3918,'Company Hitlist'!$A:$A,0)),)</f>
        <v/>
      </c>
      <c r="Q3918" t="inlineStr">
        <is>
          <t>todo</t>
        </is>
      </c>
    </row>
    <row r="3919">
      <c r="A3919" t="inlineStr">
        <is>
          <t>Mario Giannobile</t>
        </is>
      </c>
      <c r="B3919" t="inlineStr">
        <is>
          <t>Sponsor</t>
        </is>
      </c>
      <c r="C3919" t="inlineStr">
        <is>
          <t>Head of Key Clients • Region Sales and Marketing - NAM</t>
        </is>
      </c>
      <c r="D3919" t="inlineStr">
        <is>
          <t>Maersk E-Commerce</t>
        </is>
      </c>
      <c r="F3919" t="inlineStr">
        <is>
          <t>Yes</t>
        </is>
      </c>
      <c r="H3919" t="n">
        <v>0</v>
      </c>
      <c r="I3919" t="b">
        <v>0</v>
      </c>
      <c r="J3919" t="b">
        <v>1</v>
      </c>
      <c r="K3919" t="b">
        <v>0</v>
      </c>
      <c r="L3919" t="b">
        <v>0</v>
      </c>
      <c r="M3919" t="b">
        <v>1</v>
      </c>
      <c r="N3919">
        <f>IFERROR(INDEX('Company Hitlist'!$AA:$AA,MATCH(D3919,'Company Hitlist'!$A:$A,0)),)</f>
        <v/>
      </c>
      <c r="O3919">
        <f>IFERROR(INDEX('Company Hitlist'!$N:$N,MATCH(D3919,'Company Hitlist'!$A:$A,0)),)</f>
        <v/>
      </c>
      <c r="Q3919" t="inlineStr">
        <is>
          <t>todo</t>
        </is>
      </c>
    </row>
    <row r="3920">
      <c r="A3920" t="inlineStr">
        <is>
          <t>Pieter Strijland</t>
        </is>
      </c>
      <c r="B3920" t="inlineStr">
        <is>
          <t>Sponsor</t>
        </is>
      </c>
      <c r="C3920" t="inlineStr">
        <is>
          <t>Head of Strategic Growth Accounts • Region Sales and Marketing - NAM</t>
        </is>
      </c>
      <c r="D3920" t="inlineStr">
        <is>
          <t>Maersk E-Commerce</t>
        </is>
      </c>
      <c r="E3920" t="inlineStr">
        <is>
          <t>United States</t>
        </is>
      </c>
      <c r="H3920" t="n">
        <v>0</v>
      </c>
      <c r="I3920" t="b">
        <v>0</v>
      </c>
      <c r="J3920" t="b">
        <v>1</v>
      </c>
      <c r="K3920" t="b">
        <v>0</v>
      </c>
      <c r="L3920" t="b">
        <v>0</v>
      </c>
      <c r="M3920" t="b">
        <v>1</v>
      </c>
      <c r="N3920">
        <f>IFERROR(INDEX('Company Hitlist'!$AA:$AA,MATCH(D3920,'Company Hitlist'!$A:$A,0)),)</f>
        <v/>
      </c>
      <c r="O3920">
        <f>IFERROR(INDEX('Company Hitlist'!$N:$N,MATCH(D3920,'Company Hitlist'!$A:$A,0)),)</f>
        <v/>
      </c>
      <c r="Q3920" t="inlineStr">
        <is>
          <t>todo</t>
        </is>
      </c>
    </row>
    <row r="3921">
      <c r="A3921" t="inlineStr">
        <is>
          <t>Pulak Joshi</t>
        </is>
      </c>
      <c r="B3921" t="inlineStr">
        <is>
          <t>Sponsor</t>
        </is>
      </c>
      <c r="C3921" t="inlineStr">
        <is>
          <t>Head of Ground Freight Sales- North America</t>
        </is>
      </c>
      <c r="D3921" t="inlineStr">
        <is>
          <t>Maersk E-Commerce</t>
        </is>
      </c>
      <c r="H3921" t="n">
        <v>0</v>
      </c>
      <c r="I3921" t="b">
        <v>0</v>
      </c>
      <c r="J3921" t="b">
        <v>1</v>
      </c>
      <c r="K3921" t="b">
        <v>0</v>
      </c>
      <c r="L3921" t="b">
        <v>0</v>
      </c>
      <c r="M3921" t="b">
        <v>1</v>
      </c>
      <c r="N3921">
        <f>IFERROR(INDEX('Company Hitlist'!$AA:$AA,MATCH(D3921,'Company Hitlist'!$A:$A,0)),)</f>
        <v/>
      </c>
      <c r="O3921">
        <f>IFERROR(INDEX('Company Hitlist'!$N:$N,MATCH(D3921,'Company Hitlist'!$A:$A,0)),)</f>
        <v/>
      </c>
      <c r="Q3921" t="inlineStr">
        <is>
          <t>todo</t>
        </is>
      </c>
    </row>
    <row r="3922">
      <c r="A3922" t="inlineStr">
        <is>
          <t>Kristjan Lillemets</t>
        </is>
      </c>
      <c r="B3922" t="inlineStr">
        <is>
          <t>Attendee</t>
        </is>
      </c>
      <c r="C3922" t="inlineStr">
        <is>
          <t>CPO</t>
        </is>
      </c>
      <c r="D3922" t="inlineStr">
        <is>
          <t>Magaya</t>
        </is>
      </c>
      <c r="E3922" t="inlineStr">
        <is>
          <t>United States</t>
        </is>
      </c>
      <c r="F3922" t="inlineStr">
        <is>
          <t>Yes</t>
        </is>
      </c>
      <c r="H3922" t="n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>
        <f>IFERROR(INDEX('Company Hitlist'!$AA:$AA,MATCH(D3922,'Company Hitlist'!$A:$A,0)),)</f>
        <v/>
      </c>
      <c r="O3922">
        <f>IFERROR(INDEX('Company Hitlist'!$N:$N,MATCH(D3922,'Company Hitlist'!$A:$A,0)),)</f>
        <v/>
      </c>
      <c r="Q3922" t="inlineStr">
        <is>
          <t>todo</t>
        </is>
      </c>
    </row>
    <row r="3923">
      <c r="A3923" t="inlineStr">
        <is>
          <t>Ori Israeli</t>
        </is>
      </c>
      <c r="B3923" t="inlineStr">
        <is>
          <t>Attendee</t>
        </is>
      </c>
      <c r="C3923" t="inlineStr">
        <is>
          <t>Managing General Partner</t>
        </is>
      </c>
      <c r="D3923" t="inlineStr">
        <is>
          <t>Magenta Venture Partners</t>
        </is>
      </c>
      <c r="H3923" t="n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>
        <f>IFERROR(INDEX('Company Hitlist'!$AA:$AA,MATCH(D3923,'Company Hitlist'!$A:$A,0)),)</f>
        <v/>
      </c>
      <c r="O3923">
        <f>IFERROR(INDEX('Company Hitlist'!$N:$N,MATCH(D3923,'Company Hitlist'!$A:$A,0)),)</f>
        <v/>
      </c>
      <c r="Q3923" t="inlineStr">
        <is>
          <t>todo</t>
        </is>
      </c>
    </row>
    <row r="3924">
      <c r="A3924" t="inlineStr">
        <is>
          <t>Kyle Jeffrey</t>
        </is>
      </c>
      <c r="B3924" t="inlineStr">
        <is>
          <t>Attendee</t>
        </is>
      </c>
      <c r="C3924" t="inlineStr">
        <is>
          <t>Sr Solutions Consultant</t>
        </is>
      </c>
      <c r="D3924" t="inlineStr">
        <is>
          <t>MaintainX</t>
        </is>
      </c>
      <c r="E3924" t="inlineStr">
        <is>
          <t>United States</t>
        </is>
      </c>
      <c r="F3924" t="inlineStr">
        <is>
          <t>Yes</t>
        </is>
      </c>
      <c r="H3924" t="n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>
        <f>IFERROR(INDEX('Company Hitlist'!$AA:$AA,MATCH(D3924,'Company Hitlist'!$A:$A,0)),)</f>
        <v/>
      </c>
      <c r="O3924">
        <f>IFERROR(INDEX('Company Hitlist'!$N:$N,MATCH(D3924,'Company Hitlist'!$A:$A,0)),)</f>
        <v/>
      </c>
      <c r="Q3924" t="inlineStr">
        <is>
          <t>todo</t>
        </is>
      </c>
    </row>
    <row r="3925">
      <c r="A3925" t="inlineStr">
        <is>
          <t>Mike Kinsella</t>
        </is>
      </c>
      <c r="B3925" t="inlineStr">
        <is>
          <t>Attendee</t>
        </is>
      </c>
      <c r="C3925" t="inlineStr">
        <is>
          <t>Enterprise Account Director</t>
        </is>
      </c>
      <c r="D3925" t="inlineStr">
        <is>
          <t>MaintainX</t>
        </is>
      </c>
      <c r="E3925" t="inlineStr">
        <is>
          <t>United States</t>
        </is>
      </c>
      <c r="F3925" t="inlineStr">
        <is>
          <t>Yes</t>
        </is>
      </c>
      <c r="H3925" t="n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>
        <f>IFERROR(INDEX('Company Hitlist'!$AA:$AA,MATCH(D3925,'Company Hitlist'!$A:$A,0)),)</f>
        <v/>
      </c>
      <c r="O3925">
        <f>IFERROR(INDEX('Company Hitlist'!$N:$N,MATCH(D3925,'Company Hitlist'!$A:$A,0)),)</f>
        <v/>
      </c>
      <c r="Q3925" t="inlineStr">
        <is>
          <t>todo</t>
        </is>
      </c>
    </row>
    <row r="3926">
      <c r="A3926" t="inlineStr">
        <is>
          <t>Kyle Spottiswood</t>
        </is>
      </c>
      <c r="B3926" t="inlineStr">
        <is>
          <t>Attendee</t>
        </is>
      </c>
      <c r="C3926" t="inlineStr">
        <is>
          <t>Investor</t>
        </is>
      </c>
      <c r="D3926" t="inlineStr">
        <is>
          <t>Maniv</t>
        </is>
      </c>
      <c r="E3926" t="inlineStr">
        <is>
          <t>United States</t>
        </is>
      </c>
      <c r="H3926" t="n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>
        <f>IFERROR(INDEX('Company Hitlist'!$AA:$AA,MATCH(D3926,'Company Hitlist'!$A:$A,0)),)</f>
        <v/>
      </c>
      <c r="O3926">
        <f>IFERROR(INDEX('Company Hitlist'!$N:$N,MATCH(D3926,'Company Hitlist'!$A:$A,0)),)</f>
        <v/>
      </c>
      <c r="Q3926" t="inlineStr">
        <is>
          <t>todo</t>
        </is>
      </c>
    </row>
    <row r="3927">
      <c r="A3927" t="inlineStr">
        <is>
          <t>Casey Gee</t>
        </is>
      </c>
      <c r="B3927" t="inlineStr">
        <is>
          <t>Attendee</t>
        </is>
      </c>
      <c r="C3927" t="inlineStr">
        <is>
          <t>Director of 3PL Management</t>
        </is>
      </c>
      <c r="D3927" t="inlineStr">
        <is>
          <t>Manscaped</t>
        </is>
      </c>
      <c r="F3927" t="inlineStr">
        <is>
          <t>Yes</t>
        </is>
      </c>
      <c r="H3927" t="n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>
        <f>IFERROR(INDEX('Company Hitlist'!$AA:$AA,MATCH(D3927,'Company Hitlist'!$A:$A,0)),)</f>
        <v/>
      </c>
      <c r="O3927">
        <f>IFERROR(INDEX('Company Hitlist'!$N:$N,MATCH(D3927,'Company Hitlist'!$A:$A,0)),)</f>
        <v/>
      </c>
      <c r="Q3927" t="inlineStr">
        <is>
          <t>todo</t>
        </is>
      </c>
    </row>
    <row r="3928">
      <c r="A3928" t="inlineStr">
        <is>
          <t>Andrew Lee</t>
        </is>
      </c>
      <c r="B3928" t="inlineStr">
        <is>
          <t>Attendee</t>
        </is>
      </c>
      <c r="C3928" t="inlineStr">
        <is>
          <t>Owner/Managing Partner</t>
        </is>
      </c>
      <c r="D3928" t="inlineStr">
        <is>
          <t>Map Transit</t>
        </is>
      </c>
      <c r="F3928" t="inlineStr">
        <is>
          <t>Yes</t>
        </is>
      </c>
      <c r="H3928" t="n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>
        <f>IFERROR(INDEX('Company Hitlist'!$AA:$AA,MATCH(D3928,'Company Hitlist'!$A:$A,0)),)</f>
        <v/>
      </c>
      <c r="O3928">
        <f>IFERROR(INDEX('Company Hitlist'!$N:$N,MATCH(D3928,'Company Hitlist'!$A:$A,0)),)</f>
        <v/>
      </c>
      <c r="Q3928" t="inlineStr">
        <is>
          <t>todo</t>
        </is>
      </c>
    </row>
    <row r="3929">
      <c r="A3929" t="inlineStr">
        <is>
          <t>Yosef Rosenberg</t>
        </is>
      </c>
      <c r="B3929" t="inlineStr">
        <is>
          <t>Attendee</t>
        </is>
      </c>
      <c r="C3929" t="inlineStr">
        <is>
          <t>Product</t>
        </is>
      </c>
      <c r="D3929" t="inlineStr">
        <is>
          <t>MapQuest</t>
        </is>
      </c>
      <c r="E3929" t="inlineStr">
        <is>
          <t>United States</t>
        </is>
      </c>
      <c r="H3929" t="n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>
        <f>IFERROR(INDEX('Company Hitlist'!$AA:$AA,MATCH(D3929,'Company Hitlist'!$A:$A,0)),)</f>
        <v/>
      </c>
      <c r="O3929">
        <f>IFERROR(INDEX('Company Hitlist'!$N:$N,MATCH(D3929,'Company Hitlist'!$A:$A,0)),)</f>
        <v/>
      </c>
      <c r="Q3929" t="inlineStr">
        <is>
          <t>todo</t>
        </is>
      </c>
    </row>
    <row r="3930">
      <c r="A3930" t="inlineStr">
        <is>
          <t>Ashwini Gautam</t>
        </is>
      </c>
      <c r="B3930" t="inlineStr">
        <is>
          <t>Attendee</t>
        </is>
      </c>
      <c r="C3930" t="inlineStr">
        <is>
          <t>Director - Investment Banking</t>
        </is>
      </c>
      <c r="D3930" t="inlineStr">
        <is>
          <t>Marks Baughan</t>
        </is>
      </c>
      <c r="E3930" t="inlineStr">
        <is>
          <t>United States</t>
        </is>
      </c>
      <c r="H3930" t="n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>
        <f>IFERROR(INDEX('Company Hitlist'!$AA:$AA,MATCH(D3930,'Company Hitlist'!$A:$A,0)),)</f>
        <v/>
      </c>
      <c r="O3930">
        <f>IFERROR(INDEX('Company Hitlist'!$N:$N,MATCH(D3930,'Company Hitlist'!$A:$A,0)),)</f>
        <v/>
      </c>
      <c r="Q3930" t="inlineStr">
        <is>
          <t>todo</t>
        </is>
      </c>
    </row>
    <row r="3931">
      <c r="A3931" t="inlineStr">
        <is>
          <t>Aaron Lewis</t>
        </is>
      </c>
      <c r="B3931" t="inlineStr">
        <is>
          <t>Attendee</t>
        </is>
      </c>
      <c r="C3931" t="inlineStr">
        <is>
          <t>Tech Investor</t>
        </is>
      </c>
      <c r="D3931" t="inlineStr">
        <is>
          <t>Marlin Equity</t>
        </is>
      </c>
      <c r="E3931" t="inlineStr">
        <is>
          <t>United States</t>
        </is>
      </c>
      <c r="H3931" t="n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>
        <f>IFERROR(INDEX('Company Hitlist'!$AA:$AA,MATCH(D3931,'Company Hitlist'!$A:$A,0)),)</f>
        <v/>
      </c>
      <c r="O3931">
        <f>IFERROR(INDEX('Company Hitlist'!$N:$N,MATCH(D3931,'Company Hitlist'!$A:$A,0)),)</f>
        <v/>
      </c>
      <c r="Q3931" t="inlineStr">
        <is>
          <t>todo</t>
        </is>
      </c>
    </row>
    <row r="3932">
      <c r="A3932" t="inlineStr">
        <is>
          <t>Danielle Berardi</t>
        </is>
      </c>
      <c r="B3932" t="inlineStr">
        <is>
          <t>Attendee</t>
        </is>
      </c>
      <c r="C3932" t="inlineStr">
        <is>
          <t>Global dCom SC Manager</t>
        </is>
      </c>
      <c r="D3932" t="inlineStr">
        <is>
          <t>Mars</t>
        </is>
      </c>
      <c r="H3932" t="n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>
        <f>IFERROR(INDEX('Company Hitlist'!$AA:$AA,MATCH(D3932,'Company Hitlist'!$A:$A,0)),)</f>
        <v/>
      </c>
      <c r="O3932">
        <f>IFERROR(INDEX('Company Hitlist'!$N:$N,MATCH(D3932,'Company Hitlist'!$A:$A,0)),)</f>
        <v/>
      </c>
      <c r="Q3932" t="inlineStr">
        <is>
          <t>todo</t>
        </is>
      </c>
    </row>
    <row r="3933">
      <c r="A3933" t="inlineStr">
        <is>
          <t>Josh Cantwell</t>
        </is>
      </c>
      <c r="B3933" t="inlineStr">
        <is>
          <t>Attendee</t>
        </is>
      </c>
      <c r="C3933" t="inlineStr">
        <is>
          <t>Director of Continuous Improvement/Automation</t>
        </is>
      </c>
      <c r="D3933" t="inlineStr">
        <is>
          <t>Mars Snacking</t>
        </is>
      </c>
      <c r="E3933" t="inlineStr">
        <is>
          <t>United States</t>
        </is>
      </c>
      <c r="F3933" t="inlineStr">
        <is>
          <t>Yes</t>
        </is>
      </c>
      <c r="H3933" t="n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>
        <f>IFERROR(INDEX('Company Hitlist'!$AA:$AA,MATCH(D3933,'Company Hitlist'!$A:$A,0)),)</f>
        <v/>
      </c>
      <c r="O3933">
        <f>IFERROR(INDEX('Company Hitlist'!$N:$N,MATCH(D3933,'Company Hitlist'!$A:$A,0)),)</f>
        <v/>
      </c>
      <c r="Q3933" t="inlineStr">
        <is>
          <t>todo</t>
        </is>
      </c>
    </row>
    <row r="3934">
      <c r="A3934" t="inlineStr">
        <is>
          <t>Kandi Crowe</t>
        </is>
      </c>
      <c r="B3934" t="inlineStr">
        <is>
          <t>Attendee</t>
        </is>
      </c>
      <c r="C3934" t="inlineStr">
        <is>
          <t>Senior Director</t>
        </is>
      </c>
      <c r="D3934" t="inlineStr">
        <is>
          <t>Mars Snacking</t>
        </is>
      </c>
      <c r="E3934" t="inlineStr">
        <is>
          <t>United States</t>
        </is>
      </c>
      <c r="F3934" t="inlineStr">
        <is>
          <t>Yes</t>
        </is>
      </c>
      <c r="H3934" t="n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>
        <f>IFERROR(INDEX('Company Hitlist'!$AA:$AA,MATCH(D3934,'Company Hitlist'!$A:$A,0)),)</f>
        <v/>
      </c>
      <c r="O3934">
        <f>IFERROR(INDEX('Company Hitlist'!$N:$N,MATCH(D3934,'Company Hitlist'!$A:$A,0)),)</f>
        <v/>
      </c>
      <c r="Q3934" t="inlineStr">
        <is>
          <t>todo</t>
        </is>
      </c>
    </row>
    <row r="3935">
      <c r="A3935" t="inlineStr">
        <is>
          <t>Amee Green</t>
        </is>
      </c>
      <c r="B3935" t="inlineStr">
        <is>
          <t>Attendee</t>
        </is>
      </c>
      <c r="C3935" t="inlineStr">
        <is>
          <t>Global Planning Transformation Director</t>
        </is>
      </c>
      <c r="D3935" t="inlineStr">
        <is>
          <t>Mars Snacking</t>
        </is>
      </c>
      <c r="F3935" t="inlineStr">
        <is>
          <t>Yes</t>
        </is>
      </c>
      <c r="H3935" t="n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>
        <f>IFERROR(INDEX('Company Hitlist'!$AA:$AA,MATCH(D3935,'Company Hitlist'!$A:$A,0)),)</f>
        <v/>
      </c>
      <c r="O3935">
        <f>IFERROR(INDEX('Company Hitlist'!$N:$N,MATCH(D3935,'Company Hitlist'!$A:$A,0)),)</f>
        <v/>
      </c>
      <c r="Q3935" t="inlineStr">
        <is>
          <t>todo</t>
        </is>
      </c>
    </row>
    <row r="3936">
      <c r="A3936" t="inlineStr">
        <is>
          <t>Rachel Handbury</t>
        </is>
      </c>
      <c r="B3936" t="inlineStr">
        <is>
          <t>Attendee</t>
        </is>
      </c>
      <c r="C3936" t="inlineStr">
        <is>
          <t>Director of Sustainability</t>
        </is>
      </c>
      <c r="D3936" t="inlineStr">
        <is>
          <t>Martinrea International</t>
        </is>
      </c>
      <c r="H3936" t="n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>
        <f>IFERROR(INDEX('Company Hitlist'!$AA:$AA,MATCH(D3936,'Company Hitlist'!$A:$A,0)),)</f>
        <v/>
      </c>
      <c r="O3936">
        <f>IFERROR(INDEX('Company Hitlist'!$N:$N,MATCH(D3936,'Company Hitlist'!$A:$A,0)),)</f>
        <v/>
      </c>
      <c r="Q3936" t="inlineStr">
        <is>
          <t>todo</t>
        </is>
      </c>
    </row>
    <row r="3937">
      <c r="A3937" t="inlineStr">
        <is>
          <t>Patrick Gomez</t>
        </is>
      </c>
      <c r="B3937" t="inlineStr">
        <is>
          <t>Attendee</t>
        </is>
      </c>
      <c r="C3937" t="inlineStr">
        <is>
          <t>Strategic Account Director</t>
        </is>
      </c>
      <c r="D3937" t="inlineStr">
        <is>
          <t>Mastery Logistics Systems</t>
        </is>
      </c>
      <c r="E3937" t="inlineStr">
        <is>
          <t>United States</t>
        </is>
      </c>
      <c r="F3937" t="inlineStr">
        <is>
          <t>Yes</t>
        </is>
      </c>
      <c r="H3937" t="n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>
        <f>IFERROR(INDEX('Company Hitlist'!$AA:$AA,MATCH(D3937,'Company Hitlist'!$A:$A,0)),)</f>
        <v/>
      </c>
      <c r="O3937">
        <f>IFERROR(INDEX('Company Hitlist'!$N:$N,MATCH(D3937,'Company Hitlist'!$A:$A,0)),)</f>
        <v/>
      </c>
      <c r="Q3937" t="inlineStr">
        <is>
          <t>todo</t>
        </is>
      </c>
    </row>
    <row r="3938">
      <c r="A3938" t="inlineStr">
        <is>
          <t>Nirav Parikh</t>
        </is>
      </c>
      <c r="B3938" t="inlineStr">
        <is>
          <t>Attendee</t>
        </is>
      </c>
      <c r="C3938" t="inlineStr">
        <is>
          <t>Sr. Director IT Solutions</t>
        </is>
      </c>
      <c r="D3938" t="inlineStr">
        <is>
          <t>Mattel</t>
        </is>
      </c>
      <c r="H3938" t="n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>
        <f>IFERROR(INDEX('Company Hitlist'!$AA:$AA,MATCH(D3938,'Company Hitlist'!$A:$A,0)),)</f>
        <v/>
      </c>
      <c r="O3938">
        <f>IFERROR(INDEX('Company Hitlist'!$N:$N,MATCH(D3938,'Company Hitlist'!$A:$A,0)),)</f>
        <v/>
      </c>
      <c r="Q3938" t="inlineStr">
        <is>
          <t>todo</t>
        </is>
      </c>
    </row>
    <row r="3939">
      <c r="A3939" t="inlineStr">
        <is>
          <t>Wyatt Roop</t>
        </is>
      </c>
      <c r="B3939" t="inlineStr">
        <is>
          <t>Attendee</t>
        </is>
      </c>
      <c r="C3939" t="inlineStr">
        <is>
          <t>Insurance Broker</t>
        </is>
      </c>
      <c r="D3939" t="inlineStr">
        <is>
          <t>McGriff</t>
        </is>
      </c>
      <c r="E3939" t="inlineStr">
        <is>
          <t>United States</t>
        </is>
      </c>
      <c r="H3939" t="n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>
        <f>IFERROR(INDEX('Company Hitlist'!$AA:$AA,MATCH(D3939,'Company Hitlist'!$A:$A,0)),)</f>
        <v/>
      </c>
      <c r="O3939">
        <f>IFERROR(INDEX('Company Hitlist'!$N:$N,MATCH(D3939,'Company Hitlist'!$A:$A,0)),)</f>
        <v/>
      </c>
      <c r="Q3939" t="inlineStr">
        <is>
          <t>todo</t>
        </is>
      </c>
    </row>
    <row r="3940">
      <c r="A3940" t="inlineStr">
        <is>
          <t>Arsenio Martinez</t>
        </is>
      </c>
      <c r="B3940" t="inlineStr">
        <is>
          <t>Attendee</t>
        </is>
      </c>
      <c r="C3940" t="inlineStr">
        <is>
          <t>Partner</t>
        </is>
      </c>
      <c r="D3940" t="inlineStr">
        <is>
          <t>McKinsey &amp; Company</t>
        </is>
      </c>
      <c r="E3940" t="inlineStr">
        <is>
          <t>United States</t>
        </is>
      </c>
      <c r="H3940" t="n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>
        <f>IFERROR(INDEX('Company Hitlist'!$AA:$AA,MATCH(D3940,'Company Hitlist'!$A:$A,0)),)</f>
        <v/>
      </c>
      <c r="O3940">
        <f>IFERROR(INDEX('Company Hitlist'!$N:$N,MATCH(D3940,'Company Hitlist'!$A:$A,0)),)</f>
        <v/>
      </c>
      <c r="Q3940" t="inlineStr">
        <is>
          <t>todo</t>
        </is>
      </c>
    </row>
    <row r="3941">
      <c r="A3941" t="inlineStr">
        <is>
          <t>Mike Thompson</t>
        </is>
      </c>
      <c r="B3941" t="inlineStr">
        <is>
          <t>Attendee</t>
        </is>
      </c>
      <c r="C3941" t="inlineStr">
        <is>
          <t>Senior Partner</t>
        </is>
      </c>
      <c r="D3941" t="inlineStr">
        <is>
          <t>McKinsey &amp; Company</t>
        </is>
      </c>
      <c r="E3941" t="inlineStr">
        <is>
          <t>United States</t>
        </is>
      </c>
      <c r="H3941" t="n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>
        <f>IFERROR(INDEX('Company Hitlist'!$AA:$AA,MATCH(D3941,'Company Hitlist'!$A:$A,0)),)</f>
        <v/>
      </c>
      <c r="O3941">
        <f>IFERROR(INDEX('Company Hitlist'!$N:$N,MATCH(D3941,'Company Hitlist'!$A:$A,0)),)</f>
        <v/>
      </c>
      <c r="Q3941" t="inlineStr">
        <is>
          <t>todo</t>
        </is>
      </c>
    </row>
    <row r="3942">
      <c r="A3942" t="inlineStr">
        <is>
          <t>Winnie Wilson</t>
        </is>
      </c>
      <c r="B3942" t="inlineStr">
        <is>
          <t>Attendee</t>
        </is>
      </c>
      <c r="C3942" t="inlineStr">
        <is>
          <t>Strategic Partnerships</t>
        </is>
      </c>
      <c r="D3942" t="inlineStr">
        <is>
          <t>MegaCorp</t>
        </is>
      </c>
      <c r="F3942" t="inlineStr">
        <is>
          <t>Yes</t>
        </is>
      </c>
      <c r="H3942" t="n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>
        <f>IFERROR(INDEX('Company Hitlist'!$AA:$AA,MATCH(D3942,'Company Hitlist'!$A:$A,0)),)</f>
        <v/>
      </c>
      <c r="O3942">
        <f>IFERROR(INDEX('Company Hitlist'!$N:$N,MATCH(D3942,'Company Hitlist'!$A:$A,0)),)</f>
        <v/>
      </c>
      <c r="Q3942" t="inlineStr">
        <is>
          <t>todo</t>
        </is>
      </c>
    </row>
    <row r="3943">
      <c r="A3943" t="inlineStr">
        <is>
          <t>Olha Mullyar</t>
        </is>
      </c>
      <c r="B3943" t="inlineStr">
        <is>
          <t>Attendee</t>
        </is>
      </c>
      <c r="C3943" t="inlineStr">
        <is>
          <t>Strategic Initiatives Lead</t>
        </is>
      </c>
      <c r="D3943" t="inlineStr">
        <is>
          <t>Mely.ai</t>
        </is>
      </c>
      <c r="F3943" t="inlineStr">
        <is>
          <t>Yes</t>
        </is>
      </c>
      <c r="H3943" t="n">
        <v>0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>
        <f>IFERROR(INDEX('Company Hitlist'!$AA:$AA,MATCH(D3943,'Company Hitlist'!$A:$A,0)),)</f>
        <v/>
      </c>
      <c r="O3943">
        <f>IFERROR(INDEX('Company Hitlist'!$N:$N,MATCH(D3943,'Company Hitlist'!$A:$A,0)),)</f>
        <v/>
      </c>
      <c r="Q3943" t="inlineStr">
        <is>
          <t>todo</t>
        </is>
      </c>
    </row>
    <row r="3944">
      <c r="A3944" t="inlineStr">
        <is>
          <t>Mike Morgan</t>
        </is>
      </c>
      <c r="B3944" t="inlineStr">
        <is>
          <t>Attendee</t>
        </is>
      </c>
      <c r="C3944" t="inlineStr">
        <is>
          <t>Principal</t>
        </is>
      </c>
      <c r="D3944" t="inlineStr">
        <is>
          <t>Merck &amp; Co., Inc. - Global Health Innovation Fund</t>
        </is>
      </c>
      <c r="E3944" t="inlineStr">
        <is>
          <t>United States</t>
        </is>
      </c>
      <c r="H3944" t="n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>
        <f>IFERROR(INDEX('Company Hitlist'!$AA:$AA,MATCH(D3944,'Company Hitlist'!$A:$A,0)),)</f>
        <v/>
      </c>
      <c r="O3944">
        <f>IFERROR(INDEX('Company Hitlist'!$N:$N,MATCH(D3944,'Company Hitlist'!$A:$A,0)),)</f>
        <v/>
      </c>
      <c r="Q3944" t="inlineStr">
        <is>
          <t>todo</t>
        </is>
      </c>
    </row>
    <row r="3945">
      <c r="A3945" t="inlineStr">
        <is>
          <t>Daniela Thumfart</t>
        </is>
      </c>
      <c r="B3945" t="inlineStr">
        <is>
          <t>Attendee</t>
        </is>
      </c>
      <c r="C3945" t="inlineStr">
        <is>
          <t>Deputy Exhibition Manager</t>
        </is>
      </c>
      <c r="D3945" t="inlineStr">
        <is>
          <t>Messe München GmbH</t>
        </is>
      </c>
      <c r="E3945" t="inlineStr">
        <is>
          <t>Germany</t>
        </is>
      </c>
      <c r="H3945" t="n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>
        <f>IFERROR(INDEX('Company Hitlist'!$AA:$AA,MATCH(D3945,'Company Hitlist'!$A:$A,0)),)</f>
        <v/>
      </c>
      <c r="O3945">
        <f>IFERROR(INDEX('Company Hitlist'!$N:$N,MATCH(D3945,'Company Hitlist'!$A:$A,0)),)</f>
        <v/>
      </c>
      <c r="Q3945" t="inlineStr">
        <is>
          <t>todo</t>
        </is>
      </c>
    </row>
    <row r="3946">
      <c r="A3946" t="inlineStr">
        <is>
          <t>Robert Herrig</t>
        </is>
      </c>
      <c r="B3946" t="inlineStr">
        <is>
          <t>Attendee</t>
        </is>
      </c>
      <c r="C3946" t="inlineStr">
        <is>
          <t>Director of Economic Development</t>
        </is>
      </c>
      <c r="D3946" t="inlineStr">
        <is>
          <t>Metro Atlanta Chamber</t>
        </is>
      </c>
      <c r="E3946" t="inlineStr">
        <is>
          <t>United States</t>
        </is>
      </c>
      <c r="H3946" t="n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>
        <f>IFERROR(INDEX('Company Hitlist'!$AA:$AA,MATCH(D3946,'Company Hitlist'!$A:$A,0)),)</f>
        <v/>
      </c>
      <c r="O3946">
        <f>IFERROR(INDEX('Company Hitlist'!$N:$N,MATCH(D3946,'Company Hitlist'!$A:$A,0)),)</f>
        <v/>
      </c>
      <c r="Q3946" t="inlineStr">
        <is>
          <t>todo</t>
        </is>
      </c>
    </row>
    <row r="3947">
      <c r="A3947" t="inlineStr">
        <is>
          <t>Isaac Byrd</t>
        </is>
      </c>
      <c r="B3947" t="inlineStr">
        <is>
          <t>Attendee</t>
        </is>
      </c>
      <c r="C3947" t="inlineStr">
        <is>
          <t>Owner</t>
        </is>
      </c>
      <c r="D3947" t="inlineStr">
        <is>
          <t>Metro Logics, Inc.</t>
        </is>
      </c>
      <c r="E3947" t="inlineStr">
        <is>
          <t>United States</t>
        </is>
      </c>
      <c r="F3947" t="inlineStr">
        <is>
          <t>Yes</t>
        </is>
      </c>
      <c r="H3947" t="n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>
        <f>IFERROR(INDEX('Company Hitlist'!$AA:$AA,MATCH(D3947,'Company Hitlist'!$A:$A,0)),)</f>
        <v/>
      </c>
      <c r="O3947">
        <f>IFERROR(INDEX('Company Hitlist'!$N:$N,MATCH(D3947,'Company Hitlist'!$A:$A,0)),)</f>
        <v/>
      </c>
      <c r="Q3947" t="inlineStr">
        <is>
          <t>todo</t>
        </is>
      </c>
    </row>
    <row r="3948">
      <c r="A3948" t="inlineStr">
        <is>
          <t>Justin Miller</t>
        </is>
      </c>
      <c r="B3948" t="inlineStr">
        <is>
          <t>Attendee</t>
        </is>
      </c>
      <c r="C3948" t="inlineStr">
        <is>
          <t>Director Of Commercial Division</t>
        </is>
      </c>
      <c r="D3948" t="inlineStr">
        <is>
          <t>Metro Logics, Inc.</t>
        </is>
      </c>
      <c r="E3948" t="inlineStr">
        <is>
          <t>United States</t>
        </is>
      </c>
      <c r="F3948" t="inlineStr">
        <is>
          <t>Yes</t>
        </is>
      </c>
      <c r="H3948" t="n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>
        <f>IFERROR(INDEX('Company Hitlist'!$AA:$AA,MATCH(D3948,'Company Hitlist'!$A:$A,0)),)</f>
        <v/>
      </c>
      <c r="O3948">
        <f>IFERROR(INDEX('Company Hitlist'!$N:$N,MATCH(D3948,'Company Hitlist'!$A:$A,0)),)</f>
        <v/>
      </c>
      <c r="Q3948" t="inlineStr">
        <is>
          <t>todo</t>
        </is>
      </c>
    </row>
    <row r="3949">
      <c r="A3949" t="inlineStr">
        <is>
          <t>Glenn Hunter</t>
        </is>
      </c>
      <c r="B3949" t="inlineStr">
        <is>
          <t>Attendee</t>
        </is>
      </c>
      <c r="C3949" t="inlineStr">
        <is>
          <t>Senior Director Implementation Services</t>
        </is>
      </c>
      <c r="D3949" t="inlineStr">
        <is>
          <t>Metro Supply Chain</t>
        </is>
      </c>
      <c r="E3949" t="inlineStr">
        <is>
          <t>Canada</t>
        </is>
      </c>
      <c r="F3949" t="inlineStr">
        <is>
          <t>Yes</t>
        </is>
      </c>
      <c r="H3949" t="n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>
        <f>IFERROR(INDEX('Company Hitlist'!$AA:$AA,MATCH(D3949,'Company Hitlist'!$A:$A,0)),)</f>
        <v/>
      </c>
      <c r="O3949">
        <f>IFERROR(INDEX('Company Hitlist'!$N:$N,MATCH(D3949,'Company Hitlist'!$A:$A,0)),)</f>
        <v/>
      </c>
      <c r="Q3949" t="inlineStr">
        <is>
          <t>todo</t>
        </is>
      </c>
    </row>
    <row r="3950">
      <c r="A3950" t="inlineStr">
        <is>
          <t>Monica Burger</t>
        </is>
      </c>
      <c r="B3950" t="inlineStr">
        <is>
          <t>Attendee</t>
        </is>
      </c>
      <c r="C3950" t="inlineStr">
        <is>
          <t>Director Applications Implementation and Support</t>
        </is>
      </c>
      <c r="D3950" t="inlineStr">
        <is>
          <t>Metro Supply Chain</t>
        </is>
      </c>
      <c r="E3950" t="inlineStr">
        <is>
          <t>Canada</t>
        </is>
      </c>
      <c r="F3950" t="inlineStr">
        <is>
          <t>Yes</t>
        </is>
      </c>
      <c r="H3950" t="n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>
        <f>IFERROR(INDEX('Company Hitlist'!$AA:$AA,MATCH(D3950,'Company Hitlist'!$A:$A,0)),)</f>
        <v/>
      </c>
      <c r="O3950">
        <f>IFERROR(INDEX('Company Hitlist'!$N:$N,MATCH(D3950,'Company Hitlist'!$A:$A,0)),)</f>
        <v/>
      </c>
      <c r="Q3950" t="inlineStr">
        <is>
          <t>todo</t>
        </is>
      </c>
    </row>
    <row r="3951">
      <c r="A3951" t="inlineStr">
        <is>
          <t>Mark Lukenbill</t>
        </is>
      </c>
      <c r="B3951" t="inlineStr">
        <is>
          <t>Attendee</t>
        </is>
      </c>
      <c r="C3951" t="inlineStr">
        <is>
          <t>Commercial Leader</t>
        </is>
      </c>
      <c r="D3951" t="inlineStr">
        <is>
          <t>MileMaker - Rand McNally</t>
        </is>
      </c>
      <c r="E3951" t="inlineStr">
        <is>
          <t>United States</t>
        </is>
      </c>
      <c r="F3951" t="inlineStr">
        <is>
          <t>Yes</t>
        </is>
      </c>
      <c r="H3951" t="n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>
        <f>IFERROR(INDEX('Company Hitlist'!$AA:$AA,MATCH(D3951,'Company Hitlist'!$A:$A,0)),)</f>
        <v/>
      </c>
      <c r="O3951">
        <f>IFERROR(INDEX('Company Hitlist'!$N:$N,MATCH(D3951,'Company Hitlist'!$A:$A,0)),)</f>
        <v/>
      </c>
      <c r="Q3951" t="inlineStr">
        <is>
          <t>todo</t>
        </is>
      </c>
    </row>
    <row r="3952">
      <c r="A3952" t="inlineStr">
        <is>
          <t>Ericka Jane Lopez</t>
        </is>
      </c>
      <c r="B3952" t="inlineStr">
        <is>
          <t>Attendee</t>
        </is>
      </c>
      <c r="C3952" t="inlineStr">
        <is>
          <t>Systems Implantation Manager</t>
        </is>
      </c>
      <c r="D3952" t="inlineStr">
        <is>
          <t>Million Dollar Baby</t>
        </is>
      </c>
      <c r="E3952" t="inlineStr">
        <is>
          <t>United States</t>
        </is>
      </c>
      <c r="H3952" t="n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>
        <f>IFERROR(INDEX('Company Hitlist'!$AA:$AA,MATCH(D3952,'Company Hitlist'!$A:$A,0)),)</f>
        <v/>
      </c>
      <c r="O3952">
        <f>IFERROR(INDEX('Company Hitlist'!$N:$N,MATCH(D3952,'Company Hitlist'!$A:$A,0)),)</f>
        <v/>
      </c>
      <c r="Q3952" t="inlineStr">
        <is>
          <t>todo</t>
        </is>
      </c>
    </row>
    <row r="3953">
      <c r="A3953" t="inlineStr">
        <is>
          <t>Emily Rivera</t>
        </is>
      </c>
      <c r="B3953" t="inlineStr">
        <is>
          <t>Attendee</t>
        </is>
      </c>
      <c r="C3953" t="inlineStr">
        <is>
          <t>Assistant Demand Planning Manager</t>
        </is>
      </c>
      <c r="D3953" t="inlineStr">
        <is>
          <t>Million Dollar Baby</t>
        </is>
      </c>
      <c r="H3953" t="n">
        <v>0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>
        <f>IFERROR(INDEX('Company Hitlist'!$AA:$AA,MATCH(D3953,'Company Hitlist'!$A:$A,0)),)</f>
        <v/>
      </c>
      <c r="O3953">
        <f>IFERROR(INDEX('Company Hitlist'!$N:$N,MATCH(D3953,'Company Hitlist'!$A:$A,0)),)</f>
        <v/>
      </c>
      <c r="Q3953" t="inlineStr">
        <is>
          <t>todo</t>
        </is>
      </c>
    </row>
    <row r="3954">
      <c r="A3954" t="inlineStr">
        <is>
          <t>Takashi Kai</t>
        </is>
      </c>
      <c r="B3954" t="inlineStr">
        <is>
          <t>Attendee</t>
        </is>
      </c>
      <c r="C3954" t="inlineStr">
        <is>
          <t>Strategy Manager</t>
        </is>
      </c>
      <c r="D3954" t="inlineStr">
        <is>
          <t>Mitsubishi Electric Automation</t>
        </is>
      </c>
      <c r="H3954" t="n">
        <v>0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  <c r="N3954">
        <f>IFERROR(INDEX('Company Hitlist'!$AA:$AA,MATCH(D3954,'Company Hitlist'!$A:$A,0)),)</f>
        <v/>
      </c>
      <c r="O3954">
        <f>IFERROR(INDEX('Company Hitlist'!$N:$N,MATCH(D3954,'Company Hitlist'!$A:$A,0)),)</f>
        <v/>
      </c>
      <c r="Q3954" t="inlineStr">
        <is>
          <t>todo</t>
        </is>
      </c>
    </row>
    <row r="3955">
      <c r="A3955" t="inlineStr">
        <is>
          <t>Takehiro Ishiguro</t>
        </is>
      </c>
      <c r="B3955" t="inlineStr">
        <is>
          <t>Attendee</t>
        </is>
      </c>
      <c r="C3955" t="inlineStr">
        <is>
          <t>Sr. Manager Open Innovation</t>
        </is>
      </c>
      <c r="D3955" t="inlineStr">
        <is>
          <t>Mitsubishi Electric Automation</t>
        </is>
      </c>
      <c r="H3955" t="n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>
        <f>IFERROR(INDEX('Company Hitlist'!$AA:$AA,MATCH(D3955,'Company Hitlist'!$A:$A,0)),)</f>
        <v/>
      </c>
      <c r="O3955">
        <f>IFERROR(INDEX('Company Hitlist'!$N:$N,MATCH(D3955,'Company Hitlist'!$A:$A,0)),)</f>
        <v/>
      </c>
      <c r="Q3955" t="inlineStr">
        <is>
          <t>todo</t>
        </is>
      </c>
    </row>
    <row r="3956">
      <c r="A3956" t="inlineStr">
        <is>
          <t>Meghan Nesta</t>
        </is>
      </c>
      <c r="B3956" t="inlineStr">
        <is>
          <t>Attendee</t>
        </is>
      </c>
      <c r="C3956" t="inlineStr">
        <is>
          <t>Senior Director of Product</t>
        </is>
      </c>
      <c r="D3956" t="inlineStr">
        <is>
          <t>ModalView</t>
        </is>
      </c>
      <c r="E3956" t="inlineStr">
        <is>
          <t>United States</t>
        </is>
      </c>
      <c r="F3956" t="inlineStr">
        <is>
          <t>Yes</t>
        </is>
      </c>
      <c r="H3956" t="n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>
        <f>IFERROR(INDEX('Company Hitlist'!$AA:$AA,MATCH(D3956,'Company Hitlist'!$A:$A,0)),)</f>
        <v/>
      </c>
      <c r="O3956">
        <f>IFERROR(INDEX('Company Hitlist'!$N:$N,MATCH(D3956,'Company Hitlist'!$A:$A,0)),)</f>
        <v/>
      </c>
      <c r="Q3956" t="inlineStr">
        <is>
          <t>todo</t>
        </is>
      </c>
    </row>
    <row r="3957">
      <c r="A3957" t="inlineStr">
        <is>
          <t>Jonathan Schaetz</t>
        </is>
      </c>
      <c r="B3957" t="inlineStr">
        <is>
          <t>Attendee</t>
        </is>
      </c>
      <c r="C3957" t="inlineStr">
        <is>
          <t>Executive Director</t>
        </is>
      </c>
      <c r="D3957" t="inlineStr">
        <is>
          <t>Moelis</t>
        </is>
      </c>
      <c r="E3957" t="inlineStr">
        <is>
          <t>United States</t>
        </is>
      </c>
      <c r="H3957" t="n">
        <v>0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>
        <f>IFERROR(INDEX('Company Hitlist'!$AA:$AA,MATCH(D3957,'Company Hitlist'!$A:$A,0)),)</f>
        <v/>
      </c>
      <c r="O3957">
        <f>IFERROR(INDEX('Company Hitlist'!$N:$N,MATCH(D3957,'Company Hitlist'!$A:$A,0)),)</f>
        <v/>
      </c>
      <c r="Q3957" t="inlineStr">
        <is>
          <t>todo</t>
        </is>
      </c>
    </row>
    <row r="3958">
      <c r="A3958" t="inlineStr">
        <is>
          <t>Jeff Bishop</t>
        </is>
      </c>
      <c r="B3958" t="inlineStr">
        <is>
          <t>Attendee</t>
        </is>
      </c>
      <c r="C3958" t="inlineStr">
        <is>
          <t>Category Manager</t>
        </is>
      </c>
      <c r="D3958" t="inlineStr">
        <is>
          <t>Molson Coors Beverage Company</t>
        </is>
      </c>
      <c r="H3958" t="n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>
        <f>IFERROR(INDEX('Company Hitlist'!$AA:$AA,MATCH(D3958,'Company Hitlist'!$A:$A,0)),)</f>
        <v/>
      </c>
      <c r="O3958">
        <f>IFERROR(INDEX('Company Hitlist'!$N:$N,MATCH(D3958,'Company Hitlist'!$A:$A,0)),)</f>
        <v/>
      </c>
      <c r="Q3958" t="inlineStr">
        <is>
          <t>todo</t>
        </is>
      </c>
    </row>
    <row r="3959">
      <c r="A3959" t="inlineStr">
        <is>
          <t>Ty Hartigan</t>
        </is>
      </c>
      <c r="B3959" t="inlineStr">
        <is>
          <t>Attendee</t>
        </is>
      </c>
      <c r="C3959" t="inlineStr">
        <is>
          <t>Director of Logisitcs</t>
        </is>
      </c>
      <c r="D3959" t="inlineStr">
        <is>
          <t>Monin</t>
        </is>
      </c>
      <c r="F3959" t="inlineStr">
        <is>
          <t>Yes</t>
        </is>
      </c>
      <c r="H3959" t="n">
        <v>0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>
        <f>IFERROR(INDEX('Company Hitlist'!$AA:$AA,MATCH(D3959,'Company Hitlist'!$A:$A,0)),)</f>
        <v/>
      </c>
      <c r="O3959">
        <f>IFERROR(INDEX('Company Hitlist'!$N:$N,MATCH(D3959,'Company Hitlist'!$A:$A,0)),)</f>
        <v/>
      </c>
      <c r="Q3959" t="inlineStr">
        <is>
          <t>todo</t>
        </is>
      </c>
    </row>
    <row r="3960">
      <c r="A3960" t="inlineStr">
        <is>
          <t>Adam Ross</t>
        </is>
      </c>
      <c r="B3960" t="inlineStr">
        <is>
          <t>Attendee</t>
        </is>
      </c>
      <c r="C3960" t="inlineStr">
        <is>
          <t>Principal</t>
        </is>
      </c>
      <c r="D3960" t="inlineStr">
        <is>
          <t>Morgan Stanley 1GT</t>
        </is>
      </c>
      <c r="E3960" t="inlineStr">
        <is>
          <t>United Kingdom</t>
        </is>
      </c>
      <c r="H3960" t="n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>
        <f>IFERROR(INDEX('Company Hitlist'!$AA:$AA,MATCH(D3960,'Company Hitlist'!$A:$A,0)),)</f>
        <v/>
      </c>
      <c r="O3960">
        <f>IFERROR(INDEX('Company Hitlist'!$N:$N,MATCH(D3960,'Company Hitlist'!$A:$A,0)),)</f>
        <v/>
      </c>
      <c r="Q3960" t="inlineStr">
        <is>
          <t>todo</t>
        </is>
      </c>
    </row>
    <row r="3961">
      <c r="A3961" t="inlineStr">
        <is>
          <t>Eva O'Sullivan</t>
        </is>
      </c>
      <c r="B3961" t="inlineStr">
        <is>
          <t>Attendee</t>
        </is>
      </c>
      <c r="C3961" t="inlineStr">
        <is>
          <t>Investor</t>
        </is>
      </c>
      <c r="D3961" t="inlineStr">
        <is>
          <t>Morgan Stanley 1GT Fund</t>
        </is>
      </c>
      <c r="E3961" t="inlineStr">
        <is>
          <t>United Kingdom</t>
        </is>
      </c>
      <c r="H3961" t="n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>
        <f>IFERROR(INDEX('Company Hitlist'!$AA:$AA,MATCH(D3961,'Company Hitlist'!$A:$A,0)),)</f>
        <v/>
      </c>
      <c r="O3961">
        <f>IFERROR(INDEX('Company Hitlist'!$N:$N,MATCH(D3961,'Company Hitlist'!$A:$A,0)),)</f>
        <v/>
      </c>
      <c r="Q3961" t="inlineStr">
        <is>
          <t>todo</t>
        </is>
      </c>
    </row>
    <row r="3962">
      <c r="A3962" t="inlineStr">
        <is>
          <t>Katie Jo Moery</t>
        </is>
      </c>
      <c r="B3962" t="inlineStr">
        <is>
          <t>Attendee</t>
        </is>
      </c>
      <c r="C3962" t="inlineStr">
        <is>
          <t>Manager of Strategic Partnerships</t>
        </is>
      </c>
      <c r="D3962" t="inlineStr">
        <is>
          <t>NAW</t>
        </is>
      </c>
      <c r="E3962" t="inlineStr">
        <is>
          <t>United States</t>
        </is>
      </c>
      <c r="H3962" t="n">
        <v>0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>
        <f>IFERROR(INDEX('Company Hitlist'!$AA:$AA,MATCH(D3962,'Company Hitlist'!$A:$A,0)),)</f>
        <v/>
      </c>
      <c r="O3962">
        <f>IFERROR(INDEX('Company Hitlist'!$N:$N,MATCH(D3962,'Company Hitlist'!$A:$A,0)),)</f>
        <v/>
      </c>
      <c r="Q3962" t="inlineStr">
        <is>
          <t>todo</t>
        </is>
      </c>
    </row>
    <row r="3963">
      <c r="A3963" t="inlineStr">
        <is>
          <t>Jeff Lolli</t>
        </is>
      </c>
      <c r="B3963" t="inlineStr">
        <is>
          <t>Attendee</t>
        </is>
      </c>
      <c r="C3963" t="inlineStr">
        <is>
          <t>Sr. Director, eCommerce</t>
        </is>
      </c>
      <c r="D3963" t="inlineStr">
        <is>
          <t>NFI Industries</t>
        </is>
      </c>
      <c r="E3963" t="inlineStr">
        <is>
          <t>United States</t>
        </is>
      </c>
      <c r="F3963" t="inlineStr">
        <is>
          <t>Yes</t>
        </is>
      </c>
      <c r="H3963" t="n">
        <v>0</v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  <c r="N3963">
        <f>IFERROR(INDEX('Company Hitlist'!$AA:$AA,MATCH(D3963,'Company Hitlist'!$A:$A,0)),)</f>
        <v/>
      </c>
      <c r="O3963">
        <f>IFERROR(INDEX('Company Hitlist'!$N:$N,MATCH(D3963,'Company Hitlist'!$A:$A,0)),)</f>
        <v/>
      </c>
      <c r="Q3963" t="inlineStr">
        <is>
          <t>todo</t>
        </is>
      </c>
    </row>
    <row r="3964">
      <c r="A3964" t="inlineStr">
        <is>
          <t>Clint Stoeck</t>
        </is>
      </c>
      <c r="B3964" t="inlineStr">
        <is>
          <t>Attendee</t>
        </is>
      </c>
      <c r="C3964" t="inlineStr">
        <is>
          <t>Senior Manager, Engineering Technology &amp; Automation</t>
        </is>
      </c>
      <c r="D3964" t="inlineStr">
        <is>
          <t>NFI Industries</t>
        </is>
      </c>
      <c r="E3964" t="inlineStr">
        <is>
          <t>United States</t>
        </is>
      </c>
      <c r="H3964" t="n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  <c r="N3964">
        <f>IFERROR(INDEX('Company Hitlist'!$AA:$AA,MATCH(D3964,'Company Hitlist'!$A:$A,0)),)</f>
        <v/>
      </c>
      <c r="O3964">
        <f>IFERROR(INDEX('Company Hitlist'!$N:$N,MATCH(D3964,'Company Hitlist'!$A:$A,0)),)</f>
        <v/>
      </c>
      <c r="Q3964" t="inlineStr">
        <is>
          <t>todo</t>
        </is>
      </c>
    </row>
    <row r="3965">
      <c r="A3965" t="inlineStr">
        <is>
          <t>Chris Todd</t>
        </is>
      </c>
      <c r="B3965" t="inlineStr">
        <is>
          <t>Attendee</t>
        </is>
      </c>
      <c r="C3965" t="inlineStr">
        <is>
          <t>CCO</t>
        </is>
      </c>
      <c r="D3965" t="inlineStr">
        <is>
          <t>NT Logistics</t>
        </is>
      </c>
      <c r="F3965" t="inlineStr">
        <is>
          <t>Yes</t>
        </is>
      </c>
      <c r="H3965" t="n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>
        <f>IFERROR(INDEX('Company Hitlist'!$AA:$AA,MATCH(D3965,'Company Hitlist'!$A:$A,0)),)</f>
        <v/>
      </c>
      <c r="O3965">
        <f>IFERROR(INDEX('Company Hitlist'!$N:$N,MATCH(D3965,'Company Hitlist'!$A:$A,0)),)</f>
        <v/>
      </c>
      <c r="Q3965" t="inlineStr">
        <is>
          <t>todo</t>
        </is>
      </c>
    </row>
    <row r="3966">
      <c r="A3966" t="inlineStr">
        <is>
          <t>Martin Coudurier</t>
        </is>
      </c>
      <c r="B3966" t="inlineStr">
        <is>
          <t>Attendee</t>
        </is>
      </c>
      <c r="C3966" t="inlineStr">
        <is>
          <t>Director of Commercial</t>
        </is>
      </c>
      <c r="D3966" t="inlineStr">
        <is>
          <t>NYSHEX</t>
        </is>
      </c>
      <c r="E3966" t="inlineStr">
        <is>
          <t>United States</t>
        </is>
      </c>
      <c r="F3966" t="inlineStr">
        <is>
          <t>Yes</t>
        </is>
      </c>
      <c r="H3966" t="n">
        <v>0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>
        <f>IFERROR(INDEX('Company Hitlist'!$AA:$AA,MATCH(D3966,'Company Hitlist'!$A:$A,0)),)</f>
        <v/>
      </c>
      <c r="O3966">
        <f>IFERROR(INDEX('Company Hitlist'!$N:$N,MATCH(D3966,'Company Hitlist'!$A:$A,0)),)</f>
        <v/>
      </c>
      <c r="Q3966" t="inlineStr">
        <is>
          <t>todo</t>
        </is>
      </c>
    </row>
    <row r="3967">
      <c r="A3967" t="inlineStr">
        <is>
          <t>Gabriela Dominguez</t>
        </is>
      </c>
      <c r="B3967" t="inlineStr">
        <is>
          <t>Sponsor</t>
        </is>
      </c>
      <c r="C3967" t="inlineStr">
        <is>
          <t>Head of Growth</t>
        </is>
      </c>
      <c r="D3967" t="inlineStr">
        <is>
          <t>Nauta</t>
        </is>
      </c>
      <c r="F3967" t="inlineStr">
        <is>
          <t>Yes</t>
        </is>
      </c>
      <c r="H3967" t="n">
        <v>0</v>
      </c>
      <c r="I3967" t="b">
        <v>0</v>
      </c>
      <c r="J3967" t="b">
        <v>1</v>
      </c>
      <c r="K3967" t="b">
        <v>0</v>
      </c>
      <c r="L3967" t="b">
        <v>0</v>
      </c>
      <c r="M3967" t="b">
        <v>1</v>
      </c>
      <c r="N3967">
        <f>IFERROR(INDEX('Company Hitlist'!$AA:$AA,MATCH(D3967,'Company Hitlist'!$A:$A,0)),)</f>
        <v/>
      </c>
      <c r="O3967">
        <f>IFERROR(INDEX('Company Hitlist'!$N:$N,MATCH(D3967,'Company Hitlist'!$A:$A,0)),)</f>
        <v/>
      </c>
      <c r="Q3967" t="inlineStr">
        <is>
          <t>todo</t>
        </is>
      </c>
    </row>
    <row r="3968">
      <c r="A3968" t="inlineStr">
        <is>
          <t>Dan Bombrys</t>
        </is>
      </c>
      <c r="B3968" t="inlineStr">
        <is>
          <t>Sponsor</t>
        </is>
      </c>
      <c r="C3968" t="inlineStr">
        <is>
          <t>Vice President Customer Success</t>
        </is>
      </c>
      <c r="D3968" t="inlineStr">
        <is>
          <t>Neovia Logistics</t>
        </is>
      </c>
      <c r="E3968" t="inlineStr">
        <is>
          <t>United States</t>
        </is>
      </c>
      <c r="F3968" t="inlineStr">
        <is>
          <t>Yes</t>
        </is>
      </c>
      <c r="G3968" t="inlineStr">
        <is>
          <t>$2.4 billion (2025)</t>
        </is>
      </c>
      <c r="H3968" t="n">
        <v>0</v>
      </c>
      <c r="I3968" t="b">
        <v>0</v>
      </c>
      <c r="J3968" t="b">
        <v>1</v>
      </c>
      <c r="K3968" t="b">
        <v>0</v>
      </c>
      <c r="L3968" t="b">
        <v>0</v>
      </c>
      <c r="M3968" t="b">
        <v>1</v>
      </c>
      <c r="N3968">
        <f>IFERROR(INDEX('Company Hitlist'!$AA:$AA,MATCH(D3968,'Company Hitlist'!$A:$A,0)),)</f>
        <v/>
      </c>
      <c r="O3968">
        <f>IFERROR(INDEX('Company Hitlist'!$N:$N,MATCH(D3968,'Company Hitlist'!$A:$A,0)),)</f>
        <v/>
      </c>
      <c r="Q3968" t="inlineStr">
        <is>
          <t>todo</t>
        </is>
      </c>
    </row>
    <row r="3969">
      <c r="A3969" t="inlineStr">
        <is>
          <t>Ursala Fisher</t>
        </is>
      </c>
      <c r="B3969" t="inlineStr">
        <is>
          <t>Attendee</t>
        </is>
      </c>
      <c r="C3969" t="inlineStr">
        <is>
          <t>Senior Manager Vendor Management</t>
        </is>
      </c>
      <c r="D3969" t="inlineStr">
        <is>
          <t>Nespresso</t>
        </is>
      </c>
      <c r="H3969" t="n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>
        <f>IFERROR(INDEX('Company Hitlist'!$AA:$AA,MATCH(D3969,'Company Hitlist'!$A:$A,0)),)</f>
        <v/>
      </c>
      <c r="O3969">
        <f>IFERROR(INDEX('Company Hitlist'!$N:$N,MATCH(D3969,'Company Hitlist'!$A:$A,0)),)</f>
        <v/>
      </c>
      <c r="Q3969" t="inlineStr">
        <is>
          <t>todo</t>
        </is>
      </c>
    </row>
    <row r="3970">
      <c r="A3970" t="inlineStr">
        <is>
          <t>John Sidell</t>
        </is>
      </c>
      <c r="B3970" t="inlineStr">
        <is>
          <t>Attendee</t>
        </is>
      </c>
      <c r="C3970" t="inlineStr">
        <is>
          <t>Managing Principal</t>
        </is>
      </c>
      <c r="D3970" t="inlineStr">
        <is>
          <t>New Course</t>
        </is>
      </c>
      <c r="E3970" t="inlineStr">
        <is>
          <t>United States</t>
        </is>
      </c>
      <c r="H3970" t="n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>
        <f>IFERROR(INDEX('Company Hitlist'!$AA:$AA,MATCH(D3970,'Company Hitlist'!$A:$A,0)),)</f>
        <v/>
      </c>
      <c r="O3970">
        <f>IFERROR(INDEX('Company Hitlist'!$N:$N,MATCH(D3970,'Company Hitlist'!$A:$A,0)),)</f>
        <v/>
      </c>
      <c r="Q3970" t="inlineStr">
        <is>
          <t>todo</t>
        </is>
      </c>
    </row>
    <row r="3971">
      <c r="A3971" t="inlineStr">
        <is>
          <t>Alex Roy</t>
        </is>
      </c>
      <c r="B3971" t="inlineStr">
        <is>
          <t>Attendee</t>
        </is>
      </c>
      <c r="C3971" t="inlineStr">
        <is>
          <t>Co-Founder</t>
        </is>
      </c>
      <c r="D3971" t="inlineStr">
        <is>
          <t>New Industry VC</t>
        </is>
      </c>
      <c r="E3971" t="inlineStr">
        <is>
          <t>United States</t>
        </is>
      </c>
      <c r="F3971" t="inlineStr">
        <is>
          <t>Yes</t>
        </is>
      </c>
      <c r="H3971" t="n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>
        <f>IFERROR(INDEX('Company Hitlist'!$AA:$AA,MATCH(D3971,'Company Hitlist'!$A:$A,0)),)</f>
        <v/>
      </c>
      <c r="O3971">
        <f>IFERROR(INDEX('Company Hitlist'!$N:$N,MATCH(D3971,'Company Hitlist'!$A:$A,0)),)</f>
        <v/>
      </c>
      <c r="Q3971" t="inlineStr">
        <is>
          <t>todo</t>
        </is>
      </c>
    </row>
    <row r="3972">
      <c r="A3972" t="inlineStr">
        <is>
          <t>Gregoire Lehmann</t>
        </is>
      </c>
      <c r="B3972" t="inlineStr">
        <is>
          <t>Attendee</t>
        </is>
      </c>
      <c r="C3972" t="inlineStr">
        <is>
          <t>Partner</t>
        </is>
      </c>
      <c r="D3972" t="inlineStr">
        <is>
          <t>NewRoad Capital Partners</t>
        </is>
      </c>
      <c r="E3972" t="inlineStr">
        <is>
          <t>United States</t>
        </is>
      </c>
      <c r="H3972" t="n">
        <v>0</v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  <c r="N3972">
        <f>IFERROR(INDEX('Company Hitlist'!$AA:$AA,MATCH(D3972,'Company Hitlist'!$A:$A,0)),)</f>
        <v/>
      </c>
      <c r="O3972">
        <f>IFERROR(INDEX('Company Hitlist'!$N:$N,MATCH(D3972,'Company Hitlist'!$A:$A,0)),)</f>
        <v/>
      </c>
      <c r="Q3972" t="inlineStr">
        <is>
          <t>todo</t>
        </is>
      </c>
    </row>
    <row r="3973">
      <c r="A3973" t="inlineStr">
        <is>
          <t>Tracy Black</t>
        </is>
      </c>
      <c r="B3973" t="inlineStr">
        <is>
          <t>Attendee</t>
        </is>
      </c>
      <c r="C3973" t="inlineStr">
        <is>
          <t>Partner</t>
        </is>
      </c>
      <c r="D3973" t="inlineStr">
        <is>
          <t>NewRoad Capital Partners</t>
        </is>
      </c>
      <c r="E3973" t="inlineStr">
        <is>
          <t>United States</t>
        </is>
      </c>
      <c r="H3973" t="n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>
        <f>IFERROR(INDEX('Company Hitlist'!$AA:$AA,MATCH(D3973,'Company Hitlist'!$A:$A,0)),)</f>
        <v/>
      </c>
      <c r="O3973">
        <f>IFERROR(INDEX('Company Hitlist'!$N:$N,MATCH(D3973,'Company Hitlist'!$A:$A,0)),)</f>
        <v/>
      </c>
      <c r="Q3973" t="inlineStr">
        <is>
          <t>todo</t>
        </is>
      </c>
    </row>
    <row r="3974">
      <c r="A3974" t="inlineStr">
        <is>
          <t>Wade Johnston</t>
        </is>
      </c>
      <c r="B3974" t="inlineStr">
        <is>
          <t>Attendee</t>
        </is>
      </c>
      <c r="C3974" t="inlineStr">
        <is>
          <t>Senior Associate</t>
        </is>
      </c>
      <c r="D3974" t="inlineStr">
        <is>
          <t>NewRoad Capital Partners</t>
        </is>
      </c>
      <c r="E3974" t="inlineStr">
        <is>
          <t>United States</t>
        </is>
      </c>
      <c r="H3974" t="n">
        <v>0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>
        <f>IFERROR(INDEX('Company Hitlist'!$AA:$AA,MATCH(D3974,'Company Hitlist'!$A:$A,0)),)</f>
        <v/>
      </c>
      <c r="O3974">
        <f>IFERROR(INDEX('Company Hitlist'!$N:$N,MATCH(D3974,'Company Hitlist'!$A:$A,0)),)</f>
        <v/>
      </c>
      <c r="Q3974" t="inlineStr">
        <is>
          <t>todo</t>
        </is>
      </c>
    </row>
    <row r="3975">
      <c r="A3975" t="inlineStr">
        <is>
          <t>Stephen Levine</t>
        </is>
      </c>
      <c r="B3975" t="inlineStr">
        <is>
          <t>Attendee</t>
        </is>
      </c>
      <c r="C3975" t="inlineStr">
        <is>
          <t>Executive Managing Director</t>
        </is>
      </c>
      <c r="D3975" t="inlineStr">
        <is>
          <t>Newmark</t>
        </is>
      </c>
      <c r="E3975" t="inlineStr">
        <is>
          <t>United States</t>
        </is>
      </c>
      <c r="H3975" t="n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>
        <f>IFERROR(INDEX('Company Hitlist'!$AA:$AA,MATCH(D3975,'Company Hitlist'!$A:$A,0)),)</f>
        <v/>
      </c>
      <c r="O3975">
        <f>IFERROR(INDEX('Company Hitlist'!$N:$N,MATCH(D3975,'Company Hitlist'!$A:$A,0)),)</f>
        <v/>
      </c>
      <c r="Q3975" t="inlineStr">
        <is>
          <t>todo</t>
        </is>
      </c>
    </row>
    <row r="3976">
      <c r="A3976" t="inlineStr">
        <is>
          <t>Chris Schramm</t>
        </is>
      </c>
      <c r="B3976" t="inlineStr">
        <is>
          <t>Attendee</t>
        </is>
      </c>
      <c r="C3976" t="inlineStr">
        <is>
          <t>Director of Solutions</t>
        </is>
      </c>
      <c r="D3976" t="inlineStr">
        <is>
          <t>Nexterus</t>
        </is>
      </c>
      <c r="E3976" t="inlineStr">
        <is>
          <t>United States</t>
        </is>
      </c>
      <c r="H3976" t="n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>
        <f>IFERROR(INDEX('Company Hitlist'!$AA:$AA,MATCH(D3976,'Company Hitlist'!$A:$A,0)),)</f>
        <v/>
      </c>
      <c r="O3976">
        <f>IFERROR(INDEX('Company Hitlist'!$N:$N,MATCH(D3976,'Company Hitlist'!$A:$A,0)),)</f>
        <v/>
      </c>
      <c r="Q3976" t="inlineStr">
        <is>
          <t>todo</t>
        </is>
      </c>
    </row>
    <row r="3977">
      <c r="A3977" t="inlineStr">
        <is>
          <t>Lukesh Singla</t>
        </is>
      </c>
      <c r="B3977" t="inlineStr">
        <is>
          <t>Attendee</t>
        </is>
      </c>
      <c r="C3977" t="inlineStr">
        <is>
          <t>Material Planning Leader</t>
        </is>
      </c>
      <c r="D3977" t="inlineStr">
        <is>
          <t>Nike</t>
        </is>
      </c>
      <c r="F3977" t="inlineStr">
        <is>
          <t>Yes</t>
        </is>
      </c>
      <c r="H3977" t="n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>
        <f>IFERROR(INDEX('Company Hitlist'!$AA:$AA,MATCH(D3977,'Company Hitlist'!$A:$A,0)),)</f>
        <v/>
      </c>
      <c r="O3977">
        <f>IFERROR(INDEX('Company Hitlist'!$N:$N,MATCH(D3977,'Company Hitlist'!$A:$A,0)),)</f>
        <v/>
      </c>
      <c r="Q3977" t="inlineStr">
        <is>
          <t>todo</t>
        </is>
      </c>
    </row>
    <row r="3978">
      <c r="A3978" t="inlineStr">
        <is>
          <t>Brian Gooch</t>
        </is>
      </c>
      <c r="B3978" t="inlineStr">
        <is>
          <t>Attendee</t>
        </is>
      </c>
      <c r="C3978" t="inlineStr">
        <is>
          <t>Sr. Manager, Capacity Performance and Planning</t>
        </is>
      </c>
      <c r="D3978" t="inlineStr">
        <is>
          <t>Nike</t>
        </is>
      </c>
      <c r="H3978" t="n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>
        <f>IFERROR(INDEX('Company Hitlist'!$AA:$AA,MATCH(D3978,'Company Hitlist'!$A:$A,0)),)</f>
        <v/>
      </c>
      <c r="O3978">
        <f>IFERROR(INDEX('Company Hitlist'!$N:$N,MATCH(D3978,'Company Hitlist'!$A:$A,0)),)</f>
        <v/>
      </c>
      <c r="Q3978" t="inlineStr">
        <is>
          <t>todo</t>
        </is>
      </c>
    </row>
    <row r="3979">
      <c r="A3979" t="inlineStr">
        <is>
          <t>Brian Gooch</t>
        </is>
      </c>
      <c r="B3979" t="inlineStr">
        <is>
          <t>Attendee</t>
        </is>
      </c>
      <c r="C3979" t="inlineStr">
        <is>
          <t>Sr Manager, Analytics</t>
        </is>
      </c>
      <c r="D3979" t="inlineStr">
        <is>
          <t>Nike, Inc</t>
        </is>
      </c>
      <c r="H3979" t="n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>
        <f>IFERROR(INDEX('Company Hitlist'!$AA:$AA,MATCH(D3979,'Company Hitlist'!$A:$A,0)),)</f>
        <v/>
      </c>
      <c r="O3979">
        <f>IFERROR(INDEX('Company Hitlist'!$N:$N,MATCH(D3979,'Company Hitlist'!$A:$A,0)),)</f>
        <v/>
      </c>
      <c r="Q3979" t="inlineStr">
        <is>
          <t>todo</t>
        </is>
      </c>
    </row>
    <row r="3980">
      <c r="A3980" t="inlineStr">
        <is>
          <t>DQ Robinson</t>
        </is>
      </c>
      <c r="B3980" t="inlineStr">
        <is>
          <t>Attendee</t>
        </is>
      </c>
      <c r="C3980" t="inlineStr">
        <is>
          <t>eCommerce Director</t>
        </is>
      </c>
      <c r="D3980" t="inlineStr">
        <is>
          <t>Nordic Naturals</t>
        </is>
      </c>
      <c r="F3980" t="inlineStr">
        <is>
          <t>Yes</t>
        </is>
      </c>
      <c r="H3980" t="n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>
        <f>IFERROR(INDEX('Company Hitlist'!$AA:$AA,MATCH(D3980,'Company Hitlist'!$A:$A,0)),)</f>
        <v/>
      </c>
      <c r="O3980">
        <f>IFERROR(INDEX('Company Hitlist'!$N:$N,MATCH(D3980,'Company Hitlist'!$A:$A,0)),)</f>
        <v/>
      </c>
      <c r="Q3980" t="inlineStr">
        <is>
          <t>todo</t>
        </is>
      </c>
    </row>
    <row r="3981">
      <c r="A3981" t="inlineStr">
        <is>
          <t>Vasant Kamath</t>
        </is>
      </c>
      <c r="B3981" t="inlineStr">
        <is>
          <t>Attendee</t>
        </is>
      </c>
      <c r="C3981" t="inlineStr">
        <is>
          <t>General Partner</t>
        </is>
      </c>
      <c r="D3981" t="inlineStr">
        <is>
          <t>Noro Moseley Partners</t>
        </is>
      </c>
      <c r="E3981" t="inlineStr">
        <is>
          <t>United States</t>
        </is>
      </c>
      <c r="H3981" t="n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  <c r="N3981">
        <f>IFERROR(INDEX('Company Hitlist'!$AA:$AA,MATCH(D3981,'Company Hitlist'!$A:$A,0)),)</f>
        <v/>
      </c>
      <c r="O3981">
        <f>IFERROR(INDEX('Company Hitlist'!$N:$N,MATCH(D3981,'Company Hitlist'!$A:$A,0)),)</f>
        <v/>
      </c>
      <c r="Q3981" t="inlineStr">
        <is>
          <t>todo</t>
        </is>
      </c>
    </row>
    <row r="3982">
      <c r="A3982" t="inlineStr">
        <is>
          <t>Kyle Ackley</t>
        </is>
      </c>
      <c r="B3982" t="inlineStr">
        <is>
          <t>Sponsor</t>
        </is>
      </c>
      <c r="C3982" t="inlineStr">
        <is>
          <t>VP of Sales</t>
        </is>
      </c>
      <c r="D3982" t="inlineStr">
        <is>
          <t>Nutrifresh Holdings LLC dba ColdTrack</t>
        </is>
      </c>
      <c r="H3982" t="n">
        <v>0</v>
      </c>
      <c r="I3982" t="b">
        <v>0</v>
      </c>
      <c r="J3982" t="b">
        <v>1</v>
      </c>
      <c r="K3982" t="b">
        <v>0</v>
      </c>
      <c r="L3982" t="b">
        <v>0</v>
      </c>
      <c r="M3982" t="b">
        <v>1</v>
      </c>
      <c r="N3982">
        <f>IFERROR(INDEX('Company Hitlist'!$AA:$AA,MATCH(D3982,'Company Hitlist'!$A:$A,0)),)</f>
        <v/>
      </c>
      <c r="O3982">
        <f>IFERROR(INDEX('Company Hitlist'!$N:$N,MATCH(D3982,'Company Hitlist'!$A:$A,0)),)</f>
        <v/>
      </c>
      <c r="Q3982" t="inlineStr">
        <is>
          <t>todo</t>
        </is>
      </c>
    </row>
    <row r="3983">
      <c r="A3983" t="inlineStr">
        <is>
          <t>Warner Siebert</t>
        </is>
      </c>
      <c r="B3983" t="inlineStr">
        <is>
          <t>Sponsor</t>
        </is>
      </c>
      <c r="C3983" t="inlineStr">
        <is>
          <t>Chief Revenue Officer</t>
        </is>
      </c>
      <c r="D3983" t="inlineStr">
        <is>
          <t>Nutrifresh Holdings LLC dba ColdTrack</t>
        </is>
      </c>
      <c r="H3983" t="n">
        <v>0</v>
      </c>
      <c r="I3983" t="b">
        <v>0</v>
      </c>
      <c r="J3983" t="b">
        <v>1</v>
      </c>
      <c r="K3983" t="b">
        <v>0</v>
      </c>
      <c r="L3983" t="b">
        <v>0</v>
      </c>
      <c r="M3983" t="b">
        <v>1</v>
      </c>
      <c r="N3983">
        <f>IFERROR(INDEX('Company Hitlist'!$AA:$AA,MATCH(D3983,'Company Hitlist'!$A:$A,0)),)</f>
        <v/>
      </c>
      <c r="O3983">
        <f>IFERROR(INDEX('Company Hitlist'!$N:$N,MATCH(D3983,'Company Hitlist'!$A:$A,0)),)</f>
        <v/>
      </c>
      <c r="Q3983" t="inlineStr">
        <is>
          <t>todo</t>
        </is>
      </c>
    </row>
    <row r="3984">
      <c r="A3984" t="inlineStr">
        <is>
          <t>Jeff Clark</t>
        </is>
      </c>
      <c r="B3984" t="inlineStr">
        <is>
          <t>Sponsor</t>
        </is>
      </c>
      <c r="C3984" t="inlineStr">
        <is>
          <t>Executive Vice President of Sales &amp; Marketing</t>
        </is>
      </c>
      <c r="D3984" t="inlineStr">
        <is>
          <t>ODW Logistics</t>
        </is>
      </c>
      <c r="E3984" t="inlineStr">
        <is>
          <t>United States</t>
        </is>
      </c>
      <c r="F3984" t="inlineStr">
        <is>
          <t>Yes</t>
        </is>
      </c>
      <c r="G3984" t="inlineStr">
        <is>
          <t>$685.8 million (2025)</t>
        </is>
      </c>
      <c r="H3984" t="n">
        <v>0</v>
      </c>
      <c r="I3984" t="b">
        <v>0</v>
      </c>
      <c r="J3984" t="b">
        <v>1</v>
      </c>
      <c r="K3984" t="b">
        <v>0</v>
      </c>
      <c r="L3984" t="b">
        <v>0</v>
      </c>
      <c r="M3984" t="b">
        <v>1</v>
      </c>
      <c r="N3984">
        <f>IFERROR(INDEX('Company Hitlist'!$AA:$AA,MATCH(D3984,'Company Hitlist'!$A:$A,0)),)</f>
        <v/>
      </c>
      <c r="O3984">
        <f>IFERROR(INDEX('Company Hitlist'!$N:$N,MATCH(D3984,'Company Hitlist'!$A:$A,0)),)</f>
        <v/>
      </c>
      <c r="Q3984" t="inlineStr">
        <is>
          <t>todo</t>
        </is>
      </c>
    </row>
    <row r="3985">
      <c r="A3985" t="inlineStr">
        <is>
          <t>Anthony Bradish</t>
        </is>
      </c>
      <c r="B3985" t="inlineStr">
        <is>
          <t>Sponsor</t>
        </is>
      </c>
      <c r="C3985" t="inlineStr">
        <is>
          <t>Vice President of Sales</t>
        </is>
      </c>
      <c r="D3985" t="inlineStr">
        <is>
          <t>ODW Logistics</t>
        </is>
      </c>
      <c r="H3985" t="n">
        <v>0</v>
      </c>
      <c r="I3985" t="b">
        <v>0</v>
      </c>
      <c r="J3985" t="b">
        <v>1</v>
      </c>
      <c r="K3985" t="b">
        <v>0</v>
      </c>
      <c r="L3985" t="b">
        <v>0</v>
      </c>
      <c r="M3985" t="b">
        <v>1</v>
      </c>
      <c r="N3985">
        <f>IFERROR(INDEX('Company Hitlist'!$AA:$AA,MATCH(D3985,'Company Hitlist'!$A:$A,0)),)</f>
        <v/>
      </c>
      <c r="O3985">
        <f>IFERROR(INDEX('Company Hitlist'!$N:$N,MATCH(D3985,'Company Hitlist'!$A:$A,0)),)</f>
        <v/>
      </c>
      <c r="Q3985" t="inlineStr">
        <is>
          <t>todo</t>
        </is>
      </c>
    </row>
    <row r="3986">
      <c r="A3986" t="inlineStr">
        <is>
          <t>Dave Gutierrez</t>
        </is>
      </c>
      <c r="B3986" t="inlineStr">
        <is>
          <t>Sponsor</t>
        </is>
      </c>
      <c r="C3986" t="inlineStr">
        <is>
          <t>VP Sales &amp; Business Development</t>
        </is>
      </c>
      <c r="D3986" t="inlineStr">
        <is>
          <t>OLIMP Warehousing</t>
        </is>
      </c>
      <c r="H3986" t="n">
        <v>0</v>
      </c>
      <c r="I3986" t="b">
        <v>0</v>
      </c>
      <c r="J3986" t="b">
        <v>1</v>
      </c>
      <c r="K3986" t="b">
        <v>0</v>
      </c>
      <c r="L3986" t="b">
        <v>0</v>
      </c>
      <c r="M3986" t="b">
        <v>1</v>
      </c>
      <c r="N3986">
        <f>IFERROR(INDEX('Company Hitlist'!$AA:$AA,MATCH(D3986,'Company Hitlist'!$A:$A,0)),)</f>
        <v/>
      </c>
      <c r="O3986">
        <f>IFERROR(INDEX('Company Hitlist'!$N:$N,MATCH(D3986,'Company Hitlist'!$A:$A,0)),)</f>
        <v/>
      </c>
      <c r="Q3986" t="inlineStr">
        <is>
          <t>todo</t>
        </is>
      </c>
    </row>
    <row r="3987">
      <c r="A3987" t="inlineStr">
        <is>
          <t>Andrew Driscoll</t>
        </is>
      </c>
      <c r="B3987" t="inlineStr">
        <is>
          <t>Attendee</t>
        </is>
      </c>
      <c r="C3987" t="inlineStr">
        <is>
          <t>Global Commercial Lead</t>
        </is>
      </c>
      <c r="D3987" t="inlineStr">
        <is>
          <t>OMP</t>
        </is>
      </c>
      <c r="E3987" t="inlineStr">
        <is>
          <t>United States</t>
        </is>
      </c>
      <c r="F3987" t="inlineStr">
        <is>
          <t>Yes</t>
        </is>
      </c>
      <c r="H3987" t="n">
        <v>0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>
        <f>IFERROR(INDEX('Company Hitlist'!$AA:$AA,MATCH(D3987,'Company Hitlist'!$A:$A,0)),)</f>
        <v/>
      </c>
      <c r="O3987">
        <f>IFERROR(INDEX('Company Hitlist'!$N:$N,MATCH(D3987,'Company Hitlist'!$A:$A,0)),)</f>
        <v/>
      </c>
      <c r="Q3987" t="inlineStr">
        <is>
          <t>todo</t>
        </is>
      </c>
    </row>
    <row r="3988">
      <c r="A3988" t="inlineStr">
        <is>
          <t>Alden Gomez</t>
        </is>
      </c>
      <c r="B3988" t="inlineStr">
        <is>
          <t>Attendee</t>
        </is>
      </c>
      <c r="C3988" t="inlineStr">
        <is>
          <t>Co-Founder</t>
        </is>
      </c>
      <c r="D3988" t="inlineStr">
        <is>
          <t>OTR Load Board</t>
        </is>
      </c>
      <c r="E3988" t="inlineStr">
        <is>
          <t>United States</t>
        </is>
      </c>
      <c r="F3988" t="inlineStr">
        <is>
          <t>Yes</t>
        </is>
      </c>
      <c r="H3988" t="n">
        <v>0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>
        <f>IFERROR(INDEX('Company Hitlist'!$AA:$AA,MATCH(D3988,'Company Hitlist'!$A:$A,0)),)</f>
        <v/>
      </c>
      <c r="O3988">
        <f>IFERROR(INDEX('Company Hitlist'!$N:$N,MATCH(D3988,'Company Hitlist'!$A:$A,0)),)</f>
        <v/>
      </c>
      <c r="Q3988" t="inlineStr">
        <is>
          <t>todo</t>
        </is>
      </c>
    </row>
    <row r="3989">
      <c r="A3989" t="inlineStr">
        <is>
          <t>Thomas Estrella</t>
        </is>
      </c>
      <c r="B3989" t="inlineStr">
        <is>
          <t>Attendee</t>
        </is>
      </c>
      <c r="C3989" t="inlineStr">
        <is>
          <t>Co-Founder</t>
        </is>
      </c>
      <c r="D3989" t="inlineStr">
        <is>
          <t>OTR Load Board</t>
        </is>
      </c>
      <c r="E3989" t="inlineStr">
        <is>
          <t>United States</t>
        </is>
      </c>
      <c r="F3989" t="inlineStr">
        <is>
          <t>Yes</t>
        </is>
      </c>
      <c r="H3989" t="n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>
        <f>IFERROR(INDEX('Company Hitlist'!$AA:$AA,MATCH(D3989,'Company Hitlist'!$A:$A,0)),)</f>
        <v/>
      </c>
      <c r="O3989">
        <f>IFERROR(INDEX('Company Hitlist'!$N:$N,MATCH(D3989,'Company Hitlist'!$A:$A,0)),)</f>
        <v/>
      </c>
      <c r="Q3989" t="inlineStr">
        <is>
          <t>todo</t>
        </is>
      </c>
    </row>
    <row r="3990">
      <c r="A3990" t="inlineStr">
        <is>
          <t>Joanne Sheard</t>
        </is>
      </c>
      <c r="B3990" t="inlineStr">
        <is>
          <t>Attendee</t>
        </is>
      </c>
      <c r="C3990" t="inlineStr">
        <is>
          <t>Director of IT/Admin</t>
        </is>
      </c>
      <c r="D3990" t="inlineStr">
        <is>
          <t>OVERSEAS CONTAINER FORWARDING</t>
        </is>
      </c>
      <c r="F3990" t="inlineStr">
        <is>
          <t>Yes</t>
        </is>
      </c>
      <c r="H3990" t="n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>
        <f>IFERROR(INDEX('Company Hitlist'!$AA:$AA,MATCH(D3990,'Company Hitlist'!$A:$A,0)),)</f>
        <v/>
      </c>
      <c r="O3990">
        <f>IFERROR(INDEX('Company Hitlist'!$N:$N,MATCH(D3990,'Company Hitlist'!$A:$A,0)),)</f>
        <v/>
      </c>
      <c r="Q3990" t="inlineStr">
        <is>
          <t>todo</t>
        </is>
      </c>
    </row>
    <row r="3991">
      <c r="A3991" t="inlineStr">
        <is>
          <t>Jack Barden</t>
        </is>
      </c>
      <c r="B3991" t="inlineStr">
        <is>
          <t>Attendee</t>
        </is>
      </c>
      <c r="C3991" t="inlineStr">
        <is>
          <t>National Account Manager</t>
        </is>
      </c>
      <c r="D3991" t="inlineStr">
        <is>
          <t>Oak Harbor Freight Lines</t>
        </is>
      </c>
      <c r="E3991" t="inlineStr">
        <is>
          <t>United States</t>
        </is>
      </c>
      <c r="H3991" t="n">
        <v>0</v>
      </c>
      <c r="I3991" t="b">
        <v>0</v>
      </c>
      <c r="J3991" t="b">
        <v>0</v>
      </c>
      <c r="K3991" t="b">
        <v>0</v>
      </c>
      <c r="L3991" t="b">
        <v>0</v>
      </c>
      <c r="M3991" t="b">
        <v>0</v>
      </c>
      <c r="N3991">
        <f>IFERROR(INDEX('Company Hitlist'!$AA:$AA,MATCH(D3991,'Company Hitlist'!$A:$A,0)),)</f>
        <v/>
      </c>
      <c r="O3991">
        <f>IFERROR(INDEX('Company Hitlist'!$N:$N,MATCH(D3991,'Company Hitlist'!$A:$A,0)),)</f>
        <v/>
      </c>
      <c r="Q3991" t="inlineStr">
        <is>
          <t>todo</t>
        </is>
      </c>
    </row>
    <row r="3992">
      <c r="A3992" t="inlineStr">
        <is>
          <t>Tracy Niehaus</t>
        </is>
      </c>
      <c r="B3992" t="inlineStr">
        <is>
          <t>Sponsor</t>
        </is>
      </c>
      <c r="C3992" t="inlineStr">
        <is>
          <t>Global Vice President of Marketing</t>
        </is>
      </c>
      <c r="D3992" t="inlineStr">
        <is>
          <t>Ocado Intelligent Automation</t>
        </is>
      </c>
      <c r="E3992" t="inlineStr">
        <is>
          <t>United Kingdom</t>
        </is>
      </c>
      <c r="H3992" t="n">
        <v>0</v>
      </c>
      <c r="I3992" t="b">
        <v>0</v>
      </c>
      <c r="J3992" t="b">
        <v>1</v>
      </c>
      <c r="K3992" t="b">
        <v>0</v>
      </c>
      <c r="L3992" t="b">
        <v>0</v>
      </c>
      <c r="M3992" t="b">
        <v>1</v>
      </c>
      <c r="N3992">
        <f>IFERROR(INDEX('Company Hitlist'!$AA:$AA,MATCH(D3992,'Company Hitlist'!$A:$A,0)),)</f>
        <v/>
      </c>
      <c r="O3992">
        <f>IFERROR(INDEX('Company Hitlist'!$N:$N,MATCH(D3992,'Company Hitlist'!$A:$A,0)),)</f>
        <v/>
      </c>
      <c r="Q3992" t="inlineStr">
        <is>
          <t>todo</t>
        </is>
      </c>
    </row>
    <row r="3993">
      <c r="A3993" t="inlineStr">
        <is>
          <t>Royanna Chappell</t>
        </is>
      </c>
      <c r="B3993" t="inlineStr">
        <is>
          <t>Sponsor</t>
        </is>
      </c>
      <c r="C3993" t="inlineStr">
        <is>
          <t>VP of Business Development</t>
        </is>
      </c>
      <c r="D3993" t="inlineStr">
        <is>
          <t>Ocado Intelligent Automation</t>
        </is>
      </c>
      <c r="E3993" t="inlineStr">
        <is>
          <t>United States</t>
        </is>
      </c>
      <c r="H3993" t="n">
        <v>0</v>
      </c>
      <c r="I3993" t="b">
        <v>0</v>
      </c>
      <c r="J3993" t="b">
        <v>1</v>
      </c>
      <c r="K3993" t="b">
        <v>0</v>
      </c>
      <c r="L3993" t="b">
        <v>0</v>
      </c>
      <c r="M3993" t="b">
        <v>1</v>
      </c>
      <c r="N3993">
        <f>IFERROR(INDEX('Company Hitlist'!$AA:$AA,MATCH(D3993,'Company Hitlist'!$A:$A,0)),)</f>
        <v/>
      </c>
      <c r="O3993">
        <f>IFERROR(INDEX('Company Hitlist'!$N:$N,MATCH(D3993,'Company Hitlist'!$A:$A,0)),)</f>
        <v/>
      </c>
      <c r="Q3993" t="inlineStr">
        <is>
          <t>todo</t>
        </is>
      </c>
    </row>
    <row r="3994">
      <c r="A3994" t="inlineStr">
        <is>
          <t>David Scheffrahn</t>
        </is>
      </c>
      <c r="B3994" t="inlineStr">
        <is>
          <t>Sponsor</t>
        </is>
      </c>
      <c r="C3994" t="inlineStr">
        <is>
          <t>VP of Sales</t>
        </is>
      </c>
      <c r="D3994" t="inlineStr">
        <is>
          <t>Ocado Intelligent Automation</t>
        </is>
      </c>
      <c r="H3994" t="n">
        <v>0</v>
      </c>
      <c r="I3994" t="b">
        <v>0</v>
      </c>
      <c r="J3994" t="b">
        <v>1</v>
      </c>
      <c r="K3994" t="b">
        <v>0</v>
      </c>
      <c r="L3994" t="b">
        <v>0</v>
      </c>
      <c r="M3994" t="b">
        <v>1</v>
      </c>
      <c r="N3994">
        <f>IFERROR(INDEX('Company Hitlist'!$AA:$AA,MATCH(D3994,'Company Hitlist'!$A:$A,0)),)</f>
        <v/>
      </c>
      <c r="O3994">
        <f>IFERROR(INDEX('Company Hitlist'!$N:$N,MATCH(D3994,'Company Hitlist'!$A:$A,0)),)</f>
        <v/>
      </c>
      <c r="Q3994" t="inlineStr">
        <is>
          <t>todo</t>
        </is>
      </c>
    </row>
    <row r="3995">
      <c r="A3995" t="inlineStr">
        <is>
          <t>Jamie Spencer</t>
        </is>
      </c>
      <c r="B3995" t="inlineStr">
        <is>
          <t>Sponsor</t>
        </is>
      </c>
      <c r="C3995" t="inlineStr">
        <is>
          <t>VP of Sales</t>
        </is>
      </c>
      <c r="D3995" t="inlineStr">
        <is>
          <t>Ocado Intelligent Automation</t>
        </is>
      </c>
      <c r="H3995" t="n">
        <v>0</v>
      </c>
      <c r="I3995" t="b">
        <v>0</v>
      </c>
      <c r="J3995" t="b">
        <v>1</v>
      </c>
      <c r="K3995" t="b">
        <v>0</v>
      </c>
      <c r="L3995" t="b">
        <v>0</v>
      </c>
      <c r="M3995" t="b">
        <v>1</v>
      </c>
      <c r="N3995">
        <f>IFERROR(INDEX('Company Hitlist'!$AA:$AA,MATCH(D3995,'Company Hitlist'!$A:$A,0)),)</f>
        <v/>
      </c>
      <c r="O3995">
        <f>IFERROR(INDEX('Company Hitlist'!$N:$N,MATCH(D3995,'Company Hitlist'!$A:$A,0)),)</f>
        <v/>
      </c>
      <c r="Q3995" t="inlineStr">
        <is>
          <t>todo</t>
        </is>
      </c>
    </row>
    <row r="3996">
      <c r="A3996" t="inlineStr">
        <is>
          <t>Ava Barnes</t>
        </is>
      </c>
      <c r="B3996" t="inlineStr">
        <is>
          <t>Sponsor</t>
        </is>
      </c>
      <c r="C3996" t="inlineStr">
        <is>
          <t>Head of Marketing</t>
        </is>
      </c>
      <c r="D3996" t="inlineStr">
        <is>
          <t>Octup</t>
        </is>
      </c>
      <c r="F3996" t="inlineStr">
        <is>
          <t>Yes</t>
        </is>
      </c>
      <c r="H3996" t="n">
        <v>0</v>
      </c>
      <c r="I3996" t="b">
        <v>0</v>
      </c>
      <c r="J3996" t="b">
        <v>1</v>
      </c>
      <c r="K3996" t="b">
        <v>0</v>
      </c>
      <c r="L3996" t="b">
        <v>0</v>
      </c>
      <c r="M3996" t="b">
        <v>1</v>
      </c>
      <c r="N3996">
        <f>IFERROR(INDEX('Company Hitlist'!$AA:$AA,MATCH(D3996,'Company Hitlist'!$A:$A,0)),)</f>
        <v/>
      </c>
      <c r="O3996">
        <f>IFERROR(INDEX('Company Hitlist'!$N:$N,MATCH(D3996,'Company Hitlist'!$A:$A,0)),)</f>
        <v/>
      </c>
      <c r="Q3996" t="inlineStr">
        <is>
          <t>todo</t>
        </is>
      </c>
    </row>
    <row r="3997">
      <c r="A3997" t="inlineStr">
        <is>
          <t>Nathan Weber</t>
        </is>
      </c>
      <c r="B3997" t="inlineStr">
        <is>
          <t>Attendee</t>
        </is>
      </c>
      <c r="C3997" t="inlineStr">
        <is>
          <t>Project Manager</t>
        </is>
      </c>
      <c r="D3997" t="inlineStr">
        <is>
          <t>OfficeWorld</t>
        </is>
      </c>
      <c r="H3997" t="n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>
        <f>IFERROR(INDEX('Company Hitlist'!$AA:$AA,MATCH(D3997,'Company Hitlist'!$A:$A,0)),)</f>
        <v/>
      </c>
      <c r="O3997">
        <f>IFERROR(INDEX('Company Hitlist'!$N:$N,MATCH(D3997,'Company Hitlist'!$A:$A,0)),)</f>
        <v/>
      </c>
      <c r="Q3997" t="inlineStr">
        <is>
          <t>todo</t>
        </is>
      </c>
    </row>
    <row r="3998">
      <c r="A3998" t="inlineStr">
        <is>
          <t>Ken Kahn</t>
        </is>
      </c>
      <c r="B3998" t="inlineStr">
        <is>
          <t>Attendee</t>
        </is>
      </c>
      <c r="C3998" t="inlineStr">
        <is>
          <t>Professor</t>
        </is>
      </c>
      <c r="D3998" t="inlineStr">
        <is>
          <t>Old Dominion University</t>
        </is>
      </c>
      <c r="E3998" t="inlineStr">
        <is>
          <t>United States</t>
        </is>
      </c>
      <c r="H3998" t="n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>
        <f>IFERROR(INDEX('Company Hitlist'!$AA:$AA,MATCH(D3998,'Company Hitlist'!$A:$A,0)),)</f>
        <v/>
      </c>
      <c r="O3998">
        <f>IFERROR(INDEX('Company Hitlist'!$N:$N,MATCH(D3998,'Company Hitlist'!$A:$A,0)),)</f>
        <v/>
      </c>
      <c r="Q3998" t="inlineStr">
        <is>
          <t>todo</t>
        </is>
      </c>
    </row>
    <row r="3999">
      <c r="A3999" t="inlineStr">
        <is>
          <t>Garrett Long</t>
        </is>
      </c>
      <c r="B3999" t="inlineStr">
        <is>
          <t>Attendee</t>
        </is>
      </c>
      <c r="C3999" t="inlineStr">
        <is>
          <t>CMO</t>
        </is>
      </c>
      <c r="D3999" t="inlineStr">
        <is>
          <t>Omnifold</t>
        </is>
      </c>
      <c r="E3999" t="inlineStr">
        <is>
          <t>United States</t>
        </is>
      </c>
      <c r="F3999" t="inlineStr">
        <is>
          <t>Yes</t>
        </is>
      </c>
      <c r="H3999" t="n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>
        <f>IFERROR(INDEX('Company Hitlist'!$AA:$AA,MATCH(D3999,'Company Hitlist'!$A:$A,0)),)</f>
        <v/>
      </c>
      <c r="O3999">
        <f>IFERROR(INDEX('Company Hitlist'!$N:$N,MATCH(D3999,'Company Hitlist'!$A:$A,0)),)</f>
        <v/>
      </c>
      <c r="Q3999" t="inlineStr">
        <is>
          <t>todo</t>
        </is>
      </c>
    </row>
    <row r="4000">
      <c r="A4000" t="inlineStr">
        <is>
          <t>Lisa Catania</t>
        </is>
      </c>
      <c r="B4000" t="inlineStr">
        <is>
          <t>Sponsor</t>
        </is>
      </c>
      <c r="C4000" t="inlineStr">
        <is>
          <t>Co-Founder &amp; EVP, Customer Success &amp; Marketing</t>
        </is>
      </c>
      <c r="D4000" t="inlineStr">
        <is>
          <t>OneRail</t>
        </is>
      </c>
      <c r="E4000" t="inlineStr">
        <is>
          <t>United States</t>
        </is>
      </c>
      <c r="F4000" t="inlineStr">
        <is>
          <t>Yes</t>
        </is>
      </c>
      <c r="G4000" t="inlineStr">
        <is>
          <t>$31.5 million (2025)</t>
        </is>
      </c>
      <c r="H4000" t="n">
        <v>0</v>
      </c>
      <c r="I4000" t="b">
        <v>0</v>
      </c>
      <c r="J4000" t="b">
        <v>1</v>
      </c>
      <c r="K4000" t="b">
        <v>0</v>
      </c>
      <c r="L4000" t="b">
        <v>0</v>
      </c>
      <c r="M4000" t="b">
        <v>1</v>
      </c>
      <c r="N4000">
        <f>IFERROR(INDEX('Company Hitlist'!$AA:$AA,MATCH(D4000,'Company Hitlist'!$A:$A,0)),)</f>
        <v/>
      </c>
      <c r="O4000">
        <f>IFERROR(INDEX('Company Hitlist'!$N:$N,MATCH(D4000,'Company Hitlist'!$A:$A,0)),)</f>
        <v/>
      </c>
      <c r="Q4000" t="inlineStr">
        <is>
          <t>todo</t>
        </is>
      </c>
    </row>
    <row r="4001">
      <c r="A4001" t="inlineStr">
        <is>
          <t>Nick Palczynski</t>
        </is>
      </c>
      <c r="B4001" t="inlineStr">
        <is>
          <t>Attendee</t>
        </is>
      </c>
      <c r="C4001" t="inlineStr">
        <is>
          <t>Director of Strategic Partnerships</t>
        </is>
      </c>
      <c r="D4001" t="inlineStr">
        <is>
          <t>OneTrack</t>
        </is>
      </c>
      <c r="E4001" t="inlineStr">
        <is>
          <t>United States</t>
        </is>
      </c>
      <c r="F4001" t="inlineStr">
        <is>
          <t>Yes</t>
        </is>
      </c>
      <c r="H4001" t="n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  <c r="N4001">
        <f>IFERROR(INDEX('Company Hitlist'!$AA:$AA,MATCH(D4001,'Company Hitlist'!$A:$A,0)),)</f>
        <v/>
      </c>
      <c r="O4001">
        <f>IFERROR(INDEX('Company Hitlist'!$N:$N,MATCH(D4001,'Company Hitlist'!$A:$A,0)),)</f>
        <v/>
      </c>
      <c r="Q4001" t="inlineStr">
        <is>
          <t>todo</t>
        </is>
      </c>
    </row>
    <row r="4002">
      <c r="A4002" t="inlineStr">
        <is>
          <t>Steven Melvin</t>
        </is>
      </c>
      <c r="B4002" t="inlineStr">
        <is>
          <t>Attendee</t>
        </is>
      </c>
      <c r="C4002" t="inlineStr">
        <is>
          <t>Director, Client Management</t>
        </is>
      </c>
      <c r="D4002" t="inlineStr">
        <is>
          <t>OneTrack</t>
        </is>
      </c>
      <c r="E4002" t="inlineStr">
        <is>
          <t>United States</t>
        </is>
      </c>
      <c r="F4002" t="inlineStr">
        <is>
          <t>Yes</t>
        </is>
      </c>
      <c r="H4002" t="n">
        <v>0</v>
      </c>
      <c r="I4002" t="b">
        <v>0</v>
      </c>
      <c r="J4002" t="b">
        <v>0</v>
      </c>
      <c r="K4002" t="b">
        <v>0</v>
      </c>
      <c r="L4002" t="b">
        <v>0</v>
      </c>
      <c r="M4002" t="b">
        <v>0</v>
      </c>
      <c r="N4002">
        <f>IFERROR(INDEX('Company Hitlist'!$AA:$AA,MATCH(D4002,'Company Hitlist'!$A:$A,0)),)</f>
        <v/>
      </c>
      <c r="O4002">
        <f>IFERROR(INDEX('Company Hitlist'!$N:$N,MATCH(D4002,'Company Hitlist'!$A:$A,0)),)</f>
        <v/>
      </c>
      <c r="Q4002" t="inlineStr">
        <is>
          <t>todo</t>
        </is>
      </c>
    </row>
    <row r="4003">
      <c r="A4003" t="inlineStr">
        <is>
          <t>Jacob Dahl</t>
        </is>
      </c>
      <c r="B4003" t="inlineStr">
        <is>
          <t>Sponsor</t>
        </is>
      </c>
      <c r="C4003" t="inlineStr">
        <is>
          <t>VP of Sales and Marketing</t>
        </is>
      </c>
      <c r="D4003" t="inlineStr">
        <is>
          <t>Onsharp - Custom Software</t>
        </is>
      </c>
      <c r="E4003" t="inlineStr">
        <is>
          <t>United States</t>
        </is>
      </c>
      <c r="F4003" t="inlineStr">
        <is>
          <t>Yes</t>
        </is>
      </c>
      <c r="H4003" t="n">
        <v>0</v>
      </c>
      <c r="I4003" t="b">
        <v>0</v>
      </c>
      <c r="J4003" t="b">
        <v>1</v>
      </c>
      <c r="K4003" t="b">
        <v>0</v>
      </c>
      <c r="L4003" t="b">
        <v>0</v>
      </c>
      <c r="M4003" t="b">
        <v>1</v>
      </c>
      <c r="N4003">
        <f>IFERROR(INDEX('Company Hitlist'!$AA:$AA,MATCH(D4003,'Company Hitlist'!$A:$A,0)),)</f>
        <v/>
      </c>
      <c r="O4003">
        <f>IFERROR(INDEX('Company Hitlist'!$N:$N,MATCH(D4003,'Company Hitlist'!$A:$A,0)),)</f>
        <v/>
      </c>
      <c r="Q4003" t="inlineStr">
        <is>
          <t>todo</t>
        </is>
      </c>
    </row>
    <row r="4004">
      <c r="A4004" t="inlineStr">
        <is>
          <t>Elizabeth Weisensee</t>
        </is>
      </c>
      <c r="B4004" t="inlineStr">
        <is>
          <t>Attendee</t>
        </is>
      </c>
      <c r="C4004" t="inlineStr">
        <is>
          <t>Secretary/Treasurer</t>
        </is>
      </c>
      <c r="D4004" t="inlineStr">
        <is>
          <t>OpenRoad Global</t>
        </is>
      </c>
      <c r="E4004" t="inlineStr">
        <is>
          <t>United States</t>
        </is>
      </c>
      <c r="F4004" t="inlineStr">
        <is>
          <t>Yes</t>
        </is>
      </c>
      <c r="H4004" t="n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>
        <f>IFERROR(INDEX('Company Hitlist'!$AA:$AA,MATCH(D4004,'Company Hitlist'!$A:$A,0)),)</f>
        <v/>
      </c>
      <c r="O4004">
        <f>IFERROR(INDEX('Company Hitlist'!$N:$N,MATCH(D4004,'Company Hitlist'!$A:$A,0)),)</f>
        <v/>
      </c>
      <c r="Q4004" t="inlineStr">
        <is>
          <t>todo</t>
        </is>
      </c>
    </row>
    <row r="4005">
      <c r="A4005" t="inlineStr">
        <is>
          <t>Mike Hayes</t>
        </is>
      </c>
      <c r="B4005" t="inlineStr">
        <is>
          <t>Attendee</t>
        </is>
      </c>
      <c r="C4005" t="inlineStr">
        <is>
          <t>Product Director, Partnerships &amp; Integrations</t>
        </is>
      </c>
      <c r="D4005" t="inlineStr">
        <is>
          <t>Openforce</t>
        </is>
      </c>
      <c r="E4005" t="inlineStr">
        <is>
          <t>United States</t>
        </is>
      </c>
      <c r="H4005" t="n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>
        <f>IFERROR(INDEX('Company Hitlist'!$AA:$AA,MATCH(D4005,'Company Hitlist'!$A:$A,0)),)</f>
        <v/>
      </c>
      <c r="O4005">
        <f>IFERROR(INDEX('Company Hitlist'!$N:$N,MATCH(D4005,'Company Hitlist'!$A:$A,0)),)</f>
        <v/>
      </c>
      <c r="Q4005" t="inlineStr">
        <is>
          <t>todo</t>
        </is>
      </c>
    </row>
    <row r="4006">
      <c r="A4006" t="inlineStr">
        <is>
          <t>Xunyu Foo</t>
        </is>
      </c>
      <c r="B4006" t="inlineStr">
        <is>
          <t>Attendee</t>
        </is>
      </c>
      <c r="C4006" t="inlineStr">
        <is>
          <t>Founder</t>
        </is>
      </c>
      <c r="D4006" t="inlineStr">
        <is>
          <t>Operating Crew</t>
        </is>
      </c>
      <c r="F4006" t="inlineStr">
        <is>
          <t>Yes</t>
        </is>
      </c>
      <c r="H4006" t="n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  <c r="N4006">
        <f>IFERROR(INDEX('Company Hitlist'!$AA:$AA,MATCH(D4006,'Company Hitlist'!$A:$A,0)),)</f>
        <v/>
      </c>
      <c r="O4006">
        <f>IFERROR(INDEX('Company Hitlist'!$N:$N,MATCH(D4006,'Company Hitlist'!$A:$A,0)),)</f>
        <v/>
      </c>
      <c r="Q4006" t="inlineStr">
        <is>
          <t>todo</t>
        </is>
      </c>
    </row>
    <row r="4007">
      <c r="A4007" t="inlineStr">
        <is>
          <t>Yan Sim</t>
        </is>
      </c>
      <c r="B4007" t="inlineStr">
        <is>
          <t>Attendee</t>
        </is>
      </c>
      <c r="C4007" t="inlineStr">
        <is>
          <t>Founder</t>
        </is>
      </c>
      <c r="D4007" t="inlineStr">
        <is>
          <t>Operating Crew</t>
        </is>
      </c>
      <c r="F4007" t="inlineStr">
        <is>
          <t>Yes</t>
        </is>
      </c>
      <c r="H4007" t="n">
        <v>0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  <c r="N4007">
        <f>IFERROR(INDEX('Company Hitlist'!$AA:$AA,MATCH(D4007,'Company Hitlist'!$A:$A,0)),)</f>
        <v/>
      </c>
      <c r="O4007">
        <f>IFERROR(INDEX('Company Hitlist'!$N:$N,MATCH(D4007,'Company Hitlist'!$A:$A,0)),)</f>
        <v/>
      </c>
      <c r="Q4007" t="inlineStr">
        <is>
          <t>todo</t>
        </is>
      </c>
    </row>
    <row r="4008">
      <c r="A4008" t="inlineStr">
        <is>
          <t>Fred Larsen</t>
        </is>
      </c>
      <c r="B4008" t="inlineStr">
        <is>
          <t>Attendee</t>
        </is>
      </c>
      <c r="C4008" t="inlineStr">
        <is>
          <t>Managing Director, Investment Banking</t>
        </is>
      </c>
      <c r="D4008" t="inlineStr">
        <is>
          <t>Oppenheimer &amp; Co. Inc.</t>
        </is>
      </c>
      <c r="E4008" t="inlineStr">
        <is>
          <t>United States</t>
        </is>
      </c>
      <c r="H4008" t="n">
        <v>0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  <c r="N4008">
        <f>IFERROR(INDEX('Company Hitlist'!$AA:$AA,MATCH(D4008,'Company Hitlist'!$A:$A,0)),)</f>
        <v/>
      </c>
      <c r="O4008">
        <f>IFERROR(INDEX('Company Hitlist'!$N:$N,MATCH(D4008,'Company Hitlist'!$A:$A,0)),)</f>
        <v/>
      </c>
      <c r="Q4008" t="inlineStr">
        <is>
          <t>todo</t>
        </is>
      </c>
    </row>
    <row r="4009">
      <c r="A4009" t="inlineStr">
        <is>
          <t>Burton White</t>
        </is>
      </c>
      <c r="B4009" t="inlineStr">
        <is>
          <t>Sponsor</t>
        </is>
      </c>
      <c r="C4009" t="inlineStr">
        <is>
          <t>Senior Vice President Partnership &amp; Advisory</t>
        </is>
      </c>
      <c r="D4009" t="inlineStr">
        <is>
          <t>Optiflow</t>
        </is>
      </c>
      <c r="H4009" t="n">
        <v>0</v>
      </c>
      <c r="I4009" t="b">
        <v>0</v>
      </c>
      <c r="J4009" t="b">
        <v>1</v>
      </c>
      <c r="K4009" t="b">
        <v>0</v>
      </c>
      <c r="L4009" t="b">
        <v>0</v>
      </c>
      <c r="M4009" t="b">
        <v>1</v>
      </c>
      <c r="N4009">
        <f>IFERROR(INDEX('Company Hitlist'!$AA:$AA,MATCH(D4009,'Company Hitlist'!$A:$A,0)),)</f>
        <v/>
      </c>
      <c r="O4009">
        <f>IFERROR(INDEX('Company Hitlist'!$N:$N,MATCH(D4009,'Company Hitlist'!$A:$A,0)),)</f>
        <v/>
      </c>
      <c r="Q4009" t="inlineStr">
        <is>
          <t>todo</t>
        </is>
      </c>
    </row>
    <row r="4010">
      <c r="A4010" t="inlineStr">
        <is>
          <t>Erica Frank</t>
        </is>
      </c>
      <c r="B4010" t="inlineStr">
        <is>
          <t>Sponsor</t>
        </is>
      </c>
      <c r="C4010" t="inlineStr">
        <is>
          <t>VP of Marketing</t>
        </is>
      </c>
      <c r="D4010" t="inlineStr">
        <is>
          <t>Optimal Dynamics</t>
        </is>
      </c>
      <c r="F4010" t="inlineStr">
        <is>
          <t>Yes</t>
        </is>
      </c>
      <c r="H4010" t="n">
        <v>0</v>
      </c>
      <c r="I4010" t="b">
        <v>0</v>
      </c>
      <c r="J4010" t="b">
        <v>1</v>
      </c>
      <c r="K4010" t="b">
        <v>0</v>
      </c>
      <c r="L4010" t="b">
        <v>0</v>
      </c>
      <c r="M4010" t="b">
        <v>1</v>
      </c>
      <c r="N4010">
        <f>IFERROR(INDEX('Company Hitlist'!$AA:$AA,MATCH(D4010,'Company Hitlist'!$A:$A,0)),)</f>
        <v/>
      </c>
      <c r="O4010">
        <f>IFERROR(INDEX('Company Hitlist'!$N:$N,MATCH(D4010,'Company Hitlist'!$A:$A,0)),)</f>
        <v/>
      </c>
      <c r="Q4010" t="inlineStr">
        <is>
          <t>todo</t>
        </is>
      </c>
    </row>
    <row r="4011">
      <c r="A4011" t="inlineStr">
        <is>
          <t>Karl Thomas</t>
        </is>
      </c>
      <c r="B4011" t="inlineStr">
        <is>
          <t>Attendee</t>
        </is>
      </c>
      <c r="C4011" t="inlineStr">
        <is>
          <t>Director of Strategic Partnerships</t>
        </is>
      </c>
      <c r="D4011" t="inlineStr">
        <is>
          <t>Optimus Technologies</t>
        </is>
      </c>
      <c r="E4011" t="inlineStr">
        <is>
          <t>United States</t>
        </is>
      </c>
      <c r="F4011" t="inlineStr">
        <is>
          <t>Yes</t>
        </is>
      </c>
      <c r="H4011" t="n">
        <v>0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>
        <f>IFERROR(INDEX('Company Hitlist'!$AA:$AA,MATCH(D4011,'Company Hitlist'!$A:$A,0)),)</f>
        <v/>
      </c>
      <c r="O4011">
        <f>IFERROR(INDEX('Company Hitlist'!$N:$N,MATCH(D4011,'Company Hitlist'!$A:$A,0)),)</f>
        <v/>
      </c>
      <c r="Q4011" t="inlineStr">
        <is>
          <t>todo</t>
        </is>
      </c>
    </row>
    <row r="4012">
      <c r="A4012" t="inlineStr">
        <is>
          <t>Chris Peckham</t>
        </is>
      </c>
      <c r="B4012" t="inlineStr">
        <is>
          <t>Attendee</t>
        </is>
      </c>
      <c r="C4012" t="inlineStr">
        <is>
          <t>Director, Product Strategy</t>
        </is>
      </c>
      <c r="D4012" t="inlineStr">
        <is>
          <t>Oracle</t>
        </is>
      </c>
      <c r="E4012" t="inlineStr">
        <is>
          <t>United States</t>
        </is>
      </c>
      <c r="F4012" t="inlineStr">
        <is>
          <t>Yes</t>
        </is>
      </c>
      <c r="H4012" t="n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>
        <f>IFERROR(INDEX('Company Hitlist'!$AA:$AA,MATCH(D4012,'Company Hitlist'!$A:$A,0)),)</f>
        <v/>
      </c>
      <c r="O4012">
        <f>IFERROR(INDEX('Company Hitlist'!$N:$N,MATCH(D4012,'Company Hitlist'!$A:$A,0)),)</f>
        <v/>
      </c>
      <c r="Q4012" t="inlineStr">
        <is>
          <t>todo</t>
        </is>
      </c>
    </row>
    <row r="4013">
      <c r="A4013" t="inlineStr">
        <is>
          <t>Zack Ruderman</t>
        </is>
      </c>
      <c r="B4013" t="inlineStr">
        <is>
          <t>Sponsor</t>
        </is>
      </c>
      <c r="C4013" t="inlineStr">
        <is>
          <t>VP of Sales and Marketing</t>
        </is>
      </c>
      <c r="D4013" t="inlineStr">
        <is>
          <t>Orange EV</t>
        </is>
      </c>
      <c r="E4013" t="inlineStr">
        <is>
          <t>United States</t>
        </is>
      </c>
      <c r="F4013" t="inlineStr">
        <is>
          <t>Yes</t>
        </is>
      </c>
      <c r="H4013" t="n">
        <v>0</v>
      </c>
      <c r="I4013" t="b">
        <v>0</v>
      </c>
      <c r="J4013" t="b">
        <v>1</v>
      </c>
      <c r="K4013" t="b">
        <v>0</v>
      </c>
      <c r="L4013" t="b">
        <v>0</v>
      </c>
      <c r="M4013" t="b">
        <v>1</v>
      </c>
      <c r="N4013">
        <f>IFERROR(INDEX('Company Hitlist'!$AA:$AA,MATCH(D4013,'Company Hitlist'!$A:$A,0)),)</f>
        <v/>
      </c>
      <c r="O4013">
        <f>IFERROR(INDEX('Company Hitlist'!$N:$N,MATCH(D4013,'Company Hitlist'!$A:$A,0)),)</f>
        <v/>
      </c>
      <c r="Q4013" t="inlineStr">
        <is>
          <t>todo</t>
        </is>
      </c>
    </row>
    <row r="4014">
      <c r="A4014" t="inlineStr">
        <is>
          <t>Brendon Greeley</t>
        </is>
      </c>
      <c r="B4014" t="inlineStr">
        <is>
          <t>Attendee</t>
        </is>
      </c>
      <c r="C4014" t="inlineStr">
        <is>
          <t>Director of Warehousing</t>
        </is>
      </c>
      <c r="D4014" t="inlineStr">
        <is>
          <t>Orgain</t>
        </is>
      </c>
      <c r="E4014" t="inlineStr">
        <is>
          <t>United States</t>
        </is>
      </c>
      <c r="F4014" t="inlineStr">
        <is>
          <t>Yes</t>
        </is>
      </c>
      <c r="H4014" t="n">
        <v>0</v>
      </c>
      <c r="I4014" t="b">
        <v>0</v>
      </c>
      <c r="J4014" t="b">
        <v>0</v>
      </c>
      <c r="K4014" t="b">
        <v>0</v>
      </c>
      <c r="L4014" t="b">
        <v>0</v>
      </c>
      <c r="M4014" t="b">
        <v>0</v>
      </c>
      <c r="N4014">
        <f>IFERROR(INDEX('Company Hitlist'!$AA:$AA,MATCH(D4014,'Company Hitlist'!$A:$A,0)),)</f>
        <v/>
      </c>
      <c r="O4014">
        <f>IFERROR(INDEX('Company Hitlist'!$N:$N,MATCH(D4014,'Company Hitlist'!$A:$A,0)),)</f>
        <v/>
      </c>
      <c r="Q4014" t="inlineStr">
        <is>
          <t>todo</t>
        </is>
      </c>
    </row>
    <row r="4015">
      <c r="A4015" t="inlineStr">
        <is>
          <t>Brenden Greeley</t>
        </is>
      </c>
      <c r="B4015" t="inlineStr">
        <is>
          <t>Attendee</t>
        </is>
      </c>
      <c r="C4015" t="inlineStr">
        <is>
          <t>Director of Warehousing</t>
        </is>
      </c>
      <c r="D4015" t="inlineStr">
        <is>
          <t>Orgain</t>
        </is>
      </c>
      <c r="F4015" t="inlineStr">
        <is>
          <t>Yes</t>
        </is>
      </c>
      <c r="H4015" t="n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>
        <f>IFERROR(INDEX('Company Hitlist'!$AA:$AA,MATCH(D4015,'Company Hitlist'!$A:$A,0)),)</f>
        <v/>
      </c>
      <c r="O4015">
        <f>IFERROR(INDEX('Company Hitlist'!$N:$N,MATCH(D4015,'Company Hitlist'!$A:$A,0)),)</f>
        <v/>
      </c>
      <c r="Q4015" t="inlineStr">
        <is>
          <t>todo</t>
        </is>
      </c>
    </row>
    <row r="4016">
      <c r="A4016" t="inlineStr">
        <is>
          <t>Chelsea Mori</t>
        </is>
      </c>
      <c r="B4016" t="inlineStr">
        <is>
          <t>Sponsor</t>
        </is>
      </c>
      <c r="C4016" t="inlineStr">
        <is>
          <t>VP of Marketing</t>
        </is>
      </c>
      <c r="D4016" t="inlineStr">
        <is>
          <t>Osa Commerce</t>
        </is>
      </c>
      <c r="E4016" t="inlineStr">
        <is>
          <t>United States</t>
        </is>
      </c>
      <c r="F4016" t="inlineStr">
        <is>
          <t>Yes</t>
        </is>
      </c>
      <c r="H4016" t="n">
        <v>0</v>
      </c>
      <c r="I4016" t="b">
        <v>0</v>
      </c>
      <c r="J4016" t="b">
        <v>1</v>
      </c>
      <c r="K4016" t="b">
        <v>0</v>
      </c>
      <c r="L4016" t="b">
        <v>0</v>
      </c>
      <c r="M4016" t="b">
        <v>1</v>
      </c>
      <c r="N4016">
        <f>IFERROR(INDEX('Company Hitlist'!$AA:$AA,MATCH(D4016,'Company Hitlist'!$A:$A,0)),)</f>
        <v/>
      </c>
      <c r="O4016">
        <f>IFERROR(INDEX('Company Hitlist'!$N:$N,MATCH(D4016,'Company Hitlist'!$A:$A,0)),)</f>
        <v/>
      </c>
      <c r="Q4016" t="inlineStr">
        <is>
          <t>todo</t>
        </is>
      </c>
    </row>
    <row r="4017">
      <c r="A4017" t="inlineStr">
        <is>
          <t>Aaron Waters</t>
        </is>
      </c>
      <c r="B4017" t="inlineStr">
        <is>
          <t>Sponsor</t>
        </is>
      </c>
      <c r="C4017" t="inlineStr">
        <is>
          <t>Head of Sales</t>
        </is>
      </c>
      <c r="D4017" t="inlineStr">
        <is>
          <t>Osa Commerce</t>
        </is>
      </c>
      <c r="E4017" t="inlineStr">
        <is>
          <t>United States</t>
        </is>
      </c>
      <c r="H4017" t="n">
        <v>0</v>
      </c>
      <c r="I4017" t="b">
        <v>0</v>
      </c>
      <c r="J4017" t="b">
        <v>1</v>
      </c>
      <c r="K4017" t="b">
        <v>0</v>
      </c>
      <c r="L4017" t="b">
        <v>0</v>
      </c>
      <c r="M4017" t="b">
        <v>1</v>
      </c>
      <c r="N4017">
        <f>IFERROR(INDEX('Company Hitlist'!$AA:$AA,MATCH(D4017,'Company Hitlist'!$A:$A,0)),)</f>
        <v/>
      </c>
      <c r="O4017">
        <f>IFERROR(INDEX('Company Hitlist'!$N:$N,MATCH(D4017,'Company Hitlist'!$A:$A,0)),)</f>
        <v/>
      </c>
      <c r="Q4017" t="inlineStr">
        <is>
          <t>todo</t>
        </is>
      </c>
    </row>
    <row r="4018">
      <c r="A4018" t="inlineStr">
        <is>
          <t>Stefan Surpitski</t>
        </is>
      </c>
      <c r="B4018" t="inlineStr">
        <is>
          <t>Sponsor</t>
        </is>
      </c>
      <c r="C4018" t="inlineStr">
        <is>
          <t>VP, Sales</t>
        </is>
      </c>
      <c r="D4018" t="inlineStr">
        <is>
          <t>Overhaul</t>
        </is>
      </c>
      <c r="H4018" t="n">
        <v>0</v>
      </c>
      <c r="I4018" t="b">
        <v>0</v>
      </c>
      <c r="J4018" t="b">
        <v>1</v>
      </c>
      <c r="K4018" t="b">
        <v>0</v>
      </c>
      <c r="L4018" t="b">
        <v>0</v>
      </c>
      <c r="M4018" t="b">
        <v>1</v>
      </c>
      <c r="N4018">
        <f>IFERROR(INDEX('Company Hitlist'!$AA:$AA,MATCH(D4018,'Company Hitlist'!$A:$A,0)),)</f>
        <v/>
      </c>
      <c r="O4018">
        <f>IFERROR(INDEX('Company Hitlist'!$N:$N,MATCH(D4018,'Company Hitlist'!$A:$A,0)),)</f>
        <v/>
      </c>
      <c r="Q4018" t="inlineStr">
        <is>
          <t>todo</t>
        </is>
      </c>
    </row>
    <row r="4019">
      <c r="A4019" t="inlineStr">
        <is>
          <t>Marc Bibeau</t>
        </is>
      </c>
      <c r="B4019" t="inlineStr">
        <is>
          <t>Attendee</t>
        </is>
      </c>
      <c r="C4019" t="inlineStr">
        <is>
          <t>Executive Chairman</t>
        </is>
      </c>
      <c r="D4019" t="inlineStr">
        <is>
          <t>Overseas Express Consolidators (Canada) Inc.</t>
        </is>
      </c>
      <c r="E4019" t="inlineStr">
        <is>
          <t>Canada</t>
        </is>
      </c>
      <c r="F4019" t="inlineStr">
        <is>
          <t>Yes</t>
        </is>
      </c>
      <c r="H4019" t="n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>
        <f>IFERROR(INDEX('Company Hitlist'!$AA:$AA,MATCH(D4019,'Company Hitlist'!$A:$A,0)),)</f>
        <v/>
      </c>
      <c r="O4019">
        <f>IFERROR(INDEX('Company Hitlist'!$N:$N,MATCH(D4019,'Company Hitlist'!$A:$A,0)),)</f>
        <v/>
      </c>
      <c r="Q4019" t="inlineStr">
        <is>
          <t>todo</t>
        </is>
      </c>
    </row>
    <row r="4020">
      <c r="A4020" t="inlineStr">
        <is>
          <t>Brad Habansky</t>
        </is>
      </c>
      <c r="B4020" t="inlineStr">
        <is>
          <t>Sponsor</t>
        </is>
      </c>
      <c r="C4020" t="inlineStr">
        <is>
          <t>Chief Sales Officer</t>
        </is>
      </c>
      <c r="D4020" t="inlineStr">
        <is>
          <t>PIPE17 - Order Operations Solutions for 3PLs</t>
        </is>
      </c>
      <c r="H4020" t="n">
        <v>0</v>
      </c>
      <c r="I4020" t="b">
        <v>0</v>
      </c>
      <c r="J4020" t="b">
        <v>1</v>
      </c>
      <c r="K4020" t="b">
        <v>0</v>
      </c>
      <c r="L4020" t="b">
        <v>0</v>
      </c>
      <c r="M4020" t="b">
        <v>1</v>
      </c>
      <c r="N4020">
        <f>IFERROR(INDEX('Company Hitlist'!$AA:$AA,MATCH(D4020,'Company Hitlist'!$A:$A,0)),)</f>
        <v/>
      </c>
      <c r="O4020">
        <f>IFERROR(INDEX('Company Hitlist'!$N:$N,MATCH(D4020,'Company Hitlist'!$A:$A,0)),)</f>
        <v/>
      </c>
      <c r="Q4020" t="inlineStr">
        <is>
          <t>todo</t>
        </is>
      </c>
    </row>
    <row r="4021">
      <c r="A4021" t="inlineStr">
        <is>
          <t>Bryan Brandes</t>
        </is>
      </c>
      <c r="B4021" t="inlineStr">
        <is>
          <t>Attendee</t>
        </is>
      </c>
      <c r="C4021" t="inlineStr">
        <is>
          <t>Director, Maritime</t>
        </is>
      </c>
      <c r="D4021" t="inlineStr">
        <is>
          <t>PORT OF OAKLAND</t>
        </is>
      </c>
      <c r="F4021" t="inlineStr">
        <is>
          <t>Yes</t>
        </is>
      </c>
      <c r="H4021" t="n">
        <v>0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>
        <f>IFERROR(INDEX('Company Hitlist'!$AA:$AA,MATCH(D4021,'Company Hitlist'!$A:$A,0)),)</f>
        <v/>
      </c>
      <c r="O4021">
        <f>IFERROR(INDEX('Company Hitlist'!$N:$N,MATCH(D4021,'Company Hitlist'!$A:$A,0)),)</f>
        <v/>
      </c>
      <c r="Q4021" t="inlineStr">
        <is>
          <t>todo</t>
        </is>
      </c>
    </row>
    <row r="4022">
      <c r="A4022" t="inlineStr">
        <is>
          <t>James Tanner Austin</t>
        </is>
      </c>
      <c r="B4022" t="inlineStr">
        <is>
          <t>Attendee</t>
        </is>
      </c>
      <c r="C4022" t="inlineStr">
        <is>
          <t>Principal</t>
        </is>
      </c>
      <c r="D4022" t="inlineStr">
        <is>
          <t>PSG Equity</t>
        </is>
      </c>
      <c r="E4022" t="inlineStr">
        <is>
          <t>United States</t>
        </is>
      </c>
      <c r="H4022" t="n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>
        <f>IFERROR(INDEX('Company Hitlist'!$AA:$AA,MATCH(D4022,'Company Hitlist'!$A:$A,0)),)</f>
        <v/>
      </c>
      <c r="O4022">
        <f>IFERROR(INDEX('Company Hitlist'!$N:$N,MATCH(D4022,'Company Hitlist'!$A:$A,0)),)</f>
        <v/>
      </c>
      <c r="Q4022" t="inlineStr">
        <is>
          <t>todo</t>
        </is>
      </c>
    </row>
    <row r="4023">
      <c r="A4023" t="inlineStr">
        <is>
          <t>Adhika Caksana</t>
        </is>
      </c>
      <c r="B4023" t="inlineStr">
        <is>
          <t>Attendee</t>
        </is>
      </c>
      <c r="C4023" t="inlineStr">
        <is>
          <t>Commercial Director</t>
        </is>
      </c>
      <c r="D4023" t="inlineStr">
        <is>
          <t>PT CHAYA INTERFREIGHT CARGO</t>
        </is>
      </c>
      <c r="E4023" t="inlineStr">
        <is>
          <t>Indonesia</t>
        </is>
      </c>
      <c r="F4023" t="inlineStr">
        <is>
          <t>Yes</t>
        </is>
      </c>
      <c r="H4023" t="n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>
        <f>IFERROR(INDEX('Company Hitlist'!$AA:$AA,MATCH(D4023,'Company Hitlist'!$A:$A,0)),)</f>
        <v/>
      </c>
      <c r="O4023">
        <f>IFERROR(INDEX('Company Hitlist'!$N:$N,MATCH(D4023,'Company Hitlist'!$A:$A,0)),)</f>
        <v/>
      </c>
      <c r="Q4023" t="inlineStr">
        <is>
          <t>todo</t>
        </is>
      </c>
    </row>
    <row r="4024">
      <c r="A4024" t="inlineStr">
        <is>
          <t>Greg Walls</t>
        </is>
      </c>
      <c r="B4024" t="inlineStr">
        <is>
          <t>Sponsor</t>
        </is>
      </c>
      <c r="C4024" t="inlineStr">
        <is>
          <t>Vice President of Revenue</t>
        </is>
      </c>
      <c r="D4024" t="inlineStr">
        <is>
          <t>Paccurate</t>
        </is>
      </c>
      <c r="E4024" t="inlineStr">
        <is>
          <t>United States</t>
        </is>
      </c>
      <c r="F4024" t="inlineStr">
        <is>
          <t>Yes</t>
        </is>
      </c>
      <c r="G4024" t="inlineStr">
        <is>
          <t>&lt;$5 million (2025)</t>
        </is>
      </c>
      <c r="H4024" t="n">
        <v>0</v>
      </c>
      <c r="I4024" t="b">
        <v>0</v>
      </c>
      <c r="J4024" t="b">
        <v>1</v>
      </c>
      <c r="K4024" t="b">
        <v>0</v>
      </c>
      <c r="L4024" t="b">
        <v>0</v>
      </c>
      <c r="M4024" t="b">
        <v>1</v>
      </c>
      <c r="N4024">
        <f>IFERROR(INDEX('Company Hitlist'!$AA:$AA,MATCH(D4024,'Company Hitlist'!$A:$A,0)),)</f>
        <v/>
      </c>
      <c r="O4024">
        <f>IFERROR(INDEX('Company Hitlist'!$N:$N,MATCH(D4024,'Company Hitlist'!$A:$A,0)),)</f>
        <v/>
      </c>
      <c r="Q4024" t="inlineStr">
        <is>
          <t>todo</t>
        </is>
      </c>
    </row>
    <row r="4025">
      <c r="A4025" t="inlineStr">
        <is>
          <t>Elizabeth Illiano</t>
        </is>
      </c>
      <c r="B4025" t="inlineStr">
        <is>
          <t>Sponsor</t>
        </is>
      </c>
      <c r="C4025" t="inlineStr">
        <is>
          <t>Head of Revenue</t>
        </is>
      </c>
      <c r="D4025" t="inlineStr">
        <is>
          <t>PackageX</t>
        </is>
      </c>
      <c r="F4025" t="inlineStr">
        <is>
          <t>Yes</t>
        </is>
      </c>
      <c r="H4025" t="n">
        <v>0</v>
      </c>
      <c r="I4025" t="b">
        <v>0</v>
      </c>
      <c r="J4025" t="b">
        <v>1</v>
      </c>
      <c r="K4025" t="b">
        <v>0</v>
      </c>
      <c r="L4025" t="b">
        <v>0</v>
      </c>
      <c r="M4025" t="b">
        <v>1</v>
      </c>
      <c r="N4025">
        <f>IFERROR(INDEX('Company Hitlist'!$AA:$AA,MATCH(D4025,'Company Hitlist'!$A:$A,0)),)</f>
        <v/>
      </c>
      <c r="O4025">
        <f>IFERROR(INDEX('Company Hitlist'!$N:$N,MATCH(D4025,'Company Hitlist'!$A:$A,0)),)</f>
        <v/>
      </c>
      <c r="Q4025" t="inlineStr">
        <is>
          <t>todo</t>
        </is>
      </c>
    </row>
    <row r="4026">
      <c r="A4026" t="inlineStr">
        <is>
          <t>Brian Reinhart</t>
        </is>
      </c>
      <c r="B4026" t="inlineStr">
        <is>
          <t>Sponsor</t>
        </is>
      </c>
      <c r="C4026" t="inlineStr">
        <is>
          <t>Chief Revenue Officer</t>
        </is>
      </c>
      <c r="D4026" t="inlineStr">
        <is>
          <t>Packsize</t>
        </is>
      </c>
      <c r="E4026" t="inlineStr">
        <is>
          <t>United States</t>
        </is>
      </c>
      <c r="F4026" t="inlineStr">
        <is>
          <t>Yes</t>
        </is>
      </c>
      <c r="G4026" t="inlineStr">
        <is>
          <t>$230.8 million (2025)</t>
        </is>
      </c>
      <c r="H4026" t="n">
        <v>0</v>
      </c>
      <c r="I4026" t="b">
        <v>0</v>
      </c>
      <c r="J4026" t="b">
        <v>1</v>
      </c>
      <c r="K4026" t="b">
        <v>0</v>
      </c>
      <c r="L4026" t="b">
        <v>0</v>
      </c>
      <c r="M4026" t="b">
        <v>1</v>
      </c>
      <c r="N4026">
        <f>IFERROR(INDEX('Company Hitlist'!$AA:$AA,MATCH(D4026,'Company Hitlist'!$A:$A,0)),)</f>
        <v/>
      </c>
      <c r="O4026">
        <f>IFERROR(INDEX('Company Hitlist'!$N:$N,MATCH(D4026,'Company Hitlist'!$A:$A,0)),)</f>
        <v/>
      </c>
      <c r="Q4026" t="inlineStr">
        <is>
          <t>todo</t>
        </is>
      </c>
    </row>
    <row r="4027">
      <c r="A4027" t="inlineStr">
        <is>
          <t>Andrew Geisse</t>
        </is>
      </c>
      <c r="B4027" t="inlineStr">
        <is>
          <t>Sponsor</t>
        </is>
      </c>
      <c r="C4027" t="inlineStr">
        <is>
          <t>Chief Revenue Officer</t>
        </is>
      </c>
      <c r="D4027" t="inlineStr">
        <is>
          <t>Pallet</t>
        </is>
      </c>
      <c r="E4027" t="inlineStr">
        <is>
          <t>United States</t>
        </is>
      </c>
      <c r="F4027" t="inlineStr">
        <is>
          <t>Yes</t>
        </is>
      </c>
      <c r="G4027" t="inlineStr">
        <is>
          <t>11251000</t>
        </is>
      </c>
      <c r="H4027" t="n">
        <v>0</v>
      </c>
      <c r="I4027" t="b">
        <v>0</v>
      </c>
      <c r="J4027" t="b">
        <v>1</v>
      </c>
      <c r="K4027" t="b">
        <v>0</v>
      </c>
      <c r="L4027" t="b">
        <v>0</v>
      </c>
      <c r="M4027" t="b">
        <v>1</v>
      </c>
      <c r="N4027">
        <f>IFERROR(INDEX('Company Hitlist'!$AA:$AA,MATCH(D4027,'Company Hitlist'!$A:$A,0)),)</f>
        <v/>
      </c>
      <c r="O4027">
        <f>IFERROR(INDEX('Company Hitlist'!$N:$N,MATCH(D4027,'Company Hitlist'!$A:$A,0)),)</f>
        <v/>
      </c>
      <c r="Q4027" t="inlineStr">
        <is>
          <t>todo</t>
        </is>
      </c>
    </row>
    <row r="4028">
      <c r="A4028" t="inlineStr">
        <is>
          <t>Jason Feng</t>
        </is>
      </c>
      <c r="B4028" t="inlineStr">
        <is>
          <t>Sponsor</t>
        </is>
      </c>
      <c r="C4028" t="inlineStr">
        <is>
          <t>Head of Marketing</t>
        </is>
      </c>
      <c r="D4028" t="inlineStr">
        <is>
          <t>Pallet</t>
        </is>
      </c>
      <c r="E4028" t="inlineStr">
        <is>
          <t>United States</t>
        </is>
      </c>
      <c r="F4028" t="inlineStr">
        <is>
          <t>Yes</t>
        </is>
      </c>
      <c r="G4028" t="inlineStr">
        <is>
          <t>11251000</t>
        </is>
      </c>
      <c r="H4028" t="n">
        <v>0</v>
      </c>
      <c r="I4028" t="b">
        <v>0</v>
      </c>
      <c r="J4028" t="b">
        <v>1</v>
      </c>
      <c r="K4028" t="b">
        <v>0</v>
      </c>
      <c r="L4028" t="b">
        <v>0</v>
      </c>
      <c r="M4028" t="b">
        <v>1</v>
      </c>
      <c r="N4028">
        <f>IFERROR(INDEX('Company Hitlist'!$AA:$AA,MATCH(D4028,'Company Hitlist'!$A:$A,0)),)</f>
        <v/>
      </c>
      <c r="O4028">
        <f>IFERROR(INDEX('Company Hitlist'!$N:$N,MATCH(D4028,'Company Hitlist'!$A:$A,0)),)</f>
        <v/>
      </c>
      <c r="Q4028" t="inlineStr">
        <is>
          <t>todo</t>
        </is>
      </c>
    </row>
    <row r="4029">
      <c r="A4029" t="inlineStr">
        <is>
          <t>Atsushi Tsuchiya</t>
        </is>
      </c>
      <c r="B4029" t="inlineStr">
        <is>
          <t>Attendee</t>
        </is>
      </c>
      <c r="C4029" t="inlineStr">
        <is>
          <t>Director of R&amp;D</t>
        </is>
      </c>
      <c r="D4029" t="inlineStr">
        <is>
          <t>Panasonic Connect</t>
        </is>
      </c>
      <c r="E4029" t="inlineStr">
        <is>
          <t>Japan</t>
        </is>
      </c>
      <c r="F4029" t="inlineStr">
        <is>
          <t>Yes</t>
        </is>
      </c>
      <c r="H4029" t="n">
        <v>0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  <c r="N4029">
        <f>IFERROR(INDEX('Company Hitlist'!$AA:$AA,MATCH(D4029,'Company Hitlist'!$A:$A,0)),)</f>
        <v/>
      </c>
      <c r="O4029">
        <f>IFERROR(INDEX('Company Hitlist'!$N:$N,MATCH(D4029,'Company Hitlist'!$A:$A,0)),)</f>
        <v/>
      </c>
      <c r="Q4029" t="inlineStr">
        <is>
          <t>todo</t>
        </is>
      </c>
    </row>
    <row r="4030">
      <c r="A4030" t="inlineStr">
        <is>
          <t>CHAOYUN CHEN</t>
        </is>
      </c>
      <c r="B4030" t="inlineStr">
        <is>
          <t>Attendee</t>
        </is>
      </c>
      <c r="C4030" t="inlineStr">
        <is>
          <t>Software Engineer</t>
        </is>
      </c>
      <c r="D4030" t="inlineStr">
        <is>
          <t>Panasonic Connect Co., Ltd.</t>
        </is>
      </c>
      <c r="E4030" t="inlineStr">
        <is>
          <t>Japan</t>
        </is>
      </c>
      <c r="F4030" t="inlineStr">
        <is>
          <t>Yes</t>
        </is>
      </c>
      <c r="H4030" t="n">
        <v>0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>
        <f>IFERROR(INDEX('Company Hitlist'!$AA:$AA,MATCH(D4030,'Company Hitlist'!$A:$A,0)),)</f>
        <v/>
      </c>
      <c r="O4030">
        <f>IFERROR(INDEX('Company Hitlist'!$N:$N,MATCH(D4030,'Company Hitlist'!$A:$A,0)),)</f>
        <v/>
      </c>
      <c r="Q4030" t="inlineStr">
        <is>
          <t>todo</t>
        </is>
      </c>
    </row>
    <row r="4031">
      <c r="A4031" t="inlineStr">
        <is>
          <t>NAOYA MISHIMA</t>
        </is>
      </c>
      <c r="B4031" t="inlineStr">
        <is>
          <t>Attendee</t>
        </is>
      </c>
      <c r="C4031" t="inlineStr">
        <is>
          <t>Specialist</t>
        </is>
      </c>
      <c r="D4031" t="inlineStr">
        <is>
          <t>Panasonic Connect Co., Ltd.</t>
        </is>
      </c>
      <c r="E4031" t="inlineStr">
        <is>
          <t>Japan</t>
        </is>
      </c>
      <c r="F4031" t="inlineStr">
        <is>
          <t>Yes</t>
        </is>
      </c>
      <c r="H4031" t="n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>
        <f>IFERROR(INDEX('Company Hitlist'!$AA:$AA,MATCH(D4031,'Company Hitlist'!$A:$A,0)),)</f>
        <v/>
      </c>
      <c r="O4031">
        <f>IFERROR(INDEX('Company Hitlist'!$N:$N,MATCH(D4031,'Company Hitlist'!$A:$A,0)),)</f>
        <v/>
      </c>
      <c r="Q4031" t="inlineStr">
        <is>
          <t>todo</t>
        </is>
      </c>
    </row>
    <row r="4032">
      <c r="A4032" t="inlineStr">
        <is>
          <t>Samir Wadhwani</t>
        </is>
      </c>
      <c r="B4032" t="inlineStr">
        <is>
          <t>Attendee</t>
        </is>
      </c>
      <c r="C4032" t="inlineStr">
        <is>
          <t>Investment Professional</t>
        </is>
      </c>
      <c r="D4032" t="inlineStr">
        <is>
          <t>Partners Group</t>
        </is>
      </c>
      <c r="E4032" t="inlineStr">
        <is>
          <t>United States</t>
        </is>
      </c>
      <c r="H4032" t="n">
        <v>0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>
        <f>IFERROR(INDEX('Company Hitlist'!$AA:$AA,MATCH(D4032,'Company Hitlist'!$A:$A,0)),)</f>
        <v/>
      </c>
      <c r="O4032">
        <f>IFERROR(INDEX('Company Hitlist'!$N:$N,MATCH(D4032,'Company Hitlist'!$A:$A,0)),)</f>
        <v/>
      </c>
      <c r="Q4032" t="inlineStr">
        <is>
          <t>todo</t>
        </is>
      </c>
    </row>
    <row r="4033">
      <c r="A4033" t="inlineStr">
        <is>
          <t>Kandace King</t>
        </is>
      </c>
      <c r="B4033" t="inlineStr">
        <is>
          <t>Attendee</t>
        </is>
      </c>
      <c r="C4033" t="inlineStr">
        <is>
          <t>3PL Gal</t>
        </is>
      </c>
      <c r="D4033" t="inlineStr">
        <is>
          <t>Passport Global</t>
        </is>
      </c>
      <c r="E4033" t="inlineStr">
        <is>
          <t>United States</t>
        </is>
      </c>
      <c r="F4033" t="inlineStr">
        <is>
          <t>Yes</t>
        </is>
      </c>
      <c r="H4033" t="n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>
        <f>IFERROR(INDEX('Company Hitlist'!$AA:$AA,MATCH(D4033,'Company Hitlist'!$A:$A,0)),)</f>
        <v/>
      </c>
      <c r="O4033">
        <f>IFERROR(INDEX('Company Hitlist'!$N:$N,MATCH(D4033,'Company Hitlist'!$A:$A,0)),)</f>
        <v/>
      </c>
      <c r="Q4033" t="inlineStr">
        <is>
          <t>todo</t>
        </is>
      </c>
    </row>
    <row r="4034">
      <c r="A4034" t="inlineStr">
        <is>
          <t>Melanie Horrocks</t>
        </is>
      </c>
      <c r="B4034" t="inlineStr">
        <is>
          <t>Attendee</t>
        </is>
      </c>
      <c r="C4034" t="inlineStr">
        <is>
          <t>Program Developer</t>
        </is>
      </c>
      <c r="D4034" t="inlineStr">
        <is>
          <t>Patagonia</t>
        </is>
      </c>
      <c r="F4034" t="inlineStr">
        <is>
          <t>Yes</t>
        </is>
      </c>
      <c r="G4034" t="inlineStr">
        <is>
          <t>$1.5B (2025 est.)</t>
        </is>
      </c>
      <c r="H4034" t="n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>
        <f>IFERROR(INDEX('Company Hitlist'!$AA:$AA,MATCH(D4034,'Company Hitlist'!$A:$A,0)),)</f>
        <v/>
      </c>
      <c r="O4034">
        <f>IFERROR(INDEX('Company Hitlist'!$N:$N,MATCH(D4034,'Company Hitlist'!$A:$A,0)),)</f>
        <v/>
      </c>
      <c r="Q4034" t="inlineStr">
        <is>
          <t>todo</t>
        </is>
      </c>
    </row>
    <row r="4035">
      <c r="A4035" t="inlineStr">
        <is>
          <t>Heather Hamilton</t>
        </is>
      </c>
      <c r="B4035" t="inlineStr">
        <is>
          <t>Attendee</t>
        </is>
      </c>
      <c r="C4035" t="inlineStr">
        <is>
          <t>Shipping Manager</t>
        </is>
      </c>
      <c r="D4035" t="inlineStr">
        <is>
          <t>Patagonia</t>
        </is>
      </c>
      <c r="E4035" t="inlineStr">
        <is>
          <t>United States</t>
        </is>
      </c>
      <c r="H4035" t="n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>
        <f>IFERROR(INDEX('Company Hitlist'!$AA:$AA,MATCH(D4035,'Company Hitlist'!$A:$A,0)),)</f>
        <v/>
      </c>
      <c r="O4035">
        <f>IFERROR(INDEX('Company Hitlist'!$N:$N,MATCH(D4035,'Company Hitlist'!$A:$A,0)),)</f>
        <v/>
      </c>
      <c r="Q4035" t="inlineStr">
        <is>
          <t>todo</t>
        </is>
      </c>
    </row>
    <row r="4036">
      <c r="A4036" t="inlineStr">
        <is>
          <t>Brian Lipkins-Scott</t>
        </is>
      </c>
      <c r="B4036" t="inlineStr">
        <is>
          <t>Attendee</t>
        </is>
      </c>
      <c r="C4036" t="inlineStr">
        <is>
          <t>Director, Demand &amp; Supply Planning</t>
        </is>
      </c>
      <c r="D4036" t="inlineStr">
        <is>
          <t>Patrick Ta Beauty</t>
        </is>
      </c>
      <c r="F4036" t="inlineStr">
        <is>
          <t>Yes</t>
        </is>
      </c>
      <c r="G4036" t="inlineStr">
        <is>
          <t>30000000</t>
        </is>
      </c>
      <c r="H4036" t="n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>
        <f>IFERROR(INDEX('Company Hitlist'!$AA:$AA,MATCH(D4036,'Company Hitlist'!$A:$A,0)),)</f>
        <v/>
      </c>
      <c r="O4036">
        <f>IFERROR(INDEX('Company Hitlist'!$N:$N,MATCH(D4036,'Company Hitlist'!$A:$A,0)),)</f>
        <v/>
      </c>
      <c r="Q4036" t="inlineStr">
        <is>
          <t>todo</t>
        </is>
      </c>
    </row>
    <row r="4037">
      <c r="A4037" t="inlineStr">
        <is>
          <t>Trey Layton</t>
        </is>
      </c>
      <c r="B4037" t="inlineStr">
        <is>
          <t>Attendee</t>
        </is>
      </c>
      <c r="C4037" t="inlineStr">
        <is>
          <t>Founding Team</t>
        </is>
      </c>
      <c r="D4037" t="inlineStr">
        <is>
          <t>Pax AI</t>
        </is>
      </c>
      <c r="E4037" t="inlineStr">
        <is>
          <t>United States</t>
        </is>
      </c>
      <c r="F4037" t="inlineStr">
        <is>
          <t>Yes</t>
        </is>
      </c>
      <c r="H4037" t="n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>
        <f>IFERROR(INDEX('Company Hitlist'!$AA:$AA,MATCH(D4037,'Company Hitlist'!$A:$A,0)),)</f>
        <v/>
      </c>
      <c r="O4037">
        <f>IFERROR(INDEX('Company Hitlist'!$N:$N,MATCH(D4037,'Company Hitlist'!$A:$A,0)),)</f>
        <v/>
      </c>
      <c r="Q4037" t="inlineStr">
        <is>
          <t>todo</t>
        </is>
      </c>
    </row>
    <row r="4038">
      <c r="A4038" t="inlineStr">
        <is>
          <t>Eavan Murray</t>
        </is>
      </c>
      <c r="B4038" t="inlineStr">
        <is>
          <t>Attendee</t>
        </is>
      </c>
      <c r="C4038" t="inlineStr">
        <is>
          <t>Investment Analyst</t>
        </is>
      </c>
      <c r="D4038" t="inlineStr">
        <is>
          <t>PeakSpan Capital</t>
        </is>
      </c>
      <c r="E4038" t="inlineStr">
        <is>
          <t>United States</t>
        </is>
      </c>
      <c r="H4038" t="n">
        <v>0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>
        <f>IFERROR(INDEX('Company Hitlist'!$AA:$AA,MATCH(D4038,'Company Hitlist'!$A:$A,0)),)</f>
        <v/>
      </c>
      <c r="O4038">
        <f>IFERROR(INDEX('Company Hitlist'!$N:$N,MATCH(D4038,'Company Hitlist'!$A:$A,0)),)</f>
        <v/>
      </c>
      <c r="Q4038" t="inlineStr">
        <is>
          <t>todo</t>
        </is>
      </c>
    </row>
    <row r="4039">
      <c r="A4039" t="inlineStr">
        <is>
          <t>Jack Freeman</t>
        </is>
      </c>
      <c r="B4039" t="inlineStr">
        <is>
          <t>Attendee</t>
        </is>
      </c>
      <c r="C4039" t="inlineStr">
        <is>
          <t>Partner</t>
        </is>
      </c>
      <c r="D4039" t="inlineStr">
        <is>
          <t>PeakSpan Capital</t>
        </is>
      </c>
      <c r="E4039" t="inlineStr">
        <is>
          <t>United States</t>
        </is>
      </c>
      <c r="H4039" t="n">
        <v>0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>
        <f>IFERROR(INDEX('Company Hitlist'!$AA:$AA,MATCH(D4039,'Company Hitlist'!$A:$A,0)),)</f>
        <v/>
      </c>
      <c r="O4039">
        <f>IFERROR(INDEX('Company Hitlist'!$N:$N,MATCH(D4039,'Company Hitlist'!$A:$A,0)),)</f>
        <v/>
      </c>
      <c r="Q4039" t="inlineStr">
        <is>
          <t>todo</t>
        </is>
      </c>
    </row>
    <row r="4040">
      <c r="A4040" t="inlineStr">
        <is>
          <t>Mikayla Brenman</t>
        </is>
      </c>
      <c r="B4040" t="inlineStr">
        <is>
          <t>Attendee</t>
        </is>
      </c>
      <c r="C4040" t="inlineStr">
        <is>
          <t>Associate</t>
        </is>
      </c>
      <c r="D4040" t="inlineStr">
        <is>
          <t>PeakSpan Capital</t>
        </is>
      </c>
      <c r="E4040" t="inlineStr">
        <is>
          <t>United States</t>
        </is>
      </c>
      <c r="H4040" t="n">
        <v>0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>
        <f>IFERROR(INDEX('Company Hitlist'!$AA:$AA,MATCH(D4040,'Company Hitlist'!$A:$A,0)),)</f>
        <v/>
      </c>
      <c r="O4040">
        <f>IFERROR(INDEX('Company Hitlist'!$N:$N,MATCH(D4040,'Company Hitlist'!$A:$A,0)),)</f>
        <v/>
      </c>
      <c r="Q4040" t="inlineStr">
        <is>
          <t>todo</t>
        </is>
      </c>
    </row>
    <row r="4041">
      <c r="A4041" t="inlineStr">
        <is>
          <t>Joe Colonna</t>
        </is>
      </c>
      <c r="B4041" t="inlineStr">
        <is>
          <t>Attendee</t>
        </is>
      </c>
      <c r="C4041" t="inlineStr">
        <is>
          <t>CSCO</t>
        </is>
      </c>
      <c r="D4041" t="inlineStr">
        <is>
          <t>Peidmont Health</t>
        </is>
      </c>
      <c r="F4041" t="inlineStr">
        <is>
          <t>Yes</t>
        </is>
      </c>
      <c r="H4041" t="n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>
        <f>IFERROR(INDEX('Company Hitlist'!$AA:$AA,MATCH(D4041,'Company Hitlist'!$A:$A,0)),)</f>
        <v/>
      </c>
      <c r="O4041">
        <f>IFERROR(INDEX('Company Hitlist'!$N:$N,MATCH(D4041,'Company Hitlist'!$A:$A,0)),)</f>
        <v/>
      </c>
      <c r="Q4041" t="inlineStr">
        <is>
          <t>todo</t>
        </is>
      </c>
    </row>
    <row r="4042">
      <c r="A4042" t="inlineStr">
        <is>
          <t>Shawna Savage-Evans</t>
        </is>
      </c>
      <c r="B4042" t="inlineStr">
        <is>
          <t>Attendee</t>
        </is>
      </c>
      <c r="C4042" t="inlineStr">
        <is>
          <t>Sr. Manager, Final Mile</t>
        </is>
      </c>
      <c r="D4042" t="inlineStr">
        <is>
          <t>Pella Corp</t>
        </is>
      </c>
      <c r="H4042" t="n">
        <v>0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  <c r="N4042">
        <f>IFERROR(INDEX('Company Hitlist'!$AA:$AA,MATCH(D4042,'Company Hitlist'!$A:$A,0)),)</f>
        <v/>
      </c>
      <c r="O4042">
        <f>IFERROR(INDEX('Company Hitlist'!$N:$N,MATCH(D4042,'Company Hitlist'!$A:$A,0)),)</f>
        <v/>
      </c>
      <c r="Q4042" t="inlineStr">
        <is>
          <t>todo</t>
        </is>
      </c>
    </row>
    <row r="4043">
      <c r="A4043" t="inlineStr">
        <is>
          <t>Stacy Schlachter</t>
        </is>
      </c>
      <c r="B4043" t="inlineStr">
        <is>
          <t>Sponsor</t>
        </is>
      </c>
      <c r="C4043" t="inlineStr">
        <is>
          <t>Senior Vice President, Sales</t>
        </is>
      </c>
      <c r="D4043" t="inlineStr">
        <is>
          <t>Penske Logistics</t>
        </is>
      </c>
      <c r="H4043" t="n">
        <v>0</v>
      </c>
      <c r="I4043" t="b">
        <v>0</v>
      </c>
      <c r="J4043" t="b">
        <v>1</v>
      </c>
      <c r="K4043" t="b">
        <v>0</v>
      </c>
      <c r="L4043" t="b">
        <v>0</v>
      </c>
      <c r="M4043" t="b">
        <v>1</v>
      </c>
      <c r="N4043">
        <f>IFERROR(INDEX('Company Hitlist'!$AA:$AA,MATCH(D4043,'Company Hitlist'!$A:$A,0)),)</f>
        <v/>
      </c>
      <c r="O4043">
        <f>IFERROR(INDEX('Company Hitlist'!$N:$N,MATCH(D4043,'Company Hitlist'!$A:$A,0)),)</f>
        <v/>
      </c>
      <c r="Q4043" t="inlineStr">
        <is>
          <t>todo</t>
        </is>
      </c>
    </row>
    <row r="4044">
      <c r="A4044" t="inlineStr">
        <is>
          <t>Tim Fogarty</t>
        </is>
      </c>
      <c r="B4044" t="inlineStr">
        <is>
          <t>Sponsor</t>
        </is>
      </c>
      <c r="C4044" t="inlineStr">
        <is>
          <t>Vice President-Sales</t>
        </is>
      </c>
      <c r="D4044" t="inlineStr">
        <is>
          <t>Penske Transportation Solutions</t>
        </is>
      </c>
      <c r="E4044" t="inlineStr">
        <is>
          <t>United States</t>
        </is>
      </c>
      <c r="H4044" t="n">
        <v>0</v>
      </c>
      <c r="I4044" t="b">
        <v>0</v>
      </c>
      <c r="J4044" t="b">
        <v>1</v>
      </c>
      <c r="K4044" t="b">
        <v>0</v>
      </c>
      <c r="L4044" t="b">
        <v>0</v>
      </c>
      <c r="M4044" t="b">
        <v>1</v>
      </c>
      <c r="N4044">
        <f>IFERROR(INDEX('Company Hitlist'!$AA:$AA,MATCH(D4044,'Company Hitlist'!$A:$A,0)),)</f>
        <v/>
      </c>
      <c r="O4044">
        <f>IFERROR(INDEX('Company Hitlist'!$N:$N,MATCH(D4044,'Company Hitlist'!$A:$A,0)),)</f>
        <v/>
      </c>
      <c r="Q4044" t="inlineStr">
        <is>
          <t>todo</t>
        </is>
      </c>
    </row>
    <row r="4045">
      <c r="A4045" t="inlineStr">
        <is>
          <t>Andy Moses</t>
        </is>
      </c>
      <c r="B4045" t="inlineStr">
        <is>
          <t>Sponsor</t>
        </is>
      </c>
      <c r="C4045" t="inlineStr">
        <is>
          <t>Senior Vice President-Solutions and Sales Strategy</t>
        </is>
      </c>
      <c r="D4045" t="inlineStr">
        <is>
          <t>Penske Transportation Solutions</t>
        </is>
      </c>
      <c r="H4045" t="n">
        <v>0</v>
      </c>
      <c r="I4045" t="b">
        <v>0</v>
      </c>
      <c r="J4045" t="b">
        <v>1</v>
      </c>
      <c r="K4045" t="b">
        <v>0</v>
      </c>
      <c r="L4045" t="b">
        <v>0</v>
      </c>
      <c r="M4045" t="b">
        <v>1</v>
      </c>
      <c r="N4045">
        <f>IFERROR(INDEX('Company Hitlist'!$AA:$AA,MATCH(D4045,'Company Hitlist'!$A:$A,0)),)</f>
        <v/>
      </c>
      <c r="O4045">
        <f>IFERROR(INDEX('Company Hitlist'!$N:$N,MATCH(D4045,'Company Hitlist'!$A:$A,0)),)</f>
        <v/>
      </c>
      <c r="Q4045" t="inlineStr">
        <is>
          <t>todo</t>
        </is>
      </c>
    </row>
    <row r="4046">
      <c r="A4046" t="inlineStr">
        <is>
          <t>Natalie Mano</t>
        </is>
      </c>
      <c r="B4046" t="inlineStr">
        <is>
          <t>Attendee</t>
        </is>
      </c>
      <c r="C4046" t="inlineStr">
        <is>
          <t>Sr. Director</t>
        </is>
      </c>
      <c r="D4046" t="inlineStr">
        <is>
          <t>Pepsi</t>
        </is>
      </c>
      <c r="F4046" t="inlineStr">
        <is>
          <t>Yes</t>
        </is>
      </c>
      <c r="H4046" t="n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>
        <f>IFERROR(INDEX('Company Hitlist'!$AA:$AA,MATCH(D4046,'Company Hitlist'!$A:$A,0)),)</f>
        <v/>
      </c>
      <c r="O4046">
        <f>IFERROR(INDEX('Company Hitlist'!$N:$N,MATCH(D4046,'Company Hitlist'!$A:$A,0)),)</f>
        <v/>
      </c>
      <c r="Q4046" t="inlineStr">
        <is>
          <t>todo</t>
        </is>
      </c>
    </row>
    <row r="4047">
      <c r="A4047" t="inlineStr">
        <is>
          <t>Andres De Hoyos</t>
        </is>
      </c>
      <c r="B4047" t="inlineStr">
        <is>
          <t>Attendee</t>
        </is>
      </c>
      <c r="C4047" t="inlineStr">
        <is>
          <t>Strategy &amp; Innovation</t>
        </is>
      </c>
      <c r="D4047" t="inlineStr">
        <is>
          <t>PepsiCo</t>
        </is>
      </c>
      <c r="E4047" t="inlineStr">
        <is>
          <t>United States</t>
        </is>
      </c>
      <c r="F4047" t="inlineStr">
        <is>
          <t>Yes</t>
        </is>
      </c>
      <c r="H4047" t="n">
        <v>0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>
        <f>IFERROR(INDEX('Company Hitlist'!$AA:$AA,MATCH(D4047,'Company Hitlist'!$A:$A,0)),)</f>
        <v/>
      </c>
      <c r="O4047">
        <f>IFERROR(INDEX('Company Hitlist'!$N:$N,MATCH(D4047,'Company Hitlist'!$A:$A,0)),)</f>
        <v/>
      </c>
      <c r="Q4047" t="inlineStr">
        <is>
          <t>todo</t>
        </is>
      </c>
    </row>
    <row r="4048">
      <c r="A4048" t="inlineStr">
        <is>
          <t>Cynthia Ascencio</t>
        </is>
      </c>
      <c r="B4048" t="inlineStr">
        <is>
          <t>Attendee</t>
        </is>
      </c>
      <c r="C4048" t="inlineStr">
        <is>
          <t>Proc Excellence Sr Director</t>
        </is>
      </c>
      <c r="D4048" t="inlineStr">
        <is>
          <t>PepsiCo</t>
        </is>
      </c>
      <c r="F4048" t="inlineStr">
        <is>
          <t>Yes</t>
        </is>
      </c>
      <c r="H4048" t="n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>
        <f>IFERROR(INDEX('Company Hitlist'!$AA:$AA,MATCH(D4048,'Company Hitlist'!$A:$A,0)),)</f>
        <v/>
      </c>
      <c r="O4048">
        <f>IFERROR(INDEX('Company Hitlist'!$N:$N,MATCH(D4048,'Company Hitlist'!$A:$A,0)),)</f>
        <v/>
      </c>
      <c r="Q4048" t="inlineStr">
        <is>
          <t>todo</t>
        </is>
      </c>
    </row>
    <row r="4049">
      <c r="A4049" t="inlineStr">
        <is>
          <t>Raghuram Narasimhan</t>
        </is>
      </c>
      <c r="B4049" t="inlineStr">
        <is>
          <t>Attendee</t>
        </is>
      </c>
      <c r="C4049" t="inlineStr">
        <is>
          <t>Transformation Director</t>
        </is>
      </c>
      <c r="D4049" t="inlineStr">
        <is>
          <t>PepsiCo</t>
        </is>
      </c>
      <c r="F4049" t="inlineStr">
        <is>
          <t>Yes</t>
        </is>
      </c>
      <c r="H4049" t="n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>
        <f>IFERROR(INDEX('Company Hitlist'!$AA:$AA,MATCH(D4049,'Company Hitlist'!$A:$A,0)),)</f>
        <v/>
      </c>
      <c r="O4049">
        <f>IFERROR(INDEX('Company Hitlist'!$N:$N,MATCH(D4049,'Company Hitlist'!$A:$A,0)),)</f>
        <v/>
      </c>
      <c r="Q4049" t="inlineStr">
        <is>
          <t>todo</t>
        </is>
      </c>
    </row>
    <row r="4050">
      <c r="A4050" t="inlineStr">
        <is>
          <t>Tim Knight</t>
        </is>
      </c>
      <c r="B4050" t="inlineStr">
        <is>
          <t>Attendee</t>
        </is>
      </c>
      <c r="C4050" t="inlineStr">
        <is>
          <t>Technology Strat &amp; Innov Snr Analyst</t>
        </is>
      </c>
      <c r="D4050" t="inlineStr">
        <is>
          <t>PepsiCo</t>
        </is>
      </c>
      <c r="F4050" t="inlineStr">
        <is>
          <t>Yes</t>
        </is>
      </c>
      <c r="H4050" t="n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>
        <f>IFERROR(INDEX('Company Hitlist'!$AA:$AA,MATCH(D4050,'Company Hitlist'!$A:$A,0)),)</f>
        <v/>
      </c>
      <c r="O4050">
        <f>IFERROR(INDEX('Company Hitlist'!$N:$N,MATCH(D4050,'Company Hitlist'!$A:$A,0)),)</f>
        <v/>
      </c>
      <c r="Q4050" t="inlineStr">
        <is>
          <t>todo</t>
        </is>
      </c>
    </row>
    <row r="4051">
      <c r="A4051" t="inlineStr">
        <is>
          <t>Alyssa De La Torre</t>
        </is>
      </c>
      <c r="B4051" t="inlineStr">
        <is>
          <t>Attendee</t>
        </is>
      </c>
      <c r="C4051" t="inlineStr">
        <is>
          <t>Technology Strat &amp; Innov Manager</t>
        </is>
      </c>
      <c r="D4051" t="inlineStr">
        <is>
          <t>PepsiCo</t>
        </is>
      </c>
      <c r="E4051" t="inlineStr">
        <is>
          <t>United States</t>
        </is>
      </c>
      <c r="H4051" t="n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>
        <f>IFERROR(INDEX('Company Hitlist'!$AA:$AA,MATCH(D4051,'Company Hitlist'!$A:$A,0)),)</f>
        <v/>
      </c>
      <c r="O4051">
        <f>IFERROR(INDEX('Company Hitlist'!$N:$N,MATCH(D4051,'Company Hitlist'!$A:$A,0)),)</f>
        <v/>
      </c>
      <c r="Q4051" t="inlineStr">
        <is>
          <t>todo</t>
        </is>
      </c>
    </row>
    <row r="4052">
      <c r="A4052" t="inlineStr">
        <is>
          <t>Alejandra Minon</t>
        </is>
      </c>
      <c r="B4052" t="inlineStr">
        <is>
          <t>Attendee</t>
        </is>
      </c>
      <c r="C4052" t="inlineStr">
        <is>
          <t>Technology Strat &amp; Innov Sr Manager</t>
        </is>
      </c>
      <c r="D4052" t="inlineStr">
        <is>
          <t>PepsiCo</t>
        </is>
      </c>
      <c r="H4052" t="n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>
        <f>IFERROR(INDEX('Company Hitlist'!$AA:$AA,MATCH(D4052,'Company Hitlist'!$A:$A,0)),)</f>
        <v/>
      </c>
      <c r="O4052">
        <f>IFERROR(INDEX('Company Hitlist'!$N:$N,MATCH(D4052,'Company Hitlist'!$A:$A,0)),)</f>
        <v/>
      </c>
      <c r="Q4052" t="inlineStr">
        <is>
          <t>todo</t>
        </is>
      </c>
    </row>
    <row r="4053">
      <c r="A4053" t="inlineStr">
        <is>
          <t>Bershun Devereaux</t>
        </is>
      </c>
      <c r="B4053" t="inlineStr">
        <is>
          <t>Attendee</t>
        </is>
      </c>
      <c r="C4053" t="inlineStr">
        <is>
          <t>Technology Strat &amp; Innov Manager</t>
        </is>
      </c>
      <c r="D4053" t="inlineStr">
        <is>
          <t>PepsiCo</t>
        </is>
      </c>
      <c r="H4053" t="n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>
        <f>IFERROR(INDEX('Company Hitlist'!$AA:$AA,MATCH(D4053,'Company Hitlist'!$A:$A,0)),)</f>
        <v/>
      </c>
      <c r="O4053">
        <f>IFERROR(INDEX('Company Hitlist'!$N:$N,MATCH(D4053,'Company Hitlist'!$A:$A,0)),)</f>
        <v/>
      </c>
      <c r="Q4053" t="inlineStr">
        <is>
          <t>todo</t>
        </is>
      </c>
    </row>
    <row r="4054">
      <c r="A4054" t="inlineStr">
        <is>
          <t>Luis Verastegui</t>
        </is>
      </c>
      <c r="B4054" t="inlineStr">
        <is>
          <t>Attendee</t>
        </is>
      </c>
      <c r="C4054" t="inlineStr">
        <is>
          <t>Transf &amp; PMO Sr Manager</t>
        </is>
      </c>
      <c r="D4054" t="inlineStr">
        <is>
          <t>PepsiCo</t>
        </is>
      </c>
      <c r="H4054" t="n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>
        <f>IFERROR(INDEX('Company Hitlist'!$AA:$AA,MATCH(D4054,'Company Hitlist'!$A:$A,0)),)</f>
        <v/>
      </c>
      <c r="O4054">
        <f>IFERROR(INDEX('Company Hitlist'!$N:$N,MATCH(D4054,'Company Hitlist'!$A:$A,0)),)</f>
        <v/>
      </c>
      <c r="Q4054" t="inlineStr">
        <is>
          <t>todo</t>
        </is>
      </c>
    </row>
    <row r="4055">
      <c r="A4055" t="inlineStr">
        <is>
          <t>William Sargent</t>
        </is>
      </c>
      <c r="B4055" t="inlineStr">
        <is>
          <t>Attendee</t>
        </is>
      </c>
      <c r="C4055" t="inlineStr">
        <is>
          <t>Technology Strat &amp; Innov Manager</t>
        </is>
      </c>
      <c r="D4055" t="inlineStr">
        <is>
          <t>PepsiCo</t>
        </is>
      </c>
      <c r="H4055" t="n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>
        <f>IFERROR(INDEX('Company Hitlist'!$AA:$AA,MATCH(D4055,'Company Hitlist'!$A:$A,0)),)</f>
        <v/>
      </c>
      <c r="O4055">
        <f>IFERROR(INDEX('Company Hitlist'!$N:$N,MATCH(D4055,'Company Hitlist'!$A:$A,0)),)</f>
        <v/>
      </c>
      <c r="Q4055" t="inlineStr">
        <is>
          <t>todo</t>
        </is>
      </c>
    </row>
    <row r="4056">
      <c r="A4056" t="inlineStr">
        <is>
          <t>Anna Farberov</t>
        </is>
      </c>
      <c r="B4056" t="inlineStr">
        <is>
          <t>Attendee</t>
        </is>
      </c>
      <c r="C4056" t="inlineStr">
        <is>
          <t>Technology Strat &amp; Innov Sr. Director</t>
        </is>
      </c>
      <c r="D4056" t="inlineStr">
        <is>
          <t>PepsiCo Labs</t>
        </is>
      </c>
      <c r="H4056" t="n">
        <v>0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>
        <f>IFERROR(INDEX('Company Hitlist'!$AA:$AA,MATCH(D4056,'Company Hitlist'!$A:$A,0)),)</f>
        <v/>
      </c>
      <c r="O4056">
        <f>IFERROR(INDEX('Company Hitlist'!$N:$N,MATCH(D4056,'Company Hitlist'!$A:$A,0)),)</f>
        <v/>
      </c>
      <c r="Q4056" t="inlineStr">
        <is>
          <t>todo</t>
        </is>
      </c>
    </row>
    <row r="4057">
      <c r="A4057" t="inlineStr">
        <is>
          <t>Paul Lomax</t>
        </is>
      </c>
      <c r="B4057" t="inlineStr">
        <is>
          <t>Attendee</t>
        </is>
      </c>
      <c r="C4057" t="inlineStr">
        <is>
          <t>Tech Venturing and Transformation</t>
        </is>
      </c>
      <c r="D4057" t="inlineStr">
        <is>
          <t>PepsiCo Labs</t>
        </is>
      </c>
      <c r="H4057" t="n">
        <v>0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  <c r="N4057">
        <f>IFERROR(INDEX('Company Hitlist'!$AA:$AA,MATCH(D4057,'Company Hitlist'!$A:$A,0)),)</f>
        <v/>
      </c>
      <c r="O4057">
        <f>IFERROR(INDEX('Company Hitlist'!$N:$N,MATCH(D4057,'Company Hitlist'!$A:$A,0)),)</f>
        <v/>
      </c>
      <c r="Q4057" t="inlineStr">
        <is>
          <t>todo</t>
        </is>
      </c>
    </row>
    <row r="4058">
      <c r="A4058" t="inlineStr">
        <is>
          <t>Sean Davis</t>
        </is>
      </c>
      <c r="B4058" t="inlineStr">
        <is>
          <t>Attendee</t>
        </is>
      </c>
      <c r="C4058" t="inlineStr">
        <is>
          <t>Technology Strat &amp; Innov Director</t>
        </is>
      </c>
      <c r="D4058" t="inlineStr">
        <is>
          <t>PepsiCo Labs</t>
        </is>
      </c>
      <c r="H4058" t="n">
        <v>0</v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>
        <f>IFERROR(INDEX('Company Hitlist'!$AA:$AA,MATCH(D4058,'Company Hitlist'!$A:$A,0)),)</f>
        <v/>
      </c>
      <c r="O4058">
        <f>IFERROR(INDEX('Company Hitlist'!$N:$N,MATCH(D4058,'Company Hitlist'!$A:$A,0)),)</f>
        <v/>
      </c>
      <c r="Q4058" t="inlineStr">
        <is>
          <t>todo</t>
        </is>
      </c>
    </row>
    <row r="4059">
      <c r="A4059" t="inlineStr">
        <is>
          <t>Kendall Scott</t>
        </is>
      </c>
      <c r="B4059" t="inlineStr">
        <is>
          <t>Sponsor</t>
        </is>
      </c>
      <c r="C4059" t="inlineStr">
        <is>
          <t>VP Marketing</t>
        </is>
      </c>
      <c r="D4059" t="inlineStr">
        <is>
          <t>Pesti</t>
        </is>
      </c>
      <c r="E4059" t="inlineStr">
        <is>
          <t>United States</t>
        </is>
      </c>
      <c r="H4059" t="n">
        <v>0</v>
      </c>
      <c r="I4059" t="b">
        <v>0</v>
      </c>
      <c r="J4059" t="b">
        <v>1</v>
      </c>
      <c r="K4059" t="b">
        <v>0</v>
      </c>
      <c r="L4059" t="b">
        <v>0</v>
      </c>
      <c r="M4059" t="b">
        <v>1</v>
      </c>
      <c r="N4059">
        <f>IFERROR(INDEX('Company Hitlist'!$AA:$AA,MATCH(D4059,'Company Hitlist'!$A:$A,0)),)</f>
        <v/>
      </c>
      <c r="O4059">
        <f>IFERROR(INDEX('Company Hitlist'!$N:$N,MATCH(D4059,'Company Hitlist'!$A:$A,0)),)</f>
        <v/>
      </c>
      <c r="Q4059" t="inlineStr">
        <is>
          <t>todo</t>
        </is>
      </c>
    </row>
    <row r="4060">
      <c r="A4060" t="inlineStr">
        <is>
          <t>Justin Vincik</t>
        </is>
      </c>
      <c r="B4060" t="inlineStr">
        <is>
          <t>Attendee</t>
        </is>
      </c>
      <c r="C4060" t="inlineStr">
        <is>
          <t>Product Planning</t>
        </is>
      </c>
      <c r="D4060" t="inlineStr">
        <is>
          <t>Peterbilt Motors</t>
        </is>
      </c>
      <c r="E4060" t="inlineStr">
        <is>
          <t>United States</t>
        </is>
      </c>
      <c r="H4060" t="n">
        <v>0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>
        <f>IFERROR(INDEX('Company Hitlist'!$AA:$AA,MATCH(D4060,'Company Hitlist'!$A:$A,0)),)</f>
        <v/>
      </c>
      <c r="O4060">
        <f>IFERROR(INDEX('Company Hitlist'!$N:$N,MATCH(D4060,'Company Hitlist'!$A:$A,0)),)</f>
        <v/>
      </c>
      <c r="Q4060" t="inlineStr">
        <is>
          <t>todo</t>
        </is>
      </c>
    </row>
    <row r="4061">
      <c r="A4061" t="inlineStr">
        <is>
          <t>Laura de Chiara</t>
        </is>
      </c>
      <c r="B4061" t="inlineStr">
        <is>
          <t>Attendee</t>
        </is>
      </c>
      <c r="C4061" t="inlineStr">
        <is>
          <t>Director Transformation and Integration</t>
        </is>
      </c>
      <c r="D4061" t="inlineStr">
        <is>
          <t>Philips</t>
        </is>
      </c>
      <c r="F4061" t="inlineStr">
        <is>
          <t>Yes</t>
        </is>
      </c>
      <c r="G4061" t="inlineStr">
        <is>
          <t>$19.84B (2025 est.)</t>
        </is>
      </c>
      <c r="H4061" t="n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>
        <f>IFERROR(INDEX('Company Hitlist'!$AA:$AA,MATCH(D4061,'Company Hitlist'!$A:$A,0)),)</f>
        <v/>
      </c>
      <c r="O4061">
        <f>IFERROR(INDEX('Company Hitlist'!$N:$N,MATCH(D4061,'Company Hitlist'!$A:$A,0)),)</f>
        <v/>
      </c>
      <c r="Q4061" t="inlineStr">
        <is>
          <t>todo</t>
        </is>
      </c>
    </row>
    <row r="4062">
      <c r="A4062" t="inlineStr">
        <is>
          <t>Kim Karvonen</t>
        </is>
      </c>
      <c r="B4062" t="inlineStr">
        <is>
          <t>Sponsor</t>
        </is>
      </c>
      <c r="C4062" t="inlineStr">
        <is>
          <t>VP of Sales</t>
        </is>
      </c>
      <c r="D4062" t="inlineStr">
        <is>
          <t>Piaggio Fast Forward</t>
        </is>
      </c>
      <c r="E4062" t="inlineStr">
        <is>
          <t>United States</t>
        </is>
      </c>
      <c r="H4062" t="n">
        <v>0</v>
      </c>
      <c r="I4062" t="b">
        <v>0</v>
      </c>
      <c r="J4062" t="b">
        <v>1</v>
      </c>
      <c r="K4062" t="b">
        <v>0</v>
      </c>
      <c r="L4062" t="b">
        <v>0</v>
      </c>
      <c r="M4062" t="b">
        <v>1</v>
      </c>
      <c r="N4062">
        <f>IFERROR(INDEX('Company Hitlist'!$AA:$AA,MATCH(D4062,'Company Hitlist'!$A:$A,0)),)</f>
        <v/>
      </c>
      <c r="O4062">
        <f>IFERROR(INDEX('Company Hitlist'!$N:$N,MATCH(D4062,'Company Hitlist'!$A:$A,0)),)</f>
        <v/>
      </c>
      <c r="Q4062" t="inlineStr">
        <is>
          <t>todo</t>
        </is>
      </c>
    </row>
    <row r="4063">
      <c r="A4063" t="inlineStr">
        <is>
          <t>Dan Seo</t>
        </is>
      </c>
      <c r="B4063" t="inlineStr">
        <is>
          <t>Attendee</t>
        </is>
      </c>
      <c r="C4063" t="inlineStr">
        <is>
          <t>Software Engineering Manager</t>
        </is>
      </c>
      <c r="D4063" t="inlineStr">
        <is>
          <t>Picasso Tiles</t>
        </is>
      </c>
      <c r="H4063" t="n">
        <v>0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>
        <f>IFERROR(INDEX('Company Hitlist'!$AA:$AA,MATCH(D4063,'Company Hitlist'!$A:$A,0)),)</f>
        <v/>
      </c>
      <c r="O4063">
        <f>IFERROR(INDEX('Company Hitlist'!$N:$N,MATCH(D4063,'Company Hitlist'!$A:$A,0)),)</f>
        <v/>
      </c>
      <c r="Q4063" t="inlineStr">
        <is>
          <t>todo</t>
        </is>
      </c>
    </row>
    <row r="4064">
      <c r="A4064" t="inlineStr">
        <is>
          <t>Adam Silverman</t>
        </is>
      </c>
      <c r="B4064" t="inlineStr">
        <is>
          <t>Attendee</t>
        </is>
      </c>
      <c r="C4064" t="inlineStr">
        <is>
          <t>Senior Director, Demand Generation</t>
        </is>
      </c>
      <c r="D4064" t="inlineStr">
        <is>
          <t>Pipe17</t>
        </is>
      </c>
      <c r="E4064" t="inlineStr">
        <is>
          <t>United States</t>
        </is>
      </c>
      <c r="F4064" t="inlineStr">
        <is>
          <t>Yes</t>
        </is>
      </c>
      <c r="H4064" t="n">
        <v>0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>
        <f>IFERROR(INDEX('Company Hitlist'!$AA:$AA,MATCH(D4064,'Company Hitlist'!$A:$A,0)),)</f>
        <v/>
      </c>
      <c r="O4064">
        <f>IFERROR(INDEX('Company Hitlist'!$N:$N,MATCH(D4064,'Company Hitlist'!$A:$A,0)),)</f>
        <v/>
      </c>
      <c r="Q4064" t="inlineStr">
        <is>
          <t>todo</t>
        </is>
      </c>
    </row>
    <row r="4065">
      <c r="A4065" t="inlineStr">
        <is>
          <t>Jake Oppenheim</t>
        </is>
      </c>
      <c r="B4065" t="inlineStr">
        <is>
          <t>Attendee</t>
        </is>
      </c>
      <c r="C4065" t="inlineStr">
        <is>
          <t>Strategic Account Manager</t>
        </is>
      </c>
      <c r="D4065" t="inlineStr">
        <is>
          <t>Pipe17</t>
        </is>
      </c>
      <c r="E4065" t="inlineStr">
        <is>
          <t>United States</t>
        </is>
      </c>
      <c r="H4065" t="n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>
        <f>IFERROR(INDEX('Company Hitlist'!$AA:$AA,MATCH(D4065,'Company Hitlist'!$A:$A,0)),)</f>
        <v/>
      </c>
      <c r="O4065">
        <f>IFERROR(INDEX('Company Hitlist'!$N:$N,MATCH(D4065,'Company Hitlist'!$A:$A,0)),)</f>
        <v/>
      </c>
      <c r="Q4065" t="inlineStr">
        <is>
          <t>todo</t>
        </is>
      </c>
    </row>
    <row r="4066">
      <c r="A4066" t="inlineStr">
        <is>
          <t>Shiva Kumar</t>
        </is>
      </c>
      <c r="B4066" t="inlineStr">
        <is>
          <t>Attendee</t>
        </is>
      </c>
      <c r="C4066" t="inlineStr">
        <is>
          <t>Managing Director</t>
        </is>
      </c>
      <c r="D4066" t="inlineStr">
        <is>
          <t>Piper Sandler</t>
        </is>
      </c>
      <c r="E4066" t="inlineStr">
        <is>
          <t>United States</t>
        </is>
      </c>
      <c r="H4066" t="n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>
        <f>IFERROR(INDEX('Company Hitlist'!$AA:$AA,MATCH(D4066,'Company Hitlist'!$A:$A,0)),)</f>
        <v/>
      </c>
      <c r="O4066">
        <f>IFERROR(INDEX('Company Hitlist'!$N:$N,MATCH(D4066,'Company Hitlist'!$A:$A,0)),)</f>
        <v/>
      </c>
      <c r="Q4066" t="inlineStr">
        <is>
          <t>todo</t>
        </is>
      </c>
    </row>
    <row r="4067">
      <c r="A4067" t="inlineStr">
        <is>
          <t>Henry Lindstrom</t>
        </is>
      </c>
      <c r="B4067" t="inlineStr">
        <is>
          <t>Attendee</t>
        </is>
      </c>
      <c r="C4067" t="inlineStr">
        <is>
          <t>Director of CX</t>
        </is>
      </c>
      <c r="D4067" t="inlineStr">
        <is>
          <t>Pluto</t>
        </is>
      </c>
      <c r="F4067" t="inlineStr">
        <is>
          <t>Yes</t>
        </is>
      </c>
      <c r="G4067" t="inlineStr">
        <is>
          <t>$1.9M (2025 est.; &lt; $5M)</t>
        </is>
      </c>
      <c r="H4067" t="n">
        <v>0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>
        <f>IFERROR(INDEX('Company Hitlist'!$AA:$AA,MATCH(D4067,'Company Hitlist'!$A:$A,0)),)</f>
        <v/>
      </c>
      <c r="O4067">
        <f>IFERROR(INDEX('Company Hitlist'!$N:$N,MATCH(D4067,'Company Hitlist'!$A:$A,0)),)</f>
        <v/>
      </c>
      <c r="Q4067" t="inlineStr">
        <is>
          <t>todo</t>
        </is>
      </c>
    </row>
    <row r="4068">
      <c r="A4068" t="inlineStr">
        <is>
          <t>John Foss</t>
        </is>
      </c>
      <c r="B4068" t="inlineStr">
        <is>
          <t>Attendee</t>
        </is>
      </c>
      <c r="C4068" t="inlineStr">
        <is>
          <t>Manager, Delivery Experience</t>
        </is>
      </c>
      <c r="D4068" t="inlineStr">
        <is>
          <t>Polaris</t>
        </is>
      </c>
      <c r="H4068" t="n">
        <v>0</v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  <c r="N4068">
        <f>IFERROR(INDEX('Company Hitlist'!$AA:$AA,MATCH(D4068,'Company Hitlist'!$A:$A,0)),)</f>
        <v/>
      </c>
      <c r="O4068">
        <f>IFERROR(INDEX('Company Hitlist'!$N:$N,MATCH(D4068,'Company Hitlist'!$A:$A,0)),)</f>
        <v/>
      </c>
      <c r="Q4068" t="inlineStr">
        <is>
          <t>todo</t>
        </is>
      </c>
    </row>
    <row r="4069">
      <c r="A4069" t="inlineStr">
        <is>
          <t>Spaulding Bisbee</t>
        </is>
      </c>
      <c r="B4069" t="inlineStr">
        <is>
          <t>Attendee</t>
        </is>
      </c>
      <c r="C4069" t="inlineStr">
        <is>
          <t>Shipping Manager</t>
        </is>
      </c>
      <c r="D4069" t="inlineStr">
        <is>
          <t>Pompanette - Bomar</t>
        </is>
      </c>
      <c r="H4069" t="n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>
        <f>IFERROR(INDEX('Company Hitlist'!$AA:$AA,MATCH(D4069,'Company Hitlist'!$A:$A,0)),)</f>
        <v/>
      </c>
      <c r="O4069">
        <f>IFERROR(INDEX('Company Hitlist'!$N:$N,MATCH(D4069,'Company Hitlist'!$A:$A,0)),)</f>
        <v/>
      </c>
      <c r="Q4069" t="inlineStr">
        <is>
          <t>todo</t>
        </is>
      </c>
    </row>
    <row r="4070">
      <c r="A4070" t="inlineStr">
        <is>
          <t>Simon Bahad</t>
        </is>
      </c>
      <c r="B4070" t="inlineStr">
        <is>
          <t>Attendee</t>
        </is>
      </c>
      <c r="C4070" t="inlineStr">
        <is>
          <t>IT</t>
        </is>
      </c>
      <c r="D4070" t="inlineStr">
        <is>
          <t>Primary Arms</t>
        </is>
      </c>
      <c r="F4070" t="inlineStr">
        <is>
          <t>Yes</t>
        </is>
      </c>
      <c r="H4070" t="n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>
        <f>IFERROR(INDEX('Company Hitlist'!$AA:$AA,MATCH(D4070,'Company Hitlist'!$A:$A,0)),)</f>
        <v/>
      </c>
      <c r="O4070">
        <f>IFERROR(INDEX('Company Hitlist'!$N:$N,MATCH(D4070,'Company Hitlist'!$A:$A,0)),)</f>
        <v/>
      </c>
      <c r="Q4070" t="inlineStr">
        <is>
          <t>todo</t>
        </is>
      </c>
    </row>
    <row r="4071">
      <c r="A4071" t="inlineStr">
        <is>
          <t>Bryan Perkins</t>
        </is>
      </c>
      <c r="B4071" t="inlineStr">
        <is>
          <t>Attendee</t>
        </is>
      </c>
      <c r="C4071" t="inlineStr">
        <is>
          <t>Managing Director</t>
        </is>
      </c>
      <c r="D4071" t="inlineStr">
        <is>
          <t>Prism Solutions Inc</t>
        </is>
      </c>
      <c r="E4071" t="inlineStr">
        <is>
          <t>United States</t>
        </is>
      </c>
      <c r="F4071" t="inlineStr">
        <is>
          <t>Yes</t>
        </is>
      </c>
      <c r="H4071" t="n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>
        <f>IFERROR(INDEX('Company Hitlist'!$AA:$AA,MATCH(D4071,'Company Hitlist'!$A:$A,0)),)</f>
        <v/>
      </c>
      <c r="O4071">
        <f>IFERROR(INDEX('Company Hitlist'!$N:$N,MATCH(D4071,'Company Hitlist'!$A:$A,0)),)</f>
        <v/>
      </c>
      <c r="Q4071" t="inlineStr">
        <is>
          <t>todo</t>
        </is>
      </c>
    </row>
    <row r="4072">
      <c r="A4072" t="inlineStr">
        <is>
          <t>Jon Johnson</t>
        </is>
      </c>
      <c r="B4072" t="inlineStr">
        <is>
          <t>Attendee</t>
        </is>
      </c>
      <c r="C4072" t="inlineStr">
        <is>
          <t>Managing Director</t>
        </is>
      </c>
      <c r="D4072" t="inlineStr">
        <is>
          <t>Prism Solutions Inc</t>
        </is>
      </c>
      <c r="E4072" t="inlineStr">
        <is>
          <t>United States</t>
        </is>
      </c>
      <c r="F4072" t="inlineStr">
        <is>
          <t>Yes</t>
        </is>
      </c>
      <c r="H4072" t="n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>
        <f>IFERROR(INDEX('Company Hitlist'!$AA:$AA,MATCH(D4072,'Company Hitlist'!$A:$A,0)),)</f>
        <v/>
      </c>
      <c r="O4072">
        <f>IFERROR(INDEX('Company Hitlist'!$N:$N,MATCH(D4072,'Company Hitlist'!$A:$A,0)),)</f>
        <v/>
      </c>
      <c r="Q4072" t="inlineStr">
        <is>
          <t>todo</t>
        </is>
      </c>
    </row>
    <row r="4073">
      <c r="A4073" t="inlineStr">
        <is>
          <t>Taylor Pawelka</t>
        </is>
      </c>
      <c r="B4073" t="inlineStr">
        <is>
          <t>Sponsor</t>
        </is>
      </c>
      <c r="C4073" t="inlineStr">
        <is>
          <t>VP of Marketing and Alliances</t>
        </is>
      </c>
      <c r="D4073" t="inlineStr">
        <is>
          <t>ProShip, Inc.</t>
        </is>
      </c>
      <c r="E4073" t="inlineStr">
        <is>
          <t>United States</t>
        </is>
      </c>
      <c r="F4073" t="inlineStr">
        <is>
          <t>Yes</t>
        </is>
      </c>
      <c r="H4073" t="n">
        <v>0</v>
      </c>
      <c r="I4073" t="b">
        <v>0</v>
      </c>
      <c r="J4073" t="b">
        <v>1</v>
      </c>
      <c r="K4073" t="b">
        <v>0</v>
      </c>
      <c r="L4073" t="b">
        <v>0</v>
      </c>
      <c r="M4073" t="b">
        <v>1</v>
      </c>
      <c r="N4073">
        <f>IFERROR(INDEX('Company Hitlist'!$AA:$AA,MATCH(D4073,'Company Hitlist'!$A:$A,0)),)</f>
        <v/>
      </c>
      <c r="O4073">
        <f>IFERROR(INDEX('Company Hitlist'!$N:$N,MATCH(D4073,'Company Hitlist'!$A:$A,0)),)</f>
        <v/>
      </c>
      <c r="Q4073" t="inlineStr">
        <is>
          <t>todo</t>
        </is>
      </c>
    </row>
    <row r="4074">
      <c r="A4074" t="inlineStr">
        <is>
          <t>Tony Verrill</t>
        </is>
      </c>
      <c r="B4074" t="inlineStr">
        <is>
          <t>Sponsor</t>
        </is>
      </c>
      <c r="C4074" t="inlineStr">
        <is>
          <t>VP of Sales</t>
        </is>
      </c>
      <c r="D4074" t="inlineStr">
        <is>
          <t>ProShip, Inc.</t>
        </is>
      </c>
      <c r="E4074" t="inlineStr">
        <is>
          <t>United States</t>
        </is>
      </c>
      <c r="H4074" t="n">
        <v>0</v>
      </c>
      <c r="I4074" t="b">
        <v>0</v>
      </c>
      <c r="J4074" t="b">
        <v>1</v>
      </c>
      <c r="K4074" t="b">
        <v>0</v>
      </c>
      <c r="L4074" t="b">
        <v>0</v>
      </c>
      <c r="M4074" t="b">
        <v>1</v>
      </c>
      <c r="N4074">
        <f>IFERROR(INDEX('Company Hitlist'!$AA:$AA,MATCH(D4074,'Company Hitlist'!$A:$A,0)),)</f>
        <v/>
      </c>
      <c r="O4074">
        <f>IFERROR(INDEX('Company Hitlist'!$N:$N,MATCH(D4074,'Company Hitlist'!$A:$A,0)),)</f>
        <v/>
      </c>
      <c r="Q4074" t="inlineStr">
        <is>
          <t>todo</t>
        </is>
      </c>
    </row>
    <row r="4075">
      <c r="A4075" t="inlineStr">
        <is>
          <t>Elise Powers</t>
        </is>
      </c>
      <c r="B4075" t="inlineStr">
        <is>
          <t>Attendee</t>
        </is>
      </c>
      <c r="C4075" t="inlineStr">
        <is>
          <t>Solutions Manager</t>
        </is>
      </c>
      <c r="D4075" t="inlineStr">
        <is>
          <t>Prologis</t>
        </is>
      </c>
      <c r="E4075" t="inlineStr">
        <is>
          <t>United States</t>
        </is>
      </c>
      <c r="H4075" t="n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>
        <f>IFERROR(INDEX('Company Hitlist'!$AA:$AA,MATCH(D4075,'Company Hitlist'!$A:$A,0)),)</f>
        <v/>
      </c>
      <c r="O4075">
        <f>IFERROR(INDEX('Company Hitlist'!$N:$N,MATCH(D4075,'Company Hitlist'!$A:$A,0)),)</f>
        <v/>
      </c>
      <c r="Q4075" t="inlineStr">
        <is>
          <t>todo</t>
        </is>
      </c>
    </row>
    <row r="4076">
      <c r="A4076" t="inlineStr">
        <is>
          <t>Martin Casalini</t>
        </is>
      </c>
      <c r="B4076" t="inlineStr">
        <is>
          <t>Sponsor</t>
        </is>
      </c>
      <c r="C4076" t="inlineStr">
        <is>
          <t>Head of Marketing</t>
        </is>
      </c>
      <c r="D4076" t="inlineStr">
        <is>
          <t>ProvisionAi</t>
        </is>
      </c>
      <c r="F4076" t="inlineStr">
        <is>
          <t>Yes</t>
        </is>
      </c>
      <c r="H4076" t="n">
        <v>0</v>
      </c>
      <c r="I4076" t="b">
        <v>0</v>
      </c>
      <c r="J4076" t="b">
        <v>1</v>
      </c>
      <c r="K4076" t="b">
        <v>0</v>
      </c>
      <c r="L4076" t="b">
        <v>0</v>
      </c>
      <c r="M4076" t="b">
        <v>1</v>
      </c>
      <c r="N4076">
        <f>IFERROR(INDEX('Company Hitlist'!$AA:$AA,MATCH(D4076,'Company Hitlist'!$A:$A,0)),)</f>
        <v/>
      </c>
      <c r="O4076">
        <f>IFERROR(INDEX('Company Hitlist'!$N:$N,MATCH(D4076,'Company Hitlist'!$A:$A,0)),)</f>
        <v/>
      </c>
      <c r="Q4076" t="inlineStr">
        <is>
          <t>todo</t>
        </is>
      </c>
    </row>
    <row r="4077">
      <c r="A4077" t="inlineStr">
        <is>
          <t>Anton Melnyk</t>
        </is>
      </c>
      <c r="B4077" t="inlineStr">
        <is>
          <t>Attendee</t>
        </is>
      </c>
      <c r="C4077" t="inlineStr">
        <is>
          <t>AI Engineer</t>
        </is>
      </c>
      <c r="D4077" t="inlineStr">
        <is>
          <t>Prox</t>
        </is>
      </c>
      <c r="E4077" t="inlineStr">
        <is>
          <t>United States</t>
        </is>
      </c>
      <c r="F4077" t="inlineStr">
        <is>
          <t>Yes</t>
        </is>
      </c>
      <c r="H4077" t="n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>
        <f>IFERROR(INDEX('Company Hitlist'!$AA:$AA,MATCH(D4077,'Company Hitlist'!$A:$A,0)),)</f>
        <v/>
      </c>
      <c r="O4077">
        <f>IFERROR(INDEX('Company Hitlist'!$N:$N,MATCH(D4077,'Company Hitlist'!$A:$A,0)),)</f>
        <v/>
      </c>
      <c r="Q4077" t="inlineStr">
        <is>
          <t>todo</t>
        </is>
      </c>
    </row>
    <row r="4078">
      <c r="A4078" t="inlineStr">
        <is>
          <t>Andrew Yokom</t>
        </is>
      </c>
      <c r="B4078" t="inlineStr">
        <is>
          <t>Attendee</t>
        </is>
      </c>
      <c r="C4078" t="inlineStr">
        <is>
          <t>Executive Director</t>
        </is>
      </c>
      <c r="D4078" t="inlineStr">
        <is>
          <t>Puget Sound Food Hub Cooperative</t>
        </is>
      </c>
      <c r="F4078" t="inlineStr">
        <is>
          <t>Yes</t>
        </is>
      </c>
      <c r="H4078" t="n">
        <v>0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>
        <f>IFERROR(INDEX('Company Hitlist'!$AA:$AA,MATCH(D4078,'Company Hitlist'!$A:$A,0)),)</f>
        <v/>
      </c>
      <c r="O4078">
        <f>IFERROR(INDEX('Company Hitlist'!$N:$N,MATCH(D4078,'Company Hitlist'!$A:$A,0)),)</f>
        <v/>
      </c>
      <c r="Q4078" t="inlineStr">
        <is>
          <t>todo</t>
        </is>
      </c>
    </row>
    <row r="4079">
      <c r="A4079" t="inlineStr">
        <is>
          <t>Tom Gardin</t>
        </is>
      </c>
      <c r="B4079" t="inlineStr">
        <is>
          <t>Sponsor</t>
        </is>
      </c>
      <c r="C4079" t="inlineStr">
        <is>
          <t>VP of Customer Success</t>
        </is>
      </c>
      <c r="D4079" t="inlineStr">
        <is>
          <t>Qargo TMS</t>
        </is>
      </c>
      <c r="E4079" t="inlineStr">
        <is>
          <t>Belgium</t>
        </is>
      </c>
      <c r="F4079" t="inlineStr">
        <is>
          <t>Yes</t>
        </is>
      </c>
      <c r="H4079" t="n">
        <v>0</v>
      </c>
      <c r="I4079" t="b">
        <v>0</v>
      </c>
      <c r="J4079" t="b">
        <v>1</v>
      </c>
      <c r="K4079" t="b">
        <v>0</v>
      </c>
      <c r="L4079" t="b">
        <v>0</v>
      </c>
      <c r="M4079" t="b">
        <v>1</v>
      </c>
      <c r="N4079">
        <f>IFERROR(INDEX('Company Hitlist'!$AA:$AA,MATCH(D4079,'Company Hitlist'!$A:$A,0)),)</f>
        <v/>
      </c>
      <c r="O4079">
        <f>IFERROR(INDEX('Company Hitlist'!$N:$N,MATCH(D4079,'Company Hitlist'!$A:$A,0)),)</f>
        <v/>
      </c>
      <c r="Q4079" t="inlineStr">
        <is>
          <t>todo</t>
        </is>
      </c>
    </row>
    <row r="4080">
      <c r="A4080" t="inlineStr">
        <is>
          <t>Dongjun Lee</t>
        </is>
      </c>
      <c r="B4080" t="inlineStr">
        <is>
          <t>Attendee</t>
        </is>
      </c>
      <c r="C4080" t="inlineStr">
        <is>
          <t>Part Leader</t>
        </is>
      </c>
      <c r="D4080" t="inlineStr">
        <is>
          <t>Qcells AXIA</t>
        </is>
      </c>
      <c r="F4080" t="inlineStr">
        <is>
          <t>Yes</t>
        </is>
      </c>
      <c r="H4080" t="n">
        <v>0</v>
      </c>
      <c r="I4080" t="b">
        <v>0</v>
      </c>
      <c r="J4080" t="b">
        <v>0</v>
      </c>
      <c r="K4080" t="b">
        <v>0</v>
      </c>
      <c r="L4080" t="b">
        <v>0</v>
      </c>
      <c r="M4080" t="b">
        <v>0</v>
      </c>
      <c r="N4080">
        <f>IFERROR(INDEX('Company Hitlist'!$AA:$AA,MATCH(D4080,'Company Hitlist'!$A:$A,0)),)</f>
        <v/>
      </c>
      <c r="O4080">
        <f>IFERROR(INDEX('Company Hitlist'!$N:$N,MATCH(D4080,'Company Hitlist'!$A:$A,0)),)</f>
        <v/>
      </c>
      <c r="Q4080" t="inlineStr">
        <is>
          <t>todo</t>
        </is>
      </c>
    </row>
    <row r="4081">
      <c r="A4081" t="inlineStr">
        <is>
          <t>Hank Lim</t>
        </is>
      </c>
      <c r="B4081" t="inlineStr">
        <is>
          <t>Attendee</t>
        </is>
      </c>
      <c r="C4081" t="inlineStr">
        <is>
          <t>Team leader</t>
        </is>
      </c>
      <c r="D4081" t="inlineStr">
        <is>
          <t>Qcells AXIA</t>
        </is>
      </c>
      <c r="F4081" t="inlineStr">
        <is>
          <t>Yes</t>
        </is>
      </c>
      <c r="H4081" t="n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>
        <f>IFERROR(INDEX('Company Hitlist'!$AA:$AA,MATCH(D4081,'Company Hitlist'!$A:$A,0)),)</f>
        <v/>
      </c>
      <c r="O4081">
        <f>IFERROR(INDEX('Company Hitlist'!$N:$N,MATCH(D4081,'Company Hitlist'!$A:$A,0)),)</f>
        <v/>
      </c>
      <c r="Q4081" t="inlineStr">
        <is>
          <t>todo</t>
        </is>
      </c>
    </row>
    <row r="4082">
      <c r="A4082" t="inlineStr">
        <is>
          <t>Jin Jung</t>
        </is>
      </c>
      <c r="B4082" t="inlineStr">
        <is>
          <t>Attendee</t>
        </is>
      </c>
      <c r="C4082" t="inlineStr">
        <is>
          <t>Team leader</t>
        </is>
      </c>
      <c r="D4082" t="inlineStr">
        <is>
          <t>Qcells America (ES)</t>
        </is>
      </c>
      <c r="F4082" t="inlineStr">
        <is>
          <t>Yes</t>
        </is>
      </c>
      <c r="H4082" t="n">
        <v>0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>
        <f>IFERROR(INDEX('Company Hitlist'!$AA:$AA,MATCH(D4082,'Company Hitlist'!$A:$A,0)),)</f>
        <v/>
      </c>
      <c r="O4082">
        <f>IFERROR(INDEX('Company Hitlist'!$N:$N,MATCH(D4082,'Company Hitlist'!$A:$A,0)),)</f>
        <v/>
      </c>
      <c r="Q4082" t="inlineStr">
        <is>
          <t>todo</t>
        </is>
      </c>
    </row>
    <row r="4083">
      <c r="A4083" t="inlineStr">
        <is>
          <t>Marcelo Baek</t>
        </is>
      </c>
      <c r="B4083" t="inlineStr">
        <is>
          <t>Attendee</t>
        </is>
      </c>
      <c r="C4083" t="inlineStr">
        <is>
          <t>Team leader</t>
        </is>
      </c>
      <c r="D4083" t="inlineStr">
        <is>
          <t>Qcells America (GES)</t>
        </is>
      </c>
      <c r="F4083" t="inlineStr">
        <is>
          <t>Yes</t>
        </is>
      </c>
      <c r="H4083" t="n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>
        <f>IFERROR(INDEX('Company Hitlist'!$AA:$AA,MATCH(D4083,'Company Hitlist'!$A:$A,0)),)</f>
        <v/>
      </c>
      <c r="O4083">
        <f>IFERROR(INDEX('Company Hitlist'!$N:$N,MATCH(D4083,'Company Hitlist'!$A:$A,0)),)</f>
        <v/>
      </c>
      <c r="Q4083" t="inlineStr">
        <is>
          <t>todo</t>
        </is>
      </c>
    </row>
    <row r="4084">
      <c r="A4084" t="inlineStr">
        <is>
          <t>SungWoon Min</t>
        </is>
      </c>
      <c r="B4084" t="inlineStr">
        <is>
          <t>Attendee</t>
        </is>
      </c>
      <c r="C4084" t="inlineStr">
        <is>
          <t>Team leader</t>
        </is>
      </c>
      <c r="D4084" t="inlineStr">
        <is>
          <t>Qcells U.S.A.</t>
        </is>
      </c>
      <c r="F4084" t="inlineStr">
        <is>
          <t>Yes</t>
        </is>
      </c>
      <c r="H4084" t="n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>
        <f>IFERROR(INDEX('Company Hitlist'!$AA:$AA,MATCH(D4084,'Company Hitlist'!$A:$A,0)),)</f>
        <v/>
      </c>
      <c r="O4084">
        <f>IFERROR(INDEX('Company Hitlist'!$N:$N,MATCH(D4084,'Company Hitlist'!$A:$A,0)),)</f>
        <v/>
      </c>
      <c r="Q4084" t="inlineStr">
        <is>
          <t>todo</t>
        </is>
      </c>
    </row>
    <row r="4085">
      <c r="A4085" t="inlineStr">
        <is>
          <t>TaeGun Yoon</t>
        </is>
      </c>
      <c r="B4085" t="inlineStr">
        <is>
          <t>Attendee</t>
        </is>
      </c>
      <c r="C4085" t="inlineStr">
        <is>
          <t>Team leader</t>
        </is>
      </c>
      <c r="D4085" t="inlineStr">
        <is>
          <t>Qcells U.S.A.</t>
        </is>
      </c>
      <c r="F4085" t="inlineStr">
        <is>
          <t>Yes</t>
        </is>
      </c>
      <c r="H4085" t="n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>
        <f>IFERROR(INDEX('Company Hitlist'!$AA:$AA,MATCH(D4085,'Company Hitlist'!$A:$A,0)),)</f>
        <v/>
      </c>
      <c r="O4085">
        <f>IFERROR(INDEX('Company Hitlist'!$N:$N,MATCH(D4085,'Company Hitlist'!$A:$A,0)),)</f>
        <v/>
      </c>
      <c r="Q4085" t="inlineStr">
        <is>
          <t>todo</t>
        </is>
      </c>
    </row>
    <row r="4086">
      <c r="A4086" t="inlineStr">
        <is>
          <t>Patrick Lowe</t>
        </is>
      </c>
      <c r="B4086" t="inlineStr">
        <is>
          <t>Attendee</t>
        </is>
      </c>
      <c r="C4086" t="inlineStr">
        <is>
          <t>CCO</t>
        </is>
      </c>
      <c r="D4086" t="inlineStr">
        <is>
          <t>QuickBox</t>
        </is>
      </c>
      <c r="E4086" t="inlineStr">
        <is>
          <t>United States</t>
        </is>
      </c>
      <c r="F4086" t="inlineStr">
        <is>
          <t>Yes</t>
        </is>
      </c>
      <c r="H4086" t="n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>
        <f>IFERROR(INDEX('Company Hitlist'!$AA:$AA,MATCH(D4086,'Company Hitlist'!$A:$A,0)),)</f>
        <v/>
      </c>
      <c r="O4086">
        <f>IFERROR(INDEX('Company Hitlist'!$N:$N,MATCH(D4086,'Company Hitlist'!$A:$A,0)),)</f>
        <v/>
      </c>
      <c r="Q4086" t="inlineStr">
        <is>
          <t>todo</t>
        </is>
      </c>
    </row>
    <row r="4087">
      <c r="A4087" t="inlineStr">
        <is>
          <t>Ross Nordstrom</t>
        </is>
      </c>
      <c r="B4087" t="inlineStr">
        <is>
          <t>Attendee</t>
        </is>
      </c>
      <c r="C4087" t="inlineStr">
        <is>
          <t>Principal Engineer</t>
        </is>
      </c>
      <c r="D4087" t="inlineStr">
        <is>
          <t>Quickcode</t>
        </is>
      </c>
      <c r="E4087" t="inlineStr">
        <is>
          <t>United States</t>
        </is>
      </c>
      <c r="F4087" t="inlineStr">
        <is>
          <t>Yes</t>
        </is>
      </c>
      <c r="H4087" t="n">
        <v>0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>
        <f>IFERROR(INDEX('Company Hitlist'!$AA:$AA,MATCH(D4087,'Company Hitlist'!$A:$A,0)),)</f>
        <v/>
      </c>
      <c r="O4087">
        <f>IFERROR(INDEX('Company Hitlist'!$N:$N,MATCH(D4087,'Company Hitlist'!$A:$A,0)),)</f>
        <v/>
      </c>
      <c r="Q4087" t="inlineStr">
        <is>
          <t>todo</t>
        </is>
      </c>
    </row>
    <row r="4088">
      <c r="A4088" t="inlineStr">
        <is>
          <t>Thomas Ray</t>
        </is>
      </c>
      <c r="B4088" t="inlineStr">
        <is>
          <t>Attendee</t>
        </is>
      </c>
      <c r="C4088" t="inlineStr">
        <is>
          <t>Director</t>
        </is>
      </c>
      <c r="D4088" t="inlineStr">
        <is>
          <t>Quickcode</t>
        </is>
      </c>
      <c r="E4088" t="inlineStr">
        <is>
          <t>United States</t>
        </is>
      </c>
      <c r="F4088" t="inlineStr">
        <is>
          <t>Yes</t>
        </is>
      </c>
      <c r="H4088" t="n">
        <v>0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>
        <f>IFERROR(INDEX('Company Hitlist'!$AA:$AA,MATCH(D4088,'Company Hitlist'!$A:$A,0)),)</f>
        <v/>
      </c>
      <c r="O4088">
        <f>IFERROR(INDEX('Company Hitlist'!$N:$N,MATCH(D4088,'Company Hitlist'!$A:$A,0)),)</f>
        <v/>
      </c>
      <c r="Q4088" t="inlineStr">
        <is>
          <t>todo</t>
        </is>
      </c>
    </row>
    <row r="4089">
      <c r="A4089" t="inlineStr">
        <is>
          <t>Justin Crafts</t>
        </is>
      </c>
      <c r="B4089" t="inlineStr">
        <is>
          <t>Attendee</t>
        </is>
      </c>
      <c r="C4089" t="inlineStr">
        <is>
          <t>Special Services Manager</t>
        </is>
      </c>
      <c r="D4089" t="inlineStr">
        <is>
          <t>R+L Global Logistics</t>
        </is>
      </c>
      <c r="E4089" t="inlineStr">
        <is>
          <t>United States</t>
        </is>
      </c>
      <c r="H4089" t="n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>
        <f>IFERROR(INDEX('Company Hitlist'!$AA:$AA,MATCH(D4089,'Company Hitlist'!$A:$A,0)),)</f>
        <v/>
      </c>
      <c r="O4089">
        <f>IFERROR(INDEX('Company Hitlist'!$N:$N,MATCH(D4089,'Company Hitlist'!$A:$A,0)),)</f>
        <v/>
      </c>
      <c r="Q4089" t="inlineStr">
        <is>
          <t>todo</t>
        </is>
      </c>
    </row>
    <row r="4090">
      <c r="A4090" t="inlineStr">
        <is>
          <t>Kevin Cullinane</t>
        </is>
      </c>
      <c r="B4090" t="inlineStr">
        <is>
          <t>Attendee</t>
        </is>
      </c>
      <c r="C4090" t="inlineStr">
        <is>
          <t>Managing Director</t>
        </is>
      </c>
      <c r="D4090" t="inlineStr">
        <is>
          <t>RBC Capital Markets</t>
        </is>
      </c>
      <c r="E4090" t="inlineStr">
        <is>
          <t>United States</t>
        </is>
      </c>
      <c r="H4090" t="n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  <c r="N4090">
        <f>IFERROR(INDEX('Company Hitlist'!$AA:$AA,MATCH(D4090,'Company Hitlist'!$A:$A,0)),)</f>
        <v/>
      </c>
      <c r="O4090">
        <f>IFERROR(INDEX('Company Hitlist'!$N:$N,MATCH(D4090,'Company Hitlist'!$A:$A,0)),)</f>
        <v/>
      </c>
      <c r="Q4090" t="inlineStr">
        <is>
          <t>todo</t>
        </is>
      </c>
    </row>
    <row r="4091">
      <c r="A4091" t="inlineStr">
        <is>
          <t>Brandon Batchelor</t>
        </is>
      </c>
      <c r="B4091" t="inlineStr">
        <is>
          <t>Sponsor</t>
        </is>
      </c>
      <c r="C4091" t="inlineStr">
        <is>
          <t>VP Sales</t>
        </is>
      </c>
      <c r="D4091" t="inlineStr">
        <is>
          <t>READYCLOUD</t>
        </is>
      </c>
      <c r="H4091" t="n">
        <v>0</v>
      </c>
      <c r="I4091" t="b">
        <v>0</v>
      </c>
      <c r="J4091" t="b">
        <v>1</v>
      </c>
      <c r="K4091" t="b">
        <v>0</v>
      </c>
      <c r="L4091" t="b">
        <v>0</v>
      </c>
      <c r="M4091" t="b">
        <v>1</v>
      </c>
      <c r="N4091">
        <f>IFERROR(INDEX('Company Hitlist'!$AA:$AA,MATCH(D4091,'Company Hitlist'!$A:$A,0)),)</f>
        <v/>
      </c>
      <c r="O4091">
        <f>IFERROR(INDEX('Company Hitlist'!$N:$N,MATCH(D4091,'Company Hitlist'!$A:$A,0)),)</f>
        <v/>
      </c>
      <c r="Q4091" t="inlineStr">
        <is>
          <t>todo</t>
        </is>
      </c>
    </row>
    <row r="4092">
      <c r="A4092" t="inlineStr">
        <is>
          <t>Ben Simmen</t>
        </is>
      </c>
      <c r="B4092" t="inlineStr">
        <is>
          <t>Sponsor</t>
        </is>
      </c>
      <c r="C4092" t="inlineStr">
        <is>
          <t>Head of Revenue</t>
        </is>
      </c>
      <c r="D4092" t="inlineStr">
        <is>
          <t>RIVR</t>
        </is>
      </c>
      <c r="H4092" t="n">
        <v>0</v>
      </c>
      <c r="I4092" t="b">
        <v>0</v>
      </c>
      <c r="J4092" t="b">
        <v>1</v>
      </c>
      <c r="K4092" t="b">
        <v>0</v>
      </c>
      <c r="L4092" t="b">
        <v>0</v>
      </c>
      <c r="M4092" t="b">
        <v>1</v>
      </c>
      <c r="N4092">
        <f>IFERROR(INDEX('Company Hitlist'!$AA:$AA,MATCH(D4092,'Company Hitlist'!$A:$A,0)),)</f>
        <v/>
      </c>
      <c r="O4092">
        <f>IFERROR(INDEX('Company Hitlist'!$N:$N,MATCH(D4092,'Company Hitlist'!$A:$A,0)),)</f>
        <v/>
      </c>
      <c r="Q4092" t="inlineStr">
        <is>
          <t>todo</t>
        </is>
      </c>
    </row>
    <row r="4093">
      <c r="A4093" t="inlineStr">
        <is>
          <t>Nils Walle</t>
        </is>
      </c>
      <c r="B4093" t="inlineStr">
        <is>
          <t>Attendee</t>
        </is>
      </c>
      <c r="C4093" t="inlineStr">
        <is>
          <t>Co-Founder</t>
        </is>
      </c>
      <c r="D4093" t="inlineStr">
        <is>
          <t>RWSolutions</t>
        </is>
      </c>
      <c r="F4093" t="inlineStr">
        <is>
          <t>Yes</t>
        </is>
      </c>
      <c r="H4093" t="n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>
        <f>IFERROR(INDEX('Company Hitlist'!$AA:$AA,MATCH(D4093,'Company Hitlist'!$A:$A,0)),)</f>
        <v/>
      </c>
      <c r="O4093">
        <f>IFERROR(INDEX('Company Hitlist'!$N:$N,MATCH(D4093,'Company Hitlist'!$A:$A,0)),)</f>
        <v/>
      </c>
      <c r="Q4093" t="inlineStr">
        <is>
          <t>todo</t>
        </is>
      </c>
    </row>
    <row r="4094">
      <c r="A4094" t="inlineStr">
        <is>
          <t>Gene Bannon Jr</t>
        </is>
      </c>
      <c r="B4094" t="inlineStr">
        <is>
          <t>Attendee</t>
        </is>
      </c>
      <c r="C4094" t="inlineStr">
        <is>
          <t>Senior Director</t>
        </is>
      </c>
      <c r="D4094" t="inlineStr">
        <is>
          <t>Radial Inc.</t>
        </is>
      </c>
      <c r="E4094" t="inlineStr">
        <is>
          <t>United States</t>
        </is>
      </c>
      <c r="F4094" t="inlineStr">
        <is>
          <t>Yes</t>
        </is>
      </c>
      <c r="H4094" t="n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>
        <f>IFERROR(INDEX('Company Hitlist'!$AA:$AA,MATCH(D4094,'Company Hitlist'!$A:$A,0)),)</f>
        <v/>
      </c>
      <c r="O4094">
        <f>IFERROR(INDEX('Company Hitlist'!$N:$N,MATCH(D4094,'Company Hitlist'!$A:$A,0)),)</f>
        <v/>
      </c>
      <c r="Q4094" t="inlineStr">
        <is>
          <t>todo</t>
        </is>
      </c>
    </row>
    <row r="4095">
      <c r="A4095" t="inlineStr">
        <is>
          <t>Samuel Winchester</t>
        </is>
      </c>
      <c r="B4095" t="inlineStr">
        <is>
          <t>Attendee</t>
        </is>
      </c>
      <c r="C4095" t="inlineStr">
        <is>
          <t>Investor</t>
        </is>
      </c>
      <c r="D4095" t="inlineStr">
        <is>
          <t>Radian Capital</t>
        </is>
      </c>
      <c r="H4095" t="n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>
        <f>IFERROR(INDEX('Company Hitlist'!$AA:$AA,MATCH(D4095,'Company Hitlist'!$A:$A,0)),)</f>
        <v/>
      </c>
      <c r="O4095">
        <f>IFERROR(INDEX('Company Hitlist'!$N:$N,MATCH(D4095,'Company Hitlist'!$A:$A,0)),)</f>
        <v/>
      </c>
      <c r="Q4095" t="inlineStr">
        <is>
          <t>todo</t>
        </is>
      </c>
    </row>
    <row r="4096">
      <c r="A4096" t="inlineStr">
        <is>
          <t>Mark Ketcham</t>
        </is>
      </c>
      <c r="B4096" t="inlineStr">
        <is>
          <t>Sponsor</t>
        </is>
      </c>
      <c r="C4096" t="inlineStr">
        <is>
          <t>EVP Strategic Market Growth</t>
        </is>
      </c>
      <c r="D4096" t="inlineStr">
        <is>
          <t>Raft</t>
        </is>
      </c>
      <c r="E4096" t="inlineStr">
        <is>
          <t>United Kingdom</t>
        </is>
      </c>
      <c r="F4096" t="inlineStr">
        <is>
          <t>Yes</t>
        </is>
      </c>
      <c r="G4096" t="inlineStr">
        <is>
          <t>$20 million (2025)</t>
        </is>
      </c>
      <c r="H4096" t="n">
        <v>0</v>
      </c>
      <c r="I4096" t="b">
        <v>0</v>
      </c>
      <c r="J4096" t="b">
        <v>1</v>
      </c>
      <c r="K4096" t="b">
        <v>0</v>
      </c>
      <c r="L4096" t="b">
        <v>0</v>
      </c>
      <c r="M4096" t="b">
        <v>1</v>
      </c>
      <c r="N4096">
        <f>IFERROR(INDEX('Company Hitlist'!$AA:$AA,MATCH(D4096,'Company Hitlist'!$A:$A,0)),)</f>
        <v/>
      </c>
      <c r="O4096">
        <f>IFERROR(INDEX('Company Hitlist'!$N:$N,MATCH(D4096,'Company Hitlist'!$A:$A,0)),)</f>
        <v/>
      </c>
      <c r="Q4096" t="inlineStr">
        <is>
          <t>todo</t>
        </is>
      </c>
    </row>
    <row r="4097">
      <c r="A4097" t="inlineStr">
        <is>
          <t>Claudio Fiaoni</t>
        </is>
      </c>
      <c r="B4097" t="inlineStr">
        <is>
          <t>Sponsor</t>
        </is>
      </c>
      <c r="C4097" t="inlineStr">
        <is>
          <t>VP Sales</t>
        </is>
      </c>
      <c r="D4097" t="inlineStr">
        <is>
          <t>Raft</t>
        </is>
      </c>
      <c r="E4097" t="inlineStr">
        <is>
          <t>United Kingdom</t>
        </is>
      </c>
      <c r="H4097" t="n">
        <v>0</v>
      </c>
      <c r="I4097" t="b">
        <v>0</v>
      </c>
      <c r="J4097" t="b">
        <v>1</v>
      </c>
      <c r="K4097" t="b">
        <v>0</v>
      </c>
      <c r="L4097" t="b">
        <v>0</v>
      </c>
      <c r="M4097" t="b">
        <v>1</v>
      </c>
      <c r="N4097">
        <f>IFERROR(INDEX('Company Hitlist'!$AA:$AA,MATCH(D4097,'Company Hitlist'!$A:$A,0)),)</f>
        <v/>
      </c>
      <c r="O4097">
        <f>IFERROR(INDEX('Company Hitlist'!$N:$N,MATCH(D4097,'Company Hitlist'!$A:$A,0)),)</f>
        <v/>
      </c>
      <c r="Q4097" t="inlineStr">
        <is>
          <t>todo</t>
        </is>
      </c>
    </row>
    <row r="4098">
      <c r="A4098" t="inlineStr">
        <is>
          <t>Sean Chinski</t>
        </is>
      </c>
      <c r="B4098" t="inlineStr">
        <is>
          <t>Sponsor</t>
        </is>
      </c>
      <c r="C4098" t="inlineStr">
        <is>
          <t>Chief Sales Officer</t>
        </is>
      </c>
      <c r="D4098" t="inlineStr">
        <is>
          <t>Raft</t>
        </is>
      </c>
      <c r="E4098" t="inlineStr">
        <is>
          <t>United States</t>
        </is>
      </c>
      <c r="H4098" t="n">
        <v>0</v>
      </c>
      <c r="I4098" t="b">
        <v>0</v>
      </c>
      <c r="J4098" t="b">
        <v>1</v>
      </c>
      <c r="K4098" t="b">
        <v>0</v>
      </c>
      <c r="L4098" t="b">
        <v>0</v>
      </c>
      <c r="M4098" t="b">
        <v>1</v>
      </c>
      <c r="N4098">
        <f>IFERROR(INDEX('Company Hitlist'!$AA:$AA,MATCH(D4098,'Company Hitlist'!$A:$A,0)),)</f>
        <v/>
      </c>
      <c r="O4098">
        <f>IFERROR(INDEX('Company Hitlist'!$N:$N,MATCH(D4098,'Company Hitlist'!$A:$A,0)),)</f>
        <v/>
      </c>
      <c r="Q4098" t="inlineStr">
        <is>
          <t>todo</t>
        </is>
      </c>
    </row>
    <row r="4099">
      <c r="A4099" t="inlineStr">
        <is>
          <t>Don Carr</t>
        </is>
      </c>
      <c r="B4099" t="inlineStr">
        <is>
          <t>Attendee</t>
        </is>
      </c>
      <c r="C4099" t="inlineStr">
        <is>
          <t>Client Solutions Specialist</t>
        </is>
      </c>
      <c r="D4099" t="inlineStr">
        <is>
          <t>Ramp Systems</t>
        </is>
      </c>
      <c r="E4099" t="inlineStr">
        <is>
          <t>United States</t>
        </is>
      </c>
      <c r="F4099" t="inlineStr">
        <is>
          <t>Yes</t>
        </is>
      </c>
      <c r="H4099" t="n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>
        <f>IFERROR(INDEX('Company Hitlist'!$AA:$AA,MATCH(D4099,'Company Hitlist'!$A:$A,0)),)</f>
        <v/>
      </c>
      <c r="O4099">
        <f>IFERROR(INDEX('Company Hitlist'!$N:$N,MATCH(D4099,'Company Hitlist'!$A:$A,0)),)</f>
        <v/>
      </c>
      <c r="Q4099" t="inlineStr">
        <is>
          <t>todo</t>
        </is>
      </c>
    </row>
    <row r="4100">
      <c r="A4100" t="inlineStr">
        <is>
          <t>Ryan Sullivan</t>
        </is>
      </c>
      <c r="B4100" t="inlineStr">
        <is>
          <t>Attendee</t>
        </is>
      </c>
      <c r="C4100" t="inlineStr">
        <is>
          <t>Principal</t>
        </is>
      </c>
      <c r="D4100" t="inlineStr">
        <is>
          <t>Ratchet Ventures</t>
        </is>
      </c>
      <c r="E4100" t="inlineStr">
        <is>
          <t>United States</t>
        </is>
      </c>
      <c r="H4100" t="n">
        <v>0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  <c r="N4100">
        <f>IFERROR(INDEX('Company Hitlist'!$AA:$AA,MATCH(D4100,'Company Hitlist'!$A:$A,0)),)</f>
        <v/>
      </c>
      <c r="O4100">
        <f>IFERROR(INDEX('Company Hitlist'!$N:$N,MATCH(D4100,'Company Hitlist'!$A:$A,0)),)</f>
        <v/>
      </c>
      <c r="Q4100" t="inlineStr">
        <is>
          <t>todo</t>
        </is>
      </c>
    </row>
    <row r="4101">
      <c r="A4101" t="inlineStr">
        <is>
          <t>Alexandra Romantseva</t>
        </is>
      </c>
      <c r="B4101" t="inlineStr">
        <is>
          <t>Sponsor</t>
        </is>
      </c>
      <c r="C4101" t="inlineStr">
        <is>
          <t>Head of Marketing</t>
        </is>
      </c>
      <c r="D4101" t="inlineStr">
        <is>
          <t>ReBound</t>
        </is>
      </c>
      <c r="F4101" t="inlineStr">
        <is>
          <t>Yes</t>
        </is>
      </c>
      <c r="G4101" t="inlineStr">
        <is>
          <t>$77.9 million (2025)</t>
        </is>
      </c>
      <c r="H4101" t="n">
        <v>0</v>
      </c>
      <c r="I4101" t="b">
        <v>0</v>
      </c>
      <c r="J4101" t="b">
        <v>1</v>
      </c>
      <c r="K4101" t="b">
        <v>0</v>
      </c>
      <c r="L4101" t="b">
        <v>0</v>
      </c>
      <c r="M4101" t="b">
        <v>1</v>
      </c>
      <c r="N4101">
        <f>IFERROR(INDEX('Company Hitlist'!$AA:$AA,MATCH(D4101,'Company Hitlist'!$A:$A,0)),)</f>
        <v/>
      </c>
      <c r="O4101">
        <f>IFERROR(INDEX('Company Hitlist'!$N:$N,MATCH(D4101,'Company Hitlist'!$A:$A,0)),)</f>
        <v/>
      </c>
      <c r="Q4101" t="inlineStr">
        <is>
          <t>todo</t>
        </is>
      </c>
    </row>
    <row r="4102">
      <c r="A4102" t="inlineStr">
        <is>
          <t>Arin Simpson</t>
        </is>
      </c>
      <c r="B4102" t="inlineStr">
        <is>
          <t>Attendee</t>
        </is>
      </c>
      <c r="C4102" t="inlineStr">
        <is>
          <t>Sr. Director, Strategic Partnerships</t>
        </is>
      </c>
      <c r="D4102" t="inlineStr">
        <is>
          <t>RealCold</t>
        </is>
      </c>
      <c r="E4102" t="inlineStr">
        <is>
          <t>United States</t>
        </is>
      </c>
      <c r="H4102" t="n">
        <v>0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>
        <f>IFERROR(INDEX('Company Hitlist'!$AA:$AA,MATCH(D4102,'Company Hitlist'!$A:$A,0)),)</f>
        <v/>
      </c>
      <c r="O4102">
        <f>IFERROR(INDEX('Company Hitlist'!$N:$N,MATCH(D4102,'Company Hitlist'!$A:$A,0)),)</f>
        <v/>
      </c>
      <c r="Q4102" t="inlineStr">
        <is>
          <t>todo</t>
        </is>
      </c>
    </row>
    <row r="4103">
      <c r="A4103" t="inlineStr">
        <is>
          <t>Brian Weiner</t>
        </is>
      </c>
      <c r="B4103" t="inlineStr">
        <is>
          <t>Sponsor</t>
        </is>
      </c>
      <c r="C4103" t="inlineStr">
        <is>
          <t>SVP of Sales and Marketing</t>
        </is>
      </c>
      <c r="D4103" t="inlineStr">
        <is>
          <t>Rebus</t>
        </is>
      </c>
      <c r="E4103" t="inlineStr">
        <is>
          <t>United States</t>
        </is>
      </c>
      <c r="F4103" t="inlineStr">
        <is>
          <t>Yes</t>
        </is>
      </c>
      <c r="H4103" t="n">
        <v>0</v>
      </c>
      <c r="I4103" t="b">
        <v>0</v>
      </c>
      <c r="J4103" t="b">
        <v>1</v>
      </c>
      <c r="K4103" t="b">
        <v>0</v>
      </c>
      <c r="L4103" t="b">
        <v>0</v>
      </c>
      <c r="M4103" t="b">
        <v>1</v>
      </c>
      <c r="N4103">
        <f>IFERROR(INDEX('Company Hitlist'!$AA:$AA,MATCH(D4103,'Company Hitlist'!$A:$A,0)),)</f>
        <v/>
      </c>
      <c r="O4103">
        <f>IFERROR(INDEX('Company Hitlist'!$N:$N,MATCH(D4103,'Company Hitlist'!$A:$A,0)),)</f>
        <v/>
      </c>
      <c r="Q4103" t="inlineStr">
        <is>
          <t>todo</t>
        </is>
      </c>
    </row>
    <row r="4104">
      <c r="A4104" t="inlineStr">
        <is>
          <t>Anne Delforge</t>
        </is>
      </c>
      <c r="B4104" t="inlineStr">
        <is>
          <t>Attendee</t>
        </is>
      </c>
      <c r="C4104" t="inlineStr">
        <is>
          <t>Supply HR Director, North America</t>
        </is>
      </c>
      <c r="D4104" t="inlineStr">
        <is>
          <t>Reckitt</t>
        </is>
      </c>
      <c r="F4104" t="inlineStr">
        <is>
          <t>Yes</t>
        </is>
      </c>
      <c r="H4104" t="n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>
        <f>IFERROR(INDEX('Company Hitlist'!$AA:$AA,MATCH(D4104,'Company Hitlist'!$A:$A,0)),)</f>
        <v/>
      </c>
      <c r="O4104">
        <f>IFERROR(INDEX('Company Hitlist'!$N:$N,MATCH(D4104,'Company Hitlist'!$A:$A,0)),)</f>
        <v/>
      </c>
      <c r="Q4104" t="inlineStr">
        <is>
          <t>todo</t>
        </is>
      </c>
    </row>
    <row r="4105">
      <c r="A4105" t="inlineStr">
        <is>
          <t>Brock Parsons</t>
        </is>
      </c>
      <c r="B4105" t="inlineStr">
        <is>
          <t>Sponsor</t>
        </is>
      </c>
      <c r="C4105" t="inlineStr">
        <is>
          <t>Vice President of Sales</t>
        </is>
      </c>
      <c r="D4105" t="inlineStr">
        <is>
          <t>Reform</t>
        </is>
      </c>
      <c r="H4105" t="n">
        <v>0</v>
      </c>
      <c r="I4105" t="b">
        <v>0</v>
      </c>
      <c r="J4105" t="b">
        <v>1</v>
      </c>
      <c r="K4105" t="b">
        <v>0</v>
      </c>
      <c r="L4105" t="b">
        <v>0</v>
      </c>
      <c r="M4105" t="b">
        <v>1</v>
      </c>
      <c r="N4105">
        <f>IFERROR(INDEX('Company Hitlist'!$AA:$AA,MATCH(D4105,'Company Hitlist'!$A:$A,0)),)</f>
        <v/>
      </c>
      <c r="O4105">
        <f>IFERROR(INDEX('Company Hitlist'!$N:$N,MATCH(D4105,'Company Hitlist'!$A:$A,0)),)</f>
        <v/>
      </c>
      <c r="Q4105" t="inlineStr">
        <is>
          <t>todo</t>
        </is>
      </c>
    </row>
    <row r="4106">
      <c r="A4106" t="inlineStr">
        <is>
          <t>Amanda Vernaglia</t>
        </is>
      </c>
      <c r="B4106" t="inlineStr">
        <is>
          <t>Attendee</t>
        </is>
      </c>
      <c r="C4106" t="inlineStr">
        <is>
          <t>Director, Target Development</t>
        </is>
      </c>
      <c r="D4106" t="inlineStr">
        <is>
          <t>Rehrig Pacific Co</t>
        </is>
      </c>
      <c r="E4106" t="inlineStr">
        <is>
          <t>United States</t>
        </is>
      </c>
      <c r="F4106" t="inlineStr">
        <is>
          <t>Yes</t>
        </is>
      </c>
      <c r="H4106" t="n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>
        <f>IFERROR(INDEX('Company Hitlist'!$AA:$AA,MATCH(D4106,'Company Hitlist'!$A:$A,0)),)</f>
        <v/>
      </c>
      <c r="O4106">
        <f>IFERROR(INDEX('Company Hitlist'!$N:$N,MATCH(D4106,'Company Hitlist'!$A:$A,0)),)</f>
        <v/>
      </c>
      <c r="Q4106" t="inlineStr">
        <is>
          <t>todo</t>
        </is>
      </c>
    </row>
    <row r="4107">
      <c r="A4107" t="inlineStr">
        <is>
          <t>Galia Nedvedovich</t>
        </is>
      </c>
      <c r="B4107" t="inlineStr">
        <is>
          <t>Sponsor</t>
        </is>
      </c>
      <c r="C4107" t="inlineStr">
        <is>
          <t>VP of Marketing</t>
        </is>
      </c>
      <c r="D4107" t="inlineStr">
        <is>
          <t>Reindeer AI</t>
        </is>
      </c>
      <c r="F4107" t="inlineStr">
        <is>
          <t>Yes</t>
        </is>
      </c>
      <c r="H4107" t="n">
        <v>0</v>
      </c>
      <c r="I4107" t="b">
        <v>0</v>
      </c>
      <c r="J4107" t="b">
        <v>1</v>
      </c>
      <c r="K4107" t="b">
        <v>0</v>
      </c>
      <c r="L4107" t="b">
        <v>0</v>
      </c>
      <c r="M4107" t="b">
        <v>1</v>
      </c>
      <c r="N4107">
        <f>IFERROR(INDEX('Company Hitlist'!$AA:$AA,MATCH(D4107,'Company Hitlist'!$A:$A,0)),)</f>
        <v/>
      </c>
      <c r="O4107">
        <f>IFERROR(INDEX('Company Hitlist'!$N:$N,MATCH(D4107,'Company Hitlist'!$A:$A,0)),)</f>
        <v/>
      </c>
      <c r="Q4107" t="inlineStr">
        <is>
          <t>todo</t>
        </is>
      </c>
    </row>
    <row r="4108">
      <c r="A4108" t="inlineStr">
        <is>
          <t>Haley Hartmann</t>
        </is>
      </c>
      <c r="B4108" t="inlineStr">
        <is>
          <t>Attendee</t>
        </is>
      </c>
      <c r="C4108" t="inlineStr">
        <is>
          <t>Senior Account Supervisor</t>
        </is>
      </c>
      <c r="D4108" t="inlineStr">
        <is>
          <t>Reputation Partners</t>
        </is>
      </c>
      <c r="E4108" t="inlineStr">
        <is>
          <t>United States</t>
        </is>
      </c>
      <c r="H4108" t="n">
        <v>0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>
        <f>IFERROR(INDEX('Company Hitlist'!$AA:$AA,MATCH(D4108,'Company Hitlist'!$A:$A,0)),)</f>
        <v/>
      </c>
      <c r="O4108">
        <f>IFERROR(INDEX('Company Hitlist'!$N:$N,MATCH(D4108,'Company Hitlist'!$A:$A,0)),)</f>
        <v/>
      </c>
      <c r="Q4108" t="inlineStr">
        <is>
          <t>todo</t>
        </is>
      </c>
    </row>
    <row r="4109">
      <c r="A4109" t="inlineStr">
        <is>
          <t>Ryan Treft</t>
        </is>
      </c>
      <c r="B4109" t="inlineStr">
        <is>
          <t>Attendee</t>
        </is>
      </c>
      <c r="C4109" t="inlineStr">
        <is>
          <t>Co-Founder</t>
        </is>
      </c>
      <c r="D4109" t="inlineStr">
        <is>
          <t>Resale.com</t>
        </is>
      </c>
      <c r="F4109" t="inlineStr">
        <is>
          <t>Yes</t>
        </is>
      </c>
      <c r="H4109" t="n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>
        <f>IFERROR(INDEX('Company Hitlist'!$AA:$AA,MATCH(D4109,'Company Hitlist'!$A:$A,0)),)</f>
        <v/>
      </c>
      <c r="O4109">
        <f>IFERROR(INDEX('Company Hitlist'!$N:$N,MATCH(D4109,'Company Hitlist'!$A:$A,0)),)</f>
        <v/>
      </c>
      <c r="Q4109" t="inlineStr">
        <is>
          <t>todo</t>
        </is>
      </c>
    </row>
    <row r="4110">
      <c r="A4110" t="inlineStr">
        <is>
          <t>Sachin Pawa</t>
        </is>
      </c>
      <c r="B4110" t="inlineStr">
        <is>
          <t>Attendee</t>
        </is>
      </c>
      <c r="C4110" t="inlineStr">
        <is>
          <t>Co-Founder</t>
        </is>
      </c>
      <c r="D4110" t="inlineStr">
        <is>
          <t>Resale.com</t>
        </is>
      </c>
      <c r="F4110" t="inlineStr">
        <is>
          <t>Yes</t>
        </is>
      </c>
      <c r="H4110" t="n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>
        <f>IFERROR(INDEX('Company Hitlist'!$AA:$AA,MATCH(D4110,'Company Hitlist'!$A:$A,0)),)</f>
        <v/>
      </c>
      <c r="O4110">
        <f>IFERROR(INDEX('Company Hitlist'!$N:$N,MATCH(D4110,'Company Hitlist'!$A:$A,0)),)</f>
        <v/>
      </c>
      <c r="Q4110" t="inlineStr">
        <is>
          <t>todo</t>
        </is>
      </c>
    </row>
    <row r="4111">
      <c r="A4111" t="inlineStr">
        <is>
          <t>Bernadette Hunter</t>
        </is>
      </c>
      <c r="B4111" t="inlineStr">
        <is>
          <t>Sponsor</t>
        </is>
      </c>
      <c r="C4111" t="inlineStr">
        <is>
          <t>Chief Revenue Officer</t>
        </is>
      </c>
      <c r="D4111" t="inlineStr">
        <is>
          <t>ReturnBear</t>
        </is>
      </c>
      <c r="E4111" t="inlineStr">
        <is>
          <t>United States</t>
        </is>
      </c>
      <c r="F4111" t="inlineStr">
        <is>
          <t>Yes</t>
        </is>
      </c>
      <c r="H4111" t="n">
        <v>0</v>
      </c>
      <c r="I4111" t="b">
        <v>0</v>
      </c>
      <c r="J4111" t="b">
        <v>1</v>
      </c>
      <c r="K4111" t="b">
        <v>0</v>
      </c>
      <c r="L4111" t="b">
        <v>0</v>
      </c>
      <c r="M4111" t="b">
        <v>1</v>
      </c>
      <c r="N4111">
        <f>IFERROR(INDEX('Company Hitlist'!$AA:$AA,MATCH(D4111,'Company Hitlist'!$A:$A,0)),)</f>
        <v/>
      </c>
      <c r="O4111">
        <f>IFERROR(INDEX('Company Hitlist'!$N:$N,MATCH(D4111,'Company Hitlist'!$A:$A,0)),)</f>
        <v/>
      </c>
      <c r="Q4111" t="inlineStr">
        <is>
          <t>todo</t>
        </is>
      </c>
    </row>
    <row r="4112">
      <c r="A4112" t="inlineStr">
        <is>
          <t>Katherine Lehman</t>
        </is>
      </c>
      <c r="B4112" t="inlineStr">
        <is>
          <t>Sponsor</t>
        </is>
      </c>
      <c r="C4112" t="inlineStr">
        <is>
          <t>Chief Marketing Officer</t>
        </is>
      </c>
      <c r="D4112" t="inlineStr">
        <is>
          <t>ReturnBear</t>
        </is>
      </c>
      <c r="E4112" t="inlineStr">
        <is>
          <t>United States</t>
        </is>
      </c>
      <c r="F4112" t="inlineStr">
        <is>
          <t>Yes</t>
        </is>
      </c>
      <c r="H4112" t="n">
        <v>0</v>
      </c>
      <c r="I4112" t="b">
        <v>0</v>
      </c>
      <c r="J4112" t="b">
        <v>1</v>
      </c>
      <c r="K4112" t="b">
        <v>0</v>
      </c>
      <c r="L4112" t="b">
        <v>0</v>
      </c>
      <c r="M4112" t="b">
        <v>1</v>
      </c>
      <c r="N4112">
        <f>IFERROR(INDEX('Company Hitlist'!$AA:$AA,MATCH(D4112,'Company Hitlist'!$A:$A,0)),)</f>
        <v/>
      </c>
      <c r="O4112">
        <f>IFERROR(INDEX('Company Hitlist'!$N:$N,MATCH(D4112,'Company Hitlist'!$A:$A,0)),)</f>
        <v/>
      </c>
      <c r="Q4112" t="inlineStr">
        <is>
          <t>todo</t>
        </is>
      </c>
    </row>
    <row r="4113">
      <c r="A4113" t="inlineStr">
        <is>
          <t>Bill Taylor</t>
        </is>
      </c>
      <c r="B4113" t="inlineStr">
        <is>
          <t>Attendee</t>
        </is>
      </c>
      <c r="C4113" t="inlineStr">
        <is>
          <t>CMO</t>
        </is>
      </c>
      <c r="D4113" t="inlineStr">
        <is>
          <t>Reveel</t>
        </is>
      </c>
      <c r="E4113" t="inlineStr">
        <is>
          <t>United States</t>
        </is>
      </c>
      <c r="F4113" t="inlineStr">
        <is>
          <t>Yes</t>
        </is>
      </c>
      <c r="H4113" t="n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>
        <f>IFERROR(INDEX('Company Hitlist'!$AA:$AA,MATCH(D4113,'Company Hitlist'!$A:$A,0)),)</f>
        <v/>
      </c>
      <c r="O4113">
        <f>IFERROR(INDEX('Company Hitlist'!$N:$N,MATCH(D4113,'Company Hitlist'!$A:$A,0)),)</f>
        <v/>
      </c>
      <c r="Q4113" t="inlineStr">
        <is>
          <t>todo</t>
        </is>
      </c>
    </row>
    <row r="4114">
      <c r="A4114" t="inlineStr">
        <is>
          <t>Quinn Nelson</t>
        </is>
      </c>
      <c r="B4114" t="inlineStr">
        <is>
          <t>Attendee</t>
        </is>
      </c>
      <c r="C4114" t="inlineStr">
        <is>
          <t>Sr. Program Manager</t>
        </is>
      </c>
      <c r="D4114" t="inlineStr">
        <is>
          <t>Reveel</t>
        </is>
      </c>
      <c r="E4114" t="inlineStr">
        <is>
          <t>United States</t>
        </is>
      </c>
      <c r="H4114" t="n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>
        <f>IFERROR(INDEX('Company Hitlist'!$AA:$AA,MATCH(D4114,'Company Hitlist'!$A:$A,0)),)</f>
        <v/>
      </c>
      <c r="O4114">
        <f>IFERROR(INDEX('Company Hitlist'!$N:$N,MATCH(D4114,'Company Hitlist'!$A:$A,0)),)</f>
        <v/>
      </c>
      <c r="Q4114" t="inlineStr">
        <is>
          <t>todo</t>
        </is>
      </c>
    </row>
    <row r="4115">
      <c r="A4115" t="inlineStr">
        <is>
          <t>Selena Sisneroz</t>
        </is>
      </c>
      <c r="B4115" t="inlineStr">
        <is>
          <t>Attendee</t>
        </is>
      </c>
      <c r="C4115" t="inlineStr">
        <is>
          <t>Founding Account Manager</t>
        </is>
      </c>
      <c r="D4115" t="inlineStr">
        <is>
          <t>Revenue Vessel</t>
        </is>
      </c>
      <c r="E4115" t="inlineStr">
        <is>
          <t>United States</t>
        </is>
      </c>
      <c r="H4115" t="n">
        <v>0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>
        <f>IFERROR(INDEX('Company Hitlist'!$AA:$AA,MATCH(D4115,'Company Hitlist'!$A:$A,0)),)</f>
        <v/>
      </c>
      <c r="O4115">
        <f>IFERROR(INDEX('Company Hitlist'!$N:$N,MATCH(D4115,'Company Hitlist'!$A:$A,0)),)</f>
        <v/>
      </c>
      <c r="Q4115" t="inlineStr">
        <is>
          <t>todo</t>
        </is>
      </c>
    </row>
    <row r="4116">
      <c r="A4116" t="inlineStr">
        <is>
          <t>Steve Cousins</t>
        </is>
      </c>
      <c r="B4116" t="inlineStr">
        <is>
          <t>Attendee</t>
        </is>
      </c>
      <c r="C4116" t="inlineStr">
        <is>
          <t>Senior Director Portfolio Architecture</t>
        </is>
      </c>
      <c r="D4116" t="inlineStr">
        <is>
          <t>Ricoh</t>
        </is>
      </c>
      <c r="E4116" t="inlineStr">
        <is>
          <t>United States</t>
        </is>
      </c>
      <c r="F4116" t="inlineStr">
        <is>
          <t>Yes</t>
        </is>
      </c>
      <c r="H4116" t="n">
        <v>0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>
        <f>IFERROR(INDEX('Company Hitlist'!$AA:$AA,MATCH(D4116,'Company Hitlist'!$A:$A,0)),)</f>
        <v/>
      </c>
      <c r="O4116">
        <f>IFERROR(INDEX('Company Hitlist'!$N:$N,MATCH(D4116,'Company Hitlist'!$A:$A,0)),)</f>
        <v/>
      </c>
      <c r="Q4116" t="inlineStr">
        <is>
          <t>todo</t>
        </is>
      </c>
    </row>
    <row r="4117">
      <c r="A4117" t="inlineStr">
        <is>
          <t>Luke Phillips</t>
        </is>
      </c>
      <c r="B4117" t="inlineStr">
        <is>
          <t>Attendee</t>
        </is>
      </c>
      <c r="C4117" t="inlineStr">
        <is>
          <t>Corporate M&amp;A and Venture Capital</t>
        </is>
      </c>
      <c r="D4117" t="inlineStr">
        <is>
          <t>Rite-Hite</t>
        </is>
      </c>
      <c r="E4117" t="inlineStr">
        <is>
          <t>United States</t>
        </is>
      </c>
      <c r="H4117" t="n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>
        <f>IFERROR(INDEX('Company Hitlist'!$AA:$AA,MATCH(D4117,'Company Hitlist'!$A:$A,0)),)</f>
        <v/>
      </c>
      <c r="O4117">
        <f>IFERROR(INDEX('Company Hitlist'!$N:$N,MATCH(D4117,'Company Hitlist'!$A:$A,0)),)</f>
        <v/>
      </c>
      <c r="Q4117" t="inlineStr">
        <is>
          <t>todo</t>
        </is>
      </c>
    </row>
    <row r="4118">
      <c r="A4118" t="inlineStr">
        <is>
          <t>Chris Jones</t>
        </is>
      </c>
      <c r="B4118" t="inlineStr">
        <is>
          <t>Attendee</t>
        </is>
      </c>
      <c r="C4118" t="inlineStr">
        <is>
          <t>Area Supervisor/Site Manager</t>
        </is>
      </c>
      <c r="D4118" t="inlineStr">
        <is>
          <t>Riverson Scaffold</t>
        </is>
      </c>
      <c r="E4118" t="inlineStr">
        <is>
          <t>United States</t>
        </is>
      </c>
      <c r="H4118" t="n">
        <v>0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>
        <f>IFERROR(INDEX('Company Hitlist'!$AA:$AA,MATCH(D4118,'Company Hitlist'!$A:$A,0)),)</f>
        <v/>
      </c>
      <c r="O4118">
        <f>IFERROR(INDEX('Company Hitlist'!$N:$N,MATCH(D4118,'Company Hitlist'!$A:$A,0)),)</f>
        <v/>
      </c>
      <c r="Q4118" t="inlineStr">
        <is>
          <t>todo</t>
        </is>
      </c>
    </row>
    <row r="4119">
      <c r="A4119" t="inlineStr">
        <is>
          <t>Joe De Pinho</t>
        </is>
      </c>
      <c r="B4119" t="inlineStr">
        <is>
          <t>Attendee</t>
        </is>
      </c>
      <c r="C4119" t="inlineStr">
        <is>
          <t>Partner</t>
        </is>
      </c>
      <c r="D4119" t="inlineStr">
        <is>
          <t>Riverwood Capital</t>
        </is>
      </c>
      <c r="E4119" t="inlineStr">
        <is>
          <t>United States</t>
        </is>
      </c>
      <c r="H4119" t="n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  <c r="N4119">
        <f>IFERROR(INDEX('Company Hitlist'!$AA:$AA,MATCH(D4119,'Company Hitlist'!$A:$A,0)),)</f>
        <v/>
      </c>
      <c r="O4119">
        <f>IFERROR(INDEX('Company Hitlist'!$N:$N,MATCH(D4119,'Company Hitlist'!$A:$A,0)),)</f>
        <v/>
      </c>
      <c r="Q4119" t="inlineStr">
        <is>
          <t>todo</t>
        </is>
      </c>
    </row>
    <row r="4120">
      <c r="A4120" t="inlineStr">
        <is>
          <t>Josh Lewis</t>
        </is>
      </c>
      <c r="B4120" t="inlineStr">
        <is>
          <t>Attendee</t>
        </is>
      </c>
      <c r="C4120" t="inlineStr">
        <is>
          <t>Founder</t>
        </is>
      </c>
      <c r="D4120" t="inlineStr">
        <is>
          <t>Rlcold</t>
        </is>
      </c>
      <c r="E4120" t="inlineStr">
        <is>
          <t>United States</t>
        </is>
      </c>
      <c r="H4120" t="n">
        <v>0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>
        <f>IFERROR(INDEX('Company Hitlist'!$AA:$AA,MATCH(D4120,'Company Hitlist'!$A:$A,0)),)</f>
        <v/>
      </c>
      <c r="O4120">
        <f>IFERROR(INDEX('Company Hitlist'!$N:$N,MATCH(D4120,'Company Hitlist'!$A:$A,0)),)</f>
        <v/>
      </c>
      <c r="Q4120" t="inlineStr">
        <is>
          <t>todo</t>
        </is>
      </c>
    </row>
    <row r="4121">
      <c r="A4121" t="inlineStr">
        <is>
          <t>Valerie Metzker</t>
        </is>
      </c>
      <c r="B4121" t="inlineStr">
        <is>
          <t>Sponsor</t>
        </is>
      </c>
      <c r="C4121" t="inlineStr">
        <is>
          <t>VP of Partnerships &amp; Sales</t>
        </is>
      </c>
      <c r="D4121" t="inlineStr">
        <is>
          <t>Roadie</t>
        </is>
      </c>
      <c r="E4121" t="inlineStr">
        <is>
          <t>United States</t>
        </is>
      </c>
      <c r="H4121" t="n">
        <v>0</v>
      </c>
      <c r="I4121" t="b">
        <v>0</v>
      </c>
      <c r="J4121" t="b">
        <v>1</v>
      </c>
      <c r="K4121" t="b">
        <v>0</v>
      </c>
      <c r="L4121" t="b">
        <v>0</v>
      </c>
      <c r="M4121" t="b">
        <v>1</v>
      </c>
      <c r="N4121">
        <f>IFERROR(INDEX('Company Hitlist'!$AA:$AA,MATCH(D4121,'Company Hitlist'!$A:$A,0)),)</f>
        <v/>
      </c>
      <c r="O4121">
        <f>IFERROR(INDEX('Company Hitlist'!$N:$N,MATCH(D4121,'Company Hitlist'!$A:$A,0)),)</f>
        <v/>
      </c>
      <c r="Q4121" t="inlineStr">
        <is>
          <t>todo</t>
        </is>
      </c>
    </row>
    <row r="4122">
      <c r="A4122" t="inlineStr">
        <is>
          <t>Ben Gruettner</t>
        </is>
      </c>
      <c r="B4122" t="inlineStr">
        <is>
          <t>Sponsor</t>
        </is>
      </c>
      <c r="C4122" t="inlineStr">
        <is>
          <t>Chief Revenue Officer</t>
        </is>
      </c>
      <c r="D4122" t="inlineStr">
        <is>
          <t>Robust.AI</t>
        </is>
      </c>
      <c r="E4122" t="inlineStr">
        <is>
          <t>United States</t>
        </is>
      </c>
      <c r="F4122" t="inlineStr">
        <is>
          <t>Yes</t>
        </is>
      </c>
      <c r="H4122" t="n">
        <v>0</v>
      </c>
      <c r="I4122" t="b">
        <v>0</v>
      </c>
      <c r="J4122" t="b">
        <v>1</v>
      </c>
      <c r="K4122" t="b">
        <v>0</v>
      </c>
      <c r="L4122" t="b">
        <v>0</v>
      </c>
      <c r="M4122" t="b">
        <v>1</v>
      </c>
      <c r="N4122">
        <f>IFERROR(INDEX('Company Hitlist'!$AA:$AA,MATCH(D4122,'Company Hitlist'!$A:$A,0)),)</f>
        <v/>
      </c>
      <c r="O4122">
        <f>IFERROR(INDEX('Company Hitlist'!$N:$N,MATCH(D4122,'Company Hitlist'!$A:$A,0)),)</f>
        <v/>
      </c>
      <c r="Q4122" t="inlineStr">
        <is>
          <t>todo</t>
        </is>
      </c>
    </row>
    <row r="4123">
      <c r="A4123" t="inlineStr">
        <is>
          <t>Rachel Smithers</t>
        </is>
      </c>
      <c r="B4123" t="inlineStr">
        <is>
          <t>Attendee</t>
        </is>
      </c>
      <c r="C4123" t="inlineStr">
        <is>
          <t>CoFounder</t>
        </is>
      </c>
      <c r="D4123" t="inlineStr">
        <is>
          <t>Rosemont Industries</t>
        </is>
      </c>
      <c r="H4123" t="n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>
        <f>IFERROR(INDEX('Company Hitlist'!$AA:$AA,MATCH(D4123,'Company Hitlist'!$A:$A,0)),)</f>
        <v/>
      </c>
      <c r="O4123">
        <f>IFERROR(INDEX('Company Hitlist'!$N:$N,MATCH(D4123,'Company Hitlist'!$A:$A,0)),)</f>
        <v/>
      </c>
      <c r="Q4123" t="inlineStr">
        <is>
          <t>todo</t>
        </is>
      </c>
    </row>
    <row r="4124">
      <c r="A4124" t="inlineStr">
        <is>
          <t>Jeff Faulconer</t>
        </is>
      </c>
      <c r="B4124" t="inlineStr">
        <is>
          <t>Attendee</t>
        </is>
      </c>
      <c r="C4124" t="inlineStr">
        <is>
          <t>Senior Director, Enterprise Solutions</t>
        </is>
      </c>
      <c r="D4124" t="inlineStr">
        <is>
          <t>Rue Gilt Groupe</t>
        </is>
      </c>
      <c r="F4124" t="inlineStr">
        <is>
          <t>Yes</t>
        </is>
      </c>
      <c r="H4124" t="n">
        <v>0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>
        <f>IFERROR(INDEX('Company Hitlist'!$AA:$AA,MATCH(D4124,'Company Hitlist'!$A:$A,0)),)</f>
        <v/>
      </c>
      <c r="O4124">
        <f>IFERROR(INDEX('Company Hitlist'!$N:$N,MATCH(D4124,'Company Hitlist'!$A:$A,0)),)</f>
        <v/>
      </c>
      <c r="Q4124" t="inlineStr">
        <is>
          <t>todo</t>
        </is>
      </c>
    </row>
    <row r="4125">
      <c r="A4125" t="inlineStr">
        <is>
          <t>Jill Daneshpour</t>
        </is>
      </c>
      <c r="B4125" t="inlineStr">
        <is>
          <t>Attendee</t>
        </is>
      </c>
      <c r="C4125" t="inlineStr">
        <is>
          <t>Founder</t>
        </is>
      </c>
      <c r="D4125" t="inlineStr">
        <is>
          <t>Ruhewell</t>
        </is>
      </c>
      <c r="F4125" t="inlineStr">
        <is>
          <t>Yes</t>
        </is>
      </c>
      <c r="H4125" t="n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>
        <f>IFERROR(INDEX('Company Hitlist'!$AA:$AA,MATCH(D4125,'Company Hitlist'!$A:$A,0)),)</f>
        <v/>
      </c>
      <c r="O4125">
        <f>IFERROR(INDEX('Company Hitlist'!$N:$N,MATCH(D4125,'Company Hitlist'!$A:$A,0)),)</f>
        <v/>
      </c>
      <c r="Q4125" t="inlineStr">
        <is>
          <t>todo</t>
        </is>
      </c>
    </row>
    <row r="4126">
      <c r="A4126" t="inlineStr">
        <is>
          <t>Todd Skiles</t>
        </is>
      </c>
      <c r="B4126" t="inlineStr">
        <is>
          <t>Sponsor</t>
        </is>
      </c>
      <c r="C4126" t="inlineStr">
        <is>
          <t>SVP of Sales and Marketing</t>
        </is>
      </c>
      <c r="D4126" t="inlineStr">
        <is>
          <t>Ryder System, Inc.</t>
        </is>
      </c>
      <c r="F4126" t="inlineStr">
        <is>
          <t>Yes</t>
        </is>
      </c>
      <c r="H4126" t="n">
        <v>0</v>
      </c>
      <c r="I4126" t="b">
        <v>0</v>
      </c>
      <c r="J4126" t="b">
        <v>1</v>
      </c>
      <c r="K4126" t="b">
        <v>0</v>
      </c>
      <c r="L4126" t="b">
        <v>0</v>
      </c>
      <c r="M4126" t="b">
        <v>1</v>
      </c>
      <c r="N4126">
        <f>IFERROR(INDEX('Company Hitlist'!$AA:$AA,MATCH(D4126,'Company Hitlist'!$A:$A,0)),)</f>
        <v/>
      </c>
      <c r="O4126">
        <f>IFERROR(INDEX('Company Hitlist'!$N:$N,MATCH(D4126,'Company Hitlist'!$A:$A,0)),)</f>
        <v/>
      </c>
      <c r="Q4126" t="inlineStr">
        <is>
          <t>todo</t>
        </is>
      </c>
    </row>
    <row r="4127">
      <c r="A4127" t="inlineStr">
        <is>
          <t>Tom Kretschmer</t>
        </is>
      </c>
      <c r="B4127" t="inlineStr">
        <is>
          <t>Sponsor</t>
        </is>
      </c>
      <c r="C4127" t="inlineStr">
        <is>
          <t>VP Sales</t>
        </is>
      </c>
      <c r="D4127" t="inlineStr">
        <is>
          <t>Ryder System, Inc.</t>
        </is>
      </c>
      <c r="E4127" t="inlineStr">
        <is>
          <t>United States</t>
        </is>
      </c>
      <c r="H4127" t="n">
        <v>0</v>
      </c>
      <c r="I4127" t="b">
        <v>0</v>
      </c>
      <c r="J4127" t="b">
        <v>1</v>
      </c>
      <c r="K4127" t="b">
        <v>0</v>
      </c>
      <c r="L4127" t="b">
        <v>0</v>
      </c>
      <c r="M4127" t="b">
        <v>1</v>
      </c>
      <c r="N4127">
        <f>IFERROR(INDEX('Company Hitlist'!$AA:$AA,MATCH(D4127,'Company Hitlist'!$A:$A,0)),)</f>
        <v/>
      </c>
      <c r="O4127">
        <f>IFERROR(INDEX('Company Hitlist'!$N:$N,MATCH(D4127,'Company Hitlist'!$A:$A,0)),)</f>
        <v/>
      </c>
      <c r="Q4127" t="inlineStr">
        <is>
          <t>todo</t>
        </is>
      </c>
    </row>
    <row r="4128">
      <c r="A4128" t="inlineStr">
        <is>
          <t>Jeff Abeson</t>
        </is>
      </c>
      <c r="B4128" t="inlineStr">
        <is>
          <t>Sponsor</t>
        </is>
      </c>
      <c r="C4128" t="inlineStr">
        <is>
          <t>Vice President Sales</t>
        </is>
      </c>
      <c r="D4128" t="inlineStr">
        <is>
          <t>Ryder System, Inc.</t>
        </is>
      </c>
      <c r="H4128" t="n">
        <v>0</v>
      </c>
      <c r="I4128" t="b">
        <v>0</v>
      </c>
      <c r="J4128" t="b">
        <v>1</v>
      </c>
      <c r="K4128" t="b">
        <v>0</v>
      </c>
      <c r="L4128" t="b">
        <v>0</v>
      </c>
      <c r="M4128" t="b">
        <v>1</v>
      </c>
      <c r="N4128">
        <f>IFERROR(INDEX('Company Hitlist'!$AA:$AA,MATCH(D4128,'Company Hitlist'!$A:$A,0)),)</f>
        <v/>
      </c>
      <c r="O4128">
        <f>IFERROR(INDEX('Company Hitlist'!$N:$N,MATCH(D4128,'Company Hitlist'!$A:$A,0)),)</f>
        <v/>
      </c>
      <c r="Q4128" t="inlineStr">
        <is>
          <t>todo</t>
        </is>
      </c>
    </row>
    <row r="4129">
      <c r="A4129" t="inlineStr">
        <is>
          <t>Vikram SHARMA</t>
        </is>
      </c>
      <c r="B4129" t="inlineStr">
        <is>
          <t>Attendee</t>
        </is>
      </c>
      <c r="C4129" t="inlineStr">
        <is>
          <t>Operating Partner</t>
        </is>
      </c>
      <c r="D4129" t="inlineStr">
        <is>
          <t>S2G Investments</t>
        </is>
      </c>
      <c r="E4129" t="inlineStr">
        <is>
          <t>United States</t>
        </is>
      </c>
      <c r="H4129" t="n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>
        <f>IFERROR(INDEX('Company Hitlist'!$AA:$AA,MATCH(D4129,'Company Hitlist'!$A:$A,0)),)</f>
        <v/>
      </c>
      <c r="O4129">
        <f>IFERROR(INDEX('Company Hitlist'!$N:$N,MATCH(D4129,'Company Hitlist'!$A:$A,0)),)</f>
        <v/>
      </c>
      <c r="Q4129" t="inlineStr">
        <is>
          <t>todo</t>
        </is>
      </c>
    </row>
    <row r="4130">
      <c r="A4130" t="inlineStr">
        <is>
          <t>Amy Thorne</t>
        </is>
      </c>
      <c r="B4130" t="inlineStr">
        <is>
          <t>Attendee</t>
        </is>
      </c>
      <c r="C4130" t="inlineStr">
        <is>
          <t>Editorial Director</t>
        </is>
      </c>
      <c r="D4130" t="inlineStr">
        <is>
          <t>SCLA Journal</t>
        </is>
      </c>
      <c r="E4130" t="inlineStr">
        <is>
          <t>United States</t>
        </is>
      </c>
      <c r="H4130" t="n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>
        <f>IFERROR(INDEX('Company Hitlist'!$AA:$AA,MATCH(D4130,'Company Hitlist'!$A:$A,0)),)</f>
        <v/>
      </c>
      <c r="O4130">
        <f>IFERROR(INDEX('Company Hitlist'!$N:$N,MATCH(D4130,'Company Hitlist'!$A:$A,0)),)</f>
        <v/>
      </c>
      <c r="Q4130" t="inlineStr">
        <is>
          <t>todo</t>
        </is>
      </c>
    </row>
    <row r="4131">
      <c r="A4131" t="inlineStr">
        <is>
          <t>Carl Klinck</t>
        </is>
      </c>
      <c r="B4131" t="inlineStr">
        <is>
          <t>Attendee</t>
        </is>
      </c>
      <c r="C4131" t="inlineStr">
        <is>
          <t>Group leader</t>
        </is>
      </c>
      <c r="D4131" t="inlineStr">
        <is>
          <t>SDIA</t>
        </is>
      </c>
      <c r="H4131" t="n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>
        <f>IFERROR(INDEX('Company Hitlist'!$AA:$AA,MATCH(D4131,'Company Hitlist'!$A:$A,0)),)</f>
        <v/>
      </c>
      <c r="O4131">
        <f>IFERROR(INDEX('Company Hitlist'!$N:$N,MATCH(D4131,'Company Hitlist'!$A:$A,0)),)</f>
        <v/>
      </c>
      <c r="Q4131" t="inlineStr">
        <is>
          <t>todo</t>
        </is>
      </c>
    </row>
    <row r="4132">
      <c r="A4132" t="inlineStr">
        <is>
          <t>Sung Jin</t>
        </is>
      </c>
      <c r="B4132" t="inlineStr">
        <is>
          <t>Attendee</t>
        </is>
      </c>
      <c r="C4132" t="inlineStr">
        <is>
          <t>Team leader</t>
        </is>
      </c>
      <c r="D4132" t="inlineStr">
        <is>
          <t>SDIABS</t>
        </is>
      </c>
      <c r="H4132" t="n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  <c r="N4132">
        <f>IFERROR(INDEX('Company Hitlist'!$AA:$AA,MATCH(D4132,'Company Hitlist'!$A:$A,0)),)</f>
        <v/>
      </c>
      <c r="O4132">
        <f>IFERROR(INDEX('Company Hitlist'!$N:$N,MATCH(D4132,'Company Hitlist'!$A:$A,0)),)</f>
        <v/>
      </c>
      <c r="Q4132" t="inlineStr">
        <is>
          <t>todo</t>
        </is>
      </c>
    </row>
    <row r="4133">
      <c r="A4133" t="inlineStr">
        <is>
          <t>Brent Tisdale</t>
        </is>
      </c>
      <c r="B4133" t="inlineStr">
        <is>
          <t>Sponsor</t>
        </is>
      </c>
      <c r="C4133" t="inlineStr">
        <is>
          <t>VP New Business and SME Sales</t>
        </is>
      </c>
      <c r="D4133" t="inlineStr">
        <is>
          <t>SEEBURGER</t>
        </is>
      </c>
      <c r="E4133" t="inlineStr">
        <is>
          <t>United States</t>
        </is>
      </c>
      <c r="H4133" t="n">
        <v>0</v>
      </c>
      <c r="I4133" t="b">
        <v>0</v>
      </c>
      <c r="J4133" t="b">
        <v>1</v>
      </c>
      <c r="K4133" t="b">
        <v>0</v>
      </c>
      <c r="L4133" t="b">
        <v>0</v>
      </c>
      <c r="M4133" t="b">
        <v>1</v>
      </c>
      <c r="N4133">
        <f>IFERROR(INDEX('Company Hitlist'!$AA:$AA,MATCH(D4133,'Company Hitlist'!$A:$A,0)),)</f>
        <v/>
      </c>
      <c r="O4133">
        <f>IFERROR(INDEX('Company Hitlist'!$N:$N,MATCH(D4133,'Company Hitlist'!$A:$A,0)),)</f>
        <v/>
      </c>
      <c r="Q4133" t="inlineStr">
        <is>
          <t>todo</t>
        </is>
      </c>
    </row>
    <row r="4134">
      <c r="A4134" t="inlineStr">
        <is>
          <t>Steevens Noel</t>
        </is>
      </c>
      <c r="B4134" t="inlineStr">
        <is>
          <t>Attendee</t>
        </is>
      </c>
      <c r="C4134" t="inlineStr">
        <is>
          <t>Managing Director</t>
        </is>
      </c>
      <c r="D4134" t="inlineStr">
        <is>
          <t>SEN1Media</t>
        </is>
      </c>
      <c r="E4134" t="inlineStr">
        <is>
          <t>United States</t>
        </is>
      </c>
      <c r="H4134" t="n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>
        <f>IFERROR(INDEX('Company Hitlist'!$AA:$AA,MATCH(D4134,'Company Hitlist'!$A:$A,0)),)</f>
        <v/>
      </c>
      <c r="O4134">
        <f>IFERROR(INDEX('Company Hitlist'!$N:$N,MATCH(D4134,'Company Hitlist'!$A:$A,0)),)</f>
        <v/>
      </c>
      <c r="Q4134" t="inlineStr">
        <is>
          <t>todo</t>
        </is>
      </c>
    </row>
    <row r="4135">
      <c r="A4135" t="inlineStr">
        <is>
          <t>David Griest</t>
        </is>
      </c>
      <c r="B4135" t="inlineStr">
        <is>
          <t>Attendee</t>
        </is>
      </c>
      <c r="C4135" t="inlineStr">
        <is>
          <t>Managing Director</t>
        </is>
      </c>
      <c r="D4135" t="inlineStr">
        <is>
          <t>SJF Ventures</t>
        </is>
      </c>
      <c r="E4135" t="inlineStr">
        <is>
          <t>United States</t>
        </is>
      </c>
      <c r="H4135" t="n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>
        <f>IFERROR(INDEX('Company Hitlist'!$AA:$AA,MATCH(D4135,'Company Hitlist'!$A:$A,0)),)</f>
        <v/>
      </c>
      <c r="O4135">
        <f>IFERROR(INDEX('Company Hitlist'!$N:$N,MATCH(D4135,'Company Hitlist'!$A:$A,0)),)</f>
        <v/>
      </c>
      <c r="Q4135" t="inlineStr">
        <is>
          <t>todo</t>
        </is>
      </c>
    </row>
    <row r="4136">
      <c r="A4136" t="inlineStr">
        <is>
          <t>Jackie Lipkin</t>
        </is>
      </c>
      <c r="B4136" t="inlineStr">
        <is>
          <t>Attendee</t>
        </is>
      </c>
      <c r="C4136" t="inlineStr">
        <is>
          <t>Partner</t>
        </is>
      </c>
      <c r="D4136" t="inlineStr">
        <is>
          <t>SJF Ventures</t>
        </is>
      </c>
      <c r="H4136" t="n">
        <v>0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>
        <f>IFERROR(INDEX('Company Hitlist'!$AA:$AA,MATCH(D4136,'Company Hitlist'!$A:$A,0)),)</f>
        <v/>
      </c>
      <c r="O4136">
        <f>IFERROR(INDEX('Company Hitlist'!$N:$N,MATCH(D4136,'Company Hitlist'!$A:$A,0)),)</f>
        <v/>
      </c>
      <c r="Q4136" t="inlineStr">
        <is>
          <t>todo</t>
        </is>
      </c>
    </row>
    <row r="4137">
      <c r="A4137" t="inlineStr">
        <is>
          <t>Daniel Luzzi</t>
        </is>
      </c>
      <c r="B4137" t="inlineStr">
        <is>
          <t>Attendee</t>
        </is>
      </c>
      <c r="C4137" t="inlineStr">
        <is>
          <t>Managing Director</t>
        </is>
      </c>
      <c r="D4137" t="inlineStr">
        <is>
          <t>SLM Group</t>
        </is>
      </c>
      <c r="E4137" t="inlineStr">
        <is>
          <t>United States</t>
        </is>
      </c>
      <c r="F4137" t="inlineStr">
        <is>
          <t>Yes</t>
        </is>
      </c>
      <c r="H4137" t="n">
        <v>0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>
        <f>IFERROR(INDEX('Company Hitlist'!$AA:$AA,MATCH(D4137,'Company Hitlist'!$A:$A,0)),)</f>
        <v/>
      </c>
      <c r="O4137">
        <f>IFERROR(INDEX('Company Hitlist'!$N:$N,MATCH(D4137,'Company Hitlist'!$A:$A,0)),)</f>
        <v/>
      </c>
      <c r="Q4137" t="inlineStr">
        <is>
          <t>todo</t>
        </is>
      </c>
    </row>
    <row r="4138">
      <c r="A4138" t="inlineStr">
        <is>
          <t>Ben Bilhorn</t>
        </is>
      </c>
      <c r="B4138" t="inlineStr">
        <is>
          <t>Attendee</t>
        </is>
      </c>
      <c r="C4138" t="inlineStr">
        <is>
          <t>Sr. QA Automation Engineer</t>
        </is>
      </c>
      <c r="D4138" t="inlineStr">
        <is>
          <t>SLMCON</t>
        </is>
      </c>
      <c r="E4138" t="inlineStr">
        <is>
          <t>United States</t>
        </is>
      </c>
      <c r="H4138" t="n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>
        <f>IFERROR(INDEX('Company Hitlist'!$AA:$AA,MATCH(D4138,'Company Hitlist'!$A:$A,0)),)</f>
        <v/>
      </c>
      <c r="O4138">
        <f>IFERROR(INDEX('Company Hitlist'!$N:$N,MATCH(D4138,'Company Hitlist'!$A:$A,0)),)</f>
        <v/>
      </c>
      <c r="Q4138" t="inlineStr">
        <is>
          <t>todo</t>
        </is>
      </c>
    </row>
    <row r="4139">
      <c r="A4139" t="inlineStr">
        <is>
          <t>Alex Kottoor</t>
        </is>
      </c>
      <c r="B4139" t="inlineStr">
        <is>
          <t>Sponsor</t>
        </is>
      </c>
      <c r="C4139" t="inlineStr">
        <is>
          <t>Chief Revenue Officer</t>
        </is>
      </c>
      <c r="D4139" t="inlineStr">
        <is>
          <t>SLS RFID</t>
        </is>
      </c>
      <c r="E4139" t="inlineStr">
        <is>
          <t>United States</t>
        </is>
      </c>
      <c r="F4139" t="inlineStr">
        <is>
          <t>Yes</t>
        </is>
      </c>
      <c r="H4139" t="n">
        <v>0</v>
      </c>
      <c r="I4139" t="b">
        <v>0</v>
      </c>
      <c r="J4139" t="b">
        <v>1</v>
      </c>
      <c r="K4139" t="b">
        <v>0</v>
      </c>
      <c r="L4139" t="b">
        <v>0</v>
      </c>
      <c r="M4139" t="b">
        <v>1</v>
      </c>
      <c r="N4139">
        <f>IFERROR(INDEX('Company Hitlist'!$AA:$AA,MATCH(D4139,'Company Hitlist'!$A:$A,0)),)</f>
        <v/>
      </c>
      <c r="O4139">
        <f>IFERROR(INDEX('Company Hitlist'!$N:$N,MATCH(D4139,'Company Hitlist'!$A:$A,0)),)</f>
        <v/>
      </c>
      <c r="Q4139" t="inlineStr">
        <is>
          <t>todo</t>
        </is>
      </c>
    </row>
    <row r="4140">
      <c r="A4140" t="inlineStr">
        <is>
          <t>Suzi Bennett</t>
        </is>
      </c>
      <c r="B4140" t="inlineStr">
        <is>
          <t>Attendee</t>
        </is>
      </c>
      <c r="C4140" t="inlineStr">
        <is>
          <t>Agent Owner</t>
        </is>
      </c>
      <c r="D4140" t="inlineStr">
        <is>
          <t>SMB Transport, LLC</t>
        </is>
      </c>
      <c r="E4140" t="inlineStr">
        <is>
          <t>United States</t>
        </is>
      </c>
      <c r="F4140" t="inlineStr">
        <is>
          <t>Yes</t>
        </is>
      </c>
      <c r="H4140" t="n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>
        <f>IFERROR(INDEX('Company Hitlist'!$AA:$AA,MATCH(D4140,'Company Hitlist'!$A:$A,0)),)</f>
        <v/>
      </c>
      <c r="O4140">
        <f>IFERROR(INDEX('Company Hitlist'!$N:$N,MATCH(D4140,'Company Hitlist'!$A:$A,0)),)</f>
        <v/>
      </c>
      <c r="Q4140" t="inlineStr">
        <is>
          <t>todo</t>
        </is>
      </c>
    </row>
    <row r="4141">
      <c r="A4141" t="inlineStr">
        <is>
          <t>Kendra Miller</t>
        </is>
      </c>
      <c r="B4141" t="inlineStr">
        <is>
          <t>Attendee</t>
        </is>
      </c>
      <c r="C4141" t="inlineStr">
        <is>
          <t>Senior Director of Alliance Partnerships &amp; Client Success</t>
        </is>
      </c>
      <c r="D4141" t="inlineStr">
        <is>
          <t>SMC3</t>
        </is>
      </c>
      <c r="E4141" t="inlineStr">
        <is>
          <t>United States</t>
        </is>
      </c>
      <c r="F4141" t="inlineStr">
        <is>
          <t>Yes</t>
        </is>
      </c>
      <c r="H4141" t="n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  <c r="N4141">
        <f>IFERROR(INDEX('Company Hitlist'!$AA:$AA,MATCH(D4141,'Company Hitlist'!$A:$A,0)),)</f>
        <v/>
      </c>
      <c r="O4141">
        <f>IFERROR(INDEX('Company Hitlist'!$N:$N,MATCH(D4141,'Company Hitlist'!$A:$A,0)),)</f>
        <v/>
      </c>
      <c r="Q4141" t="inlineStr">
        <is>
          <t>todo</t>
        </is>
      </c>
    </row>
    <row r="4142">
      <c r="A4142" t="inlineStr">
        <is>
          <t>Renee Rubino</t>
        </is>
      </c>
      <c r="B4142" t="inlineStr">
        <is>
          <t>Attendee</t>
        </is>
      </c>
      <c r="C4142" t="inlineStr">
        <is>
          <t>Manager of Alliance Partnerships</t>
        </is>
      </c>
      <c r="D4142" t="inlineStr">
        <is>
          <t>SMC3</t>
        </is>
      </c>
      <c r="E4142" t="inlineStr">
        <is>
          <t>United States</t>
        </is>
      </c>
      <c r="H4142" t="n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>
        <f>IFERROR(INDEX('Company Hitlist'!$AA:$AA,MATCH(D4142,'Company Hitlist'!$A:$A,0)),)</f>
        <v/>
      </c>
      <c r="O4142">
        <f>IFERROR(INDEX('Company Hitlist'!$N:$N,MATCH(D4142,'Company Hitlist'!$A:$A,0)),)</f>
        <v/>
      </c>
      <c r="Q4142" t="inlineStr">
        <is>
          <t>todo</t>
        </is>
      </c>
    </row>
    <row r="4143">
      <c r="A4143" t="inlineStr">
        <is>
          <t>David Squinquel</t>
        </is>
      </c>
      <c r="B4143" t="inlineStr">
        <is>
          <t>Attendee</t>
        </is>
      </c>
      <c r="C4143" t="inlineStr">
        <is>
          <t>Manager of Operational Planning &amp; Competencies</t>
        </is>
      </c>
      <c r="D4143" t="inlineStr">
        <is>
          <t>SNCB</t>
        </is>
      </c>
      <c r="H4143" t="n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>
        <f>IFERROR(INDEX('Company Hitlist'!$AA:$AA,MATCH(D4143,'Company Hitlist'!$A:$A,0)),)</f>
        <v/>
      </c>
      <c r="O4143">
        <f>IFERROR(INDEX('Company Hitlist'!$N:$N,MATCH(D4143,'Company Hitlist'!$A:$A,0)),)</f>
        <v/>
      </c>
      <c r="Q4143" t="inlineStr">
        <is>
          <t>todo</t>
        </is>
      </c>
    </row>
    <row r="4144">
      <c r="A4144" t="inlineStr">
        <is>
          <t>Mike Shefveland</t>
        </is>
      </c>
      <c r="B4144" t="inlineStr">
        <is>
          <t>Sponsor</t>
        </is>
      </c>
      <c r="C4144" t="inlineStr">
        <is>
          <t>Vice President of Sales</t>
        </is>
      </c>
      <c r="D4144" t="inlineStr">
        <is>
          <t>SPEEDY DELIVERY LLC</t>
        </is>
      </c>
      <c r="H4144" t="n">
        <v>0</v>
      </c>
      <c r="I4144" t="b">
        <v>0</v>
      </c>
      <c r="J4144" t="b">
        <v>1</v>
      </c>
      <c r="K4144" t="b">
        <v>0</v>
      </c>
      <c r="L4144" t="b">
        <v>0</v>
      </c>
      <c r="M4144" t="b">
        <v>1</v>
      </c>
      <c r="N4144">
        <f>IFERROR(INDEX('Company Hitlist'!$AA:$AA,MATCH(D4144,'Company Hitlist'!$A:$A,0)),)</f>
        <v/>
      </c>
      <c r="O4144">
        <f>IFERROR(INDEX('Company Hitlist'!$N:$N,MATCH(D4144,'Company Hitlist'!$A:$A,0)),)</f>
        <v/>
      </c>
      <c r="Q4144" t="inlineStr">
        <is>
          <t>todo</t>
        </is>
      </c>
    </row>
    <row r="4145">
      <c r="A4145" t="inlineStr">
        <is>
          <t>Michael Mikulik</t>
        </is>
      </c>
      <c r="B4145" t="inlineStr">
        <is>
          <t>Attendee</t>
        </is>
      </c>
      <c r="C4145" t="inlineStr">
        <is>
          <t>CRO</t>
        </is>
      </c>
      <c r="D4145" t="inlineStr">
        <is>
          <t>SPI Logistics</t>
        </is>
      </c>
      <c r="E4145" t="inlineStr">
        <is>
          <t>Canada</t>
        </is>
      </c>
      <c r="F4145" t="inlineStr">
        <is>
          <t>Yes</t>
        </is>
      </c>
      <c r="H4145" t="n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>
        <f>IFERROR(INDEX('Company Hitlist'!$AA:$AA,MATCH(D4145,'Company Hitlist'!$A:$A,0)),)</f>
        <v/>
      </c>
      <c r="O4145">
        <f>IFERROR(INDEX('Company Hitlist'!$N:$N,MATCH(D4145,'Company Hitlist'!$A:$A,0)),)</f>
        <v/>
      </c>
      <c r="Q4145" t="inlineStr">
        <is>
          <t>todo</t>
        </is>
      </c>
    </row>
    <row r="4146">
      <c r="A4146" t="inlineStr">
        <is>
          <t>Bryan Brevard</t>
        </is>
      </c>
      <c r="B4146" t="inlineStr">
        <is>
          <t>Attendee</t>
        </is>
      </c>
      <c r="C4146" t="inlineStr">
        <is>
          <t>Senior Technology Consultant</t>
        </is>
      </c>
      <c r="D4146" t="inlineStr">
        <is>
          <t>SS Automation and Controls</t>
        </is>
      </c>
      <c r="E4146" t="inlineStr">
        <is>
          <t>United States</t>
        </is>
      </c>
      <c r="F4146" t="inlineStr">
        <is>
          <t>Yes</t>
        </is>
      </c>
      <c r="H4146" t="n">
        <v>0</v>
      </c>
      <c r="I4146" t="b">
        <v>0</v>
      </c>
      <c r="J4146" t="b">
        <v>0</v>
      </c>
      <c r="K4146" t="b">
        <v>0</v>
      </c>
      <c r="L4146" t="b">
        <v>0</v>
      </c>
      <c r="M4146" t="b">
        <v>0</v>
      </c>
      <c r="N4146">
        <f>IFERROR(INDEX('Company Hitlist'!$AA:$AA,MATCH(D4146,'Company Hitlist'!$A:$A,0)),)</f>
        <v/>
      </c>
      <c r="O4146">
        <f>IFERROR(INDEX('Company Hitlist'!$N:$N,MATCH(D4146,'Company Hitlist'!$A:$A,0)),)</f>
        <v/>
      </c>
      <c r="Q4146" t="inlineStr">
        <is>
          <t>todo</t>
        </is>
      </c>
    </row>
    <row r="4147">
      <c r="A4147" t="inlineStr">
        <is>
          <t>Adam Hendricks</t>
        </is>
      </c>
      <c r="B4147" t="inlineStr">
        <is>
          <t>Attendee</t>
        </is>
      </c>
      <c r="C4147" t="inlineStr">
        <is>
          <t>Managing Director</t>
        </is>
      </c>
      <c r="D4147" t="inlineStr">
        <is>
          <t>STG Partners</t>
        </is>
      </c>
      <c r="E4147" t="inlineStr">
        <is>
          <t>United States</t>
        </is>
      </c>
      <c r="H4147" t="n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>
        <f>IFERROR(INDEX('Company Hitlist'!$AA:$AA,MATCH(D4147,'Company Hitlist'!$A:$A,0)),)</f>
        <v/>
      </c>
      <c r="O4147">
        <f>IFERROR(INDEX('Company Hitlist'!$N:$N,MATCH(D4147,'Company Hitlist'!$A:$A,0)),)</f>
        <v/>
      </c>
      <c r="Q4147" t="inlineStr">
        <is>
          <t>todo</t>
        </is>
      </c>
    </row>
    <row r="4148">
      <c r="A4148" t="inlineStr">
        <is>
          <t>Jaime Culberson</t>
        </is>
      </c>
      <c r="B4148" t="inlineStr">
        <is>
          <t>Attendee</t>
        </is>
      </c>
      <c r="C4148" t="inlineStr">
        <is>
          <t>Director, Systems</t>
        </is>
      </c>
      <c r="D4148" t="inlineStr">
        <is>
          <t>Saddle Creek Logistics</t>
        </is>
      </c>
      <c r="E4148" t="inlineStr">
        <is>
          <t>United States</t>
        </is>
      </c>
      <c r="F4148" t="inlineStr">
        <is>
          <t>Yes</t>
        </is>
      </c>
      <c r="H4148" t="n">
        <v>0</v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  <c r="N4148">
        <f>IFERROR(INDEX('Company Hitlist'!$AA:$AA,MATCH(D4148,'Company Hitlist'!$A:$A,0)),)</f>
        <v/>
      </c>
      <c r="O4148">
        <f>IFERROR(INDEX('Company Hitlist'!$N:$N,MATCH(D4148,'Company Hitlist'!$A:$A,0)),)</f>
        <v/>
      </c>
      <c r="Q4148" t="inlineStr">
        <is>
          <t>todo</t>
        </is>
      </c>
    </row>
    <row r="4149">
      <c r="A4149" t="inlineStr">
        <is>
          <t>Charlie Piper</t>
        </is>
      </c>
      <c r="B4149" t="inlineStr">
        <is>
          <t>Sponsor</t>
        </is>
      </c>
      <c r="C4149" t="inlineStr">
        <is>
          <t>SVP, Marketing and Business Development</t>
        </is>
      </c>
      <c r="D4149" t="inlineStr">
        <is>
          <t>Saddle Creek Logistics Services</t>
        </is>
      </c>
      <c r="E4149" t="inlineStr">
        <is>
          <t>United States</t>
        </is>
      </c>
      <c r="H4149" t="n">
        <v>0</v>
      </c>
      <c r="I4149" t="b">
        <v>0</v>
      </c>
      <c r="J4149" t="b">
        <v>1</v>
      </c>
      <c r="K4149" t="b">
        <v>0</v>
      </c>
      <c r="L4149" t="b">
        <v>0</v>
      </c>
      <c r="M4149" t="b">
        <v>1</v>
      </c>
      <c r="N4149">
        <f>IFERROR(INDEX('Company Hitlist'!$AA:$AA,MATCH(D4149,'Company Hitlist'!$A:$A,0)),)</f>
        <v/>
      </c>
      <c r="O4149">
        <f>IFERROR(INDEX('Company Hitlist'!$N:$N,MATCH(D4149,'Company Hitlist'!$A:$A,0)),)</f>
        <v/>
      </c>
      <c r="Q4149" t="inlineStr">
        <is>
          <t>todo</t>
        </is>
      </c>
    </row>
    <row r="4150">
      <c r="A4150" t="inlineStr">
        <is>
          <t>Jeff Jones</t>
        </is>
      </c>
      <c r="B4150" t="inlineStr">
        <is>
          <t>Sponsor</t>
        </is>
      </c>
      <c r="C4150" t="inlineStr">
        <is>
          <t>Vice President, Business Development</t>
        </is>
      </c>
      <c r="D4150" t="inlineStr">
        <is>
          <t>Saddle Creek Logistics Services</t>
        </is>
      </c>
      <c r="H4150" t="n">
        <v>0</v>
      </c>
      <c r="I4150" t="b">
        <v>0</v>
      </c>
      <c r="J4150" t="b">
        <v>1</v>
      </c>
      <c r="K4150" t="b">
        <v>0</v>
      </c>
      <c r="L4150" t="b">
        <v>0</v>
      </c>
      <c r="M4150" t="b">
        <v>1</v>
      </c>
      <c r="N4150">
        <f>IFERROR(INDEX('Company Hitlist'!$AA:$AA,MATCH(D4150,'Company Hitlist'!$A:$A,0)),)</f>
        <v/>
      </c>
      <c r="O4150">
        <f>IFERROR(INDEX('Company Hitlist'!$N:$N,MATCH(D4150,'Company Hitlist'!$A:$A,0)),)</f>
        <v/>
      </c>
      <c r="Q4150" t="inlineStr">
        <is>
          <t>todo</t>
        </is>
      </c>
    </row>
    <row r="4151">
      <c r="A4151" t="inlineStr">
        <is>
          <t>Erika Estrada</t>
        </is>
      </c>
      <c r="B4151" t="inlineStr">
        <is>
          <t>Attendee</t>
        </is>
      </c>
      <c r="C4151" t="inlineStr">
        <is>
          <t>Supplier Performance Manager</t>
        </is>
      </c>
      <c r="D4151" t="inlineStr">
        <is>
          <t>Safran Passenger Innovations</t>
        </is>
      </c>
      <c r="H4151" t="n">
        <v>0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>
        <f>IFERROR(INDEX('Company Hitlist'!$AA:$AA,MATCH(D4151,'Company Hitlist'!$A:$A,0)),)</f>
        <v/>
      </c>
      <c r="O4151">
        <f>IFERROR(INDEX('Company Hitlist'!$N:$N,MATCH(D4151,'Company Hitlist'!$A:$A,0)),)</f>
        <v/>
      </c>
      <c r="Q4151" t="inlineStr">
        <is>
          <t>todo</t>
        </is>
      </c>
    </row>
    <row r="4152">
      <c r="A4152" t="inlineStr">
        <is>
          <t>Andrew Shults</t>
        </is>
      </c>
      <c r="B4152" t="inlineStr">
        <is>
          <t>Attendee</t>
        </is>
      </c>
      <c r="C4152" t="inlineStr">
        <is>
          <t>Senior Director, Pricing Strategies</t>
        </is>
      </c>
      <c r="D4152" t="inlineStr">
        <is>
          <t>Sage Freight</t>
        </is>
      </c>
      <c r="E4152" t="inlineStr">
        <is>
          <t>United States</t>
        </is>
      </c>
      <c r="F4152" t="inlineStr">
        <is>
          <t>Yes</t>
        </is>
      </c>
      <c r="H4152" t="n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>
        <f>IFERROR(INDEX('Company Hitlist'!$AA:$AA,MATCH(D4152,'Company Hitlist'!$A:$A,0)),)</f>
        <v/>
      </c>
      <c r="O4152">
        <f>IFERROR(INDEX('Company Hitlist'!$N:$N,MATCH(D4152,'Company Hitlist'!$A:$A,0)),)</f>
        <v/>
      </c>
      <c r="Q4152" t="inlineStr">
        <is>
          <t>todo</t>
        </is>
      </c>
    </row>
    <row r="4153">
      <c r="A4153" t="inlineStr">
        <is>
          <t>Patrick Jones</t>
        </is>
      </c>
      <c r="B4153" t="inlineStr">
        <is>
          <t>Attendee</t>
        </is>
      </c>
      <c r="C4153" t="inlineStr">
        <is>
          <t>Senior Director of IT</t>
        </is>
      </c>
      <c r="D4153" t="inlineStr">
        <is>
          <t>Sage Freight</t>
        </is>
      </c>
      <c r="E4153" t="inlineStr">
        <is>
          <t>United States</t>
        </is>
      </c>
      <c r="F4153" t="inlineStr">
        <is>
          <t>Yes</t>
        </is>
      </c>
      <c r="H4153" t="n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>
        <f>IFERROR(INDEX('Company Hitlist'!$AA:$AA,MATCH(D4153,'Company Hitlist'!$A:$A,0)),)</f>
        <v/>
      </c>
      <c r="O4153">
        <f>IFERROR(INDEX('Company Hitlist'!$N:$N,MATCH(D4153,'Company Hitlist'!$A:$A,0)),)</f>
        <v/>
      </c>
      <c r="Q4153" t="inlineStr">
        <is>
          <t>todo</t>
        </is>
      </c>
    </row>
    <row r="4154">
      <c r="A4154" t="inlineStr">
        <is>
          <t>Mário Ferreira</t>
        </is>
      </c>
      <c r="B4154" t="inlineStr">
        <is>
          <t>Attendee</t>
        </is>
      </c>
      <c r="C4154" t="inlineStr">
        <is>
          <t>Transports Manager</t>
        </is>
      </c>
      <c r="D4154" t="inlineStr">
        <is>
          <t>Salsa Jeans</t>
        </is>
      </c>
      <c r="H4154" t="n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>
        <f>IFERROR(INDEX('Company Hitlist'!$AA:$AA,MATCH(D4154,'Company Hitlist'!$A:$A,0)),)</f>
        <v/>
      </c>
      <c r="O4154">
        <f>IFERROR(INDEX('Company Hitlist'!$N:$N,MATCH(D4154,'Company Hitlist'!$A:$A,0)),)</f>
        <v/>
      </c>
      <c r="Q4154" t="inlineStr">
        <is>
          <t>todo</t>
        </is>
      </c>
    </row>
    <row r="4155">
      <c r="A4155" t="inlineStr">
        <is>
          <t>Adam Douglas</t>
        </is>
      </c>
      <c r="B4155" t="inlineStr">
        <is>
          <t>Attendee</t>
        </is>
      </c>
      <c r="C4155" t="inlineStr">
        <is>
          <t>Director</t>
        </is>
      </c>
      <c r="D4155" t="inlineStr">
        <is>
          <t>Salt River Project</t>
        </is>
      </c>
      <c r="E4155" t="inlineStr">
        <is>
          <t>United States</t>
        </is>
      </c>
      <c r="F4155" t="inlineStr">
        <is>
          <t>Yes</t>
        </is>
      </c>
      <c r="H4155" t="n">
        <v>0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>
        <f>IFERROR(INDEX('Company Hitlist'!$AA:$AA,MATCH(D4155,'Company Hitlist'!$A:$A,0)),)</f>
        <v/>
      </c>
      <c r="O4155">
        <f>IFERROR(INDEX('Company Hitlist'!$N:$N,MATCH(D4155,'Company Hitlist'!$A:$A,0)),)</f>
        <v/>
      </c>
      <c r="Q4155" t="inlineStr">
        <is>
          <t>todo</t>
        </is>
      </c>
    </row>
    <row r="4156">
      <c r="A4156" t="inlineStr">
        <is>
          <t>Paola López Espinoza</t>
        </is>
      </c>
      <c r="B4156" t="inlineStr">
        <is>
          <t>Attendee</t>
        </is>
      </c>
      <c r="C4156" t="inlineStr">
        <is>
          <t>Digital Transformation Manager</t>
        </is>
      </c>
      <c r="D4156" t="inlineStr">
        <is>
          <t>Salzillo</t>
        </is>
      </c>
      <c r="E4156" t="inlineStr">
        <is>
          <t>Mexico</t>
        </is>
      </c>
      <c r="H4156" t="n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>
        <f>IFERROR(INDEX('Company Hitlist'!$AA:$AA,MATCH(D4156,'Company Hitlist'!$A:$A,0)),)</f>
        <v/>
      </c>
      <c r="O4156">
        <f>IFERROR(INDEX('Company Hitlist'!$N:$N,MATCH(D4156,'Company Hitlist'!$A:$A,0)),)</f>
        <v/>
      </c>
      <c r="Q4156" t="inlineStr">
        <is>
          <t>todo</t>
        </is>
      </c>
    </row>
    <row r="4157">
      <c r="A4157" t="inlineStr">
        <is>
          <t>Timothy Drennon</t>
        </is>
      </c>
      <c r="B4157" t="inlineStr">
        <is>
          <t>Attendee</t>
        </is>
      </c>
      <c r="C4157" t="inlineStr">
        <is>
          <t>Director / Team leader</t>
        </is>
      </c>
      <c r="D4157" t="inlineStr">
        <is>
          <t>Samsung Austin Semiconductor</t>
        </is>
      </c>
      <c r="H4157" t="n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>
        <f>IFERROR(INDEX('Company Hitlist'!$AA:$AA,MATCH(D4157,'Company Hitlist'!$A:$A,0)),)</f>
        <v/>
      </c>
      <c r="O4157">
        <f>IFERROR(INDEX('Company Hitlist'!$N:$N,MATCH(D4157,'Company Hitlist'!$A:$A,0)),)</f>
        <v/>
      </c>
      <c r="Q4157" t="inlineStr">
        <is>
          <t>todo</t>
        </is>
      </c>
    </row>
    <row r="4158">
      <c r="A4158" t="inlineStr">
        <is>
          <t>Andrew Vogeley</t>
        </is>
      </c>
      <c r="B4158" t="inlineStr">
        <is>
          <t>Attendee</t>
        </is>
      </c>
      <c r="C4158" t="inlineStr">
        <is>
          <t>Investor</t>
        </is>
      </c>
      <c r="D4158" t="inlineStr">
        <is>
          <t>Sapphire</t>
        </is>
      </c>
      <c r="E4158" t="inlineStr">
        <is>
          <t>United States</t>
        </is>
      </c>
      <c r="F4158" t="inlineStr">
        <is>
          <t>Yes</t>
        </is>
      </c>
      <c r="H4158" t="n">
        <v>0</v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>
        <f>IFERROR(INDEX('Company Hitlist'!$AA:$AA,MATCH(D4158,'Company Hitlist'!$A:$A,0)),)</f>
        <v/>
      </c>
      <c r="O4158">
        <f>IFERROR(INDEX('Company Hitlist'!$N:$N,MATCH(D4158,'Company Hitlist'!$A:$A,0)),)</f>
        <v/>
      </c>
      <c r="Q4158" t="inlineStr">
        <is>
          <t>todo</t>
        </is>
      </c>
    </row>
    <row r="4159">
      <c r="A4159" t="inlineStr">
        <is>
          <t>Chloe Lin</t>
        </is>
      </c>
      <c r="B4159" t="inlineStr">
        <is>
          <t>Attendee</t>
        </is>
      </c>
      <c r="C4159" t="inlineStr">
        <is>
          <t>Investor</t>
        </is>
      </c>
      <c r="D4159" t="inlineStr">
        <is>
          <t>Sapphire Ventures</t>
        </is>
      </c>
      <c r="E4159" t="inlineStr">
        <is>
          <t>United States</t>
        </is>
      </c>
      <c r="H4159" t="n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>
        <f>IFERROR(INDEX('Company Hitlist'!$AA:$AA,MATCH(D4159,'Company Hitlist'!$A:$A,0)),)</f>
        <v/>
      </c>
      <c r="O4159">
        <f>IFERROR(INDEX('Company Hitlist'!$N:$N,MATCH(D4159,'Company Hitlist'!$A:$A,0)),)</f>
        <v/>
      </c>
      <c r="Q4159" t="inlineStr">
        <is>
          <t>todo</t>
        </is>
      </c>
    </row>
    <row r="4160">
      <c r="A4160" t="inlineStr">
        <is>
          <t>Julie Nguyen</t>
        </is>
      </c>
      <c r="B4160" t="inlineStr">
        <is>
          <t>Attendee</t>
        </is>
      </c>
      <c r="C4160" t="inlineStr">
        <is>
          <t>Investor</t>
        </is>
      </c>
      <c r="D4160" t="inlineStr">
        <is>
          <t>Sapphire Ventures</t>
        </is>
      </c>
      <c r="E4160" t="inlineStr">
        <is>
          <t>United States</t>
        </is>
      </c>
      <c r="H4160" t="n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>
        <f>IFERROR(INDEX('Company Hitlist'!$AA:$AA,MATCH(D4160,'Company Hitlist'!$A:$A,0)),)</f>
        <v/>
      </c>
      <c r="O4160">
        <f>IFERROR(INDEX('Company Hitlist'!$N:$N,MATCH(D4160,'Company Hitlist'!$A:$A,0)),)</f>
        <v/>
      </c>
      <c r="Q4160" t="inlineStr">
        <is>
          <t>todo</t>
        </is>
      </c>
    </row>
    <row r="4161">
      <c r="A4161" t="inlineStr">
        <is>
          <t>Erin O'Leary</t>
        </is>
      </c>
      <c r="B4161" t="inlineStr">
        <is>
          <t>Attendee</t>
        </is>
      </c>
      <c r="C4161" t="inlineStr">
        <is>
          <t>Director, Information Technology</t>
        </is>
      </c>
      <c r="D4161" t="inlineStr">
        <is>
          <t>Scarbrough Global</t>
        </is>
      </c>
      <c r="E4161" t="inlineStr">
        <is>
          <t>United States</t>
        </is>
      </c>
      <c r="F4161" t="inlineStr">
        <is>
          <t>Yes</t>
        </is>
      </c>
      <c r="H4161" t="n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>
        <f>IFERROR(INDEX('Company Hitlist'!$AA:$AA,MATCH(D4161,'Company Hitlist'!$A:$A,0)),)</f>
        <v/>
      </c>
      <c r="O4161">
        <f>IFERROR(INDEX('Company Hitlist'!$N:$N,MATCH(D4161,'Company Hitlist'!$A:$A,0)),)</f>
        <v/>
      </c>
      <c r="Q4161" t="inlineStr">
        <is>
          <t>todo</t>
        </is>
      </c>
    </row>
    <row r="4162">
      <c r="A4162" t="inlineStr">
        <is>
          <t>Julian Counihan</t>
        </is>
      </c>
      <c r="B4162" t="inlineStr">
        <is>
          <t>Attendee</t>
        </is>
      </c>
      <c r="C4162" t="inlineStr">
        <is>
          <t>Investor</t>
        </is>
      </c>
      <c r="D4162" t="inlineStr">
        <is>
          <t>Schematic Ventures</t>
        </is>
      </c>
      <c r="E4162" t="inlineStr">
        <is>
          <t>United States</t>
        </is>
      </c>
      <c r="H4162" t="n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>
        <f>IFERROR(INDEX('Company Hitlist'!$AA:$AA,MATCH(D4162,'Company Hitlist'!$A:$A,0)),)</f>
        <v/>
      </c>
      <c r="O4162">
        <f>IFERROR(INDEX('Company Hitlist'!$N:$N,MATCH(D4162,'Company Hitlist'!$A:$A,0)),)</f>
        <v/>
      </c>
      <c r="Q4162" t="inlineStr">
        <is>
          <t>todo</t>
        </is>
      </c>
    </row>
    <row r="4163">
      <c r="A4163" t="inlineStr">
        <is>
          <t>Andrew Butcher</t>
        </is>
      </c>
      <c r="B4163" t="inlineStr">
        <is>
          <t>Attendee</t>
        </is>
      </c>
      <c r="C4163" t="inlineStr">
        <is>
          <t>Attorney/Partner</t>
        </is>
      </c>
      <c r="D4163" t="inlineStr">
        <is>
          <t>Scopelitis Garvin Light Hanson &amp; Feary PC</t>
        </is>
      </c>
      <c r="E4163" t="inlineStr">
        <is>
          <t>United States</t>
        </is>
      </c>
      <c r="F4163" t="inlineStr">
        <is>
          <t>Yes</t>
        </is>
      </c>
      <c r="H4163" t="n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>
        <f>IFERROR(INDEX('Company Hitlist'!$AA:$AA,MATCH(D4163,'Company Hitlist'!$A:$A,0)),)</f>
        <v/>
      </c>
      <c r="O4163">
        <f>IFERROR(INDEX('Company Hitlist'!$N:$N,MATCH(D4163,'Company Hitlist'!$A:$A,0)),)</f>
        <v/>
      </c>
      <c r="Q4163" t="inlineStr">
        <is>
          <t>todo</t>
        </is>
      </c>
    </row>
    <row r="4164">
      <c r="A4164" t="inlineStr">
        <is>
          <t>Charles Andrewscavage</t>
        </is>
      </c>
      <c r="B4164" t="inlineStr">
        <is>
          <t>Attendee</t>
        </is>
      </c>
      <c r="C4164" t="inlineStr">
        <is>
          <t>Attorney/Partner</t>
        </is>
      </c>
      <c r="D4164" t="inlineStr">
        <is>
          <t>Scopelitis Garvin Light Hanson &amp; Feary PC</t>
        </is>
      </c>
      <c r="E4164" t="inlineStr">
        <is>
          <t>United States</t>
        </is>
      </c>
      <c r="F4164" t="inlineStr">
        <is>
          <t>Yes</t>
        </is>
      </c>
      <c r="H4164" t="n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>
        <f>IFERROR(INDEX('Company Hitlist'!$AA:$AA,MATCH(D4164,'Company Hitlist'!$A:$A,0)),)</f>
        <v/>
      </c>
      <c r="O4164">
        <f>IFERROR(INDEX('Company Hitlist'!$N:$N,MATCH(D4164,'Company Hitlist'!$A:$A,0)),)</f>
        <v/>
      </c>
      <c r="Q4164" t="inlineStr">
        <is>
          <t>todo</t>
        </is>
      </c>
    </row>
    <row r="4165">
      <c r="A4165" t="inlineStr">
        <is>
          <t>Kevin Phillips</t>
        </is>
      </c>
      <c r="B4165" t="inlineStr">
        <is>
          <t>Attendee</t>
        </is>
      </c>
      <c r="C4165" t="inlineStr">
        <is>
          <t>Attorney/Partner</t>
        </is>
      </c>
      <c r="D4165" t="inlineStr">
        <is>
          <t>Scopelitis Garvin Light Hanson &amp; Feary PC</t>
        </is>
      </c>
      <c r="E4165" t="inlineStr">
        <is>
          <t>United States</t>
        </is>
      </c>
      <c r="F4165" t="inlineStr">
        <is>
          <t>Yes</t>
        </is>
      </c>
      <c r="H4165" t="n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  <c r="N4165">
        <f>IFERROR(INDEX('Company Hitlist'!$AA:$AA,MATCH(D4165,'Company Hitlist'!$A:$A,0)),)</f>
        <v/>
      </c>
      <c r="O4165">
        <f>IFERROR(INDEX('Company Hitlist'!$N:$N,MATCH(D4165,'Company Hitlist'!$A:$A,0)),)</f>
        <v/>
      </c>
      <c r="Q4165" t="inlineStr">
        <is>
          <t>todo</t>
        </is>
      </c>
    </row>
    <row r="4166">
      <c r="A4166" t="inlineStr">
        <is>
          <t>Ryan Wright</t>
        </is>
      </c>
      <c r="B4166" t="inlineStr">
        <is>
          <t>Attendee</t>
        </is>
      </c>
      <c r="C4166" t="inlineStr">
        <is>
          <t>Attorney/Partner</t>
        </is>
      </c>
      <c r="D4166" t="inlineStr">
        <is>
          <t>Scopelitis Garvin Light Hanson &amp; Feary PC</t>
        </is>
      </c>
      <c r="E4166" t="inlineStr">
        <is>
          <t>United States</t>
        </is>
      </c>
      <c r="F4166" t="inlineStr">
        <is>
          <t>Yes</t>
        </is>
      </c>
      <c r="H4166" t="n">
        <v>0</v>
      </c>
      <c r="I4166" t="b">
        <v>0</v>
      </c>
      <c r="J4166" t="b">
        <v>0</v>
      </c>
      <c r="K4166" t="b">
        <v>0</v>
      </c>
      <c r="L4166" t="b">
        <v>0</v>
      </c>
      <c r="M4166" t="b">
        <v>0</v>
      </c>
      <c r="N4166">
        <f>IFERROR(INDEX('Company Hitlist'!$AA:$AA,MATCH(D4166,'Company Hitlist'!$A:$A,0)),)</f>
        <v/>
      </c>
      <c r="O4166">
        <f>IFERROR(INDEX('Company Hitlist'!$N:$N,MATCH(D4166,'Company Hitlist'!$A:$A,0)),)</f>
        <v/>
      </c>
      <c r="Q4166" t="inlineStr">
        <is>
          <t>todo</t>
        </is>
      </c>
    </row>
    <row r="4167">
      <c r="A4167" t="inlineStr">
        <is>
          <t>Gavin Murphy</t>
        </is>
      </c>
      <c r="B4167" t="inlineStr">
        <is>
          <t>Attendee</t>
        </is>
      </c>
      <c r="C4167" t="inlineStr">
        <is>
          <t>CMO</t>
        </is>
      </c>
      <c r="D4167" t="inlineStr">
        <is>
          <t>Scurri</t>
        </is>
      </c>
      <c r="E4167" t="inlineStr">
        <is>
          <t>Ireland</t>
        </is>
      </c>
      <c r="F4167" t="inlineStr">
        <is>
          <t>Yes</t>
        </is>
      </c>
      <c r="H4167" t="n">
        <v>0</v>
      </c>
      <c r="I4167" t="b">
        <v>0</v>
      </c>
      <c r="J4167" t="b">
        <v>0</v>
      </c>
      <c r="K4167" t="b">
        <v>0</v>
      </c>
      <c r="L4167" t="b">
        <v>0</v>
      </c>
      <c r="M4167" t="b">
        <v>0</v>
      </c>
      <c r="N4167">
        <f>IFERROR(INDEX('Company Hitlist'!$AA:$AA,MATCH(D4167,'Company Hitlist'!$A:$A,0)),)</f>
        <v/>
      </c>
      <c r="O4167">
        <f>IFERROR(INDEX('Company Hitlist'!$N:$N,MATCH(D4167,'Company Hitlist'!$A:$A,0)),)</f>
        <v/>
      </c>
      <c r="Q4167" t="inlineStr">
        <is>
          <t>todo</t>
        </is>
      </c>
    </row>
    <row r="4168">
      <c r="A4168" t="inlineStr">
        <is>
          <t>Liza Cohen</t>
        </is>
      </c>
      <c r="B4168" t="inlineStr">
        <is>
          <t>Attendee</t>
        </is>
      </c>
      <c r="C4168" t="inlineStr">
        <is>
          <t>Senior Specialist, Impact</t>
        </is>
      </c>
      <c r="D4168" t="inlineStr">
        <is>
          <t>Seed Health</t>
        </is>
      </c>
      <c r="E4168" t="inlineStr">
        <is>
          <t>United States</t>
        </is>
      </c>
      <c r="F4168" t="inlineStr">
        <is>
          <t>Yes</t>
        </is>
      </c>
      <c r="H4168" t="n">
        <v>0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>
        <f>IFERROR(INDEX('Company Hitlist'!$AA:$AA,MATCH(D4168,'Company Hitlist'!$A:$A,0)),)</f>
        <v/>
      </c>
      <c r="O4168">
        <f>IFERROR(INDEX('Company Hitlist'!$N:$N,MATCH(D4168,'Company Hitlist'!$A:$A,0)),)</f>
        <v/>
      </c>
      <c r="Q4168" t="inlineStr">
        <is>
          <t>todo</t>
        </is>
      </c>
    </row>
    <row r="4169">
      <c r="A4169" t="inlineStr">
        <is>
          <t>Jie Huang</t>
        </is>
      </c>
      <c r="B4169" t="inlineStr">
        <is>
          <t>Attendee</t>
        </is>
      </c>
      <c r="C4169" t="inlineStr">
        <is>
          <t>Builder</t>
        </is>
      </c>
      <c r="D4169" t="inlineStr">
        <is>
          <t>Self</t>
        </is>
      </c>
      <c r="E4169" t="inlineStr">
        <is>
          <t>United States</t>
        </is>
      </c>
      <c r="H4169" t="n">
        <v>0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>
        <f>IFERROR(INDEX('Company Hitlist'!$AA:$AA,MATCH(D4169,'Company Hitlist'!$A:$A,0)),)</f>
        <v/>
      </c>
      <c r="O4169">
        <f>IFERROR(INDEX('Company Hitlist'!$N:$N,MATCH(D4169,'Company Hitlist'!$A:$A,0)),)</f>
        <v/>
      </c>
      <c r="Q4169" t="inlineStr">
        <is>
          <t>todo</t>
        </is>
      </c>
    </row>
    <row r="4170">
      <c r="A4170" t="inlineStr">
        <is>
          <t>Sabi Tolou</t>
        </is>
      </c>
      <c r="B4170" t="inlineStr">
        <is>
          <t>Attendee</t>
        </is>
      </c>
      <c r="C4170" t="inlineStr">
        <is>
          <t>CCO</t>
        </is>
      </c>
      <c r="D4170" t="inlineStr">
        <is>
          <t>Sendcloud</t>
        </is>
      </c>
      <c r="E4170" t="inlineStr">
        <is>
          <t>Netherlands</t>
        </is>
      </c>
      <c r="F4170" t="inlineStr">
        <is>
          <t>Yes</t>
        </is>
      </c>
      <c r="H4170" t="n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>
        <f>IFERROR(INDEX('Company Hitlist'!$AA:$AA,MATCH(D4170,'Company Hitlist'!$A:$A,0)),)</f>
        <v/>
      </c>
      <c r="O4170">
        <f>IFERROR(INDEX('Company Hitlist'!$N:$N,MATCH(D4170,'Company Hitlist'!$A:$A,0)),)</f>
        <v/>
      </c>
      <c r="Q4170" t="inlineStr">
        <is>
          <t>todo</t>
        </is>
      </c>
    </row>
    <row r="4171">
      <c r="A4171" t="inlineStr">
        <is>
          <t>Abraham Safdie</t>
        </is>
      </c>
      <c r="B4171" t="inlineStr">
        <is>
          <t>Sponsor</t>
        </is>
      </c>
      <c r="C4171" t="inlineStr">
        <is>
          <t>Head of Sales South America</t>
        </is>
      </c>
      <c r="D4171" t="inlineStr">
        <is>
          <t>Sensos</t>
        </is>
      </c>
      <c r="E4171" t="inlineStr">
        <is>
          <t>United States</t>
        </is>
      </c>
      <c r="H4171" t="n">
        <v>0</v>
      </c>
      <c r="I4171" t="b">
        <v>0</v>
      </c>
      <c r="J4171" t="b">
        <v>1</v>
      </c>
      <c r="K4171" t="b">
        <v>0</v>
      </c>
      <c r="L4171" t="b">
        <v>0</v>
      </c>
      <c r="M4171" t="b">
        <v>1</v>
      </c>
      <c r="N4171">
        <f>IFERROR(INDEX('Company Hitlist'!$AA:$AA,MATCH(D4171,'Company Hitlist'!$A:$A,0)),)</f>
        <v/>
      </c>
      <c r="O4171">
        <f>IFERROR(INDEX('Company Hitlist'!$N:$N,MATCH(D4171,'Company Hitlist'!$A:$A,0)),)</f>
        <v/>
      </c>
      <c r="Q4171" t="inlineStr">
        <is>
          <t>todo</t>
        </is>
      </c>
    </row>
    <row r="4172">
      <c r="A4172" t="inlineStr">
        <is>
          <t>Julia Casciaro</t>
        </is>
      </c>
      <c r="B4172" t="inlineStr">
        <is>
          <t>Sponsor</t>
        </is>
      </c>
      <c r="C4172" t="inlineStr">
        <is>
          <t>Head of Sales North America</t>
        </is>
      </c>
      <c r="D4172" t="inlineStr">
        <is>
          <t>Sensos</t>
        </is>
      </c>
      <c r="E4172" t="inlineStr">
        <is>
          <t>United States</t>
        </is>
      </c>
      <c r="H4172" t="n">
        <v>0</v>
      </c>
      <c r="I4172" t="b">
        <v>0</v>
      </c>
      <c r="J4172" t="b">
        <v>1</v>
      </c>
      <c r="K4172" t="b">
        <v>0</v>
      </c>
      <c r="L4172" t="b">
        <v>0</v>
      </c>
      <c r="M4172" t="b">
        <v>1</v>
      </c>
      <c r="N4172">
        <f>IFERROR(INDEX('Company Hitlist'!$AA:$AA,MATCH(D4172,'Company Hitlist'!$A:$A,0)),)</f>
        <v/>
      </c>
      <c r="O4172">
        <f>IFERROR(INDEX('Company Hitlist'!$N:$N,MATCH(D4172,'Company Hitlist'!$A:$A,0)),)</f>
        <v/>
      </c>
      <c r="Q4172" t="inlineStr">
        <is>
          <t>todo</t>
        </is>
      </c>
    </row>
    <row r="4173">
      <c r="A4173" t="inlineStr">
        <is>
          <t>Austin Meacham</t>
        </is>
      </c>
      <c r="B4173" t="inlineStr">
        <is>
          <t>Attendee</t>
        </is>
      </c>
      <c r="C4173" t="inlineStr">
        <is>
          <t>Investor</t>
        </is>
      </c>
      <c r="D4173" t="inlineStr">
        <is>
          <t>Sentinel Global</t>
        </is>
      </c>
      <c r="E4173" t="inlineStr">
        <is>
          <t>United States</t>
        </is>
      </c>
      <c r="F4173" t="inlineStr">
        <is>
          <t>Yes</t>
        </is>
      </c>
      <c r="H4173" t="n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>
        <f>IFERROR(INDEX('Company Hitlist'!$AA:$AA,MATCH(D4173,'Company Hitlist'!$A:$A,0)),)</f>
        <v/>
      </c>
      <c r="O4173">
        <f>IFERROR(INDEX('Company Hitlist'!$N:$N,MATCH(D4173,'Company Hitlist'!$A:$A,0)),)</f>
        <v/>
      </c>
      <c r="Q4173" t="inlineStr">
        <is>
          <t>todo</t>
        </is>
      </c>
    </row>
    <row r="4174">
      <c r="A4174" t="inlineStr">
        <is>
          <t>David Renne</t>
        </is>
      </c>
      <c r="B4174" t="inlineStr">
        <is>
          <t>Attendee</t>
        </is>
      </c>
      <c r="C4174" t="inlineStr">
        <is>
          <t>Partner</t>
        </is>
      </c>
      <c r="D4174" t="inlineStr">
        <is>
          <t>Sentinel Global</t>
        </is>
      </c>
      <c r="E4174" t="inlineStr">
        <is>
          <t>United States</t>
        </is>
      </c>
      <c r="F4174" t="inlineStr">
        <is>
          <t>Yes</t>
        </is>
      </c>
      <c r="H4174" t="n">
        <v>0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>
        <f>IFERROR(INDEX('Company Hitlist'!$AA:$AA,MATCH(D4174,'Company Hitlist'!$A:$A,0)),)</f>
        <v/>
      </c>
      <c r="O4174">
        <f>IFERROR(INDEX('Company Hitlist'!$N:$N,MATCH(D4174,'Company Hitlist'!$A:$A,0)),)</f>
        <v/>
      </c>
      <c r="Q4174" t="inlineStr">
        <is>
          <t>todo</t>
        </is>
      </c>
    </row>
    <row r="4175">
      <c r="A4175" t="inlineStr">
        <is>
          <t>Eric Owen</t>
        </is>
      </c>
      <c r="B4175" t="inlineStr">
        <is>
          <t>Sponsor</t>
        </is>
      </c>
      <c r="C4175" t="inlineStr">
        <is>
          <t>Chief Growth Officer</t>
        </is>
      </c>
      <c r="D4175" t="inlineStr">
        <is>
          <t>Sharetown</t>
        </is>
      </c>
      <c r="F4175" t="inlineStr">
        <is>
          <t>Yes</t>
        </is>
      </c>
      <c r="H4175" t="n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1</v>
      </c>
      <c r="N4175">
        <f>IFERROR(INDEX('Company Hitlist'!$AA:$AA,MATCH(D4175,'Company Hitlist'!$A:$A,0)),)</f>
        <v/>
      </c>
      <c r="O4175">
        <f>IFERROR(INDEX('Company Hitlist'!$N:$N,MATCH(D4175,'Company Hitlist'!$A:$A,0)),)</f>
        <v/>
      </c>
      <c r="Q4175" t="inlineStr">
        <is>
          <t>todo</t>
        </is>
      </c>
    </row>
    <row r="4176">
      <c r="A4176" t="inlineStr">
        <is>
          <t>Jennifer Morris</t>
        </is>
      </c>
      <c r="B4176" t="inlineStr">
        <is>
          <t>Attendee</t>
        </is>
      </c>
      <c r="C4176" t="inlineStr">
        <is>
          <t>Content Creator/Media</t>
        </is>
      </c>
      <c r="D4176" t="inlineStr">
        <is>
          <t>Ship Happens</t>
        </is>
      </c>
      <c r="E4176" t="inlineStr">
        <is>
          <t>United States</t>
        </is>
      </c>
      <c r="F4176" t="inlineStr">
        <is>
          <t>Yes</t>
        </is>
      </c>
      <c r="H4176" t="n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>
        <f>IFERROR(INDEX('Company Hitlist'!$AA:$AA,MATCH(D4176,'Company Hitlist'!$A:$A,0)),)</f>
        <v/>
      </c>
      <c r="O4176">
        <f>IFERROR(INDEX('Company Hitlist'!$N:$N,MATCH(D4176,'Company Hitlist'!$A:$A,0)),)</f>
        <v/>
      </c>
      <c r="Q4176" t="inlineStr">
        <is>
          <t>todo</t>
        </is>
      </c>
    </row>
    <row r="4177">
      <c r="A4177" t="inlineStr">
        <is>
          <t>Eshaan Bhatnagar</t>
        </is>
      </c>
      <c r="B4177" t="inlineStr">
        <is>
          <t>Attendee</t>
        </is>
      </c>
      <c r="C4177" t="inlineStr">
        <is>
          <t>Director, Powered By</t>
        </is>
      </c>
      <c r="D4177" t="inlineStr">
        <is>
          <t>ShipBob</t>
        </is>
      </c>
      <c r="E4177" t="inlineStr">
        <is>
          <t>United States</t>
        </is>
      </c>
      <c r="F4177" t="inlineStr">
        <is>
          <t>Yes</t>
        </is>
      </c>
      <c r="G4177" t="inlineStr">
        <is>
          <t>$500M (2025 est.) (ICP match)</t>
        </is>
      </c>
      <c r="H4177" t="n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>
        <f>IFERROR(INDEX('Company Hitlist'!$AA:$AA,MATCH(D4177,'Company Hitlist'!$A:$A,0)),)</f>
        <v/>
      </c>
      <c r="O4177">
        <f>IFERROR(INDEX('Company Hitlist'!$N:$N,MATCH(D4177,'Company Hitlist'!$A:$A,0)),)</f>
        <v/>
      </c>
      <c r="Q4177" t="inlineStr">
        <is>
          <t>todo</t>
        </is>
      </c>
    </row>
    <row r="4178">
      <c r="A4178" t="inlineStr">
        <is>
          <t>Joel Bebermeyer</t>
        </is>
      </c>
      <c r="B4178" t="inlineStr">
        <is>
          <t>Attendee</t>
        </is>
      </c>
      <c r="C4178" t="inlineStr">
        <is>
          <t>Manager, Client Acquisition</t>
        </is>
      </c>
      <c r="D4178" t="inlineStr">
        <is>
          <t>ShipBob</t>
        </is>
      </c>
      <c r="E4178" t="inlineStr">
        <is>
          <t>United States</t>
        </is>
      </c>
      <c r="H4178" t="n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>
        <f>IFERROR(INDEX('Company Hitlist'!$AA:$AA,MATCH(D4178,'Company Hitlist'!$A:$A,0)),)</f>
        <v/>
      </c>
      <c r="O4178">
        <f>IFERROR(INDEX('Company Hitlist'!$N:$N,MATCH(D4178,'Company Hitlist'!$A:$A,0)),)</f>
        <v/>
      </c>
      <c r="Q4178" t="inlineStr">
        <is>
          <t>todo</t>
        </is>
      </c>
    </row>
    <row r="4179">
      <c r="A4179" t="inlineStr">
        <is>
          <t>Lara Pease</t>
        </is>
      </c>
      <c r="B4179" t="inlineStr">
        <is>
          <t>Attendee</t>
        </is>
      </c>
      <c r="C4179" t="inlineStr">
        <is>
          <t>Carrier Strategist Manager</t>
        </is>
      </c>
      <c r="D4179" t="inlineStr">
        <is>
          <t>ShipHero</t>
        </is>
      </c>
      <c r="E4179" t="inlineStr">
        <is>
          <t>United States</t>
        </is>
      </c>
      <c r="H4179" t="n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>
        <f>IFERROR(INDEX('Company Hitlist'!$AA:$AA,MATCH(D4179,'Company Hitlist'!$A:$A,0)),)</f>
        <v/>
      </c>
      <c r="O4179">
        <f>IFERROR(INDEX('Company Hitlist'!$N:$N,MATCH(D4179,'Company Hitlist'!$A:$A,0)),)</f>
        <v/>
      </c>
      <c r="Q4179" t="inlineStr">
        <is>
          <t>todo</t>
        </is>
      </c>
    </row>
    <row r="4180">
      <c r="A4180" t="inlineStr">
        <is>
          <t>Jeff Hines</t>
        </is>
      </c>
      <c r="B4180" t="inlineStr">
        <is>
          <t>Sponsor</t>
        </is>
      </c>
      <c r="C4180" t="inlineStr">
        <is>
          <t>VP, Sales</t>
        </is>
      </c>
      <c r="D4180" t="inlineStr">
        <is>
          <t>Shipium</t>
        </is>
      </c>
      <c r="E4180" t="inlineStr">
        <is>
          <t>United States</t>
        </is>
      </c>
      <c r="H4180" t="n">
        <v>0</v>
      </c>
      <c r="I4180" t="b">
        <v>0</v>
      </c>
      <c r="J4180" t="b">
        <v>1</v>
      </c>
      <c r="K4180" t="b">
        <v>0</v>
      </c>
      <c r="L4180" t="b">
        <v>0</v>
      </c>
      <c r="M4180" t="b">
        <v>1</v>
      </c>
      <c r="N4180">
        <f>IFERROR(INDEX('Company Hitlist'!$AA:$AA,MATCH(D4180,'Company Hitlist'!$A:$A,0)),)</f>
        <v/>
      </c>
      <c r="O4180">
        <f>IFERROR(INDEX('Company Hitlist'!$N:$N,MATCH(D4180,'Company Hitlist'!$A:$A,0)),)</f>
        <v/>
      </c>
      <c r="Q4180" t="inlineStr">
        <is>
          <t>todo</t>
        </is>
      </c>
    </row>
    <row r="4181">
      <c r="A4181" t="inlineStr">
        <is>
          <t>Matt Shearon</t>
        </is>
      </c>
      <c r="B4181" t="inlineStr">
        <is>
          <t>Sponsor</t>
        </is>
      </c>
      <c r="C4181" t="inlineStr">
        <is>
          <t>VP, Sales</t>
        </is>
      </c>
      <c r="D4181" t="inlineStr">
        <is>
          <t>Shipium</t>
        </is>
      </c>
      <c r="H4181" t="n">
        <v>0</v>
      </c>
      <c r="I4181" t="b">
        <v>0</v>
      </c>
      <c r="J4181" t="b">
        <v>1</v>
      </c>
      <c r="K4181" t="b">
        <v>0</v>
      </c>
      <c r="L4181" t="b">
        <v>0</v>
      </c>
      <c r="M4181" t="b">
        <v>1</v>
      </c>
      <c r="N4181">
        <f>IFERROR(INDEX('Company Hitlist'!$AA:$AA,MATCH(D4181,'Company Hitlist'!$A:$A,0)),)</f>
        <v/>
      </c>
      <c r="O4181">
        <f>IFERROR(INDEX('Company Hitlist'!$N:$N,MATCH(D4181,'Company Hitlist'!$A:$A,0)),)</f>
        <v/>
      </c>
      <c r="Q4181" t="inlineStr">
        <is>
          <t>todo</t>
        </is>
      </c>
    </row>
    <row r="4182">
      <c r="A4182" t="inlineStr">
        <is>
          <t>Tim Hucke</t>
        </is>
      </c>
      <c r="B4182" t="inlineStr">
        <is>
          <t>Sponsor</t>
        </is>
      </c>
      <c r="C4182" t="inlineStr">
        <is>
          <t>VP, Sales</t>
        </is>
      </c>
      <c r="D4182" t="inlineStr">
        <is>
          <t>Shipium</t>
        </is>
      </c>
      <c r="H4182" t="n">
        <v>0</v>
      </c>
      <c r="I4182" t="b">
        <v>0</v>
      </c>
      <c r="J4182" t="b">
        <v>1</v>
      </c>
      <c r="K4182" t="b">
        <v>0</v>
      </c>
      <c r="L4182" t="b">
        <v>0</v>
      </c>
      <c r="M4182" t="b">
        <v>1</v>
      </c>
      <c r="N4182">
        <f>IFERROR(INDEX('Company Hitlist'!$AA:$AA,MATCH(D4182,'Company Hitlist'!$A:$A,0)),)</f>
        <v/>
      </c>
      <c r="O4182">
        <f>IFERROR(INDEX('Company Hitlist'!$N:$N,MATCH(D4182,'Company Hitlist'!$A:$A,0)),)</f>
        <v/>
      </c>
      <c r="Q4182" t="inlineStr">
        <is>
          <t>todo</t>
        </is>
      </c>
    </row>
    <row r="4183">
      <c r="A4183" t="inlineStr">
        <is>
          <t>Tim Thorn</t>
        </is>
      </c>
      <c r="B4183" t="inlineStr">
        <is>
          <t>Sponsor</t>
        </is>
      </c>
      <c r="C4183" t="inlineStr">
        <is>
          <t>Head of Sales and Business Development</t>
        </is>
      </c>
      <c r="D4183" t="inlineStr">
        <is>
          <t>Shippo</t>
        </is>
      </c>
      <c r="H4183" t="n">
        <v>0</v>
      </c>
      <c r="I4183" t="b">
        <v>0</v>
      </c>
      <c r="J4183" t="b">
        <v>1</v>
      </c>
      <c r="K4183" t="b">
        <v>0</v>
      </c>
      <c r="L4183" t="b">
        <v>0</v>
      </c>
      <c r="M4183" t="b">
        <v>1</v>
      </c>
      <c r="N4183">
        <f>IFERROR(INDEX('Company Hitlist'!$AA:$AA,MATCH(D4183,'Company Hitlist'!$A:$A,0)),)</f>
        <v/>
      </c>
      <c r="O4183">
        <f>IFERROR(INDEX('Company Hitlist'!$N:$N,MATCH(D4183,'Company Hitlist'!$A:$A,0)),)</f>
        <v/>
      </c>
      <c r="Q4183" t="inlineStr">
        <is>
          <t>todo</t>
        </is>
      </c>
    </row>
    <row r="4184">
      <c r="A4184" t="inlineStr">
        <is>
          <t>Brandon Sizemore</t>
        </is>
      </c>
      <c r="B4184" t="inlineStr">
        <is>
          <t>Attendee</t>
        </is>
      </c>
      <c r="C4184" t="inlineStr">
        <is>
          <t>CRO</t>
        </is>
      </c>
      <c r="D4184" t="inlineStr">
        <is>
          <t>ShipsALot</t>
        </is>
      </c>
      <c r="E4184" t="inlineStr">
        <is>
          <t>United States</t>
        </is>
      </c>
      <c r="F4184" t="inlineStr">
        <is>
          <t>Yes</t>
        </is>
      </c>
      <c r="H4184" t="n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  <c r="N4184">
        <f>IFERROR(INDEX('Company Hitlist'!$AA:$AA,MATCH(D4184,'Company Hitlist'!$A:$A,0)),)</f>
        <v/>
      </c>
      <c r="O4184">
        <f>IFERROR(INDEX('Company Hitlist'!$N:$N,MATCH(D4184,'Company Hitlist'!$A:$A,0)),)</f>
        <v/>
      </c>
      <c r="Q4184" t="inlineStr">
        <is>
          <t>todo</t>
        </is>
      </c>
    </row>
    <row r="4185">
      <c r="A4185" t="inlineStr">
        <is>
          <t>James Mikkelson</t>
        </is>
      </c>
      <c r="B4185" t="inlineStr">
        <is>
          <t>Attendee</t>
        </is>
      </c>
      <c r="C4185" t="inlineStr">
        <is>
          <t>Founder</t>
        </is>
      </c>
      <c r="D4185" t="inlineStr">
        <is>
          <t>Shiptheory</t>
        </is>
      </c>
      <c r="E4185" t="inlineStr">
        <is>
          <t>United Kingdom</t>
        </is>
      </c>
      <c r="F4185" t="inlineStr">
        <is>
          <t>Yes</t>
        </is>
      </c>
      <c r="G4185" t="inlineStr">
        <is>
          <t>$2.4M</t>
        </is>
      </c>
      <c r="H4185" t="n">
        <v>0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  <c r="N4185">
        <f>IFERROR(INDEX('Company Hitlist'!$AA:$AA,MATCH(D4185,'Company Hitlist'!$A:$A,0)),)</f>
        <v/>
      </c>
      <c r="O4185">
        <f>IFERROR(INDEX('Company Hitlist'!$N:$N,MATCH(D4185,'Company Hitlist'!$A:$A,0)),)</f>
        <v/>
      </c>
      <c r="Q4185" t="inlineStr">
        <is>
          <t>todo</t>
        </is>
      </c>
    </row>
    <row r="4186">
      <c r="A4186" t="inlineStr">
        <is>
          <t>Mark Mikkelson</t>
        </is>
      </c>
      <c r="B4186" t="inlineStr">
        <is>
          <t>Attendee</t>
        </is>
      </c>
      <c r="C4186" t="inlineStr">
        <is>
          <t>Founder</t>
        </is>
      </c>
      <c r="D4186" t="inlineStr">
        <is>
          <t>Shiptheory</t>
        </is>
      </c>
      <c r="E4186" t="inlineStr">
        <is>
          <t>United Kingdom</t>
        </is>
      </c>
      <c r="F4186" t="inlineStr">
        <is>
          <t>Yes</t>
        </is>
      </c>
      <c r="G4186" t="inlineStr">
        <is>
          <t>$2.4M</t>
        </is>
      </c>
      <c r="H4186" t="n">
        <v>0</v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  <c r="N4186">
        <f>IFERROR(INDEX('Company Hitlist'!$AA:$AA,MATCH(D4186,'Company Hitlist'!$A:$A,0)),)</f>
        <v/>
      </c>
      <c r="O4186">
        <f>IFERROR(INDEX('Company Hitlist'!$N:$N,MATCH(D4186,'Company Hitlist'!$A:$A,0)),)</f>
        <v/>
      </c>
      <c r="Q4186" t="inlineStr">
        <is>
          <t>todo</t>
        </is>
      </c>
    </row>
    <row r="4187">
      <c r="A4187" t="inlineStr">
        <is>
          <t>Harry Horsfall</t>
        </is>
      </c>
      <c r="B4187" t="inlineStr">
        <is>
          <t>Attendee</t>
        </is>
      </c>
      <c r="C4187" t="inlineStr">
        <is>
          <t>Onboarding Manager</t>
        </is>
      </c>
      <c r="D4187" t="inlineStr">
        <is>
          <t>Shiptheory</t>
        </is>
      </c>
      <c r="E4187" t="inlineStr">
        <is>
          <t>United Kingdom</t>
        </is>
      </c>
      <c r="H4187" t="n">
        <v>0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>
        <f>IFERROR(INDEX('Company Hitlist'!$AA:$AA,MATCH(D4187,'Company Hitlist'!$A:$A,0)),)</f>
        <v/>
      </c>
      <c r="O4187">
        <f>IFERROR(INDEX('Company Hitlist'!$N:$N,MATCH(D4187,'Company Hitlist'!$A:$A,0)),)</f>
        <v/>
      </c>
      <c r="Q4187" t="inlineStr">
        <is>
          <t>todo</t>
        </is>
      </c>
    </row>
    <row r="4188">
      <c r="A4188" t="inlineStr">
        <is>
          <t>Sang Funches</t>
        </is>
      </c>
      <c r="B4188" t="inlineStr">
        <is>
          <t>Attendee</t>
        </is>
      </c>
      <c r="C4188" t="inlineStr">
        <is>
          <t>Owner</t>
        </is>
      </c>
      <c r="D4188" t="inlineStr">
        <is>
          <t>Siam Logistics</t>
        </is>
      </c>
      <c r="E4188" t="inlineStr">
        <is>
          <t>United States</t>
        </is>
      </c>
      <c r="F4188" t="inlineStr">
        <is>
          <t>Yes</t>
        </is>
      </c>
      <c r="H4188" t="n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>
        <f>IFERROR(INDEX('Company Hitlist'!$AA:$AA,MATCH(D4188,'Company Hitlist'!$A:$A,0)),)</f>
        <v/>
      </c>
      <c r="O4188">
        <f>IFERROR(INDEX('Company Hitlist'!$N:$N,MATCH(D4188,'Company Hitlist'!$A:$A,0)),)</f>
        <v/>
      </c>
      <c r="Q4188" t="inlineStr">
        <is>
          <t>todo</t>
        </is>
      </c>
    </row>
    <row r="4189">
      <c r="A4189" t="inlineStr">
        <is>
          <t>JJ Houldin</t>
        </is>
      </c>
      <c r="B4189" t="inlineStr">
        <is>
          <t>Attendee</t>
        </is>
      </c>
      <c r="C4189" t="inlineStr">
        <is>
          <t>Co-Founder &amp; Managing Partner</t>
        </is>
      </c>
      <c r="D4189" t="inlineStr">
        <is>
          <t>Sift</t>
        </is>
      </c>
      <c r="E4189" t="inlineStr">
        <is>
          <t>United States</t>
        </is>
      </c>
      <c r="H4189" t="n">
        <v>0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>
        <f>IFERROR(INDEX('Company Hitlist'!$AA:$AA,MATCH(D4189,'Company Hitlist'!$A:$A,0)),)</f>
        <v/>
      </c>
      <c r="O4189">
        <f>IFERROR(INDEX('Company Hitlist'!$N:$N,MATCH(D4189,'Company Hitlist'!$A:$A,0)),)</f>
        <v/>
      </c>
      <c r="Q4189" t="inlineStr">
        <is>
          <t>todo</t>
        </is>
      </c>
    </row>
    <row r="4190">
      <c r="A4190" t="inlineStr">
        <is>
          <t>Jeremy Lee</t>
        </is>
      </c>
      <c r="B4190" t="inlineStr">
        <is>
          <t>Sponsor</t>
        </is>
      </c>
      <c r="C4190" t="inlineStr">
        <is>
          <t>Head of Sales</t>
        </is>
      </c>
      <c r="D4190" t="inlineStr">
        <is>
          <t>Sifted</t>
        </is>
      </c>
      <c r="E4190" t="inlineStr">
        <is>
          <t>United States</t>
        </is>
      </c>
      <c r="H4190" t="n">
        <v>0</v>
      </c>
      <c r="I4190" t="b">
        <v>0</v>
      </c>
      <c r="J4190" t="b">
        <v>1</v>
      </c>
      <c r="K4190" t="b">
        <v>0</v>
      </c>
      <c r="L4190" t="b">
        <v>0</v>
      </c>
      <c r="M4190" t="b">
        <v>1</v>
      </c>
      <c r="N4190">
        <f>IFERROR(INDEX('Company Hitlist'!$AA:$AA,MATCH(D4190,'Company Hitlist'!$A:$A,0)),)</f>
        <v/>
      </c>
      <c r="O4190">
        <f>IFERROR(INDEX('Company Hitlist'!$N:$N,MATCH(D4190,'Company Hitlist'!$A:$A,0)),)</f>
        <v/>
      </c>
      <c r="Q4190" t="inlineStr">
        <is>
          <t>todo</t>
        </is>
      </c>
    </row>
    <row r="4191">
      <c r="A4191" t="inlineStr">
        <is>
          <t>Chris Barton</t>
        </is>
      </c>
      <c r="B4191" t="inlineStr">
        <is>
          <t>Attendee</t>
        </is>
      </c>
      <c r="C4191" t="inlineStr">
        <is>
          <t>Senior Client Partner</t>
        </is>
      </c>
      <c r="D4191" t="inlineStr">
        <is>
          <t>Sigma Solve Inc</t>
        </is>
      </c>
      <c r="E4191" t="inlineStr">
        <is>
          <t>United States</t>
        </is>
      </c>
      <c r="F4191" t="inlineStr">
        <is>
          <t>Yes</t>
        </is>
      </c>
      <c r="H4191" t="n">
        <v>0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>
        <f>IFERROR(INDEX('Company Hitlist'!$AA:$AA,MATCH(D4191,'Company Hitlist'!$A:$A,0)),)</f>
        <v/>
      </c>
      <c r="O4191">
        <f>IFERROR(INDEX('Company Hitlist'!$N:$N,MATCH(D4191,'Company Hitlist'!$A:$A,0)),)</f>
        <v/>
      </c>
      <c r="Q4191" t="inlineStr">
        <is>
          <t>todo</t>
        </is>
      </c>
    </row>
    <row r="4192">
      <c r="A4192" t="inlineStr">
        <is>
          <t>Nikhil Varshney</t>
        </is>
      </c>
      <c r="B4192" t="inlineStr">
        <is>
          <t>Attendee</t>
        </is>
      </c>
      <c r="C4192" t="inlineStr">
        <is>
          <t>Owner</t>
        </is>
      </c>
      <c r="D4192" t="inlineStr">
        <is>
          <t>Silk Road Nexus</t>
        </is>
      </c>
      <c r="E4192" t="inlineStr">
        <is>
          <t>United States</t>
        </is>
      </c>
      <c r="F4192" t="inlineStr">
        <is>
          <t>Yes</t>
        </is>
      </c>
      <c r="H4192" t="n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>
        <f>IFERROR(INDEX('Company Hitlist'!$AA:$AA,MATCH(D4192,'Company Hitlist'!$A:$A,0)),)</f>
        <v/>
      </c>
      <c r="O4192">
        <f>IFERROR(INDEX('Company Hitlist'!$N:$N,MATCH(D4192,'Company Hitlist'!$A:$A,0)),)</f>
        <v/>
      </c>
      <c r="Q4192" t="inlineStr">
        <is>
          <t>todo</t>
        </is>
      </c>
    </row>
    <row r="4193">
      <c r="A4193" t="inlineStr">
        <is>
          <t>Jack McKim</t>
        </is>
      </c>
      <c r="B4193" t="inlineStr">
        <is>
          <t>Attendee</t>
        </is>
      </c>
      <c r="C4193" t="inlineStr">
        <is>
          <t>Associate</t>
        </is>
      </c>
      <c r="D4193" t="inlineStr">
        <is>
          <t>Silversmith Capital Partners</t>
        </is>
      </c>
      <c r="E4193" t="inlineStr">
        <is>
          <t>United States</t>
        </is>
      </c>
      <c r="H4193" t="n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>
        <f>IFERROR(INDEX('Company Hitlist'!$AA:$AA,MATCH(D4193,'Company Hitlist'!$A:$A,0)),)</f>
        <v/>
      </c>
      <c r="O4193">
        <f>IFERROR(INDEX('Company Hitlist'!$N:$N,MATCH(D4193,'Company Hitlist'!$A:$A,0)),)</f>
        <v/>
      </c>
      <c r="Q4193" t="inlineStr">
        <is>
          <t>todo</t>
        </is>
      </c>
    </row>
    <row r="4194">
      <c r="A4194" t="inlineStr">
        <is>
          <t>Anna Kamphaus</t>
        </is>
      </c>
      <c r="B4194" t="inlineStr">
        <is>
          <t>Attendee</t>
        </is>
      </c>
      <c r="C4194" t="inlineStr">
        <is>
          <t>Director of Simulation</t>
        </is>
      </c>
      <c r="D4194" t="inlineStr">
        <is>
          <t>SimWell</t>
        </is>
      </c>
      <c r="E4194" t="inlineStr">
        <is>
          <t>United States</t>
        </is>
      </c>
      <c r="F4194" t="inlineStr">
        <is>
          <t>Yes</t>
        </is>
      </c>
      <c r="H4194" t="n">
        <v>0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>
        <f>IFERROR(INDEX('Company Hitlist'!$AA:$AA,MATCH(D4194,'Company Hitlist'!$A:$A,0)),)</f>
        <v/>
      </c>
      <c r="O4194">
        <f>IFERROR(INDEX('Company Hitlist'!$N:$N,MATCH(D4194,'Company Hitlist'!$A:$A,0)),)</f>
        <v/>
      </c>
      <c r="Q4194" t="inlineStr">
        <is>
          <t>todo</t>
        </is>
      </c>
    </row>
    <row r="4195">
      <c r="A4195" t="inlineStr">
        <is>
          <t>Jeff Wells</t>
        </is>
      </c>
      <c r="B4195" t="inlineStr">
        <is>
          <t>Sponsor</t>
        </is>
      </c>
      <c r="C4195" t="inlineStr">
        <is>
          <t>VP Sales</t>
        </is>
      </c>
      <c r="D4195" t="inlineStr">
        <is>
          <t>Slamcore</t>
        </is>
      </c>
      <c r="E4195" t="inlineStr">
        <is>
          <t>United States</t>
        </is>
      </c>
      <c r="H4195" t="n">
        <v>0</v>
      </c>
      <c r="I4195" t="b">
        <v>0</v>
      </c>
      <c r="J4195" t="b">
        <v>1</v>
      </c>
      <c r="K4195" t="b">
        <v>0</v>
      </c>
      <c r="L4195" t="b">
        <v>0</v>
      </c>
      <c r="M4195" t="b">
        <v>1</v>
      </c>
      <c r="N4195">
        <f>IFERROR(INDEX('Company Hitlist'!$AA:$AA,MATCH(D4195,'Company Hitlist'!$A:$A,0)),)</f>
        <v/>
      </c>
      <c r="O4195">
        <f>IFERROR(INDEX('Company Hitlist'!$N:$N,MATCH(D4195,'Company Hitlist'!$A:$A,0)),)</f>
        <v/>
      </c>
      <c r="Q4195" t="inlineStr">
        <is>
          <t>todo</t>
        </is>
      </c>
    </row>
    <row r="4196">
      <c r="A4196" t="inlineStr">
        <is>
          <t>Erin McDuff</t>
        </is>
      </c>
      <c r="B4196" t="inlineStr">
        <is>
          <t>Sponsor</t>
        </is>
      </c>
      <c r="C4196" t="inlineStr">
        <is>
          <t>Head of Marketing</t>
        </is>
      </c>
      <c r="D4196" t="inlineStr">
        <is>
          <t>Slip Robotics</t>
        </is>
      </c>
      <c r="F4196" t="inlineStr">
        <is>
          <t>Yes</t>
        </is>
      </c>
      <c r="G4196" t="inlineStr">
        <is>
          <t>&lt;$5 million (2025)</t>
        </is>
      </c>
      <c r="H4196" t="n">
        <v>0</v>
      </c>
      <c r="I4196" t="b">
        <v>0</v>
      </c>
      <c r="J4196" t="b">
        <v>1</v>
      </c>
      <c r="K4196" t="b">
        <v>0</v>
      </c>
      <c r="L4196" t="b">
        <v>0</v>
      </c>
      <c r="M4196" t="b">
        <v>1</v>
      </c>
      <c r="N4196">
        <f>IFERROR(INDEX('Company Hitlist'!$AA:$AA,MATCH(D4196,'Company Hitlist'!$A:$A,0)),)</f>
        <v/>
      </c>
      <c r="O4196">
        <f>IFERROR(INDEX('Company Hitlist'!$N:$N,MATCH(D4196,'Company Hitlist'!$A:$A,0)),)</f>
        <v/>
      </c>
      <c r="Q4196" t="inlineStr">
        <is>
          <t>todo</t>
        </is>
      </c>
    </row>
    <row r="4197">
      <c r="A4197" t="inlineStr">
        <is>
          <t>Mason Cole</t>
        </is>
      </c>
      <c r="B4197" t="inlineStr">
        <is>
          <t>Sponsor</t>
        </is>
      </c>
      <c r="C4197" t="inlineStr">
        <is>
          <t>Head of Sales</t>
        </is>
      </c>
      <c r="D4197" t="inlineStr">
        <is>
          <t>Slip Robotics</t>
        </is>
      </c>
      <c r="H4197" t="n">
        <v>0</v>
      </c>
      <c r="I4197" t="b">
        <v>0</v>
      </c>
      <c r="J4197" t="b">
        <v>1</v>
      </c>
      <c r="K4197" t="b">
        <v>0</v>
      </c>
      <c r="L4197" t="b">
        <v>0</v>
      </c>
      <c r="M4197" t="b">
        <v>1</v>
      </c>
      <c r="N4197">
        <f>IFERROR(INDEX('Company Hitlist'!$AA:$AA,MATCH(D4197,'Company Hitlist'!$A:$A,0)),)</f>
        <v/>
      </c>
      <c r="O4197">
        <f>IFERROR(INDEX('Company Hitlist'!$N:$N,MATCH(D4197,'Company Hitlist'!$A:$A,0)),)</f>
        <v/>
      </c>
      <c r="Q4197" t="inlineStr">
        <is>
          <t>todo</t>
        </is>
      </c>
    </row>
    <row r="4198">
      <c r="A4198" t="inlineStr">
        <is>
          <t>Aaron Alpeter</t>
        </is>
      </c>
      <c r="B4198" t="inlineStr">
        <is>
          <t>Attendee</t>
        </is>
      </c>
      <c r="C4198" t="inlineStr">
        <is>
          <t>Founder</t>
        </is>
      </c>
      <c r="D4198" t="inlineStr">
        <is>
          <t>Slotted</t>
        </is>
      </c>
      <c r="E4198" t="inlineStr">
        <is>
          <t>United States</t>
        </is>
      </c>
      <c r="F4198" t="inlineStr">
        <is>
          <t>Yes</t>
        </is>
      </c>
      <c r="H4198" t="n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>
        <f>IFERROR(INDEX('Company Hitlist'!$AA:$AA,MATCH(D4198,'Company Hitlist'!$A:$A,0)),)</f>
        <v/>
      </c>
      <c r="O4198">
        <f>IFERROR(INDEX('Company Hitlist'!$N:$N,MATCH(D4198,'Company Hitlist'!$A:$A,0)),)</f>
        <v/>
      </c>
      <c r="Q4198" t="inlineStr">
        <is>
          <t>todo</t>
        </is>
      </c>
    </row>
    <row r="4199">
      <c r="A4199" t="inlineStr">
        <is>
          <t>Trent Howell</t>
        </is>
      </c>
      <c r="B4199" t="inlineStr">
        <is>
          <t>Sponsor</t>
        </is>
      </c>
      <c r="C4199" t="inlineStr">
        <is>
          <t>VP of Marketing</t>
        </is>
      </c>
      <c r="D4199" t="inlineStr">
        <is>
          <t>Smarty</t>
        </is>
      </c>
      <c r="E4199" t="inlineStr">
        <is>
          <t>United States</t>
        </is>
      </c>
      <c r="F4199" t="inlineStr">
        <is>
          <t>Yes</t>
        </is>
      </c>
      <c r="H4199" t="n">
        <v>0</v>
      </c>
      <c r="I4199" t="b">
        <v>0</v>
      </c>
      <c r="J4199" t="b">
        <v>1</v>
      </c>
      <c r="K4199" t="b">
        <v>0</v>
      </c>
      <c r="L4199" t="b">
        <v>0</v>
      </c>
      <c r="M4199" t="b">
        <v>1</v>
      </c>
      <c r="N4199">
        <f>IFERROR(INDEX('Company Hitlist'!$AA:$AA,MATCH(D4199,'Company Hitlist'!$A:$A,0)),)</f>
        <v/>
      </c>
      <c r="O4199">
        <f>IFERROR(INDEX('Company Hitlist'!$N:$N,MATCH(D4199,'Company Hitlist'!$A:$A,0)),)</f>
        <v/>
      </c>
      <c r="Q4199" t="inlineStr">
        <is>
          <t>todo</t>
        </is>
      </c>
    </row>
    <row r="4200">
      <c r="A4200" t="inlineStr">
        <is>
          <t>Sean Blair</t>
        </is>
      </c>
      <c r="B4200" t="inlineStr">
        <is>
          <t>Sponsor</t>
        </is>
      </c>
      <c r="C4200" t="inlineStr">
        <is>
          <t>VP of Sales</t>
        </is>
      </c>
      <c r="D4200" t="inlineStr">
        <is>
          <t>Smarty</t>
        </is>
      </c>
      <c r="E4200" t="inlineStr">
        <is>
          <t>United States</t>
        </is>
      </c>
      <c r="H4200" t="n">
        <v>0</v>
      </c>
      <c r="I4200" t="b">
        <v>0</v>
      </c>
      <c r="J4200" t="b">
        <v>1</v>
      </c>
      <c r="K4200" t="b">
        <v>0</v>
      </c>
      <c r="L4200" t="b">
        <v>0</v>
      </c>
      <c r="M4200" t="b">
        <v>1</v>
      </c>
      <c r="N4200">
        <f>IFERROR(INDEX('Company Hitlist'!$AA:$AA,MATCH(D4200,'Company Hitlist'!$A:$A,0)),)</f>
        <v/>
      </c>
      <c r="O4200">
        <f>IFERROR(INDEX('Company Hitlist'!$N:$N,MATCH(D4200,'Company Hitlist'!$A:$A,0)),)</f>
        <v/>
      </c>
      <c r="Q4200" t="inlineStr">
        <is>
          <t>todo</t>
        </is>
      </c>
    </row>
    <row r="4201">
      <c r="A4201" t="inlineStr">
        <is>
          <t>Bill Bowman</t>
        </is>
      </c>
      <c r="B4201" t="inlineStr">
        <is>
          <t>Sponsor</t>
        </is>
      </c>
      <c r="C4201" t="inlineStr">
        <is>
          <t>VP of Marketing</t>
        </is>
      </c>
      <c r="D4201" t="inlineStr">
        <is>
          <t>Softeon</t>
        </is>
      </c>
      <c r="F4201" t="inlineStr">
        <is>
          <t>Yes</t>
        </is>
      </c>
      <c r="G4201" t="inlineStr">
        <is>
          <t>$69.9 million (2025)</t>
        </is>
      </c>
      <c r="H4201" t="n">
        <v>0</v>
      </c>
      <c r="I4201" t="b">
        <v>0</v>
      </c>
      <c r="J4201" t="b">
        <v>1</v>
      </c>
      <c r="K4201" t="b">
        <v>0</v>
      </c>
      <c r="L4201" t="b">
        <v>0</v>
      </c>
      <c r="M4201" t="b">
        <v>1</v>
      </c>
      <c r="N4201">
        <f>IFERROR(INDEX('Company Hitlist'!$AA:$AA,MATCH(D4201,'Company Hitlist'!$A:$A,0)),)</f>
        <v/>
      </c>
      <c r="O4201">
        <f>IFERROR(INDEX('Company Hitlist'!$N:$N,MATCH(D4201,'Company Hitlist'!$A:$A,0)),)</f>
        <v/>
      </c>
      <c r="Q4201" t="inlineStr">
        <is>
          <t>todo</t>
        </is>
      </c>
    </row>
    <row r="4202">
      <c r="A4202" t="inlineStr">
        <is>
          <t>Chris O'Stean</t>
        </is>
      </c>
      <c r="B4202" t="inlineStr">
        <is>
          <t>Sponsor</t>
        </is>
      </c>
      <c r="C4202" t="inlineStr">
        <is>
          <t>SVP of Sales</t>
        </is>
      </c>
      <c r="D4202" t="inlineStr">
        <is>
          <t>Softeon</t>
        </is>
      </c>
      <c r="E4202" t="inlineStr">
        <is>
          <t>United States</t>
        </is>
      </c>
      <c r="H4202" t="n">
        <v>0</v>
      </c>
      <c r="I4202" t="b">
        <v>0</v>
      </c>
      <c r="J4202" t="b">
        <v>1</v>
      </c>
      <c r="K4202" t="b">
        <v>0</v>
      </c>
      <c r="L4202" t="b">
        <v>0</v>
      </c>
      <c r="M4202" t="b">
        <v>1</v>
      </c>
      <c r="N4202">
        <f>IFERROR(INDEX('Company Hitlist'!$AA:$AA,MATCH(D4202,'Company Hitlist'!$A:$A,0)),)</f>
        <v/>
      </c>
      <c r="O4202">
        <f>IFERROR(INDEX('Company Hitlist'!$N:$N,MATCH(D4202,'Company Hitlist'!$A:$A,0)),)</f>
        <v/>
      </c>
      <c r="Q4202" t="inlineStr">
        <is>
          <t>todo</t>
        </is>
      </c>
    </row>
    <row r="4203">
      <c r="A4203" t="inlineStr">
        <is>
          <t>Susai Smart</t>
        </is>
      </c>
      <c r="B4203" t="inlineStr">
        <is>
          <t>Attendee</t>
        </is>
      </c>
      <c r="C4203" t="inlineStr">
        <is>
          <t>Category Specialist-Dedicated</t>
        </is>
      </c>
      <c r="D4203" t="inlineStr">
        <is>
          <t>Sonoco</t>
        </is>
      </c>
      <c r="E4203" t="inlineStr">
        <is>
          <t>United States</t>
        </is>
      </c>
      <c r="H4203" t="n">
        <v>0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>
        <f>IFERROR(INDEX('Company Hitlist'!$AA:$AA,MATCH(D4203,'Company Hitlist'!$A:$A,0)),)</f>
        <v/>
      </c>
      <c r="O4203">
        <f>IFERROR(INDEX('Company Hitlist'!$N:$N,MATCH(D4203,'Company Hitlist'!$A:$A,0)),)</f>
        <v/>
      </c>
      <c r="Q4203" t="inlineStr">
        <is>
          <t>todo</t>
        </is>
      </c>
    </row>
    <row r="4204">
      <c r="A4204" t="inlineStr">
        <is>
          <t>Adam Gassin</t>
        </is>
      </c>
      <c r="B4204" t="inlineStr">
        <is>
          <t>Attendee</t>
        </is>
      </c>
      <c r="C4204" t="inlineStr">
        <is>
          <t>Principal</t>
        </is>
      </c>
      <c r="D4204" t="inlineStr">
        <is>
          <t>Spectrum Equity</t>
        </is>
      </c>
      <c r="E4204" t="inlineStr">
        <is>
          <t>United States</t>
        </is>
      </c>
      <c r="H4204" t="n">
        <v>0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>
        <f>IFERROR(INDEX('Company Hitlist'!$AA:$AA,MATCH(D4204,'Company Hitlist'!$A:$A,0)),)</f>
        <v/>
      </c>
      <c r="O4204">
        <f>IFERROR(INDEX('Company Hitlist'!$N:$N,MATCH(D4204,'Company Hitlist'!$A:$A,0)),)</f>
        <v/>
      </c>
      <c r="Q4204" t="inlineStr">
        <is>
          <t>todo</t>
        </is>
      </c>
    </row>
    <row r="4205">
      <c r="A4205" t="inlineStr">
        <is>
          <t>Matt Greene</t>
        </is>
      </c>
      <c r="B4205" t="inlineStr">
        <is>
          <t>Sponsor</t>
        </is>
      </c>
      <c r="C4205" t="inlineStr">
        <is>
          <t>SVP, Sales</t>
        </is>
      </c>
      <c r="D4205" t="inlineStr">
        <is>
          <t>Spoiler Alert</t>
        </is>
      </c>
      <c r="H4205" t="n">
        <v>0</v>
      </c>
      <c r="I4205" t="b">
        <v>0</v>
      </c>
      <c r="J4205" t="b">
        <v>1</v>
      </c>
      <c r="K4205" t="b">
        <v>0</v>
      </c>
      <c r="L4205" t="b">
        <v>0</v>
      </c>
      <c r="M4205" t="b">
        <v>1</v>
      </c>
      <c r="N4205">
        <f>IFERROR(INDEX('Company Hitlist'!$AA:$AA,MATCH(D4205,'Company Hitlist'!$A:$A,0)),)</f>
        <v/>
      </c>
      <c r="O4205">
        <f>IFERROR(INDEX('Company Hitlist'!$N:$N,MATCH(D4205,'Company Hitlist'!$A:$A,0)),)</f>
        <v/>
      </c>
      <c r="Q4205" t="inlineStr">
        <is>
          <t>todo</t>
        </is>
      </c>
    </row>
    <row r="4206">
      <c r="A4206" t="inlineStr">
        <is>
          <t>Andrew Elsner</t>
        </is>
      </c>
      <c r="B4206" t="inlineStr">
        <is>
          <t>Attendee</t>
        </is>
      </c>
      <c r="C4206" t="inlineStr">
        <is>
          <t>Co -Founder</t>
        </is>
      </c>
      <c r="D4206" t="inlineStr">
        <is>
          <t>Spot</t>
        </is>
      </c>
      <c r="F4206" t="inlineStr">
        <is>
          <t>Yes</t>
        </is>
      </c>
      <c r="H4206" t="n">
        <v>0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>
        <f>IFERROR(INDEX('Company Hitlist'!$AA:$AA,MATCH(D4206,'Company Hitlist'!$A:$A,0)),)</f>
        <v/>
      </c>
      <c r="O4206">
        <f>IFERROR(INDEX('Company Hitlist'!$N:$N,MATCH(D4206,'Company Hitlist'!$A:$A,0)),)</f>
        <v/>
      </c>
      <c r="Q4206" t="inlineStr">
        <is>
          <t>todo</t>
        </is>
      </c>
    </row>
    <row r="4207">
      <c r="A4207" t="inlineStr">
        <is>
          <t>Andy Shenk</t>
        </is>
      </c>
      <c r="B4207" t="inlineStr">
        <is>
          <t>Attendee</t>
        </is>
      </c>
      <c r="C4207" t="inlineStr">
        <is>
          <t>Owner</t>
        </is>
      </c>
      <c r="D4207" t="inlineStr">
        <is>
          <t>Spot</t>
        </is>
      </c>
      <c r="F4207" t="inlineStr">
        <is>
          <t>Yes</t>
        </is>
      </c>
      <c r="H4207" t="n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  <c r="N4207">
        <f>IFERROR(INDEX('Company Hitlist'!$AA:$AA,MATCH(D4207,'Company Hitlist'!$A:$A,0)),)</f>
        <v/>
      </c>
      <c r="O4207">
        <f>IFERROR(INDEX('Company Hitlist'!$N:$N,MATCH(D4207,'Company Hitlist'!$A:$A,0)),)</f>
        <v/>
      </c>
      <c r="Q4207" t="inlineStr">
        <is>
          <t>todo</t>
        </is>
      </c>
    </row>
    <row r="4208">
      <c r="A4208" t="inlineStr">
        <is>
          <t>Jake Wittmann</t>
        </is>
      </c>
      <c r="B4208" t="inlineStr">
        <is>
          <t>Attendee</t>
        </is>
      </c>
      <c r="C4208" t="inlineStr">
        <is>
          <t>Product Owner</t>
        </is>
      </c>
      <c r="D4208" t="inlineStr">
        <is>
          <t>Spot Inc</t>
        </is>
      </c>
      <c r="E4208" t="inlineStr">
        <is>
          <t>United States</t>
        </is>
      </c>
      <c r="F4208" t="inlineStr">
        <is>
          <t>Yes</t>
        </is>
      </c>
      <c r="H4208" t="n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>
        <f>IFERROR(INDEX('Company Hitlist'!$AA:$AA,MATCH(D4208,'Company Hitlist'!$A:$A,0)),)</f>
        <v/>
      </c>
      <c r="O4208">
        <f>IFERROR(INDEX('Company Hitlist'!$N:$N,MATCH(D4208,'Company Hitlist'!$A:$A,0)),)</f>
        <v/>
      </c>
      <c r="Q4208" t="inlineStr">
        <is>
          <t>todo</t>
        </is>
      </c>
    </row>
    <row r="4209">
      <c r="A4209" t="inlineStr">
        <is>
          <t>Sean Ward</t>
        </is>
      </c>
      <c r="B4209" t="inlineStr">
        <is>
          <t>Attendee</t>
        </is>
      </c>
      <c r="C4209" t="inlineStr">
        <is>
          <t>Product Owner</t>
        </is>
      </c>
      <c r="D4209" t="inlineStr">
        <is>
          <t>Spot Inc</t>
        </is>
      </c>
      <c r="E4209" t="inlineStr">
        <is>
          <t>United States</t>
        </is>
      </c>
      <c r="F4209" t="inlineStr">
        <is>
          <t>Yes</t>
        </is>
      </c>
      <c r="H4209" t="n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>
        <f>IFERROR(INDEX('Company Hitlist'!$AA:$AA,MATCH(D4209,'Company Hitlist'!$A:$A,0)),)</f>
        <v/>
      </c>
      <c r="O4209">
        <f>IFERROR(INDEX('Company Hitlist'!$N:$N,MATCH(D4209,'Company Hitlist'!$A:$A,0)),)</f>
        <v/>
      </c>
      <c r="Q4209" t="inlineStr">
        <is>
          <t>todo</t>
        </is>
      </c>
    </row>
    <row r="4210">
      <c r="A4210" t="inlineStr">
        <is>
          <t>Thomas Steetskamp</t>
        </is>
      </c>
      <c r="B4210" t="inlineStr">
        <is>
          <t>Attendee</t>
        </is>
      </c>
      <c r="C4210" t="inlineStr">
        <is>
          <t>Director E-commerce Development</t>
        </is>
      </c>
      <c r="D4210" t="inlineStr">
        <is>
          <t>Spring GDS Canada</t>
        </is>
      </c>
      <c r="E4210" t="inlineStr">
        <is>
          <t>Canada</t>
        </is>
      </c>
      <c r="F4210" t="inlineStr">
        <is>
          <t>Yes</t>
        </is>
      </c>
      <c r="H4210" t="n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>
        <f>IFERROR(INDEX('Company Hitlist'!$AA:$AA,MATCH(D4210,'Company Hitlist'!$A:$A,0)),)</f>
        <v/>
      </c>
      <c r="O4210">
        <f>IFERROR(INDEX('Company Hitlist'!$N:$N,MATCH(D4210,'Company Hitlist'!$A:$A,0)),)</f>
        <v/>
      </c>
      <c r="Q4210" t="inlineStr">
        <is>
          <t>todo</t>
        </is>
      </c>
    </row>
    <row r="4211">
      <c r="A4211" t="inlineStr">
        <is>
          <t>Ahi Gvirtsman</t>
        </is>
      </c>
      <c r="B4211" t="inlineStr">
        <is>
          <t>Attendee</t>
        </is>
      </c>
      <c r="C4211" t="inlineStr">
        <is>
          <t>Co-Founder and CKO</t>
        </is>
      </c>
      <c r="D4211" t="inlineStr">
        <is>
          <t>Spyre Group</t>
        </is>
      </c>
      <c r="E4211" t="inlineStr">
        <is>
          <t>Israel</t>
        </is>
      </c>
      <c r="H4211" t="n">
        <v>0</v>
      </c>
      <c r="I4211" t="b">
        <v>0</v>
      </c>
      <c r="J4211" t="b">
        <v>0</v>
      </c>
      <c r="K4211" t="b">
        <v>0</v>
      </c>
      <c r="L4211" t="b">
        <v>0</v>
      </c>
      <c r="M4211" t="b">
        <v>0</v>
      </c>
      <c r="N4211">
        <f>IFERROR(INDEX('Company Hitlist'!$AA:$AA,MATCH(D4211,'Company Hitlist'!$A:$A,0)),)</f>
        <v/>
      </c>
      <c r="O4211">
        <f>IFERROR(INDEX('Company Hitlist'!$N:$N,MATCH(D4211,'Company Hitlist'!$A:$A,0)),)</f>
        <v/>
      </c>
      <c r="Q4211" t="inlineStr">
        <is>
          <t>todo</t>
        </is>
      </c>
    </row>
    <row r="4212">
      <c r="A4212" t="inlineStr">
        <is>
          <t>David Pietrusa</t>
        </is>
      </c>
      <c r="B4212" t="inlineStr">
        <is>
          <t>Attendee</t>
        </is>
      </c>
      <c r="C4212" t="inlineStr">
        <is>
          <t>Software Engineer</t>
        </is>
      </c>
      <c r="D4212" t="inlineStr">
        <is>
          <t>Stable Software</t>
        </is>
      </c>
      <c r="E4212" t="inlineStr">
        <is>
          <t>United States</t>
        </is>
      </c>
      <c r="F4212" t="inlineStr">
        <is>
          <t>Yes</t>
        </is>
      </c>
      <c r="H4212" t="n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>
        <f>IFERROR(INDEX('Company Hitlist'!$AA:$AA,MATCH(D4212,'Company Hitlist'!$A:$A,0)),)</f>
        <v/>
      </c>
      <c r="O4212">
        <f>IFERROR(INDEX('Company Hitlist'!$N:$N,MATCH(D4212,'Company Hitlist'!$A:$A,0)),)</f>
        <v/>
      </c>
      <c r="Q4212" t="inlineStr">
        <is>
          <t>todo</t>
        </is>
      </c>
    </row>
    <row r="4213">
      <c r="A4213" t="inlineStr">
        <is>
          <t>Reis Renneker</t>
        </is>
      </c>
      <c r="B4213" t="inlineStr">
        <is>
          <t>Attendee</t>
        </is>
      </c>
      <c r="C4213" t="inlineStr">
        <is>
          <t>Founder</t>
        </is>
      </c>
      <c r="D4213" t="inlineStr">
        <is>
          <t>Stable Software</t>
        </is>
      </c>
      <c r="E4213" t="inlineStr">
        <is>
          <t>United States</t>
        </is>
      </c>
      <c r="F4213" t="inlineStr">
        <is>
          <t>Yes</t>
        </is>
      </c>
      <c r="H4213" t="n">
        <v>0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>
        <f>IFERROR(INDEX('Company Hitlist'!$AA:$AA,MATCH(D4213,'Company Hitlist'!$A:$A,0)),)</f>
        <v/>
      </c>
      <c r="O4213">
        <f>IFERROR(INDEX('Company Hitlist'!$N:$N,MATCH(D4213,'Company Hitlist'!$A:$A,0)),)</f>
        <v/>
      </c>
      <c r="Q4213" t="inlineStr">
        <is>
          <t>todo</t>
        </is>
      </c>
    </row>
    <row r="4214">
      <c r="A4214" t="inlineStr">
        <is>
          <t>Yair Leshem</t>
        </is>
      </c>
      <c r="B4214" t="inlineStr">
        <is>
          <t>Attendee</t>
        </is>
      </c>
      <c r="C4214" t="inlineStr">
        <is>
          <t>Director, Digital Transformation &amp; Innovation</t>
        </is>
      </c>
      <c r="D4214" t="inlineStr">
        <is>
          <t>Standard Industries</t>
        </is>
      </c>
      <c r="H4214" t="n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>
        <f>IFERROR(INDEX('Company Hitlist'!$AA:$AA,MATCH(D4214,'Company Hitlist'!$A:$A,0)),)</f>
        <v/>
      </c>
      <c r="O4214">
        <f>IFERROR(INDEX('Company Hitlist'!$N:$N,MATCH(D4214,'Company Hitlist'!$A:$A,0)),)</f>
        <v/>
      </c>
      <c r="Q4214" t="inlineStr">
        <is>
          <t>todo</t>
        </is>
      </c>
    </row>
    <row r="4215">
      <c r="A4215" t="inlineStr">
        <is>
          <t>Fernando Gallego</t>
        </is>
      </c>
      <c r="B4215" t="inlineStr">
        <is>
          <t>Attendee</t>
        </is>
      </c>
      <c r="C4215" t="inlineStr">
        <is>
          <t>Sr Manager, Demand Planning</t>
        </is>
      </c>
      <c r="D4215" t="inlineStr">
        <is>
          <t>Starface World</t>
        </is>
      </c>
      <c r="H4215" t="n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>
        <f>IFERROR(INDEX('Company Hitlist'!$AA:$AA,MATCH(D4215,'Company Hitlist'!$A:$A,0)),)</f>
        <v/>
      </c>
      <c r="O4215">
        <f>IFERROR(INDEX('Company Hitlist'!$N:$N,MATCH(D4215,'Company Hitlist'!$A:$A,0)),)</f>
        <v/>
      </c>
      <c r="Q4215" t="inlineStr">
        <is>
          <t>todo</t>
        </is>
      </c>
    </row>
    <row r="4216">
      <c r="A4216" t="inlineStr">
        <is>
          <t>Katelyn Foley</t>
        </is>
      </c>
      <c r="B4216" t="inlineStr">
        <is>
          <t>Attendee</t>
        </is>
      </c>
      <c r="C4216" t="inlineStr">
        <is>
          <t>Founder</t>
        </is>
      </c>
      <c r="D4216" t="inlineStr">
        <is>
          <t>Stealth</t>
        </is>
      </c>
      <c r="E4216" t="inlineStr">
        <is>
          <t>United States</t>
        </is>
      </c>
      <c r="F4216" t="inlineStr">
        <is>
          <t>Yes</t>
        </is>
      </c>
      <c r="H4216" t="n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>
        <f>IFERROR(INDEX('Company Hitlist'!$AA:$AA,MATCH(D4216,'Company Hitlist'!$A:$A,0)),)</f>
        <v/>
      </c>
      <c r="O4216">
        <f>IFERROR(INDEX('Company Hitlist'!$N:$N,MATCH(D4216,'Company Hitlist'!$A:$A,0)),)</f>
        <v/>
      </c>
      <c r="Q4216" t="inlineStr">
        <is>
          <t>todo</t>
        </is>
      </c>
    </row>
    <row r="4217">
      <c r="A4217" t="inlineStr">
        <is>
          <t>Alan Faulkner</t>
        </is>
      </c>
      <c r="B4217" t="inlineStr">
        <is>
          <t>Attendee</t>
        </is>
      </c>
      <c r="C4217" t="inlineStr">
        <is>
          <t>Managing Director</t>
        </is>
      </c>
      <c r="D4217" t="inlineStr">
        <is>
          <t>Stifel</t>
        </is>
      </c>
      <c r="E4217" t="inlineStr">
        <is>
          <t>United States</t>
        </is>
      </c>
      <c r="H4217" t="n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>
        <f>IFERROR(INDEX('Company Hitlist'!$AA:$AA,MATCH(D4217,'Company Hitlist'!$A:$A,0)),)</f>
        <v/>
      </c>
      <c r="O4217">
        <f>IFERROR(INDEX('Company Hitlist'!$N:$N,MATCH(D4217,'Company Hitlist'!$A:$A,0)),)</f>
        <v/>
      </c>
      <c r="Q4217" t="inlineStr">
        <is>
          <t>todo</t>
        </is>
      </c>
    </row>
    <row r="4218">
      <c r="A4218" t="inlineStr">
        <is>
          <t>Josh Streeter</t>
        </is>
      </c>
      <c r="B4218" t="inlineStr">
        <is>
          <t>Attendee</t>
        </is>
      </c>
      <c r="C4218" t="inlineStr">
        <is>
          <t>Sr. Director, Operational Excellence</t>
        </is>
      </c>
      <c r="D4218" t="inlineStr">
        <is>
          <t>StockX</t>
        </is>
      </c>
      <c r="F4218" t="inlineStr">
        <is>
          <t>Yes</t>
        </is>
      </c>
      <c r="H4218" t="n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>
        <f>IFERROR(INDEX('Company Hitlist'!$AA:$AA,MATCH(D4218,'Company Hitlist'!$A:$A,0)),)</f>
        <v/>
      </c>
      <c r="O4218">
        <f>IFERROR(INDEX('Company Hitlist'!$N:$N,MATCH(D4218,'Company Hitlist'!$A:$A,0)),)</f>
        <v/>
      </c>
      <c r="Q4218" t="inlineStr">
        <is>
          <t>todo</t>
        </is>
      </c>
    </row>
    <row r="4219">
      <c r="A4219" t="inlineStr">
        <is>
          <t>Pooja Vora</t>
        </is>
      </c>
      <c r="B4219" t="inlineStr">
        <is>
          <t>Attendee</t>
        </is>
      </c>
      <c r="C4219" t="inlineStr">
        <is>
          <t>Sr. Industrial Engineer</t>
        </is>
      </c>
      <c r="D4219" t="inlineStr">
        <is>
          <t>StockX</t>
        </is>
      </c>
      <c r="F4219" t="inlineStr">
        <is>
          <t>Yes</t>
        </is>
      </c>
      <c r="H4219" t="n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>
        <f>IFERROR(INDEX('Company Hitlist'!$AA:$AA,MATCH(D4219,'Company Hitlist'!$A:$A,0)),)</f>
        <v/>
      </c>
      <c r="O4219">
        <f>IFERROR(INDEX('Company Hitlist'!$N:$N,MATCH(D4219,'Company Hitlist'!$A:$A,0)),)</f>
        <v/>
      </c>
      <c r="Q4219" t="inlineStr">
        <is>
          <t>todo</t>
        </is>
      </c>
    </row>
    <row r="4220">
      <c r="A4220" t="inlineStr">
        <is>
          <t>Hoss Mortezaie</t>
        </is>
      </c>
      <c r="B4220" t="inlineStr">
        <is>
          <t>Sponsor</t>
        </is>
      </c>
      <c r="C4220" t="inlineStr">
        <is>
          <t>VP of Sales</t>
        </is>
      </c>
      <c r="D4220" t="inlineStr">
        <is>
          <t>Stord</t>
        </is>
      </c>
      <c r="H4220" t="n">
        <v>0</v>
      </c>
      <c r="I4220" t="b">
        <v>0</v>
      </c>
      <c r="J4220" t="b">
        <v>1</v>
      </c>
      <c r="K4220" t="b">
        <v>0</v>
      </c>
      <c r="L4220" t="b">
        <v>0</v>
      </c>
      <c r="M4220" t="b">
        <v>1</v>
      </c>
      <c r="N4220">
        <f>IFERROR(INDEX('Company Hitlist'!$AA:$AA,MATCH(D4220,'Company Hitlist'!$A:$A,0)),)</f>
        <v/>
      </c>
      <c r="O4220">
        <f>IFERROR(INDEX('Company Hitlist'!$N:$N,MATCH(D4220,'Company Hitlist'!$A:$A,0)),)</f>
        <v/>
      </c>
      <c r="Q4220" t="inlineStr">
        <is>
          <t>todo</t>
        </is>
      </c>
    </row>
    <row r="4221">
      <c r="A4221" t="inlineStr">
        <is>
          <t>Tyler Moore</t>
        </is>
      </c>
      <c r="B4221" t="inlineStr">
        <is>
          <t>Attendee</t>
        </is>
      </c>
      <c r="C4221" t="inlineStr">
        <is>
          <t>National Account Manager</t>
        </is>
      </c>
      <c r="D4221" t="inlineStr">
        <is>
          <t>Storopack</t>
        </is>
      </c>
      <c r="E4221" t="inlineStr">
        <is>
          <t>United States</t>
        </is>
      </c>
      <c r="H4221" t="n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>
        <f>IFERROR(INDEX('Company Hitlist'!$AA:$AA,MATCH(D4221,'Company Hitlist'!$A:$A,0)),)</f>
        <v/>
      </c>
      <c r="O4221">
        <f>IFERROR(INDEX('Company Hitlist'!$N:$N,MATCH(D4221,'Company Hitlist'!$A:$A,0)),)</f>
        <v/>
      </c>
      <c r="Q4221" t="inlineStr">
        <is>
          <t>todo</t>
        </is>
      </c>
    </row>
    <row r="4222">
      <c r="A4222" t="inlineStr">
        <is>
          <t>Jindra Zitek</t>
        </is>
      </c>
      <c r="B4222" t="inlineStr">
        <is>
          <t>Attendee</t>
        </is>
      </c>
      <c r="C4222" t="inlineStr">
        <is>
          <t>Partner</t>
        </is>
      </c>
      <c r="D4222" t="inlineStr">
        <is>
          <t>Stripes</t>
        </is>
      </c>
      <c r="E4222" t="inlineStr">
        <is>
          <t>United States</t>
        </is>
      </c>
      <c r="H4222" t="n">
        <v>0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>
        <f>IFERROR(INDEX('Company Hitlist'!$AA:$AA,MATCH(D4222,'Company Hitlist'!$A:$A,0)),)</f>
        <v/>
      </c>
      <c r="O4222">
        <f>IFERROR(INDEX('Company Hitlist'!$N:$N,MATCH(D4222,'Company Hitlist'!$A:$A,0)),)</f>
        <v/>
      </c>
      <c r="Q4222" t="inlineStr">
        <is>
          <t>todo</t>
        </is>
      </c>
    </row>
    <row r="4223">
      <c r="A4223" t="inlineStr">
        <is>
          <t>Hiroshi Tomogae</t>
        </is>
      </c>
      <c r="B4223" t="inlineStr">
        <is>
          <t>Attendee</t>
        </is>
      </c>
      <c r="C4223" t="inlineStr">
        <is>
          <t>Director</t>
        </is>
      </c>
      <c r="D4223" t="inlineStr">
        <is>
          <t>Sumitomo Corporation of Americas</t>
        </is>
      </c>
      <c r="E4223" t="inlineStr">
        <is>
          <t>United States</t>
        </is>
      </c>
      <c r="H4223" t="n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>
        <f>IFERROR(INDEX('Company Hitlist'!$AA:$AA,MATCH(D4223,'Company Hitlist'!$A:$A,0)),)</f>
        <v/>
      </c>
      <c r="O4223">
        <f>IFERROR(INDEX('Company Hitlist'!$N:$N,MATCH(D4223,'Company Hitlist'!$A:$A,0)),)</f>
        <v/>
      </c>
      <c r="Q4223" t="inlineStr">
        <is>
          <t>todo</t>
        </is>
      </c>
    </row>
    <row r="4224">
      <c r="A4224" t="inlineStr">
        <is>
          <t>Adam Lang</t>
        </is>
      </c>
      <c r="B4224" t="inlineStr">
        <is>
          <t>Attendee</t>
        </is>
      </c>
      <c r="C4224" t="inlineStr">
        <is>
          <t>Co-Founder</t>
        </is>
      </c>
      <c r="D4224" t="inlineStr">
        <is>
          <t>Sunnybrook TMS</t>
        </is>
      </c>
      <c r="E4224" t="inlineStr">
        <is>
          <t>United States</t>
        </is>
      </c>
      <c r="F4224" t="inlineStr">
        <is>
          <t>Yes</t>
        </is>
      </c>
      <c r="H4224" t="n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>
        <f>IFERROR(INDEX('Company Hitlist'!$AA:$AA,MATCH(D4224,'Company Hitlist'!$A:$A,0)),)</f>
        <v/>
      </c>
      <c r="O4224">
        <f>IFERROR(INDEX('Company Hitlist'!$N:$N,MATCH(D4224,'Company Hitlist'!$A:$A,0)),)</f>
        <v/>
      </c>
      <c r="Q4224" t="inlineStr">
        <is>
          <t>todo</t>
        </is>
      </c>
    </row>
    <row r="4225">
      <c r="A4225" t="inlineStr">
        <is>
          <t>Gerald Keller</t>
        </is>
      </c>
      <c r="B4225" t="inlineStr">
        <is>
          <t>Attendee</t>
        </is>
      </c>
      <c r="C4225" t="inlineStr">
        <is>
          <t>Owner, SupplyChainBrain</t>
        </is>
      </c>
      <c r="D4225" t="inlineStr">
        <is>
          <t>Supply Chain Brain</t>
        </is>
      </c>
      <c r="E4225" t="inlineStr">
        <is>
          <t>United States</t>
        </is>
      </c>
      <c r="H4225" t="n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>
        <f>IFERROR(INDEX('Company Hitlist'!$AA:$AA,MATCH(D4225,'Company Hitlist'!$A:$A,0)),)</f>
        <v/>
      </c>
      <c r="O4225">
        <f>IFERROR(INDEX('Company Hitlist'!$N:$N,MATCH(D4225,'Company Hitlist'!$A:$A,0)),)</f>
        <v/>
      </c>
      <c r="Q4225" t="inlineStr">
        <is>
          <t>todo</t>
        </is>
      </c>
    </row>
    <row r="4226">
      <c r="A4226" t="inlineStr">
        <is>
          <t>Priscilla Odisho</t>
        </is>
      </c>
      <c r="B4226" t="inlineStr">
        <is>
          <t>Attendee</t>
        </is>
      </c>
      <c r="C4226" t="inlineStr">
        <is>
          <t>Makeup Artist</t>
        </is>
      </c>
      <c r="D4226" t="inlineStr">
        <is>
          <t>Supply Chain Brain</t>
        </is>
      </c>
      <c r="E4226" t="inlineStr">
        <is>
          <t>United States</t>
        </is>
      </c>
      <c r="H4226" t="n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>
        <f>IFERROR(INDEX('Company Hitlist'!$AA:$AA,MATCH(D4226,'Company Hitlist'!$A:$A,0)),)</f>
        <v/>
      </c>
      <c r="O4226">
        <f>IFERROR(INDEX('Company Hitlist'!$N:$N,MATCH(D4226,'Company Hitlist'!$A:$A,0)),)</f>
        <v/>
      </c>
      <c r="Q4226" t="inlineStr">
        <is>
          <t>todo</t>
        </is>
      </c>
    </row>
    <row r="4227">
      <c r="A4227" t="inlineStr">
        <is>
          <t>Erick Larin</t>
        </is>
      </c>
      <c r="B4227" t="inlineStr">
        <is>
          <t>Attendee</t>
        </is>
      </c>
      <c r="C4227" t="inlineStr">
        <is>
          <t>Asst. Videographer</t>
        </is>
      </c>
      <c r="D4227" t="inlineStr">
        <is>
          <t>Supply Chain Brain</t>
        </is>
      </c>
      <c r="H4227" t="n">
        <v>0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>
        <f>IFERROR(INDEX('Company Hitlist'!$AA:$AA,MATCH(D4227,'Company Hitlist'!$A:$A,0)),)</f>
        <v/>
      </c>
      <c r="O4227">
        <f>IFERROR(INDEX('Company Hitlist'!$N:$N,MATCH(D4227,'Company Hitlist'!$A:$A,0)),)</f>
        <v/>
      </c>
      <c r="Q4227" t="inlineStr">
        <is>
          <t>todo</t>
        </is>
      </c>
    </row>
    <row r="4228">
      <c r="A4228" t="inlineStr">
        <is>
          <t>Nathan Chaney</t>
        </is>
      </c>
      <c r="B4228" t="inlineStr">
        <is>
          <t>Attendee</t>
        </is>
      </c>
      <c r="C4228" t="inlineStr">
        <is>
          <t>Founder</t>
        </is>
      </c>
      <c r="D4228" t="inlineStr">
        <is>
          <t>Supply Chaney</t>
        </is>
      </c>
      <c r="E4228" t="inlineStr">
        <is>
          <t>United States</t>
        </is>
      </c>
      <c r="H4228" t="n">
        <v>0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>
        <f>IFERROR(INDEX('Company Hitlist'!$AA:$AA,MATCH(D4228,'Company Hitlist'!$A:$A,0)),)</f>
        <v/>
      </c>
      <c r="O4228">
        <f>IFERROR(INDEX('Company Hitlist'!$N:$N,MATCH(D4228,'Company Hitlist'!$A:$A,0)),)</f>
        <v/>
      </c>
      <c r="Q4228" t="inlineStr">
        <is>
          <t>todo</t>
        </is>
      </c>
    </row>
    <row r="4229">
      <c r="A4229" t="inlineStr">
        <is>
          <t>Mike Sadr</t>
        </is>
      </c>
      <c r="B4229" t="inlineStr">
        <is>
          <t>Sponsor</t>
        </is>
      </c>
      <c r="C4229" t="inlineStr">
        <is>
          <t>Chief Revenue &amp; Strategy Officer</t>
        </is>
      </c>
      <c r="D4229" t="inlineStr">
        <is>
          <t>SupplyChain Strategy</t>
        </is>
      </c>
      <c r="E4229" t="inlineStr">
        <is>
          <t>United Kingdom</t>
        </is>
      </c>
      <c r="H4229" t="n">
        <v>0</v>
      </c>
      <c r="I4229" t="b">
        <v>0</v>
      </c>
      <c r="J4229" t="b">
        <v>1</v>
      </c>
      <c r="K4229" t="b">
        <v>0</v>
      </c>
      <c r="L4229" t="b">
        <v>0</v>
      </c>
      <c r="M4229" t="b">
        <v>1</v>
      </c>
      <c r="N4229">
        <f>IFERROR(INDEX('Company Hitlist'!$AA:$AA,MATCH(D4229,'Company Hitlist'!$A:$A,0)),)</f>
        <v/>
      </c>
      <c r="O4229">
        <f>IFERROR(INDEX('Company Hitlist'!$N:$N,MATCH(D4229,'Company Hitlist'!$A:$A,0)),)</f>
        <v/>
      </c>
      <c r="Q4229" t="inlineStr">
        <is>
          <t>todo</t>
        </is>
      </c>
    </row>
    <row r="4230">
      <c r="A4230" t="inlineStr">
        <is>
          <t>Michael Schwabe</t>
        </is>
      </c>
      <c r="B4230" t="inlineStr">
        <is>
          <t>Sponsor</t>
        </is>
      </c>
      <c r="C4230" t="inlineStr">
        <is>
          <t>Global Head of Marketing</t>
        </is>
      </c>
      <c r="D4230" t="inlineStr">
        <is>
          <t>Surgere</t>
        </is>
      </c>
      <c r="E4230" t="inlineStr">
        <is>
          <t>United States</t>
        </is>
      </c>
      <c r="F4230" t="inlineStr">
        <is>
          <t>Yes</t>
        </is>
      </c>
      <c r="H4230" t="n">
        <v>0</v>
      </c>
      <c r="I4230" t="b">
        <v>0</v>
      </c>
      <c r="J4230" t="b">
        <v>1</v>
      </c>
      <c r="K4230" t="b">
        <v>0</v>
      </c>
      <c r="L4230" t="b">
        <v>0</v>
      </c>
      <c r="M4230" t="b">
        <v>1</v>
      </c>
      <c r="N4230">
        <f>IFERROR(INDEX('Company Hitlist'!$AA:$AA,MATCH(D4230,'Company Hitlist'!$A:$A,0)),)</f>
        <v/>
      </c>
      <c r="O4230">
        <f>IFERROR(INDEX('Company Hitlist'!$N:$N,MATCH(D4230,'Company Hitlist'!$A:$A,0)),)</f>
        <v/>
      </c>
      <c r="Q4230" t="inlineStr">
        <is>
          <t>todo</t>
        </is>
      </c>
    </row>
    <row r="4231">
      <c r="A4231" t="inlineStr">
        <is>
          <t>Jeff Pegg</t>
        </is>
      </c>
      <c r="B4231" t="inlineStr">
        <is>
          <t>Attendee</t>
        </is>
      </c>
      <c r="C4231" t="inlineStr">
        <is>
          <t>Project Manager</t>
        </is>
      </c>
      <c r="D4231" t="inlineStr">
        <is>
          <t>Surgere</t>
        </is>
      </c>
      <c r="E4231" t="inlineStr">
        <is>
          <t>United States</t>
        </is>
      </c>
      <c r="H4231" t="n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>
        <f>IFERROR(INDEX('Company Hitlist'!$AA:$AA,MATCH(D4231,'Company Hitlist'!$A:$A,0)),)</f>
        <v/>
      </c>
      <c r="O4231">
        <f>IFERROR(INDEX('Company Hitlist'!$N:$N,MATCH(D4231,'Company Hitlist'!$A:$A,0)),)</f>
        <v/>
      </c>
      <c r="Q4231" t="inlineStr">
        <is>
          <t>todo</t>
        </is>
      </c>
    </row>
    <row r="4232">
      <c r="A4232" t="inlineStr">
        <is>
          <t>Tony DeMarco</t>
        </is>
      </c>
      <c r="B4232" t="inlineStr">
        <is>
          <t>Attendee</t>
        </is>
      </c>
      <c r="C4232" t="inlineStr">
        <is>
          <t>IT Business Partner &amp; Vendor Relations</t>
        </is>
      </c>
      <c r="D4232" t="inlineStr">
        <is>
          <t>Syfan Logistics</t>
        </is>
      </c>
      <c r="F4232" t="inlineStr">
        <is>
          <t>Yes</t>
        </is>
      </c>
      <c r="H4232" t="n">
        <v>0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>
        <f>IFERROR(INDEX('Company Hitlist'!$AA:$AA,MATCH(D4232,'Company Hitlist'!$A:$A,0)),)</f>
        <v/>
      </c>
      <c r="O4232">
        <f>IFERROR(INDEX('Company Hitlist'!$N:$N,MATCH(D4232,'Company Hitlist'!$A:$A,0)),)</f>
        <v/>
      </c>
      <c r="Q4232" t="inlineStr">
        <is>
          <t>todo</t>
        </is>
      </c>
    </row>
    <row r="4233">
      <c r="A4233" t="inlineStr">
        <is>
          <t>Jerry Shi</t>
        </is>
      </c>
      <c r="B4233" t="inlineStr">
        <is>
          <t>Attendee</t>
        </is>
      </c>
      <c r="C4233" t="inlineStr">
        <is>
          <t>Managing Partner</t>
        </is>
      </c>
      <c r="D4233" t="inlineStr">
        <is>
          <t>Synergis Capital</t>
        </is>
      </c>
      <c r="E4233" t="inlineStr">
        <is>
          <t>Canada</t>
        </is>
      </c>
      <c r="H4233" t="n">
        <v>0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>
        <f>IFERROR(INDEX('Company Hitlist'!$AA:$AA,MATCH(D4233,'Company Hitlist'!$A:$A,0)),)</f>
        <v/>
      </c>
      <c r="O4233">
        <f>IFERROR(INDEX('Company Hitlist'!$N:$N,MATCH(D4233,'Company Hitlist'!$A:$A,0)),)</f>
        <v/>
      </c>
      <c r="Q4233" t="inlineStr">
        <is>
          <t>todo</t>
        </is>
      </c>
    </row>
    <row r="4234">
      <c r="A4234" t="inlineStr">
        <is>
          <t>Angel Zhou</t>
        </is>
      </c>
      <c r="B4234" t="inlineStr">
        <is>
          <t>Attendee</t>
        </is>
      </c>
      <c r="C4234" t="inlineStr">
        <is>
          <t>Principal</t>
        </is>
      </c>
      <c r="D4234" t="inlineStr">
        <is>
          <t>Synergis Capital</t>
        </is>
      </c>
      <c r="E4234" t="inlineStr">
        <is>
          <t>United States</t>
        </is>
      </c>
      <c r="H4234" t="n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  <c r="N4234">
        <f>IFERROR(INDEX('Company Hitlist'!$AA:$AA,MATCH(D4234,'Company Hitlist'!$A:$A,0)),)</f>
        <v/>
      </c>
      <c r="O4234">
        <f>IFERROR(INDEX('Company Hitlist'!$N:$N,MATCH(D4234,'Company Hitlist'!$A:$A,0)),)</f>
        <v/>
      </c>
      <c r="Q4234" t="inlineStr">
        <is>
          <t>todo</t>
        </is>
      </c>
    </row>
    <row r="4235">
      <c r="A4235" t="inlineStr">
        <is>
          <t>Ryan Clark</t>
        </is>
      </c>
      <c r="B4235" t="inlineStr">
        <is>
          <t>Attendee</t>
        </is>
      </c>
      <c r="C4235" t="inlineStr">
        <is>
          <t>Process Manager</t>
        </is>
      </c>
      <c r="D4235" t="inlineStr">
        <is>
          <t>T. C. Jacoby &amp; Co Inc</t>
        </is>
      </c>
      <c r="E4235" t="inlineStr">
        <is>
          <t>United States</t>
        </is>
      </c>
      <c r="H4235" t="n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>
        <f>IFERROR(INDEX('Company Hitlist'!$AA:$AA,MATCH(D4235,'Company Hitlist'!$A:$A,0)),)</f>
        <v/>
      </c>
      <c r="O4235">
        <f>IFERROR(INDEX('Company Hitlist'!$N:$N,MATCH(D4235,'Company Hitlist'!$A:$A,0)),)</f>
        <v/>
      </c>
      <c r="Q4235" t="inlineStr">
        <is>
          <t>todo</t>
        </is>
      </c>
    </row>
    <row r="4236">
      <c r="A4236" t="inlineStr">
        <is>
          <t>Al Lambert</t>
        </is>
      </c>
      <c r="B4236" t="inlineStr">
        <is>
          <t>Sponsor</t>
        </is>
      </c>
      <c r="C4236" t="inlineStr">
        <is>
          <t>Head of Sales - APAC</t>
        </is>
      </c>
      <c r="D4236" t="inlineStr">
        <is>
          <t>TAC Index</t>
        </is>
      </c>
      <c r="E4236" t="inlineStr">
        <is>
          <t>Hong Kong</t>
        </is>
      </c>
      <c r="H4236" t="n">
        <v>0</v>
      </c>
      <c r="I4236" t="b">
        <v>0</v>
      </c>
      <c r="J4236" t="b">
        <v>1</v>
      </c>
      <c r="K4236" t="b">
        <v>0</v>
      </c>
      <c r="L4236" t="b">
        <v>0</v>
      </c>
      <c r="M4236" t="b">
        <v>1</v>
      </c>
      <c r="N4236">
        <f>IFERROR(INDEX('Company Hitlist'!$AA:$AA,MATCH(D4236,'Company Hitlist'!$A:$A,0)),)</f>
        <v/>
      </c>
      <c r="O4236">
        <f>IFERROR(INDEX('Company Hitlist'!$N:$N,MATCH(D4236,'Company Hitlist'!$A:$A,0)),)</f>
        <v/>
      </c>
      <c r="Q4236" t="inlineStr">
        <is>
          <t>todo</t>
        </is>
      </c>
    </row>
    <row r="4237">
      <c r="A4237" t="inlineStr">
        <is>
          <t>Scott Shigemesa</t>
        </is>
      </c>
      <c r="B4237" t="inlineStr">
        <is>
          <t>Attendee</t>
        </is>
      </c>
      <c r="C4237" t="inlineStr">
        <is>
          <t>Demand Planning</t>
        </is>
      </c>
      <c r="D4237" t="inlineStr">
        <is>
          <t>TAO Clean</t>
        </is>
      </c>
      <c r="F4237" t="inlineStr">
        <is>
          <t>Yes</t>
        </is>
      </c>
      <c r="H4237" t="n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>
        <f>IFERROR(INDEX('Company Hitlist'!$AA:$AA,MATCH(D4237,'Company Hitlist'!$A:$A,0)),)</f>
        <v/>
      </c>
      <c r="O4237">
        <f>IFERROR(INDEX('Company Hitlist'!$N:$N,MATCH(D4237,'Company Hitlist'!$A:$A,0)),)</f>
        <v/>
      </c>
      <c r="Q4237" t="inlineStr">
        <is>
          <t>todo</t>
        </is>
      </c>
    </row>
    <row r="4238">
      <c r="A4238" t="inlineStr">
        <is>
          <t>Aleks Moser</t>
        </is>
      </c>
      <c r="B4238" t="inlineStr">
        <is>
          <t>Attendee</t>
        </is>
      </c>
      <c r="C4238" t="inlineStr">
        <is>
          <t>Managing Director</t>
        </is>
      </c>
      <c r="D4238" t="inlineStr">
        <is>
          <t>TD Securities</t>
        </is>
      </c>
      <c r="E4238" t="inlineStr">
        <is>
          <t>United States</t>
        </is>
      </c>
      <c r="H4238" t="n">
        <v>0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>
        <f>IFERROR(INDEX('Company Hitlist'!$AA:$AA,MATCH(D4238,'Company Hitlist'!$A:$A,0)),)</f>
        <v/>
      </c>
      <c r="O4238">
        <f>IFERROR(INDEX('Company Hitlist'!$N:$N,MATCH(D4238,'Company Hitlist'!$A:$A,0)),)</f>
        <v/>
      </c>
      <c r="Q4238" t="inlineStr">
        <is>
          <t>todo</t>
        </is>
      </c>
    </row>
    <row r="4239">
      <c r="A4239" t="inlineStr">
        <is>
          <t>Alex Brickman</t>
        </is>
      </c>
      <c r="B4239" t="inlineStr">
        <is>
          <t>Attendee</t>
        </is>
      </c>
      <c r="C4239" t="inlineStr">
        <is>
          <t>Director</t>
        </is>
      </c>
      <c r="D4239" t="inlineStr">
        <is>
          <t>TD Securities</t>
        </is>
      </c>
      <c r="E4239" t="inlineStr">
        <is>
          <t>United States</t>
        </is>
      </c>
      <c r="H4239" t="n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>
        <f>IFERROR(INDEX('Company Hitlist'!$AA:$AA,MATCH(D4239,'Company Hitlist'!$A:$A,0)),)</f>
        <v/>
      </c>
      <c r="O4239">
        <f>IFERROR(INDEX('Company Hitlist'!$N:$N,MATCH(D4239,'Company Hitlist'!$A:$A,0)),)</f>
        <v/>
      </c>
      <c r="Q4239" t="inlineStr">
        <is>
          <t>todo</t>
        </is>
      </c>
    </row>
    <row r="4240">
      <c r="A4240" t="inlineStr">
        <is>
          <t>Jacob Brazier</t>
        </is>
      </c>
      <c r="B4240" t="inlineStr">
        <is>
          <t>Sponsor</t>
        </is>
      </c>
      <c r="C4240" t="inlineStr">
        <is>
          <t>Senior Vice President, Sales</t>
        </is>
      </c>
      <c r="D4240" t="inlineStr">
        <is>
          <t>TEL</t>
        </is>
      </c>
      <c r="H4240" t="n">
        <v>0</v>
      </c>
      <c r="I4240" t="b">
        <v>0</v>
      </c>
      <c r="J4240" t="b">
        <v>1</v>
      </c>
      <c r="K4240" t="b">
        <v>0</v>
      </c>
      <c r="L4240" t="b">
        <v>0</v>
      </c>
      <c r="M4240" t="b">
        <v>1</v>
      </c>
      <c r="N4240">
        <f>IFERROR(INDEX('Company Hitlist'!$AA:$AA,MATCH(D4240,'Company Hitlist'!$A:$A,0)),)</f>
        <v/>
      </c>
      <c r="O4240">
        <f>IFERROR(INDEX('Company Hitlist'!$N:$N,MATCH(D4240,'Company Hitlist'!$A:$A,0)),)</f>
        <v/>
      </c>
      <c r="Q4240" t="inlineStr">
        <is>
          <t>todo</t>
        </is>
      </c>
    </row>
    <row r="4241">
      <c r="A4241" t="inlineStr">
        <is>
          <t>Jeff Dombek</t>
        </is>
      </c>
      <c r="B4241" t="inlineStr">
        <is>
          <t>Attendee</t>
        </is>
      </c>
      <c r="C4241" t="inlineStr">
        <is>
          <t>Principal</t>
        </is>
      </c>
      <c r="D4241" t="inlineStr">
        <is>
          <t>TJC</t>
        </is>
      </c>
      <c r="E4241" t="inlineStr">
        <is>
          <t>United States</t>
        </is>
      </c>
      <c r="F4241" t="inlineStr">
        <is>
          <t>Yes</t>
        </is>
      </c>
      <c r="H4241" t="n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>
        <f>IFERROR(INDEX('Company Hitlist'!$AA:$AA,MATCH(D4241,'Company Hitlist'!$A:$A,0)),)</f>
        <v/>
      </c>
      <c r="O4241">
        <f>IFERROR(INDEX('Company Hitlist'!$N:$N,MATCH(D4241,'Company Hitlist'!$A:$A,0)),)</f>
        <v/>
      </c>
      <c r="Q4241" t="inlineStr">
        <is>
          <t>todo</t>
        </is>
      </c>
    </row>
    <row r="4242">
      <c r="A4242" t="inlineStr">
        <is>
          <t>Sharla Miller</t>
        </is>
      </c>
      <c r="B4242" t="inlineStr">
        <is>
          <t>Attendee</t>
        </is>
      </c>
      <c r="C4242" t="inlineStr">
        <is>
          <t>Regional Manager of Facilities</t>
        </is>
      </c>
      <c r="D4242" t="inlineStr">
        <is>
          <t>TJX</t>
        </is>
      </c>
      <c r="E4242" t="inlineStr">
        <is>
          <t>United States</t>
        </is>
      </c>
      <c r="H4242" t="n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>
        <f>IFERROR(INDEX('Company Hitlist'!$AA:$AA,MATCH(D4242,'Company Hitlist'!$A:$A,0)),)</f>
        <v/>
      </c>
      <c r="O4242">
        <f>IFERROR(INDEX('Company Hitlist'!$N:$N,MATCH(D4242,'Company Hitlist'!$A:$A,0)),)</f>
        <v/>
      </c>
      <c r="Q4242" t="inlineStr">
        <is>
          <t>todo</t>
        </is>
      </c>
    </row>
    <row r="4243">
      <c r="A4243" t="inlineStr">
        <is>
          <t>Jesse Wilson</t>
        </is>
      </c>
      <c r="B4243" t="inlineStr">
        <is>
          <t>Attendee</t>
        </is>
      </c>
      <c r="C4243" t="inlineStr">
        <is>
          <t>AVPD Automation &amp; Technology</t>
        </is>
      </c>
      <c r="D4243" t="inlineStr">
        <is>
          <t>TJX</t>
        </is>
      </c>
      <c r="H4243" t="n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>
        <f>IFERROR(INDEX('Company Hitlist'!$AA:$AA,MATCH(D4243,'Company Hitlist'!$A:$A,0)),)</f>
        <v/>
      </c>
      <c r="O4243">
        <f>IFERROR(INDEX('Company Hitlist'!$N:$N,MATCH(D4243,'Company Hitlist'!$A:$A,0)),)</f>
        <v/>
      </c>
      <c r="Q4243" t="inlineStr">
        <is>
          <t>todo</t>
        </is>
      </c>
    </row>
    <row r="4244">
      <c r="A4244" t="inlineStr">
        <is>
          <t>NICOLAS FLORES</t>
        </is>
      </c>
      <c r="B4244" t="inlineStr">
        <is>
          <t>Attendee</t>
        </is>
      </c>
      <c r="C4244" t="inlineStr">
        <is>
          <t>Strategy Manager</t>
        </is>
      </c>
      <c r="D4244" t="inlineStr">
        <is>
          <t>TRAXION TECHNOLOGIES</t>
        </is>
      </c>
      <c r="E4244" t="inlineStr">
        <is>
          <t>United States</t>
        </is>
      </c>
      <c r="H4244" t="n">
        <v>0</v>
      </c>
      <c r="I4244" t="b">
        <v>0</v>
      </c>
      <c r="J4244" t="b">
        <v>0</v>
      </c>
      <c r="K4244" t="b">
        <v>0</v>
      </c>
      <c r="L4244" t="b">
        <v>0</v>
      </c>
      <c r="M4244" t="b">
        <v>0</v>
      </c>
      <c r="N4244">
        <f>IFERROR(INDEX('Company Hitlist'!$AA:$AA,MATCH(D4244,'Company Hitlist'!$A:$A,0)),)</f>
        <v/>
      </c>
      <c r="O4244">
        <f>IFERROR(INDEX('Company Hitlist'!$N:$N,MATCH(D4244,'Company Hitlist'!$A:$A,0)),)</f>
        <v/>
      </c>
      <c r="Q4244" t="inlineStr">
        <is>
          <t>todo</t>
        </is>
      </c>
    </row>
    <row r="4245">
      <c r="A4245" t="inlineStr">
        <is>
          <t>Henry Pines</t>
        </is>
      </c>
      <c r="B4245" t="inlineStr">
        <is>
          <t>Attendee</t>
        </is>
      </c>
      <c r="C4245" t="inlineStr">
        <is>
          <t>Senior Program Manager</t>
        </is>
      </c>
      <c r="D4245" t="inlineStr">
        <is>
          <t>TRC Companies</t>
        </is>
      </c>
      <c r="E4245" t="inlineStr">
        <is>
          <t>United States</t>
        </is>
      </c>
      <c r="H4245" t="n">
        <v>0</v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  <c r="N4245">
        <f>IFERROR(INDEX('Company Hitlist'!$AA:$AA,MATCH(D4245,'Company Hitlist'!$A:$A,0)),)</f>
        <v/>
      </c>
      <c r="O4245">
        <f>IFERROR(INDEX('Company Hitlist'!$N:$N,MATCH(D4245,'Company Hitlist'!$A:$A,0)),)</f>
        <v/>
      </c>
      <c r="Q4245" t="inlineStr">
        <is>
          <t>todo</t>
        </is>
      </c>
    </row>
    <row r="4246">
      <c r="A4246" t="inlineStr">
        <is>
          <t>Paul Malone</t>
        </is>
      </c>
      <c r="B4246" t="inlineStr">
        <is>
          <t>Sponsor</t>
        </is>
      </c>
      <c r="C4246" t="inlineStr">
        <is>
          <t>Chief Revenue Officer</t>
        </is>
      </c>
      <c r="D4246" t="inlineStr">
        <is>
          <t>TRUCKSTOP.COM</t>
        </is>
      </c>
      <c r="F4246" t="inlineStr">
        <is>
          <t>Yes</t>
        </is>
      </c>
      <c r="H4246" t="n">
        <v>0</v>
      </c>
      <c r="I4246" t="b">
        <v>0</v>
      </c>
      <c r="J4246" t="b">
        <v>1</v>
      </c>
      <c r="K4246" t="b">
        <v>0</v>
      </c>
      <c r="L4246" t="b">
        <v>0</v>
      </c>
      <c r="M4246" t="b">
        <v>1</v>
      </c>
      <c r="N4246">
        <f>IFERROR(INDEX('Company Hitlist'!$AA:$AA,MATCH(D4246,'Company Hitlist'!$A:$A,0)),)</f>
        <v/>
      </c>
      <c r="O4246">
        <f>IFERROR(INDEX('Company Hitlist'!$N:$N,MATCH(D4246,'Company Hitlist'!$A:$A,0)),)</f>
        <v/>
      </c>
      <c r="Q4246" t="inlineStr">
        <is>
          <t>todo</t>
        </is>
      </c>
    </row>
    <row r="4247">
      <c r="A4247" t="inlineStr">
        <is>
          <t>Randy Phillips</t>
        </is>
      </c>
      <c r="B4247" t="inlineStr">
        <is>
          <t>Sponsor</t>
        </is>
      </c>
      <c r="C4247" t="inlineStr">
        <is>
          <t>VP Strategic Sales</t>
        </is>
      </c>
      <c r="D4247" t="inlineStr">
        <is>
          <t>TRUCKSTOP.COM</t>
        </is>
      </c>
      <c r="E4247" t="inlineStr">
        <is>
          <t>United States</t>
        </is>
      </c>
      <c r="H4247" t="n">
        <v>0</v>
      </c>
      <c r="I4247" t="b">
        <v>0</v>
      </c>
      <c r="J4247" t="b">
        <v>1</v>
      </c>
      <c r="K4247" t="b">
        <v>0</v>
      </c>
      <c r="L4247" t="b">
        <v>0</v>
      </c>
      <c r="M4247" t="b">
        <v>1</v>
      </c>
      <c r="N4247">
        <f>IFERROR(INDEX('Company Hitlist'!$AA:$AA,MATCH(D4247,'Company Hitlist'!$A:$A,0)),)</f>
        <v/>
      </c>
      <c r="O4247">
        <f>IFERROR(INDEX('Company Hitlist'!$N:$N,MATCH(D4247,'Company Hitlist'!$A:$A,0)),)</f>
        <v/>
      </c>
      <c r="Q4247" t="inlineStr">
        <is>
          <t>todo</t>
        </is>
      </c>
    </row>
    <row r="4248">
      <c r="A4248" t="inlineStr">
        <is>
          <t>Dovid Beckerman</t>
        </is>
      </c>
      <c r="B4248" t="inlineStr">
        <is>
          <t>Attendee</t>
        </is>
      </c>
      <c r="C4248" t="inlineStr">
        <is>
          <t>Partner</t>
        </is>
      </c>
      <c r="D4248" t="inlineStr">
        <is>
          <t>TYH Warehousing</t>
        </is>
      </c>
      <c r="F4248" t="inlineStr">
        <is>
          <t>Yes</t>
        </is>
      </c>
      <c r="H4248" t="n">
        <v>0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>
        <f>IFERROR(INDEX('Company Hitlist'!$AA:$AA,MATCH(D4248,'Company Hitlist'!$A:$A,0)),)</f>
        <v/>
      </c>
      <c r="O4248">
        <f>IFERROR(INDEX('Company Hitlist'!$N:$N,MATCH(D4248,'Company Hitlist'!$A:$A,0)),)</f>
        <v/>
      </c>
      <c r="Q4248" t="inlineStr">
        <is>
          <t>todo</t>
        </is>
      </c>
    </row>
    <row r="4249">
      <c r="A4249" t="inlineStr">
        <is>
          <t>Patrick Toner</t>
        </is>
      </c>
      <c r="B4249" t="inlineStr">
        <is>
          <t>Attendee</t>
        </is>
      </c>
      <c r="C4249" t="inlineStr">
        <is>
          <t>Tag</t>
        </is>
      </c>
      <c r="D4249" t="inlineStr">
        <is>
          <t>Tag</t>
        </is>
      </c>
      <c r="E4249" t="inlineStr">
        <is>
          <t>United Kingdom</t>
        </is>
      </c>
      <c r="F4249" t="inlineStr">
        <is>
          <t>Yes</t>
        </is>
      </c>
      <c r="H4249" t="n">
        <v>0</v>
      </c>
      <c r="I4249" t="b">
        <v>0</v>
      </c>
      <c r="J4249" t="b">
        <v>0</v>
      </c>
      <c r="K4249" t="b">
        <v>0</v>
      </c>
      <c r="L4249" t="b">
        <v>0</v>
      </c>
      <c r="M4249" t="b">
        <v>0</v>
      </c>
      <c r="N4249">
        <f>IFERROR(INDEX('Company Hitlist'!$AA:$AA,MATCH(D4249,'Company Hitlist'!$A:$A,0)),)</f>
        <v/>
      </c>
      <c r="O4249">
        <f>IFERROR(INDEX('Company Hitlist'!$N:$N,MATCH(D4249,'Company Hitlist'!$A:$A,0)),)</f>
        <v/>
      </c>
      <c r="Q4249" t="inlineStr">
        <is>
          <t>todo</t>
        </is>
      </c>
    </row>
    <row r="4250">
      <c r="A4250" t="inlineStr">
        <is>
          <t>Christina Jensen</t>
        </is>
      </c>
      <c r="B4250" t="inlineStr">
        <is>
          <t>Attendee</t>
        </is>
      </c>
      <c r="C4250" t="inlineStr">
        <is>
          <t>CCO</t>
        </is>
      </c>
      <c r="D4250" t="inlineStr">
        <is>
          <t>Tai Software</t>
        </is>
      </c>
      <c r="E4250" t="inlineStr">
        <is>
          <t>United States</t>
        </is>
      </c>
      <c r="F4250" t="inlineStr">
        <is>
          <t>Yes</t>
        </is>
      </c>
      <c r="H4250" t="n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>
        <f>IFERROR(INDEX('Company Hitlist'!$AA:$AA,MATCH(D4250,'Company Hitlist'!$A:$A,0)),)</f>
        <v/>
      </c>
      <c r="O4250">
        <f>IFERROR(INDEX('Company Hitlist'!$N:$N,MATCH(D4250,'Company Hitlist'!$A:$A,0)),)</f>
        <v/>
      </c>
      <c r="Q4250" t="inlineStr">
        <is>
          <t>todo</t>
        </is>
      </c>
    </row>
    <row r="4251">
      <c r="A4251" t="inlineStr">
        <is>
          <t>Sean McGillicuddy</t>
        </is>
      </c>
      <c r="B4251" t="inlineStr">
        <is>
          <t>Attendee</t>
        </is>
      </c>
      <c r="C4251" t="inlineStr">
        <is>
          <t>CRO</t>
        </is>
      </c>
      <c r="D4251" t="inlineStr">
        <is>
          <t>Tai Software</t>
        </is>
      </c>
      <c r="E4251" t="inlineStr">
        <is>
          <t>United States</t>
        </is>
      </c>
      <c r="F4251" t="inlineStr">
        <is>
          <t>Yes</t>
        </is>
      </c>
      <c r="H4251" t="n">
        <v>0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>
        <f>IFERROR(INDEX('Company Hitlist'!$AA:$AA,MATCH(D4251,'Company Hitlist'!$A:$A,0)),)</f>
        <v/>
      </c>
      <c r="O4251">
        <f>IFERROR(INDEX('Company Hitlist'!$N:$N,MATCH(D4251,'Company Hitlist'!$A:$A,0)),)</f>
        <v/>
      </c>
      <c r="Q4251" t="inlineStr">
        <is>
          <t>todo</t>
        </is>
      </c>
    </row>
    <row r="4252">
      <c r="A4252" t="inlineStr">
        <is>
          <t>Osama Idrees</t>
        </is>
      </c>
      <c r="B4252" t="inlineStr">
        <is>
          <t>Attendee</t>
        </is>
      </c>
      <c r="C4252" t="inlineStr">
        <is>
          <t>Partner</t>
        </is>
      </c>
      <c r="D4252" t="inlineStr">
        <is>
          <t>Tailwind Futures</t>
        </is>
      </c>
      <c r="E4252" t="inlineStr">
        <is>
          <t>United States</t>
        </is>
      </c>
      <c r="H4252" t="n">
        <v>0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>
        <f>IFERROR(INDEX('Company Hitlist'!$AA:$AA,MATCH(D4252,'Company Hitlist'!$A:$A,0)),)</f>
        <v/>
      </c>
      <c r="O4252">
        <f>IFERROR(INDEX('Company Hitlist'!$N:$N,MATCH(D4252,'Company Hitlist'!$A:$A,0)),)</f>
        <v/>
      </c>
      <c r="Q4252" t="inlineStr">
        <is>
          <t>todo</t>
        </is>
      </c>
    </row>
    <row r="4253">
      <c r="A4253" t="inlineStr">
        <is>
          <t>Karan Arora</t>
        </is>
      </c>
      <c r="B4253" t="inlineStr">
        <is>
          <t>Attendee</t>
        </is>
      </c>
      <c r="C4253" t="inlineStr">
        <is>
          <t>Director</t>
        </is>
      </c>
      <c r="D4253" t="inlineStr">
        <is>
          <t>Taksa Technology Solutions</t>
        </is>
      </c>
      <c r="E4253" t="inlineStr">
        <is>
          <t>Canada</t>
        </is>
      </c>
      <c r="H4253" t="n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>
        <f>IFERROR(INDEX('Company Hitlist'!$AA:$AA,MATCH(D4253,'Company Hitlist'!$A:$A,0)),)</f>
        <v/>
      </c>
      <c r="O4253">
        <f>IFERROR(INDEX('Company Hitlist'!$N:$N,MATCH(D4253,'Company Hitlist'!$A:$A,0)),)</f>
        <v/>
      </c>
      <c r="Q4253" t="inlineStr">
        <is>
          <t>todo</t>
        </is>
      </c>
    </row>
    <row r="4254">
      <c r="A4254" t="inlineStr">
        <is>
          <t>Jordan Knight</t>
        </is>
      </c>
      <c r="B4254" t="inlineStr">
        <is>
          <t>Sponsor</t>
        </is>
      </c>
      <c r="C4254" t="inlineStr">
        <is>
          <t>Head of Sales</t>
        </is>
      </c>
      <c r="D4254" t="inlineStr">
        <is>
          <t>Takt, Inc.</t>
        </is>
      </c>
      <c r="E4254" t="inlineStr">
        <is>
          <t>United States</t>
        </is>
      </c>
      <c r="H4254" t="n">
        <v>0</v>
      </c>
      <c r="I4254" t="b">
        <v>0</v>
      </c>
      <c r="J4254" t="b">
        <v>1</v>
      </c>
      <c r="K4254" t="b">
        <v>0</v>
      </c>
      <c r="L4254" t="b">
        <v>0</v>
      </c>
      <c r="M4254" t="b">
        <v>1</v>
      </c>
      <c r="N4254">
        <f>IFERROR(INDEX('Company Hitlist'!$AA:$AA,MATCH(D4254,'Company Hitlist'!$A:$A,0)),)</f>
        <v/>
      </c>
      <c r="O4254">
        <f>IFERROR(INDEX('Company Hitlist'!$N:$N,MATCH(D4254,'Company Hitlist'!$A:$A,0)),)</f>
        <v/>
      </c>
      <c r="Q4254" t="inlineStr">
        <is>
          <t>todo</t>
        </is>
      </c>
    </row>
    <row r="4255">
      <c r="A4255" t="inlineStr">
        <is>
          <t>Brendan Colwell</t>
        </is>
      </c>
      <c r="B4255" t="inlineStr">
        <is>
          <t>Attendee</t>
        </is>
      </c>
      <c r="C4255" t="inlineStr">
        <is>
          <t>Senior Recruitment Analyst</t>
        </is>
      </c>
      <c r="D4255" t="inlineStr">
        <is>
          <t>Talent Solvers</t>
        </is>
      </c>
      <c r="E4255" t="inlineStr">
        <is>
          <t>United States</t>
        </is>
      </c>
      <c r="H4255" t="n">
        <v>0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  <c r="N4255">
        <f>IFERROR(INDEX('Company Hitlist'!$AA:$AA,MATCH(D4255,'Company Hitlist'!$A:$A,0)),)</f>
        <v/>
      </c>
      <c r="O4255">
        <f>IFERROR(INDEX('Company Hitlist'!$N:$N,MATCH(D4255,'Company Hitlist'!$A:$A,0)),)</f>
        <v/>
      </c>
      <c r="Q4255" t="inlineStr">
        <is>
          <t>todo</t>
        </is>
      </c>
    </row>
    <row r="4256">
      <c r="A4256" t="inlineStr">
        <is>
          <t>Ryan McGuinness</t>
        </is>
      </c>
      <c r="B4256" t="inlineStr">
        <is>
          <t>Attendee</t>
        </is>
      </c>
      <c r="C4256" t="inlineStr">
        <is>
          <t>Partner</t>
        </is>
      </c>
      <c r="D4256" t="inlineStr">
        <is>
          <t>Talent Solvers</t>
        </is>
      </c>
      <c r="E4256" t="inlineStr">
        <is>
          <t>United States</t>
        </is>
      </c>
      <c r="H4256" t="n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>
        <f>IFERROR(INDEX('Company Hitlist'!$AA:$AA,MATCH(D4256,'Company Hitlist'!$A:$A,0)),)</f>
        <v/>
      </c>
      <c r="O4256">
        <f>IFERROR(INDEX('Company Hitlist'!$N:$N,MATCH(D4256,'Company Hitlist'!$A:$A,0)),)</f>
        <v/>
      </c>
      <c r="Q4256" t="inlineStr">
        <is>
          <t>todo</t>
        </is>
      </c>
    </row>
    <row r="4257">
      <c r="A4257" t="inlineStr">
        <is>
          <t>Jason Kuo</t>
        </is>
      </c>
      <c r="B4257" t="inlineStr">
        <is>
          <t>Attendee</t>
        </is>
      </c>
      <c r="C4257" t="inlineStr">
        <is>
          <t>Principal</t>
        </is>
      </c>
      <c r="D4257" t="inlineStr">
        <is>
          <t>Tech Square Ventures</t>
        </is>
      </c>
      <c r="E4257" t="inlineStr">
        <is>
          <t>United States</t>
        </is>
      </c>
      <c r="H4257" t="n">
        <v>0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>
        <f>IFERROR(INDEX('Company Hitlist'!$AA:$AA,MATCH(D4257,'Company Hitlist'!$A:$A,0)),)</f>
        <v/>
      </c>
      <c r="O4257">
        <f>IFERROR(INDEX('Company Hitlist'!$N:$N,MATCH(D4257,'Company Hitlist'!$A:$A,0)),)</f>
        <v/>
      </c>
      <c r="Q4257" t="inlineStr">
        <is>
          <t>todo</t>
        </is>
      </c>
    </row>
    <row r="4258">
      <c r="A4258" t="inlineStr">
        <is>
          <t>Carlos Soto</t>
        </is>
      </c>
      <c r="B4258" t="inlineStr">
        <is>
          <t>Attendee</t>
        </is>
      </c>
      <c r="C4258" t="inlineStr">
        <is>
          <t>Editor</t>
        </is>
      </c>
      <c r="D4258" t="inlineStr">
        <is>
          <t>Tech Writers Bureau</t>
        </is>
      </c>
      <c r="E4258" t="inlineStr">
        <is>
          <t>United States</t>
        </is>
      </c>
      <c r="F4258" t="inlineStr">
        <is>
          <t>Yes</t>
        </is>
      </c>
      <c r="H4258" t="n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>
        <f>IFERROR(INDEX('Company Hitlist'!$AA:$AA,MATCH(D4258,'Company Hitlist'!$A:$A,0)),)</f>
        <v/>
      </c>
      <c r="O4258">
        <f>IFERROR(INDEX('Company Hitlist'!$N:$N,MATCH(D4258,'Company Hitlist'!$A:$A,0)),)</f>
        <v/>
      </c>
      <c r="Q4258" t="inlineStr">
        <is>
          <t>todo</t>
        </is>
      </c>
    </row>
    <row r="4259">
      <c r="A4259" t="inlineStr">
        <is>
          <t>Nathan Goobie</t>
        </is>
      </c>
      <c r="B4259" t="inlineStr">
        <is>
          <t>Attendee</t>
        </is>
      </c>
      <c r="C4259" t="inlineStr">
        <is>
          <t>Director, Parcel Solutions</t>
        </is>
      </c>
      <c r="D4259" t="inlineStr">
        <is>
          <t>Techdinamics</t>
        </is>
      </c>
      <c r="E4259" t="inlineStr">
        <is>
          <t>Canada</t>
        </is>
      </c>
      <c r="H4259" t="n">
        <v>0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>
        <f>IFERROR(INDEX('Company Hitlist'!$AA:$AA,MATCH(D4259,'Company Hitlist'!$A:$A,0)),)</f>
        <v/>
      </c>
      <c r="O4259">
        <f>IFERROR(INDEX('Company Hitlist'!$N:$N,MATCH(D4259,'Company Hitlist'!$A:$A,0)),)</f>
        <v/>
      </c>
      <c r="Q4259" t="inlineStr">
        <is>
          <t>todo</t>
        </is>
      </c>
    </row>
    <row r="4260">
      <c r="A4260" t="inlineStr">
        <is>
          <t>Natalia Aguilar</t>
        </is>
      </c>
      <c r="B4260" t="inlineStr">
        <is>
          <t>Attendee</t>
        </is>
      </c>
      <c r="C4260" t="inlineStr">
        <is>
          <t>Business Analyst</t>
        </is>
      </c>
      <c r="D4260" t="inlineStr">
        <is>
          <t>Teradyne</t>
        </is>
      </c>
      <c r="E4260" t="inlineStr">
        <is>
          <t>Costa Rica</t>
        </is>
      </c>
      <c r="H4260" t="n">
        <v>0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>
        <f>IFERROR(INDEX('Company Hitlist'!$AA:$AA,MATCH(D4260,'Company Hitlist'!$A:$A,0)),)</f>
        <v/>
      </c>
      <c r="O4260">
        <f>IFERROR(INDEX('Company Hitlist'!$N:$N,MATCH(D4260,'Company Hitlist'!$A:$A,0)),)</f>
        <v/>
      </c>
      <c r="Q4260" t="inlineStr">
        <is>
          <t>todo</t>
        </is>
      </c>
    </row>
    <row r="4261">
      <c r="A4261" t="inlineStr">
        <is>
          <t>Josh Kivenko</t>
        </is>
      </c>
      <c r="B4261" t="inlineStr">
        <is>
          <t>Sponsor</t>
        </is>
      </c>
      <c r="C4261" t="inlineStr">
        <is>
          <t>Chief Marketing Officer</t>
        </is>
      </c>
      <c r="D4261" t="inlineStr">
        <is>
          <t>Terminal Industries</t>
        </is>
      </c>
      <c r="H4261" t="n">
        <v>0</v>
      </c>
      <c r="I4261" t="b">
        <v>0</v>
      </c>
      <c r="J4261" t="b">
        <v>1</v>
      </c>
      <c r="K4261" t="b">
        <v>0</v>
      </c>
      <c r="L4261" t="b">
        <v>0</v>
      </c>
      <c r="M4261" t="b">
        <v>1</v>
      </c>
      <c r="N4261">
        <f>IFERROR(INDEX('Company Hitlist'!$AA:$AA,MATCH(D4261,'Company Hitlist'!$A:$A,0)),)</f>
        <v/>
      </c>
      <c r="O4261">
        <f>IFERROR(INDEX('Company Hitlist'!$N:$N,MATCH(D4261,'Company Hitlist'!$A:$A,0)),)</f>
        <v/>
      </c>
      <c r="Q4261" t="inlineStr">
        <is>
          <t>todo</t>
        </is>
      </c>
    </row>
    <row r="4262">
      <c r="A4262" t="inlineStr">
        <is>
          <t>Joana Pro test</t>
        </is>
      </c>
      <c r="B4262" t="inlineStr">
        <is>
          <t>Attendee</t>
        </is>
      </c>
      <c r="C4262" t="inlineStr">
        <is>
          <t>Test</t>
        </is>
      </c>
      <c r="D4262" t="inlineStr">
        <is>
          <t>Test</t>
        </is>
      </c>
      <c r="H4262" t="n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>
        <f>IFERROR(INDEX('Company Hitlist'!$AA:$AA,MATCH(D4262,'Company Hitlist'!$A:$A,0)),)</f>
        <v/>
      </c>
      <c r="O4262">
        <f>IFERROR(INDEX('Company Hitlist'!$N:$N,MATCH(D4262,'Company Hitlist'!$A:$A,0)),)</f>
        <v/>
      </c>
      <c r="Q4262" t="inlineStr">
        <is>
          <t>todo</t>
        </is>
      </c>
    </row>
    <row r="4263">
      <c r="A4263" t="inlineStr">
        <is>
          <t>Ryan Rogers</t>
        </is>
      </c>
      <c r="B4263" t="inlineStr">
        <is>
          <t>Attendee</t>
        </is>
      </c>
      <c r="C4263" t="inlineStr">
        <is>
          <t>Founder</t>
        </is>
      </c>
      <c r="D4263" t="inlineStr">
        <is>
          <t>TextLocate</t>
        </is>
      </c>
      <c r="E4263" t="inlineStr">
        <is>
          <t>United States</t>
        </is>
      </c>
      <c r="F4263" t="inlineStr">
        <is>
          <t>Yes</t>
        </is>
      </c>
      <c r="H4263" t="n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  <c r="N4263">
        <f>IFERROR(INDEX('Company Hitlist'!$AA:$AA,MATCH(D4263,'Company Hitlist'!$A:$A,0)),)</f>
        <v/>
      </c>
      <c r="O4263">
        <f>IFERROR(INDEX('Company Hitlist'!$N:$N,MATCH(D4263,'Company Hitlist'!$A:$A,0)),)</f>
        <v/>
      </c>
      <c r="Q4263" t="inlineStr">
        <is>
          <t>todo</t>
        </is>
      </c>
    </row>
    <row r="4264">
      <c r="A4264" t="inlineStr">
        <is>
          <t>Ruben Gonsalez</t>
        </is>
      </c>
      <c r="B4264" t="inlineStr">
        <is>
          <t>Attendee</t>
        </is>
      </c>
      <c r="C4264" t="inlineStr">
        <is>
          <t>Fullfillemt Specialist</t>
        </is>
      </c>
      <c r="D4264" t="inlineStr">
        <is>
          <t>The DOT Corp</t>
        </is>
      </c>
      <c r="F4264" t="inlineStr">
        <is>
          <t>Yes</t>
        </is>
      </c>
      <c r="H4264" t="n">
        <v>0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>
        <f>IFERROR(INDEX('Company Hitlist'!$AA:$AA,MATCH(D4264,'Company Hitlist'!$A:$A,0)),)</f>
        <v/>
      </c>
      <c r="O4264">
        <f>IFERROR(INDEX('Company Hitlist'!$N:$N,MATCH(D4264,'Company Hitlist'!$A:$A,0)),)</f>
        <v/>
      </c>
      <c r="Q4264" t="inlineStr">
        <is>
          <t>todo</t>
        </is>
      </c>
    </row>
    <row r="4265">
      <c r="A4265" t="inlineStr">
        <is>
          <t>Mike King</t>
        </is>
      </c>
      <c r="B4265" t="inlineStr">
        <is>
          <t>Attendee</t>
        </is>
      </c>
      <c r="C4265" t="inlineStr">
        <is>
          <t>Host &amp; Editor</t>
        </is>
      </c>
      <c r="D4265" t="inlineStr">
        <is>
          <t>The Freight Buyers Club</t>
        </is>
      </c>
      <c r="E4265" t="inlineStr">
        <is>
          <t>United States</t>
        </is>
      </c>
      <c r="F4265" t="inlineStr">
        <is>
          <t>Yes</t>
        </is>
      </c>
      <c r="H4265" t="n">
        <v>0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>
        <f>IFERROR(INDEX('Company Hitlist'!$AA:$AA,MATCH(D4265,'Company Hitlist'!$A:$A,0)),)</f>
        <v/>
      </c>
      <c r="O4265">
        <f>IFERROR(INDEX('Company Hitlist'!$N:$N,MATCH(D4265,'Company Hitlist'!$A:$A,0)),)</f>
        <v/>
      </c>
      <c r="Q4265" t="inlineStr">
        <is>
          <t>todo</t>
        </is>
      </c>
    </row>
    <row r="4266">
      <c r="A4266" t="inlineStr">
        <is>
          <t>Jeff Andreski</t>
        </is>
      </c>
      <c r="B4266" t="inlineStr">
        <is>
          <t>Attendee</t>
        </is>
      </c>
      <c r="C4266" t="inlineStr">
        <is>
          <t>Sr. Director, Information Technology</t>
        </is>
      </c>
      <c r="D4266" t="inlineStr">
        <is>
          <t>The Home Depot</t>
        </is>
      </c>
      <c r="F4266" t="inlineStr">
        <is>
          <t>Yes</t>
        </is>
      </c>
      <c r="H4266" t="n">
        <v>0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  <c r="N4266">
        <f>IFERROR(INDEX('Company Hitlist'!$AA:$AA,MATCH(D4266,'Company Hitlist'!$A:$A,0)),)</f>
        <v/>
      </c>
      <c r="O4266">
        <f>IFERROR(INDEX('Company Hitlist'!$N:$N,MATCH(D4266,'Company Hitlist'!$A:$A,0)),)</f>
        <v/>
      </c>
      <c r="Q4266" t="inlineStr">
        <is>
          <t>todo</t>
        </is>
      </c>
    </row>
    <row r="4267">
      <c r="A4267" t="inlineStr">
        <is>
          <t>Joanna Kronberg</t>
        </is>
      </c>
      <c r="B4267" t="inlineStr">
        <is>
          <t>Attendee</t>
        </is>
      </c>
      <c r="C4267" t="inlineStr">
        <is>
          <t>Director, Innovation &amp; Automation</t>
        </is>
      </c>
      <c r="D4267" t="inlineStr">
        <is>
          <t>The Home Depot</t>
        </is>
      </c>
      <c r="F4267" t="inlineStr">
        <is>
          <t>Yes</t>
        </is>
      </c>
      <c r="H4267" t="n">
        <v>0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>
        <f>IFERROR(INDEX('Company Hitlist'!$AA:$AA,MATCH(D4267,'Company Hitlist'!$A:$A,0)),)</f>
        <v/>
      </c>
      <c r="O4267">
        <f>IFERROR(INDEX('Company Hitlist'!$N:$N,MATCH(D4267,'Company Hitlist'!$A:$A,0)),)</f>
        <v/>
      </c>
      <c r="Q4267" t="inlineStr">
        <is>
          <t>todo</t>
        </is>
      </c>
    </row>
    <row r="4268">
      <c r="A4268" t="inlineStr">
        <is>
          <t>Matt Douglas</t>
        </is>
      </c>
      <c r="B4268" t="inlineStr">
        <is>
          <t>Attendee</t>
        </is>
      </c>
      <c r="C4268" t="inlineStr">
        <is>
          <t>Distinguished Engineer, Information Technology</t>
        </is>
      </c>
      <c r="D4268" t="inlineStr">
        <is>
          <t>The Home Depot</t>
        </is>
      </c>
      <c r="F4268" t="inlineStr">
        <is>
          <t>Yes</t>
        </is>
      </c>
      <c r="H4268" t="n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>
        <f>IFERROR(INDEX('Company Hitlist'!$AA:$AA,MATCH(D4268,'Company Hitlist'!$A:$A,0)),)</f>
        <v/>
      </c>
      <c r="O4268">
        <f>IFERROR(INDEX('Company Hitlist'!$N:$N,MATCH(D4268,'Company Hitlist'!$A:$A,0)),)</f>
        <v/>
      </c>
      <c r="Q4268" t="inlineStr">
        <is>
          <t>todo</t>
        </is>
      </c>
    </row>
    <row r="4269">
      <c r="A4269" t="inlineStr">
        <is>
          <t>Sri Sangodkar</t>
        </is>
      </c>
      <c r="B4269" t="inlineStr">
        <is>
          <t>Attendee</t>
        </is>
      </c>
      <c r="C4269" t="inlineStr">
        <is>
          <t>Director, Information Technology</t>
        </is>
      </c>
      <c r="D4269" t="inlineStr">
        <is>
          <t>The Home Depot</t>
        </is>
      </c>
      <c r="F4269" t="inlineStr">
        <is>
          <t>Yes</t>
        </is>
      </c>
      <c r="H4269" t="n">
        <v>0</v>
      </c>
      <c r="I4269" t="b">
        <v>0</v>
      </c>
      <c r="J4269" t="b">
        <v>0</v>
      </c>
      <c r="K4269" t="b">
        <v>0</v>
      </c>
      <c r="L4269" t="b">
        <v>0</v>
      </c>
      <c r="M4269" t="b">
        <v>0</v>
      </c>
      <c r="N4269">
        <f>IFERROR(INDEX('Company Hitlist'!$AA:$AA,MATCH(D4269,'Company Hitlist'!$A:$A,0)),)</f>
        <v/>
      </c>
      <c r="O4269">
        <f>IFERROR(INDEX('Company Hitlist'!$N:$N,MATCH(D4269,'Company Hitlist'!$A:$A,0)),)</f>
        <v/>
      </c>
      <c r="Q4269" t="inlineStr">
        <is>
          <t>todo</t>
        </is>
      </c>
    </row>
    <row r="4270">
      <c r="A4270" t="inlineStr">
        <is>
          <t>Melanie Plummer</t>
        </is>
      </c>
      <c r="B4270" t="inlineStr">
        <is>
          <t>Attendee</t>
        </is>
      </c>
      <c r="C4270" t="inlineStr">
        <is>
          <t>Manager, Innovation &amp; Automation</t>
        </is>
      </c>
      <c r="D4270" t="inlineStr">
        <is>
          <t>The Home Depot</t>
        </is>
      </c>
      <c r="H4270" t="n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>
        <f>IFERROR(INDEX('Company Hitlist'!$AA:$AA,MATCH(D4270,'Company Hitlist'!$A:$A,0)),)</f>
        <v/>
      </c>
      <c r="O4270">
        <f>IFERROR(INDEX('Company Hitlist'!$N:$N,MATCH(D4270,'Company Hitlist'!$A:$A,0)),)</f>
        <v/>
      </c>
      <c r="Q4270" t="inlineStr">
        <is>
          <t>todo</t>
        </is>
      </c>
    </row>
    <row r="4271">
      <c r="A4271" t="inlineStr">
        <is>
          <t>Stephen Johnson</t>
        </is>
      </c>
      <c r="B4271" t="inlineStr">
        <is>
          <t>Attendee</t>
        </is>
      </c>
      <c r="C4271" t="inlineStr">
        <is>
          <t>Sr Manager, Innovation &amp; Automation</t>
        </is>
      </c>
      <c r="D4271" t="inlineStr">
        <is>
          <t>The Home Depot</t>
        </is>
      </c>
      <c r="H4271" t="n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>
        <f>IFERROR(INDEX('Company Hitlist'!$AA:$AA,MATCH(D4271,'Company Hitlist'!$A:$A,0)),)</f>
        <v/>
      </c>
      <c r="O4271">
        <f>IFERROR(INDEX('Company Hitlist'!$N:$N,MATCH(D4271,'Company Hitlist'!$A:$A,0)),)</f>
        <v/>
      </c>
      <c r="Q4271" t="inlineStr">
        <is>
          <t>todo</t>
        </is>
      </c>
    </row>
    <row r="4272">
      <c r="A4272" t="inlineStr">
        <is>
          <t>Tyler Goddu</t>
        </is>
      </c>
      <c r="B4272" t="inlineStr">
        <is>
          <t>Attendee</t>
        </is>
      </c>
      <c r="C4272" t="inlineStr">
        <is>
          <t>Director of Finance</t>
        </is>
      </c>
      <c r="D4272" t="inlineStr">
        <is>
          <t>The LEGO Group</t>
        </is>
      </c>
      <c r="E4272" t="inlineStr">
        <is>
          <t>United States</t>
        </is>
      </c>
      <c r="H4272" t="n">
        <v>0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>
        <f>IFERROR(INDEX('Company Hitlist'!$AA:$AA,MATCH(D4272,'Company Hitlist'!$A:$A,0)),)</f>
        <v/>
      </c>
      <c r="O4272">
        <f>IFERROR(INDEX('Company Hitlist'!$N:$N,MATCH(D4272,'Company Hitlist'!$A:$A,0)),)</f>
        <v/>
      </c>
      <c r="Q4272" t="inlineStr">
        <is>
          <t>todo</t>
        </is>
      </c>
    </row>
    <row r="4273">
      <c r="A4273" t="inlineStr">
        <is>
          <t>Nick Marsh</t>
        </is>
      </c>
      <c r="B4273" t="inlineStr">
        <is>
          <t>Attendee</t>
        </is>
      </c>
      <c r="C4273" t="inlineStr">
        <is>
          <t>Editor</t>
        </is>
      </c>
      <c r="D4273" t="inlineStr">
        <is>
          <t>The Loadstar</t>
        </is>
      </c>
      <c r="E4273" t="inlineStr">
        <is>
          <t>United Kingdom</t>
        </is>
      </c>
      <c r="H4273" t="n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>
        <f>IFERROR(INDEX('Company Hitlist'!$AA:$AA,MATCH(D4273,'Company Hitlist'!$A:$A,0)),)</f>
        <v/>
      </c>
      <c r="O4273">
        <f>IFERROR(INDEX('Company Hitlist'!$N:$N,MATCH(D4273,'Company Hitlist'!$A:$A,0)),)</f>
        <v/>
      </c>
      <c r="Q4273" t="inlineStr">
        <is>
          <t>todo</t>
        </is>
      </c>
    </row>
    <row r="4274">
      <c r="A4274" t="inlineStr">
        <is>
          <t>Charlotte Goldstone</t>
        </is>
      </c>
      <c r="B4274" t="inlineStr">
        <is>
          <t>Attendee</t>
        </is>
      </c>
      <c r="C4274" t="inlineStr">
        <is>
          <t>News Reporter</t>
        </is>
      </c>
      <c r="D4274" t="inlineStr">
        <is>
          <t>The Loadstar</t>
        </is>
      </c>
      <c r="H4274" t="n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>
        <f>IFERROR(INDEX('Company Hitlist'!$AA:$AA,MATCH(D4274,'Company Hitlist'!$A:$A,0)),)</f>
        <v/>
      </c>
      <c r="O4274">
        <f>IFERROR(INDEX('Company Hitlist'!$N:$N,MATCH(D4274,'Company Hitlist'!$A:$A,0)),)</f>
        <v/>
      </c>
      <c r="Q4274" t="inlineStr">
        <is>
          <t>todo</t>
        </is>
      </c>
    </row>
    <row r="4275">
      <c r="A4275" t="inlineStr">
        <is>
          <t>Jen Weil</t>
        </is>
      </c>
      <c r="B4275" t="inlineStr">
        <is>
          <t>Attendee</t>
        </is>
      </c>
      <c r="C4275" t="inlineStr">
        <is>
          <t>Product Supply Innovation Director</t>
        </is>
      </c>
      <c r="D4275" t="inlineStr">
        <is>
          <t>The Proctor &amp; Gamble Company</t>
        </is>
      </c>
      <c r="F4275" t="inlineStr">
        <is>
          <t>Yes</t>
        </is>
      </c>
      <c r="H4275" t="n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>
        <f>IFERROR(INDEX('Company Hitlist'!$AA:$AA,MATCH(D4275,'Company Hitlist'!$A:$A,0)),)</f>
        <v/>
      </c>
      <c r="O4275">
        <f>IFERROR(INDEX('Company Hitlist'!$N:$N,MATCH(D4275,'Company Hitlist'!$A:$A,0)),)</f>
        <v/>
      </c>
      <c r="Q4275" t="inlineStr">
        <is>
          <t>todo</t>
        </is>
      </c>
    </row>
    <row r="4276">
      <c r="A4276" t="inlineStr">
        <is>
          <t>Katie Lentile</t>
        </is>
      </c>
      <c r="B4276" t="inlineStr">
        <is>
          <t>Sponsor</t>
        </is>
      </c>
      <c r="C4276" t="inlineStr">
        <is>
          <t>Chief Growth Officer</t>
        </is>
      </c>
      <c r="D4276" t="inlineStr">
        <is>
          <t>Third Person</t>
        </is>
      </c>
      <c r="F4276" t="inlineStr">
        <is>
          <t>Yes</t>
        </is>
      </c>
      <c r="H4276" t="n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1</v>
      </c>
      <c r="N4276">
        <f>IFERROR(INDEX('Company Hitlist'!$AA:$AA,MATCH(D4276,'Company Hitlist'!$A:$A,0)),)</f>
        <v/>
      </c>
      <c r="O4276">
        <f>IFERROR(INDEX('Company Hitlist'!$N:$N,MATCH(D4276,'Company Hitlist'!$A:$A,0)),)</f>
        <v/>
      </c>
      <c r="Q4276" t="inlineStr">
        <is>
          <t>todo</t>
        </is>
      </c>
    </row>
    <row r="4277">
      <c r="A4277" t="inlineStr">
        <is>
          <t>Brian Stout</t>
        </is>
      </c>
      <c r="B4277" t="inlineStr">
        <is>
          <t>Attendee</t>
        </is>
      </c>
      <c r="C4277" t="inlineStr">
        <is>
          <t>CSCO</t>
        </is>
      </c>
      <c r="D4277" t="inlineStr">
        <is>
          <t>Thistle</t>
        </is>
      </c>
      <c r="F4277" t="inlineStr">
        <is>
          <t>Yes</t>
        </is>
      </c>
      <c r="H4277" t="n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>
        <f>IFERROR(INDEX('Company Hitlist'!$AA:$AA,MATCH(D4277,'Company Hitlist'!$A:$A,0)),)</f>
        <v/>
      </c>
      <c r="O4277">
        <f>IFERROR(INDEX('Company Hitlist'!$N:$N,MATCH(D4277,'Company Hitlist'!$A:$A,0)),)</f>
        <v/>
      </c>
      <c r="Q4277" t="inlineStr">
        <is>
          <t>todo</t>
        </is>
      </c>
    </row>
    <row r="4278">
      <c r="A4278" t="inlineStr">
        <is>
          <t>Aseem Sainudheen</t>
        </is>
      </c>
      <c r="B4278" t="inlineStr">
        <is>
          <t>Attendee</t>
        </is>
      </c>
      <c r="C4278" t="inlineStr">
        <is>
          <t>Director</t>
        </is>
      </c>
      <c r="D4278" t="inlineStr">
        <is>
          <t>Thomson Reuters</t>
        </is>
      </c>
      <c r="E4278" t="inlineStr">
        <is>
          <t>United Kingdom</t>
        </is>
      </c>
      <c r="H4278" t="n">
        <v>0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>
        <f>IFERROR(INDEX('Company Hitlist'!$AA:$AA,MATCH(D4278,'Company Hitlist'!$A:$A,0)),)</f>
        <v/>
      </c>
      <c r="O4278">
        <f>IFERROR(INDEX('Company Hitlist'!$N:$N,MATCH(D4278,'Company Hitlist'!$A:$A,0)),)</f>
        <v/>
      </c>
      <c r="Q4278" t="inlineStr">
        <is>
          <t>todo</t>
        </is>
      </c>
    </row>
    <row r="4279">
      <c r="A4279" t="inlineStr">
        <is>
          <t>Aseem Saindunheen</t>
        </is>
      </c>
      <c r="B4279" t="inlineStr">
        <is>
          <t>Attendee</t>
        </is>
      </c>
      <c r="C4279" t="inlineStr">
        <is>
          <t>Director</t>
        </is>
      </c>
      <c r="D4279" t="inlineStr">
        <is>
          <t>Thomson Reuters</t>
        </is>
      </c>
      <c r="E4279" t="inlineStr">
        <is>
          <t>United States</t>
        </is>
      </c>
      <c r="H4279" t="n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>
        <f>IFERROR(INDEX('Company Hitlist'!$AA:$AA,MATCH(D4279,'Company Hitlist'!$A:$A,0)),)</f>
        <v/>
      </c>
      <c r="O4279">
        <f>IFERROR(INDEX('Company Hitlist'!$N:$N,MATCH(D4279,'Company Hitlist'!$A:$A,0)),)</f>
        <v/>
      </c>
      <c r="Q4279" t="inlineStr">
        <is>
          <t>todo</t>
        </is>
      </c>
    </row>
    <row r="4280">
      <c r="A4280" t="inlineStr">
        <is>
          <t>Lucas Oliveira</t>
        </is>
      </c>
      <c r="B4280" t="inlineStr">
        <is>
          <t>Attendee</t>
        </is>
      </c>
      <c r="C4280" t="inlineStr">
        <is>
          <t>Director Continuous Improvement</t>
        </is>
      </c>
      <c r="D4280" t="inlineStr">
        <is>
          <t>Thrive Market</t>
        </is>
      </c>
      <c r="F4280" t="inlineStr">
        <is>
          <t>Yes</t>
        </is>
      </c>
      <c r="G4280" t="inlineStr">
        <is>
          <t>700000000</t>
        </is>
      </c>
      <c r="H4280" t="n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>
        <f>IFERROR(INDEX('Company Hitlist'!$AA:$AA,MATCH(D4280,'Company Hitlist'!$A:$A,0)),)</f>
        <v/>
      </c>
      <c r="O4280">
        <f>IFERROR(INDEX('Company Hitlist'!$N:$N,MATCH(D4280,'Company Hitlist'!$A:$A,0)),)</f>
        <v/>
      </c>
      <c r="Q4280" t="inlineStr">
        <is>
          <t>todo</t>
        </is>
      </c>
    </row>
    <row r="4281">
      <c r="A4281" t="inlineStr">
        <is>
          <t>Lucas Oliviera</t>
        </is>
      </c>
      <c r="B4281" t="inlineStr">
        <is>
          <t>Attendee</t>
        </is>
      </c>
      <c r="C4281" t="inlineStr">
        <is>
          <t>Director of Continuous Improvement</t>
        </is>
      </c>
      <c r="D4281" t="inlineStr">
        <is>
          <t>Thrive Market</t>
        </is>
      </c>
      <c r="F4281" t="inlineStr">
        <is>
          <t>Yes</t>
        </is>
      </c>
      <c r="G4281" t="inlineStr">
        <is>
          <t>700000000</t>
        </is>
      </c>
      <c r="H4281" t="n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>
        <f>IFERROR(INDEX('Company Hitlist'!$AA:$AA,MATCH(D4281,'Company Hitlist'!$A:$A,0)),)</f>
        <v/>
      </c>
      <c r="O4281">
        <f>IFERROR(INDEX('Company Hitlist'!$N:$N,MATCH(D4281,'Company Hitlist'!$A:$A,0)),)</f>
        <v/>
      </c>
      <c r="Q4281" t="inlineStr">
        <is>
          <t>todo</t>
        </is>
      </c>
    </row>
    <row r="4282">
      <c r="A4282" t="inlineStr">
        <is>
          <t>Frank Jiang</t>
        </is>
      </c>
      <c r="B4282" t="inlineStr">
        <is>
          <t>Attendee</t>
        </is>
      </c>
      <c r="C4282" t="inlineStr">
        <is>
          <t>Product Manager</t>
        </is>
      </c>
      <c r="D4282" t="inlineStr">
        <is>
          <t>TikTok</t>
        </is>
      </c>
      <c r="H4282" t="n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>
        <f>IFERROR(INDEX('Company Hitlist'!$AA:$AA,MATCH(D4282,'Company Hitlist'!$A:$A,0)),)</f>
        <v/>
      </c>
      <c r="O4282">
        <f>IFERROR(INDEX('Company Hitlist'!$N:$N,MATCH(D4282,'Company Hitlist'!$A:$A,0)),)</f>
        <v/>
      </c>
      <c r="Q4282" t="inlineStr">
        <is>
          <t>todo</t>
        </is>
      </c>
    </row>
    <row r="4283">
      <c r="A4283" t="inlineStr">
        <is>
          <t>John Lee</t>
        </is>
      </c>
      <c r="B4283" t="inlineStr">
        <is>
          <t>Attendee</t>
        </is>
      </c>
      <c r="C4283" t="inlineStr">
        <is>
          <t>Engineering Manager</t>
        </is>
      </c>
      <c r="D4283" t="inlineStr">
        <is>
          <t>TikTok</t>
        </is>
      </c>
      <c r="H4283" t="n">
        <v>0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>
        <f>IFERROR(INDEX('Company Hitlist'!$AA:$AA,MATCH(D4283,'Company Hitlist'!$A:$A,0)),)</f>
        <v/>
      </c>
      <c r="O4283">
        <f>IFERROR(INDEX('Company Hitlist'!$N:$N,MATCH(D4283,'Company Hitlist'!$A:$A,0)),)</f>
        <v/>
      </c>
      <c r="Q4283" t="inlineStr">
        <is>
          <t>todo</t>
        </is>
      </c>
    </row>
    <row r="4284">
      <c r="A4284" t="inlineStr">
        <is>
          <t>Ricky Fritsch</t>
        </is>
      </c>
      <c r="B4284" t="inlineStr">
        <is>
          <t>Sponsor</t>
        </is>
      </c>
      <c r="C4284" t="inlineStr">
        <is>
          <t>VP, Global Sales</t>
        </is>
      </c>
      <c r="D4284" t="inlineStr">
        <is>
          <t>Tive</t>
        </is>
      </c>
      <c r="E4284" t="inlineStr">
        <is>
          <t>United States</t>
        </is>
      </c>
      <c r="H4284" t="n">
        <v>0</v>
      </c>
      <c r="I4284" t="b">
        <v>0</v>
      </c>
      <c r="J4284" t="b">
        <v>1</v>
      </c>
      <c r="K4284" t="b">
        <v>0</v>
      </c>
      <c r="L4284" t="b">
        <v>0</v>
      </c>
      <c r="M4284" t="b">
        <v>1</v>
      </c>
      <c r="N4284">
        <f>IFERROR(INDEX('Company Hitlist'!$AA:$AA,MATCH(D4284,'Company Hitlist'!$A:$A,0)),)</f>
        <v/>
      </c>
      <c r="O4284">
        <f>IFERROR(INDEX('Company Hitlist'!$N:$N,MATCH(D4284,'Company Hitlist'!$A:$A,0)),)</f>
        <v/>
      </c>
      <c r="Q4284" t="inlineStr">
        <is>
          <t>todo</t>
        </is>
      </c>
    </row>
    <row r="4285">
      <c r="A4285" t="inlineStr">
        <is>
          <t>Jacob Rosenfeld</t>
        </is>
      </c>
      <c r="B4285" t="inlineStr">
        <is>
          <t>Attendee</t>
        </is>
      </c>
      <c r="C4285" t="inlineStr">
        <is>
          <t>Student Press</t>
        </is>
      </c>
      <c r="D4285" t="inlineStr">
        <is>
          <t>Toronto Metropolitan University</t>
        </is>
      </c>
      <c r="H4285" t="n">
        <v>0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>
        <f>IFERROR(INDEX('Company Hitlist'!$AA:$AA,MATCH(D4285,'Company Hitlist'!$A:$A,0)),)</f>
        <v/>
      </c>
      <c r="O4285">
        <f>IFERROR(INDEX('Company Hitlist'!$N:$N,MATCH(D4285,'Company Hitlist'!$A:$A,0)),)</f>
        <v/>
      </c>
      <c r="Q4285" t="inlineStr">
        <is>
          <t>todo</t>
        </is>
      </c>
    </row>
    <row r="4286">
      <c r="A4286" t="inlineStr">
        <is>
          <t>Joseph Pellegrino</t>
        </is>
      </c>
      <c r="B4286" t="inlineStr">
        <is>
          <t>Attendee</t>
        </is>
      </c>
      <c r="C4286" t="inlineStr">
        <is>
          <t>Principal Product Strategist</t>
        </is>
      </c>
      <c r="D4286" t="inlineStr">
        <is>
          <t>Total Quality Logistics</t>
        </is>
      </c>
      <c r="E4286" t="inlineStr">
        <is>
          <t>United States</t>
        </is>
      </c>
      <c r="H4286" t="n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>
        <f>IFERROR(INDEX('Company Hitlist'!$AA:$AA,MATCH(D4286,'Company Hitlist'!$A:$A,0)),)</f>
        <v/>
      </c>
      <c r="O4286">
        <f>IFERROR(INDEX('Company Hitlist'!$N:$N,MATCH(D4286,'Company Hitlist'!$A:$A,0)),)</f>
        <v/>
      </c>
      <c r="Q4286" t="inlineStr">
        <is>
          <t>todo</t>
        </is>
      </c>
    </row>
    <row r="4287">
      <c r="A4287" t="inlineStr">
        <is>
          <t>Nicholas Zurlage</t>
        </is>
      </c>
      <c r="B4287" t="inlineStr">
        <is>
          <t>Attendee</t>
        </is>
      </c>
      <c r="C4287" t="inlineStr">
        <is>
          <t>Director of Product</t>
        </is>
      </c>
      <c r="D4287" t="inlineStr">
        <is>
          <t>Total Quality Logistics</t>
        </is>
      </c>
      <c r="E4287" t="inlineStr">
        <is>
          <t>United States</t>
        </is>
      </c>
      <c r="H4287" t="n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>
        <f>IFERROR(INDEX('Company Hitlist'!$AA:$AA,MATCH(D4287,'Company Hitlist'!$A:$A,0)),)</f>
        <v/>
      </c>
      <c r="O4287">
        <f>IFERROR(INDEX('Company Hitlist'!$N:$N,MATCH(D4287,'Company Hitlist'!$A:$A,0)),)</f>
        <v/>
      </c>
      <c r="Q4287" t="inlineStr">
        <is>
          <t>todo</t>
        </is>
      </c>
    </row>
    <row r="4288">
      <c r="A4288" t="inlineStr">
        <is>
          <t>Dana Schneider</t>
        </is>
      </c>
      <c r="B4288" t="inlineStr">
        <is>
          <t>Attendee</t>
        </is>
      </c>
      <c r="C4288" t="inlineStr">
        <is>
          <t>CRO</t>
        </is>
      </c>
      <c r="D4288" t="inlineStr">
        <is>
          <t>Tow4Tech</t>
        </is>
      </c>
      <c r="F4288" t="inlineStr">
        <is>
          <t>Yes</t>
        </is>
      </c>
      <c r="H4288" t="n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>
        <f>IFERROR(INDEX('Company Hitlist'!$AA:$AA,MATCH(D4288,'Company Hitlist'!$A:$A,0)),)</f>
        <v/>
      </c>
      <c r="O4288">
        <f>IFERROR(INDEX('Company Hitlist'!$N:$N,MATCH(D4288,'Company Hitlist'!$A:$A,0)),)</f>
        <v/>
      </c>
      <c r="Q4288" t="inlineStr">
        <is>
          <t>todo</t>
        </is>
      </c>
    </row>
    <row r="4289">
      <c r="A4289" t="inlineStr">
        <is>
          <t>Brannon McGrotha</t>
        </is>
      </c>
      <c r="B4289" t="inlineStr">
        <is>
          <t>Attendee</t>
        </is>
      </c>
      <c r="C4289" t="inlineStr">
        <is>
          <t>Director, Final Mile &amp; Delivery Experience</t>
        </is>
      </c>
      <c r="D4289" t="inlineStr">
        <is>
          <t>Tractor Supply Company</t>
        </is>
      </c>
      <c r="F4289" t="inlineStr">
        <is>
          <t>Yes</t>
        </is>
      </c>
      <c r="H4289" t="n">
        <v>0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>
        <f>IFERROR(INDEX('Company Hitlist'!$AA:$AA,MATCH(D4289,'Company Hitlist'!$A:$A,0)),)</f>
        <v/>
      </c>
      <c r="O4289">
        <f>IFERROR(INDEX('Company Hitlist'!$N:$N,MATCH(D4289,'Company Hitlist'!$A:$A,0)),)</f>
        <v/>
      </c>
      <c r="Q4289" t="inlineStr">
        <is>
          <t>todo</t>
        </is>
      </c>
    </row>
    <row r="4290">
      <c r="A4290" t="inlineStr">
        <is>
          <t>Chandler Crawford</t>
        </is>
      </c>
      <c r="B4290" t="inlineStr">
        <is>
          <t>Attendee</t>
        </is>
      </c>
      <c r="C4290" t="inlineStr">
        <is>
          <t>Process Manager, Final Mile</t>
        </is>
      </c>
      <c r="D4290" t="inlineStr">
        <is>
          <t>Tractor Supply Company</t>
        </is>
      </c>
      <c r="H4290" t="n">
        <v>0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>
        <f>IFERROR(INDEX('Company Hitlist'!$AA:$AA,MATCH(D4290,'Company Hitlist'!$A:$A,0)),)</f>
        <v/>
      </c>
      <c r="O4290">
        <f>IFERROR(INDEX('Company Hitlist'!$N:$N,MATCH(D4290,'Company Hitlist'!$A:$A,0)),)</f>
        <v/>
      </c>
      <c r="Q4290" t="inlineStr">
        <is>
          <t>todo</t>
        </is>
      </c>
    </row>
    <row r="4291">
      <c r="A4291" t="inlineStr">
        <is>
          <t>James Scott</t>
        </is>
      </c>
      <c r="B4291" t="inlineStr">
        <is>
          <t>Attendee</t>
        </is>
      </c>
      <c r="C4291" t="inlineStr">
        <is>
          <t>Director of Strategic Account Management</t>
        </is>
      </c>
      <c r="D4291" t="inlineStr">
        <is>
          <t>Transcard</t>
        </is>
      </c>
      <c r="E4291" t="inlineStr">
        <is>
          <t>United States</t>
        </is>
      </c>
      <c r="H4291" t="n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>
        <f>IFERROR(INDEX('Company Hitlist'!$AA:$AA,MATCH(D4291,'Company Hitlist'!$A:$A,0)),)</f>
        <v/>
      </c>
      <c r="O4291">
        <f>IFERROR(INDEX('Company Hitlist'!$N:$N,MATCH(D4291,'Company Hitlist'!$A:$A,0)),)</f>
        <v/>
      </c>
      <c r="Q4291" t="inlineStr">
        <is>
          <t>todo</t>
        </is>
      </c>
    </row>
    <row r="4292">
      <c r="A4292" t="inlineStr">
        <is>
          <t>Carly Gunby</t>
        </is>
      </c>
      <c r="B4292" t="inlineStr">
        <is>
          <t>Sponsor</t>
        </is>
      </c>
      <c r="C4292" t="inlineStr">
        <is>
          <t>VP, Revenue</t>
        </is>
      </c>
      <c r="D4292" t="inlineStr">
        <is>
          <t>Transfix</t>
        </is>
      </c>
      <c r="E4292" t="inlineStr">
        <is>
          <t>United States</t>
        </is>
      </c>
      <c r="F4292" t="inlineStr">
        <is>
          <t>Yes</t>
        </is>
      </c>
      <c r="G4292" t="inlineStr">
        <is>
          <t>$54.6 million (2025)</t>
        </is>
      </c>
      <c r="H4292" t="n">
        <v>0</v>
      </c>
      <c r="I4292" t="b">
        <v>0</v>
      </c>
      <c r="J4292" t="b">
        <v>1</v>
      </c>
      <c r="K4292" t="b">
        <v>0</v>
      </c>
      <c r="L4292" t="b">
        <v>0</v>
      </c>
      <c r="M4292" t="b">
        <v>1</v>
      </c>
      <c r="N4292">
        <f>IFERROR(INDEX('Company Hitlist'!$AA:$AA,MATCH(D4292,'Company Hitlist'!$A:$A,0)),)</f>
        <v/>
      </c>
      <c r="O4292">
        <f>IFERROR(INDEX('Company Hitlist'!$N:$N,MATCH(D4292,'Company Hitlist'!$A:$A,0)),)</f>
        <v/>
      </c>
      <c r="Q4292" t="inlineStr">
        <is>
          <t>todo</t>
        </is>
      </c>
    </row>
    <row r="4293">
      <c r="A4293" t="inlineStr">
        <is>
          <t>Jenni Ruiz</t>
        </is>
      </c>
      <c r="B4293" t="inlineStr">
        <is>
          <t>Sponsor</t>
        </is>
      </c>
      <c r="C4293" t="inlineStr">
        <is>
          <t>Head of Marketing &amp; PR</t>
        </is>
      </c>
      <c r="D4293" t="inlineStr">
        <is>
          <t>Transfix</t>
        </is>
      </c>
      <c r="F4293" t="inlineStr">
        <is>
          <t>Yes</t>
        </is>
      </c>
      <c r="G4293" t="inlineStr">
        <is>
          <t>$54.6 million (2025)</t>
        </is>
      </c>
      <c r="H4293" t="n">
        <v>0</v>
      </c>
      <c r="I4293" t="b">
        <v>0</v>
      </c>
      <c r="J4293" t="b">
        <v>1</v>
      </c>
      <c r="K4293" t="b">
        <v>0</v>
      </c>
      <c r="L4293" t="b">
        <v>0</v>
      </c>
      <c r="M4293" t="b">
        <v>1</v>
      </c>
      <c r="N4293">
        <f>IFERROR(INDEX('Company Hitlist'!$AA:$AA,MATCH(D4293,'Company Hitlist'!$A:$A,0)),)</f>
        <v/>
      </c>
      <c r="O4293">
        <f>IFERROR(INDEX('Company Hitlist'!$N:$N,MATCH(D4293,'Company Hitlist'!$A:$A,0)),)</f>
        <v/>
      </c>
      <c r="Q4293" t="inlineStr">
        <is>
          <t>todo</t>
        </is>
      </c>
    </row>
    <row r="4294">
      <c r="A4294" t="inlineStr">
        <is>
          <t>Seth Clevenger</t>
        </is>
      </c>
      <c r="B4294" t="inlineStr">
        <is>
          <t>Attendee</t>
        </is>
      </c>
      <c r="C4294" t="inlineStr">
        <is>
          <t>Managing Editor, Features</t>
        </is>
      </c>
      <c r="D4294" t="inlineStr">
        <is>
          <t>Transport Topics</t>
        </is>
      </c>
      <c r="E4294" t="inlineStr">
        <is>
          <t>United States</t>
        </is>
      </c>
      <c r="H4294" t="n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>
        <f>IFERROR(INDEX('Company Hitlist'!$AA:$AA,MATCH(D4294,'Company Hitlist'!$A:$A,0)),)</f>
        <v/>
      </c>
      <c r="O4294">
        <f>IFERROR(INDEX('Company Hitlist'!$N:$N,MATCH(D4294,'Company Hitlist'!$A:$A,0)),)</f>
        <v/>
      </c>
      <c r="Q4294" t="inlineStr">
        <is>
          <t>todo</t>
        </is>
      </c>
    </row>
    <row r="4295">
      <c r="A4295" t="inlineStr">
        <is>
          <t>Marcus Houston</t>
        </is>
      </c>
      <c r="B4295" t="inlineStr">
        <is>
          <t>Sponsor</t>
        </is>
      </c>
      <c r="C4295" t="inlineStr">
        <is>
          <t>SVP, Customer Growth and Development</t>
        </is>
      </c>
      <c r="D4295" t="inlineStr">
        <is>
          <t>Transportation Insight</t>
        </is>
      </c>
      <c r="E4295" t="inlineStr">
        <is>
          <t>United States</t>
        </is>
      </c>
      <c r="H4295" t="n">
        <v>0</v>
      </c>
      <c r="I4295" t="b">
        <v>0</v>
      </c>
      <c r="J4295" t="b">
        <v>1</v>
      </c>
      <c r="K4295" t="b">
        <v>0</v>
      </c>
      <c r="L4295" t="b">
        <v>0</v>
      </c>
      <c r="M4295" t="b">
        <v>1</v>
      </c>
      <c r="N4295">
        <f>IFERROR(INDEX('Company Hitlist'!$AA:$AA,MATCH(D4295,'Company Hitlist'!$A:$A,0)),)</f>
        <v/>
      </c>
      <c r="O4295">
        <f>IFERROR(INDEX('Company Hitlist'!$N:$N,MATCH(D4295,'Company Hitlist'!$A:$A,0)),)</f>
        <v/>
      </c>
      <c r="Q4295" t="inlineStr">
        <is>
          <t>todo</t>
        </is>
      </c>
    </row>
    <row r="4296">
      <c r="A4296" t="inlineStr">
        <is>
          <t>Elisa Veronica Zermeño Gutiérrez</t>
        </is>
      </c>
      <c r="B4296" t="inlineStr">
        <is>
          <t>Attendee</t>
        </is>
      </c>
      <c r="C4296" t="inlineStr">
        <is>
          <t>Content Creator</t>
        </is>
      </c>
      <c r="D4296" t="inlineStr">
        <is>
          <t>Transporte.mx</t>
        </is>
      </c>
      <c r="F4296" t="inlineStr">
        <is>
          <t>Yes</t>
        </is>
      </c>
      <c r="H4296" t="n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>
        <f>IFERROR(INDEX('Company Hitlist'!$AA:$AA,MATCH(D4296,'Company Hitlist'!$A:$A,0)),)</f>
        <v/>
      </c>
      <c r="O4296">
        <f>IFERROR(INDEX('Company Hitlist'!$N:$N,MATCH(D4296,'Company Hitlist'!$A:$A,0)),)</f>
        <v/>
      </c>
      <c r="Q4296" t="inlineStr">
        <is>
          <t>todo</t>
        </is>
      </c>
    </row>
    <row r="4297">
      <c r="A4297" t="inlineStr">
        <is>
          <t>Isaiah Milligan</t>
        </is>
      </c>
      <c r="B4297" t="inlineStr">
        <is>
          <t>Attendee</t>
        </is>
      </c>
      <c r="C4297" t="inlineStr">
        <is>
          <t>Freight broker</t>
        </is>
      </c>
      <c r="D4297" t="inlineStr">
        <is>
          <t>Travelers freight logistics llc</t>
        </is>
      </c>
      <c r="E4297" t="inlineStr">
        <is>
          <t>United States</t>
        </is>
      </c>
      <c r="F4297" t="inlineStr">
        <is>
          <t>Yes</t>
        </is>
      </c>
      <c r="H4297" t="n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>
        <f>IFERROR(INDEX('Company Hitlist'!$AA:$AA,MATCH(D4297,'Company Hitlist'!$A:$A,0)),)</f>
        <v/>
      </c>
      <c r="O4297">
        <f>IFERROR(INDEX('Company Hitlist'!$N:$N,MATCH(D4297,'Company Hitlist'!$A:$A,0)),)</f>
        <v/>
      </c>
      <c r="Q4297" t="inlineStr">
        <is>
          <t>todo</t>
        </is>
      </c>
    </row>
    <row r="4298">
      <c r="A4298" t="inlineStr">
        <is>
          <t>Macy Savage</t>
        </is>
      </c>
      <c r="B4298" t="inlineStr">
        <is>
          <t>Attendee</t>
        </is>
      </c>
      <c r="C4298" t="inlineStr">
        <is>
          <t>Enterprise Account Director</t>
        </is>
      </c>
      <c r="D4298" t="inlineStr">
        <is>
          <t>Trax Technologies</t>
        </is>
      </c>
      <c r="E4298" t="inlineStr">
        <is>
          <t>United States</t>
        </is>
      </c>
      <c r="F4298" t="inlineStr">
        <is>
          <t>Yes</t>
        </is>
      </c>
      <c r="H4298" t="n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>
        <f>IFERROR(INDEX('Company Hitlist'!$AA:$AA,MATCH(D4298,'Company Hitlist'!$A:$A,0)),)</f>
        <v/>
      </c>
      <c r="O4298">
        <f>IFERROR(INDEX('Company Hitlist'!$N:$N,MATCH(D4298,'Company Hitlist'!$A:$A,0)),)</f>
        <v/>
      </c>
      <c r="Q4298" t="inlineStr">
        <is>
          <t>todo</t>
        </is>
      </c>
    </row>
    <row r="4299">
      <c r="A4299" t="inlineStr">
        <is>
          <t>Patrick McLaughlin</t>
        </is>
      </c>
      <c r="B4299" t="inlineStr">
        <is>
          <t>Sponsor</t>
        </is>
      </c>
      <c r="C4299" t="inlineStr">
        <is>
          <t>VP Sales</t>
        </is>
      </c>
      <c r="D4299" t="inlineStr">
        <is>
          <t>Trew</t>
        </is>
      </c>
      <c r="E4299" t="inlineStr">
        <is>
          <t>United States</t>
        </is>
      </c>
      <c r="H4299" t="n">
        <v>0</v>
      </c>
      <c r="I4299" t="b">
        <v>0</v>
      </c>
      <c r="J4299" t="b">
        <v>1</v>
      </c>
      <c r="K4299" t="b">
        <v>0</v>
      </c>
      <c r="L4299" t="b">
        <v>0</v>
      </c>
      <c r="M4299" t="b">
        <v>1</v>
      </c>
      <c r="N4299">
        <f>IFERROR(INDEX('Company Hitlist'!$AA:$AA,MATCH(D4299,'Company Hitlist'!$A:$A,0)),)</f>
        <v/>
      </c>
      <c r="O4299">
        <f>IFERROR(INDEX('Company Hitlist'!$N:$N,MATCH(D4299,'Company Hitlist'!$A:$A,0)),)</f>
        <v/>
      </c>
      <c r="Q4299" t="inlineStr">
        <is>
          <t>todo</t>
        </is>
      </c>
    </row>
    <row r="4300">
      <c r="A4300" t="inlineStr">
        <is>
          <t>Seana OLeary</t>
        </is>
      </c>
      <c r="B4300" t="inlineStr">
        <is>
          <t>Attendee</t>
        </is>
      </c>
      <c r="C4300" t="inlineStr">
        <is>
          <t>Account Manager</t>
        </is>
      </c>
      <c r="D4300" t="inlineStr">
        <is>
          <t>Triage Partners</t>
        </is>
      </c>
      <c r="E4300" t="inlineStr">
        <is>
          <t>United States</t>
        </is>
      </c>
      <c r="H4300" t="n">
        <v>0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  <c r="N4300">
        <f>IFERROR(INDEX('Company Hitlist'!$AA:$AA,MATCH(D4300,'Company Hitlist'!$A:$A,0)),)</f>
        <v/>
      </c>
      <c r="O4300">
        <f>IFERROR(INDEX('Company Hitlist'!$N:$N,MATCH(D4300,'Company Hitlist'!$A:$A,0)),)</f>
        <v/>
      </c>
      <c r="Q4300" t="inlineStr">
        <is>
          <t>todo</t>
        </is>
      </c>
    </row>
    <row r="4301">
      <c r="A4301" t="inlineStr">
        <is>
          <t>Nagendra Rao</t>
        </is>
      </c>
      <c r="B4301" t="inlineStr">
        <is>
          <t>Sponsor</t>
        </is>
      </c>
      <c r="C4301" t="inlineStr">
        <is>
          <t>Chief Growth Officer</t>
        </is>
      </c>
      <c r="D4301" t="inlineStr">
        <is>
          <t>Trigent</t>
        </is>
      </c>
      <c r="E4301" t="inlineStr">
        <is>
          <t>United States</t>
        </is>
      </c>
      <c r="H4301" t="n">
        <v>0</v>
      </c>
      <c r="I4301" t="b">
        <v>0</v>
      </c>
      <c r="J4301" t="b">
        <v>1</v>
      </c>
      <c r="K4301" t="b">
        <v>0</v>
      </c>
      <c r="L4301" t="b">
        <v>0</v>
      </c>
      <c r="M4301" t="b">
        <v>1</v>
      </c>
      <c r="N4301">
        <f>IFERROR(INDEX('Company Hitlist'!$AA:$AA,MATCH(D4301,'Company Hitlist'!$A:$A,0)),)</f>
        <v/>
      </c>
      <c r="O4301">
        <f>IFERROR(INDEX('Company Hitlist'!$N:$N,MATCH(D4301,'Company Hitlist'!$A:$A,0)),)</f>
        <v/>
      </c>
      <c r="Q4301" t="inlineStr">
        <is>
          <t>todo</t>
        </is>
      </c>
    </row>
    <row r="4302">
      <c r="A4302" t="inlineStr">
        <is>
          <t>Deborah Dull</t>
        </is>
      </c>
      <c r="B4302" t="inlineStr">
        <is>
          <t>Attendee</t>
        </is>
      </c>
      <c r="C4302" t="inlineStr">
        <is>
          <t>Managing Partner</t>
        </is>
      </c>
      <c r="D4302" t="inlineStr">
        <is>
          <t>Trillium Digital Services</t>
        </is>
      </c>
      <c r="E4302" t="inlineStr">
        <is>
          <t>United States</t>
        </is>
      </c>
      <c r="F4302" t="inlineStr">
        <is>
          <t>Yes</t>
        </is>
      </c>
      <c r="H4302" t="n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>
        <f>IFERROR(INDEX('Company Hitlist'!$AA:$AA,MATCH(D4302,'Company Hitlist'!$A:$A,0)),)</f>
        <v/>
      </c>
      <c r="O4302">
        <f>IFERROR(INDEX('Company Hitlist'!$N:$N,MATCH(D4302,'Company Hitlist'!$A:$A,0)),)</f>
        <v/>
      </c>
      <c r="Q4302" t="inlineStr">
        <is>
          <t>todo</t>
        </is>
      </c>
    </row>
    <row r="4303">
      <c r="A4303" t="inlineStr">
        <is>
          <t>Jeff McCaig</t>
        </is>
      </c>
      <c r="B4303" t="inlineStr">
        <is>
          <t>Attendee</t>
        </is>
      </c>
      <c r="C4303" t="inlineStr">
        <is>
          <t>Chairman of the Baord</t>
        </is>
      </c>
      <c r="D4303" t="inlineStr">
        <is>
          <t>Trimac</t>
        </is>
      </c>
      <c r="E4303" t="inlineStr">
        <is>
          <t>Canada</t>
        </is>
      </c>
      <c r="F4303" t="inlineStr">
        <is>
          <t>Yes</t>
        </is>
      </c>
      <c r="H4303" t="n">
        <v>0</v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  <c r="N4303">
        <f>IFERROR(INDEX('Company Hitlist'!$AA:$AA,MATCH(D4303,'Company Hitlist'!$A:$A,0)),)</f>
        <v/>
      </c>
      <c r="O4303">
        <f>IFERROR(INDEX('Company Hitlist'!$N:$N,MATCH(D4303,'Company Hitlist'!$A:$A,0)),)</f>
        <v/>
      </c>
      <c r="Q4303" t="inlineStr">
        <is>
          <t>todo</t>
        </is>
      </c>
    </row>
    <row r="4304">
      <c r="A4304" t="inlineStr">
        <is>
          <t>Aubray Coorough</t>
        </is>
      </c>
      <c r="B4304" t="inlineStr">
        <is>
          <t>Attendee</t>
        </is>
      </c>
      <c r="C4304" t="inlineStr">
        <is>
          <t>Senior Manager</t>
        </is>
      </c>
      <c r="D4304" t="inlineStr">
        <is>
          <t>Trimble</t>
        </is>
      </c>
      <c r="H4304" t="n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>
        <f>IFERROR(INDEX('Company Hitlist'!$AA:$AA,MATCH(D4304,'Company Hitlist'!$A:$A,0)),)</f>
        <v/>
      </c>
      <c r="O4304">
        <f>IFERROR(INDEX('Company Hitlist'!$N:$N,MATCH(D4304,'Company Hitlist'!$A:$A,0)),)</f>
        <v/>
      </c>
      <c r="Q4304" t="inlineStr">
        <is>
          <t>todo</t>
        </is>
      </c>
    </row>
    <row r="4305">
      <c r="A4305" t="inlineStr">
        <is>
          <t>Claudio Arriola</t>
        </is>
      </c>
      <c r="B4305" t="inlineStr">
        <is>
          <t>Attendee</t>
        </is>
      </c>
      <c r="C4305" t="inlineStr">
        <is>
          <t>Managing Partner</t>
        </is>
      </c>
      <c r="D4305" t="inlineStr">
        <is>
          <t>Trinitas Farming</t>
        </is>
      </c>
      <c r="E4305" t="inlineStr">
        <is>
          <t>Mexico</t>
        </is>
      </c>
      <c r="H4305" t="n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>
        <f>IFERROR(INDEX('Company Hitlist'!$AA:$AA,MATCH(D4305,'Company Hitlist'!$A:$A,0)),)</f>
        <v/>
      </c>
      <c r="O4305">
        <f>IFERROR(INDEX('Company Hitlist'!$N:$N,MATCH(D4305,'Company Hitlist'!$A:$A,0)),)</f>
        <v/>
      </c>
      <c r="Q4305" t="inlineStr">
        <is>
          <t>todo</t>
        </is>
      </c>
    </row>
    <row r="4306">
      <c r="A4306" t="inlineStr">
        <is>
          <t>Gregory Woolford</t>
        </is>
      </c>
      <c r="B4306" t="inlineStr">
        <is>
          <t>Attendee</t>
        </is>
      </c>
      <c r="C4306" t="inlineStr">
        <is>
          <t>Shipping Manager</t>
        </is>
      </c>
      <c r="D4306" t="inlineStr">
        <is>
          <t>Trinity II</t>
        </is>
      </c>
      <c r="H4306" t="n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>
        <f>IFERROR(INDEX('Company Hitlist'!$AA:$AA,MATCH(D4306,'Company Hitlist'!$A:$A,0)),)</f>
        <v/>
      </c>
      <c r="O4306">
        <f>IFERROR(INDEX('Company Hitlist'!$N:$N,MATCH(D4306,'Company Hitlist'!$A:$A,0)),)</f>
        <v/>
      </c>
      <c r="Q4306" t="inlineStr">
        <is>
          <t>todo</t>
        </is>
      </c>
    </row>
    <row r="4307">
      <c r="A4307" t="inlineStr">
        <is>
          <t>Philip Spencer</t>
        </is>
      </c>
      <c r="B4307" t="inlineStr">
        <is>
          <t>Attendee</t>
        </is>
      </c>
      <c r="C4307" t="inlineStr">
        <is>
          <t>Principal</t>
        </is>
      </c>
      <c r="D4307" t="inlineStr">
        <is>
          <t>Tritium Partners</t>
        </is>
      </c>
      <c r="E4307" t="inlineStr">
        <is>
          <t>United States</t>
        </is>
      </c>
      <c r="H4307" t="n">
        <v>0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>
        <f>IFERROR(INDEX('Company Hitlist'!$AA:$AA,MATCH(D4307,'Company Hitlist'!$A:$A,0)),)</f>
        <v/>
      </c>
      <c r="O4307">
        <f>IFERROR(INDEX('Company Hitlist'!$N:$N,MATCH(D4307,'Company Hitlist'!$A:$A,0)),)</f>
        <v/>
      </c>
      <c r="Q4307" t="inlineStr">
        <is>
          <t>todo</t>
        </is>
      </c>
    </row>
    <row r="4308">
      <c r="A4308" t="inlineStr">
        <is>
          <t>Danny Giffen</t>
        </is>
      </c>
      <c r="B4308" t="inlineStr">
        <is>
          <t>Sponsor</t>
        </is>
      </c>
      <c r="C4308" t="inlineStr">
        <is>
          <t>VP, Business Development</t>
        </is>
      </c>
      <c r="D4308" t="inlineStr">
        <is>
          <t>Triumph</t>
        </is>
      </c>
      <c r="E4308" t="inlineStr">
        <is>
          <t>United States</t>
        </is>
      </c>
      <c r="H4308" t="n">
        <v>0</v>
      </c>
      <c r="I4308" t="b">
        <v>0</v>
      </c>
      <c r="J4308" t="b">
        <v>1</v>
      </c>
      <c r="K4308" t="b">
        <v>0</v>
      </c>
      <c r="L4308" t="b">
        <v>0</v>
      </c>
      <c r="M4308" t="b">
        <v>1</v>
      </c>
      <c r="N4308">
        <f>IFERROR(INDEX('Company Hitlist'!$AA:$AA,MATCH(D4308,'Company Hitlist'!$A:$A,0)),)</f>
        <v/>
      </c>
      <c r="O4308">
        <f>IFERROR(INDEX('Company Hitlist'!$N:$N,MATCH(D4308,'Company Hitlist'!$A:$A,0)),)</f>
        <v/>
      </c>
      <c r="Q4308" t="inlineStr">
        <is>
          <t>todo</t>
        </is>
      </c>
    </row>
    <row r="4309">
      <c r="A4309" t="inlineStr">
        <is>
          <t>Jarad Hunsicker</t>
        </is>
      </c>
      <c r="B4309" t="inlineStr">
        <is>
          <t>Sponsor</t>
        </is>
      </c>
      <c r="C4309" t="inlineStr">
        <is>
          <t>VP, Business Development</t>
        </is>
      </c>
      <c r="D4309" t="inlineStr">
        <is>
          <t>Triumph</t>
        </is>
      </c>
      <c r="E4309" t="inlineStr">
        <is>
          <t>United States</t>
        </is>
      </c>
      <c r="H4309" t="n">
        <v>0</v>
      </c>
      <c r="I4309" t="b">
        <v>0</v>
      </c>
      <c r="J4309" t="b">
        <v>1</v>
      </c>
      <c r="K4309" t="b">
        <v>0</v>
      </c>
      <c r="L4309" t="b">
        <v>0</v>
      </c>
      <c r="M4309" t="b">
        <v>1</v>
      </c>
      <c r="N4309">
        <f>IFERROR(INDEX('Company Hitlist'!$AA:$AA,MATCH(D4309,'Company Hitlist'!$A:$A,0)),)</f>
        <v/>
      </c>
      <c r="O4309">
        <f>IFERROR(INDEX('Company Hitlist'!$N:$N,MATCH(D4309,'Company Hitlist'!$A:$A,0)),)</f>
        <v/>
      </c>
      <c r="Q4309" t="inlineStr">
        <is>
          <t>todo</t>
        </is>
      </c>
    </row>
    <row r="4310">
      <c r="A4310" t="inlineStr">
        <is>
          <t>Eric Perry</t>
        </is>
      </c>
      <c r="B4310" t="inlineStr">
        <is>
          <t>Attendee</t>
        </is>
      </c>
      <c r="C4310" t="inlineStr">
        <is>
          <t>Director of Application Development</t>
        </is>
      </c>
      <c r="D4310" t="inlineStr">
        <is>
          <t>Tropical Shipping</t>
        </is>
      </c>
      <c r="E4310" t="inlineStr">
        <is>
          <t>United States</t>
        </is>
      </c>
      <c r="F4310" t="inlineStr">
        <is>
          <t>Yes</t>
        </is>
      </c>
      <c r="H4310" t="n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>
        <f>IFERROR(INDEX('Company Hitlist'!$AA:$AA,MATCH(D4310,'Company Hitlist'!$A:$A,0)),)</f>
        <v/>
      </c>
      <c r="O4310">
        <f>IFERROR(INDEX('Company Hitlist'!$N:$N,MATCH(D4310,'Company Hitlist'!$A:$A,0)),)</f>
        <v/>
      </c>
      <c r="Q4310" t="inlineStr">
        <is>
          <t>todo</t>
        </is>
      </c>
    </row>
    <row r="4311">
      <c r="A4311" t="inlineStr">
        <is>
          <t>Jeff Constable</t>
        </is>
      </c>
      <c r="B4311" t="inlineStr">
        <is>
          <t>Sponsor</t>
        </is>
      </c>
      <c r="C4311" t="inlineStr">
        <is>
          <t>VP Business Development</t>
        </is>
      </c>
      <c r="D4311" t="inlineStr">
        <is>
          <t>Tryon Solutions</t>
        </is>
      </c>
      <c r="E4311" t="inlineStr">
        <is>
          <t>United States</t>
        </is>
      </c>
      <c r="H4311" t="n">
        <v>0</v>
      </c>
      <c r="I4311" t="b">
        <v>0</v>
      </c>
      <c r="J4311" t="b">
        <v>1</v>
      </c>
      <c r="K4311" t="b">
        <v>0</v>
      </c>
      <c r="L4311" t="b">
        <v>0</v>
      </c>
      <c r="M4311" t="b">
        <v>1</v>
      </c>
      <c r="N4311">
        <f>IFERROR(INDEX('Company Hitlist'!$AA:$AA,MATCH(D4311,'Company Hitlist'!$A:$A,0)),)</f>
        <v/>
      </c>
      <c r="O4311">
        <f>IFERROR(INDEX('Company Hitlist'!$N:$N,MATCH(D4311,'Company Hitlist'!$A:$A,0)),)</f>
        <v/>
      </c>
      <c r="Q4311" t="inlineStr">
        <is>
          <t>todo</t>
        </is>
      </c>
    </row>
    <row r="4312">
      <c r="A4312" t="inlineStr">
        <is>
          <t>Daniel Wilson</t>
        </is>
      </c>
      <c r="B4312" t="inlineStr">
        <is>
          <t>Attendee</t>
        </is>
      </c>
      <c r="C4312" t="inlineStr">
        <is>
          <t>Director, Finance</t>
        </is>
      </c>
      <c r="D4312" t="inlineStr">
        <is>
          <t>Turvo</t>
        </is>
      </c>
      <c r="E4312" t="inlineStr">
        <is>
          <t>United States</t>
        </is>
      </c>
      <c r="H4312" t="n">
        <v>0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>
        <f>IFERROR(INDEX('Company Hitlist'!$AA:$AA,MATCH(D4312,'Company Hitlist'!$A:$A,0)),)</f>
        <v/>
      </c>
      <c r="O4312">
        <f>IFERROR(INDEX('Company Hitlist'!$N:$N,MATCH(D4312,'Company Hitlist'!$A:$A,0)),)</f>
        <v/>
      </c>
      <c r="Q4312" t="inlineStr">
        <is>
          <t>todo</t>
        </is>
      </c>
    </row>
    <row r="4313">
      <c r="A4313" t="inlineStr">
        <is>
          <t>Emily Strait</t>
        </is>
      </c>
      <c r="B4313" t="inlineStr">
        <is>
          <t>Attendee</t>
        </is>
      </c>
      <c r="C4313" t="inlineStr">
        <is>
          <t>Solutions Engineer</t>
        </is>
      </c>
      <c r="D4313" t="inlineStr">
        <is>
          <t>Turvo</t>
        </is>
      </c>
      <c r="E4313" t="inlineStr">
        <is>
          <t>United States</t>
        </is>
      </c>
      <c r="H4313" t="n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>
        <f>IFERROR(INDEX('Company Hitlist'!$AA:$AA,MATCH(D4313,'Company Hitlist'!$A:$A,0)),)</f>
        <v/>
      </c>
      <c r="O4313">
        <f>IFERROR(INDEX('Company Hitlist'!$N:$N,MATCH(D4313,'Company Hitlist'!$A:$A,0)),)</f>
        <v/>
      </c>
      <c r="Q4313" t="inlineStr">
        <is>
          <t>todo</t>
        </is>
      </c>
    </row>
    <row r="4314">
      <c r="A4314" t="inlineStr">
        <is>
          <t>Jake Gingerich</t>
        </is>
      </c>
      <c r="B4314" t="inlineStr">
        <is>
          <t>Sponsor</t>
        </is>
      </c>
      <c r="C4314" t="inlineStr">
        <is>
          <t>Head of Sales &amp; GTM</t>
        </is>
      </c>
      <c r="D4314" t="inlineStr">
        <is>
          <t>Tusk</t>
        </is>
      </c>
      <c r="H4314" t="n">
        <v>0</v>
      </c>
      <c r="I4314" t="b">
        <v>0</v>
      </c>
      <c r="J4314" t="b">
        <v>1</v>
      </c>
      <c r="K4314" t="b">
        <v>0</v>
      </c>
      <c r="L4314" t="b">
        <v>0</v>
      </c>
      <c r="M4314" t="b">
        <v>1</v>
      </c>
      <c r="N4314">
        <f>IFERROR(INDEX('Company Hitlist'!$AA:$AA,MATCH(D4314,'Company Hitlist'!$A:$A,0)),)</f>
        <v/>
      </c>
      <c r="O4314">
        <f>IFERROR(INDEX('Company Hitlist'!$N:$N,MATCH(D4314,'Company Hitlist'!$A:$A,0)),)</f>
        <v/>
      </c>
      <c r="Q4314" t="inlineStr">
        <is>
          <t>todo</t>
        </is>
      </c>
    </row>
    <row r="4315">
      <c r="A4315" t="inlineStr">
        <is>
          <t>Kevin Corrigan</t>
        </is>
      </c>
      <c r="B4315" t="inlineStr">
        <is>
          <t>Attendee</t>
        </is>
      </c>
      <c r="C4315" t="inlineStr">
        <is>
          <t>Associate Director, Business Process &amp; Systems</t>
        </is>
      </c>
      <c r="D4315" t="inlineStr">
        <is>
          <t>Tyson Foods</t>
        </is>
      </c>
      <c r="H4315" t="n">
        <v>0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>
        <f>IFERROR(INDEX('Company Hitlist'!$AA:$AA,MATCH(D4315,'Company Hitlist'!$A:$A,0)),)</f>
        <v/>
      </c>
      <c r="O4315">
        <f>IFERROR(INDEX('Company Hitlist'!$N:$N,MATCH(D4315,'Company Hitlist'!$A:$A,0)),)</f>
        <v/>
      </c>
      <c r="Q4315" t="inlineStr">
        <is>
          <t>todo</t>
        </is>
      </c>
    </row>
    <row r="4316">
      <c r="A4316" t="inlineStr">
        <is>
          <t>Karin Sulack</t>
        </is>
      </c>
      <c r="B4316" t="inlineStr">
        <is>
          <t>Attendee</t>
        </is>
      </c>
      <c r="C4316" t="inlineStr">
        <is>
          <t>Product Manager</t>
        </is>
      </c>
      <c r="D4316" t="inlineStr">
        <is>
          <t>U.S. Bank</t>
        </is>
      </c>
      <c r="E4316" t="inlineStr">
        <is>
          <t>United States</t>
        </is>
      </c>
      <c r="H4316" t="n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>
        <f>IFERROR(INDEX('Company Hitlist'!$AA:$AA,MATCH(D4316,'Company Hitlist'!$A:$A,0)),)</f>
        <v/>
      </c>
      <c r="O4316">
        <f>IFERROR(INDEX('Company Hitlist'!$N:$N,MATCH(D4316,'Company Hitlist'!$A:$A,0)),)</f>
        <v/>
      </c>
      <c r="Q4316" t="inlineStr">
        <is>
          <t>todo</t>
        </is>
      </c>
    </row>
    <row r="4317">
      <c r="A4317" t="inlineStr">
        <is>
          <t>David Joiner</t>
        </is>
      </c>
      <c r="B4317" t="inlineStr">
        <is>
          <t>Sponsor</t>
        </is>
      </c>
      <c r="C4317" t="inlineStr">
        <is>
          <t>VP Business Development</t>
        </is>
      </c>
      <c r="D4317" t="inlineStr">
        <is>
          <t>U.S. Bank Freight Payment</t>
        </is>
      </c>
      <c r="E4317" t="inlineStr">
        <is>
          <t>United States</t>
        </is>
      </c>
      <c r="H4317" t="n">
        <v>0</v>
      </c>
      <c r="I4317" t="b">
        <v>0</v>
      </c>
      <c r="J4317" t="b">
        <v>1</v>
      </c>
      <c r="K4317" t="b">
        <v>0</v>
      </c>
      <c r="L4317" t="b">
        <v>0</v>
      </c>
      <c r="M4317" t="b">
        <v>1</v>
      </c>
      <c r="N4317">
        <f>IFERROR(INDEX('Company Hitlist'!$AA:$AA,MATCH(D4317,'Company Hitlist'!$A:$A,0)),)</f>
        <v/>
      </c>
      <c r="O4317">
        <f>IFERROR(INDEX('Company Hitlist'!$N:$N,MATCH(D4317,'Company Hitlist'!$A:$A,0)),)</f>
        <v/>
      </c>
      <c r="Q4317" t="inlineStr">
        <is>
          <t>todo</t>
        </is>
      </c>
    </row>
    <row r="4318">
      <c r="A4318" t="inlineStr">
        <is>
          <t>Robert Michlovich</t>
        </is>
      </c>
      <c r="B4318" t="inlineStr">
        <is>
          <t>Attendee</t>
        </is>
      </c>
      <c r="C4318" t="inlineStr">
        <is>
          <t>Managing Director</t>
        </is>
      </c>
      <c r="D4318" t="inlineStr">
        <is>
          <t>UBS</t>
        </is>
      </c>
      <c r="E4318" t="inlineStr">
        <is>
          <t>United States</t>
        </is>
      </c>
      <c r="H4318" t="n">
        <v>0</v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  <c r="N4318">
        <f>IFERROR(INDEX('Company Hitlist'!$AA:$AA,MATCH(D4318,'Company Hitlist'!$A:$A,0)),)</f>
        <v/>
      </c>
      <c r="O4318">
        <f>IFERROR(INDEX('Company Hitlist'!$N:$N,MATCH(D4318,'Company Hitlist'!$A:$A,0)),)</f>
        <v/>
      </c>
      <c r="Q4318" t="inlineStr">
        <is>
          <t>todo</t>
        </is>
      </c>
    </row>
    <row r="4319">
      <c r="A4319" t="inlineStr">
        <is>
          <t>William Hayes</t>
        </is>
      </c>
      <c r="B4319" t="inlineStr">
        <is>
          <t>Attendee</t>
        </is>
      </c>
      <c r="C4319" t="inlineStr">
        <is>
          <t>Executive Director</t>
        </is>
      </c>
      <c r="D4319" t="inlineStr">
        <is>
          <t>UBS</t>
        </is>
      </c>
      <c r="E4319" t="inlineStr">
        <is>
          <t>United States</t>
        </is>
      </c>
      <c r="H4319" t="n">
        <v>0</v>
      </c>
      <c r="I4319" t="b">
        <v>0</v>
      </c>
      <c r="J4319" t="b">
        <v>0</v>
      </c>
      <c r="K4319" t="b">
        <v>0</v>
      </c>
      <c r="L4319" t="b">
        <v>0</v>
      </c>
      <c r="M4319" t="b">
        <v>0</v>
      </c>
      <c r="N4319">
        <f>IFERROR(INDEX('Company Hitlist'!$AA:$AA,MATCH(D4319,'Company Hitlist'!$A:$A,0)),)</f>
        <v/>
      </c>
      <c r="O4319">
        <f>IFERROR(INDEX('Company Hitlist'!$N:$N,MATCH(D4319,'Company Hitlist'!$A:$A,0)),)</f>
        <v/>
      </c>
      <c r="Q4319" t="inlineStr">
        <is>
          <t>todo</t>
        </is>
      </c>
    </row>
    <row r="4320">
      <c r="A4320" t="inlineStr">
        <is>
          <t>Darrin Parker</t>
        </is>
      </c>
      <c r="B4320" t="inlineStr">
        <is>
          <t>Attendee</t>
        </is>
      </c>
      <c r="C4320" t="inlineStr">
        <is>
          <t>Director of Planning &amp; Analysis</t>
        </is>
      </c>
      <c r="D4320" t="inlineStr">
        <is>
          <t>UFPT</t>
        </is>
      </c>
      <c r="E4320" t="inlineStr">
        <is>
          <t>United States</t>
        </is>
      </c>
      <c r="H4320" t="n">
        <v>0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  <c r="N4320">
        <f>IFERROR(INDEX('Company Hitlist'!$AA:$AA,MATCH(D4320,'Company Hitlist'!$A:$A,0)),)</f>
        <v/>
      </c>
      <c r="O4320">
        <f>IFERROR(INDEX('Company Hitlist'!$N:$N,MATCH(D4320,'Company Hitlist'!$A:$A,0)),)</f>
        <v/>
      </c>
      <c r="Q4320" t="inlineStr">
        <is>
          <t>todo</t>
        </is>
      </c>
    </row>
    <row r="4321">
      <c r="A4321" t="inlineStr">
        <is>
          <t>Mila Shuliak</t>
        </is>
      </c>
      <c r="B4321" t="inlineStr">
        <is>
          <t>Attendee</t>
        </is>
      </c>
      <c r="C4321" t="inlineStr">
        <is>
          <t>Companion</t>
        </is>
      </c>
      <c r="D4321" t="inlineStr">
        <is>
          <t>UTrust Insurance</t>
        </is>
      </c>
      <c r="E4321" t="inlineStr">
        <is>
          <t>United States</t>
        </is>
      </c>
      <c r="H4321" t="n">
        <v>0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>
        <f>IFERROR(INDEX('Company Hitlist'!$AA:$AA,MATCH(D4321,'Company Hitlist'!$A:$A,0)),)</f>
        <v/>
      </c>
      <c r="O4321">
        <f>IFERROR(INDEX('Company Hitlist'!$N:$N,MATCH(D4321,'Company Hitlist'!$A:$A,0)),)</f>
        <v/>
      </c>
      <c r="Q4321" t="inlineStr">
        <is>
          <t>todo</t>
        </is>
      </c>
    </row>
    <row r="4322">
      <c r="A4322" t="inlineStr">
        <is>
          <t>Julien Millérioux</t>
        </is>
      </c>
      <c r="B4322" t="inlineStr">
        <is>
          <t>Attendee</t>
        </is>
      </c>
      <c r="C4322" t="inlineStr">
        <is>
          <t>Product Manager</t>
        </is>
      </c>
      <c r="D4322" t="inlineStr">
        <is>
          <t>UgoWork</t>
        </is>
      </c>
      <c r="H4322" t="n">
        <v>0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>
        <f>IFERROR(INDEX('Company Hitlist'!$AA:$AA,MATCH(D4322,'Company Hitlist'!$A:$A,0)),)</f>
        <v/>
      </c>
      <c r="O4322">
        <f>IFERROR(INDEX('Company Hitlist'!$N:$N,MATCH(D4322,'Company Hitlist'!$A:$A,0)),)</f>
        <v/>
      </c>
      <c r="Q4322" t="inlineStr">
        <is>
          <t>todo</t>
        </is>
      </c>
    </row>
    <row r="4323">
      <c r="A4323" t="inlineStr">
        <is>
          <t>Magdalena van den Heever (Delri)</t>
        </is>
      </c>
      <c r="B4323" t="inlineStr">
        <is>
          <t>Attendee</t>
        </is>
      </c>
      <c r="C4323" t="inlineStr">
        <is>
          <t>Strategies &amp; Insights</t>
        </is>
      </c>
      <c r="D4323" t="inlineStr">
        <is>
          <t>Unilever</t>
        </is>
      </c>
      <c r="H4323" t="n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>
        <f>IFERROR(INDEX('Company Hitlist'!$AA:$AA,MATCH(D4323,'Company Hitlist'!$A:$A,0)),)</f>
        <v/>
      </c>
      <c r="O4323">
        <f>IFERROR(INDEX('Company Hitlist'!$N:$N,MATCH(D4323,'Company Hitlist'!$A:$A,0)),)</f>
        <v/>
      </c>
      <c r="Q4323" t="inlineStr">
        <is>
          <t>todo</t>
        </is>
      </c>
    </row>
    <row r="4324">
      <c r="A4324" t="inlineStr">
        <is>
          <t>Su Ilayda Basegmez</t>
        </is>
      </c>
      <c r="B4324" t="inlineStr">
        <is>
          <t>Attendee</t>
        </is>
      </c>
      <c r="C4324" t="inlineStr">
        <is>
          <t>Strategic Program Manager</t>
        </is>
      </c>
      <c r="D4324" t="inlineStr">
        <is>
          <t>Unilever</t>
        </is>
      </c>
      <c r="H4324" t="n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>
        <f>IFERROR(INDEX('Company Hitlist'!$AA:$AA,MATCH(D4324,'Company Hitlist'!$A:$A,0)),)</f>
        <v/>
      </c>
      <c r="O4324">
        <f>IFERROR(INDEX('Company Hitlist'!$N:$N,MATCH(D4324,'Company Hitlist'!$A:$A,0)),)</f>
        <v/>
      </c>
      <c r="Q4324" t="inlineStr">
        <is>
          <t>todo</t>
        </is>
      </c>
    </row>
    <row r="4325">
      <c r="A4325" t="inlineStr">
        <is>
          <t>Avihou Barkay</t>
        </is>
      </c>
      <c r="B4325" t="inlineStr">
        <is>
          <t>Attendee</t>
        </is>
      </c>
      <c r="C4325" t="inlineStr">
        <is>
          <t>Co-founder</t>
        </is>
      </c>
      <c r="D4325" t="inlineStr">
        <is>
          <t>Unit AI</t>
        </is>
      </c>
      <c r="E4325" t="inlineStr">
        <is>
          <t>United States</t>
        </is>
      </c>
      <c r="F4325" t="inlineStr">
        <is>
          <t>Yes</t>
        </is>
      </c>
      <c r="H4325" t="n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>
        <f>IFERROR(INDEX('Company Hitlist'!$AA:$AA,MATCH(D4325,'Company Hitlist'!$A:$A,0)),)</f>
        <v/>
      </c>
      <c r="O4325">
        <f>IFERROR(INDEX('Company Hitlist'!$N:$N,MATCH(D4325,'Company Hitlist'!$A:$A,0)),)</f>
        <v/>
      </c>
      <c r="Q4325" t="inlineStr">
        <is>
          <t>todo</t>
        </is>
      </c>
    </row>
    <row r="4326">
      <c r="A4326" t="inlineStr">
        <is>
          <t>Jacqueline Kazimer</t>
        </is>
      </c>
      <c r="B4326" t="inlineStr">
        <is>
          <t>Attendee</t>
        </is>
      </c>
      <c r="C4326" t="inlineStr">
        <is>
          <t>Director, Product Partner Relationships</t>
        </is>
      </c>
      <c r="D4326" t="inlineStr">
        <is>
          <t>United Against Poverty, Inc.</t>
        </is>
      </c>
      <c r="E4326" t="inlineStr">
        <is>
          <t>United States</t>
        </is>
      </c>
      <c r="H4326" t="n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>
        <f>IFERROR(INDEX('Company Hitlist'!$AA:$AA,MATCH(D4326,'Company Hitlist'!$A:$A,0)),)</f>
        <v/>
      </c>
      <c r="O4326">
        <f>IFERROR(INDEX('Company Hitlist'!$N:$N,MATCH(D4326,'Company Hitlist'!$A:$A,0)),)</f>
        <v/>
      </c>
      <c r="Q4326" t="inlineStr">
        <is>
          <t>todo</t>
        </is>
      </c>
    </row>
    <row r="4327">
      <c r="A4327" t="inlineStr">
        <is>
          <t>Gwyn Peterson</t>
        </is>
      </c>
      <c r="B4327" t="inlineStr">
        <is>
          <t>Attendee</t>
        </is>
      </c>
      <c r="C4327" t="inlineStr">
        <is>
          <t>Sr. Manager, International Trade Compliance</t>
        </is>
      </c>
      <c r="D4327" t="inlineStr">
        <is>
          <t>United Airlines</t>
        </is>
      </c>
      <c r="E4327" t="inlineStr">
        <is>
          <t>United States</t>
        </is>
      </c>
      <c r="H4327" t="n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>
        <f>IFERROR(INDEX('Company Hitlist'!$AA:$AA,MATCH(D4327,'Company Hitlist'!$A:$A,0)),)</f>
        <v/>
      </c>
      <c r="O4327">
        <f>IFERROR(INDEX('Company Hitlist'!$N:$N,MATCH(D4327,'Company Hitlist'!$A:$A,0)),)</f>
        <v/>
      </c>
      <c r="Q4327" t="inlineStr">
        <is>
          <t>todo</t>
        </is>
      </c>
    </row>
    <row r="4328">
      <c r="A4328" t="inlineStr">
        <is>
          <t>Greg Mack</t>
        </is>
      </c>
      <c r="B4328" t="inlineStr">
        <is>
          <t>Attendee</t>
        </is>
      </c>
      <c r="C4328" t="inlineStr">
        <is>
          <t>Key Business Accounts Executive</t>
        </is>
      </c>
      <c r="D4328" t="inlineStr">
        <is>
          <t>United States Postal Service</t>
        </is>
      </c>
      <c r="E4328" t="inlineStr">
        <is>
          <t>United States</t>
        </is>
      </c>
      <c r="H4328" t="n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>
        <f>IFERROR(INDEX('Company Hitlist'!$AA:$AA,MATCH(D4328,'Company Hitlist'!$A:$A,0)),)</f>
        <v/>
      </c>
      <c r="O4328">
        <f>IFERROR(INDEX('Company Hitlist'!$N:$N,MATCH(D4328,'Company Hitlist'!$A:$A,0)),)</f>
        <v/>
      </c>
      <c r="Q4328" t="inlineStr">
        <is>
          <t>todo</t>
        </is>
      </c>
    </row>
    <row r="4329">
      <c r="A4329" t="inlineStr">
        <is>
          <t>James Garthwait</t>
        </is>
      </c>
      <c r="B4329" t="inlineStr">
        <is>
          <t>Attendee</t>
        </is>
      </c>
      <c r="C4329" t="inlineStr">
        <is>
          <t>Key Business Accounts Executive</t>
        </is>
      </c>
      <c r="D4329" t="inlineStr">
        <is>
          <t>United States Postal Service</t>
        </is>
      </c>
      <c r="E4329" t="inlineStr">
        <is>
          <t>United States</t>
        </is>
      </c>
      <c r="H4329" t="n">
        <v>0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>
        <f>IFERROR(INDEX('Company Hitlist'!$AA:$AA,MATCH(D4329,'Company Hitlist'!$A:$A,0)),)</f>
        <v/>
      </c>
      <c r="O4329">
        <f>IFERROR(INDEX('Company Hitlist'!$N:$N,MATCH(D4329,'Company Hitlist'!$A:$A,0)),)</f>
        <v/>
      </c>
      <c r="Q4329" t="inlineStr">
        <is>
          <t>todo</t>
        </is>
      </c>
    </row>
    <row r="4330">
      <c r="A4330" t="inlineStr">
        <is>
          <t>Jay Smith</t>
        </is>
      </c>
      <c r="B4330" t="inlineStr">
        <is>
          <t>Attendee</t>
        </is>
      </c>
      <c r="C4330" t="inlineStr">
        <is>
          <t>Director New Business Acquisition</t>
        </is>
      </c>
      <c r="D4330" t="inlineStr">
        <is>
          <t>United States Postal Service</t>
        </is>
      </c>
      <c r="E4330" t="inlineStr">
        <is>
          <t>United States</t>
        </is>
      </c>
      <c r="H4330" t="n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>
        <f>IFERROR(INDEX('Company Hitlist'!$AA:$AA,MATCH(D4330,'Company Hitlist'!$A:$A,0)),)</f>
        <v/>
      </c>
      <c r="O4330">
        <f>IFERROR(INDEX('Company Hitlist'!$N:$N,MATCH(D4330,'Company Hitlist'!$A:$A,0)),)</f>
        <v/>
      </c>
      <c r="Q4330" t="inlineStr">
        <is>
          <t>todo</t>
        </is>
      </c>
    </row>
    <row r="4331">
      <c r="A4331" t="inlineStr">
        <is>
          <t>Maksym Shuliak</t>
        </is>
      </c>
      <c r="B4331" t="inlineStr">
        <is>
          <t>Attendee</t>
        </is>
      </c>
      <c r="C4331" t="inlineStr">
        <is>
          <t>Commercial Director</t>
        </is>
      </c>
      <c r="D4331" t="inlineStr">
        <is>
          <t>Utrust Insurance</t>
        </is>
      </c>
      <c r="E4331" t="inlineStr">
        <is>
          <t>United States</t>
        </is>
      </c>
      <c r="H4331" t="n">
        <v>0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>
        <f>IFERROR(INDEX('Company Hitlist'!$AA:$AA,MATCH(D4331,'Company Hitlist'!$A:$A,0)),)</f>
        <v/>
      </c>
      <c r="O4331">
        <f>IFERROR(INDEX('Company Hitlist'!$N:$N,MATCH(D4331,'Company Hitlist'!$A:$A,0)),)</f>
        <v/>
      </c>
      <c r="Q4331" t="inlineStr">
        <is>
          <t>todo</t>
        </is>
      </c>
    </row>
    <row r="4332">
      <c r="A4332" t="inlineStr">
        <is>
          <t>Chris Schmid</t>
        </is>
      </c>
      <c r="B4332" t="inlineStr">
        <is>
          <t>Attendee</t>
        </is>
      </c>
      <c r="C4332" t="inlineStr">
        <is>
          <t>Advisor to the Board</t>
        </is>
      </c>
      <c r="D4332" t="inlineStr">
        <is>
          <t>V. Alexander &amp; Co., Inc.</t>
        </is>
      </c>
      <c r="E4332" t="inlineStr">
        <is>
          <t>United States</t>
        </is>
      </c>
      <c r="H4332" t="n">
        <v>0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>
        <f>IFERROR(INDEX('Company Hitlist'!$AA:$AA,MATCH(D4332,'Company Hitlist'!$A:$A,0)),)</f>
        <v/>
      </c>
      <c r="O4332">
        <f>IFERROR(INDEX('Company Hitlist'!$N:$N,MATCH(D4332,'Company Hitlist'!$A:$A,0)),)</f>
        <v/>
      </c>
      <c r="Q4332" t="inlineStr">
        <is>
          <t>todo</t>
        </is>
      </c>
    </row>
    <row r="4333">
      <c r="A4333" t="inlineStr">
        <is>
          <t>Daniel Hallock</t>
        </is>
      </c>
      <c r="B4333" t="inlineStr">
        <is>
          <t>Attendee</t>
        </is>
      </c>
      <c r="C4333" t="inlineStr">
        <is>
          <t>CDO</t>
        </is>
      </c>
      <c r="D4333" t="inlineStr">
        <is>
          <t>V. Alexander &amp; Co., Inc.</t>
        </is>
      </c>
      <c r="E4333" t="inlineStr">
        <is>
          <t>United States</t>
        </is>
      </c>
      <c r="H4333" t="n">
        <v>0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>
        <f>IFERROR(INDEX('Company Hitlist'!$AA:$AA,MATCH(D4333,'Company Hitlist'!$A:$A,0)),)</f>
        <v/>
      </c>
      <c r="O4333">
        <f>IFERROR(INDEX('Company Hitlist'!$N:$N,MATCH(D4333,'Company Hitlist'!$A:$A,0)),)</f>
        <v/>
      </c>
      <c r="Q4333" t="inlineStr">
        <is>
          <t>todo</t>
        </is>
      </c>
    </row>
    <row r="4334">
      <c r="A4334" t="inlineStr">
        <is>
          <t>Sheikha Al Ghaithi</t>
        </is>
      </c>
      <c r="B4334" t="inlineStr">
        <is>
          <t>Attendee</t>
        </is>
      </c>
      <c r="C4334" t="inlineStr">
        <is>
          <t>Contract Management Specialist</t>
        </is>
      </c>
      <c r="D4334" t="inlineStr">
        <is>
          <t>Vale Oman Pelletizing</t>
        </is>
      </c>
      <c r="E4334" t="inlineStr">
        <is>
          <t>Oman</t>
        </is>
      </c>
      <c r="H4334" t="n">
        <v>0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>
        <f>IFERROR(INDEX('Company Hitlist'!$AA:$AA,MATCH(D4334,'Company Hitlist'!$A:$A,0)),)</f>
        <v/>
      </c>
      <c r="O4334">
        <f>IFERROR(INDEX('Company Hitlist'!$N:$N,MATCH(D4334,'Company Hitlist'!$A:$A,0)),)</f>
        <v/>
      </c>
      <c r="Q4334" t="inlineStr">
        <is>
          <t>todo</t>
        </is>
      </c>
    </row>
    <row r="4335">
      <c r="A4335" t="inlineStr">
        <is>
          <t>Wes Kerbuski</t>
        </is>
      </c>
      <c r="B4335" t="inlineStr">
        <is>
          <t>Attendee</t>
        </is>
      </c>
      <c r="C4335" t="inlineStr">
        <is>
          <t>Sr. Director - Product Development</t>
        </is>
      </c>
      <c r="D4335" t="inlineStr">
        <is>
          <t>Vectura Risk Management</t>
        </is>
      </c>
      <c r="E4335" t="inlineStr">
        <is>
          <t>United States</t>
        </is>
      </c>
      <c r="H4335" t="n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>
        <f>IFERROR(INDEX('Company Hitlist'!$AA:$AA,MATCH(D4335,'Company Hitlist'!$A:$A,0)),)</f>
        <v/>
      </c>
      <c r="O4335">
        <f>IFERROR(INDEX('Company Hitlist'!$N:$N,MATCH(D4335,'Company Hitlist'!$A:$A,0)),)</f>
        <v/>
      </c>
      <c r="Q4335" t="inlineStr">
        <is>
          <t>todo</t>
        </is>
      </c>
    </row>
    <row r="4336">
      <c r="A4336" t="inlineStr">
        <is>
          <t>Catherine Dummitt</t>
        </is>
      </c>
      <c r="B4336" t="inlineStr">
        <is>
          <t>Sponsor</t>
        </is>
      </c>
      <c r="C4336" t="inlineStr">
        <is>
          <t>VP of Marketing</t>
        </is>
      </c>
      <c r="D4336" t="inlineStr">
        <is>
          <t>Veho</t>
        </is>
      </c>
      <c r="E4336" t="inlineStr">
        <is>
          <t>United States</t>
        </is>
      </c>
      <c r="F4336" t="inlineStr">
        <is>
          <t>Yes</t>
        </is>
      </c>
      <c r="G4336" t="inlineStr">
        <is>
          <t>$21M (2025 est.) (ICP match)</t>
        </is>
      </c>
      <c r="H4336" t="n">
        <v>0</v>
      </c>
      <c r="I4336" t="b">
        <v>0</v>
      </c>
      <c r="J4336" t="b">
        <v>1</v>
      </c>
      <c r="K4336" t="b">
        <v>0</v>
      </c>
      <c r="L4336" t="b">
        <v>0</v>
      </c>
      <c r="M4336" t="b">
        <v>1</v>
      </c>
      <c r="N4336">
        <f>IFERROR(INDEX('Company Hitlist'!$AA:$AA,MATCH(D4336,'Company Hitlist'!$A:$A,0)),)</f>
        <v/>
      </c>
      <c r="O4336">
        <f>IFERROR(INDEX('Company Hitlist'!$N:$N,MATCH(D4336,'Company Hitlist'!$A:$A,0)),)</f>
        <v/>
      </c>
      <c r="Q4336" t="inlineStr">
        <is>
          <t>todo</t>
        </is>
      </c>
    </row>
    <row r="4337">
      <c r="A4337" t="inlineStr">
        <is>
          <t>Rudy Nemeth</t>
        </is>
      </c>
      <c r="B4337" t="inlineStr">
        <is>
          <t>Sponsor</t>
        </is>
      </c>
      <c r="C4337" t="inlineStr">
        <is>
          <t>VP of Sales</t>
        </is>
      </c>
      <c r="D4337" t="inlineStr">
        <is>
          <t>Velocitor Solutions</t>
        </is>
      </c>
      <c r="H4337" t="n">
        <v>0</v>
      </c>
      <c r="I4337" t="b">
        <v>0</v>
      </c>
      <c r="J4337" t="b">
        <v>1</v>
      </c>
      <c r="K4337" t="b">
        <v>0</v>
      </c>
      <c r="L4337" t="b">
        <v>0</v>
      </c>
      <c r="M4337" t="b">
        <v>1</v>
      </c>
      <c r="N4337">
        <f>IFERROR(INDEX('Company Hitlist'!$AA:$AA,MATCH(D4337,'Company Hitlist'!$A:$A,0)),)</f>
        <v/>
      </c>
      <c r="O4337">
        <f>IFERROR(INDEX('Company Hitlist'!$N:$N,MATCH(D4337,'Company Hitlist'!$A:$A,0)),)</f>
        <v/>
      </c>
      <c r="Q4337" t="inlineStr">
        <is>
          <t>todo</t>
        </is>
      </c>
    </row>
    <row r="4338">
      <c r="A4338" t="inlineStr">
        <is>
          <t>Deb Spigner</t>
        </is>
      </c>
      <c r="B4338" t="inlineStr">
        <is>
          <t>Attendee</t>
        </is>
      </c>
      <c r="C4338" t="inlineStr">
        <is>
          <t>Market Research Specialist</t>
        </is>
      </c>
      <c r="D4338" t="inlineStr">
        <is>
          <t>Vendelux</t>
        </is>
      </c>
      <c r="E4338" t="inlineStr">
        <is>
          <t>United States</t>
        </is>
      </c>
      <c r="H4338" t="n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>
        <f>IFERROR(INDEX('Company Hitlist'!$AA:$AA,MATCH(D4338,'Company Hitlist'!$A:$A,0)),)</f>
        <v/>
      </c>
      <c r="O4338">
        <f>IFERROR(INDEX('Company Hitlist'!$N:$N,MATCH(D4338,'Company Hitlist'!$A:$A,0)),)</f>
        <v/>
      </c>
      <c r="Q4338" t="inlineStr">
        <is>
          <t>todo</t>
        </is>
      </c>
    </row>
    <row r="4339">
      <c r="A4339" t="inlineStr">
        <is>
          <t>Joseph Mausler</t>
        </is>
      </c>
      <c r="B4339" t="inlineStr">
        <is>
          <t>Attendee</t>
        </is>
      </c>
      <c r="C4339" t="inlineStr">
        <is>
          <t>Market Research Specialist</t>
        </is>
      </c>
      <c r="D4339" t="inlineStr">
        <is>
          <t>Vendelux</t>
        </is>
      </c>
      <c r="E4339" t="inlineStr">
        <is>
          <t>United States</t>
        </is>
      </c>
      <c r="H4339" t="n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>
        <f>IFERROR(INDEX('Company Hitlist'!$AA:$AA,MATCH(D4339,'Company Hitlist'!$A:$A,0)),)</f>
        <v/>
      </c>
      <c r="O4339">
        <f>IFERROR(INDEX('Company Hitlist'!$N:$N,MATCH(D4339,'Company Hitlist'!$A:$A,0)),)</f>
        <v/>
      </c>
      <c r="Q4339" t="inlineStr">
        <is>
          <t>todo</t>
        </is>
      </c>
    </row>
    <row r="4340">
      <c r="A4340" t="inlineStr">
        <is>
          <t>Dan White</t>
        </is>
      </c>
      <c r="B4340" t="inlineStr">
        <is>
          <t>Attendee</t>
        </is>
      </c>
      <c r="C4340" t="inlineStr">
        <is>
          <t>Founder / General Partner</t>
        </is>
      </c>
      <c r="D4340" t="inlineStr">
        <is>
          <t>Venture 53</t>
        </is>
      </c>
      <c r="E4340" t="inlineStr">
        <is>
          <t>United States</t>
        </is>
      </c>
      <c r="H4340" t="n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>
        <f>IFERROR(INDEX('Company Hitlist'!$AA:$AA,MATCH(D4340,'Company Hitlist'!$A:$A,0)),)</f>
        <v/>
      </c>
      <c r="O4340">
        <f>IFERROR(INDEX('Company Hitlist'!$N:$N,MATCH(D4340,'Company Hitlist'!$A:$A,0)),)</f>
        <v/>
      </c>
      <c r="Q4340" t="inlineStr">
        <is>
          <t>todo</t>
        </is>
      </c>
    </row>
    <row r="4341">
      <c r="A4341" t="inlineStr">
        <is>
          <t>John Larkin</t>
        </is>
      </c>
      <c r="B4341" t="inlineStr">
        <is>
          <t>Attendee</t>
        </is>
      </c>
      <c r="C4341" t="inlineStr">
        <is>
          <t>Advisor</t>
        </is>
      </c>
      <c r="D4341" t="inlineStr">
        <is>
          <t>Venture 53</t>
        </is>
      </c>
      <c r="E4341" t="inlineStr">
        <is>
          <t>United States</t>
        </is>
      </c>
      <c r="H4341" t="n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>
        <f>IFERROR(INDEX('Company Hitlist'!$AA:$AA,MATCH(D4341,'Company Hitlist'!$A:$A,0)),)</f>
        <v/>
      </c>
      <c r="O4341">
        <f>IFERROR(INDEX('Company Hitlist'!$N:$N,MATCH(D4341,'Company Hitlist'!$A:$A,0)),)</f>
        <v/>
      </c>
      <c r="Q4341" t="inlineStr">
        <is>
          <t>todo</t>
        </is>
      </c>
    </row>
    <row r="4342">
      <c r="A4342" t="inlineStr">
        <is>
          <t>Nancy Bojorquez</t>
        </is>
      </c>
      <c r="B4342" t="inlineStr">
        <is>
          <t>Attendee</t>
        </is>
      </c>
      <c r="C4342" t="inlineStr">
        <is>
          <t>Principal</t>
        </is>
      </c>
      <c r="D4342" t="inlineStr">
        <is>
          <t>Venture 53</t>
        </is>
      </c>
      <c r="E4342" t="inlineStr">
        <is>
          <t>United States</t>
        </is>
      </c>
      <c r="H4342" t="n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>
        <f>IFERROR(INDEX('Company Hitlist'!$AA:$AA,MATCH(D4342,'Company Hitlist'!$A:$A,0)),)</f>
        <v/>
      </c>
      <c r="O4342">
        <f>IFERROR(INDEX('Company Hitlist'!$N:$N,MATCH(D4342,'Company Hitlist'!$A:$A,0)),)</f>
        <v/>
      </c>
      <c r="Q4342" t="inlineStr">
        <is>
          <t>todo</t>
        </is>
      </c>
    </row>
    <row r="4343">
      <c r="A4343" t="inlineStr">
        <is>
          <t>Pat Martin</t>
        </is>
      </c>
      <c r="B4343" t="inlineStr">
        <is>
          <t>Attendee</t>
        </is>
      </c>
      <c r="C4343" t="inlineStr">
        <is>
          <t>Founder / General Partner</t>
        </is>
      </c>
      <c r="D4343" t="inlineStr">
        <is>
          <t>Venture 53</t>
        </is>
      </c>
      <c r="E4343" t="inlineStr">
        <is>
          <t>United States</t>
        </is>
      </c>
      <c r="H4343" t="n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>
        <f>IFERROR(INDEX('Company Hitlist'!$AA:$AA,MATCH(D4343,'Company Hitlist'!$A:$A,0)),)</f>
        <v/>
      </c>
      <c r="O4343">
        <f>IFERROR(INDEX('Company Hitlist'!$N:$N,MATCH(D4343,'Company Hitlist'!$A:$A,0)),)</f>
        <v/>
      </c>
      <c r="Q4343" t="inlineStr">
        <is>
          <t>todo</t>
        </is>
      </c>
    </row>
    <row r="4344">
      <c r="A4344" t="inlineStr">
        <is>
          <t>Scott Cornell</t>
        </is>
      </c>
      <c r="B4344" t="inlineStr">
        <is>
          <t>Attendee</t>
        </is>
      </c>
      <c r="C4344" t="inlineStr">
        <is>
          <t>Lead Strategic Advisor</t>
        </is>
      </c>
      <c r="D4344" t="inlineStr">
        <is>
          <t>Verified Carrier</t>
        </is>
      </c>
      <c r="E4344" t="inlineStr">
        <is>
          <t>United States</t>
        </is>
      </c>
      <c r="F4344" t="inlineStr">
        <is>
          <t>Yes</t>
        </is>
      </c>
      <c r="H4344" t="n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>
        <f>IFERROR(INDEX('Company Hitlist'!$AA:$AA,MATCH(D4344,'Company Hitlist'!$A:$A,0)),)</f>
        <v/>
      </c>
      <c r="O4344">
        <f>IFERROR(INDEX('Company Hitlist'!$N:$N,MATCH(D4344,'Company Hitlist'!$A:$A,0)),)</f>
        <v/>
      </c>
      <c r="Q4344" t="inlineStr">
        <is>
          <t>todo</t>
        </is>
      </c>
    </row>
    <row r="4345">
      <c r="A4345" t="inlineStr">
        <is>
          <t>Michael DeLeonardis</t>
        </is>
      </c>
      <c r="B4345" t="inlineStr">
        <is>
          <t>Sponsor</t>
        </is>
      </c>
      <c r="C4345" t="inlineStr">
        <is>
          <t>Chief Revenue Officer</t>
        </is>
      </c>
      <c r="D4345" t="inlineStr">
        <is>
          <t>Verity</t>
        </is>
      </c>
      <c r="E4345" t="inlineStr">
        <is>
          <t>Switzerland</t>
        </is>
      </c>
      <c r="F4345" t="inlineStr">
        <is>
          <t>Yes</t>
        </is>
      </c>
      <c r="G4345" t="inlineStr">
        <is>
          <t>Part of Toyota ($275B)</t>
        </is>
      </c>
      <c r="H4345" t="n">
        <v>0</v>
      </c>
      <c r="I4345" t="b">
        <v>0</v>
      </c>
      <c r="J4345" t="b">
        <v>1</v>
      </c>
      <c r="K4345" t="b">
        <v>0</v>
      </c>
      <c r="L4345" t="b">
        <v>0</v>
      </c>
      <c r="M4345" t="b">
        <v>1</v>
      </c>
      <c r="N4345">
        <f>IFERROR(INDEX('Company Hitlist'!$AA:$AA,MATCH(D4345,'Company Hitlist'!$A:$A,0)),)</f>
        <v/>
      </c>
      <c r="O4345">
        <f>IFERROR(INDEX('Company Hitlist'!$N:$N,MATCH(D4345,'Company Hitlist'!$A:$A,0)),)</f>
        <v/>
      </c>
      <c r="Q4345" t="inlineStr">
        <is>
          <t>todo</t>
        </is>
      </c>
    </row>
    <row r="4346">
      <c r="A4346" t="inlineStr">
        <is>
          <t>Mihir Jain</t>
        </is>
      </c>
      <c r="B4346" t="inlineStr">
        <is>
          <t>Attendee</t>
        </is>
      </c>
      <c r="C4346" t="inlineStr">
        <is>
          <t>Principal</t>
        </is>
      </c>
      <c r="D4346" t="inlineStr">
        <is>
          <t>Viking Global Investors</t>
        </is>
      </c>
      <c r="E4346" t="inlineStr">
        <is>
          <t>United States</t>
        </is>
      </c>
      <c r="H4346" t="n">
        <v>0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>
        <f>IFERROR(INDEX('Company Hitlist'!$AA:$AA,MATCH(D4346,'Company Hitlist'!$A:$A,0)),)</f>
        <v/>
      </c>
      <c r="O4346">
        <f>IFERROR(INDEX('Company Hitlist'!$N:$N,MATCH(D4346,'Company Hitlist'!$A:$A,0)),)</f>
        <v/>
      </c>
      <c r="Q4346" t="inlineStr">
        <is>
          <t>todo</t>
        </is>
      </c>
    </row>
    <row r="4347">
      <c r="A4347" t="inlineStr">
        <is>
          <t>Isaac Kohab</t>
        </is>
      </c>
      <c r="B4347" t="inlineStr">
        <is>
          <t>Attendee</t>
        </is>
      </c>
      <c r="C4347" t="inlineStr">
        <is>
          <t>Founder of Vink</t>
        </is>
      </c>
      <c r="D4347" t="inlineStr">
        <is>
          <t>Vink</t>
        </is>
      </c>
      <c r="E4347" t="inlineStr">
        <is>
          <t>Mexico</t>
        </is>
      </c>
      <c r="H4347" t="n">
        <v>0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>
        <f>IFERROR(INDEX('Company Hitlist'!$AA:$AA,MATCH(D4347,'Company Hitlist'!$A:$A,0)),)</f>
        <v/>
      </c>
      <c r="O4347">
        <f>IFERROR(INDEX('Company Hitlist'!$N:$N,MATCH(D4347,'Company Hitlist'!$A:$A,0)),)</f>
        <v/>
      </c>
      <c r="Q4347" t="inlineStr">
        <is>
          <t>todo</t>
        </is>
      </c>
    </row>
    <row r="4348">
      <c r="A4348" t="inlineStr">
        <is>
          <t>Nick Neises</t>
        </is>
      </c>
      <c r="B4348" t="inlineStr">
        <is>
          <t>Attendee</t>
        </is>
      </c>
      <c r="C4348" t="inlineStr">
        <is>
          <t>Director of Commercial Strategy</t>
        </is>
      </c>
      <c r="D4348" t="inlineStr">
        <is>
          <t>Vinturas</t>
        </is>
      </c>
      <c r="E4348" t="inlineStr">
        <is>
          <t>United States</t>
        </is>
      </c>
      <c r="F4348" t="inlineStr">
        <is>
          <t>Yes</t>
        </is>
      </c>
      <c r="H4348" t="n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>
        <f>IFERROR(INDEX('Company Hitlist'!$AA:$AA,MATCH(D4348,'Company Hitlist'!$A:$A,0)),)</f>
        <v/>
      </c>
      <c r="O4348">
        <f>IFERROR(INDEX('Company Hitlist'!$N:$N,MATCH(D4348,'Company Hitlist'!$A:$A,0)),)</f>
        <v/>
      </c>
      <c r="Q4348" t="inlineStr">
        <is>
          <t>todo</t>
        </is>
      </c>
    </row>
    <row r="4349">
      <c r="A4349" t="inlineStr">
        <is>
          <t>Megan Revercomb</t>
        </is>
      </c>
      <c r="B4349" t="inlineStr">
        <is>
          <t>Attendee</t>
        </is>
      </c>
      <c r="C4349" t="inlineStr">
        <is>
          <t>Business Manager</t>
        </is>
      </c>
      <c r="D4349" t="inlineStr">
        <is>
          <t>Virginia Economic Development Partnership</t>
        </is>
      </c>
      <c r="E4349" t="inlineStr">
        <is>
          <t>United States</t>
        </is>
      </c>
      <c r="H4349" t="n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>
        <f>IFERROR(INDEX('Company Hitlist'!$AA:$AA,MATCH(D4349,'Company Hitlist'!$A:$A,0)),)</f>
        <v/>
      </c>
      <c r="O4349">
        <f>IFERROR(INDEX('Company Hitlist'!$N:$N,MATCH(D4349,'Company Hitlist'!$A:$A,0)),)</f>
        <v/>
      </c>
      <c r="Q4349" t="inlineStr">
        <is>
          <t>todo</t>
        </is>
      </c>
    </row>
    <row r="4350">
      <c r="A4350" t="inlineStr">
        <is>
          <t>Eric Maestri</t>
        </is>
      </c>
      <c r="B4350" t="inlineStr">
        <is>
          <t>Attendee</t>
        </is>
      </c>
      <c r="C4350" t="inlineStr">
        <is>
          <t>Investor</t>
        </is>
      </c>
      <c r="D4350" t="inlineStr">
        <is>
          <t>Vista Equity Partners</t>
        </is>
      </c>
      <c r="E4350" t="inlineStr">
        <is>
          <t>United States</t>
        </is>
      </c>
      <c r="H4350" t="n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  <c r="N4350">
        <f>IFERROR(INDEX('Company Hitlist'!$AA:$AA,MATCH(D4350,'Company Hitlist'!$A:$A,0)),)</f>
        <v/>
      </c>
      <c r="O4350">
        <f>IFERROR(INDEX('Company Hitlist'!$N:$N,MATCH(D4350,'Company Hitlist'!$A:$A,0)),)</f>
        <v/>
      </c>
      <c r="Q4350" t="inlineStr">
        <is>
          <t>todo</t>
        </is>
      </c>
    </row>
    <row r="4351">
      <c r="A4351" t="inlineStr">
        <is>
          <t>Ella Steinhilber</t>
        </is>
      </c>
      <c r="B4351" t="inlineStr">
        <is>
          <t>Attendee</t>
        </is>
      </c>
      <c r="C4351" t="inlineStr">
        <is>
          <t>Investor</t>
        </is>
      </c>
      <c r="D4351" t="inlineStr">
        <is>
          <t>Volition Capital</t>
        </is>
      </c>
      <c r="E4351" t="inlineStr">
        <is>
          <t>United States</t>
        </is>
      </c>
      <c r="H4351" t="n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>
        <f>IFERROR(INDEX('Company Hitlist'!$AA:$AA,MATCH(D4351,'Company Hitlist'!$A:$A,0)),)</f>
        <v/>
      </c>
      <c r="O4351">
        <f>IFERROR(INDEX('Company Hitlist'!$N:$N,MATCH(D4351,'Company Hitlist'!$A:$A,0)),)</f>
        <v/>
      </c>
      <c r="Q4351" t="inlineStr">
        <is>
          <t>todo</t>
        </is>
      </c>
    </row>
    <row r="4352">
      <c r="A4352" t="inlineStr">
        <is>
          <t>Kirkland Mcleod</t>
        </is>
      </c>
      <c r="B4352" t="inlineStr">
        <is>
          <t>Attendee</t>
        </is>
      </c>
      <c r="C4352" t="inlineStr">
        <is>
          <t>Senior Manager, Services &amp; Solutions Innovation</t>
        </is>
      </c>
      <c r="D4352" t="inlineStr">
        <is>
          <t>Volvo Group</t>
        </is>
      </c>
      <c r="H4352" t="n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>
        <f>IFERROR(INDEX('Company Hitlist'!$AA:$AA,MATCH(D4352,'Company Hitlist'!$A:$A,0)),)</f>
        <v/>
      </c>
      <c r="O4352">
        <f>IFERROR(INDEX('Company Hitlist'!$N:$N,MATCH(D4352,'Company Hitlist'!$A:$A,0)),)</f>
        <v/>
      </c>
      <c r="Q4352" t="inlineStr">
        <is>
          <t>todo</t>
        </is>
      </c>
    </row>
    <row r="4353">
      <c r="A4353" t="inlineStr">
        <is>
          <t>Joe Darcy</t>
        </is>
      </c>
      <c r="B4353" t="inlineStr">
        <is>
          <t>Attendee</t>
        </is>
      </c>
      <c r="C4353" t="inlineStr">
        <is>
          <t>Investment Director</t>
        </is>
      </c>
      <c r="D4353" t="inlineStr">
        <is>
          <t>Volvo Group Venture Capital</t>
        </is>
      </c>
      <c r="E4353" t="inlineStr">
        <is>
          <t>United States</t>
        </is>
      </c>
      <c r="H4353" t="n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>
        <f>IFERROR(INDEX('Company Hitlist'!$AA:$AA,MATCH(D4353,'Company Hitlist'!$A:$A,0)),)</f>
        <v/>
      </c>
      <c r="O4353">
        <f>IFERROR(INDEX('Company Hitlist'!$N:$N,MATCH(D4353,'Company Hitlist'!$A:$A,0)),)</f>
        <v/>
      </c>
      <c r="Q4353" t="inlineStr">
        <is>
          <t>todo</t>
        </is>
      </c>
    </row>
    <row r="4354">
      <c r="A4354" t="inlineStr">
        <is>
          <t>Allan Malcolm</t>
        </is>
      </c>
      <c r="B4354" t="inlineStr">
        <is>
          <t>Attendee</t>
        </is>
      </c>
      <c r="C4354" t="inlineStr">
        <is>
          <t>CMO</t>
        </is>
      </c>
      <c r="D4354" t="inlineStr">
        <is>
          <t>Voxel</t>
        </is>
      </c>
      <c r="E4354" t="inlineStr">
        <is>
          <t>Canada</t>
        </is>
      </c>
      <c r="F4354" t="inlineStr">
        <is>
          <t>Yes</t>
        </is>
      </c>
      <c r="H4354" t="n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>
        <f>IFERROR(INDEX('Company Hitlist'!$AA:$AA,MATCH(D4354,'Company Hitlist'!$A:$A,0)),)</f>
        <v/>
      </c>
      <c r="O4354">
        <f>IFERROR(INDEX('Company Hitlist'!$N:$N,MATCH(D4354,'Company Hitlist'!$A:$A,0)),)</f>
        <v/>
      </c>
      <c r="Q4354" t="inlineStr">
        <is>
          <t>todo</t>
        </is>
      </c>
    </row>
    <row r="4355">
      <c r="A4355" t="inlineStr">
        <is>
          <t>Garrett Johnson</t>
        </is>
      </c>
      <c r="B4355" t="inlineStr">
        <is>
          <t>Attendee</t>
        </is>
      </c>
      <c r="C4355" t="inlineStr">
        <is>
          <t>Director of Strategic Solutions</t>
        </is>
      </c>
      <c r="D4355" t="inlineStr">
        <is>
          <t>WARP</t>
        </is>
      </c>
      <c r="E4355" t="inlineStr">
        <is>
          <t>United States</t>
        </is>
      </c>
      <c r="F4355" t="inlineStr">
        <is>
          <t>Yes</t>
        </is>
      </c>
      <c r="H4355" t="n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>
        <f>IFERROR(INDEX('Company Hitlist'!$AA:$AA,MATCH(D4355,'Company Hitlist'!$A:$A,0)),)</f>
        <v/>
      </c>
      <c r="O4355">
        <f>IFERROR(INDEX('Company Hitlist'!$N:$N,MATCH(D4355,'Company Hitlist'!$A:$A,0)),)</f>
        <v/>
      </c>
      <c r="Q4355" t="inlineStr">
        <is>
          <t>todo</t>
        </is>
      </c>
    </row>
    <row r="4356">
      <c r="A4356" t="inlineStr">
        <is>
          <t>Federico Conde</t>
        </is>
      </c>
      <c r="B4356" t="inlineStr">
        <is>
          <t>Attendee</t>
        </is>
      </c>
      <c r="C4356" t="inlineStr">
        <is>
          <t>Sr Director of IT</t>
        </is>
      </c>
      <c r="D4356" t="inlineStr">
        <is>
          <t>WK Kellogg Co</t>
        </is>
      </c>
      <c r="F4356" t="inlineStr">
        <is>
          <t>Yes</t>
        </is>
      </c>
      <c r="H4356" t="n">
        <v>0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>
        <f>IFERROR(INDEX('Company Hitlist'!$AA:$AA,MATCH(D4356,'Company Hitlist'!$A:$A,0)),)</f>
        <v/>
      </c>
      <c r="O4356">
        <f>IFERROR(INDEX('Company Hitlist'!$N:$N,MATCH(D4356,'Company Hitlist'!$A:$A,0)),)</f>
        <v/>
      </c>
      <c r="Q4356" t="inlineStr">
        <is>
          <t>todo</t>
        </is>
      </c>
    </row>
    <row r="4357">
      <c r="A4357" t="inlineStr">
        <is>
          <t>Eugene Demaitre</t>
        </is>
      </c>
      <c r="B4357" t="inlineStr">
        <is>
          <t>Attendee</t>
        </is>
      </c>
      <c r="C4357" t="inlineStr">
        <is>
          <t>Editorial Director - Robotics</t>
        </is>
      </c>
      <c r="D4357" t="inlineStr">
        <is>
          <t>WTWH Media - Automated Warehouse</t>
        </is>
      </c>
      <c r="E4357" t="inlineStr">
        <is>
          <t>United States</t>
        </is>
      </c>
      <c r="H4357" t="n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>
        <f>IFERROR(INDEX('Company Hitlist'!$AA:$AA,MATCH(D4357,'Company Hitlist'!$A:$A,0)),)</f>
        <v/>
      </c>
      <c r="O4357">
        <f>IFERROR(INDEX('Company Hitlist'!$N:$N,MATCH(D4357,'Company Hitlist'!$A:$A,0)),)</f>
        <v/>
      </c>
      <c r="Q4357" t="inlineStr">
        <is>
          <t>todo</t>
        </is>
      </c>
    </row>
    <row r="4358">
      <c r="A4358" t="inlineStr">
        <is>
          <t>Mark Kidwell</t>
        </is>
      </c>
      <c r="B4358" t="inlineStr">
        <is>
          <t>Attendee</t>
        </is>
      </c>
      <c r="C4358" t="inlineStr">
        <is>
          <t>Principal</t>
        </is>
      </c>
      <c r="D4358" t="inlineStr">
        <is>
          <t>Waller Consulting</t>
        </is>
      </c>
      <c r="E4358" t="inlineStr">
        <is>
          <t>United States</t>
        </is>
      </c>
      <c r="H4358" t="n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>
        <f>IFERROR(INDEX('Company Hitlist'!$AA:$AA,MATCH(D4358,'Company Hitlist'!$A:$A,0)),)</f>
        <v/>
      </c>
      <c r="O4358">
        <f>IFERROR(INDEX('Company Hitlist'!$N:$N,MATCH(D4358,'Company Hitlist'!$A:$A,0)),)</f>
        <v/>
      </c>
      <c r="Q4358" t="inlineStr">
        <is>
          <t>todo</t>
        </is>
      </c>
    </row>
    <row r="4359">
      <c r="A4359" t="inlineStr">
        <is>
          <t>Dave Sosnowski</t>
        </is>
      </c>
      <c r="B4359" t="inlineStr">
        <is>
          <t>Attendee</t>
        </is>
      </c>
      <c r="C4359" t="inlineStr">
        <is>
          <t>CCO</t>
        </is>
      </c>
      <c r="D4359" t="inlineStr">
        <is>
          <t>Weber Logistics</t>
        </is>
      </c>
      <c r="E4359" t="inlineStr">
        <is>
          <t>United States</t>
        </is>
      </c>
      <c r="F4359" t="inlineStr">
        <is>
          <t>Yes</t>
        </is>
      </c>
      <c r="H4359" t="n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>
        <f>IFERROR(INDEX('Company Hitlist'!$AA:$AA,MATCH(D4359,'Company Hitlist'!$A:$A,0)),)</f>
        <v/>
      </c>
      <c r="O4359">
        <f>IFERROR(INDEX('Company Hitlist'!$N:$N,MATCH(D4359,'Company Hitlist'!$A:$A,0)),)</f>
        <v/>
      </c>
      <c r="Q4359" t="inlineStr">
        <is>
          <t>todo</t>
        </is>
      </c>
    </row>
    <row r="4360">
      <c r="A4360" t="inlineStr">
        <is>
          <t>Jay Kim</t>
        </is>
      </c>
      <c r="B4360" t="inlineStr">
        <is>
          <t>Attendee</t>
        </is>
      </c>
      <c r="C4360" t="inlineStr">
        <is>
          <t>Bio Department Director</t>
        </is>
      </c>
      <c r="D4360" t="inlineStr">
        <is>
          <t>Willog</t>
        </is>
      </c>
      <c r="F4360" t="inlineStr">
        <is>
          <t>Yes</t>
        </is>
      </c>
      <c r="H4360" t="n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>
        <f>IFERROR(INDEX('Company Hitlist'!$AA:$AA,MATCH(D4360,'Company Hitlist'!$A:$A,0)),)</f>
        <v/>
      </c>
      <c r="O4360">
        <f>IFERROR(INDEX('Company Hitlist'!$N:$N,MATCH(D4360,'Company Hitlist'!$A:$A,0)),)</f>
        <v/>
      </c>
      <c r="Q4360" t="inlineStr">
        <is>
          <t>todo</t>
        </is>
      </c>
    </row>
    <row r="4361">
      <c r="A4361" t="inlineStr">
        <is>
          <t>Jeff Porter</t>
        </is>
      </c>
      <c r="B4361" t="inlineStr">
        <is>
          <t>Attendee</t>
        </is>
      </c>
      <c r="C4361" t="inlineStr">
        <is>
          <t>Senior Director, Asset Development</t>
        </is>
      </c>
      <c r="D4361" t="inlineStr">
        <is>
          <t>Winsupply</t>
        </is>
      </c>
      <c r="F4361" t="inlineStr">
        <is>
          <t>Yes</t>
        </is>
      </c>
      <c r="H4361" t="n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>
        <f>IFERROR(INDEX('Company Hitlist'!$AA:$AA,MATCH(D4361,'Company Hitlist'!$A:$A,0)),)</f>
        <v/>
      </c>
      <c r="O4361">
        <f>IFERROR(INDEX('Company Hitlist'!$N:$N,MATCH(D4361,'Company Hitlist'!$A:$A,0)),)</f>
        <v/>
      </c>
      <c r="Q4361" t="inlineStr">
        <is>
          <t>todo</t>
        </is>
      </c>
    </row>
    <row r="4362">
      <c r="A4362" t="inlineStr">
        <is>
          <t>Darian Zigante</t>
        </is>
      </c>
      <c r="B4362" t="inlineStr">
        <is>
          <t>Attendee</t>
        </is>
      </c>
      <c r="C4362" t="inlineStr">
        <is>
          <t>Investor</t>
        </is>
      </c>
      <c r="D4362" t="inlineStr">
        <is>
          <t>Wittington Ventures</t>
        </is>
      </c>
      <c r="E4362" t="inlineStr">
        <is>
          <t>Canada</t>
        </is>
      </c>
      <c r="H4362" t="n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>
        <f>IFERROR(INDEX('Company Hitlist'!$AA:$AA,MATCH(D4362,'Company Hitlist'!$A:$A,0)),)</f>
        <v/>
      </c>
      <c r="O4362">
        <f>IFERROR(INDEX('Company Hitlist'!$N:$N,MATCH(D4362,'Company Hitlist'!$A:$A,0)),)</f>
        <v/>
      </c>
      <c r="Q4362" t="inlineStr">
        <is>
          <t>todo</t>
        </is>
      </c>
    </row>
    <row r="4363">
      <c r="A4363" t="inlineStr">
        <is>
          <t>Kevork Atinizian</t>
        </is>
      </c>
      <c r="B4363" t="inlineStr">
        <is>
          <t>Attendee</t>
        </is>
      </c>
      <c r="C4363" t="inlineStr">
        <is>
          <t>Associate</t>
        </is>
      </c>
      <c r="D4363" t="inlineStr">
        <is>
          <t>Wofford Advisors</t>
        </is>
      </c>
      <c r="E4363" t="inlineStr">
        <is>
          <t>United States</t>
        </is>
      </c>
      <c r="H4363" t="n">
        <v>0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>
        <f>IFERROR(INDEX('Company Hitlist'!$AA:$AA,MATCH(D4363,'Company Hitlist'!$A:$A,0)),)</f>
        <v/>
      </c>
      <c r="O4363">
        <f>IFERROR(INDEX('Company Hitlist'!$N:$N,MATCH(D4363,'Company Hitlist'!$A:$A,0)),)</f>
        <v/>
      </c>
      <c r="Q4363" t="inlineStr">
        <is>
          <t>todo</t>
        </is>
      </c>
    </row>
    <row r="4364">
      <c r="A4364" t="inlineStr">
        <is>
          <t>Ron Chang</t>
        </is>
      </c>
      <c r="B4364" t="inlineStr">
        <is>
          <t>Attendee</t>
        </is>
      </c>
      <c r="C4364" t="inlineStr">
        <is>
          <t>Managing Director</t>
        </is>
      </c>
      <c r="D4364" t="inlineStr">
        <is>
          <t>Wofford Advisors</t>
        </is>
      </c>
      <c r="E4364" t="inlineStr">
        <is>
          <t>United States</t>
        </is>
      </c>
      <c r="H4364" t="n">
        <v>0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>
        <f>IFERROR(INDEX('Company Hitlist'!$AA:$AA,MATCH(D4364,'Company Hitlist'!$A:$A,0)),)</f>
        <v/>
      </c>
      <c r="O4364">
        <f>IFERROR(INDEX('Company Hitlist'!$N:$N,MATCH(D4364,'Company Hitlist'!$A:$A,0)),)</f>
        <v/>
      </c>
      <c r="Q4364" t="inlineStr">
        <is>
          <t>todo</t>
        </is>
      </c>
    </row>
    <row r="4365">
      <c r="A4365" t="inlineStr">
        <is>
          <t>Chase Pham</t>
        </is>
      </c>
      <c r="B4365" t="inlineStr">
        <is>
          <t>Attendee</t>
        </is>
      </c>
      <c r="C4365" t="inlineStr">
        <is>
          <t>Buyer</t>
        </is>
      </c>
      <c r="D4365" t="inlineStr">
        <is>
          <t>Woodland Gourmet</t>
        </is>
      </c>
      <c r="F4365" t="inlineStr">
        <is>
          <t>Yes</t>
        </is>
      </c>
      <c r="H4365" t="n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>
        <f>IFERROR(INDEX('Company Hitlist'!$AA:$AA,MATCH(D4365,'Company Hitlist'!$A:$A,0)),)</f>
        <v/>
      </c>
      <c r="O4365">
        <f>IFERROR(INDEX('Company Hitlist'!$N:$N,MATCH(D4365,'Company Hitlist'!$A:$A,0)),)</f>
        <v/>
      </c>
      <c r="Q4365" t="inlineStr">
        <is>
          <t>todo</t>
        </is>
      </c>
    </row>
    <row r="4366">
      <c r="A4366" t="inlineStr">
        <is>
          <t>Jeremy Quam</t>
        </is>
      </c>
      <c r="B4366" t="inlineStr">
        <is>
          <t>Attendee</t>
        </is>
      </c>
      <c r="C4366" t="inlineStr">
        <is>
          <t>FSR</t>
        </is>
      </c>
      <c r="D4366" t="inlineStr">
        <is>
          <t>Woolpert Digital Innovations</t>
        </is>
      </c>
      <c r="E4366" t="inlineStr">
        <is>
          <t>United States</t>
        </is>
      </c>
      <c r="H4366" t="n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>
        <f>IFERROR(INDEX('Company Hitlist'!$AA:$AA,MATCH(D4366,'Company Hitlist'!$A:$A,0)),)</f>
        <v/>
      </c>
      <c r="O4366">
        <f>IFERROR(INDEX('Company Hitlist'!$N:$N,MATCH(D4366,'Company Hitlist'!$A:$A,0)),)</f>
        <v/>
      </c>
      <c r="Q4366" t="inlineStr">
        <is>
          <t>todo</t>
        </is>
      </c>
    </row>
    <row r="4367">
      <c r="A4367" t="inlineStr">
        <is>
          <t>Justin McKinney</t>
        </is>
      </c>
      <c r="B4367" t="inlineStr">
        <is>
          <t>Attendee</t>
        </is>
      </c>
      <c r="C4367" t="inlineStr">
        <is>
          <t>BDR</t>
        </is>
      </c>
      <c r="D4367" t="inlineStr">
        <is>
          <t>Woolpert Digital Innovations</t>
        </is>
      </c>
      <c r="E4367" t="inlineStr">
        <is>
          <t>United States</t>
        </is>
      </c>
      <c r="H4367" t="n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  <c r="N4367">
        <f>IFERROR(INDEX('Company Hitlist'!$AA:$AA,MATCH(D4367,'Company Hitlist'!$A:$A,0)),)</f>
        <v/>
      </c>
      <c r="O4367">
        <f>IFERROR(INDEX('Company Hitlist'!$N:$N,MATCH(D4367,'Company Hitlist'!$A:$A,0)),)</f>
        <v/>
      </c>
      <c r="Q4367" t="inlineStr">
        <is>
          <t>todo</t>
        </is>
      </c>
    </row>
    <row r="4368">
      <c r="A4368" t="inlineStr">
        <is>
          <t>Simon Ma</t>
        </is>
      </c>
      <c r="B4368" t="inlineStr">
        <is>
          <t>Attendee</t>
        </is>
      </c>
      <c r="C4368" t="inlineStr">
        <is>
          <t>Analyst</t>
        </is>
      </c>
      <c r="D4368" t="inlineStr">
        <is>
          <t>Working Capital Advisors</t>
        </is>
      </c>
      <c r="E4368" t="inlineStr">
        <is>
          <t>United Kingdom</t>
        </is>
      </c>
      <c r="H4368" t="n">
        <v>0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>
        <f>IFERROR(INDEX('Company Hitlist'!$AA:$AA,MATCH(D4368,'Company Hitlist'!$A:$A,0)),)</f>
        <v/>
      </c>
      <c r="O4368">
        <f>IFERROR(INDEX('Company Hitlist'!$N:$N,MATCH(D4368,'Company Hitlist'!$A:$A,0)),)</f>
        <v/>
      </c>
      <c r="Q4368" t="inlineStr">
        <is>
          <t>todo</t>
        </is>
      </c>
    </row>
    <row r="4369">
      <c r="A4369" t="inlineStr">
        <is>
          <t>Bobby Cerchione</t>
        </is>
      </c>
      <c r="B4369" t="inlineStr">
        <is>
          <t>Attendee</t>
        </is>
      </c>
      <c r="C4369" t="inlineStr">
        <is>
          <t>Partner</t>
        </is>
      </c>
      <c r="D4369" t="inlineStr">
        <is>
          <t>Xpedited Services</t>
        </is>
      </c>
      <c r="E4369" t="inlineStr">
        <is>
          <t>United States</t>
        </is>
      </c>
      <c r="F4369" t="inlineStr">
        <is>
          <t>Yes</t>
        </is>
      </c>
      <c r="H4369" t="n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  <c r="N4369">
        <f>IFERROR(INDEX('Company Hitlist'!$AA:$AA,MATCH(D4369,'Company Hitlist'!$A:$A,0)),)</f>
        <v/>
      </c>
      <c r="O4369">
        <f>IFERROR(INDEX('Company Hitlist'!$N:$N,MATCH(D4369,'Company Hitlist'!$A:$A,0)),)</f>
        <v/>
      </c>
      <c r="Q4369" t="inlineStr">
        <is>
          <t>todo</t>
        </is>
      </c>
    </row>
    <row r="4370">
      <c r="A4370" t="inlineStr">
        <is>
          <t>Rafael Granato</t>
        </is>
      </c>
      <c r="B4370" t="inlineStr">
        <is>
          <t>Sponsor</t>
        </is>
      </c>
      <c r="C4370" t="inlineStr">
        <is>
          <t>VP of Marketing</t>
        </is>
      </c>
      <c r="D4370" t="inlineStr">
        <is>
          <t>YMX Logistics</t>
        </is>
      </c>
      <c r="E4370" t="inlineStr">
        <is>
          <t>United States</t>
        </is>
      </c>
      <c r="F4370" t="inlineStr">
        <is>
          <t>Yes</t>
        </is>
      </c>
      <c r="H4370" t="n">
        <v>0</v>
      </c>
      <c r="I4370" t="b">
        <v>0</v>
      </c>
      <c r="J4370" t="b">
        <v>1</v>
      </c>
      <c r="K4370" t="b">
        <v>0</v>
      </c>
      <c r="L4370" t="b">
        <v>0</v>
      </c>
      <c r="M4370" t="b">
        <v>1</v>
      </c>
      <c r="N4370">
        <f>IFERROR(INDEX('Company Hitlist'!$AA:$AA,MATCH(D4370,'Company Hitlist'!$A:$A,0)),)</f>
        <v/>
      </c>
      <c r="O4370">
        <f>IFERROR(INDEX('Company Hitlist'!$N:$N,MATCH(D4370,'Company Hitlist'!$A:$A,0)),)</f>
        <v/>
      </c>
      <c r="Q4370" t="inlineStr">
        <is>
          <t>todo</t>
        </is>
      </c>
    </row>
    <row r="4371">
      <c r="A4371" t="inlineStr">
        <is>
          <t>Mike Riegler</t>
        </is>
      </c>
      <c r="B4371" t="inlineStr">
        <is>
          <t>Attendee</t>
        </is>
      </c>
      <c r="C4371" t="inlineStr">
        <is>
          <t>Principal</t>
        </is>
      </c>
      <c r="D4371" t="inlineStr">
        <is>
          <t>YYR Innovation</t>
        </is>
      </c>
      <c r="E4371" t="inlineStr">
        <is>
          <t>United States</t>
        </is>
      </c>
      <c r="F4371" t="inlineStr">
        <is>
          <t>Yes</t>
        </is>
      </c>
      <c r="H4371" t="n">
        <v>0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  <c r="N4371">
        <f>IFERROR(INDEX('Company Hitlist'!$AA:$AA,MATCH(D4371,'Company Hitlist'!$A:$A,0)),)</f>
        <v/>
      </c>
      <c r="O4371">
        <f>IFERROR(INDEX('Company Hitlist'!$N:$N,MATCH(D4371,'Company Hitlist'!$A:$A,0)),)</f>
        <v/>
      </c>
      <c r="Q4371" t="inlineStr">
        <is>
          <t>todo</t>
        </is>
      </c>
    </row>
    <row r="4372">
      <c r="A4372" t="inlineStr">
        <is>
          <t>DANIEL BARTH</t>
        </is>
      </c>
      <c r="B4372" t="inlineStr">
        <is>
          <t>Attendee</t>
        </is>
      </c>
      <c r="C4372" t="inlineStr">
        <is>
          <t>Principal</t>
        </is>
      </c>
      <c r="D4372" t="inlineStr">
        <is>
          <t>Yamaha Motor Ventures</t>
        </is>
      </c>
      <c r="E4372" t="inlineStr">
        <is>
          <t>United States</t>
        </is>
      </c>
      <c r="H4372" t="n">
        <v>0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>
        <f>IFERROR(INDEX('Company Hitlist'!$AA:$AA,MATCH(D4372,'Company Hitlist'!$A:$A,0)),)</f>
        <v/>
      </c>
      <c r="O4372">
        <f>IFERROR(INDEX('Company Hitlist'!$N:$N,MATCH(D4372,'Company Hitlist'!$A:$A,0)),)</f>
        <v/>
      </c>
      <c r="Q4372" t="inlineStr">
        <is>
          <t>todo</t>
        </is>
      </c>
    </row>
    <row r="4373">
      <c r="A4373" t="inlineStr">
        <is>
          <t>Aiko Tabuchi</t>
        </is>
      </c>
      <c r="B4373" t="inlineStr">
        <is>
          <t>Attendee</t>
        </is>
      </c>
      <c r="C4373" t="inlineStr">
        <is>
          <t>Manager, Digital Innovation</t>
        </is>
      </c>
      <c r="D4373" t="inlineStr">
        <is>
          <t>Yamato Transport</t>
        </is>
      </c>
      <c r="H4373" t="n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>
        <f>IFERROR(INDEX('Company Hitlist'!$AA:$AA,MATCH(D4373,'Company Hitlist'!$A:$A,0)),)</f>
        <v/>
      </c>
      <c r="O4373">
        <f>IFERROR(INDEX('Company Hitlist'!$N:$N,MATCH(D4373,'Company Hitlist'!$A:$A,0)),)</f>
        <v/>
      </c>
      <c r="Q4373" t="inlineStr">
        <is>
          <t>todo</t>
        </is>
      </c>
    </row>
    <row r="4374">
      <c r="A4374" t="inlineStr">
        <is>
          <t>Maho Tachibana</t>
        </is>
      </c>
      <c r="B4374" t="inlineStr">
        <is>
          <t>Attendee</t>
        </is>
      </c>
      <c r="C4374" t="inlineStr">
        <is>
          <t>Innovation Analyst</t>
        </is>
      </c>
      <c r="D4374" t="inlineStr">
        <is>
          <t>Yamato transport</t>
        </is>
      </c>
      <c r="H4374" t="n">
        <v>0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>
        <f>IFERROR(INDEX('Company Hitlist'!$AA:$AA,MATCH(D4374,'Company Hitlist'!$A:$A,0)),)</f>
        <v/>
      </c>
      <c r="O4374">
        <f>IFERROR(INDEX('Company Hitlist'!$N:$N,MATCH(D4374,'Company Hitlist'!$A:$A,0)),)</f>
        <v/>
      </c>
      <c r="Q4374" t="inlineStr">
        <is>
          <t>todo</t>
        </is>
      </c>
    </row>
    <row r="4375">
      <c r="A4375" t="inlineStr">
        <is>
          <t>Bradley Oxley</t>
        </is>
      </c>
      <c r="B4375" t="inlineStr">
        <is>
          <t>Attendee</t>
        </is>
      </c>
      <c r="C4375" t="inlineStr">
        <is>
          <t>Manager</t>
        </is>
      </c>
      <c r="D4375" t="inlineStr">
        <is>
          <t>Yazaki</t>
        </is>
      </c>
      <c r="H4375" t="n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>
        <f>IFERROR(INDEX('Company Hitlist'!$AA:$AA,MATCH(D4375,'Company Hitlist'!$A:$A,0)),)</f>
        <v/>
      </c>
      <c r="O4375">
        <f>IFERROR(INDEX('Company Hitlist'!$N:$N,MATCH(D4375,'Company Hitlist'!$A:$A,0)),)</f>
        <v/>
      </c>
      <c r="Q4375" t="inlineStr">
        <is>
          <t>todo</t>
        </is>
      </c>
    </row>
    <row r="4376">
      <c r="A4376" t="inlineStr">
        <is>
          <t>Derek Andre</t>
        </is>
      </c>
      <c r="B4376" t="inlineStr">
        <is>
          <t>Attendee</t>
        </is>
      </c>
      <c r="C4376" t="inlineStr">
        <is>
          <t>Sr. Specialist</t>
        </is>
      </c>
      <c r="D4376" t="inlineStr">
        <is>
          <t>Yazaki</t>
        </is>
      </c>
      <c r="H4376" t="n">
        <v>0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>
        <f>IFERROR(INDEX('Company Hitlist'!$AA:$AA,MATCH(D4376,'Company Hitlist'!$A:$A,0)),)</f>
        <v/>
      </c>
      <c r="O4376">
        <f>IFERROR(INDEX('Company Hitlist'!$N:$N,MATCH(D4376,'Company Hitlist'!$A:$A,0)),)</f>
        <v/>
      </c>
      <c r="Q4376" t="inlineStr">
        <is>
          <t>todo</t>
        </is>
      </c>
    </row>
    <row r="4377">
      <c r="A4377" t="inlineStr">
        <is>
          <t>Eric Macuga</t>
        </is>
      </c>
      <c r="B4377" t="inlineStr">
        <is>
          <t>Attendee</t>
        </is>
      </c>
      <c r="C4377" t="inlineStr">
        <is>
          <t>Program Manager</t>
        </is>
      </c>
      <c r="D4377" t="inlineStr">
        <is>
          <t>Yazaki</t>
        </is>
      </c>
      <c r="H4377" t="n">
        <v>0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>
        <f>IFERROR(INDEX('Company Hitlist'!$AA:$AA,MATCH(D4377,'Company Hitlist'!$A:$A,0)),)</f>
        <v/>
      </c>
      <c r="O4377">
        <f>IFERROR(INDEX('Company Hitlist'!$N:$N,MATCH(D4377,'Company Hitlist'!$A:$A,0)),)</f>
        <v/>
      </c>
      <c r="Q4377" t="inlineStr">
        <is>
          <t>todo</t>
        </is>
      </c>
    </row>
    <row r="4378">
      <c r="A4378" t="inlineStr">
        <is>
          <t>Joe Duran</t>
        </is>
      </c>
      <c r="B4378" t="inlineStr">
        <is>
          <t>Attendee</t>
        </is>
      </c>
      <c r="C4378" t="inlineStr">
        <is>
          <t>Sr. Manager</t>
        </is>
      </c>
      <c r="D4378" t="inlineStr">
        <is>
          <t>Yazaki</t>
        </is>
      </c>
      <c r="H4378" t="n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>
        <f>IFERROR(INDEX('Company Hitlist'!$AA:$AA,MATCH(D4378,'Company Hitlist'!$A:$A,0)),)</f>
        <v/>
      </c>
      <c r="O4378">
        <f>IFERROR(INDEX('Company Hitlist'!$N:$N,MATCH(D4378,'Company Hitlist'!$A:$A,0)),)</f>
        <v/>
      </c>
      <c r="Q4378" t="inlineStr">
        <is>
          <t>todo</t>
        </is>
      </c>
    </row>
    <row r="4379">
      <c r="A4379" t="inlineStr">
        <is>
          <t>Josh Lipan</t>
        </is>
      </c>
      <c r="B4379" t="inlineStr">
        <is>
          <t>Attendee</t>
        </is>
      </c>
      <c r="C4379" t="inlineStr">
        <is>
          <t>Program Manager</t>
        </is>
      </c>
      <c r="D4379" t="inlineStr">
        <is>
          <t>Yazaki</t>
        </is>
      </c>
      <c r="H4379" t="n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>
        <f>IFERROR(INDEX('Company Hitlist'!$AA:$AA,MATCH(D4379,'Company Hitlist'!$A:$A,0)),)</f>
        <v/>
      </c>
      <c r="O4379">
        <f>IFERROR(INDEX('Company Hitlist'!$N:$N,MATCH(D4379,'Company Hitlist'!$A:$A,0)),)</f>
        <v/>
      </c>
      <c r="Q4379" t="inlineStr">
        <is>
          <t>todo</t>
        </is>
      </c>
    </row>
    <row r="4380">
      <c r="A4380" t="inlineStr">
        <is>
          <t>Tracy George</t>
        </is>
      </c>
      <c r="B4380" t="inlineStr">
        <is>
          <t>Attendee</t>
        </is>
      </c>
      <c r="C4380" t="inlineStr">
        <is>
          <t>Director</t>
        </is>
      </c>
      <c r="D4380" t="inlineStr">
        <is>
          <t>Yazaki</t>
        </is>
      </c>
      <c r="H4380" t="n">
        <v>0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  <c r="N4380">
        <f>IFERROR(INDEX('Company Hitlist'!$AA:$AA,MATCH(D4380,'Company Hitlist'!$A:$A,0)),)</f>
        <v/>
      </c>
      <c r="O4380">
        <f>IFERROR(INDEX('Company Hitlist'!$N:$N,MATCH(D4380,'Company Hitlist'!$A:$A,0)),)</f>
        <v/>
      </c>
      <c r="Q4380" t="inlineStr">
        <is>
          <t>todo</t>
        </is>
      </c>
    </row>
    <row r="4381">
      <c r="A4381" t="inlineStr">
        <is>
          <t>Jason Wang</t>
        </is>
      </c>
      <c r="B4381" t="inlineStr">
        <is>
          <t>Attendee</t>
        </is>
      </c>
      <c r="C4381" t="inlineStr">
        <is>
          <t>Project Coordinator</t>
        </is>
      </c>
      <c r="D4381" t="inlineStr">
        <is>
          <t>Yazaki North America</t>
        </is>
      </c>
      <c r="E4381" t="inlineStr">
        <is>
          <t>United States</t>
        </is>
      </c>
      <c r="H4381" t="n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>
        <f>IFERROR(INDEX('Company Hitlist'!$AA:$AA,MATCH(D4381,'Company Hitlist'!$A:$A,0)),)</f>
        <v/>
      </c>
      <c r="O4381">
        <f>IFERROR(INDEX('Company Hitlist'!$N:$N,MATCH(D4381,'Company Hitlist'!$A:$A,0)),)</f>
        <v/>
      </c>
      <c r="Q4381" t="inlineStr">
        <is>
          <t>todo</t>
        </is>
      </c>
    </row>
    <row r="4382">
      <c r="A4382" t="inlineStr">
        <is>
          <t>Mark Filippi</t>
        </is>
      </c>
      <c r="B4382" t="inlineStr">
        <is>
          <t>Attendee</t>
        </is>
      </c>
      <c r="C4382" t="inlineStr">
        <is>
          <t>Project Manager</t>
        </is>
      </c>
      <c r="D4382" t="inlineStr">
        <is>
          <t>Yazaki North America</t>
        </is>
      </c>
      <c r="H4382" t="n">
        <v>0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>
        <f>IFERROR(INDEX('Company Hitlist'!$AA:$AA,MATCH(D4382,'Company Hitlist'!$A:$A,0)),)</f>
        <v/>
      </c>
      <c r="O4382">
        <f>IFERROR(INDEX('Company Hitlist'!$N:$N,MATCH(D4382,'Company Hitlist'!$A:$A,0)),)</f>
        <v/>
      </c>
      <c r="Q4382" t="inlineStr">
        <is>
          <t>todo</t>
        </is>
      </c>
    </row>
    <row r="4383">
      <c r="A4383" t="inlineStr">
        <is>
          <t>Kenta Itow</t>
        </is>
      </c>
      <c r="B4383" t="inlineStr">
        <is>
          <t>Sponsor</t>
        </is>
      </c>
      <c r="C4383" t="inlineStr">
        <is>
          <t>Head of Growth</t>
        </is>
      </c>
      <c r="D4383" t="inlineStr">
        <is>
          <t>Yondu AI</t>
        </is>
      </c>
      <c r="E4383" t="inlineStr">
        <is>
          <t>United States</t>
        </is>
      </c>
      <c r="F4383" t="inlineStr">
        <is>
          <t>Yes</t>
        </is>
      </c>
      <c r="H4383" t="n">
        <v>0</v>
      </c>
      <c r="I4383" t="b">
        <v>0</v>
      </c>
      <c r="J4383" t="b">
        <v>1</v>
      </c>
      <c r="K4383" t="b">
        <v>0</v>
      </c>
      <c r="L4383" t="b">
        <v>0</v>
      </c>
      <c r="M4383" t="b">
        <v>1</v>
      </c>
      <c r="N4383">
        <f>IFERROR(INDEX('Company Hitlist'!$AA:$AA,MATCH(D4383,'Company Hitlist'!$A:$A,0)),)</f>
        <v/>
      </c>
      <c r="O4383">
        <f>IFERROR(INDEX('Company Hitlist'!$N:$N,MATCH(D4383,'Company Hitlist'!$A:$A,0)),)</f>
        <v/>
      </c>
      <c r="Q4383" t="inlineStr">
        <is>
          <t>todo</t>
        </is>
      </c>
    </row>
    <row r="4384">
      <c r="A4384" t="inlineStr">
        <is>
          <t>Preston Powell</t>
        </is>
      </c>
      <c r="B4384" t="inlineStr">
        <is>
          <t>Attendee</t>
        </is>
      </c>
      <c r="C4384" t="inlineStr">
        <is>
          <t>Owner</t>
        </is>
      </c>
      <c r="D4384" t="inlineStr">
        <is>
          <t>Yukon Outfitters</t>
        </is>
      </c>
      <c r="F4384" t="inlineStr">
        <is>
          <t>Yes</t>
        </is>
      </c>
      <c r="H4384" t="n">
        <v>0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>
        <f>IFERROR(INDEX('Company Hitlist'!$AA:$AA,MATCH(D4384,'Company Hitlist'!$A:$A,0)),)</f>
        <v/>
      </c>
      <c r="O4384">
        <f>IFERROR(INDEX('Company Hitlist'!$N:$N,MATCH(D4384,'Company Hitlist'!$A:$A,0)),)</f>
        <v/>
      </c>
      <c r="Q4384" t="inlineStr">
        <is>
          <t>todo</t>
        </is>
      </c>
    </row>
    <row r="4385">
      <c r="A4385" t="inlineStr">
        <is>
          <t>Avi Chai</t>
        </is>
      </c>
      <c r="B4385" t="inlineStr">
        <is>
          <t>Attendee</t>
        </is>
      </c>
      <c r="C4385" t="inlineStr">
        <is>
          <t>Investor</t>
        </is>
      </c>
      <c r="D4385" t="inlineStr">
        <is>
          <t>ZIM Ventures at ZIM</t>
        </is>
      </c>
      <c r="E4385" t="inlineStr">
        <is>
          <t>United States</t>
        </is>
      </c>
      <c r="H4385" t="n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>
        <f>IFERROR(INDEX('Company Hitlist'!$AA:$AA,MATCH(D4385,'Company Hitlist'!$A:$A,0)),)</f>
        <v/>
      </c>
      <c r="O4385">
        <f>IFERROR(INDEX('Company Hitlist'!$N:$N,MATCH(D4385,'Company Hitlist'!$A:$A,0)),)</f>
        <v/>
      </c>
      <c r="Q4385" t="inlineStr">
        <is>
          <t>todo</t>
        </is>
      </c>
    </row>
    <row r="4386">
      <c r="A4386" t="inlineStr">
        <is>
          <t>Dror Wayne</t>
        </is>
      </c>
      <c r="B4386" t="inlineStr">
        <is>
          <t>Sponsor</t>
        </is>
      </c>
      <c r="C4386" t="inlineStr">
        <is>
          <t>Head of Marketing</t>
        </is>
      </c>
      <c r="D4386" t="inlineStr">
        <is>
          <t>ZIMARK</t>
        </is>
      </c>
      <c r="E4386" t="inlineStr">
        <is>
          <t>Israel</t>
        </is>
      </c>
      <c r="F4386" t="inlineStr">
        <is>
          <t>Yes</t>
        </is>
      </c>
      <c r="H4386" t="n">
        <v>0</v>
      </c>
      <c r="I4386" t="b">
        <v>0</v>
      </c>
      <c r="J4386" t="b">
        <v>1</v>
      </c>
      <c r="K4386" t="b">
        <v>0</v>
      </c>
      <c r="L4386" t="b">
        <v>0</v>
      </c>
      <c r="M4386" t="b">
        <v>1</v>
      </c>
      <c r="N4386">
        <f>IFERROR(INDEX('Company Hitlist'!$AA:$AA,MATCH(D4386,'Company Hitlist'!$A:$A,0)),)</f>
        <v/>
      </c>
      <c r="O4386">
        <f>IFERROR(INDEX('Company Hitlist'!$N:$N,MATCH(D4386,'Company Hitlist'!$A:$A,0)),)</f>
        <v/>
      </c>
      <c r="Q4386" t="inlineStr">
        <is>
          <t>todo</t>
        </is>
      </c>
    </row>
    <row r="4387">
      <c r="A4387" t="inlineStr">
        <is>
          <t>Michael Boccardi</t>
        </is>
      </c>
      <c r="B4387" t="inlineStr">
        <is>
          <t>Sponsor</t>
        </is>
      </c>
      <c r="C4387" t="inlineStr">
        <is>
          <t>Head of Strategic Growth</t>
        </is>
      </c>
      <c r="D4387" t="inlineStr">
        <is>
          <t>ZIMARK</t>
        </is>
      </c>
      <c r="F4387" t="inlineStr">
        <is>
          <t>Yes</t>
        </is>
      </c>
      <c r="H4387" t="n">
        <v>0</v>
      </c>
      <c r="I4387" t="b">
        <v>0</v>
      </c>
      <c r="J4387" t="b">
        <v>1</v>
      </c>
      <c r="K4387" t="b">
        <v>0</v>
      </c>
      <c r="L4387" t="b">
        <v>0</v>
      </c>
      <c r="M4387" t="b">
        <v>1</v>
      </c>
      <c r="N4387">
        <f>IFERROR(INDEX('Company Hitlist'!$AA:$AA,MATCH(D4387,'Company Hitlist'!$A:$A,0)),)</f>
        <v/>
      </c>
      <c r="O4387">
        <f>IFERROR(INDEX('Company Hitlist'!$N:$N,MATCH(D4387,'Company Hitlist'!$A:$A,0)),)</f>
        <v/>
      </c>
      <c r="Q4387" t="inlineStr">
        <is>
          <t>todo</t>
        </is>
      </c>
    </row>
    <row r="4388">
      <c r="A4388" t="inlineStr">
        <is>
          <t>Chris De Leon</t>
        </is>
      </c>
      <c r="B4388" t="inlineStr">
        <is>
          <t>Attendee</t>
        </is>
      </c>
      <c r="C4388" t="inlineStr">
        <is>
          <t>Director, Transportaion</t>
        </is>
      </c>
      <c r="D4388" t="inlineStr">
        <is>
          <t>ZenWTR</t>
        </is>
      </c>
      <c r="E4388" t="inlineStr">
        <is>
          <t>United States</t>
        </is>
      </c>
      <c r="F4388" t="inlineStr">
        <is>
          <t>Yes</t>
        </is>
      </c>
      <c r="H4388" t="n">
        <v>0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>
        <f>IFERROR(INDEX('Company Hitlist'!$AA:$AA,MATCH(D4388,'Company Hitlist'!$A:$A,0)),)</f>
        <v/>
      </c>
      <c r="O4388">
        <f>IFERROR(INDEX('Company Hitlist'!$N:$N,MATCH(D4388,'Company Hitlist'!$A:$A,0)),)</f>
        <v/>
      </c>
      <c r="Q4388" t="inlineStr">
        <is>
          <t>todo</t>
        </is>
      </c>
    </row>
    <row r="4389">
      <c r="A4389" t="inlineStr">
        <is>
          <t>Michael Starr</t>
        </is>
      </c>
      <c r="B4389" t="inlineStr">
        <is>
          <t>Sponsor</t>
        </is>
      </c>
      <c r="C4389" t="inlineStr">
        <is>
          <t>VP of Growth</t>
        </is>
      </c>
      <c r="D4389" t="inlineStr">
        <is>
          <t>Zencargo</t>
        </is>
      </c>
      <c r="E4389" t="inlineStr">
        <is>
          <t>United States</t>
        </is>
      </c>
      <c r="F4389" t="inlineStr">
        <is>
          <t>Yes</t>
        </is>
      </c>
      <c r="H4389" t="n">
        <v>0</v>
      </c>
      <c r="I4389" t="b">
        <v>0</v>
      </c>
      <c r="J4389" t="b">
        <v>1</v>
      </c>
      <c r="K4389" t="b">
        <v>0</v>
      </c>
      <c r="L4389" t="b">
        <v>0</v>
      </c>
      <c r="M4389" t="b">
        <v>1</v>
      </c>
      <c r="N4389">
        <f>IFERROR(INDEX('Company Hitlist'!$AA:$AA,MATCH(D4389,'Company Hitlist'!$A:$A,0)),)</f>
        <v/>
      </c>
      <c r="O4389">
        <f>IFERROR(INDEX('Company Hitlist'!$N:$N,MATCH(D4389,'Company Hitlist'!$A:$A,0)),)</f>
        <v/>
      </c>
      <c r="Q4389" t="inlineStr">
        <is>
          <t>todo</t>
        </is>
      </c>
    </row>
    <row r="4390">
      <c r="A4390" t="inlineStr">
        <is>
          <t>Jenna Fink</t>
        </is>
      </c>
      <c r="B4390" t="inlineStr">
        <is>
          <t>Attendee</t>
        </is>
      </c>
      <c r="C4390" t="inlineStr">
        <is>
          <t>Principal Analyst</t>
        </is>
      </c>
      <c r="D4390" t="inlineStr">
        <is>
          <t>Zero100</t>
        </is>
      </c>
      <c r="E4390" t="inlineStr">
        <is>
          <t>United Kingdom</t>
        </is>
      </c>
      <c r="F4390" t="inlineStr">
        <is>
          <t>Yes</t>
        </is>
      </c>
      <c r="H4390" t="n">
        <v>0</v>
      </c>
      <c r="I4390" t="b">
        <v>0</v>
      </c>
      <c r="J4390" t="b">
        <v>0</v>
      </c>
      <c r="K4390" t="b">
        <v>0</v>
      </c>
      <c r="L4390" t="b">
        <v>0</v>
      </c>
      <c r="M4390" t="b">
        <v>0</v>
      </c>
      <c r="N4390">
        <f>IFERROR(INDEX('Company Hitlist'!$AA:$AA,MATCH(D4390,'Company Hitlist'!$A:$A,0)),)</f>
        <v/>
      </c>
      <c r="O4390">
        <f>IFERROR(INDEX('Company Hitlist'!$N:$N,MATCH(D4390,'Company Hitlist'!$A:$A,0)),)</f>
        <v/>
      </c>
      <c r="Q4390" t="inlineStr">
        <is>
          <t>todo</t>
        </is>
      </c>
    </row>
    <row r="4391">
      <c r="A4391" t="inlineStr">
        <is>
          <t>David Narayan</t>
        </is>
      </c>
      <c r="B4391" t="inlineStr">
        <is>
          <t>Attendee</t>
        </is>
      </c>
      <c r="C4391" t="inlineStr">
        <is>
          <t>Founder</t>
        </is>
      </c>
      <c r="D4391" t="inlineStr">
        <is>
          <t>anata</t>
        </is>
      </c>
      <c r="F4391" t="inlineStr">
        <is>
          <t>Yes</t>
        </is>
      </c>
      <c r="H4391" t="n">
        <v>0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>
        <f>IFERROR(INDEX('Company Hitlist'!$AA:$AA,MATCH(D4391,'Company Hitlist'!$A:$A,0)),)</f>
        <v/>
      </c>
      <c r="O4391">
        <f>IFERROR(INDEX('Company Hitlist'!$N:$N,MATCH(D4391,'Company Hitlist'!$A:$A,0)),)</f>
        <v/>
      </c>
      <c r="Q4391" t="inlineStr">
        <is>
          <t>todo</t>
        </is>
      </c>
    </row>
    <row r="4392">
      <c r="A4392" t="inlineStr">
        <is>
          <t>gary bloomworth</t>
        </is>
      </c>
      <c r="B4392" t="inlineStr">
        <is>
          <t>Attendee</t>
        </is>
      </c>
      <c r="C4392" t="inlineStr">
        <is>
          <t>qa</t>
        </is>
      </c>
      <c r="D4392" t="inlineStr">
        <is>
          <t>connectiv</t>
        </is>
      </c>
      <c r="E4392" t="inlineStr">
        <is>
          <t>United States</t>
        </is>
      </c>
      <c r="F4392" t="inlineStr">
        <is>
          <t>Yes</t>
        </is>
      </c>
      <c r="H4392" t="n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>
        <f>IFERROR(INDEX('Company Hitlist'!$AA:$AA,MATCH(D4392,'Company Hitlist'!$A:$A,0)),)</f>
        <v/>
      </c>
      <c r="O4392">
        <f>IFERROR(INDEX('Company Hitlist'!$N:$N,MATCH(D4392,'Company Hitlist'!$A:$A,0)),)</f>
        <v/>
      </c>
      <c r="Q4392" t="inlineStr">
        <is>
          <t>todo</t>
        </is>
      </c>
    </row>
    <row r="4393">
      <c r="A4393" t="inlineStr">
        <is>
          <t>gary bogachkov</t>
        </is>
      </c>
      <c r="B4393" t="inlineStr">
        <is>
          <t>Attendee</t>
        </is>
      </c>
      <c r="C4393" t="inlineStr">
        <is>
          <t>QA</t>
        </is>
      </c>
      <c r="D4393" t="inlineStr">
        <is>
          <t>connectiv</t>
        </is>
      </c>
      <c r="E4393" t="inlineStr">
        <is>
          <t>United States</t>
        </is>
      </c>
      <c r="F4393" t="inlineStr">
        <is>
          <t>Yes</t>
        </is>
      </c>
      <c r="H4393" t="n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>
        <f>IFERROR(INDEX('Company Hitlist'!$AA:$AA,MATCH(D4393,'Company Hitlist'!$A:$A,0)),)</f>
        <v/>
      </c>
      <c r="O4393">
        <f>IFERROR(INDEX('Company Hitlist'!$N:$N,MATCH(D4393,'Company Hitlist'!$A:$A,0)),)</f>
        <v/>
      </c>
      <c r="Q4393" t="inlineStr">
        <is>
          <t>todo</t>
        </is>
      </c>
    </row>
    <row r="4394">
      <c r="A4394" t="inlineStr">
        <is>
          <t>gary jorison</t>
        </is>
      </c>
      <c r="B4394" t="inlineStr">
        <is>
          <t>Attendee</t>
        </is>
      </c>
      <c r="C4394" t="inlineStr">
        <is>
          <t>qa</t>
        </is>
      </c>
      <c r="D4394" t="inlineStr">
        <is>
          <t>connectiv</t>
        </is>
      </c>
      <c r="E4394" t="inlineStr">
        <is>
          <t>United States</t>
        </is>
      </c>
      <c r="F4394" t="inlineStr">
        <is>
          <t>Yes</t>
        </is>
      </c>
      <c r="H4394" t="n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>
        <f>IFERROR(INDEX('Company Hitlist'!$AA:$AA,MATCH(D4394,'Company Hitlist'!$A:$A,0)),)</f>
        <v/>
      </c>
      <c r="O4394">
        <f>IFERROR(INDEX('Company Hitlist'!$N:$N,MATCH(D4394,'Company Hitlist'!$A:$A,0)),)</f>
        <v/>
      </c>
      <c r="Q4394" t="inlineStr">
        <is>
          <t>todo</t>
        </is>
      </c>
    </row>
    <row r="4395">
      <c r="A4395" t="inlineStr">
        <is>
          <t>gary pangorsky II</t>
        </is>
      </c>
      <c r="B4395" t="inlineStr">
        <is>
          <t>Attendee</t>
        </is>
      </c>
      <c r="C4395" t="inlineStr">
        <is>
          <t>QA</t>
        </is>
      </c>
      <c r="D4395" t="inlineStr">
        <is>
          <t>connectiv</t>
        </is>
      </c>
      <c r="E4395" t="inlineStr">
        <is>
          <t>United States</t>
        </is>
      </c>
      <c r="F4395" t="inlineStr">
        <is>
          <t>Yes</t>
        </is>
      </c>
      <c r="H4395" t="n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  <c r="N4395">
        <f>IFERROR(INDEX('Company Hitlist'!$AA:$AA,MATCH(D4395,'Company Hitlist'!$A:$A,0)),)</f>
        <v/>
      </c>
      <c r="O4395">
        <f>IFERROR(INDEX('Company Hitlist'!$N:$N,MATCH(D4395,'Company Hitlist'!$A:$A,0)),)</f>
        <v/>
      </c>
      <c r="Q4395" t="inlineStr">
        <is>
          <t>todo</t>
        </is>
      </c>
    </row>
    <row r="4396">
      <c r="A4396" t="inlineStr">
        <is>
          <t>zack delton</t>
        </is>
      </c>
      <c r="B4396" t="inlineStr">
        <is>
          <t>Attendee</t>
        </is>
      </c>
      <c r="C4396" t="inlineStr">
        <is>
          <t>qa</t>
        </is>
      </c>
      <c r="D4396" t="inlineStr">
        <is>
          <t>connectiv</t>
        </is>
      </c>
      <c r="E4396" t="inlineStr">
        <is>
          <t>United States</t>
        </is>
      </c>
      <c r="F4396" t="inlineStr">
        <is>
          <t>Yes</t>
        </is>
      </c>
      <c r="H4396" t="n">
        <v>0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>
        <f>IFERROR(INDEX('Company Hitlist'!$AA:$AA,MATCH(D4396,'Company Hitlist'!$A:$A,0)),)</f>
        <v/>
      </c>
      <c r="O4396">
        <f>IFERROR(INDEX('Company Hitlist'!$N:$N,MATCH(D4396,'Company Hitlist'!$A:$A,0)),)</f>
        <v/>
      </c>
      <c r="Q4396" t="inlineStr">
        <is>
          <t>todo</t>
        </is>
      </c>
    </row>
    <row r="4397">
      <c r="A4397" t="inlineStr">
        <is>
          <t>ronald townsend</t>
        </is>
      </c>
      <c r="B4397" t="inlineStr">
        <is>
          <t>Attendee</t>
        </is>
      </c>
      <c r="C4397" t="inlineStr">
        <is>
          <t>QA</t>
        </is>
      </c>
      <c r="D4397" t="inlineStr">
        <is>
          <t>connectiv</t>
        </is>
      </c>
      <c r="F4397" t="inlineStr">
        <is>
          <t>Yes</t>
        </is>
      </c>
      <c r="H4397" t="n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>
        <f>IFERROR(INDEX('Company Hitlist'!$AA:$AA,MATCH(D4397,'Company Hitlist'!$A:$A,0)),)</f>
        <v/>
      </c>
      <c r="O4397">
        <f>IFERROR(INDEX('Company Hitlist'!$N:$N,MATCH(D4397,'Company Hitlist'!$A:$A,0)),)</f>
        <v/>
      </c>
      <c r="Q4397" t="inlineStr">
        <is>
          <t>todo</t>
        </is>
      </c>
    </row>
    <row r="4398">
      <c r="A4398" t="inlineStr">
        <is>
          <t>Jim Mullen</t>
        </is>
      </c>
      <c r="B4398" t="inlineStr">
        <is>
          <t>Attendee</t>
        </is>
      </c>
      <c r="C4398" t="inlineStr">
        <is>
          <t>Board Member</t>
        </is>
      </c>
      <c r="D4398" t="inlineStr">
        <is>
          <t>driverDoc</t>
        </is>
      </c>
      <c r="E4398" t="inlineStr">
        <is>
          <t>United States</t>
        </is>
      </c>
      <c r="F4398" t="inlineStr">
        <is>
          <t>Yes</t>
        </is>
      </c>
      <c r="H4398" t="n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>
        <f>IFERROR(INDEX('Company Hitlist'!$AA:$AA,MATCH(D4398,'Company Hitlist'!$A:$A,0)),)</f>
        <v/>
      </c>
      <c r="O4398">
        <f>IFERROR(INDEX('Company Hitlist'!$N:$N,MATCH(D4398,'Company Hitlist'!$A:$A,0)),)</f>
        <v/>
      </c>
      <c r="Q4398" t="inlineStr">
        <is>
          <t>todo</t>
        </is>
      </c>
    </row>
    <row r="4399">
      <c r="A4399" t="inlineStr">
        <is>
          <t>Bruce seidel</t>
        </is>
      </c>
      <c r="B4399" t="inlineStr">
        <is>
          <t>Attendee</t>
        </is>
      </c>
      <c r="C4399" t="inlineStr">
        <is>
          <t>Investments &amp; Platform</t>
        </is>
      </c>
      <c r="D4399" t="inlineStr">
        <is>
          <t>eGateway Capital</t>
        </is>
      </c>
      <c r="E4399" t="inlineStr">
        <is>
          <t>United States</t>
        </is>
      </c>
      <c r="H4399" t="n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>
        <f>IFERROR(INDEX('Company Hitlist'!$AA:$AA,MATCH(D4399,'Company Hitlist'!$A:$A,0)),)</f>
        <v/>
      </c>
      <c r="O4399">
        <f>IFERROR(INDEX('Company Hitlist'!$N:$N,MATCH(D4399,'Company Hitlist'!$A:$A,0)),)</f>
        <v/>
      </c>
      <c r="Q4399" t="inlineStr">
        <is>
          <t>todo</t>
        </is>
      </c>
    </row>
    <row r="4400">
      <c r="A4400" t="inlineStr">
        <is>
          <t>Helaine Rich</t>
        </is>
      </c>
      <c r="B4400" t="inlineStr">
        <is>
          <t>Sponsor</t>
        </is>
      </c>
      <c r="C4400" t="inlineStr">
        <is>
          <t>Vice President of Strategic Sales &amp; Administration</t>
        </is>
      </c>
      <c r="D4400" t="inlineStr">
        <is>
          <t>ePost Global</t>
        </is>
      </c>
      <c r="H4400" t="n">
        <v>0</v>
      </c>
      <c r="I4400" t="b">
        <v>0</v>
      </c>
      <c r="J4400" t="b">
        <v>1</v>
      </c>
      <c r="K4400" t="b">
        <v>0</v>
      </c>
      <c r="L4400" t="b">
        <v>0</v>
      </c>
      <c r="M4400" t="b">
        <v>1</v>
      </c>
      <c r="N4400">
        <f>IFERROR(INDEX('Company Hitlist'!$AA:$AA,MATCH(D4400,'Company Hitlist'!$A:$A,0)),)</f>
        <v/>
      </c>
      <c r="O4400">
        <f>IFERROR(INDEX('Company Hitlist'!$N:$N,MATCH(D4400,'Company Hitlist'!$A:$A,0)),)</f>
        <v/>
      </c>
      <c r="Q4400" t="inlineStr">
        <is>
          <t>todo</t>
        </is>
      </c>
    </row>
    <row r="4401">
      <c r="A4401" t="inlineStr">
        <is>
          <t>Matt Roche</t>
        </is>
      </c>
      <c r="B4401" t="inlineStr">
        <is>
          <t>Attendee</t>
        </is>
      </c>
      <c r="C4401" t="inlineStr">
        <is>
          <t>Client Partner</t>
        </is>
      </c>
      <c r="D4401" t="inlineStr">
        <is>
          <t>evolv Consulting</t>
        </is>
      </c>
      <c r="E4401" t="inlineStr">
        <is>
          <t>United States</t>
        </is>
      </c>
      <c r="H4401" t="n">
        <v>0</v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  <c r="N4401">
        <f>IFERROR(INDEX('Company Hitlist'!$AA:$AA,MATCH(D4401,'Company Hitlist'!$A:$A,0)),)</f>
        <v/>
      </c>
      <c r="O4401">
        <f>IFERROR(INDEX('Company Hitlist'!$N:$N,MATCH(D4401,'Company Hitlist'!$A:$A,0)),)</f>
        <v/>
      </c>
      <c r="Q4401" t="inlineStr">
        <is>
          <t>todo</t>
        </is>
      </c>
    </row>
    <row r="4402">
      <c r="A4402" t="inlineStr">
        <is>
          <t>Jonathan Alejandro</t>
        </is>
      </c>
      <c r="B4402" t="inlineStr">
        <is>
          <t>Attendee</t>
        </is>
      </c>
      <c r="C4402" t="inlineStr">
        <is>
          <t>Freight Manager</t>
        </is>
      </c>
      <c r="D4402" t="inlineStr">
        <is>
          <t>goodr</t>
        </is>
      </c>
      <c r="H4402" t="n">
        <v>0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>
        <f>IFERROR(INDEX('Company Hitlist'!$AA:$AA,MATCH(D4402,'Company Hitlist'!$A:$A,0)),)</f>
        <v/>
      </c>
      <c r="O4402">
        <f>IFERROR(INDEX('Company Hitlist'!$N:$N,MATCH(D4402,'Company Hitlist'!$A:$A,0)),)</f>
        <v/>
      </c>
      <c r="Q4402" t="inlineStr">
        <is>
          <t>todo</t>
        </is>
      </c>
    </row>
    <row r="4403">
      <c r="A4403" t="inlineStr">
        <is>
          <t>Michael Brown</t>
        </is>
      </c>
      <c r="B4403" t="inlineStr">
        <is>
          <t>Attendee</t>
        </is>
      </c>
      <c r="C4403" t="inlineStr">
        <is>
          <t>Fullfillment Manager</t>
        </is>
      </c>
      <c r="D4403" t="inlineStr">
        <is>
          <t>goodr</t>
        </is>
      </c>
      <c r="H4403" t="n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0</v>
      </c>
      <c r="N4403">
        <f>IFERROR(INDEX('Company Hitlist'!$AA:$AA,MATCH(D4403,'Company Hitlist'!$A:$A,0)),)</f>
        <v/>
      </c>
      <c r="O4403">
        <f>IFERROR(INDEX('Company Hitlist'!$N:$N,MATCH(D4403,'Company Hitlist'!$A:$A,0)),)</f>
        <v/>
      </c>
      <c r="Q4403" t="inlineStr">
        <is>
          <t>todo</t>
        </is>
      </c>
    </row>
    <row r="4404">
      <c r="A4404" t="inlineStr">
        <is>
          <t>Paul Bozich</t>
        </is>
      </c>
      <c r="B4404" t="inlineStr">
        <is>
          <t>Attendee</t>
        </is>
      </c>
      <c r="C4404" t="inlineStr">
        <is>
          <t>Director of Home Delivery</t>
        </is>
      </c>
      <c r="D4404" t="inlineStr">
        <is>
          <t>iFIT</t>
        </is>
      </c>
      <c r="F4404" t="inlineStr">
        <is>
          <t>Yes</t>
        </is>
      </c>
      <c r="H4404" t="n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>
        <f>IFERROR(INDEX('Company Hitlist'!$AA:$AA,MATCH(D4404,'Company Hitlist'!$A:$A,0)),)</f>
        <v/>
      </c>
      <c r="O4404">
        <f>IFERROR(INDEX('Company Hitlist'!$N:$N,MATCH(D4404,'Company Hitlist'!$A:$A,0)),)</f>
        <v/>
      </c>
      <c r="Q4404" t="inlineStr">
        <is>
          <t>todo</t>
        </is>
      </c>
    </row>
    <row r="4405">
      <c r="A4405" t="inlineStr">
        <is>
          <t>Chelsey Porter</t>
        </is>
      </c>
      <c r="B4405" t="inlineStr">
        <is>
          <t>Attendee</t>
        </is>
      </c>
      <c r="C4405" t="inlineStr">
        <is>
          <t>Carrier Relations Manager</t>
        </is>
      </c>
      <c r="D4405" t="inlineStr">
        <is>
          <t>iFIT</t>
        </is>
      </c>
      <c r="H4405" t="n">
        <v>0</v>
      </c>
      <c r="I4405" t="b">
        <v>0</v>
      </c>
      <c r="J4405" t="b">
        <v>0</v>
      </c>
      <c r="K4405" t="b">
        <v>0</v>
      </c>
      <c r="L4405" t="b">
        <v>0</v>
      </c>
      <c r="M4405" t="b">
        <v>0</v>
      </c>
      <c r="N4405">
        <f>IFERROR(INDEX('Company Hitlist'!$AA:$AA,MATCH(D4405,'Company Hitlist'!$A:$A,0)),)</f>
        <v/>
      </c>
      <c r="O4405">
        <f>IFERROR(INDEX('Company Hitlist'!$N:$N,MATCH(D4405,'Company Hitlist'!$A:$A,0)),)</f>
        <v/>
      </c>
      <c r="Q4405" t="inlineStr">
        <is>
          <t>todo</t>
        </is>
      </c>
    </row>
    <row r="4406">
      <c r="A4406" t="inlineStr">
        <is>
          <t>John Fuller</t>
        </is>
      </c>
      <c r="B4406" t="inlineStr">
        <is>
          <t>Attendee</t>
        </is>
      </c>
      <c r="C4406" t="inlineStr">
        <is>
          <t>Director of Warehousing</t>
        </is>
      </c>
      <c r="D4406" t="inlineStr">
        <is>
          <t>iFit</t>
        </is>
      </c>
      <c r="F4406" t="inlineStr">
        <is>
          <t>Yes</t>
        </is>
      </c>
      <c r="H4406" t="n">
        <v>0</v>
      </c>
      <c r="I4406" t="b">
        <v>0</v>
      </c>
      <c r="J4406" t="b">
        <v>0</v>
      </c>
      <c r="K4406" t="b">
        <v>0</v>
      </c>
      <c r="L4406" t="b">
        <v>0</v>
      </c>
      <c r="M4406" t="b">
        <v>0</v>
      </c>
      <c r="N4406">
        <f>IFERROR(INDEX('Company Hitlist'!$AA:$AA,MATCH(D4406,'Company Hitlist'!$A:$A,0)),)</f>
        <v/>
      </c>
      <c r="O4406">
        <f>IFERROR(INDEX('Company Hitlist'!$N:$N,MATCH(D4406,'Company Hitlist'!$A:$A,0)),)</f>
        <v/>
      </c>
      <c r="Q4406" t="inlineStr">
        <is>
          <t>todo</t>
        </is>
      </c>
    </row>
    <row r="4407">
      <c r="A4407" t="inlineStr">
        <is>
          <t>Bill Hunt</t>
        </is>
      </c>
      <c r="B4407" t="inlineStr">
        <is>
          <t>Sponsor</t>
        </is>
      </c>
      <c r="C4407" t="inlineStr">
        <is>
          <t>VP of Sales</t>
        </is>
      </c>
      <c r="D4407" t="inlineStr">
        <is>
          <t>nuVizz Inc.</t>
        </is>
      </c>
      <c r="E4407" t="inlineStr">
        <is>
          <t>United States</t>
        </is>
      </c>
      <c r="H4407" t="n">
        <v>0</v>
      </c>
      <c r="I4407" t="b">
        <v>0</v>
      </c>
      <c r="J4407" t="b">
        <v>1</v>
      </c>
      <c r="K4407" t="b">
        <v>0</v>
      </c>
      <c r="L4407" t="b">
        <v>0</v>
      </c>
      <c r="M4407" t="b">
        <v>1</v>
      </c>
      <c r="N4407">
        <f>IFERROR(INDEX('Company Hitlist'!$AA:$AA,MATCH(D4407,'Company Hitlist'!$A:$A,0)),)</f>
        <v/>
      </c>
      <c r="O4407">
        <f>IFERROR(INDEX('Company Hitlist'!$N:$N,MATCH(D4407,'Company Hitlist'!$A:$A,0)),)</f>
        <v/>
      </c>
      <c r="Q4407" t="inlineStr">
        <is>
          <t>todo</t>
        </is>
      </c>
    </row>
    <row r="4408">
      <c r="A4408" t="inlineStr">
        <is>
          <t>Samuel Rojas</t>
        </is>
      </c>
      <c r="B4408" t="inlineStr">
        <is>
          <t>Attendee</t>
        </is>
      </c>
      <c r="C4408" t="inlineStr">
        <is>
          <t>test</t>
        </is>
      </c>
      <c r="D4408" t="inlineStr">
        <is>
          <t>test</t>
        </is>
      </c>
      <c r="H4408" t="n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>
        <f>IFERROR(INDEX('Company Hitlist'!$AA:$AA,MATCH(D4408,'Company Hitlist'!$A:$A,0)),)</f>
        <v/>
      </c>
      <c r="O4408">
        <f>IFERROR(INDEX('Company Hitlist'!$N:$N,MATCH(D4408,'Company Hitlist'!$A:$A,0)),)</f>
        <v/>
      </c>
      <c r="Q4408" t="inlineStr">
        <is>
          <t>todo</t>
        </is>
      </c>
    </row>
    <row r="4409">
      <c r="A4409" t="inlineStr">
        <is>
          <t>Test Test</t>
        </is>
      </c>
      <c r="B4409" t="inlineStr">
        <is>
          <t>Attendee</t>
        </is>
      </c>
      <c r="C4409" t="inlineStr">
        <is>
          <t>test</t>
        </is>
      </c>
      <c r="D4409" t="inlineStr">
        <is>
          <t>test101</t>
        </is>
      </c>
      <c r="E4409" t="inlineStr">
        <is>
          <t>United Kingdom</t>
        </is>
      </c>
      <c r="H4409" t="n">
        <v>0</v>
      </c>
      <c r="I4409" t="b">
        <v>0</v>
      </c>
      <c r="J4409" t="b">
        <v>0</v>
      </c>
      <c r="K4409" t="b">
        <v>0</v>
      </c>
      <c r="L4409" t="b">
        <v>0</v>
      </c>
      <c r="M4409" t="b">
        <v>0</v>
      </c>
      <c r="N4409">
        <f>IFERROR(INDEX('Company Hitlist'!$AA:$AA,MATCH(D4409,'Company Hitlist'!$A:$A,0)),)</f>
        <v/>
      </c>
      <c r="O4409">
        <f>IFERROR(INDEX('Company Hitlist'!$N:$N,MATCH(D4409,'Company Hitlist'!$A:$A,0)),)</f>
        <v/>
      </c>
      <c r="Q4409" t="inlineStr">
        <is>
          <t>todo</t>
        </is>
      </c>
    </row>
    <row r="4410">
      <c r="A4410" t="inlineStr">
        <is>
          <t>Gary Greenfields</t>
        </is>
      </c>
      <c r="B4410" t="inlineStr">
        <is>
          <t>Attendee</t>
        </is>
      </c>
      <c r="C4410" t="inlineStr">
        <is>
          <t>QA</t>
        </is>
      </c>
      <c r="D4410" t="inlineStr">
        <is>
          <t>testafdafdas</t>
        </is>
      </c>
      <c r="E4410" t="inlineStr">
        <is>
          <t>United States</t>
        </is>
      </c>
      <c r="H4410" t="n">
        <v>0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>
        <f>IFERROR(INDEX('Company Hitlist'!$AA:$AA,MATCH(D4410,'Company Hitlist'!$A:$A,0)),)</f>
        <v/>
      </c>
      <c r="O4410">
        <f>IFERROR(INDEX('Company Hitlist'!$N:$N,MATCH(D4410,'Company Hitlist'!$A:$A,0)),)</f>
        <v/>
      </c>
      <c r="Q4410" t="inlineStr">
        <is>
          <t>todo</t>
        </is>
      </c>
    </row>
    <row r="4411">
      <c r="A4411" t="inlineStr">
        <is>
          <t>Testing Testing</t>
        </is>
      </c>
      <c r="B4411" t="inlineStr">
        <is>
          <t>Attendee</t>
        </is>
      </c>
      <c r="C4411" t="inlineStr">
        <is>
          <t>testing</t>
        </is>
      </c>
      <c r="D4411" t="inlineStr">
        <is>
          <t>testing</t>
        </is>
      </c>
      <c r="H4411" t="n">
        <v>0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  <c r="N4411">
        <f>IFERROR(INDEX('Company Hitlist'!$AA:$AA,MATCH(D4411,'Company Hitlist'!$A:$A,0)),)</f>
        <v/>
      </c>
      <c r="O4411">
        <f>IFERROR(INDEX('Company Hitlist'!$N:$N,MATCH(D4411,'Company Hitlist'!$A:$A,0)),)</f>
        <v/>
      </c>
      <c r="Q4411" t="inlineStr">
        <is>
          <t>todo</t>
        </is>
      </c>
    </row>
    <row r="4412">
      <c r="A4412" t="inlineStr">
        <is>
          <t>Kevin vonGrabe</t>
        </is>
      </c>
      <c r="B4412" t="inlineStr">
        <is>
          <t>Attendee</t>
        </is>
      </c>
      <c r="C4412" t="inlineStr">
        <is>
          <t>VP of Sales</t>
        </is>
      </c>
      <c r="D4412" t="inlineStr">
        <is>
          <t>130448</t>
        </is>
      </c>
      <c r="E4412" t="inlineStr">
        <is>
          <t>United States</t>
        </is>
      </c>
      <c r="H4412" t="n">
        <v>-2</v>
      </c>
      <c r="I4412" t="b">
        <v>0</v>
      </c>
      <c r="J4412" t="b">
        <v>1</v>
      </c>
      <c r="K4412" t="b">
        <v>0</v>
      </c>
      <c r="L4412" t="b">
        <v>0</v>
      </c>
      <c r="M4412" t="b">
        <v>1</v>
      </c>
      <c r="N4412">
        <f>IFERROR(INDEX('Company Hitlist'!$AA:$AA,MATCH(D4412,'Company Hitlist'!$A:$A,0)),)</f>
        <v/>
      </c>
      <c r="O4412">
        <f>IFERROR(INDEX('Company Hitlist'!$N:$N,MATCH(D4412,'Company Hitlist'!$A:$A,0)),)</f>
        <v/>
      </c>
      <c r="Q4412" t="inlineStr">
        <is>
          <t>todo</t>
        </is>
      </c>
    </row>
    <row r="4413">
      <c r="A4413" t="inlineStr">
        <is>
          <t>Laura Tourge</t>
        </is>
      </c>
      <c r="B4413" t="inlineStr">
        <is>
          <t>Attendee</t>
        </is>
      </c>
      <c r="C4413" t="inlineStr">
        <is>
          <t>VP of Marketing</t>
        </is>
      </c>
      <c r="D4413" t="inlineStr">
        <is>
          <t>A. Duie Pyle</t>
        </is>
      </c>
      <c r="E4413" t="inlineStr">
        <is>
          <t>United States</t>
        </is>
      </c>
      <c r="F4413" t="inlineStr">
        <is>
          <t>Yes</t>
        </is>
      </c>
      <c r="H4413" t="n">
        <v>-2</v>
      </c>
      <c r="I4413" t="b">
        <v>0</v>
      </c>
      <c r="J4413" t="b">
        <v>1</v>
      </c>
      <c r="K4413" t="b">
        <v>0</v>
      </c>
      <c r="L4413" t="b">
        <v>0</v>
      </c>
      <c r="M4413" t="b">
        <v>1</v>
      </c>
      <c r="N4413">
        <f>IFERROR(INDEX('Company Hitlist'!$AA:$AA,MATCH(D4413,'Company Hitlist'!$A:$A,0)),)</f>
        <v/>
      </c>
      <c r="O4413">
        <f>IFERROR(INDEX('Company Hitlist'!$N:$N,MATCH(D4413,'Company Hitlist'!$A:$A,0)),)</f>
        <v/>
      </c>
      <c r="Q4413" t="inlineStr">
        <is>
          <t>todo</t>
        </is>
      </c>
    </row>
    <row r="4414">
      <c r="A4414" t="inlineStr">
        <is>
          <t>Chetan Mehta</t>
        </is>
      </c>
      <c r="B4414" t="inlineStr">
        <is>
          <t>Attendee</t>
        </is>
      </c>
      <c r="C4414" t="inlineStr">
        <is>
          <t>Head of Growth Equity</t>
        </is>
      </c>
      <c r="D4414" t="inlineStr">
        <is>
          <t>A.P. Moller Holding</t>
        </is>
      </c>
      <c r="E4414" t="inlineStr">
        <is>
          <t>Denmark</t>
        </is>
      </c>
      <c r="H4414" t="n">
        <v>-2</v>
      </c>
      <c r="I4414" t="b">
        <v>0</v>
      </c>
      <c r="J4414" t="b">
        <v>1</v>
      </c>
      <c r="K4414" t="b">
        <v>0</v>
      </c>
      <c r="L4414" t="b">
        <v>0</v>
      </c>
      <c r="M4414" t="b">
        <v>1</v>
      </c>
      <c r="N4414">
        <f>IFERROR(INDEX('Company Hitlist'!$AA:$AA,MATCH(D4414,'Company Hitlist'!$A:$A,0)),)</f>
        <v/>
      </c>
      <c r="O4414">
        <f>IFERROR(INDEX('Company Hitlist'!$N:$N,MATCH(D4414,'Company Hitlist'!$A:$A,0)),)</f>
        <v/>
      </c>
      <c r="Q4414" t="inlineStr">
        <is>
          <t>todo</t>
        </is>
      </c>
    </row>
    <row r="4415">
      <c r="A4415" t="inlineStr">
        <is>
          <t>Chris Copelan</t>
        </is>
      </c>
      <c r="B4415" t="inlineStr">
        <is>
          <t>Attendee</t>
        </is>
      </c>
      <c r="C4415" t="inlineStr">
        <is>
          <t>VP of Sales and Business Development</t>
        </is>
      </c>
      <c r="D4415" t="inlineStr">
        <is>
          <t>AMS Fulfillment</t>
        </is>
      </c>
      <c r="E4415" t="inlineStr">
        <is>
          <t>United States</t>
        </is>
      </c>
      <c r="H4415" t="n">
        <v>-2</v>
      </c>
      <c r="I4415" t="b">
        <v>0</v>
      </c>
      <c r="J4415" t="b">
        <v>1</v>
      </c>
      <c r="K4415" t="b">
        <v>0</v>
      </c>
      <c r="L4415" t="b">
        <v>0</v>
      </c>
      <c r="M4415" t="b">
        <v>1</v>
      </c>
      <c r="N4415">
        <f>IFERROR(INDEX('Company Hitlist'!$AA:$AA,MATCH(D4415,'Company Hitlist'!$A:$A,0)),)</f>
        <v/>
      </c>
      <c r="O4415">
        <f>IFERROR(INDEX('Company Hitlist'!$N:$N,MATCH(D4415,'Company Hitlist'!$A:$A,0)),)</f>
        <v/>
      </c>
      <c r="Q4415" t="inlineStr">
        <is>
          <t>todo</t>
        </is>
      </c>
    </row>
    <row r="4416">
      <c r="A4416" t="inlineStr">
        <is>
          <t>Rich Grezner</t>
        </is>
      </c>
      <c r="B4416" t="inlineStr">
        <is>
          <t>Attendee</t>
        </is>
      </c>
      <c r="C4416" t="inlineStr">
        <is>
          <t>Vice President of Sales</t>
        </is>
      </c>
      <c r="D4416" t="inlineStr">
        <is>
          <t>Affiliated Warehouse Companies</t>
        </is>
      </c>
      <c r="H4416" t="n">
        <v>-2</v>
      </c>
      <c r="I4416" t="b">
        <v>0</v>
      </c>
      <c r="J4416" t="b">
        <v>1</v>
      </c>
      <c r="K4416" t="b">
        <v>0</v>
      </c>
      <c r="L4416" t="b">
        <v>0</v>
      </c>
      <c r="M4416" t="b">
        <v>1</v>
      </c>
      <c r="N4416">
        <f>IFERROR(INDEX('Company Hitlist'!$AA:$AA,MATCH(D4416,'Company Hitlist'!$A:$A,0)),)</f>
        <v/>
      </c>
      <c r="O4416">
        <f>IFERROR(INDEX('Company Hitlist'!$N:$N,MATCH(D4416,'Company Hitlist'!$A:$A,0)),)</f>
        <v/>
      </c>
      <c r="Q4416" t="inlineStr">
        <is>
          <t>todo</t>
        </is>
      </c>
    </row>
    <row r="4417">
      <c r="A4417" t="inlineStr">
        <is>
          <t>Sal LaBruno</t>
        </is>
      </c>
      <c r="B4417" t="inlineStr">
        <is>
          <t>Attendee</t>
        </is>
      </c>
      <c r="C4417" t="inlineStr">
        <is>
          <t>Vice President of Sales</t>
        </is>
      </c>
      <c r="D4417" t="inlineStr">
        <is>
          <t>Affiliated Warehouse Companies</t>
        </is>
      </c>
      <c r="H4417" t="n">
        <v>-2</v>
      </c>
      <c r="I4417" t="b">
        <v>0</v>
      </c>
      <c r="J4417" t="b">
        <v>1</v>
      </c>
      <c r="K4417" t="b">
        <v>0</v>
      </c>
      <c r="L4417" t="b">
        <v>0</v>
      </c>
      <c r="M4417" t="b">
        <v>1</v>
      </c>
      <c r="N4417">
        <f>IFERROR(INDEX('Company Hitlist'!$AA:$AA,MATCH(D4417,'Company Hitlist'!$A:$A,0)),)</f>
        <v/>
      </c>
      <c r="O4417">
        <f>IFERROR(INDEX('Company Hitlist'!$N:$N,MATCH(D4417,'Company Hitlist'!$A:$A,0)),)</f>
        <v/>
      </c>
      <c r="Q4417" t="inlineStr">
        <is>
          <t>todo</t>
        </is>
      </c>
    </row>
    <row r="4418">
      <c r="A4418" t="inlineStr">
        <is>
          <t>Brett Coberly</t>
        </is>
      </c>
      <c r="B4418" t="inlineStr">
        <is>
          <t>Attendee</t>
        </is>
      </c>
      <c r="C4418" t="inlineStr">
        <is>
          <t>VP of Business Development</t>
        </is>
      </c>
      <c r="D4418" t="inlineStr">
        <is>
          <t>Agforce Transport Services</t>
        </is>
      </c>
      <c r="E4418" t="inlineStr">
        <is>
          <t>United States</t>
        </is>
      </c>
      <c r="H4418" t="n">
        <v>-2</v>
      </c>
      <c r="I4418" t="b">
        <v>0</v>
      </c>
      <c r="J4418" t="b">
        <v>1</v>
      </c>
      <c r="K4418" t="b">
        <v>0</v>
      </c>
      <c r="L4418" t="b">
        <v>0</v>
      </c>
      <c r="M4418" t="b">
        <v>1</v>
      </c>
      <c r="N4418">
        <f>IFERROR(INDEX('Company Hitlist'!$AA:$AA,MATCH(D4418,'Company Hitlist'!$A:$A,0)),)</f>
        <v/>
      </c>
      <c r="O4418">
        <f>IFERROR(INDEX('Company Hitlist'!$N:$N,MATCH(D4418,'Company Hitlist'!$A:$A,0)),)</f>
        <v/>
      </c>
      <c r="Q4418" t="inlineStr">
        <is>
          <t>todo</t>
        </is>
      </c>
    </row>
    <row r="4419">
      <c r="A4419" t="inlineStr">
        <is>
          <t>Mike Bush</t>
        </is>
      </c>
      <c r="B4419" t="inlineStr">
        <is>
          <t>Attendee</t>
        </is>
      </c>
      <c r="C4419" t="inlineStr">
        <is>
          <t>VP of Marketing</t>
        </is>
      </c>
      <c r="D4419" t="inlineStr">
        <is>
          <t>AiLO Logistics</t>
        </is>
      </c>
      <c r="E4419" t="inlineStr">
        <is>
          <t>United States</t>
        </is>
      </c>
      <c r="F4419" t="inlineStr">
        <is>
          <t>Yes</t>
        </is>
      </c>
      <c r="H4419" t="n">
        <v>-2</v>
      </c>
      <c r="I4419" t="b">
        <v>0</v>
      </c>
      <c r="J4419" t="b">
        <v>1</v>
      </c>
      <c r="K4419" t="b">
        <v>0</v>
      </c>
      <c r="L4419" t="b">
        <v>0</v>
      </c>
      <c r="M4419" t="b">
        <v>1</v>
      </c>
      <c r="N4419">
        <f>IFERROR(INDEX('Company Hitlist'!$AA:$AA,MATCH(D4419,'Company Hitlist'!$A:$A,0)),)</f>
        <v/>
      </c>
      <c r="O4419">
        <f>IFERROR(INDEX('Company Hitlist'!$N:$N,MATCH(D4419,'Company Hitlist'!$A:$A,0)),)</f>
        <v/>
      </c>
      <c r="Q4419" t="inlineStr">
        <is>
          <t>todo</t>
        </is>
      </c>
    </row>
    <row r="4420">
      <c r="A4420" t="inlineStr">
        <is>
          <t>Nick Cook</t>
        </is>
      </c>
      <c r="B4420" t="inlineStr">
        <is>
          <t>Attendee</t>
        </is>
      </c>
      <c r="C4420" t="inlineStr">
        <is>
          <t>Chief Revenue Officer</t>
        </is>
      </c>
      <c r="D4420" t="inlineStr">
        <is>
          <t>AiLO Logistics</t>
        </is>
      </c>
      <c r="E4420" t="inlineStr">
        <is>
          <t>United States</t>
        </is>
      </c>
      <c r="F4420" t="inlineStr">
        <is>
          <t>Yes</t>
        </is>
      </c>
      <c r="H4420" t="n">
        <v>-2</v>
      </c>
      <c r="I4420" t="b">
        <v>0</v>
      </c>
      <c r="J4420" t="b">
        <v>1</v>
      </c>
      <c r="K4420" t="b">
        <v>0</v>
      </c>
      <c r="L4420" t="b">
        <v>0</v>
      </c>
      <c r="M4420" t="b">
        <v>1</v>
      </c>
      <c r="N4420">
        <f>IFERROR(INDEX('Company Hitlist'!$AA:$AA,MATCH(D4420,'Company Hitlist'!$A:$A,0)),)</f>
        <v/>
      </c>
      <c r="O4420">
        <f>IFERROR(INDEX('Company Hitlist'!$N:$N,MATCH(D4420,'Company Hitlist'!$A:$A,0)),)</f>
        <v/>
      </c>
      <c r="Q4420" t="inlineStr">
        <is>
          <t>todo</t>
        </is>
      </c>
    </row>
    <row r="4421">
      <c r="A4421" t="inlineStr">
        <is>
          <t>Jeremy Hermanns</t>
        </is>
      </c>
      <c r="B4421" t="inlineStr">
        <is>
          <t>Attendee</t>
        </is>
      </c>
      <c r="C4421" t="inlineStr">
        <is>
          <t>VP of Marketing</t>
        </is>
      </c>
      <c r="D4421" t="inlineStr">
        <is>
          <t>Alvys</t>
        </is>
      </c>
      <c r="E4421" t="inlineStr">
        <is>
          <t>United States</t>
        </is>
      </c>
      <c r="F4421" t="inlineStr">
        <is>
          <t>Yes</t>
        </is>
      </c>
      <c r="H4421" t="n">
        <v>-2</v>
      </c>
      <c r="I4421" t="b">
        <v>0</v>
      </c>
      <c r="J4421" t="b">
        <v>1</v>
      </c>
      <c r="K4421" t="b">
        <v>0</v>
      </c>
      <c r="L4421" t="b">
        <v>0</v>
      </c>
      <c r="M4421" t="b">
        <v>1</v>
      </c>
      <c r="N4421">
        <f>IFERROR(INDEX('Company Hitlist'!$AA:$AA,MATCH(D4421,'Company Hitlist'!$A:$A,0)),)</f>
        <v/>
      </c>
      <c r="O4421">
        <f>IFERROR(INDEX('Company Hitlist'!$N:$N,MATCH(D4421,'Company Hitlist'!$A:$A,0)),)</f>
        <v/>
      </c>
      <c r="Q4421" t="inlineStr">
        <is>
          <t>todo</t>
        </is>
      </c>
    </row>
    <row r="4422">
      <c r="A4422" t="inlineStr">
        <is>
          <t>Steven Chic</t>
        </is>
      </c>
      <c r="B4422" t="inlineStr">
        <is>
          <t>Attendee</t>
        </is>
      </c>
      <c r="C4422" t="inlineStr">
        <is>
          <t>VP, Business Development</t>
        </is>
      </c>
      <c r="D4422" t="inlineStr">
        <is>
          <t>Alvys</t>
        </is>
      </c>
      <c r="E4422" t="inlineStr">
        <is>
          <t>United States</t>
        </is>
      </c>
      <c r="H4422" t="n">
        <v>-2</v>
      </c>
      <c r="I4422" t="b">
        <v>0</v>
      </c>
      <c r="J4422" t="b">
        <v>1</v>
      </c>
      <c r="K4422" t="b">
        <v>0</v>
      </c>
      <c r="L4422" t="b">
        <v>0</v>
      </c>
      <c r="M4422" t="b">
        <v>1</v>
      </c>
      <c r="N4422">
        <f>IFERROR(INDEX('Company Hitlist'!$AA:$AA,MATCH(D4422,'Company Hitlist'!$A:$A,0)),)</f>
        <v/>
      </c>
      <c r="O4422">
        <f>IFERROR(INDEX('Company Hitlist'!$N:$N,MATCH(D4422,'Company Hitlist'!$A:$A,0)),)</f>
        <v/>
      </c>
      <c r="Q4422" t="inlineStr">
        <is>
          <t>todo</t>
        </is>
      </c>
    </row>
    <row r="4423">
      <c r="A4423" t="inlineStr">
        <is>
          <t>Ryan Robinson</t>
        </is>
      </c>
      <c r="B4423" t="inlineStr">
        <is>
          <t>Attendee</t>
        </is>
      </c>
      <c r="C4423" t="inlineStr">
        <is>
          <t>VP Sales</t>
        </is>
      </c>
      <c r="D4423" t="inlineStr">
        <is>
          <t>American Eagle Solutions</t>
        </is>
      </c>
      <c r="E4423" t="inlineStr">
        <is>
          <t>United States</t>
        </is>
      </c>
      <c r="H4423" t="n">
        <v>-2</v>
      </c>
      <c r="I4423" t="b">
        <v>0</v>
      </c>
      <c r="J4423" t="b">
        <v>1</v>
      </c>
      <c r="K4423" t="b">
        <v>0</v>
      </c>
      <c r="L4423" t="b">
        <v>0</v>
      </c>
      <c r="M4423" t="b">
        <v>1</v>
      </c>
      <c r="N4423">
        <f>IFERROR(INDEX('Company Hitlist'!$AA:$AA,MATCH(D4423,'Company Hitlist'!$A:$A,0)),)</f>
        <v/>
      </c>
      <c r="O4423">
        <f>IFERROR(INDEX('Company Hitlist'!$N:$N,MATCH(D4423,'Company Hitlist'!$A:$A,0)),)</f>
        <v/>
      </c>
      <c r="Q4423" t="inlineStr">
        <is>
          <t>todo</t>
        </is>
      </c>
    </row>
    <row r="4424">
      <c r="A4424" t="inlineStr">
        <is>
          <t>Todd Quimby</t>
        </is>
      </c>
      <c r="B4424" t="inlineStr">
        <is>
          <t>Attendee</t>
        </is>
      </c>
      <c r="C4424" t="inlineStr">
        <is>
          <t>VP, Business Development</t>
        </is>
      </c>
      <c r="D4424" t="inlineStr">
        <is>
          <t>Americold Logistics</t>
        </is>
      </c>
      <c r="E4424" t="inlineStr">
        <is>
          <t>United States</t>
        </is>
      </c>
      <c r="H4424" t="n">
        <v>-2</v>
      </c>
      <c r="I4424" t="b">
        <v>0</v>
      </c>
      <c r="J4424" t="b">
        <v>1</v>
      </c>
      <c r="K4424" t="b">
        <v>0</v>
      </c>
      <c r="L4424" t="b">
        <v>0</v>
      </c>
      <c r="M4424" t="b">
        <v>1</v>
      </c>
      <c r="N4424">
        <f>IFERROR(INDEX('Company Hitlist'!$AA:$AA,MATCH(D4424,'Company Hitlist'!$A:$A,0)),)</f>
        <v/>
      </c>
      <c r="O4424">
        <f>IFERROR(INDEX('Company Hitlist'!$N:$N,MATCH(D4424,'Company Hitlist'!$A:$A,0)),)</f>
        <v/>
      </c>
      <c r="Q4424" t="inlineStr">
        <is>
          <t>todo</t>
        </is>
      </c>
    </row>
    <row r="4425">
      <c r="A4425" t="inlineStr">
        <is>
          <t>Torsten Schreiber</t>
        </is>
      </c>
      <c r="B4425" t="inlineStr">
        <is>
          <t>Attendee</t>
        </is>
      </c>
      <c r="C4425" t="inlineStr">
        <is>
          <t>VP of Product and Marketing</t>
        </is>
      </c>
      <c r="D4425" t="inlineStr">
        <is>
          <t>Anyware Robotics</t>
        </is>
      </c>
      <c r="E4425" t="inlineStr">
        <is>
          <t>United States</t>
        </is>
      </c>
      <c r="F4425" t="inlineStr">
        <is>
          <t>Yes</t>
        </is>
      </c>
      <c r="H4425" t="n">
        <v>-2</v>
      </c>
      <c r="I4425" t="b">
        <v>0</v>
      </c>
      <c r="J4425" t="b">
        <v>1</v>
      </c>
      <c r="K4425" t="b">
        <v>0</v>
      </c>
      <c r="L4425" t="b">
        <v>0</v>
      </c>
      <c r="M4425" t="b">
        <v>1</v>
      </c>
      <c r="N4425">
        <f>IFERROR(INDEX('Company Hitlist'!$AA:$AA,MATCH(D4425,'Company Hitlist'!$A:$A,0)),)</f>
        <v/>
      </c>
      <c r="O4425">
        <f>IFERROR(INDEX('Company Hitlist'!$N:$N,MATCH(D4425,'Company Hitlist'!$A:$A,0)),)</f>
        <v/>
      </c>
      <c r="Q4425" t="inlineStr">
        <is>
          <t>todo</t>
        </is>
      </c>
    </row>
    <row r="4426">
      <c r="A4426" t="inlineStr">
        <is>
          <t>Nancy St Laurent</t>
        </is>
      </c>
      <c r="B4426" t="inlineStr">
        <is>
          <t>Attendee</t>
        </is>
      </c>
      <c r="C4426" t="inlineStr">
        <is>
          <t>VP - Business Development</t>
        </is>
      </c>
      <c r="D4426" t="inlineStr">
        <is>
          <t>Armour Transportation</t>
        </is>
      </c>
      <c r="E4426" t="inlineStr">
        <is>
          <t>Canada</t>
        </is>
      </c>
      <c r="H4426" t="n">
        <v>-2</v>
      </c>
      <c r="I4426" t="b">
        <v>0</v>
      </c>
      <c r="J4426" t="b">
        <v>1</v>
      </c>
      <c r="K4426" t="b">
        <v>0</v>
      </c>
      <c r="L4426" t="b">
        <v>0</v>
      </c>
      <c r="M4426" t="b">
        <v>1</v>
      </c>
      <c r="N4426">
        <f>IFERROR(INDEX('Company Hitlist'!$AA:$AA,MATCH(D4426,'Company Hitlist'!$A:$A,0)),)</f>
        <v/>
      </c>
      <c r="O4426">
        <f>IFERROR(INDEX('Company Hitlist'!$N:$N,MATCH(D4426,'Company Hitlist'!$A:$A,0)),)</f>
        <v/>
      </c>
      <c r="Q4426" t="inlineStr">
        <is>
          <t>todo</t>
        </is>
      </c>
    </row>
    <row r="4427">
      <c r="A4427" t="inlineStr">
        <is>
          <t>Gary Church</t>
        </is>
      </c>
      <c r="B4427" t="inlineStr">
        <is>
          <t>Attendee</t>
        </is>
      </c>
      <c r="C4427" t="inlineStr">
        <is>
          <t>Vice President Strategic Alliances</t>
        </is>
      </c>
      <c r="D4427" t="inlineStr">
        <is>
          <t>Avalon</t>
        </is>
      </c>
      <c r="E4427" t="inlineStr">
        <is>
          <t>United States</t>
        </is>
      </c>
      <c r="H4427" t="n">
        <v>-2</v>
      </c>
      <c r="I4427" t="b">
        <v>0</v>
      </c>
      <c r="J4427" t="b">
        <v>1</v>
      </c>
      <c r="K4427" t="b">
        <v>0</v>
      </c>
      <c r="L4427" t="b">
        <v>0</v>
      </c>
      <c r="M4427" t="b">
        <v>1</v>
      </c>
      <c r="N4427">
        <f>IFERROR(INDEX('Company Hitlist'!$AA:$AA,MATCH(D4427,'Company Hitlist'!$A:$A,0)),)</f>
        <v/>
      </c>
      <c r="O4427">
        <f>IFERROR(INDEX('Company Hitlist'!$N:$N,MATCH(D4427,'Company Hitlist'!$A:$A,0)),)</f>
        <v/>
      </c>
      <c r="Q4427" t="inlineStr">
        <is>
          <t>todo</t>
        </is>
      </c>
    </row>
    <row r="4428">
      <c r="A4428" t="inlineStr">
        <is>
          <t>BRYAN CORBETT</t>
        </is>
      </c>
      <c r="B4428" t="inlineStr">
        <is>
          <t>Attendee</t>
        </is>
      </c>
      <c r="C4428" t="inlineStr">
        <is>
          <t>Vice President, Sales &amp; Marketing</t>
        </is>
      </c>
      <c r="D4428" t="inlineStr">
        <is>
          <t>Barrett Distribution Center - Franklin, MA</t>
        </is>
      </c>
      <c r="E4428" t="inlineStr">
        <is>
          <t>United States</t>
        </is>
      </c>
      <c r="H4428" t="n">
        <v>-2</v>
      </c>
      <c r="I4428" t="b">
        <v>0</v>
      </c>
      <c r="J4428" t="b">
        <v>1</v>
      </c>
      <c r="K4428" t="b">
        <v>0</v>
      </c>
      <c r="L4428" t="b">
        <v>0</v>
      </c>
      <c r="M4428" t="b">
        <v>1</v>
      </c>
      <c r="N4428">
        <f>IFERROR(INDEX('Company Hitlist'!$AA:$AA,MATCH(D4428,'Company Hitlist'!$A:$A,0)),)</f>
        <v/>
      </c>
      <c r="O4428">
        <f>IFERROR(INDEX('Company Hitlist'!$N:$N,MATCH(D4428,'Company Hitlist'!$A:$A,0)),)</f>
        <v/>
      </c>
      <c r="Q4428" t="inlineStr">
        <is>
          <t>todo</t>
        </is>
      </c>
    </row>
    <row r="4429">
      <c r="A4429" t="inlineStr">
        <is>
          <t>Garret Overholser</t>
        </is>
      </c>
      <c r="B4429" t="inlineStr">
        <is>
          <t>Attendee</t>
        </is>
      </c>
      <c r="C4429" t="inlineStr">
        <is>
          <t>Head of Business Development</t>
        </is>
      </c>
      <c r="D4429" t="inlineStr">
        <is>
          <t>Blecon</t>
        </is>
      </c>
      <c r="E4429" t="inlineStr">
        <is>
          <t>United Kingdom</t>
        </is>
      </c>
      <c r="H4429" t="n">
        <v>-2</v>
      </c>
      <c r="I4429" t="b">
        <v>0</v>
      </c>
      <c r="J4429" t="b">
        <v>1</v>
      </c>
      <c r="K4429" t="b">
        <v>0</v>
      </c>
      <c r="L4429" t="b">
        <v>0</v>
      </c>
      <c r="M4429" t="b">
        <v>1</v>
      </c>
      <c r="N4429">
        <f>IFERROR(INDEX('Company Hitlist'!$AA:$AA,MATCH(D4429,'Company Hitlist'!$A:$A,0)),)</f>
        <v/>
      </c>
      <c r="O4429">
        <f>IFERROR(INDEX('Company Hitlist'!$N:$N,MATCH(D4429,'Company Hitlist'!$A:$A,0)),)</f>
        <v/>
      </c>
      <c r="Q4429" t="inlineStr">
        <is>
          <t>todo</t>
        </is>
      </c>
    </row>
    <row r="4430">
      <c r="A4430" t="inlineStr">
        <is>
          <t>Wim Mues</t>
        </is>
      </c>
      <c r="B4430" t="inlineStr">
        <is>
          <t>Attendee</t>
        </is>
      </c>
      <c r="C4430" t="inlineStr">
        <is>
          <t>VP of Sales and Marketing</t>
        </is>
      </c>
      <c r="D4430" t="inlineStr">
        <is>
          <t>BlueRock TMS</t>
        </is>
      </c>
      <c r="E4430" t="inlineStr">
        <is>
          <t>Netherlands</t>
        </is>
      </c>
      <c r="F4430" t="inlineStr">
        <is>
          <t>Yes</t>
        </is>
      </c>
      <c r="H4430" t="n">
        <v>-2</v>
      </c>
      <c r="I4430" t="b">
        <v>0</v>
      </c>
      <c r="J4430" t="b">
        <v>1</v>
      </c>
      <c r="K4430" t="b">
        <v>0</v>
      </c>
      <c r="L4430" t="b">
        <v>0</v>
      </c>
      <c r="M4430" t="b">
        <v>1</v>
      </c>
      <c r="N4430">
        <f>IFERROR(INDEX('Company Hitlist'!$AA:$AA,MATCH(D4430,'Company Hitlist'!$A:$A,0)),)</f>
        <v/>
      </c>
      <c r="O4430">
        <f>IFERROR(INDEX('Company Hitlist'!$N:$N,MATCH(D4430,'Company Hitlist'!$A:$A,0)),)</f>
        <v/>
      </c>
      <c r="Q4430" t="inlineStr">
        <is>
          <t>todo</t>
        </is>
      </c>
    </row>
    <row r="4431">
      <c r="A4431" t="inlineStr">
        <is>
          <t>Tyler Linderman</t>
        </is>
      </c>
      <c r="B4431" t="inlineStr">
        <is>
          <t>Attendee</t>
        </is>
      </c>
      <c r="C4431" t="inlineStr">
        <is>
          <t>VP, Strategy &amp; Growth</t>
        </is>
      </c>
      <c r="D4431" t="inlineStr">
        <is>
          <t>Bricz</t>
        </is>
      </c>
      <c r="E4431" t="inlineStr">
        <is>
          <t>United States</t>
        </is>
      </c>
      <c r="F4431" t="inlineStr">
        <is>
          <t>Yes</t>
        </is>
      </c>
      <c r="H4431" t="n">
        <v>-2</v>
      </c>
      <c r="I4431" t="b">
        <v>0</v>
      </c>
      <c r="J4431" t="b">
        <v>1</v>
      </c>
      <c r="K4431" t="b">
        <v>0</v>
      </c>
      <c r="L4431" t="b">
        <v>0</v>
      </c>
      <c r="M4431" t="b">
        <v>1</v>
      </c>
      <c r="N4431">
        <f>IFERROR(INDEX('Company Hitlist'!$AA:$AA,MATCH(D4431,'Company Hitlist'!$A:$A,0)),)</f>
        <v/>
      </c>
      <c r="O4431">
        <f>IFERROR(INDEX('Company Hitlist'!$N:$N,MATCH(D4431,'Company Hitlist'!$A:$A,0)),)</f>
        <v/>
      </c>
      <c r="Q4431" t="inlineStr">
        <is>
          <t>todo</t>
        </is>
      </c>
    </row>
    <row r="4432">
      <c r="A4432" t="inlineStr">
        <is>
          <t>Brian Scott</t>
        </is>
      </c>
      <c r="B4432" t="inlineStr">
        <is>
          <t>Attendee</t>
        </is>
      </c>
      <c r="C4432" t="inlineStr">
        <is>
          <t>EVP Global Sales</t>
        </is>
      </c>
      <c r="D4432" t="inlineStr">
        <is>
          <t>CTSI-Global</t>
        </is>
      </c>
      <c r="E4432" t="inlineStr">
        <is>
          <t>United States</t>
        </is>
      </c>
      <c r="H4432" t="n">
        <v>-2</v>
      </c>
      <c r="I4432" t="b">
        <v>0</v>
      </c>
      <c r="J4432" t="b">
        <v>1</v>
      </c>
      <c r="K4432" t="b">
        <v>0</v>
      </c>
      <c r="L4432" t="b">
        <v>0</v>
      </c>
      <c r="M4432" t="b">
        <v>1</v>
      </c>
      <c r="N4432">
        <f>IFERROR(INDEX('Company Hitlist'!$AA:$AA,MATCH(D4432,'Company Hitlist'!$A:$A,0)),)</f>
        <v/>
      </c>
      <c r="O4432">
        <f>IFERROR(INDEX('Company Hitlist'!$N:$N,MATCH(D4432,'Company Hitlist'!$A:$A,0)),)</f>
        <v/>
      </c>
      <c r="Q4432" t="inlineStr">
        <is>
          <t>todo</t>
        </is>
      </c>
    </row>
    <row r="4433">
      <c r="A4433" t="inlineStr">
        <is>
          <t>Ivan Pan</t>
        </is>
      </c>
      <c r="B4433" t="inlineStr">
        <is>
          <t>Attendee</t>
        </is>
      </c>
      <c r="C4433" t="inlineStr">
        <is>
          <t>Head of North America Partnership Management and G2G Product</t>
        </is>
      </c>
      <c r="D4433" t="inlineStr">
        <is>
          <t>Cainiao</t>
        </is>
      </c>
      <c r="E4433" t="inlineStr">
        <is>
          <t>China</t>
        </is>
      </c>
      <c r="F4433" t="inlineStr">
        <is>
          <t>Yes</t>
        </is>
      </c>
      <c r="G4433" t="inlineStr">
        <is>
          <t>$28B (2024)</t>
        </is>
      </c>
      <c r="H4433" t="n">
        <v>-2</v>
      </c>
      <c r="I4433" t="b">
        <v>0</v>
      </c>
      <c r="J4433" t="b">
        <v>1</v>
      </c>
      <c r="K4433" t="b">
        <v>0</v>
      </c>
      <c r="L4433" t="b">
        <v>0</v>
      </c>
      <c r="M4433" t="b">
        <v>1</v>
      </c>
      <c r="N4433">
        <f>IFERROR(INDEX('Company Hitlist'!$AA:$AA,MATCH(D4433,'Company Hitlist'!$A:$A,0)),)</f>
        <v/>
      </c>
      <c r="O4433">
        <f>IFERROR(INDEX('Company Hitlist'!$N:$N,MATCH(D4433,'Company Hitlist'!$A:$A,0)),)</f>
        <v/>
      </c>
      <c r="Q4433" t="inlineStr">
        <is>
          <t>todo</t>
        </is>
      </c>
    </row>
    <row r="4434">
      <c r="A4434" t="inlineStr">
        <is>
          <t>Suken Xiao</t>
        </is>
      </c>
      <c r="B4434" t="inlineStr">
        <is>
          <t>Attendee</t>
        </is>
      </c>
      <c r="C4434" t="inlineStr">
        <is>
          <t>Head of China Sales Team and North America Product Team</t>
        </is>
      </c>
      <c r="D4434" t="inlineStr">
        <is>
          <t>Cainiao</t>
        </is>
      </c>
      <c r="H4434" t="n">
        <v>-2</v>
      </c>
      <c r="I4434" t="b">
        <v>0</v>
      </c>
      <c r="J4434" t="b">
        <v>1</v>
      </c>
      <c r="K4434" t="b">
        <v>0</v>
      </c>
      <c r="L4434" t="b">
        <v>0</v>
      </c>
      <c r="M4434" t="b">
        <v>1</v>
      </c>
      <c r="N4434">
        <f>IFERROR(INDEX('Company Hitlist'!$AA:$AA,MATCH(D4434,'Company Hitlist'!$A:$A,0)),)</f>
        <v/>
      </c>
      <c r="O4434">
        <f>IFERROR(INDEX('Company Hitlist'!$N:$N,MATCH(D4434,'Company Hitlist'!$A:$A,0)),)</f>
        <v/>
      </c>
      <c r="Q4434" t="inlineStr">
        <is>
          <t>todo</t>
        </is>
      </c>
    </row>
    <row r="4435">
      <c r="A4435" t="inlineStr">
        <is>
          <t>Wade Castle</t>
        </is>
      </c>
      <c r="B4435" t="inlineStr">
        <is>
          <t>Attendee</t>
        </is>
      </c>
      <c r="C4435" t="inlineStr">
        <is>
          <t>SVP of Business Development</t>
        </is>
      </c>
      <c r="D4435" t="inlineStr">
        <is>
          <t>Capstone Logistics</t>
        </is>
      </c>
      <c r="E4435" t="inlineStr">
        <is>
          <t>United States</t>
        </is>
      </c>
      <c r="H4435" t="n">
        <v>-2</v>
      </c>
      <c r="I4435" t="b">
        <v>0</v>
      </c>
      <c r="J4435" t="b">
        <v>1</v>
      </c>
      <c r="K4435" t="b">
        <v>0</v>
      </c>
      <c r="L4435" t="b">
        <v>0</v>
      </c>
      <c r="M4435" t="b">
        <v>1</v>
      </c>
      <c r="N4435">
        <f>IFERROR(INDEX('Company Hitlist'!$AA:$AA,MATCH(D4435,'Company Hitlist'!$A:$A,0)),)</f>
        <v/>
      </c>
      <c r="O4435">
        <f>IFERROR(INDEX('Company Hitlist'!$N:$N,MATCH(D4435,'Company Hitlist'!$A:$A,0)),)</f>
        <v/>
      </c>
      <c r="Q4435" t="inlineStr">
        <is>
          <t>todo</t>
        </is>
      </c>
    </row>
    <row r="4436">
      <c r="A4436" t="inlineStr">
        <is>
          <t>Clara Flaherty</t>
        </is>
      </c>
      <c r="B4436" t="inlineStr">
        <is>
          <t>Attendee</t>
        </is>
      </c>
      <c r="C4436" t="inlineStr">
        <is>
          <t>Head of Growth &amp; Co-Founder</t>
        </is>
      </c>
      <c r="D4436" t="inlineStr">
        <is>
          <t>CarrierSource</t>
        </is>
      </c>
      <c r="E4436" t="inlineStr">
        <is>
          <t>United States</t>
        </is>
      </c>
      <c r="H4436" t="n">
        <v>-2</v>
      </c>
      <c r="I4436" t="b">
        <v>0</v>
      </c>
      <c r="J4436" t="b">
        <v>1</v>
      </c>
      <c r="K4436" t="b">
        <v>0</v>
      </c>
      <c r="L4436" t="b">
        <v>0</v>
      </c>
      <c r="M4436" t="b">
        <v>1</v>
      </c>
      <c r="N4436">
        <f>IFERROR(INDEX('Company Hitlist'!$AA:$AA,MATCH(D4436,'Company Hitlist'!$A:$A,0)),)</f>
        <v/>
      </c>
      <c r="O4436">
        <f>IFERROR(INDEX('Company Hitlist'!$N:$N,MATCH(D4436,'Company Hitlist'!$A:$A,0)),)</f>
        <v/>
      </c>
      <c r="Q4436" t="inlineStr">
        <is>
          <t>todo</t>
        </is>
      </c>
    </row>
    <row r="4437">
      <c r="A4437" t="inlineStr">
        <is>
          <t>Kevin Hill</t>
        </is>
      </c>
      <c r="B4437" t="inlineStr">
        <is>
          <t>Attendee</t>
        </is>
      </c>
      <c r="C4437" t="inlineStr">
        <is>
          <t>Head of Sales</t>
        </is>
      </c>
      <c r="D4437" t="inlineStr">
        <is>
          <t>CarrierSource</t>
        </is>
      </c>
      <c r="E4437" t="inlineStr">
        <is>
          <t>United States</t>
        </is>
      </c>
      <c r="H4437" t="n">
        <v>-2</v>
      </c>
      <c r="I4437" t="b">
        <v>0</v>
      </c>
      <c r="J4437" t="b">
        <v>1</v>
      </c>
      <c r="K4437" t="b">
        <v>0</v>
      </c>
      <c r="L4437" t="b">
        <v>0</v>
      </c>
      <c r="M4437" t="b">
        <v>1</v>
      </c>
      <c r="N4437">
        <f>IFERROR(INDEX('Company Hitlist'!$AA:$AA,MATCH(D4437,'Company Hitlist'!$A:$A,0)),)</f>
        <v/>
      </c>
      <c r="O4437">
        <f>IFERROR(INDEX('Company Hitlist'!$N:$N,MATCH(D4437,'Company Hitlist'!$A:$A,0)),)</f>
        <v/>
      </c>
      <c r="Q4437" t="inlineStr">
        <is>
          <t>todo</t>
        </is>
      </c>
    </row>
    <row r="4438">
      <c r="A4438" t="inlineStr">
        <is>
          <t>Daniel Sayne</t>
        </is>
      </c>
      <c r="B4438" t="inlineStr">
        <is>
          <t>Attendee</t>
        </is>
      </c>
      <c r="C4438" t="inlineStr">
        <is>
          <t>SVP Sales</t>
        </is>
      </c>
      <c r="D4438" t="inlineStr">
        <is>
          <t>ClearJet</t>
        </is>
      </c>
      <c r="E4438" t="inlineStr">
        <is>
          <t>United States</t>
        </is>
      </c>
      <c r="H4438" t="n">
        <v>-2</v>
      </c>
      <c r="I4438" t="b">
        <v>0</v>
      </c>
      <c r="J4438" t="b">
        <v>1</v>
      </c>
      <c r="K4438" t="b">
        <v>0</v>
      </c>
      <c r="L4438" t="b">
        <v>0</v>
      </c>
      <c r="M4438" t="b">
        <v>1</v>
      </c>
      <c r="N4438">
        <f>IFERROR(INDEX('Company Hitlist'!$AA:$AA,MATCH(D4438,'Company Hitlist'!$A:$A,0)),)</f>
        <v/>
      </c>
      <c r="O4438">
        <f>IFERROR(INDEX('Company Hitlist'!$N:$N,MATCH(D4438,'Company Hitlist'!$A:$A,0)),)</f>
        <v/>
      </c>
      <c r="Q4438" t="inlineStr">
        <is>
          <t>todo</t>
        </is>
      </c>
    </row>
    <row r="4439">
      <c r="A4439" t="inlineStr">
        <is>
          <t>Robert Segal</t>
        </is>
      </c>
      <c r="B4439" t="inlineStr">
        <is>
          <t>Attendee</t>
        </is>
      </c>
      <c r="C4439" t="inlineStr">
        <is>
          <t>VP of Sales</t>
        </is>
      </c>
      <c r="D4439" t="inlineStr">
        <is>
          <t>Cofactr</t>
        </is>
      </c>
      <c r="E4439" t="inlineStr">
        <is>
          <t>United States</t>
        </is>
      </c>
      <c r="H4439" t="n">
        <v>-2</v>
      </c>
      <c r="I4439" t="b">
        <v>0</v>
      </c>
      <c r="J4439" t="b">
        <v>1</v>
      </c>
      <c r="K4439" t="b">
        <v>0</v>
      </c>
      <c r="L4439" t="b">
        <v>0</v>
      </c>
      <c r="M4439" t="b">
        <v>1</v>
      </c>
      <c r="N4439">
        <f>IFERROR(INDEX('Company Hitlist'!$AA:$AA,MATCH(D4439,'Company Hitlist'!$A:$A,0)),)</f>
        <v/>
      </c>
      <c r="O4439">
        <f>IFERROR(INDEX('Company Hitlist'!$N:$N,MATCH(D4439,'Company Hitlist'!$A:$A,0)),)</f>
        <v/>
      </c>
      <c r="Q4439" t="inlineStr">
        <is>
          <t>todo</t>
        </is>
      </c>
    </row>
    <row r="4440">
      <c r="A4440" t="inlineStr">
        <is>
          <t>Robert LeGere</t>
        </is>
      </c>
      <c r="B4440" t="inlineStr">
        <is>
          <t>Attendee</t>
        </is>
      </c>
      <c r="C4440" t="inlineStr">
        <is>
          <t>Head of Sales</t>
        </is>
      </c>
      <c r="D4440" t="inlineStr">
        <is>
          <t>Coldcart, Inc.</t>
        </is>
      </c>
      <c r="E4440" t="inlineStr">
        <is>
          <t>United States</t>
        </is>
      </c>
      <c r="H4440" t="n">
        <v>-2</v>
      </c>
      <c r="I4440" t="b">
        <v>0</v>
      </c>
      <c r="J4440" t="b">
        <v>1</v>
      </c>
      <c r="K4440" t="b">
        <v>0</v>
      </c>
      <c r="L4440" t="b">
        <v>0</v>
      </c>
      <c r="M4440" t="b">
        <v>1</v>
      </c>
      <c r="N4440">
        <f>IFERROR(INDEX('Company Hitlist'!$AA:$AA,MATCH(D4440,'Company Hitlist'!$A:$A,0)),)</f>
        <v/>
      </c>
      <c r="O4440">
        <f>IFERROR(INDEX('Company Hitlist'!$N:$N,MATCH(D4440,'Company Hitlist'!$A:$A,0)),)</f>
        <v/>
      </c>
      <c r="Q4440" t="inlineStr">
        <is>
          <t>todo</t>
        </is>
      </c>
    </row>
    <row r="4441">
      <c r="A4441" t="inlineStr">
        <is>
          <t>Mark Evans</t>
        </is>
      </c>
      <c r="B4441" t="inlineStr">
        <is>
          <t>Attendee</t>
        </is>
      </c>
      <c r="C4441" t="inlineStr">
        <is>
          <t>Vice President of Business Development</t>
        </is>
      </c>
      <c r="D4441" t="inlineStr">
        <is>
          <t>Complete Shipping Solutions</t>
        </is>
      </c>
      <c r="E4441" t="inlineStr">
        <is>
          <t>Canada</t>
        </is>
      </c>
      <c r="H4441" t="n">
        <v>-2</v>
      </c>
      <c r="I4441" t="b">
        <v>0</v>
      </c>
      <c r="J4441" t="b">
        <v>1</v>
      </c>
      <c r="K4441" t="b">
        <v>0</v>
      </c>
      <c r="L4441" t="b">
        <v>0</v>
      </c>
      <c r="M4441" t="b">
        <v>1</v>
      </c>
      <c r="N4441">
        <f>IFERROR(INDEX('Company Hitlist'!$AA:$AA,MATCH(D4441,'Company Hitlist'!$A:$A,0)),)</f>
        <v/>
      </c>
      <c r="O4441">
        <f>IFERROR(INDEX('Company Hitlist'!$N:$N,MATCH(D4441,'Company Hitlist'!$A:$A,0)),)</f>
        <v/>
      </c>
      <c r="Q4441" t="inlineStr">
        <is>
          <t>todo</t>
        </is>
      </c>
    </row>
    <row r="4442">
      <c r="A4442" t="inlineStr">
        <is>
          <t>JORIS VAN DER SMISSEN</t>
        </is>
      </c>
      <c r="B4442" t="inlineStr">
        <is>
          <t>Attendee</t>
        </is>
      </c>
      <c r="C4442" t="inlineStr">
        <is>
          <t>VP of Sales and Marketing</t>
        </is>
      </c>
      <c r="D4442" t="inlineStr">
        <is>
          <t>Comprehensive Logistics</t>
        </is>
      </c>
      <c r="E4442" t="inlineStr">
        <is>
          <t>United States</t>
        </is>
      </c>
      <c r="F4442" t="inlineStr">
        <is>
          <t>Yes</t>
        </is>
      </c>
      <c r="H4442" t="n">
        <v>-2</v>
      </c>
      <c r="I4442" t="b">
        <v>0</v>
      </c>
      <c r="J4442" t="b">
        <v>1</v>
      </c>
      <c r="K4442" t="b">
        <v>0</v>
      </c>
      <c r="L4442" t="b">
        <v>0</v>
      </c>
      <c r="M4442" t="b">
        <v>1</v>
      </c>
      <c r="N4442">
        <f>IFERROR(INDEX('Company Hitlist'!$AA:$AA,MATCH(D4442,'Company Hitlist'!$A:$A,0)),)</f>
        <v/>
      </c>
      <c r="O4442">
        <f>IFERROR(INDEX('Company Hitlist'!$N:$N,MATCH(D4442,'Company Hitlist'!$A:$A,0)),)</f>
        <v/>
      </c>
      <c r="Q4442" t="inlineStr">
        <is>
          <t>todo</t>
        </is>
      </c>
    </row>
    <row r="4443">
      <c r="A4443" t="inlineStr">
        <is>
          <t>Preston Ketchum</t>
        </is>
      </c>
      <c r="B4443" t="inlineStr">
        <is>
          <t>Attendee</t>
        </is>
      </c>
      <c r="C4443" t="inlineStr">
        <is>
          <t>VP, Sales</t>
        </is>
      </c>
      <c r="D4443" t="inlineStr">
        <is>
          <t>Cowan Systems, LLC</t>
        </is>
      </c>
      <c r="E4443" t="inlineStr">
        <is>
          <t>United States</t>
        </is>
      </c>
      <c r="H4443" t="n">
        <v>-2</v>
      </c>
      <c r="I4443" t="b">
        <v>0</v>
      </c>
      <c r="J4443" t="b">
        <v>1</v>
      </c>
      <c r="K4443" t="b">
        <v>0</v>
      </c>
      <c r="L4443" t="b">
        <v>0</v>
      </c>
      <c r="M4443" t="b">
        <v>1</v>
      </c>
      <c r="N4443">
        <f>IFERROR(INDEX('Company Hitlist'!$AA:$AA,MATCH(D4443,'Company Hitlist'!$A:$A,0)),)</f>
        <v/>
      </c>
      <c r="O4443">
        <f>IFERROR(INDEX('Company Hitlist'!$N:$N,MATCH(D4443,'Company Hitlist'!$A:$A,0)),)</f>
        <v/>
      </c>
      <c r="Q4443" t="inlineStr">
        <is>
          <t>todo</t>
        </is>
      </c>
    </row>
    <row r="4444">
      <c r="A4444" t="inlineStr">
        <is>
          <t>Seb Butt</t>
        </is>
      </c>
      <c r="B4444" t="inlineStr">
        <is>
          <t>Attendee</t>
        </is>
      </c>
      <c r="C4444" t="inlineStr">
        <is>
          <t>Head of Business Development &amp; Partnerships, Founding Team</t>
        </is>
      </c>
      <c r="D4444" t="inlineStr">
        <is>
          <t>Craft</t>
        </is>
      </c>
      <c r="E4444" t="inlineStr">
        <is>
          <t>United States</t>
        </is>
      </c>
      <c r="H4444" t="n">
        <v>-2</v>
      </c>
      <c r="I4444" t="b">
        <v>0</v>
      </c>
      <c r="J4444" t="b">
        <v>1</v>
      </c>
      <c r="K4444" t="b">
        <v>0</v>
      </c>
      <c r="L4444" t="b">
        <v>0</v>
      </c>
      <c r="M4444" t="b">
        <v>1</v>
      </c>
      <c r="N4444">
        <f>IFERROR(INDEX('Company Hitlist'!$AA:$AA,MATCH(D4444,'Company Hitlist'!$A:$A,0)),)</f>
        <v/>
      </c>
      <c r="O4444">
        <f>IFERROR(INDEX('Company Hitlist'!$N:$N,MATCH(D4444,'Company Hitlist'!$A:$A,0)),)</f>
        <v/>
      </c>
      <c r="Q4444" t="inlineStr">
        <is>
          <t>todo</t>
        </is>
      </c>
    </row>
    <row r="4445">
      <c r="A4445" t="inlineStr">
        <is>
          <t>David Campbell</t>
        </is>
      </c>
      <c r="B4445" t="inlineStr">
        <is>
          <t>Attendee</t>
        </is>
      </c>
      <c r="C4445" t="inlineStr">
        <is>
          <t>SVP Sales</t>
        </is>
      </c>
      <c r="D4445" t="inlineStr">
        <is>
          <t>Daifuku Intralogistics America Corporation</t>
        </is>
      </c>
      <c r="E4445" t="inlineStr">
        <is>
          <t>United States</t>
        </is>
      </c>
      <c r="H4445" t="n">
        <v>-2</v>
      </c>
      <c r="I4445" t="b">
        <v>0</v>
      </c>
      <c r="J4445" t="b">
        <v>1</v>
      </c>
      <c r="K4445" t="b">
        <v>0</v>
      </c>
      <c r="L4445" t="b">
        <v>0</v>
      </c>
      <c r="M4445" t="b">
        <v>1</v>
      </c>
      <c r="N4445">
        <f>IFERROR(INDEX('Company Hitlist'!$AA:$AA,MATCH(D4445,'Company Hitlist'!$A:$A,0)),)</f>
        <v/>
      </c>
      <c r="O4445">
        <f>IFERROR(INDEX('Company Hitlist'!$N:$N,MATCH(D4445,'Company Hitlist'!$A:$A,0)),)</f>
        <v/>
      </c>
      <c r="Q4445" t="inlineStr">
        <is>
          <t>todo</t>
        </is>
      </c>
    </row>
    <row r="4446">
      <c r="A4446" t="inlineStr">
        <is>
          <t>Patti Permann</t>
        </is>
      </c>
      <c r="B4446" t="inlineStr">
        <is>
          <t>Attendee</t>
        </is>
      </c>
      <c r="C4446" t="inlineStr">
        <is>
          <t>VP Business Development</t>
        </is>
      </c>
      <c r="D4446" t="inlineStr">
        <is>
          <t>Dart Entities</t>
        </is>
      </c>
      <c r="E4446" t="inlineStr">
        <is>
          <t>United States</t>
        </is>
      </c>
      <c r="H4446" t="n">
        <v>-2</v>
      </c>
      <c r="I4446" t="b">
        <v>0</v>
      </c>
      <c r="J4446" t="b">
        <v>1</v>
      </c>
      <c r="K4446" t="b">
        <v>0</v>
      </c>
      <c r="L4446" t="b">
        <v>0</v>
      </c>
      <c r="M4446" t="b">
        <v>1</v>
      </c>
      <c r="N4446">
        <f>IFERROR(INDEX('Company Hitlist'!$AA:$AA,MATCH(D4446,'Company Hitlist'!$A:$A,0)),)</f>
        <v/>
      </c>
      <c r="O4446">
        <f>IFERROR(INDEX('Company Hitlist'!$N:$N,MATCH(D4446,'Company Hitlist'!$A:$A,0)),)</f>
        <v/>
      </c>
      <c r="Q4446" t="inlineStr">
        <is>
          <t>todo</t>
        </is>
      </c>
    </row>
    <row r="4447">
      <c r="A4447" t="inlineStr">
        <is>
          <t>Jessica Proctor</t>
        </is>
      </c>
      <c r="B4447" t="inlineStr">
        <is>
          <t>Attendee</t>
        </is>
      </c>
      <c r="C4447" t="inlineStr">
        <is>
          <t>Vice President of Sales</t>
        </is>
      </c>
      <c r="D4447" t="inlineStr">
        <is>
          <t>DeliveryCircle</t>
        </is>
      </c>
      <c r="E4447" t="inlineStr">
        <is>
          <t>United States</t>
        </is>
      </c>
      <c r="H4447" t="n">
        <v>-2</v>
      </c>
      <c r="I4447" t="b">
        <v>0</v>
      </c>
      <c r="J4447" t="b">
        <v>1</v>
      </c>
      <c r="K4447" t="b">
        <v>0</v>
      </c>
      <c r="L4447" t="b">
        <v>0</v>
      </c>
      <c r="M4447" t="b">
        <v>1</v>
      </c>
      <c r="N4447">
        <f>IFERROR(INDEX('Company Hitlist'!$AA:$AA,MATCH(D4447,'Company Hitlist'!$A:$A,0)),)</f>
        <v/>
      </c>
      <c r="O4447">
        <f>IFERROR(INDEX('Company Hitlist'!$N:$N,MATCH(D4447,'Company Hitlist'!$A:$A,0)),)</f>
        <v/>
      </c>
      <c r="Q4447" t="inlineStr">
        <is>
          <t>todo</t>
        </is>
      </c>
    </row>
    <row r="4448">
      <c r="A4448" t="inlineStr">
        <is>
          <t>Delores (Del) Rochester</t>
        </is>
      </c>
      <c r="B4448" t="inlineStr">
        <is>
          <t>Attendee</t>
        </is>
      </c>
      <c r="C4448" t="inlineStr">
        <is>
          <t>Chief Revenue Officer</t>
        </is>
      </c>
      <c r="D4448" t="inlineStr">
        <is>
          <t>Dot Ai Corporation</t>
        </is>
      </c>
      <c r="E4448" t="inlineStr">
        <is>
          <t>United States</t>
        </is>
      </c>
      <c r="F4448" t="inlineStr">
        <is>
          <t>Yes</t>
        </is>
      </c>
      <c r="H4448" t="n">
        <v>-2</v>
      </c>
      <c r="I4448" t="b">
        <v>0</v>
      </c>
      <c r="J4448" t="b">
        <v>1</v>
      </c>
      <c r="K4448" t="b">
        <v>0</v>
      </c>
      <c r="L4448" t="b">
        <v>0</v>
      </c>
      <c r="M4448" t="b">
        <v>1</v>
      </c>
      <c r="N4448">
        <f>IFERROR(INDEX('Company Hitlist'!$AA:$AA,MATCH(D4448,'Company Hitlist'!$A:$A,0)),)</f>
        <v/>
      </c>
      <c r="O4448">
        <f>IFERROR(INDEX('Company Hitlist'!$N:$N,MATCH(D4448,'Company Hitlist'!$A:$A,0)),)</f>
        <v/>
      </c>
      <c r="Q4448" t="inlineStr">
        <is>
          <t>todo</t>
        </is>
      </c>
    </row>
    <row r="4449">
      <c r="A4449" t="inlineStr">
        <is>
          <t>Perry Falk</t>
        </is>
      </c>
      <c r="B4449" t="inlineStr">
        <is>
          <t>Attendee</t>
        </is>
      </c>
      <c r="C4449" t="inlineStr">
        <is>
          <t>Head of Sales</t>
        </is>
      </c>
      <c r="D4449" t="inlineStr">
        <is>
          <t>Drumkit</t>
        </is>
      </c>
      <c r="E4449" t="inlineStr">
        <is>
          <t>United States</t>
        </is>
      </c>
      <c r="H4449" t="n">
        <v>-2</v>
      </c>
      <c r="I4449" t="b">
        <v>0</v>
      </c>
      <c r="J4449" t="b">
        <v>1</v>
      </c>
      <c r="K4449" t="b">
        <v>0</v>
      </c>
      <c r="L4449" t="b">
        <v>0</v>
      </c>
      <c r="M4449" t="b">
        <v>1</v>
      </c>
      <c r="N4449">
        <f>IFERROR(INDEX('Company Hitlist'!$AA:$AA,MATCH(D4449,'Company Hitlist'!$A:$A,0)),)</f>
        <v/>
      </c>
      <c r="O4449">
        <f>IFERROR(INDEX('Company Hitlist'!$N:$N,MATCH(D4449,'Company Hitlist'!$A:$A,0)),)</f>
        <v/>
      </c>
      <c r="Q4449" t="inlineStr">
        <is>
          <t>todo</t>
        </is>
      </c>
    </row>
    <row r="4450">
      <c r="A4450" t="inlineStr">
        <is>
          <t>Bill Holaday</t>
        </is>
      </c>
      <c r="B4450" t="inlineStr">
        <is>
          <t>Attendee</t>
        </is>
      </c>
      <c r="C4450" t="inlineStr">
        <is>
          <t>VP of Enterprise Sales</t>
        </is>
      </c>
      <c r="D4450" t="inlineStr">
        <is>
          <t>EBE Technologies</t>
        </is>
      </c>
      <c r="E4450" t="inlineStr">
        <is>
          <t>United States</t>
        </is>
      </c>
      <c r="H4450" t="n">
        <v>-2</v>
      </c>
      <c r="I4450" t="b">
        <v>0</v>
      </c>
      <c r="J4450" t="b">
        <v>1</v>
      </c>
      <c r="K4450" t="b">
        <v>0</v>
      </c>
      <c r="L4450" t="b">
        <v>0</v>
      </c>
      <c r="M4450" t="b">
        <v>1</v>
      </c>
      <c r="N4450">
        <f>IFERROR(INDEX('Company Hitlist'!$AA:$AA,MATCH(D4450,'Company Hitlist'!$A:$A,0)),)</f>
        <v/>
      </c>
      <c r="O4450">
        <f>IFERROR(INDEX('Company Hitlist'!$N:$N,MATCH(D4450,'Company Hitlist'!$A:$A,0)),)</f>
        <v/>
      </c>
      <c r="Q4450" t="inlineStr">
        <is>
          <t>todo</t>
        </is>
      </c>
    </row>
    <row r="4451">
      <c r="A4451" t="inlineStr">
        <is>
          <t>Ryan Howard</t>
        </is>
      </c>
      <c r="B4451" t="inlineStr">
        <is>
          <t>Attendee</t>
        </is>
      </c>
      <c r="C4451" t="inlineStr">
        <is>
          <t>VP of Business Development</t>
        </is>
      </c>
      <c r="D4451" t="inlineStr">
        <is>
          <t>Eclipse Advantage</t>
        </is>
      </c>
      <c r="E4451" t="inlineStr">
        <is>
          <t>United States</t>
        </is>
      </c>
      <c r="H4451" t="n">
        <v>-2</v>
      </c>
      <c r="I4451" t="b">
        <v>0</v>
      </c>
      <c r="J4451" t="b">
        <v>1</v>
      </c>
      <c r="K4451" t="b">
        <v>0</v>
      </c>
      <c r="L4451" t="b">
        <v>0</v>
      </c>
      <c r="M4451" t="b">
        <v>1</v>
      </c>
      <c r="N4451">
        <f>IFERROR(INDEX('Company Hitlist'!$AA:$AA,MATCH(D4451,'Company Hitlist'!$A:$A,0)),)</f>
        <v/>
      </c>
      <c r="O4451">
        <f>IFERROR(INDEX('Company Hitlist'!$N:$N,MATCH(D4451,'Company Hitlist'!$A:$A,0)),)</f>
        <v/>
      </c>
      <c r="Q4451" t="inlineStr">
        <is>
          <t>todo</t>
        </is>
      </c>
    </row>
    <row r="4452">
      <c r="A4452" t="inlineStr">
        <is>
          <t>Shannan Newsome</t>
        </is>
      </c>
      <c r="B4452" t="inlineStr">
        <is>
          <t>Attendee</t>
        </is>
      </c>
      <c r="C4452" t="inlineStr">
        <is>
          <t>Senior Vice President Sales</t>
        </is>
      </c>
      <c r="D4452" t="inlineStr">
        <is>
          <t>Element Logic</t>
        </is>
      </c>
      <c r="E4452" t="inlineStr">
        <is>
          <t>United States</t>
        </is>
      </c>
      <c r="H4452" t="n">
        <v>-2</v>
      </c>
      <c r="I4452" t="b">
        <v>0</v>
      </c>
      <c r="J4452" t="b">
        <v>1</v>
      </c>
      <c r="K4452" t="b">
        <v>0</v>
      </c>
      <c r="L4452" t="b">
        <v>0</v>
      </c>
      <c r="M4452" t="b">
        <v>1</v>
      </c>
      <c r="N4452">
        <f>IFERROR(INDEX('Company Hitlist'!$AA:$AA,MATCH(D4452,'Company Hitlist'!$A:$A,0)),)</f>
        <v/>
      </c>
      <c r="O4452">
        <f>IFERROR(INDEX('Company Hitlist'!$N:$N,MATCH(D4452,'Company Hitlist'!$A:$A,0)),)</f>
        <v/>
      </c>
      <c r="Q4452" t="inlineStr">
        <is>
          <t>todo</t>
        </is>
      </c>
    </row>
    <row r="4453">
      <c r="A4453" t="inlineStr">
        <is>
          <t>Brad Wheeler</t>
        </is>
      </c>
      <c r="B4453" t="inlineStr">
        <is>
          <t>Attendee</t>
        </is>
      </c>
      <c r="C4453" t="inlineStr">
        <is>
          <t>EVP of Sales</t>
        </is>
      </c>
      <c r="D4453" t="inlineStr">
        <is>
          <t>Emerge</t>
        </is>
      </c>
      <c r="E4453" t="inlineStr">
        <is>
          <t>United States</t>
        </is>
      </c>
      <c r="H4453" t="n">
        <v>-2</v>
      </c>
      <c r="I4453" t="b">
        <v>0</v>
      </c>
      <c r="J4453" t="b">
        <v>1</v>
      </c>
      <c r="K4453" t="b">
        <v>0</v>
      </c>
      <c r="L4453" t="b">
        <v>0</v>
      </c>
      <c r="M4453" t="b">
        <v>1</v>
      </c>
      <c r="N4453">
        <f>IFERROR(INDEX('Company Hitlist'!$AA:$AA,MATCH(D4453,'Company Hitlist'!$A:$A,0)),)</f>
        <v/>
      </c>
      <c r="O4453">
        <f>IFERROR(INDEX('Company Hitlist'!$N:$N,MATCH(D4453,'Company Hitlist'!$A:$A,0)),)</f>
        <v/>
      </c>
      <c r="Q4453" t="inlineStr">
        <is>
          <t>todo</t>
        </is>
      </c>
    </row>
    <row r="4454">
      <c r="A4454" t="inlineStr">
        <is>
          <t>Alex Ristevski</t>
        </is>
      </c>
      <c r="B4454" t="inlineStr">
        <is>
          <t>Attendee</t>
        </is>
      </c>
      <c r="C4454" t="inlineStr">
        <is>
          <t>Vice President of Business Development</t>
        </is>
      </c>
      <c r="D4454" t="inlineStr">
        <is>
          <t>Energy Transportation Group</t>
        </is>
      </c>
      <c r="E4454" t="inlineStr">
        <is>
          <t>Canada</t>
        </is>
      </c>
      <c r="H4454" t="n">
        <v>-2</v>
      </c>
      <c r="I4454" t="b">
        <v>0</v>
      </c>
      <c r="J4454" t="b">
        <v>1</v>
      </c>
      <c r="K4454" t="b">
        <v>0</v>
      </c>
      <c r="L4454" t="b">
        <v>0</v>
      </c>
      <c r="M4454" t="b">
        <v>1</v>
      </c>
      <c r="N4454">
        <f>IFERROR(INDEX('Company Hitlist'!$AA:$AA,MATCH(D4454,'Company Hitlist'!$A:$A,0)),)</f>
        <v/>
      </c>
      <c r="O4454">
        <f>IFERROR(INDEX('Company Hitlist'!$N:$N,MATCH(D4454,'Company Hitlist'!$A:$A,0)),)</f>
        <v/>
      </c>
      <c r="Q4454" t="inlineStr">
        <is>
          <t>todo</t>
        </is>
      </c>
    </row>
    <row r="4455">
      <c r="A4455" t="inlineStr">
        <is>
          <t>Joe Laviolette</t>
        </is>
      </c>
      <c r="B4455" t="inlineStr">
        <is>
          <t>Attendee</t>
        </is>
      </c>
      <c r="C4455" t="inlineStr">
        <is>
          <t>Vice President of Business Development</t>
        </is>
      </c>
      <c r="D4455" t="inlineStr">
        <is>
          <t>Energy Transportation Group</t>
        </is>
      </c>
      <c r="E4455" t="inlineStr">
        <is>
          <t>Canada</t>
        </is>
      </c>
      <c r="H4455" t="n">
        <v>-2</v>
      </c>
      <c r="I4455" t="b">
        <v>0</v>
      </c>
      <c r="J4455" t="b">
        <v>1</v>
      </c>
      <c r="K4455" t="b">
        <v>0</v>
      </c>
      <c r="L4455" t="b">
        <v>0</v>
      </c>
      <c r="M4455" t="b">
        <v>1</v>
      </c>
      <c r="N4455">
        <f>IFERROR(INDEX('Company Hitlist'!$AA:$AA,MATCH(D4455,'Company Hitlist'!$A:$A,0)),)</f>
        <v/>
      </c>
      <c r="O4455">
        <f>IFERROR(INDEX('Company Hitlist'!$N:$N,MATCH(D4455,'Company Hitlist'!$A:$A,0)),)</f>
        <v/>
      </c>
      <c r="Q4455" t="inlineStr">
        <is>
          <t>todo</t>
        </is>
      </c>
    </row>
    <row r="4456">
      <c r="A4456" t="inlineStr">
        <is>
          <t>Andy Piatt</t>
        </is>
      </c>
      <c r="B4456" t="inlineStr">
        <is>
          <t>Attendee</t>
        </is>
      </c>
      <c r="C4456" t="inlineStr">
        <is>
          <t>VP of Sales</t>
        </is>
      </c>
      <c r="D4456" t="inlineStr">
        <is>
          <t>Evans Delivery</t>
        </is>
      </c>
      <c r="E4456" t="inlineStr">
        <is>
          <t>United States</t>
        </is>
      </c>
      <c r="H4456" t="n">
        <v>-2</v>
      </c>
      <c r="I4456" t="b">
        <v>0</v>
      </c>
      <c r="J4456" t="b">
        <v>1</v>
      </c>
      <c r="K4456" t="b">
        <v>0</v>
      </c>
      <c r="L4456" t="b">
        <v>0</v>
      </c>
      <c r="M4456" t="b">
        <v>1</v>
      </c>
      <c r="N4456">
        <f>IFERROR(INDEX('Company Hitlist'!$AA:$AA,MATCH(D4456,'Company Hitlist'!$A:$A,0)),)</f>
        <v/>
      </c>
      <c r="O4456">
        <f>IFERROR(INDEX('Company Hitlist'!$N:$N,MATCH(D4456,'Company Hitlist'!$A:$A,0)),)</f>
        <v/>
      </c>
      <c r="Q4456" t="inlineStr">
        <is>
          <t>todo</t>
        </is>
      </c>
    </row>
    <row r="4457">
      <c r="A4457" t="inlineStr">
        <is>
          <t>Ted McClain</t>
        </is>
      </c>
      <c r="B4457" t="inlineStr">
        <is>
          <t>Attendee</t>
        </is>
      </c>
      <c r="C4457" t="inlineStr">
        <is>
          <t>Senior Vice President Sales</t>
        </is>
      </c>
      <c r="D4457" t="inlineStr">
        <is>
          <t>Expedite All</t>
        </is>
      </c>
      <c r="E4457" t="inlineStr">
        <is>
          <t>United States</t>
        </is>
      </c>
      <c r="H4457" t="n">
        <v>-2</v>
      </c>
      <c r="I4457" t="b">
        <v>0</v>
      </c>
      <c r="J4457" t="b">
        <v>1</v>
      </c>
      <c r="K4457" t="b">
        <v>0</v>
      </c>
      <c r="L4457" t="b">
        <v>0</v>
      </c>
      <c r="M4457" t="b">
        <v>1</v>
      </c>
      <c r="N4457">
        <f>IFERROR(INDEX('Company Hitlist'!$AA:$AA,MATCH(D4457,'Company Hitlist'!$A:$A,0)),)</f>
        <v/>
      </c>
      <c r="O4457">
        <f>IFERROR(INDEX('Company Hitlist'!$N:$N,MATCH(D4457,'Company Hitlist'!$A:$A,0)),)</f>
        <v/>
      </c>
      <c r="Q4457" t="inlineStr">
        <is>
          <t>todo</t>
        </is>
      </c>
    </row>
    <row r="4458">
      <c r="A4458" t="inlineStr">
        <is>
          <t>Carey Ballard</t>
        </is>
      </c>
      <c r="B4458" t="inlineStr">
        <is>
          <t>Attendee</t>
        </is>
      </c>
      <c r="C4458" t="inlineStr">
        <is>
          <t>Chief Marketing Officer</t>
        </is>
      </c>
      <c r="D4458" t="inlineStr">
        <is>
          <t>Extensiv</t>
        </is>
      </c>
      <c r="E4458" t="inlineStr">
        <is>
          <t>United States</t>
        </is>
      </c>
      <c r="F4458" t="inlineStr">
        <is>
          <t>Yes</t>
        </is>
      </c>
      <c r="H4458" t="n">
        <v>-2</v>
      </c>
      <c r="I4458" t="b">
        <v>0</v>
      </c>
      <c r="J4458" t="b">
        <v>1</v>
      </c>
      <c r="K4458" t="b">
        <v>0</v>
      </c>
      <c r="L4458" t="b">
        <v>0</v>
      </c>
      <c r="M4458" t="b">
        <v>1</v>
      </c>
      <c r="N4458">
        <f>IFERROR(INDEX('Company Hitlist'!$AA:$AA,MATCH(D4458,'Company Hitlist'!$A:$A,0)),)</f>
        <v/>
      </c>
      <c r="O4458">
        <f>IFERROR(INDEX('Company Hitlist'!$N:$N,MATCH(D4458,'Company Hitlist'!$A:$A,0)),)</f>
        <v/>
      </c>
      <c r="Q4458" t="inlineStr">
        <is>
          <t>todo</t>
        </is>
      </c>
    </row>
    <row r="4459">
      <c r="A4459" t="inlineStr">
        <is>
          <t>David Miller</t>
        </is>
      </c>
      <c r="B4459" t="inlineStr">
        <is>
          <t>Attendee</t>
        </is>
      </c>
      <c r="C4459" t="inlineStr">
        <is>
          <t>Vice President, Customer Success</t>
        </is>
      </c>
      <c r="D4459" t="inlineStr">
        <is>
          <t>Extensiv</t>
        </is>
      </c>
      <c r="E4459" t="inlineStr">
        <is>
          <t>United States</t>
        </is>
      </c>
      <c r="F4459" t="inlineStr">
        <is>
          <t>Yes</t>
        </is>
      </c>
      <c r="H4459" t="n">
        <v>-2</v>
      </c>
      <c r="I4459" t="b">
        <v>0</v>
      </c>
      <c r="J4459" t="b">
        <v>1</v>
      </c>
      <c r="K4459" t="b">
        <v>0</v>
      </c>
      <c r="L4459" t="b">
        <v>0</v>
      </c>
      <c r="M4459" t="b">
        <v>1</v>
      </c>
      <c r="N4459">
        <f>IFERROR(INDEX('Company Hitlist'!$AA:$AA,MATCH(D4459,'Company Hitlist'!$A:$A,0)),)</f>
        <v/>
      </c>
      <c r="O4459">
        <f>IFERROR(INDEX('Company Hitlist'!$N:$N,MATCH(D4459,'Company Hitlist'!$A:$A,0)),)</f>
        <v/>
      </c>
      <c r="Q4459" t="inlineStr">
        <is>
          <t>todo</t>
        </is>
      </c>
    </row>
    <row r="4460">
      <c r="A4460" t="inlineStr">
        <is>
          <t>Jennifer Whitson</t>
        </is>
      </c>
      <c r="B4460" t="inlineStr">
        <is>
          <t>Attendee</t>
        </is>
      </c>
      <c r="C4460" t="inlineStr">
        <is>
          <t>VP of Sales and Marketing</t>
        </is>
      </c>
      <c r="D4460" t="inlineStr">
        <is>
          <t>Fountain City Logistics</t>
        </is>
      </c>
      <c r="E4460" t="inlineStr">
        <is>
          <t>United States</t>
        </is>
      </c>
      <c r="F4460" t="inlineStr">
        <is>
          <t>Yes</t>
        </is>
      </c>
      <c r="H4460" t="n">
        <v>-2</v>
      </c>
      <c r="I4460" t="b">
        <v>0</v>
      </c>
      <c r="J4460" t="b">
        <v>1</v>
      </c>
      <c r="K4460" t="b">
        <v>0</v>
      </c>
      <c r="L4460" t="b">
        <v>0</v>
      </c>
      <c r="M4460" t="b">
        <v>1</v>
      </c>
      <c r="N4460">
        <f>IFERROR(INDEX('Company Hitlist'!$AA:$AA,MATCH(D4460,'Company Hitlist'!$A:$A,0)),)</f>
        <v/>
      </c>
      <c r="O4460">
        <f>IFERROR(INDEX('Company Hitlist'!$N:$N,MATCH(D4460,'Company Hitlist'!$A:$A,0)),)</f>
        <v/>
      </c>
      <c r="Q4460" t="inlineStr">
        <is>
          <t>todo</t>
        </is>
      </c>
    </row>
    <row r="4461">
      <c r="A4461" t="inlineStr">
        <is>
          <t>Will Seel</t>
        </is>
      </c>
      <c r="B4461" t="inlineStr">
        <is>
          <t>Attendee</t>
        </is>
      </c>
      <c r="C4461" t="inlineStr">
        <is>
          <t>Vice President, Business Development &amp; Industry Affairs</t>
        </is>
      </c>
      <c r="D4461" t="inlineStr">
        <is>
          <t>Freight Handlers, Inc. (FHI)</t>
        </is>
      </c>
      <c r="E4461" t="inlineStr">
        <is>
          <t>United States</t>
        </is>
      </c>
      <c r="H4461" t="n">
        <v>-2</v>
      </c>
      <c r="I4461" t="b">
        <v>0</v>
      </c>
      <c r="J4461" t="b">
        <v>1</v>
      </c>
      <c r="K4461" t="b">
        <v>0</v>
      </c>
      <c r="L4461" t="b">
        <v>0</v>
      </c>
      <c r="M4461" t="b">
        <v>1</v>
      </c>
      <c r="N4461">
        <f>IFERROR(INDEX('Company Hitlist'!$AA:$AA,MATCH(D4461,'Company Hitlist'!$A:$A,0)),)</f>
        <v/>
      </c>
      <c r="O4461">
        <f>IFERROR(INDEX('Company Hitlist'!$N:$N,MATCH(D4461,'Company Hitlist'!$A:$A,0)),)</f>
        <v/>
      </c>
      <c r="Q4461" t="inlineStr">
        <is>
          <t>todo</t>
        </is>
      </c>
    </row>
    <row r="4462">
      <c r="A4462" t="inlineStr">
        <is>
          <t>Jonathan Buchwald</t>
        </is>
      </c>
      <c r="B4462" t="inlineStr">
        <is>
          <t>Attendee</t>
        </is>
      </c>
      <c r="C4462" t="inlineStr">
        <is>
          <t>VP National Sales</t>
        </is>
      </c>
      <c r="D4462" t="inlineStr">
        <is>
          <t>G&amp;P</t>
        </is>
      </c>
      <c r="E4462" t="inlineStr">
        <is>
          <t>United States</t>
        </is>
      </c>
      <c r="H4462" t="n">
        <v>-2</v>
      </c>
      <c r="I4462" t="b">
        <v>0</v>
      </c>
      <c r="J4462" t="b">
        <v>1</v>
      </c>
      <c r="K4462" t="b">
        <v>0</v>
      </c>
      <c r="L4462" t="b">
        <v>0</v>
      </c>
      <c r="M4462" t="b">
        <v>1</v>
      </c>
      <c r="N4462">
        <f>IFERROR(INDEX('Company Hitlist'!$AA:$AA,MATCH(D4462,'Company Hitlist'!$A:$A,0)),)</f>
        <v/>
      </c>
      <c r="O4462">
        <f>IFERROR(INDEX('Company Hitlist'!$N:$N,MATCH(D4462,'Company Hitlist'!$A:$A,0)),)</f>
        <v/>
      </c>
      <c r="Q4462" t="inlineStr">
        <is>
          <t>todo</t>
        </is>
      </c>
    </row>
    <row r="4463">
      <c r="A4463" t="inlineStr">
        <is>
          <t>Julie Massey</t>
        </is>
      </c>
      <c r="B4463" t="inlineStr">
        <is>
          <t>Attendee</t>
        </is>
      </c>
      <c r="C4463" t="inlineStr">
        <is>
          <t>Vice President, Sales</t>
        </is>
      </c>
      <c r="D4463" t="inlineStr">
        <is>
          <t>G2RL</t>
        </is>
      </c>
      <c r="E4463" t="inlineStr">
        <is>
          <t>United States</t>
        </is>
      </c>
      <c r="H4463" t="n">
        <v>-2</v>
      </c>
      <c r="I4463" t="b">
        <v>0</v>
      </c>
      <c r="J4463" t="b">
        <v>1</v>
      </c>
      <c r="K4463" t="b">
        <v>0</v>
      </c>
      <c r="L4463" t="b">
        <v>0</v>
      </c>
      <c r="M4463" t="b">
        <v>1</v>
      </c>
      <c r="N4463">
        <f>IFERROR(INDEX('Company Hitlist'!$AA:$AA,MATCH(D4463,'Company Hitlist'!$A:$A,0)),)</f>
        <v/>
      </c>
      <c r="O4463">
        <f>IFERROR(INDEX('Company Hitlist'!$N:$N,MATCH(D4463,'Company Hitlist'!$A:$A,0)),)</f>
        <v/>
      </c>
      <c r="Q4463" t="inlineStr">
        <is>
          <t>todo</t>
        </is>
      </c>
    </row>
    <row r="4464">
      <c r="A4464" t="inlineStr">
        <is>
          <t>Phillip Moniz</t>
        </is>
      </c>
      <c r="B4464" t="inlineStr">
        <is>
          <t>Attendee</t>
        </is>
      </c>
      <c r="C4464" t="inlineStr">
        <is>
          <t>Vice President - Sales &amp; Marketing</t>
        </is>
      </c>
      <c r="D4464" t="inlineStr">
        <is>
          <t>Guardian Fleet Services</t>
        </is>
      </c>
      <c r="E4464" t="inlineStr">
        <is>
          <t>United States</t>
        </is>
      </c>
      <c r="H4464" t="n">
        <v>-2</v>
      </c>
      <c r="I4464" t="b">
        <v>0</v>
      </c>
      <c r="J4464" t="b">
        <v>1</v>
      </c>
      <c r="K4464" t="b">
        <v>0</v>
      </c>
      <c r="L4464" t="b">
        <v>0</v>
      </c>
      <c r="M4464" t="b">
        <v>1</v>
      </c>
      <c r="N4464">
        <f>IFERROR(INDEX('Company Hitlist'!$AA:$AA,MATCH(D4464,'Company Hitlist'!$A:$A,0)),)</f>
        <v/>
      </c>
      <c r="O4464">
        <f>IFERROR(INDEX('Company Hitlist'!$N:$N,MATCH(D4464,'Company Hitlist'!$A:$A,0)),)</f>
        <v/>
      </c>
      <c r="Q4464" t="inlineStr">
        <is>
          <t>todo</t>
        </is>
      </c>
    </row>
    <row r="4465">
      <c r="A4465" t="inlineStr">
        <is>
          <t>Curt Kristjanson</t>
        </is>
      </c>
      <c r="B4465" t="inlineStr">
        <is>
          <t>Attendee</t>
        </is>
      </c>
      <c r="C4465" t="inlineStr">
        <is>
          <t>Vice President of Sales</t>
        </is>
      </c>
      <c r="D4465" t="inlineStr">
        <is>
          <t>Hermann Services</t>
        </is>
      </c>
      <c r="E4465" t="inlineStr">
        <is>
          <t>United States</t>
        </is>
      </c>
      <c r="H4465" t="n">
        <v>-2</v>
      </c>
      <c r="I4465" t="b">
        <v>0</v>
      </c>
      <c r="J4465" t="b">
        <v>1</v>
      </c>
      <c r="K4465" t="b">
        <v>0</v>
      </c>
      <c r="L4465" t="b">
        <v>0</v>
      </c>
      <c r="M4465" t="b">
        <v>1</v>
      </c>
      <c r="N4465">
        <f>IFERROR(INDEX('Company Hitlist'!$AA:$AA,MATCH(D4465,'Company Hitlist'!$A:$A,0)),)</f>
        <v/>
      </c>
      <c r="O4465">
        <f>IFERROR(INDEX('Company Hitlist'!$N:$N,MATCH(D4465,'Company Hitlist'!$A:$A,0)),)</f>
        <v/>
      </c>
      <c r="Q4465" t="inlineStr">
        <is>
          <t>todo</t>
        </is>
      </c>
    </row>
    <row r="4466">
      <c r="A4466" t="inlineStr">
        <is>
          <t>Fred Olson</t>
        </is>
      </c>
      <c r="B4466" t="inlineStr">
        <is>
          <t>Attendee</t>
        </is>
      </c>
      <c r="C4466" t="inlineStr">
        <is>
          <t>Vice President, Business Development</t>
        </is>
      </c>
      <c r="D4466" t="inlineStr">
        <is>
          <t>Holman Logistics</t>
        </is>
      </c>
      <c r="E4466" t="inlineStr">
        <is>
          <t>United States</t>
        </is>
      </c>
      <c r="H4466" t="n">
        <v>-2</v>
      </c>
      <c r="I4466" t="b">
        <v>0</v>
      </c>
      <c r="J4466" t="b">
        <v>1</v>
      </c>
      <c r="K4466" t="b">
        <v>0</v>
      </c>
      <c r="L4466" t="b">
        <v>0</v>
      </c>
      <c r="M4466" t="b">
        <v>1</v>
      </c>
      <c r="N4466">
        <f>IFERROR(INDEX('Company Hitlist'!$AA:$AA,MATCH(D4466,'Company Hitlist'!$A:$A,0)),)</f>
        <v/>
      </c>
      <c r="O4466">
        <f>IFERROR(INDEX('Company Hitlist'!$N:$N,MATCH(D4466,'Company Hitlist'!$A:$A,0)),)</f>
        <v/>
      </c>
      <c r="Q4466" t="inlineStr">
        <is>
          <t>todo</t>
        </is>
      </c>
    </row>
    <row r="4467">
      <c r="A4467" t="inlineStr">
        <is>
          <t>Kevin Wright</t>
        </is>
      </c>
      <c r="B4467" t="inlineStr">
        <is>
          <t>Attendee</t>
        </is>
      </c>
      <c r="C4467" t="inlineStr">
        <is>
          <t>Head of GTM &amp; Partnerships</t>
        </is>
      </c>
      <c r="D4467" t="inlineStr">
        <is>
          <t>Hotglue</t>
        </is>
      </c>
      <c r="E4467" t="inlineStr">
        <is>
          <t>United States</t>
        </is>
      </c>
      <c r="F4467" t="inlineStr">
        <is>
          <t>Yes</t>
        </is>
      </c>
      <c r="H4467" t="n">
        <v>-2</v>
      </c>
      <c r="I4467" t="b">
        <v>0</v>
      </c>
      <c r="J4467" t="b">
        <v>1</v>
      </c>
      <c r="K4467" t="b">
        <v>0</v>
      </c>
      <c r="L4467" t="b">
        <v>0</v>
      </c>
      <c r="M4467" t="b">
        <v>1</v>
      </c>
      <c r="N4467">
        <f>IFERROR(INDEX('Company Hitlist'!$AA:$AA,MATCH(D4467,'Company Hitlist'!$A:$A,0)),)</f>
        <v/>
      </c>
      <c r="O4467">
        <f>IFERROR(INDEX('Company Hitlist'!$N:$N,MATCH(D4467,'Company Hitlist'!$A:$A,0)),)</f>
        <v/>
      </c>
      <c r="Q4467" t="inlineStr">
        <is>
          <t>todo</t>
        </is>
      </c>
    </row>
    <row r="4468">
      <c r="A4468" t="inlineStr">
        <is>
          <t>James Frostick</t>
        </is>
      </c>
      <c r="B4468" t="inlineStr">
        <is>
          <t>Attendee</t>
        </is>
      </c>
      <c r="C4468" t="inlineStr">
        <is>
          <t>VP of Sales and Marketing</t>
        </is>
      </c>
      <c r="D4468" t="inlineStr">
        <is>
          <t>IMS</t>
        </is>
      </c>
      <c r="E4468" t="inlineStr">
        <is>
          <t>United States</t>
        </is>
      </c>
      <c r="F4468" t="inlineStr">
        <is>
          <t>Yes</t>
        </is>
      </c>
      <c r="H4468" t="n">
        <v>-2</v>
      </c>
      <c r="I4468" t="b">
        <v>0</v>
      </c>
      <c r="J4468" t="b">
        <v>1</v>
      </c>
      <c r="K4468" t="b">
        <v>0</v>
      </c>
      <c r="L4468" t="b">
        <v>0</v>
      </c>
      <c r="M4468" t="b">
        <v>1</v>
      </c>
      <c r="N4468">
        <f>IFERROR(INDEX('Company Hitlist'!$AA:$AA,MATCH(D4468,'Company Hitlist'!$A:$A,0)),)</f>
        <v/>
      </c>
      <c r="O4468">
        <f>IFERROR(INDEX('Company Hitlist'!$N:$N,MATCH(D4468,'Company Hitlist'!$A:$A,0)),)</f>
        <v/>
      </c>
      <c r="Q4468" t="inlineStr">
        <is>
          <t>todo</t>
        </is>
      </c>
    </row>
    <row r="4469">
      <c r="A4469" t="inlineStr">
        <is>
          <t>Tyler Craton</t>
        </is>
      </c>
      <c r="B4469" t="inlineStr">
        <is>
          <t>Attendee</t>
        </is>
      </c>
      <c r="C4469" t="inlineStr">
        <is>
          <t>Vice President of Sales</t>
        </is>
      </c>
      <c r="D4469" t="inlineStr">
        <is>
          <t>Innovations Express, LLC</t>
        </is>
      </c>
      <c r="E4469" t="inlineStr">
        <is>
          <t>United States</t>
        </is>
      </c>
      <c r="H4469" t="n">
        <v>-2</v>
      </c>
      <c r="I4469" t="b">
        <v>0</v>
      </c>
      <c r="J4469" t="b">
        <v>1</v>
      </c>
      <c r="K4469" t="b">
        <v>0</v>
      </c>
      <c r="L4469" t="b">
        <v>0</v>
      </c>
      <c r="M4469" t="b">
        <v>1</v>
      </c>
      <c r="N4469">
        <f>IFERROR(INDEX('Company Hitlist'!$AA:$AA,MATCH(D4469,'Company Hitlist'!$A:$A,0)),)</f>
        <v/>
      </c>
      <c r="O4469">
        <f>IFERROR(INDEX('Company Hitlist'!$N:$N,MATCH(D4469,'Company Hitlist'!$A:$A,0)),)</f>
        <v/>
      </c>
      <c r="Q4469" t="inlineStr">
        <is>
          <t>todo</t>
        </is>
      </c>
    </row>
    <row r="4470">
      <c r="A4470" t="inlineStr">
        <is>
          <t>Phil Shlaen</t>
        </is>
      </c>
      <c r="B4470" t="inlineStr">
        <is>
          <t>Attendee</t>
        </is>
      </c>
      <c r="C4470" t="inlineStr">
        <is>
          <t>SVP Strategic Partnerships &amp; Business Development</t>
        </is>
      </c>
      <c r="D4470" t="inlineStr">
        <is>
          <t>InteliTransport Agency</t>
        </is>
      </c>
      <c r="E4470" t="inlineStr">
        <is>
          <t>United States</t>
        </is>
      </c>
      <c r="H4470" t="n">
        <v>-2</v>
      </c>
      <c r="I4470" t="b">
        <v>0</v>
      </c>
      <c r="J4470" t="b">
        <v>1</v>
      </c>
      <c r="K4470" t="b">
        <v>0</v>
      </c>
      <c r="L4470" t="b">
        <v>0</v>
      </c>
      <c r="M4470" t="b">
        <v>1</v>
      </c>
      <c r="N4470">
        <f>IFERROR(INDEX('Company Hitlist'!$AA:$AA,MATCH(D4470,'Company Hitlist'!$A:$A,0)),)</f>
        <v/>
      </c>
      <c r="O4470">
        <f>IFERROR(INDEX('Company Hitlist'!$N:$N,MATCH(D4470,'Company Hitlist'!$A:$A,0)),)</f>
        <v/>
      </c>
      <c r="Q4470" t="inlineStr">
        <is>
          <t>todo</t>
        </is>
      </c>
    </row>
    <row r="4471">
      <c r="A4471" t="inlineStr">
        <is>
          <t>George Lorenze</t>
        </is>
      </c>
      <c r="B4471" t="inlineStr">
        <is>
          <t>Attendee</t>
        </is>
      </c>
      <c r="C4471" t="inlineStr">
        <is>
          <t>Vice President, Business Development</t>
        </is>
      </c>
      <c r="D4471" t="inlineStr">
        <is>
          <t>Intelligent Audit</t>
        </is>
      </c>
      <c r="E4471" t="inlineStr">
        <is>
          <t>United States</t>
        </is>
      </c>
      <c r="H4471" t="n">
        <v>-2</v>
      </c>
      <c r="I4471" t="b">
        <v>0</v>
      </c>
      <c r="J4471" t="b">
        <v>1</v>
      </c>
      <c r="K4471" t="b">
        <v>0</v>
      </c>
      <c r="L4471" t="b">
        <v>0</v>
      </c>
      <c r="M4471" t="b">
        <v>1</v>
      </c>
      <c r="N4471">
        <f>IFERROR(INDEX('Company Hitlist'!$AA:$AA,MATCH(D4471,'Company Hitlist'!$A:$A,0)),)</f>
        <v/>
      </c>
      <c r="O4471">
        <f>IFERROR(INDEX('Company Hitlist'!$N:$N,MATCH(D4471,'Company Hitlist'!$A:$A,0)),)</f>
        <v/>
      </c>
      <c r="Q4471" t="inlineStr">
        <is>
          <t>todo</t>
        </is>
      </c>
    </row>
    <row r="4472">
      <c r="A4472" t="inlineStr">
        <is>
          <t>Doug Engle</t>
        </is>
      </c>
      <c r="B4472" t="inlineStr">
        <is>
          <t>Attendee</t>
        </is>
      </c>
      <c r="C4472" t="inlineStr">
        <is>
          <t>VP New Business Development</t>
        </is>
      </c>
      <c r="D4472" t="inlineStr">
        <is>
          <t>International Bridge</t>
        </is>
      </c>
      <c r="E4472" t="inlineStr">
        <is>
          <t>United States</t>
        </is>
      </c>
      <c r="H4472" t="n">
        <v>-2</v>
      </c>
      <c r="I4472" t="b">
        <v>0</v>
      </c>
      <c r="J4472" t="b">
        <v>1</v>
      </c>
      <c r="K4472" t="b">
        <v>0</v>
      </c>
      <c r="L4472" t="b">
        <v>0</v>
      </c>
      <c r="M4472" t="b">
        <v>1</v>
      </c>
      <c r="N4472">
        <f>IFERROR(INDEX('Company Hitlist'!$AA:$AA,MATCH(D4472,'Company Hitlist'!$A:$A,0)),)</f>
        <v/>
      </c>
      <c r="O4472">
        <f>IFERROR(INDEX('Company Hitlist'!$N:$N,MATCH(D4472,'Company Hitlist'!$A:$A,0)),)</f>
        <v/>
      </c>
      <c r="Q4472" t="inlineStr">
        <is>
          <t>todo</t>
        </is>
      </c>
    </row>
    <row r="4473">
      <c r="A4473" t="inlineStr">
        <is>
          <t>Austin Power</t>
        </is>
      </c>
      <c r="B4473" t="inlineStr">
        <is>
          <t>Attendee</t>
        </is>
      </c>
      <c r="C4473" t="inlineStr">
        <is>
          <t>VP Sales</t>
        </is>
      </c>
      <c r="D4473" t="inlineStr">
        <is>
          <t>KNAPP</t>
        </is>
      </c>
      <c r="E4473" t="inlineStr">
        <is>
          <t>United States</t>
        </is>
      </c>
      <c r="H4473" t="n">
        <v>-2</v>
      </c>
      <c r="I4473" t="b">
        <v>0</v>
      </c>
      <c r="J4473" t="b">
        <v>1</v>
      </c>
      <c r="K4473" t="b">
        <v>0</v>
      </c>
      <c r="L4473" t="b">
        <v>0</v>
      </c>
      <c r="M4473" t="b">
        <v>1</v>
      </c>
      <c r="N4473">
        <f>IFERROR(INDEX('Company Hitlist'!$AA:$AA,MATCH(D4473,'Company Hitlist'!$A:$A,0)),)</f>
        <v/>
      </c>
      <c r="O4473">
        <f>IFERROR(INDEX('Company Hitlist'!$N:$N,MATCH(D4473,'Company Hitlist'!$A:$A,0)),)</f>
        <v/>
      </c>
      <c r="Q4473" t="inlineStr">
        <is>
          <t>todo</t>
        </is>
      </c>
    </row>
    <row r="4474">
      <c r="A4474" t="inlineStr">
        <is>
          <t>Joshua Mueller</t>
        </is>
      </c>
      <c r="B4474" t="inlineStr">
        <is>
          <t>Attendee</t>
        </is>
      </c>
      <c r="C4474" t="inlineStr">
        <is>
          <t>Head of Sales</t>
        </is>
      </c>
      <c r="D4474" t="inlineStr">
        <is>
          <t>Kempower</t>
        </is>
      </c>
      <c r="E4474" t="inlineStr">
        <is>
          <t>United States</t>
        </is>
      </c>
      <c r="H4474" t="n">
        <v>-2</v>
      </c>
      <c r="I4474" t="b">
        <v>0</v>
      </c>
      <c r="J4474" t="b">
        <v>1</v>
      </c>
      <c r="K4474" t="b">
        <v>0</v>
      </c>
      <c r="L4474" t="b">
        <v>0</v>
      </c>
      <c r="M4474" t="b">
        <v>1</v>
      </c>
      <c r="N4474">
        <f>IFERROR(INDEX('Company Hitlist'!$AA:$AA,MATCH(D4474,'Company Hitlist'!$A:$A,0)),)</f>
        <v/>
      </c>
      <c r="O4474">
        <f>IFERROR(INDEX('Company Hitlist'!$N:$N,MATCH(D4474,'Company Hitlist'!$A:$A,0)),)</f>
        <v/>
      </c>
      <c r="Q4474" t="inlineStr">
        <is>
          <t>todo</t>
        </is>
      </c>
    </row>
    <row r="4475">
      <c r="A4475" t="inlineStr">
        <is>
          <t>Mike Coers</t>
        </is>
      </c>
      <c r="B4475" t="inlineStr">
        <is>
          <t>Attendee</t>
        </is>
      </c>
      <c r="C4475" t="inlineStr">
        <is>
          <t>SVP Sales</t>
        </is>
      </c>
      <c r="D4475" t="inlineStr">
        <is>
          <t>Kinimatic</t>
        </is>
      </c>
      <c r="E4475" t="inlineStr">
        <is>
          <t>United States</t>
        </is>
      </c>
      <c r="H4475" t="n">
        <v>-2</v>
      </c>
      <c r="I4475" t="b">
        <v>0</v>
      </c>
      <c r="J4475" t="b">
        <v>1</v>
      </c>
      <c r="K4475" t="b">
        <v>0</v>
      </c>
      <c r="L4475" t="b">
        <v>0</v>
      </c>
      <c r="M4475" t="b">
        <v>1</v>
      </c>
      <c r="N4475">
        <f>IFERROR(INDEX('Company Hitlist'!$AA:$AA,MATCH(D4475,'Company Hitlist'!$A:$A,0)),)</f>
        <v/>
      </c>
      <c r="O4475">
        <f>IFERROR(INDEX('Company Hitlist'!$N:$N,MATCH(D4475,'Company Hitlist'!$A:$A,0)),)</f>
        <v/>
      </c>
      <c r="Q4475" t="inlineStr">
        <is>
          <t>todo</t>
        </is>
      </c>
    </row>
    <row r="4476">
      <c r="A4476" t="inlineStr">
        <is>
          <t>Mike Winer</t>
        </is>
      </c>
      <c r="B4476" t="inlineStr">
        <is>
          <t>Attendee</t>
        </is>
      </c>
      <c r="C4476" t="inlineStr">
        <is>
          <t>VP Sales</t>
        </is>
      </c>
      <c r="D4476" t="inlineStr">
        <is>
          <t>Kinimatic</t>
        </is>
      </c>
      <c r="E4476" t="inlineStr">
        <is>
          <t>United States</t>
        </is>
      </c>
      <c r="H4476" t="n">
        <v>-2</v>
      </c>
      <c r="I4476" t="b">
        <v>0</v>
      </c>
      <c r="J4476" t="b">
        <v>1</v>
      </c>
      <c r="K4476" t="b">
        <v>0</v>
      </c>
      <c r="L4476" t="b">
        <v>0</v>
      </c>
      <c r="M4476" t="b">
        <v>1</v>
      </c>
      <c r="N4476">
        <f>IFERROR(INDEX('Company Hitlist'!$AA:$AA,MATCH(D4476,'Company Hitlist'!$A:$A,0)),)</f>
        <v/>
      </c>
      <c r="O4476">
        <f>IFERROR(INDEX('Company Hitlist'!$N:$N,MATCH(D4476,'Company Hitlist'!$A:$A,0)),)</f>
        <v/>
      </c>
      <c r="Q4476" t="inlineStr">
        <is>
          <t>todo</t>
        </is>
      </c>
    </row>
    <row r="4477">
      <c r="A4477" t="inlineStr">
        <is>
          <t>Rembert Moore</t>
        </is>
      </c>
      <c r="B4477" t="inlineStr">
        <is>
          <t>Attendee</t>
        </is>
      </c>
      <c r="C4477" t="inlineStr">
        <is>
          <t>VP of Sales</t>
        </is>
      </c>
      <c r="D4477" t="inlineStr">
        <is>
          <t>Lion Power</t>
        </is>
      </c>
      <c r="E4477" t="inlineStr">
        <is>
          <t>United States</t>
        </is>
      </c>
      <c r="H4477" t="n">
        <v>-2</v>
      </c>
      <c r="I4477" t="b">
        <v>0</v>
      </c>
      <c r="J4477" t="b">
        <v>1</v>
      </c>
      <c r="K4477" t="b">
        <v>0</v>
      </c>
      <c r="L4477" t="b">
        <v>0</v>
      </c>
      <c r="M4477" t="b">
        <v>1</v>
      </c>
      <c r="N4477">
        <f>IFERROR(INDEX('Company Hitlist'!$AA:$AA,MATCH(D4477,'Company Hitlist'!$A:$A,0)),)</f>
        <v/>
      </c>
      <c r="O4477">
        <f>IFERROR(INDEX('Company Hitlist'!$N:$N,MATCH(D4477,'Company Hitlist'!$A:$A,0)),)</f>
        <v/>
      </c>
      <c r="Q4477" t="inlineStr">
        <is>
          <t>todo</t>
        </is>
      </c>
    </row>
    <row r="4478">
      <c r="A4478" t="inlineStr">
        <is>
          <t>Mark Dunlap</t>
        </is>
      </c>
      <c r="B4478" t="inlineStr">
        <is>
          <t>Attendee</t>
        </is>
      </c>
      <c r="C4478" t="inlineStr">
        <is>
          <t>VP of Business Development</t>
        </is>
      </c>
      <c r="D4478" t="inlineStr">
        <is>
          <t>Liquidity Services</t>
        </is>
      </c>
      <c r="E4478" t="inlineStr">
        <is>
          <t>United States</t>
        </is>
      </c>
      <c r="H4478" t="n">
        <v>-2</v>
      </c>
      <c r="I4478" t="b">
        <v>0</v>
      </c>
      <c r="J4478" t="b">
        <v>1</v>
      </c>
      <c r="K4478" t="b">
        <v>0</v>
      </c>
      <c r="L4478" t="b">
        <v>0</v>
      </c>
      <c r="M4478" t="b">
        <v>1</v>
      </c>
      <c r="N4478">
        <f>IFERROR(INDEX('Company Hitlist'!$AA:$AA,MATCH(D4478,'Company Hitlist'!$A:$A,0)),)</f>
        <v/>
      </c>
      <c r="O4478">
        <f>IFERROR(INDEX('Company Hitlist'!$N:$N,MATCH(D4478,'Company Hitlist'!$A:$A,0)),)</f>
        <v/>
      </c>
      <c r="Q4478" t="inlineStr">
        <is>
          <t>todo</t>
        </is>
      </c>
    </row>
    <row r="4479">
      <c r="A4479" t="inlineStr">
        <is>
          <t>Nate Allan</t>
        </is>
      </c>
      <c r="B4479" t="inlineStr">
        <is>
          <t>Attendee</t>
        </is>
      </c>
      <c r="C4479" t="inlineStr">
        <is>
          <t>VP of Digital Sales</t>
        </is>
      </c>
      <c r="D4479" t="inlineStr">
        <is>
          <t>Loadsmart</t>
        </is>
      </c>
      <c r="E4479" t="inlineStr">
        <is>
          <t>United States</t>
        </is>
      </c>
      <c r="H4479" t="n">
        <v>-2</v>
      </c>
      <c r="I4479" t="b">
        <v>0</v>
      </c>
      <c r="J4479" t="b">
        <v>1</v>
      </c>
      <c r="K4479" t="b">
        <v>0</v>
      </c>
      <c r="L4479" t="b">
        <v>0</v>
      </c>
      <c r="M4479" t="b">
        <v>1</v>
      </c>
      <c r="N4479">
        <f>IFERROR(INDEX('Company Hitlist'!$AA:$AA,MATCH(D4479,'Company Hitlist'!$A:$A,0)),)</f>
        <v/>
      </c>
      <c r="O4479">
        <f>IFERROR(INDEX('Company Hitlist'!$N:$N,MATCH(D4479,'Company Hitlist'!$A:$A,0)),)</f>
        <v/>
      </c>
      <c r="Q4479" t="inlineStr">
        <is>
          <t>todo</t>
        </is>
      </c>
    </row>
    <row r="4480">
      <c r="A4480" t="inlineStr">
        <is>
          <t>Anthony Milano</t>
        </is>
      </c>
      <c r="B4480" t="inlineStr">
        <is>
          <t>Attendee</t>
        </is>
      </c>
      <c r="C4480" t="inlineStr">
        <is>
          <t>Chief Growth Officer</t>
        </is>
      </c>
      <c r="D4480" t="inlineStr">
        <is>
          <t>Logic</t>
        </is>
      </c>
      <c r="E4480" t="inlineStr">
        <is>
          <t>United States</t>
        </is>
      </c>
      <c r="F4480" t="inlineStr">
        <is>
          <t>Yes</t>
        </is>
      </c>
      <c r="H4480" t="n">
        <v>-2</v>
      </c>
      <c r="I4480" t="b">
        <v>0</v>
      </c>
      <c r="J4480" t="b">
        <v>1</v>
      </c>
      <c r="K4480" t="b">
        <v>0</v>
      </c>
      <c r="L4480" t="b">
        <v>0</v>
      </c>
      <c r="M4480" t="b">
        <v>1</v>
      </c>
      <c r="N4480">
        <f>IFERROR(INDEX('Company Hitlist'!$AA:$AA,MATCH(D4480,'Company Hitlist'!$A:$A,0)),)</f>
        <v/>
      </c>
      <c r="O4480">
        <f>IFERROR(INDEX('Company Hitlist'!$N:$N,MATCH(D4480,'Company Hitlist'!$A:$A,0)),)</f>
        <v/>
      </c>
      <c r="Q4480" t="inlineStr">
        <is>
          <t>todo</t>
        </is>
      </c>
    </row>
    <row r="4481">
      <c r="A4481" t="inlineStr">
        <is>
          <t>Michal Noelle Culler</t>
        </is>
      </c>
      <c r="B4481" t="inlineStr">
        <is>
          <t>Attendee</t>
        </is>
      </c>
      <c r="C4481" t="inlineStr">
        <is>
          <t>VP of Sales and Marketing</t>
        </is>
      </c>
      <c r="D4481" t="inlineStr">
        <is>
          <t>LogistiVIEW</t>
        </is>
      </c>
      <c r="E4481" t="inlineStr">
        <is>
          <t>United States</t>
        </is>
      </c>
      <c r="F4481" t="inlineStr">
        <is>
          <t>Yes</t>
        </is>
      </c>
      <c r="H4481" t="n">
        <v>-2</v>
      </c>
      <c r="I4481" t="b">
        <v>0</v>
      </c>
      <c r="J4481" t="b">
        <v>1</v>
      </c>
      <c r="K4481" t="b">
        <v>0</v>
      </c>
      <c r="L4481" t="b">
        <v>0</v>
      </c>
      <c r="M4481" t="b">
        <v>1</v>
      </c>
      <c r="N4481">
        <f>IFERROR(INDEX('Company Hitlist'!$AA:$AA,MATCH(D4481,'Company Hitlist'!$A:$A,0)),)</f>
        <v/>
      </c>
      <c r="O4481">
        <f>IFERROR(INDEX('Company Hitlist'!$N:$N,MATCH(D4481,'Company Hitlist'!$A:$A,0)),)</f>
        <v/>
      </c>
      <c r="Q4481" t="inlineStr">
        <is>
          <t>todo</t>
        </is>
      </c>
    </row>
    <row r="4482">
      <c r="A4482" t="inlineStr">
        <is>
          <t>Damian Holsworth</t>
        </is>
      </c>
      <c r="B4482" t="inlineStr">
        <is>
          <t>Attendee</t>
        </is>
      </c>
      <c r="C4482" t="inlineStr">
        <is>
          <t>Head of Global Partnerships &amp; Alliances</t>
        </is>
      </c>
      <c r="D4482" t="inlineStr">
        <is>
          <t>Logiwa</t>
        </is>
      </c>
      <c r="E4482" t="inlineStr">
        <is>
          <t>United States</t>
        </is>
      </c>
      <c r="F4482" t="inlineStr">
        <is>
          <t>Yes</t>
        </is>
      </c>
      <c r="G4482" t="inlineStr">
        <is>
          <t>$46.4 million (2025)</t>
        </is>
      </c>
      <c r="H4482" t="n">
        <v>-2</v>
      </c>
      <c r="I4482" t="b">
        <v>0</v>
      </c>
      <c r="J4482" t="b">
        <v>1</v>
      </c>
      <c r="K4482" t="b">
        <v>0</v>
      </c>
      <c r="L4482" t="b">
        <v>0</v>
      </c>
      <c r="M4482" t="b">
        <v>1</v>
      </c>
      <c r="N4482">
        <f>IFERROR(INDEX('Company Hitlist'!$AA:$AA,MATCH(D4482,'Company Hitlist'!$A:$A,0)),)</f>
        <v/>
      </c>
      <c r="O4482">
        <f>IFERROR(INDEX('Company Hitlist'!$N:$N,MATCH(D4482,'Company Hitlist'!$A:$A,0)),)</f>
        <v/>
      </c>
      <c r="Q4482" t="inlineStr">
        <is>
          <t>todo</t>
        </is>
      </c>
    </row>
    <row r="4483">
      <c r="A4483" t="inlineStr">
        <is>
          <t>Maurice Bremekamp</t>
        </is>
      </c>
      <c r="B4483" t="inlineStr">
        <is>
          <t>Attendee</t>
        </is>
      </c>
      <c r="C4483" t="inlineStr">
        <is>
          <t>VP of Sales</t>
        </is>
      </c>
      <c r="D4483" t="inlineStr">
        <is>
          <t>M&amp;W Distribution Services, Inc.</t>
        </is>
      </c>
      <c r="E4483" t="inlineStr">
        <is>
          <t>United States</t>
        </is>
      </c>
      <c r="H4483" t="n">
        <v>-2</v>
      </c>
      <c r="I4483" t="b">
        <v>0</v>
      </c>
      <c r="J4483" t="b">
        <v>1</v>
      </c>
      <c r="K4483" t="b">
        <v>0</v>
      </c>
      <c r="L4483" t="b">
        <v>0</v>
      </c>
      <c r="M4483" t="b">
        <v>1</v>
      </c>
      <c r="N4483">
        <f>IFERROR(INDEX('Company Hitlist'!$AA:$AA,MATCH(D4483,'Company Hitlist'!$A:$A,0)),)</f>
        <v/>
      </c>
      <c r="O4483">
        <f>IFERROR(INDEX('Company Hitlist'!$N:$N,MATCH(D4483,'Company Hitlist'!$A:$A,0)),)</f>
        <v/>
      </c>
      <c r="Q4483" t="inlineStr">
        <is>
          <t>todo</t>
        </is>
      </c>
    </row>
    <row r="4484">
      <c r="A4484" t="inlineStr">
        <is>
          <t>Bryant Baucum</t>
        </is>
      </c>
      <c r="B4484" t="inlineStr">
        <is>
          <t>Attendee</t>
        </is>
      </c>
      <c r="C4484" t="inlineStr">
        <is>
          <t>VP of Sales</t>
        </is>
      </c>
      <c r="D4484" t="inlineStr">
        <is>
          <t>MLM Transport</t>
        </is>
      </c>
      <c r="H4484" t="n">
        <v>-2</v>
      </c>
      <c r="I4484" t="b">
        <v>0</v>
      </c>
      <c r="J4484" t="b">
        <v>1</v>
      </c>
      <c r="K4484" t="b">
        <v>0</v>
      </c>
      <c r="L4484" t="b">
        <v>0</v>
      </c>
      <c r="M4484" t="b">
        <v>1</v>
      </c>
      <c r="N4484">
        <f>IFERROR(INDEX('Company Hitlist'!$AA:$AA,MATCH(D4484,'Company Hitlist'!$A:$A,0)),)</f>
        <v/>
      </c>
      <c r="O4484">
        <f>IFERROR(INDEX('Company Hitlist'!$N:$N,MATCH(D4484,'Company Hitlist'!$A:$A,0)),)</f>
        <v/>
      </c>
      <c r="Q4484" t="inlineStr">
        <is>
          <t>todo</t>
        </is>
      </c>
    </row>
    <row r="4485">
      <c r="A4485" t="inlineStr">
        <is>
          <t>Mammen Tharakan</t>
        </is>
      </c>
      <c r="B4485" t="inlineStr">
        <is>
          <t>Attendee</t>
        </is>
      </c>
      <c r="C4485" t="inlineStr">
        <is>
          <t>Vice President, Partnerships &amp; Growth</t>
        </is>
      </c>
      <c r="D4485" t="inlineStr">
        <is>
          <t>Machool Technologies</t>
        </is>
      </c>
      <c r="E4485" t="inlineStr">
        <is>
          <t>Canada</t>
        </is>
      </c>
      <c r="F4485" t="inlineStr">
        <is>
          <t>Yes</t>
        </is>
      </c>
      <c r="H4485" t="n">
        <v>-2</v>
      </c>
      <c r="I4485" t="b">
        <v>0</v>
      </c>
      <c r="J4485" t="b">
        <v>1</v>
      </c>
      <c r="K4485" t="b">
        <v>0</v>
      </c>
      <c r="L4485" t="b">
        <v>0</v>
      </c>
      <c r="M4485" t="b">
        <v>1</v>
      </c>
      <c r="N4485">
        <f>IFERROR(INDEX('Company Hitlist'!$AA:$AA,MATCH(D4485,'Company Hitlist'!$A:$A,0)),)</f>
        <v/>
      </c>
      <c r="O4485">
        <f>IFERROR(INDEX('Company Hitlist'!$N:$N,MATCH(D4485,'Company Hitlist'!$A:$A,0)),)</f>
        <v/>
      </c>
      <c r="Q4485" t="inlineStr">
        <is>
          <t>todo</t>
        </is>
      </c>
    </row>
    <row r="4486">
      <c r="A4486" t="inlineStr">
        <is>
          <t>Franck Dedenis</t>
        </is>
      </c>
      <c r="B4486" t="inlineStr">
        <is>
          <t>Attendee</t>
        </is>
      </c>
      <c r="C4486" t="inlineStr">
        <is>
          <t>Regional Head of Sales and Marketing, North America</t>
        </is>
      </c>
      <c r="D4486" t="inlineStr">
        <is>
          <t>Maersk</t>
        </is>
      </c>
      <c r="E4486" t="inlineStr">
        <is>
          <t>United States</t>
        </is>
      </c>
      <c r="F4486" t="inlineStr">
        <is>
          <t>Yes</t>
        </is>
      </c>
      <c r="G4486" t="inlineStr">
        <is>
          <t>$61B (2024; projected $65B in 2025)</t>
        </is>
      </c>
      <c r="H4486" t="n">
        <v>-2</v>
      </c>
      <c r="I4486" t="b">
        <v>0</v>
      </c>
      <c r="J4486" t="b">
        <v>1</v>
      </c>
      <c r="K4486" t="b">
        <v>0</v>
      </c>
      <c r="L4486" t="b">
        <v>0</v>
      </c>
      <c r="M4486" t="b">
        <v>1</v>
      </c>
      <c r="N4486">
        <f>IFERROR(INDEX('Company Hitlist'!$AA:$AA,MATCH(D4486,'Company Hitlist'!$A:$A,0)),)</f>
        <v/>
      </c>
      <c r="O4486">
        <f>IFERROR(INDEX('Company Hitlist'!$N:$N,MATCH(D4486,'Company Hitlist'!$A:$A,0)),)</f>
        <v/>
      </c>
      <c r="Q4486" t="inlineStr">
        <is>
          <t>todo</t>
        </is>
      </c>
    </row>
    <row r="4487">
      <c r="A4487" t="inlineStr">
        <is>
          <t>Maribeth Knueve</t>
        </is>
      </c>
      <c r="B4487" t="inlineStr">
        <is>
          <t>Attendee</t>
        </is>
      </c>
      <c r="C4487" t="inlineStr">
        <is>
          <t>SVP of Sales and Marketing</t>
        </is>
      </c>
      <c r="D4487" t="inlineStr">
        <is>
          <t>Marten Transport</t>
        </is>
      </c>
      <c r="E4487" t="inlineStr">
        <is>
          <t>United States</t>
        </is>
      </c>
      <c r="F4487" t="inlineStr">
        <is>
          <t>Yes</t>
        </is>
      </c>
      <c r="H4487" t="n">
        <v>-2</v>
      </c>
      <c r="I4487" t="b">
        <v>0</v>
      </c>
      <c r="J4487" t="b">
        <v>1</v>
      </c>
      <c r="K4487" t="b">
        <v>0</v>
      </c>
      <c r="L4487" t="b">
        <v>0</v>
      </c>
      <c r="M4487" t="b">
        <v>1</v>
      </c>
      <c r="N4487">
        <f>IFERROR(INDEX('Company Hitlist'!$AA:$AA,MATCH(D4487,'Company Hitlist'!$A:$A,0)),)</f>
        <v/>
      </c>
      <c r="O4487">
        <f>IFERROR(INDEX('Company Hitlist'!$N:$N,MATCH(D4487,'Company Hitlist'!$A:$A,0)),)</f>
        <v/>
      </c>
      <c r="Q4487" t="inlineStr">
        <is>
          <t>todo</t>
        </is>
      </c>
    </row>
    <row r="4488">
      <c r="A4488" t="inlineStr">
        <is>
          <t>David Thompson</t>
        </is>
      </c>
      <c r="B4488" t="inlineStr">
        <is>
          <t>Attendee</t>
        </is>
      </c>
      <c r="C4488" t="inlineStr">
        <is>
          <t>SVP Business Development</t>
        </is>
      </c>
      <c r="D4488" t="inlineStr">
        <is>
          <t>Marten Transport</t>
        </is>
      </c>
      <c r="E4488" t="inlineStr">
        <is>
          <t>United States</t>
        </is>
      </c>
      <c r="H4488" t="n">
        <v>-2</v>
      </c>
      <c r="I4488" t="b">
        <v>0</v>
      </c>
      <c r="J4488" t="b">
        <v>1</v>
      </c>
      <c r="K4488" t="b">
        <v>0</v>
      </c>
      <c r="L4488" t="b">
        <v>0</v>
      </c>
      <c r="M4488" t="b">
        <v>1</v>
      </c>
      <c r="N4488">
        <f>IFERROR(INDEX('Company Hitlist'!$AA:$AA,MATCH(D4488,'Company Hitlist'!$A:$A,0)),)</f>
        <v/>
      </c>
      <c r="O4488">
        <f>IFERROR(INDEX('Company Hitlist'!$N:$N,MATCH(D4488,'Company Hitlist'!$A:$A,0)),)</f>
        <v/>
      </c>
      <c r="Q4488" t="inlineStr">
        <is>
          <t>todo</t>
        </is>
      </c>
    </row>
    <row r="4489">
      <c r="A4489" t="inlineStr">
        <is>
          <t>Michael Brossia</t>
        </is>
      </c>
      <c r="B4489" t="inlineStr">
        <is>
          <t>Attendee</t>
        </is>
      </c>
      <c r="C4489" t="inlineStr">
        <is>
          <t>Vice President of Sales</t>
        </is>
      </c>
      <c r="D4489" t="inlineStr">
        <is>
          <t>McClay's Logistics</t>
        </is>
      </c>
      <c r="H4489" t="n">
        <v>-2</v>
      </c>
      <c r="I4489" t="b">
        <v>0</v>
      </c>
      <c r="J4489" t="b">
        <v>1</v>
      </c>
      <c r="K4489" t="b">
        <v>0</v>
      </c>
      <c r="L4489" t="b">
        <v>0</v>
      </c>
      <c r="M4489" t="b">
        <v>1</v>
      </c>
      <c r="N4489">
        <f>IFERROR(INDEX('Company Hitlist'!$AA:$AA,MATCH(D4489,'Company Hitlist'!$A:$A,0)),)</f>
        <v/>
      </c>
      <c r="O4489">
        <f>IFERROR(INDEX('Company Hitlist'!$N:$N,MATCH(D4489,'Company Hitlist'!$A:$A,0)),)</f>
        <v/>
      </c>
      <c r="Q4489" t="inlineStr">
        <is>
          <t>todo</t>
        </is>
      </c>
    </row>
    <row r="4490">
      <c r="A4490" t="inlineStr">
        <is>
          <t>Tim Ashby</t>
        </is>
      </c>
      <c r="B4490" t="inlineStr">
        <is>
          <t>Attendee</t>
        </is>
      </c>
      <c r="C4490" t="inlineStr">
        <is>
          <t>VP Business Development</t>
        </is>
      </c>
      <c r="D4490" t="inlineStr">
        <is>
          <t>Metro Supply Chain</t>
        </is>
      </c>
      <c r="E4490" t="inlineStr">
        <is>
          <t>Canada</t>
        </is>
      </c>
      <c r="H4490" t="n">
        <v>-2</v>
      </c>
      <c r="I4490" t="b">
        <v>0</v>
      </c>
      <c r="J4490" t="b">
        <v>1</v>
      </c>
      <c r="K4490" t="b">
        <v>0</v>
      </c>
      <c r="L4490" t="b">
        <v>0</v>
      </c>
      <c r="M4490" t="b">
        <v>1</v>
      </c>
      <c r="N4490">
        <f>IFERROR(INDEX('Company Hitlist'!$AA:$AA,MATCH(D4490,'Company Hitlist'!$A:$A,0)),)</f>
        <v/>
      </c>
      <c r="O4490">
        <f>IFERROR(INDEX('Company Hitlist'!$N:$N,MATCH(D4490,'Company Hitlist'!$A:$A,0)),)</f>
        <v/>
      </c>
      <c r="Q4490" t="inlineStr">
        <is>
          <t>todo</t>
        </is>
      </c>
    </row>
    <row r="4491">
      <c r="A4491" t="inlineStr">
        <is>
          <t>Ben Jones</t>
        </is>
      </c>
      <c r="B4491" t="inlineStr">
        <is>
          <t>Attendee</t>
        </is>
      </c>
      <c r="C4491" t="inlineStr">
        <is>
          <t>Head of Sales &amp; Co-founder</t>
        </is>
      </c>
      <c r="D4491" t="inlineStr">
        <is>
          <t>Moddule</t>
        </is>
      </c>
      <c r="E4491" t="inlineStr">
        <is>
          <t>United States</t>
        </is>
      </c>
      <c r="H4491" t="n">
        <v>-2</v>
      </c>
      <c r="I4491" t="b">
        <v>0</v>
      </c>
      <c r="J4491" t="b">
        <v>1</v>
      </c>
      <c r="K4491" t="b">
        <v>0</v>
      </c>
      <c r="L4491" t="b">
        <v>0</v>
      </c>
      <c r="M4491" t="b">
        <v>1</v>
      </c>
      <c r="N4491">
        <f>IFERROR(INDEX('Company Hitlist'!$AA:$AA,MATCH(D4491,'Company Hitlist'!$A:$A,0)),)</f>
        <v/>
      </c>
      <c r="O4491">
        <f>IFERROR(INDEX('Company Hitlist'!$N:$N,MATCH(D4491,'Company Hitlist'!$A:$A,0)),)</f>
        <v/>
      </c>
      <c r="Q4491" t="inlineStr">
        <is>
          <t>todo</t>
        </is>
      </c>
    </row>
    <row r="4492">
      <c r="A4492" t="inlineStr">
        <is>
          <t>Chelsey Reynolds</t>
        </is>
      </c>
      <c r="B4492" t="inlineStr">
        <is>
          <t>Attendee</t>
        </is>
      </c>
      <c r="C4492" t="inlineStr">
        <is>
          <t>VP of Sales</t>
        </is>
      </c>
      <c r="D4492" t="inlineStr">
        <is>
          <t>Navix</t>
        </is>
      </c>
      <c r="H4492" t="n">
        <v>-2</v>
      </c>
      <c r="I4492" t="b">
        <v>0</v>
      </c>
      <c r="J4492" t="b">
        <v>1</v>
      </c>
      <c r="K4492" t="b">
        <v>0</v>
      </c>
      <c r="L4492" t="b">
        <v>0</v>
      </c>
      <c r="M4492" t="b">
        <v>1</v>
      </c>
      <c r="N4492">
        <f>IFERROR(INDEX('Company Hitlist'!$AA:$AA,MATCH(D4492,'Company Hitlist'!$A:$A,0)),)</f>
        <v/>
      </c>
      <c r="O4492">
        <f>IFERROR(INDEX('Company Hitlist'!$N:$N,MATCH(D4492,'Company Hitlist'!$A:$A,0)),)</f>
        <v/>
      </c>
      <c r="Q4492" t="inlineStr">
        <is>
          <t>todo</t>
        </is>
      </c>
    </row>
    <row r="4493">
      <c r="A4493" t="inlineStr">
        <is>
          <t>Anthony MacDonald</t>
        </is>
      </c>
      <c r="B4493" t="inlineStr">
        <is>
          <t>Attendee</t>
        </is>
      </c>
      <c r="C4493" t="inlineStr">
        <is>
          <t>Chief Revenue Officer</t>
        </is>
      </c>
      <c r="D4493" t="inlineStr">
        <is>
          <t>Ndustrial</t>
        </is>
      </c>
      <c r="E4493" t="inlineStr">
        <is>
          <t>United States</t>
        </is>
      </c>
      <c r="F4493" t="inlineStr">
        <is>
          <t>Yes</t>
        </is>
      </c>
      <c r="G4493" t="inlineStr">
        <is>
          <t>6500000</t>
        </is>
      </c>
      <c r="H4493" t="n">
        <v>-2</v>
      </c>
      <c r="I4493" t="b">
        <v>0</v>
      </c>
      <c r="J4493" t="b">
        <v>1</v>
      </c>
      <c r="K4493" t="b">
        <v>0</v>
      </c>
      <c r="L4493" t="b">
        <v>0</v>
      </c>
      <c r="M4493" t="b">
        <v>1</v>
      </c>
      <c r="N4493">
        <f>IFERROR(INDEX('Company Hitlist'!$AA:$AA,MATCH(D4493,'Company Hitlist'!$A:$A,0)),)</f>
        <v/>
      </c>
      <c r="O4493">
        <f>IFERROR(INDEX('Company Hitlist'!$N:$N,MATCH(D4493,'Company Hitlist'!$A:$A,0)),)</f>
        <v/>
      </c>
      <c r="Q4493" t="inlineStr">
        <is>
          <t>todo</t>
        </is>
      </c>
    </row>
    <row r="4494">
      <c r="A4494" t="inlineStr">
        <is>
          <t>David Haney</t>
        </is>
      </c>
      <c r="B4494" t="inlineStr">
        <is>
          <t>Attendee</t>
        </is>
      </c>
      <c r="C4494" t="inlineStr">
        <is>
          <t>VP Corporate Sales</t>
        </is>
      </c>
      <c r="D4494" t="inlineStr">
        <is>
          <t>North Park Transportation</t>
        </is>
      </c>
      <c r="E4494" t="inlineStr">
        <is>
          <t>United States</t>
        </is>
      </c>
      <c r="H4494" t="n">
        <v>-2</v>
      </c>
      <c r="I4494" t="b">
        <v>0</v>
      </c>
      <c r="J4494" t="b">
        <v>1</v>
      </c>
      <c r="K4494" t="b">
        <v>0</v>
      </c>
      <c r="L4494" t="b">
        <v>0</v>
      </c>
      <c r="M4494" t="b">
        <v>1</v>
      </c>
      <c r="N4494">
        <f>IFERROR(INDEX('Company Hitlist'!$AA:$AA,MATCH(D4494,'Company Hitlist'!$A:$A,0)),)</f>
        <v/>
      </c>
      <c r="O4494">
        <f>IFERROR(INDEX('Company Hitlist'!$N:$N,MATCH(D4494,'Company Hitlist'!$A:$A,0)),)</f>
        <v/>
      </c>
      <c r="Q4494" t="inlineStr">
        <is>
          <t>todo</t>
        </is>
      </c>
    </row>
    <row r="4495">
      <c r="A4495" t="inlineStr">
        <is>
          <t>Zora Jamil-Oden</t>
        </is>
      </c>
      <c r="B4495" t="inlineStr">
        <is>
          <t>Attendee</t>
        </is>
      </c>
      <c r="C4495" t="inlineStr">
        <is>
          <t>Sr. Vice President of Sales</t>
        </is>
      </c>
      <c r="D4495" t="inlineStr">
        <is>
          <t>OOCL Logistics</t>
        </is>
      </c>
      <c r="E4495" t="inlineStr">
        <is>
          <t>United States</t>
        </is>
      </c>
      <c r="H4495" t="n">
        <v>-2</v>
      </c>
      <c r="I4495" t="b">
        <v>0</v>
      </c>
      <c r="J4495" t="b">
        <v>1</v>
      </c>
      <c r="K4495" t="b">
        <v>0</v>
      </c>
      <c r="L4495" t="b">
        <v>0</v>
      </c>
      <c r="M4495" t="b">
        <v>1</v>
      </c>
      <c r="N4495">
        <f>IFERROR(INDEX('Company Hitlist'!$AA:$AA,MATCH(D4495,'Company Hitlist'!$A:$A,0)),)</f>
        <v/>
      </c>
      <c r="O4495">
        <f>IFERROR(INDEX('Company Hitlist'!$N:$N,MATCH(D4495,'Company Hitlist'!$A:$A,0)),)</f>
        <v/>
      </c>
      <c r="Q4495" t="inlineStr">
        <is>
          <t>todo</t>
        </is>
      </c>
    </row>
    <row r="4496">
      <c r="A4496" t="inlineStr">
        <is>
          <t>Adi Dalvi</t>
        </is>
      </c>
      <c r="B4496" t="inlineStr">
        <is>
          <t>Attendee</t>
        </is>
      </c>
      <c r="C4496" t="inlineStr">
        <is>
          <t>Vice President, Sales</t>
        </is>
      </c>
      <c r="D4496" t="inlineStr">
        <is>
          <t>OSARO, Inc.</t>
        </is>
      </c>
      <c r="E4496" t="inlineStr">
        <is>
          <t>United States</t>
        </is>
      </c>
      <c r="H4496" t="n">
        <v>-2</v>
      </c>
      <c r="I4496" t="b">
        <v>0</v>
      </c>
      <c r="J4496" t="b">
        <v>1</v>
      </c>
      <c r="K4496" t="b">
        <v>0</v>
      </c>
      <c r="L4496" t="b">
        <v>0</v>
      </c>
      <c r="M4496" t="b">
        <v>1</v>
      </c>
      <c r="N4496">
        <f>IFERROR(INDEX('Company Hitlist'!$AA:$AA,MATCH(D4496,'Company Hitlist'!$A:$A,0)),)</f>
        <v/>
      </c>
      <c r="O4496">
        <f>IFERROR(INDEX('Company Hitlist'!$N:$N,MATCH(D4496,'Company Hitlist'!$A:$A,0)),)</f>
        <v/>
      </c>
      <c r="Q4496" t="inlineStr">
        <is>
          <t>todo</t>
        </is>
      </c>
    </row>
    <row r="4497">
      <c r="A4497" t="inlineStr">
        <is>
          <t>John Landrum</t>
        </is>
      </c>
      <c r="B4497" t="inlineStr">
        <is>
          <t>Attendee</t>
        </is>
      </c>
      <c r="C4497" t="inlineStr">
        <is>
          <t>Vice President of Marketing</t>
        </is>
      </c>
      <c r="D4497" t="inlineStr">
        <is>
          <t>OTR Solutions</t>
        </is>
      </c>
      <c r="E4497" t="inlineStr">
        <is>
          <t>United States</t>
        </is>
      </c>
      <c r="H4497" t="n">
        <v>-2</v>
      </c>
      <c r="I4497" t="b">
        <v>0</v>
      </c>
      <c r="J4497" t="b">
        <v>1</v>
      </c>
      <c r="K4497" t="b">
        <v>0</v>
      </c>
      <c r="L4497" t="b">
        <v>0</v>
      </c>
      <c r="M4497" t="b">
        <v>1</v>
      </c>
      <c r="N4497">
        <f>IFERROR(INDEX('Company Hitlist'!$AA:$AA,MATCH(D4497,'Company Hitlist'!$A:$A,0)),)</f>
        <v/>
      </c>
      <c r="O4497">
        <f>IFERROR(INDEX('Company Hitlist'!$N:$N,MATCH(D4497,'Company Hitlist'!$A:$A,0)),)</f>
        <v/>
      </c>
      <c r="Q4497" t="inlineStr">
        <is>
          <t>todo</t>
        </is>
      </c>
    </row>
    <row r="4498">
      <c r="A4498" t="inlineStr">
        <is>
          <t>Bill Chval</t>
        </is>
      </c>
      <c r="B4498" t="inlineStr">
        <is>
          <t>Attendee</t>
        </is>
      </c>
      <c r="C4498" t="inlineStr">
        <is>
          <t>Chief Revenue Officer</t>
        </is>
      </c>
      <c r="D4498" t="inlineStr">
        <is>
          <t>Openforce</t>
        </is>
      </c>
      <c r="E4498" t="inlineStr">
        <is>
          <t>United States</t>
        </is>
      </c>
      <c r="H4498" t="n">
        <v>-2</v>
      </c>
      <c r="I4498" t="b">
        <v>0</v>
      </c>
      <c r="J4498" t="b">
        <v>1</v>
      </c>
      <c r="K4498" t="b">
        <v>0</v>
      </c>
      <c r="L4498" t="b">
        <v>0</v>
      </c>
      <c r="M4498" t="b">
        <v>1</v>
      </c>
      <c r="N4498">
        <f>IFERROR(INDEX('Company Hitlist'!$AA:$AA,MATCH(D4498,'Company Hitlist'!$A:$A,0)),)</f>
        <v/>
      </c>
      <c r="O4498">
        <f>IFERROR(INDEX('Company Hitlist'!$N:$N,MATCH(D4498,'Company Hitlist'!$A:$A,0)),)</f>
        <v/>
      </c>
      <c r="Q4498" t="inlineStr">
        <is>
          <t>todo</t>
        </is>
      </c>
    </row>
    <row r="4499">
      <c r="A4499" t="inlineStr">
        <is>
          <t>Carly Fliesher</t>
        </is>
      </c>
      <c r="B4499" t="inlineStr">
        <is>
          <t>Attendee</t>
        </is>
      </c>
      <c r="C4499" t="inlineStr">
        <is>
          <t>SVP Enterprise Sales</t>
        </is>
      </c>
      <c r="D4499" t="inlineStr">
        <is>
          <t>Openforce</t>
        </is>
      </c>
      <c r="E4499" t="inlineStr">
        <is>
          <t>United States</t>
        </is>
      </c>
      <c r="H4499" t="n">
        <v>-2</v>
      </c>
      <c r="I4499" t="b">
        <v>0</v>
      </c>
      <c r="J4499" t="b">
        <v>1</v>
      </c>
      <c r="K4499" t="b">
        <v>0</v>
      </c>
      <c r="L4499" t="b">
        <v>0</v>
      </c>
      <c r="M4499" t="b">
        <v>1</v>
      </c>
      <c r="N4499">
        <f>IFERROR(INDEX('Company Hitlist'!$AA:$AA,MATCH(D4499,'Company Hitlist'!$A:$A,0)),)</f>
        <v/>
      </c>
      <c r="O4499">
        <f>IFERROR(INDEX('Company Hitlist'!$N:$N,MATCH(D4499,'Company Hitlist'!$A:$A,0)),)</f>
        <v/>
      </c>
      <c r="Q4499" t="inlineStr">
        <is>
          <t>todo</t>
        </is>
      </c>
    </row>
    <row r="4500">
      <c r="A4500" t="inlineStr">
        <is>
          <t>Zach Schuchart</t>
        </is>
      </c>
      <c r="B4500" t="inlineStr">
        <is>
          <t>Attendee</t>
        </is>
      </c>
      <c r="C4500" t="inlineStr">
        <is>
          <t>Head of Sales</t>
        </is>
      </c>
      <c r="D4500" t="inlineStr">
        <is>
          <t>Optimal Dynamics</t>
        </is>
      </c>
      <c r="E4500" t="inlineStr">
        <is>
          <t>United States</t>
        </is>
      </c>
      <c r="H4500" t="n">
        <v>-2</v>
      </c>
      <c r="I4500" t="b">
        <v>0</v>
      </c>
      <c r="J4500" t="b">
        <v>1</v>
      </c>
      <c r="K4500" t="b">
        <v>0</v>
      </c>
      <c r="L4500" t="b">
        <v>0</v>
      </c>
      <c r="M4500" t="b">
        <v>1</v>
      </c>
      <c r="N4500">
        <f>IFERROR(INDEX('Company Hitlist'!$AA:$AA,MATCH(D4500,'Company Hitlist'!$A:$A,0)),)</f>
        <v/>
      </c>
      <c r="O4500">
        <f>IFERROR(INDEX('Company Hitlist'!$N:$N,MATCH(D4500,'Company Hitlist'!$A:$A,0)),)</f>
        <v/>
      </c>
      <c r="Q4500" t="inlineStr">
        <is>
          <t>todo</t>
        </is>
      </c>
    </row>
    <row r="4501">
      <c r="A4501" t="inlineStr">
        <is>
          <t>Karin Stevens</t>
        </is>
      </c>
      <c r="B4501" t="inlineStr">
        <is>
          <t>Attendee</t>
        </is>
      </c>
      <c r="C4501" t="inlineStr">
        <is>
          <t>EVP, Chief Marketing Officer</t>
        </is>
      </c>
      <c r="D4501" t="inlineStr">
        <is>
          <t>Overhaul</t>
        </is>
      </c>
      <c r="E4501" t="inlineStr">
        <is>
          <t>United States</t>
        </is>
      </c>
      <c r="F4501" t="inlineStr">
        <is>
          <t>Yes</t>
        </is>
      </c>
      <c r="G4501" t="inlineStr">
        <is>
          <t>131700000</t>
        </is>
      </c>
      <c r="H4501" t="n">
        <v>-2</v>
      </c>
      <c r="I4501" t="b">
        <v>0</v>
      </c>
      <c r="J4501" t="b">
        <v>1</v>
      </c>
      <c r="K4501" t="b">
        <v>0</v>
      </c>
      <c r="L4501" t="b">
        <v>0</v>
      </c>
      <c r="M4501" t="b">
        <v>1</v>
      </c>
      <c r="N4501">
        <f>IFERROR(INDEX('Company Hitlist'!$AA:$AA,MATCH(D4501,'Company Hitlist'!$A:$A,0)),)</f>
        <v/>
      </c>
      <c r="O4501">
        <f>IFERROR(INDEX('Company Hitlist'!$N:$N,MATCH(D4501,'Company Hitlist'!$A:$A,0)),)</f>
        <v/>
      </c>
      <c r="Q4501" t="inlineStr">
        <is>
          <t>todo</t>
        </is>
      </c>
    </row>
    <row r="4502">
      <c r="A4502" t="inlineStr">
        <is>
          <t>Brian Shultz</t>
        </is>
      </c>
      <c r="B4502" t="inlineStr">
        <is>
          <t>Attendee</t>
        </is>
      </c>
      <c r="C4502" t="inlineStr">
        <is>
          <t>Chief Revenue Officer</t>
        </is>
      </c>
      <c r="D4502" t="inlineStr">
        <is>
          <t>PAXAFE</t>
        </is>
      </c>
      <c r="E4502" t="inlineStr">
        <is>
          <t>United States</t>
        </is>
      </c>
      <c r="F4502" t="inlineStr">
        <is>
          <t>Yes</t>
        </is>
      </c>
      <c r="H4502" t="n">
        <v>-2</v>
      </c>
      <c r="I4502" t="b">
        <v>0</v>
      </c>
      <c r="J4502" t="b">
        <v>1</v>
      </c>
      <c r="K4502" t="b">
        <v>0</v>
      </c>
      <c r="L4502" t="b">
        <v>0</v>
      </c>
      <c r="M4502" t="b">
        <v>1</v>
      </c>
      <c r="N4502">
        <f>IFERROR(INDEX('Company Hitlist'!$AA:$AA,MATCH(D4502,'Company Hitlist'!$A:$A,0)),)</f>
        <v/>
      </c>
      <c r="O4502">
        <f>IFERROR(INDEX('Company Hitlist'!$N:$N,MATCH(D4502,'Company Hitlist'!$A:$A,0)),)</f>
        <v/>
      </c>
      <c r="Q4502" t="inlineStr">
        <is>
          <t>todo</t>
        </is>
      </c>
    </row>
    <row r="4503">
      <c r="A4503" t="inlineStr">
        <is>
          <t>Alex Portin</t>
        </is>
      </c>
      <c r="B4503" t="inlineStr">
        <is>
          <t>Attendee</t>
        </is>
      </c>
      <c r="C4503" t="inlineStr">
        <is>
          <t>Head of Sales</t>
        </is>
      </c>
      <c r="D4503" t="inlineStr">
        <is>
          <t>Parabola</t>
        </is>
      </c>
      <c r="E4503" t="inlineStr">
        <is>
          <t>United States</t>
        </is>
      </c>
      <c r="H4503" t="n">
        <v>-2</v>
      </c>
      <c r="I4503" t="b">
        <v>0</v>
      </c>
      <c r="J4503" t="b">
        <v>1</v>
      </c>
      <c r="K4503" t="b">
        <v>0</v>
      </c>
      <c r="L4503" t="b">
        <v>0</v>
      </c>
      <c r="M4503" t="b">
        <v>1</v>
      </c>
      <c r="N4503">
        <f>IFERROR(INDEX('Company Hitlist'!$AA:$AA,MATCH(D4503,'Company Hitlist'!$A:$A,0)),)</f>
        <v/>
      </c>
      <c r="O4503">
        <f>IFERROR(INDEX('Company Hitlist'!$N:$N,MATCH(D4503,'Company Hitlist'!$A:$A,0)),)</f>
        <v/>
      </c>
      <c r="Q4503" t="inlineStr">
        <is>
          <t>todo</t>
        </is>
      </c>
    </row>
    <row r="4504">
      <c r="A4504" t="inlineStr">
        <is>
          <t>Rocco Marrari</t>
        </is>
      </c>
      <c r="B4504" t="inlineStr">
        <is>
          <t>Attendee</t>
        </is>
      </c>
      <c r="C4504" t="inlineStr">
        <is>
          <t>VP of Sales</t>
        </is>
      </c>
      <c r="D4504" t="inlineStr">
        <is>
          <t>Pedigree Technologies</t>
        </is>
      </c>
      <c r="E4504" t="inlineStr">
        <is>
          <t>United States</t>
        </is>
      </c>
      <c r="H4504" t="n">
        <v>-2</v>
      </c>
      <c r="I4504" t="b">
        <v>0</v>
      </c>
      <c r="J4504" t="b">
        <v>1</v>
      </c>
      <c r="K4504" t="b">
        <v>0</v>
      </c>
      <c r="L4504" t="b">
        <v>0</v>
      </c>
      <c r="M4504" t="b">
        <v>1</v>
      </c>
      <c r="N4504">
        <f>IFERROR(INDEX('Company Hitlist'!$AA:$AA,MATCH(D4504,'Company Hitlist'!$A:$A,0)),)</f>
        <v/>
      </c>
      <c r="O4504">
        <f>IFERROR(INDEX('Company Hitlist'!$N:$N,MATCH(D4504,'Company Hitlist'!$A:$A,0)),)</f>
        <v/>
      </c>
      <c r="Q4504" t="inlineStr">
        <is>
          <t>todo</t>
        </is>
      </c>
    </row>
    <row r="4505">
      <c r="A4505" t="inlineStr">
        <is>
          <t>Kristina Dudley</t>
        </is>
      </c>
      <c r="B4505" t="inlineStr">
        <is>
          <t>Attendee</t>
        </is>
      </c>
      <c r="C4505" t="inlineStr">
        <is>
          <t>VP of Marketing</t>
        </is>
      </c>
      <c r="D4505" t="inlineStr">
        <is>
          <t>Pipe17</t>
        </is>
      </c>
      <c r="E4505" t="inlineStr">
        <is>
          <t>United States</t>
        </is>
      </c>
      <c r="F4505" t="inlineStr">
        <is>
          <t>Yes</t>
        </is>
      </c>
      <c r="H4505" t="n">
        <v>-2</v>
      </c>
      <c r="I4505" t="b">
        <v>0</v>
      </c>
      <c r="J4505" t="b">
        <v>1</v>
      </c>
      <c r="K4505" t="b">
        <v>0</v>
      </c>
      <c r="L4505" t="b">
        <v>0</v>
      </c>
      <c r="M4505" t="b">
        <v>1</v>
      </c>
      <c r="N4505">
        <f>IFERROR(INDEX('Company Hitlist'!$AA:$AA,MATCH(D4505,'Company Hitlist'!$A:$A,0)),)</f>
        <v/>
      </c>
      <c r="O4505">
        <f>IFERROR(INDEX('Company Hitlist'!$N:$N,MATCH(D4505,'Company Hitlist'!$A:$A,0)),)</f>
        <v/>
      </c>
      <c r="Q4505" t="inlineStr">
        <is>
          <t>todo</t>
        </is>
      </c>
    </row>
    <row r="4506">
      <c r="A4506" t="inlineStr">
        <is>
          <t>Tiffany Johnson</t>
        </is>
      </c>
      <c r="B4506" t="inlineStr">
        <is>
          <t>Attendee</t>
        </is>
      </c>
      <c r="C4506" t="inlineStr">
        <is>
          <t>Head of Sales</t>
        </is>
      </c>
      <c r="D4506" t="inlineStr">
        <is>
          <t>Pipe17</t>
        </is>
      </c>
      <c r="E4506" t="inlineStr">
        <is>
          <t>United States</t>
        </is>
      </c>
      <c r="H4506" t="n">
        <v>-2</v>
      </c>
      <c r="I4506" t="b">
        <v>0</v>
      </c>
      <c r="J4506" t="b">
        <v>1</v>
      </c>
      <c r="K4506" t="b">
        <v>0</v>
      </c>
      <c r="L4506" t="b">
        <v>0</v>
      </c>
      <c r="M4506" t="b">
        <v>1</v>
      </c>
      <c r="N4506">
        <f>IFERROR(INDEX('Company Hitlist'!$AA:$AA,MATCH(D4506,'Company Hitlist'!$A:$A,0)),)</f>
        <v/>
      </c>
      <c r="O4506">
        <f>IFERROR(INDEX('Company Hitlist'!$N:$N,MATCH(D4506,'Company Hitlist'!$A:$A,0)),)</f>
        <v/>
      </c>
      <c r="Q4506" t="inlineStr">
        <is>
          <t>todo</t>
        </is>
      </c>
    </row>
    <row r="4507">
      <c r="A4507" t="inlineStr">
        <is>
          <t>Kevin Meyer</t>
        </is>
      </c>
      <c r="B4507" t="inlineStr">
        <is>
          <t>Attendee</t>
        </is>
      </c>
      <c r="C4507" t="inlineStr">
        <is>
          <t>SVP of Sales and Marketing</t>
        </is>
      </c>
      <c r="D4507" t="inlineStr">
        <is>
          <t>Princeton TMX</t>
        </is>
      </c>
      <c r="E4507" t="inlineStr">
        <is>
          <t>United States</t>
        </is>
      </c>
      <c r="F4507" t="inlineStr">
        <is>
          <t>Yes</t>
        </is>
      </c>
      <c r="H4507" t="n">
        <v>-2</v>
      </c>
      <c r="I4507" t="b">
        <v>0</v>
      </c>
      <c r="J4507" t="b">
        <v>1</v>
      </c>
      <c r="K4507" t="b">
        <v>0</v>
      </c>
      <c r="L4507" t="b">
        <v>0</v>
      </c>
      <c r="M4507" t="b">
        <v>1</v>
      </c>
      <c r="N4507">
        <f>IFERROR(INDEX('Company Hitlist'!$AA:$AA,MATCH(D4507,'Company Hitlist'!$A:$A,0)),)</f>
        <v/>
      </c>
      <c r="O4507">
        <f>IFERROR(INDEX('Company Hitlist'!$N:$N,MATCH(D4507,'Company Hitlist'!$A:$A,0)),)</f>
        <v/>
      </c>
      <c r="Q4507" t="inlineStr">
        <is>
          <t>todo</t>
        </is>
      </c>
    </row>
    <row r="4508">
      <c r="A4508" t="inlineStr">
        <is>
          <t>Armando Gonzalez</t>
        </is>
      </c>
      <c r="B4508" t="inlineStr">
        <is>
          <t>Attendee</t>
        </is>
      </c>
      <c r="C4508" t="inlineStr">
        <is>
          <t>Chief Revenue Officer</t>
        </is>
      </c>
      <c r="D4508" t="inlineStr">
        <is>
          <t>Quicktron Automation USA</t>
        </is>
      </c>
      <c r="E4508" t="inlineStr">
        <is>
          <t>United States</t>
        </is>
      </c>
      <c r="F4508" t="inlineStr">
        <is>
          <t>Yes</t>
        </is>
      </c>
      <c r="H4508" t="n">
        <v>-2</v>
      </c>
      <c r="I4508" t="b">
        <v>0</v>
      </c>
      <c r="J4508" t="b">
        <v>1</v>
      </c>
      <c r="K4508" t="b">
        <v>0</v>
      </c>
      <c r="L4508" t="b">
        <v>0</v>
      </c>
      <c r="M4508" t="b">
        <v>1</v>
      </c>
      <c r="N4508">
        <f>IFERROR(INDEX('Company Hitlist'!$AA:$AA,MATCH(D4508,'Company Hitlist'!$A:$A,0)),)</f>
        <v/>
      </c>
      <c r="O4508">
        <f>IFERROR(INDEX('Company Hitlist'!$N:$N,MATCH(D4508,'Company Hitlist'!$A:$A,0)),)</f>
        <v/>
      </c>
      <c r="Q4508" t="inlineStr">
        <is>
          <t>todo</t>
        </is>
      </c>
    </row>
    <row r="4509">
      <c r="A4509" t="inlineStr">
        <is>
          <t>Leah Despain</t>
        </is>
      </c>
      <c r="B4509" t="inlineStr">
        <is>
          <t>Attendee</t>
        </is>
      </c>
      <c r="C4509" t="inlineStr">
        <is>
          <t>Vice President of Sales</t>
        </is>
      </c>
      <c r="D4509" t="inlineStr">
        <is>
          <t>R+L Global Logistics</t>
        </is>
      </c>
      <c r="E4509" t="inlineStr">
        <is>
          <t>United States</t>
        </is>
      </c>
      <c r="H4509" t="n">
        <v>-2</v>
      </c>
      <c r="I4509" t="b">
        <v>0</v>
      </c>
      <c r="J4509" t="b">
        <v>1</v>
      </c>
      <c r="K4509" t="b">
        <v>0</v>
      </c>
      <c r="L4509" t="b">
        <v>0</v>
      </c>
      <c r="M4509" t="b">
        <v>1</v>
      </c>
      <c r="N4509">
        <f>IFERROR(INDEX('Company Hitlist'!$AA:$AA,MATCH(D4509,'Company Hitlist'!$A:$A,0)),)</f>
        <v/>
      </c>
      <c r="O4509">
        <f>IFERROR(INDEX('Company Hitlist'!$N:$N,MATCH(D4509,'Company Hitlist'!$A:$A,0)),)</f>
        <v/>
      </c>
      <c r="Q4509" t="inlineStr">
        <is>
          <t>todo</t>
        </is>
      </c>
    </row>
    <row r="4510">
      <c r="A4510" t="inlineStr">
        <is>
          <t>brian Aldridge</t>
        </is>
      </c>
      <c r="B4510" t="inlineStr">
        <is>
          <t>Attendee</t>
        </is>
      </c>
      <c r="C4510" t="inlineStr">
        <is>
          <t>SVP Sales</t>
        </is>
      </c>
      <c r="D4510" t="inlineStr">
        <is>
          <t>RCS Logistics</t>
        </is>
      </c>
      <c r="E4510" t="inlineStr">
        <is>
          <t>United States</t>
        </is>
      </c>
      <c r="H4510" t="n">
        <v>-2</v>
      </c>
      <c r="I4510" t="b">
        <v>0</v>
      </c>
      <c r="J4510" t="b">
        <v>1</v>
      </c>
      <c r="K4510" t="b">
        <v>0</v>
      </c>
      <c r="L4510" t="b">
        <v>0</v>
      </c>
      <c r="M4510" t="b">
        <v>1</v>
      </c>
      <c r="N4510">
        <f>IFERROR(INDEX('Company Hitlist'!$AA:$AA,MATCH(D4510,'Company Hitlist'!$A:$A,0)),)</f>
        <v/>
      </c>
      <c r="O4510">
        <f>IFERROR(INDEX('Company Hitlist'!$N:$N,MATCH(D4510,'Company Hitlist'!$A:$A,0)),)</f>
        <v/>
      </c>
      <c r="Q4510" t="inlineStr">
        <is>
          <t>todo</t>
        </is>
      </c>
    </row>
    <row r="4511">
      <c r="A4511" t="inlineStr">
        <is>
          <t>Mike Meintel</t>
        </is>
      </c>
      <c r="B4511" t="inlineStr">
        <is>
          <t>Attendee</t>
        </is>
      </c>
      <c r="C4511" t="inlineStr">
        <is>
          <t>VP Sales</t>
        </is>
      </c>
      <c r="D4511" t="inlineStr">
        <is>
          <t>RCS Logistics</t>
        </is>
      </c>
      <c r="H4511" t="n">
        <v>-2</v>
      </c>
      <c r="I4511" t="b">
        <v>0</v>
      </c>
      <c r="J4511" t="b">
        <v>1</v>
      </c>
      <c r="K4511" t="b">
        <v>0</v>
      </c>
      <c r="L4511" t="b">
        <v>0</v>
      </c>
      <c r="M4511" t="b">
        <v>1</v>
      </c>
      <c r="N4511">
        <f>IFERROR(INDEX('Company Hitlist'!$AA:$AA,MATCH(D4511,'Company Hitlist'!$A:$A,0)),)</f>
        <v/>
      </c>
      <c r="O4511">
        <f>IFERROR(INDEX('Company Hitlist'!$N:$N,MATCH(D4511,'Company Hitlist'!$A:$A,0)),)</f>
        <v/>
      </c>
      <c r="Q4511" t="inlineStr">
        <is>
          <t>todo</t>
        </is>
      </c>
    </row>
    <row r="4512">
      <c r="A4512" t="inlineStr">
        <is>
          <t>Chris Graham</t>
        </is>
      </c>
      <c r="B4512" t="inlineStr">
        <is>
          <t>Attendee</t>
        </is>
      </c>
      <c r="C4512" t="inlineStr">
        <is>
          <t>VP of Sales</t>
        </is>
      </c>
      <c r="D4512" t="inlineStr">
        <is>
          <t>RL Solutions</t>
        </is>
      </c>
      <c r="E4512" t="inlineStr">
        <is>
          <t>United States</t>
        </is>
      </c>
      <c r="H4512" t="n">
        <v>-2</v>
      </c>
      <c r="I4512" t="b">
        <v>0</v>
      </c>
      <c r="J4512" t="b">
        <v>1</v>
      </c>
      <c r="K4512" t="b">
        <v>0</v>
      </c>
      <c r="L4512" t="b">
        <v>0</v>
      </c>
      <c r="M4512" t="b">
        <v>1</v>
      </c>
      <c r="N4512">
        <f>IFERROR(INDEX('Company Hitlist'!$AA:$AA,MATCH(D4512,'Company Hitlist'!$A:$A,0)),)</f>
        <v/>
      </c>
      <c r="O4512">
        <f>IFERROR(INDEX('Company Hitlist'!$N:$N,MATCH(D4512,'Company Hitlist'!$A:$A,0)),)</f>
        <v/>
      </c>
      <c r="Q4512" t="inlineStr">
        <is>
          <t>todo</t>
        </is>
      </c>
    </row>
    <row r="4513">
      <c r="A4513" t="inlineStr">
        <is>
          <t>Steve Crook</t>
        </is>
      </c>
      <c r="B4513" t="inlineStr">
        <is>
          <t>Attendee</t>
        </is>
      </c>
      <c r="C4513" t="inlineStr">
        <is>
          <t>VP of Sales and Marketing</t>
        </is>
      </c>
      <c r="D4513" t="inlineStr">
        <is>
          <t>Ramp Systems</t>
        </is>
      </c>
      <c r="E4513" t="inlineStr">
        <is>
          <t>United States</t>
        </is>
      </c>
      <c r="F4513" t="inlineStr">
        <is>
          <t>Yes</t>
        </is>
      </c>
      <c r="H4513" t="n">
        <v>-2</v>
      </c>
      <c r="I4513" t="b">
        <v>0</v>
      </c>
      <c r="J4513" t="b">
        <v>1</v>
      </c>
      <c r="K4513" t="b">
        <v>0</v>
      </c>
      <c r="L4513" t="b">
        <v>0</v>
      </c>
      <c r="M4513" t="b">
        <v>1</v>
      </c>
      <c r="N4513">
        <f>IFERROR(INDEX('Company Hitlist'!$AA:$AA,MATCH(D4513,'Company Hitlist'!$A:$A,0)),)</f>
        <v/>
      </c>
      <c r="O4513">
        <f>IFERROR(INDEX('Company Hitlist'!$N:$N,MATCH(D4513,'Company Hitlist'!$A:$A,0)),)</f>
        <v/>
      </c>
      <c r="Q4513" t="inlineStr">
        <is>
          <t>todo</t>
        </is>
      </c>
    </row>
    <row r="4514">
      <c r="A4514" t="inlineStr">
        <is>
          <t>Paul Zalewski</t>
        </is>
      </c>
      <c r="B4514" t="inlineStr">
        <is>
          <t>Attendee</t>
        </is>
      </c>
      <c r="C4514" t="inlineStr">
        <is>
          <t>Chief Marketing Officer</t>
        </is>
      </c>
      <c r="D4514" t="inlineStr">
        <is>
          <t>Red Stag Fulfillment</t>
        </is>
      </c>
      <c r="E4514" t="inlineStr">
        <is>
          <t>United States</t>
        </is>
      </c>
      <c r="F4514" t="inlineStr">
        <is>
          <t>Yes</t>
        </is>
      </c>
      <c r="H4514" t="n">
        <v>-2</v>
      </c>
      <c r="I4514" t="b">
        <v>0</v>
      </c>
      <c r="J4514" t="b">
        <v>1</v>
      </c>
      <c r="K4514" t="b">
        <v>0</v>
      </c>
      <c r="L4514" t="b">
        <v>0</v>
      </c>
      <c r="M4514" t="b">
        <v>1</v>
      </c>
      <c r="N4514">
        <f>IFERROR(INDEX('Company Hitlist'!$AA:$AA,MATCH(D4514,'Company Hitlist'!$A:$A,0)),)</f>
        <v/>
      </c>
      <c r="O4514">
        <f>IFERROR(INDEX('Company Hitlist'!$N:$N,MATCH(D4514,'Company Hitlist'!$A:$A,0)),)</f>
        <v/>
      </c>
      <c r="Q4514" t="inlineStr">
        <is>
          <t>todo</t>
        </is>
      </c>
    </row>
    <row r="4515">
      <c r="A4515" t="inlineStr">
        <is>
          <t>Gable Prach</t>
        </is>
      </c>
      <c r="B4515" t="inlineStr">
        <is>
          <t>Attendee</t>
        </is>
      </c>
      <c r="C4515" t="inlineStr">
        <is>
          <t>Vice President of Business Development</t>
        </is>
      </c>
      <c r="D4515" t="inlineStr">
        <is>
          <t>Red Stag Fulfillment</t>
        </is>
      </c>
      <c r="E4515" t="inlineStr">
        <is>
          <t>United States</t>
        </is>
      </c>
      <c r="H4515" t="n">
        <v>-2</v>
      </c>
      <c r="I4515" t="b">
        <v>0</v>
      </c>
      <c r="J4515" t="b">
        <v>1</v>
      </c>
      <c r="K4515" t="b">
        <v>0</v>
      </c>
      <c r="L4515" t="b">
        <v>0</v>
      </c>
      <c r="M4515" t="b">
        <v>1</v>
      </c>
      <c r="N4515">
        <f>IFERROR(INDEX('Company Hitlist'!$AA:$AA,MATCH(D4515,'Company Hitlist'!$A:$A,0)),)</f>
        <v/>
      </c>
      <c r="O4515">
        <f>IFERROR(INDEX('Company Hitlist'!$N:$N,MATCH(D4515,'Company Hitlist'!$A:$A,0)),)</f>
        <v/>
      </c>
      <c r="Q4515" t="inlineStr">
        <is>
          <t>todo</t>
        </is>
      </c>
    </row>
    <row r="4516">
      <c r="A4516" t="inlineStr">
        <is>
          <t>Jessie Merritt</t>
        </is>
      </c>
      <c r="B4516" t="inlineStr">
        <is>
          <t>Attendee</t>
        </is>
      </c>
      <c r="C4516" t="inlineStr">
        <is>
          <t>EVP of Sales</t>
        </is>
      </c>
      <c r="D4516" t="inlineStr">
        <is>
          <t>Reliance Partners</t>
        </is>
      </c>
      <c r="E4516" t="inlineStr">
        <is>
          <t>United States</t>
        </is>
      </c>
      <c r="H4516" t="n">
        <v>-2</v>
      </c>
      <c r="I4516" t="b">
        <v>0</v>
      </c>
      <c r="J4516" t="b">
        <v>1</v>
      </c>
      <c r="K4516" t="b">
        <v>0</v>
      </c>
      <c r="L4516" t="b">
        <v>0</v>
      </c>
      <c r="M4516" t="b">
        <v>1</v>
      </c>
      <c r="N4516">
        <f>IFERROR(INDEX('Company Hitlist'!$AA:$AA,MATCH(D4516,'Company Hitlist'!$A:$A,0)),)</f>
        <v/>
      </c>
      <c r="O4516">
        <f>IFERROR(INDEX('Company Hitlist'!$N:$N,MATCH(D4516,'Company Hitlist'!$A:$A,0)),)</f>
        <v/>
      </c>
      <c r="Q4516" t="inlineStr">
        <is>
          <t>todo</t>
        </is>
      </c>
    </row>
    <row r="4517">
      <c r="A4517" t="inlineStr">
        <is>
          <t>Lisa Santos</t>
        </is>
      </c>
      <c r="B4517" t="inlineStr">
        <is>
          <t>Attendee</t>
        </is>
      </c>
      <c r="C4517" t="inlineStr">
        <is>
          <t>VP of New Business Development</t>
        </is>
      </c>
      <c r="D4517" t="inlineStr">
        <is>
          <t>Remote Employee</t>
        </is>
      </c>
      <c r="E4517" t="inlineStr">
        <is>
          <t>United States</t>
        </is>
      </c>
      <c r="H4517" t="n">
        <v>-2</v>
      </c>
      <c r="I4517" t="b">
        <v>0</v>
      </c>
      <c r="J4517" t="b">
        <v>1</v>
      </c>
      <c r="K4517" t="b">
        <v>0</v>
      </c>
      <c r="L4517" t="b">
        <v>0</v>
      </c>
      <c r="M4517" t="b">
        <v>1</v>
      </c>
      <c r="N4517">
        <f>IFERROR(INDEX('Company Hitlist'!$AA:$AA,MATCH(D4517,'Company Hitlist'!$A:$A,0)),)</f>
        <v/>
      </c>
      <c r="O4517">
        <f>IFERROR(INDEX('Company Hitlist'!$N:$N,MATCH(D4517,'Company Hitlist'!$A:$A,0)),)</f>
        <v/>
      </c>
      <c r="Q4517" t="inlineStr">
        <is>
          <t>todo</t>
        </is>
      </c>
    </row>
    <row r="4518">
      <c r="A4518" t="inlineStr">
        <is>
          <t>Ryan Wegner</t>
        </is>
      </c>
      <c r="B4518" t="inlineStr">
        <is>
          <t>Attendee</t>
        </is>
      </c>
      <c r="C4518" t="inlineStr">
        <is>
          <t>VP Sales</t>
        </is>
      </c>
      <c r="D4518" t="inlineStr">
        <is>
          <t>Ruan</t>
        </is>
      </c>
      <c r="E4518" t="inlineStr">
        <is>
          <t>United States</t>
        </is>
      </c>
      <c r="H4518" t="n">
        <v>-2</v>
      </c>
      <c r="I4518" t="b">
        <v>0</v>
      </c>
      <c r="J4518" t="b">
        <v>1</v>
      </c>
      <c r="K4518" t="b">
        <v>0</v>
      </c>
      <c r="L4518" t="b">
        <v>0</v>
      </c>
      <c r="M4518" t="b">
        <v>1</v>
      </c>
      <c r="N4518">
        <f>IFERROR(INDEX('Company Hitlist'!$AA:$AA,MATCH(D4518,'Company Hitlist'!$A:$A,0)),)</f>
        <v/>
      </c>
      <c r="O4518">
        <f>IFERROR(INDEX('Company Hitlist'!$N:$N,MATCH(D4518,'Company Hitlist'!$A:$A,0)),)</f>
        <v/>
      </c>
      <c r="Q4518" t="inlineStr">
        <is>
          <t>todo</t>
        </is>
      </c>
    </row>
    <row r="4519">
      <c r="A4519" t="inlineStr">
        <is>
          <t>George Banos</t>
        </is>
      </c>
      <c r="B4519" t="inlineStr">
        <is>
          <t>Attendee</t>
        </is>
      </c>
      <c r="C4519" t="inlineStr">
        <is>
          <t>Head of Sales</t>
        </is>
      </c>
      <c r="D4519" t="inlineStr">
        <is>
          <t>Rugged Robotics</t>
        </is>
      </c>
      <c r="E4519" t="inlineStr">
        <is>
          <t>United States</t>
        </is>
      </c>
      <c r="H4519" t="n">
        <v>-2</v>
      </c>
      <c r="I4519" t="b">
        <v>0</v>
      </c>
      <c r="J4519" t="b">
        <v>1</v>
      </c>
      <c r="K4519" t="b">
        <v>0</v>
      </c>
      <c r="L4519" t="b">
        <v>0</v>
      </c>
      <c r="M4519" t="b">
        <v>1</v>
      </c>
      <c r="N4519">
        <f>IFERROR(INDEX('Company Hitlist'!$AA:$AA,MATCH(D4519,'Company Hitlist'!$A:$A,0)),)</f>
        <v/>
      </c>
      <c r="O4519">
        <f>IFERROR(INDEX('Company Hitlist'!$N:$N,MATCH(D4519,'Company Hitlist'!$A:$A,0)),)</f>
        <v/>
      </c>
      <c r="Q4519" t="inlineStr">
        <is>
          <t>todo</t>
        </is>
      </c>
    </row>
    <row r="4520">
      <c r="A4520" t="inlineStr">
        <is>
          <t>Lance Christensen</t>
        </is>
      </c>
      <c r="B4520" t="inlineStr">
        <is>
          <t>Attendee</t>
        </is>
      </c>
      <c r="C4520" t="inlineStr">
        <is>
          <t>EVP of Growth</t>
        </is>
      </c>
      <c r="D4520" t="inlineStr">
        <is>
          <t>SCG Advertising and Public Relations</t>
        </is>
      </c>
      <c r="E4520" t="inlineStr">
        <is>
          <t>United States</t>
        </is>
      </c>
      <c r="H4520" t="n">
        <v>-2</v>
      </c>
      <c r="I4520" t="b">
        <v>0</v>
      </c>
      <c r="J4520" t="b">
        <v>1</v>
      </c>
      <c r="K4520" t="b">
        <v>0</v>
      </c>
      <c r="L4520" t="b">
        <v>0</v>
      </c>
      <c r="M4520" t="b">
        <v>1</v>
      </c>
      <c r="N4520">
        <f>IFERROR(INDEX('Company Hitlist'!$AA:$AA,MATCH(D4520,'Company Hitlist'!$A:$A,0)),)</f>
        <v/>
      </c>
      <c r="O4520">
        <f>IFERROR(INDEX('Company Hitlist'!$N:$N,MATCH(D4520,'Company Hitlist'!$A:$A,0)),)</f>
        <v/>
      </c>
      <c r="Q4520" t="inlineStr">
        <is>
          <t>todo</t>
        </is>
      </c>
    </row>
    <row r="4521">
      <c r="A4521" t="inlineStr">
        <is>
          <t>Kevin Springer</t>
        </is>
      </c>
      <c r="B4521" t="inlineStr">
        <is>
          <t>Attendee</t>
        </is>
      </c>
      <c r="C4521" t="inlineStr">
        <is>
          <t>VP of Sales</t>
        </is>
      </c>
      <c r="D4521" t="inlineStr">
        <is>
          <t>SMC3</t>
        </is>
      </c>
      <c r="E4521" t="inlineStr">
        <is>
          <t>United States</t>
        </is>
      </c>
      <c r="H4521" t="n">
        <v>-2</v>
      </c>
      <c r="I4521" t="b">
        <v>0</v>
      </c>
      <c r="J4521" t="b">
        <v>1</v>
      </c>
      <c r="K4521" t="b">
        <v>0</v>
      </c>
      <c r="L4521" t="b">
        <v>0</v>
      </c>
      <c r="M4521" t="b">
        <v>1</v>
      </c>
      <c r="N4521">
        <f>IFERROR(INDEX('Company Hitlist'!$AA:$AA,MATCH(D4521,'Company Hitlist'!$A:$A,0)),)</f>
        <v/>
      </c>
      <c r="O4521">
        <f>IFERROR(INDEX('Company Hitlist'!$N:$N,MATCH(D4521,'Company Hitlist'!$A:$A,0)),)</f>
        <v/>
      </c>
      <c r="Q4521" t="inlineStr">
        <is>
          <t>todo</t>
        </is>
      </c>
    </row>
    <row r="4522">
      <c r="A4522" t="inlineStr">
        <is>
          <t>Evan Junker</t>
        </is>
      </c>
      <c r="B4522" t="inlineStr">
        <is>
          <t>Attendee</t>
        </is>
      </c>
      <c r="C4522" t="inlineStr">
        <is>
          <t>Chief Growth Officer</t>
        </is>
      </c>
      <c r="D4522" t="inlineStr">
        <is>
          <t>SPARQ360</t>
        </is>
      </c>
      <c r="E4522" t="inlineStr">
        <is>
          <t>Germany</t>
        </is>
      </c>
      <c r="H4522" t="n">
        <v>-2</v>
      </c>
      <c r="I4522" t="b">
        <v>0</v>
      </c>
      <c r="J4522" t="b">
        <v>1</v>
      </c>
      <c r="K4522" t="b">
        <v>0</v>
      </c>
      <c r="L4522" t="b">
        <v>0</v>
      </c>
      <c r="M4522" t="b">
        <v>1</v>
      </c>
      <c r="N4522">
        <f>IFERROR(INDEX('Company Hitlist'!$AA:$AA,MATCH(D4522,'Company Hitlist'!$A:$A,0)),)</f>
        <v/>
      </c>
      <c r="O4522">
        <f>IFERROR(INDEX('Company Hitlist'!$N:$N,MATCH(D4522,'Company Hitlist'!$A:$A,0)),)</f>
        <v/>
      </c>
      <c r="Q4522" t="inlineStr">
        <is>
          <t>todo</t>
        </is>
      </c>
    </row>
    <row r="4523">
      <c r="A4523" t="inlineStr">
        <is>
          <t>Tanya Dieumegarde</t>
        </is>
      </c>
      <c r="B4523" t="inlineStr">
        <is>
          <t>Attendee</t>
        </is>
      </c>
      <c r="C4523" t="inlineStr">
        <is>
          <t>VP of Sales &amp; Marketing</t>
        </is>
      </c>
      <c r="D4523" t="inlineStr">
        <is>
          <t>SW ToyotaLift</t>
        </is>
      </c>
      <c r="E4523" t="inlineStr">
        <is>
          <t>United States</t>
        </is>
      </c>
      <c r="H4523" t="n">
        <v>-2</v>
      </c>
      <c r="I4523" t="b">
        <v>0</v>
      </c>
      <c r="J4523" t="b">
        <v>1</v>
      </c>
      <c r="K4523" t="b">
        <v>0</v>
      </c>
      <c r="L4523" t="b">
        <v>0</v>
      </c>
      <c r="M4523" t="b">
        <v>1</v>
      </c>
      <c r="N4523">
        <f>IFERROR(INDEX('Company Hitlist'!$AA:$AA,MATCH(D4523,'Company Hitlist'!$A:$A,0)),)</f>
        <v/>
      </c>
      <c r="O4523">
        <f>IFERROR(INDEX('Company Hitlist'!$N:$N,MATCH(D4523,'Company Hitlist'!$A:$A,0)),)</f>
        <v/>
      </c>
      <c r="Q4523" t="inlineStr">
        <is>
          <t>todo</t>
        </is>
      </c>
    </row>
    <row r="4524">
      <c r="A4524" t="inlineStr">
        <is>
          <t>David Bader</t>
        </is>
      </c>
      <c r="B4524" t="inlineStr">
        <is>
          <t>Attendee</t>
        </is>
      </c>
      <c r="C4524" t="inlineStr">
        <is>
          <t>VP Strategy &amp; Sales</t>
        </is>
      </c>
      <c r="D4524" t="inlineStr">
        <is>
          <t>SYNAOS LLC</t>
        </is>
      </c>
      <c r="E4524" t="inlineStr">
        <is>
          <t>United States</t>
        </is>
      </c>
      <c r="H4524" t="n">
        <v>-2</v>
      </c>
      <c r="I4524" t="b">
        <v>0</v>
      </c>
      <c r="J4524" t="b">
        <v>1</v>
      </c>
      <c r="K4524" t="b">
        <v>0</v>
      </c>
      <c r="L4524" t="b">
        <v>0</v>
      </c>
      <c r="M4524" t="b">
        <v>1</v>
      </c>
      <c r="N4524">
        <f>IFERROR(INDEX('Company Hitlist'!$AA:$AA,MATCH(D4524,'Company Hitlist'!$A:$A,0)),)</f>
        <v/>
      </c>
      <c r="O4524">
        <f>IFERROR(INDEX('Company Hitlist'!$N:$N,MATCH(D4524,'Company Hitlist'!$A:$A,0)),)</f>
        <v/>
      </c>
      <c r="Q4524" t="inlineStr">
        <is>
          <t>todo</t>
        </is>
      </c>
    </row>
    <row r="4525">
      <c r="A4525" t="inlineStr">
        <is>
          <t>Thomas Elmore</t>
        </is>
      </c>
      <c r="B4525" t="inlineStr">
        <is>
          <t>Attendee</t>
        </is>
      </c>
      <c r="C4525" t="inlineStr">
        <is>
          <t>Vice President, Business Development</t>
        </is>
      </c>
      <c r="D4525" t="inlineStr">
        <is>
          <t>Saia LTL Freight</t>
        </is>
      </c>
      <c r="E4525" t="inlineStr">
        <is>
          <t>United States</t>
        </is>
      </c>
      <c r="H4525" t="n">
        <v>-2</v>
      </c>
      <c r="I4525" t="b">
        <v>0</v>
      </c>
      <c r="J4525" t="b">
        <v>1</v>
      </c>
      <c r="K4525" t="b">
        <v>0</v>
      </c>
      <c r="L4525" t="b">
        <v>0</v>
      </c>
      <c r="M4525" t="b">
        <v>1</v>
      </c>
      <c r="N4525">
        <f>IFERROR(INDEX('Company Hitlist'!$AA:$AA,MATCH(D4525,'Company Hitlist'!$A:$A,0)),)</f>
        <v/>
      </c>
      <c r="O4525">
        <f>IFERROR(INDEX('Company Hitlist'!$N:$N,MATCH(D4525,'Company Hitlist'!$A:$A,0)),)</f>
        <v/>
      </c>
      <c r="Q4525" t="inlineStr">
        <is>
          <t>todo</t>
        </is>
      </c>
    </row>
    <row r="4526">
      <c r="A4526" t="inlineStr">
        <is>
          <t>Kate Joyce</t>
        </is>
      </c>
      <c r="B4526" t="inlineStr">
        <is>
          <t>Attendee</t>
        </is>
      </c>
      <c r="C4526" t="inlineStr">
        <is>
          <t>Head of Sales</t>
        </is>
      </c>
      <c r="D4526" t="inlineStr">
        <is>
          <t>Scurri</t>
        </is>
      </c>
      <c r="E4526" t="inlineStr">
        <is>
          <t>Ireland</t>
        </is>
      </c>
      <c r="H4526" t="n">
        <v>-2</v>
      </c>
      <c r="I4526" t="b">
        <v>0</v>
      </c>
      <c r="J4526" t="b">
        <v>1</v>
      </c>
      <c r="K4526" t="b">
        <v>0</v>
      </c>
      <c r="L4526" t="b">
        <v>0</v>
      </c>
      <c r="M4526" t="b">
        <v>1</v>
      </c>
      <c r="N4526">
        <f>IFERROR(INDEX('Company Hitlist'!$AA:$AA,MATCH(D4526,'Company Hitlist'!$A:$A,0)),)</f>
        <v/>
      </c>
      <c r="O4526">
        <f>IFERROR(INDEX('Company Hitlist'!$N:$N,MATCH(D4526,'Company Hitlist'!$A:$A,0)),)</f>
        <v/>
      </c>
      <c r="Q4526" t="inlineStr">
        <is>
          <t>todo</t>
        </is>
      </c>
    </row>
    <row r="4527">
      <c r="A4527" t="inlineStr">
        <is>
          <t>David Griffin</t>
        </is>
      </c>
      <c r="B4527" t="inlineStr">
        <is>
          <t>Attendee</t>
        </is>
      </c>
      <c r="C4527" t="inlineStr">
        <is>
          <t>Chief Sales Officer</t>
        </is>
      </c>
      <c r="D4527" t="inlineStr">
        <is>
          <t>Seegrid Corporation</t>
        </is>
      </c>
      <c r="E4527" t="inlineStr">
        <is>
          <t>United States</t>
        </is>
      </c>
      <c r="H4527" t="n">
        <v>-2</v>
      </c>
      <c r="I4527" t="b">
        <v>0</v>
      </c>
      <c r="J4527" t="b">
        <v>1</v>
      </c>
      <c r="K4527" t="b">
        <v>0</v>
      </c>
      <c r="L4527" t="b">
        <v>0</v>
      </c>
      <c r="M4527" t="b">
        <v>1</v>
      </c>
      <c r="N4527">
        <f>IFERROR(INDEX('Company Hitlist'!$AA:$AA,MATCH(D4527,'Company Hitlist'!$A:$A,0)),)</f>
        <v/>
      </c>
      <c r="O4527">
        <f>IFERROR(INDEX('Company Hitlist'!$N:$N,MATCH(D4527,'Company Hitlist'!$A:$A,0)),)</f>
        <v/>
      </c>
      <c r="Q4527" t="inlineStr">
        <is>
          <t>todo</t>
        </is>
      </c>
    </row>
    <row r="4528">
      <c r="A4528" t="inlineStr">
        <is>
          <t>Jacob Waldner</t>
        </is>
      </c>
      <c r="B4528" t="inlineStr">
        <is>
          <t>Attendee</t>
        </is>
      </c>
      <c r="C4528" t="inlineStr">
        <is>
          <t>Chief Revenue Officer</t>
        </is>
      </c>
      <c r="D4528" t="inlineStr">
        <is>
          <t>ShipHub</t>
        </is>
      </c>
      <c r="E4528" t="inlineStr">
        <is>
          <t>United States</t>
        </is>
      </c>
      <c r="F4528" t="inlineStr">
        <is>
          <t>Yes</t>
        </is>
      </c>
      <c r="H4528" t="n">
        <v>-2</v>
      </c>
      <c r="I4528" t="b">
        <v>0</v>
      </c>
      <c r="J4528" t="b">
        <v>1</v>
      </c>
      <c r="K4528" t="b">
        <v>0</v>
      </c>
      <c r="L4528" t="b">
        <v>0</v>
      </c>
      <c r="M4528" t="b">
        <v>1</v>
      </c>
      <c r="N4528">
        <f>IFERROR(INDEX('Company Hitlist'!$AA:$AA,MATCH(D4528,'Company Hitlist'!$A:$A,0)),)</f>
        <v/>
      </c>
      <c r="O4528">
        <f>IFERROR(INDEX('Company Hitlist'!$N:$N,MATCH(D4528,'Company Hitlist'!$A:$A,0)),)</f>
        <v/>
      </c>
      <c r="Q4528" t="inlineStr">
        <is>
          <t>todo</t>
        </is>
      </c>
    </row>
    <row r="4529">
      <c r="A4529" t="inlineStr">
        <is>
          <t>Steven Douek</t>
        </is>
      </c>
      <c r="B4529" t="inlineStr">
        <is>
          <t>Attendee</t>
        </is>
      </c>
      <c r="C4529" t="inlineStr">
        <is>
          <t>VP of Sales</t>
        </is>
      </c>
      <c r="D4529" t="inlineStr">
        <is>
          <t>ShipHub</t>
        </is>
      </c>
      <c r="E4529" t="inlineStr">
        <is>
          <t>United States</t>
        </is>
      </c>
      <c r="H4529" t="n">
        <v>-2</v>
      </c>
      <c r="I4529" t="b">
        <v>0</v>
      </c>
      <c r="J4529" t="b">
        <v>1</v>
      </c>
      <c r="K4529" t="b">
        <v>0</v>
      </c>
      <c r="L4529" t="b">
        <v>0</v>
      </c>
      <c r="M4529" t="b">
        <v>1</v>
      </c>
      <c r="N4529">
        <f>IFERROR(INDEX('Company Hitlist'!$AA:$AA,MATCH(D4529,'Company Hitlist'!$A:$A,0)),)</f>
        <v/>
      </c>
      <c r="O4529">
        <f>IFERROR(INDEX('Company Hitlist'!$N:$N,MATCH(D4529,'Company Hitlist'!$A:$A,0)),)</f>
        <v/>
      </c>
      <c r="Q4529" t="inlineStr">
        <is>
          <t>todo</t>
        </is>
      </c>
    </row>
    <row r="4530">
      <c r="A4530" t="inlineStr">
        <is>
          <t>Kenny Tucker</t>
        </is>
      </c>
      <c r="B4530" t="inlineStr">
        <is>
          <t>Attendee</t>
        </is>
      </c>
      <c r="C4530" t="inlineStr">
        <is>
          <t>Head of Growth and partnership</t>
        </is>
      </c>
      <c r="D4530" t="inlineStr">
        <is>
          <t>ShipSaving</t>
        </is>
      </c>
      <c r="E4530" t="inlineStr">
        <is>
          <t>United States</t>
        </is>
      </c>
      <c r="F4530" t="inlineStr">
        <is>
          <t>Yes</t>
        </is>
      </c>
      <c r="H4530" t="n">
        <v>-2</v>
      </c>
      <c r="I4530" t="b">
        <v>0</v>
      </c>
      <c r="J4530" t="b">
        <v>1</v>
      </c>
      <c r="K4530" t="b">
        <v>0</v>
      </c>
      <c r="L4530" t="b">
        <v>0</v>
      </c>
      <c r="M4530" t="b">
        <v>1</v>
      </c>
      <c r="N4530">
        <f>IFERROR(INDEX('Company Hitlist'!$AA:$AA,MATCH(D4530,'Company Hitlist'!$A:$A,0)),)</f>
        <v/>
      </c>
      <c r="O4530">
        <f>IFERROR(INDEX('Company Hitlist'!$N:$N,MATCH(D4530,'Company Hitlist'!$A:$A,0)),)</f>
        <v/>
      </c>
      <c r="Q4530" t="inlineStr">
        <is>
          <t>todo</t>
        </is>
      </c>
    </row>
    <row r="4531">
      <c r="A4531" t="inlineStr">
        <is>
          <t>Lucy Archer-Shuter</t>
        </is>
      </c>
      <c r="B4531" t="inlineStr">
        <is>
          <t>Attendee</t>
        </is>
      </c>
      <c r="C4531" t="inlineStr">
        <is>
          <t>Head of Campaigns Marketing</t>
        </is>
      </c>
      <c r="D4531" t="inlineStr">
        <is>
          <t>Shippeo</t>
        </is>
      </c>
      <c r="E4531" t="inlineStr">
        <is>
          <t>France</t>
        </is>
      </c>
      <c r="F4531" t="inlineStr">
        <is>
          <t>Yes</t>
        </is>
      </c>
      <c r="G4531" t="inlineStr">
        <is>
          <t>15000000</t>
        </is>
      </c>
      <c r="H4531" t="n">
        <v>-2</v>
      </c>
      <c r="I4531" t="b">
        <v>0</v>
      </c>
      <c r="J4531" t="b">
        <v>1</v>
      </c>
      <c r="K4531" t="b">
        <v>0</v>
      </c>
      <c r="L4531" t="b">
        <v>0</v>
      </c>
      <c r="M4531" t="b">
        <v>1</v>
      </c>
      <c r="N4531">
        <f>IFERROR(INDEX('Company Hitlist'!$AA:$AA,MATCH(D4531,'Company Hitlist'!$A:$A,0)),)</f>
        <v/>
      </c>
      <c r="O4531">
        <f>IFERROR(INDEX('Company Hitlist'!$N:$N,MATCH(D4531,'Company Hitlist'!$A:$A,0)),)</f>
        <v/>
      </c>
      <c r="Q4531" t="inlineStr">
        <is>
          <t>todo</t>
        </is>
      </c>
    </row>
    <row r="4532">
      <c r="A4532" t="inlineStr">
        <is>
          <t>Brett Trott</t>
        </is>
      </c>
      <c r="B4532" t="inlineStr">
        <is>
          <t>Attendee</t>
        </is>
      </c>
      <c r="C4532" t="inlineStr">
        <is>
          <t>VP of Enterprise Sales</t>
        </is>
      </c>
      <c r="D4532" t="inlineStr">
        <is>
          <t>Soar Transportation Group</t>
        </is>
      </c>
      <c r="E4532" t="inlineStr">
        <is>
          <t>United States</t>
        </is>
      </c>
      <c r="H4532" t="n">
        <v>-2</v>
      </c>
      <c r="I4532" t="b">
        <v>0</v>
      </c>
      <c r="J4532" t="b">
        <v>1</v>
      </c>
      <c r="K4532" t="b">
        <v>0</v>
      </c>
      <c r="L4532" t="b">
        <v>0</v>
      </c>
      <c r="M4532" t="b">
        <v>1</v>
      </c>
      <c r="N4532">
        <f>IFERROR(INDEX('Company Hitlist'!$AA:$AA,MATCH(D4532,'Company Hitlist'!$A:$A,0)),)</f>
        <v/>
      </c>
      <c r="O4532">
        <f>IFERROR(INDEX('Company Hitlist'!$N:$N,MATCH(D4532,'Company Hitlist'!$A:$A,0)),)</f>
        <v/>
      </c>
      <c r="Q4532" t="inlineStr">
        <is>
          <t>todo</t>
        </is>
      </c>
    </row>
    <row r="4533">
      <c r="A4533" t="inlineStr">
        <is>
          <t>Joe Trainer</t>
        </is>
      </c>
      <c r="B4533" t="inlineStr">
        <is>
          <t>Attendee</t>
        </is>
      </c>
      <c r="C4533" t="inlineStr">
        <is>
          <t>VP of International Sales</t>
        </is>
      </c>
      <c r="D4533" t="inlineStr">
        <is>
          <t>Speedy Transport</t>
        </is>
      </c>
      <c r="H4533" t="n">
        <v>-2</v>
      </c>
      <c r="I4533" t="b">
        <v>0</v>
      </c>
      <c r="J4533" t="b">
        <v>1</v>
      </c>
      <c r="K4533" t="b">
        <v>0</v>
      </c>
      <c r="L4533" t="b">
        <v>0</v>
      </c>
      <c r="M4533" t="b">
        <v>1</v>
      </c>
      <c r="N4533">
        <f>IFERROR(INDEX('Company Hitlist'!$AA:$AA,MATCH(D4533,'Company Hitlist'!$A:$A,0)),)</f>
        <v/>
      </c>
      <c r="O4533">
        <f>IFERROR(INDEX('Company Hitlist'!$N:$N,MATCH(D4533,'Company Hitlist'!$A:$A,0)),)</f>
        <v/>
      </c>
      <c r="Q4533" t="inlineStr">
        <is>
          <t>todo</t>
        </is>
      </c>
    </row>
    <row r="4534">
      <c r="A4534" t="inlineStr">
        <is>
          <t>Michael Sbrocchi</t>
        </is>
      </c>
      <c r="B4534" t="inlineStr">
        <is>
          <t>Attendee</t>
        </is>
      </c>
      <c r="C4534" t="inlineStr">
        <is>
          <t>VP, Sales</t>
        </is>
      </c>
      <c r="D4534" t="inlineStr">
        <is>
          <t>Speedy Transport Group, Inc.</t>
        </is>
      </c>
      <c r="E4534" t="inlineStr">
        <is>
          <t>Canada</t>
        </is>
      </c>
      <c r="H4534" t="n">
        <v>-2</v>
      </c>
      <c r="I4534" t="b">
        <v>0</v>
      </c>
      <c r="J4534" t="b">
        <v>1</v>
      </c>
      <c r="K4534" t="b">
        <v>0</v>
      </c>
      <c r="L4534" t="b">
        <v>0</v>
      </c>
      <c r="M4534" t="b">
        <v>1</v>
      </c>
      <c r="N4534">
        <f>IFERROR(INDEX('Company Hitlist'!$AA:$AA,MATCH(D4534,'Company Hitlist'!$A:$A,0)),)</f>
        <v/>
      </c>
      <c r="O4534">
        <f>IFERROR(INDEX('Company Hitlist'!$N:$N,MATCH(D4534,'Company Hitlist'!$A:$A,0)),)</f>
        <v/>
      </c>
      <c r="Q4534" t="inlineStr">
        <is>
          <t>todo</t>
        </is>
      </c>
    </row>
    <row r="4535">
      <c r="A4535" t="inlineStr">
        <is>
          <t>Bryan Austin</t>
        </is>
      </c>
      <c r="B4535" t="inlineStr">
        <is>
          <t>Attendee</t>
        </is>
      </c>
      <c r="C4535" t="inlineStr">
        <is>
          <t>VP Business Development</t>
        </is>
      </c>
      <c r="D4535" t="inlineStr">
        <is>
          <t>Sunland Logistics Solutions</t>
        </is>
      </c>
      <c r="E4535" t="inlineStr">
        <is>
          <t>United States</t>
        </is>
      </c>
      <c r="H4535" t="n">
        <v>-2</v>
      </c>
      <c r="I4535" t="b">
        <v>0</v>
      </c>
      <c r="J4535" t="b">
        <v>1</v>
      </c>
      <c r="K4535" t="b">
        <v>0</v>
      </c>
      <c r="L4535" t="b">
        <v>0</v>
      </c>
      <c r="M4535" t="b">
        <v>1</v>
      </c>
      <c r="N4535">
        <f>IFERROR(INDEX('Company Hitlist'!$AA:$AA,MATCH(D4535,'Company Hitlist'!$A:$A,0)),)</f>
        <v/>
      </c>
      <c r="O4535">
        <f>IFERROR(INDEX('Company Hitlist'!$N:$N,MATCH(D4535,'Company Hitlist'!$A:$A,0)),)</f>
        <v/>
      </c>
      <c r="Q4535" t="inlineStr">
        <is>
          <t>todo</t>
        </is>
      </c>
    </row>
    <row r="4536">
      <c r="A4536" t="inlineStr">
        <is>
          <t>Joshua Sukenic</t>
        </is>
      </c>
      <c r="B4536" t="inlineStr">
        <is>
          <t>Attendee</t>
        </is>
      </c>
      <c r="C4536" t="inlineStr">
        <is>
          <t>Head of Global Sales</t>
        </is>
      </c>
      <c r="D4536" t="inlineStr">
        <is>
          <t>Surgere</t>
        </is>
      </c>
      <c r="E4536" t="inlineStr">
        <is>
          <t>United States</t>
        </is>
      </c>
      <c r="H4536" t="n">
        <v>-2</v>
      </c>
      <c r="I4536" t="b">
        <v>0</v>
      </c>
      <c r="J4536" t="b">
        <v>1</v>
      </c>
      <c r="K4536" t="b">
        <v>0</v>
      </c>
      <c r="L4536" t="b">
        <v>0</v>
      </c>
      <c r="M4536" t="b">
        <v>1</v>
      </c>
      <c r="N4536">
        <f>IFERROR(INDEX('Company Hitlist'!$AA:$AA,MATCH(D4536,'Company Hitlist'!$A:$A,0)),)</f>
        <v/>
      </c>
      <c r="O4536">
        <f>IFERROR(INDEX('Company Hitlist'!$N:$N,MATCH(D4536,'Company Hitlist'!$A:$A,0)),)</f>
        <v/>
      </c>
      <c r="Q4536" t="inlineStr">
        <is>
          <t>todo</t>
        </is>
      </c>
    </row>
    <row r="4537">
      <c r="A4537" t="inlineStr">
        <is>
          <t>Adam Landers</t>
        </is>
      </c>
      <c r="B4537" t="inlineStr">
        <is>
          <t>Attendee</t>
        </is>
      </c>
      <c r="C4537" t="inlineStr">
        <is>
          <t>Vice President of Sales</t>
        </is>
      </c>
      <c r="D4537" t="inlineStr">
        <is>
          <t>Sway</t>
        </is>
      </c>
      <c r="E4537" t="inlineStr">
        <is>
          <t>United States</t>
        </is>
      </c>
      <c r="H4537" t="n">
        <v>-2</v>
      </c>
      <c r="I4537" t="b">
        <v>0</v>
      </c>
      <c r="J4537" t="b">
        <v>1</v>
      </c>
      <c r="K4537" t="b">
        <v>0</v>
      </c>
      <c r="L4537" t="b">
        <v>0</v>
      </c>
      <c r="M4537" t="b">
        <v>1</v>
      </c>
      <c r="N4537">
        <f>IFERROR(INDEX('Company Hitlist'!$AA:$AA,MATCH(D4537,'Company Hitlist'!$A:$A,0)),)</f>
        <v/>
      </c>
      <c r="O4537">
        <f>IFERROR(INDEX('Company Hitlist'!$N:$N,MATCH(D4537,'Company Hitlist'!$A:$A,0)),)</f>
        <v/>
      </c>
      <c r="Q4537" t="inlineStr">
        <is>
          <t>todo</t>
        </is>
      </c>
    </row>
    <row r="4538">
      <c r="A4538" t="inlineStr">
        <is>
          <t>Brad Thompson</t>
        </is>
      </c>
      <c r="B4538" t="inlineStr">
        <is>
          <t>Attendee</t>
        </is>
      </c>
      <c r="C4538" t="inlineStr">
        <is>
          <t>VP, Sales</t>
        </is>
      </c>
      <c r="D4538" t="inlineStr">
        <is>
          <t>Syfan Logistics</t>
        </is>
      </c>
      <c r="E4538" t="inlineStr">
        <is>
          <t>United States</t>
        </is>
      </c>
      <c r="H4538" t="n">
        <v>-2</v>
      </c>
      <c r="I4538" t="b">
        <v>0</v>
      </c>
      <c r="J4538" t="b">
        <v>1</v>
      </c>
      <c r="K4538" t="b">
        <v>0</v>
      </c>
      <c r="L4538" t="b">
        <v>0</v>
      </c>
      <c r="M4538" t="b">
        <v>1</v>
      </c>
      <c r="N4538">
        <f>IFERROR(INDEX('Company Hitlist'!$AA:$AA,MATCH(D4538,'Company Hitlist'!$A:$A,0)),)</f>
        <v/>
      </c>
      <c r="O4538">
        <f>IFERROR(INDEX('Company Hitlist'!$N:$N,MATCH(D4538,'Company Hitlist'!$A:$A,0)),)</f>
        <v/>
      </c>
      <c r="Q4538" t="inlineStr">
        <is>
          <t>todo</t>
        </is>
      </c>
    </row>
    <row r="4539">
      <c r="A4539" t="inlineStr">
        <is>
          <t>James Syfan</t>
        </is>
      </c>
      <c r="B4539" t="inlineStr">
        <is>
          <t>Attendee</t>
        </is>
      </c>
      <c r="C4539" t="inlineStr">
        <is>
          <t>Senior VP of Sales</t>
        </is>
      </c>
      <c r="D4539" t="inlineStr">
        <is>
          <t>Syfan Logistics</t>
        </is>
      </c>
      <c r="E4539" t="inlineStr">
        <is>
          <t>United States</t>
        </is>
      </c>
      <c r="H4539" t="n">
        <v>-2</v>
      </c>
      <c r="I4539" t="b">
        <v>0</v>
      </c>
      <c r="J4539" t="b">
        <v>1</v>
      </c>
      <c r="K4539" t="b">
        <v>0</v>
      </c>
      <c r="L4539" t="b">
        <v>0</v>
      </c>
      <c r="M4539" t="b">
        <v>1</v>
      </c>
      <c r="N4539">
        <f>IFERROR(INDEX('Company Hitlist'!$AA:$AA,MATCH(D4539,'Company Hitlist'!$A:$A,0)),)</f>
        <v/>
      </c>
      <c r="O4539">
        <f>IFERROR(INDEX('Company Hitlist'!$N:$N,MATCH(D4539,'Company Hitlist'!$A:$A,0)),)</f>
        <v/>
      </c>
      <c r="Q4539" t="inlineStr">
        <is>
          <t>todo</t>
        </is>
      </c>
    </row>
    <row r="4540">
      <c r="A4540" t="inlineStr">
        <is>
          <t>Coleman Ruffin</t>
        </is>
      </c>
      <c r="B4540" t="inlineStr">
        <is>
          <t>Attendee</t>
        </is>
      </c>
      <c r="C4540" t="inlineStr">
        <is>
          <t>Partner, Head of Growth</t>
        </is>
      </c>
      <c r="D4540" t="inlineStr">
        <is>
          <t>Talent Solvers</t>
        </is>
      </c>
      <c r="E4540" t="inlineStr">
        <is>
          <t>United States</t>
        </is>
      </c>
      <c r="H4540" t="n">
        <v>-2</v>
      </c>
      <c r="I4540" t="b">
        <v>0</v>
      </c>
      <c r="J4540" t="b">
        <v>1</v>
      </c>
      <c r="K4540" t="b">
        <v>0</v>
      </c>
      <c r="L4540" t="b">
        <v>0</v>
      </c>
      <c r="M4540" t="b">
        <v>1</v>
      </c>
      <c r="N4540">
        <f>IFERROR(INDEX('Company Hitlist'!$AA:$AA,MATCH(D4540,'Company Hitlist'!$A:$A,0)),)</f>
        <v/>
      </c>
      <c r="O4540">
        <f>IFERROR(INDEX('Company Hitlist'!$N:$N,MATCH(D4540,'Company Hitlist'!$A:$A,0)),)</f>
        <v/>
      </c>
      <c r="Q4540" t="inlineStr">
        <is>
          <t>todo</t>
        </is>
      </c>
    </row>
    <row r="4541">
      <c r="A4541" t="inlineStr">
        <is>
          <t>Jennifer Edwards</t>
        </is>
      </c>
      <c r="B4541" t="inlineStr">
        <is>
          <t>Attendee</t>
        </is>
      </c>
      <c r="C4541" t="inlineStr">
        <is>
          <t>Vice President of Sales and Agent Relations</t>
        </is>
      </c>
      <c r="D4541" t="inlineStr">
        <is>
          <t>The Evans Network of Companies</t>
        </is>
      </c>
      <c r="E4541" t="inlineStr">
        <is>
          <t>United States</t>
        </is>
      </c>
      <c r="H4541" t="n">
        <v>-2</v>
      </c>
      <c r="I4541" t="b">
        <v>0</v>
      </c>
      <c r="J4541" t="b">
        <v>1</v>
      </c>
      <c r="K4541" t="b">
        <v>0</v>
      </c>
      <c r="L4541" t="b">
        <v>0</v>
      </c>
      <c r="M4541" t="b">
        <v>1</v>
      </c>
      <c r="N4541">
        <f>IFERROR(INDEX('Company Hitlist'!$AA:$AA,MATCH(D4541,'Company Hitlist'!$A:$A,0)),)</f>
        <v/>
      </c>
      <c r="O4541">
        <f>IFERROR(INDEX('Company Hitlist'!$N:$N,MATCH(D4541,'Company Hitlist'!$A:$A,0)),)</f>
        <v/>
      </c>
      <c r="Q4541" t="inlineStr">
        <is>
          <t>todo</t>
        </is>
      </c>
    </row>
    <row r="4542">
      <c r="A4542" t="inlineStr">
        <is>
          <t>Angie Davis</t>
        </is>
      </c>
      <c r="B4542" t="inlineStr">
        <is>
          <t>Attendee</t>
        </is>
      </c>
      <c r="C4542" t="inlineStr">
        <is>
          <t>Vice President - Corporate Sales &amp; Client Services</t>
        </is>
      </c>
      <c r="D4542" t="inlineStr">
        <is>
          <t>The Mail Group</t>
        </is>
      </c>
      <c r="E4542" t="inlineStr">
        <is>
          <t>United States</t>
        </is>
      </c>
      <c r="H4542" t="n">
        <v>-2</v>
      </c>
      <c r="I4542" t="b">
        <v>0</v>
      </c>
      <c r="J4542" t="b">
        <v>1</v>
      </c>
      <c r="K4542" t="b">
        <v>0</v>
      </c>
      <c r="L4542" t="b">
        <v>0</v>
      </c>
      <c r="M4542" t="b">
        <v>1</v>
      </c>
      <c r="N4542">
        <f>IFERROR(INDEX('Company Hitlist'!$AA:$AA,MATCH(D4542,'Company Hitlist'!$A:$A,0)),)</f>
        <v/>
      </c>
      <c r="O4542">
        <f>IFERROR(INDEX('Company Hitlist'!$N:$N,MATCH(D4542,'Company Hitlist'!$A:$A,0)),)</f>
        <v/>
      </c>
      <c r="Q4542" t="inlineStr">
        <is>
          <t>todo</t>
        </is>
      </c>
    </row>
    <row r="4543">
      <c r="A4543" t="inlineStr">
        <is>
          <t>Christy Hulsart</t>
        </is>
      </c>
      <c r="B4543" t="inlineStr">
        <is>
          <t>Attendee</t>
        </is>
      </c>
      <c r="C4543" t="inlineStr">
        <is>
          <t>Vice President, Sales</t>
        </is>
      </c>
      <c r="D4543" t="inlineStr">
        <is>
          <t>The Mail Group</t>
        </is>
      </c>
      <c r="E4543" t="inlineStr">
        <is>
          <t>United States</t>
        </is>
      </c>
      <c r="H4543" t="n">
        <v>-2</v>
      </c>
      <c r="I4543" t="b">
        <v>0</v>
      </c>
      <c r="J4543" t="b">
        <v>1</v>
      </c>
      <c r="K4543" t="b">
        <v>0</v>
      </c>
      <c r="L4543" t="b">
        <v>0</v>
      </c>
      <c r="M4543" t="b">
        <v>1</v>
      </c>
      <c r="N4543">
        <f>IFERROR(INDEX('Company Hitlist'!$AA:$AA,MATCH(D4543,'Company Hitlist'!$A:$A,0)),)</f>
        <v/>
      </c>
      <c r="O4543">
        <f>IFERROR(INDEX('Company Hitlist'!$N:$N,MATCH(D4543,'Company Hitlist'!$A:$A,0)),)</f>
        <v/>
      </c>
      <c r="Q4543" t="inlineStr">
        <is>
          <t>todo</t>
        </is>
      </c>
    </row>
    <row r="4544">
      <c r="A4544" t="inlineStr">
        <is>
          <t>Sue Ghanma</t>
        </is>
      </c>
      <c r="B4544" t="inlineStr">
        <is>
          <t>Attendee</t>
        </is>
      </c>
      <c r="C4544" t="inlineStr">
        <is>
          <t>Regional VP Sales</t>
        </is>
      </c>
      <c r="D4544" t="inlineStr">
        <is>
          <t>The Mail Group</t>
        </is>
      </c>
      <c r="E4544" t="inlineStr">
        <is>
          <t>United States</t>
        </is>
      </c>
      <c r="H4544" t="n">
        <v>-2</v>
      </c>
      <c r="I4544" t="b">
        <v>0</v>
      </c>
      <c r="J4544" t="b">
        <v>1</v>
      </c>
      <c r="K4544" t="b">
        <v>0</v>
      </c>
      <c r="L4544" t="b">
        <v>0</v>
      </c>
      <c r="M4544" t="b">
        <v>1</v>
      </c>
      <c r="N4544">
        <f>IFERROR(INDEX('Company Hitlist'!$AA:$AA,MATCH(D4544,'Company Hitlist'!$A:$A,0)),)</f>
        <v/>
      </c>
      <c r="O4544">
        <f>IFERROR(INDEX('Company Hitlist'!$N:$N,MATCH(D4544,'Company Hitlist'!$A:$A,0)),)</f>
        <v/>
      </c>
      <c r="Q4544" t="inlineStr">
        <is>
          <t>todo</t>
        </is>
      </c>
    </row>
    <row r="4545">
      <c r="A4545" t="inlineStr">
        <is>
          <t>Mary Casillo</t>
        </is>
      </c>
      <c r="B4545" t="inlineStr">
        <is>
          <t>Attendee</t>
        </is>
      </c>
      <c r="C4545" t="inlineStr">
        <is>
          <t>SVP Business Development</t>
        </is>
      </c>
      <c r="D4545" t="inlineStr">
        <is>
          <t>The Pallet Alliance Inc</t>
        </is>
      </c>
      <c r="E4545" t="inlineStr">
        <is>
          <t>United States</t>
        </is>
      </c>
      <c r="H4545" t="n">
        <v>-2</v>
      </c>
      <c r="I4545" t="b">
        <v>0</v>
      </c>
      <c r="J4545" t="b">
        <v>1</v>
      </c>
      <c r="K4545" t="b">
        <v>0</v>
      </c>
      <c r="L4545" t="b">
        <v>0</v>
      </c>
      <c r="M4545" t="b">
        <v>1</v>
      </c>
      <c r="N4545">
        <f>IFERROR(INDEX('Company Hitlist'!$AA:$AA,MATCH(D4545,'Company Hitlist'!$A:$A,0)),)</f>
        <v/>
      </c>
      <c r="O4545">
        <f>IFERROR(INDEX('Company Hitlist'!$N:$N,MATCH(D4545,'Company Hitlist'!$A:$A,0)),)</f>
        <v/>
      </c>
      <c r="Q4545" t="inlineStr">
        <is>
          <t>todo</t>
        </is>
      </c>
    </row>
    <row r="4546">
      <c r="A4546" t="inlineStr">
        <is>
          <t>Hunter Tolbert</t>
        </is>
      </c>
      <c r="B4546" t="inlineStr">
        <is>
          <t>Attendee</t>
        </is>
      </c>
      <c r="C4546" t="inlineStr">
        <is>
          <t>VP of Sales</t>
        </is>
      </c>
      <c r="D4546" t="inlineStr">
        <is>
          <t>Thrivemodal</t>
        </is>
      </c>
      <c r="E4546" t="inlineStr">
        <is>
          <t>United States</t>
        </is>
      </c>
      <c r="H4546" t="n">
        <v>-2</v>
      </c>
      <c r="I4546" t="b">
        <v>0</v>
      </c>
      <c r="J4546" t="b">
        <v>1</v>
      </c>
      <c r="K4546" t="b">
        <v>0</v>
      </c>
      <c r="L4546" t="b">
        <v>0</v>
      </c>
      <c r="M4546" t="b">
        <v>1</v>
      </c>
      <c r="N4546">
        <f>IFERROR(INDEX('Company Hitlist'!$AA:$AA,MATCH(D4546,'Company Hitlist'!$A:$A,0)),)</f>
        <v/>
      </c>
      <c r="O4546">
        <f>IFERROR(INDEX('Company Hitlist'!$N:$N,MATCH(D4546,'Company Hitlist'!$A:$A,0)),)</f>
        <v/>
      </c>
      <c r="Q4546" t="inlineStr">
        <is>
          <t>todo</t>
        </is>
      </c>
    </row>
    <row r="4547">
      <c r="A4547" t="inlineStr">
        <is>
          <t>Martin Leoe</t>
        </is>
      </c>
      <c r="B4547" t="inlineStr">
        <is>
          <t>Attendee</t>
        </is>
      </c>
      <c r="C4547" t="inlineStr">
        <is>
          <t>Global Head of Sales</t>
        </is>
      </c>
      <c r="D4547" t="inlineStr">
        <is>
          <t>Tideform A/S</t>
        </is>
      </c>
      <c r="E4547" t="inlineStr">
        <is>
          <t>Denmark</t>
        </is>
      </c>
      <c r="H4547" t="n">
        <v>-2</v>
      </c>
      <c r="I4547" t="b">
        <v>0</v>
      </c>
      <c r="J4547" t="b">
        <v>1</v>
      </c>
      <c r="K4547" t="b">
        <v>0</v>
      </c>
      <c r="L4547" t="b">
        <v>0</v>
      </c>
      <c r="M4547" t="b">
        <v>1</v>
      </c>
      <c r="N4547">
        <f>IFERROR(INDEX('Company Hitlist'!$AA:$AA,MATCH(D4547,'Company Hitlist'!$A:$A,0)),)</f>
        <v/>
      </c>
      <c r="O4547">
        <f>IFERROR(INDEX('Company Hitlist'!$N:$N,MATCH(D4547,'Company Hitlist'!$A:$A,0)),)</f>
        <v/>
      </c>
      <c r="Q4547" t="inlineStr">
        <is>
          <t>todo</t>
        </is>
      </c>
    </row>
    <row r="4548">
      <c r="A4548" t="inlineStr">
        <is>
          <t>Hilary Ambro</t>
        </is>
      </c>
      <c r="B4548" t="inlineStr">
        <is>
          <t>Attendee</t>
        </is>
      </c>
      <c r="C4548" t="inlineStr">
        <is>
          <t>SVP, Business Development</t>
        </is>
      </c>
      <c r="D4548" t="inlineStr">
        <is>
          <t>Traffic Tech</t>
        </is>
      </c>
      <c r="E4548" t="inlineStr">
        <is>
          <t>United States</t>
        </is>
      </c>
      <c r="H4548" t="n">
        <v>-2</v>
      </c>
      <c r="I4548" t="b">
        <v>0</v>
      </c>
      <c r="J4548" t="b">
        <v>1</v>
      </c>
      <c r="K4548" t="b">
        <v>0</v>
      </c>
      <c r="L4548" t="b">
        <v>0</v>
      </c>
      <c r="M4548" t="b">
        <v>1</v>
      </c>
      <c r="N4548">
        <f>IFERROR(INDEX('Company Hitlist'!$AA:$AA,MATCH(D4548,'Company Hitlist'!$A:$A,0)),)</f>
        <v/>
      </c>
      <c r="O4548">
        <f>IFERROR(INDEX('Company Hitlist'!$N:$N,MATCH(D4548,'Company Hitlist'!$A:$A,0)),)</f>
        <v/>
      </c>
      <c r="Q4548" t="inlineStr">
        <is>
          <t>todo</t>
        </is>
      </c>
    </row>
    <row r="4549">
      <c r="A4549" t="inlineStr">
        <is>
          <t>Bill Maddox</t>
        </is>
      </c>
      <c r="B4549" t="inlineStr">
        <is>
          <t>Attendee</t>
        </is>
      </c>
      <c r="C4549" t="inlineStr">
        <is>
          <t>VP Sales, Trimble Maps</t>
        </is>
      </c>
      <c r="D4549" t="inlineStr">
        <is>
          <t>Trimble</t>
        </is>
      </c>
      <c r="E4549" t="inlineStr">
        <is>
          <t>United States</t>
        </is>
      </c>
      <c r="H4549" t="n">
        <v>-2</v>
      </c>
      <c r="I4549" t="b">
        <v>0</v>
      </c>
      <c r="J4549" t="b">
        <v>1</v>
      </c>
      <c r="K4549" t="b">
        <v>0</v>
      </c>
      <c r="L4549" t="b">
        <v>0</v>
      </c>
      <c r="M4549" t="b">
        <v>1</v>
      </c>
      <c r="N4549">
        <f>IFERROR(INDEX('Company Hitlist'!$AA:$AA,MATCH(D4549,'Company Hitlist'!$A:$A,0)),)</f>
        <v/>
      </c>
      <c r="O4549">
        <f>IFERROR(INDEX('Company Hitlist'!$N:$N,MATCH(D4549,'Company Hitlist'!$A:$A,0)),)</f>
        <v/>
      </c>
      <c r="Q4549" t="inlineStr">
        <is>
          <t>todo</t>
        </is>
      </c>
    </row>
    <row r="4550">
      <c r="A4550" t="inlineStr">
        <is>
          <t>Brian Cristol</t>
        </is>
      </c>
      <c r="B4550" t="inlineStr">
        <is>
          <t>Attendee</t>
        </is>
      </c>
      <c r="C4550" t="inlineStr">
        <is>
          <t>SVP, Intelligence Sales Leader</t>
        </is>
      </c>
      <c r="D4550" t="inlineStr">
        <is>
          <t>Triumph</t>
        </is>
      </c>
      <c r="E4550" t="inlineStr">
        <is>
          <t>United States</t>
        </is>
      </c>
      <c r="H4550" t="n">
        <v>-2</v>
      </c>
      <c r="I4550" t="b">
        <v>0</v>
      </c>
      <c r="J4550" t="b">
        <v>1</v>
      </c>
      <c r="K4550" t="b">
        <v>0</v>
      </c>
      <c r="L4550" t="b">
        <v>0</v>
      </c>
      <c r="M4550" t="b">
        <v>1</v>
      </c>
      <c r="N4550">
        <f>IFERROR(INDEX('Company Hitlist'!$AA:$AA,MATCH(D4550,'Company Hitlist'!$A:$A,0)),)</f>
        <v/>
      </c>
      <c r="O4550">
        <f>IFERROR(INDEX('Company Hitlist'!$N:$N,MATCH(D4550,'Company Hitlist'!$A:$A,0)),)</f>
        <v/>
      </c>
      <c r="Q4550" t="inlineStr">
        <is>
          <t>todo</t>
        </is>
      </c>
    </row>
    <row r="4551">
      <c r="A4551" t="inlineStr">
        <is>
          <t>Samantha Johnston</t>
        </is>
      </c>
      <c r="B4551" t="inlineStr">
        <is>
          <t>Attendee</t>
        </is>
      </c>
      <c r="C4551" t="inlineStr">
        <is>
          <t>Chief Growth Officer</t>
        </is>
      </c>
      <c r="D4551" t="inlineStr">
        <is>
          <t>Turvo</t>
        </is>
      </c>
      <c r="E4551" t="inlineStr">
        <is>
          <t>United States</t>
        </is>
      </c>
      <c r="H4551" t="n">
        <v>-2</v>
      </c>
      <c r="I4551" t="b">
        <v>0</v>
      </c>
      <c r="J4551" t="b">
        <v>1</v>
      </c>
      <c r="K4551" t="b">
        <v>0</v>
      </c>
      <c r="L4551" t="b">
        <v>0</v>
      </c>
      <c r="M4551" t="b">
        <v>1</v>
      </c>
      <c r="N4551">
        <f>IFERROR(INDEX('Company Hitlist'!$AA:$AA,MATCH(D4551,'Company Hitlist'!$A:$A,0)),)</f>
        <v/>
      </c>
      <c r="O4551">
        <f>IFERROR(INDEX('Company Hitlist'!$N:$N,MATCH(D4551,'Company Hitlist'!$A:$A,0)),)</f>
        <v/>
      </c>
      <c r="Q4551" t="inlineStr">
        <is>
          <t>todo</t>
        </is>
      </c>
    </row>
    <row r="4552">
      <c r="A4552" t="inlineStr">
        <is>
          <t>Glen Harckum</t>
        </is>
      </c>
      <c r="B4552" t="inlineStr">
        <is>
          <t>Attendee</t>
        </is>
      </c>
      <c r="C4552" t="inlineStr">
        <is>
          <t>Vice President - Business Development</t>
        </is>
      </c>
      <c r="D4552" t="inlineStr">
        <is>
          <t>US1 Network</t>
        </is>
      </c>
      <c r="E4552" t="inlineStr">
        <is>
          <t>United States</t>
        </is>
      </c>
      <c r="H4552" t="n">
        <v>-2</v>
      </c>
      <c r="I4552" t="b">
        <v>0</v>
      </c>
      <c r="J4552" t="b">
        <v>1</v>
      </c>
      <c r="K4552" t="b">
        <v>0</v>
      </c>
      <c r="L4552" t="b">
        <v>0</v>
      </c>
      <c r="M4552" t="b">
        <v>1</v>
      </c>
      <c r="N4552">
        <f>IFERROR(INDEX('Company Hitlist'!$AA:$AA,MATCH(D4552,'Company Hitlist'!$A:$A,0)),)</f>
        <v/>
      </c>
      <c r="O4552">
        <f>IFERROR(INDEX('Company Hitlist'!$N:$N,MATCH(D4552,'Company Hitlist'!$A:$A,0)),)</f>
        <v/>
      </c>
      <c r="Q4552" t="inlineStr">
        <is>
          <t>todo</t>
        </is>
      </c>
    </row>
    <row r="4553">
      <c r="A4553" t="inlineStr">
        <is>
          <t>Brian Petrie</t>
        </is>
      </c>
      <c r="B4553" t="inlineStr">
        <is>
          <t>Attendee</t>
        </is>
      </c>
      <c r="C4553" t="inlineStr">
        <is>
          <t>SVP, Sales</t>
        </is>
      </c>
      <c r="D4553" t="inlineStr">
        <is>
          <t>USA Truck</t>
        </is>
      </c>
      <c r="E4553" t="inlineStr">
        <is>
          <t>United States</t>
        </is>
      </c>
      <c r="H4553" t="n">
        <v>-2</v>
      </c>
      <c r="I4553" t="b">
        <v>0</v>
      </c>
      <c r="J4553" t="b">
        <v>1</v>
      </c>
      <c r="K4553" t="b">
        <v>0</v>
      </c>
      <c r="L4553" t="b">
        <v>0</v>
      </c>
      <c r="M4553" t="b">
        <v>1</v>
      </c>
      <c r="N4553">
        <f>IFERROR(INDEX('Company Hitlist'!$AA:$AA,MATCH(D4553,'Company Hitlist'!$A:$A,0)),)</f>
        <v/>
      </c>
      <c r="O4553">
        <f>IFERROR(INDEX('Company Hitlist'!$N:$N,MATCH(D4553,'Company Hitlist'!$A:$A,0)),)</f>
        <v/>
      </c>
      <c r="Q4553" t="inlineStr">
        <is>
          <t>todo</t>
        </is>
      </c>
    </row>
    <row r="4554">
      <c r="A4554" t="inlineStr">
        <is>
          <t>Greg Goodner</t>
        </is>
      </c>
      <c r="B4554" t="inlineStr">
        <is>
          <t>Attendee</t>
        </is>
      </c>
      <c r="C4554" t="inlineStr">
        <is>
          <t>VP, Sales</t>
        </is>
      </c>
      <c r="D4554" t="inlineStr">
        <is>
          <t>USA Truck</t>
        </is>
      </c>
      <c r="E4554" t="inlineStr">
        <is>
          <t>United States</t>
        </is>
      </c>
      <c r="H4554" t="n">
        <v>-2</v>
      </c>
      <c r="I4554" t="b">
        <v>0</v>
      </c>
      <c r="J4554" t="b">
        <v>1</v>
      </c>
      <c r="K4554" t="b">
        <v>0</v>
      </c>
      <c r="L4554" t="b">
        <v>0</v>
      </c>
      <c r="M4554" t="b">
        <v>1</v>
      </c>
      <c r="N4554">
        <f>IFERROR(INDEX('Company Hitlist'!$AA:$AA,MATCH(D4554,'Company Hitlist'!$A:$A,0)),)</f>
        <v/>
      </c>
      <c r="O4554">
        <f>IFERROR(INDEX('Company Hitlist'!$N:$N,MATCH(D4554,'Company Hitlist'!$A:$A,0)),)</f>
        <v/>
      </c>
      <c r="Q4554" t="inlineStr">
        <is>
          <t>todo</t>
        </is>
      </c>
    </row>
    <row r="4555">
      <c r="A4555" t="inlineStr">
        <is>
          <t>Ryan Bush</t>
        </is>
      </c>
      <c r="B4555" t="inlineStr">
        <is>
          <t>Attendee</t>
        </is>
      </c>
      <c r="C4555" t="inlineStr">
        <is>
          <t>VP, Business Development</t>
        </is>
      </c>
      <c r="D4555" t="inlineStr">
        <is>
          <t>USA Truck</t>
        </is>
      </c>
      <c r="E4555" t="inlineStr">
        <is>
          <t>United States</t>
        </is>
      </c>
      <c r="H4555" t="n">
        <v>-2</v>
      </c>
      <c r="I4555" t="b">
        <v>0</v>
      </c>
      <c r="J4555" t="b">
        <v>1</v>
      </c>
      <c r="K4555" t="b">
        <v>0</v>
      </c>
      <c r="L4555" t="b">
        <v>0</v>
      </c>
      <c r="M4555" t="b">
        <v>1</v>
      </c>
      <c r="N4555">
        <f>IFERROR(INDEX('Company Hitlist'!$AA:$AA,MATCH(D4555,'Company Hitlist'!$A:$A,0)),)</f>
        <v/>
      </c>
      <c r="O4555">
        <f>IFERROR(INDEX('Company Hitlist'!$N:$N,MATCH(D4555,'Company Hitlist'!$A:$A,0)),)</f>
        <v/>
      </c>
      <c r="Q4555" t="inlineStr">
        <is>
          <t>todo</t>
        </is>
      </c>
    </row>
    <row r="4556">
      <c r="A4556" t="inlineStr">
        <is>
          <t>Dylan Royal</t>
        </is>
      </c>
      <c r="B4556" t="inlineStr">
        <is>
          <t>Attendee</t>
        </is>
      </c>
      <c r="C4556" t="inlineStr">
        <is>
          <t>VP of Sales</t>
        </is>
      </c>
      <c r="D4556" t="inlineStr">
        <is>
          <t>UWL, Inc.</t>
        </is>
      </c>
      <c r="E4556" t="inlineStr">
        <is>
          <t>United States</t>
        </is>
      </c>
      <c r="H4556" t="n">
        <v>-2</v>
      </c>
      <c r="I4556" t="b">
        <v>0</v>
      </c>
      <c r="J4556" t="b">
        <v>1</v>
      </c>
      <c r="K4556" t="b">
        <v>0</v>
      </c>
      <c r="L4556" t="b">
        <v>0</v>
      </c>
      <c r="M4556" t="b">
        <v>1</v>
      </c>
      <c r="N4556">
        <f>IFERROR(INDEX('Company Hitlist'!$AA:$AA,MATCH(D4556,'Company Hitlist'!$A:$A,0)),)</f>
        <v/>
      </c>
      <c r="O4556">
        <f>IFERROR(INDEX('Company Hitlist'!$N:$N,MATCH(D4556,'Company Hitlist'!$A:$A,0)),)</f>
        <v/>
      </c>
      <c r="Q4556" t="inlineStr">
        <is>
          <t>todo</t>
        </is>
      </c>
    </row>
    <row r="4557">
      <c r="A4557" t="inlineStr">
        <is>
          <t>Robert Hagar</t>
        </is>
      </c>
      <c r="B4557" t="inlineStr">
        <is>
          <t>Attendee</t>
        </is>
      </c>
      <c r="C4557" t="inlineStr">
        <is>
          <t>Vice President Regional Sales</t>
        </is>
      </c>
      <c r="D4557" t="inlineStr">
        <is>
          <t>UWL-World Group</t>
        </is>
      </c>
      <c r="E4557" t="inlineStr">
        <is>
          <t>United States</t>
        </is>
      </c>
      <c r="H4557" t="n">
        <v>-2</v>
      </c>
      <c r="I4557" t="b">
        <v>0</v>
      </c>
      <c r="J4557" t="b">
        <v>1</v>
      </c>
      <c r="K4557" t="b">
        <v>0</v>
      </c>
      <c r="L4557" t="b">
        <v>0</v>
      </c>
      <c r="M4557" t="b">
        <v>1</v>
      </c>
      <c r="N4557">
        <f>IFERROR(INDEX('Company Hitlist'!$AA:$AA,MATCH(D4557,'Company Hitlist'!$A:$A,0)),)</f>
        <v/>
      </c>
      <c r="O4557">
        <f>IFERROR(INDEX('Company Hitlist'!$N:$N,MATCH(D4557,'Company Hitlist'!$A:$A,0)),)</f>
        <v/>
      </c>
      <c r="Q4557" t="inlineStr">
        <is>
          <t>todo</t>
        </is>
      </c>
    </row>
    <row r="4558">
      <c r="A4558" t="inlineStr">
        <is>
          <t>Brooks McMahon</t>
        </is>
      </c>
      <c r="B4558" t="inlineStr">
        <is>
          <t>Attendee</t>
        </is>
      </c>
      <c r="C4558" t="inlineStr">
        <is>
          <t>SVP, Business Development</t>
        </is>
      </c>
      <c r="D4558" t="inlineStr">
        <is>
          <t>Uber Freight</t>
        </is>
      </c>
      <c r="E4558" t="inlineStr">
        <is>
          <t>United States</t>
        </is>
      </c>
      <c r="H4558" t="n">
        <v>-2</v>
      </c>
      <c r="I4558" t="b">
        <v>0</v>
      </c>
      <c r="J4558" t="b">
        <v>1</v>
      </c>
      <c r="K4558" t="b">
        <v>0</v>
      </c>
      <c r="L4558" t="b">
        <v>0</v>
      </c>
      <c r="M4558" t="b">
        <v>1</v>
      </c>
      <c r="N4558">
        <f>IFERROR(INDEX('Company Hitlist'!$AA:$AA,MATCH(D4558,'Company Hitlist'!$A:$A,0)),)</f>
        <v/>
      </c>
      <c r="O4558">
        <f>IFERROR(INDEX('Company Hitlist'!$N:$N,MATCH(D4558,'Company Hitlist'!$A:$A,0)),)</f>
        <v/>
      </c>
      <c r="Q4558" t="inlineStr">
        <is>
          <t>todo</t>
        </is>
      </c>
    </row>
    <row r="4559">
      <c r="A4559" t="inlineStr">
        <is>
          <t>Joe Geraldi</t>
        </is>
      </c>
      <c r="B4559" t="inlineStr">
        <is>
          <t>Attendee</t>
        </is>
      </c>
      <c r="C4559" t="inlineStr">
        <is>
          <t>VP of Sales</t>
        </is>
      </c>
      <c r="D4559" t="inlineStr">
        <is>
          <t>Unis</t>
        </is>
      </c>
      <c r="E4559" t="inlineStr">
        <is>
          <t>United States</t>
        </is>
      </c>
      <c r="H4559" t="n">
        <v>-2</v>
      </c>
      <c r="I4559" t="b">
        <v>0</v>
      </c>
      <c r="J4559" t="b">
        <v>1</v>
      </c>
      <c r="K4559" t="b">
        <v>0</v>
      </c>
      <c r="L4559" t="b">
        <v>0</v>
      </c>
      <c r="M4559" t="b">
        <v>1</v>
      </c>
      <c r="N4559">
        <f>IFERROR(INDEX('Company Hitlist'!$AA:$AA,MATCH(D4559,'Company Hitlist'!$A:$A,0)),)</f>
        <v/>
      </c>
      <c r="O4559">
        <f>IFERROR(INDEX('Company Hitlist'!$N:$N,MATCH(D4559,'Company Hitlist'!$A:$A,0)),)</f>
        <v/>
      </c>
      <c r="Q4559" t="inlineStr">
        <is>
          <t>todo</t>
        </is>
      </c>
    </row>
    <row r="4560">
      <c r="A4560" t="inlineStr">
        <is>
          <t>Blaine Callister</t>
        </is>
      </c>
      <c r="B4560" t="inlineStr">
        <is>
          <t>Attendee</t>
        </is>
      </c>
      <c r="C4560" t="inlineStr">
        <is>
          <t>VP of Sales and Marketing</t>
        </is>
      </c>
      <c r="D4560" t="inlineStr">
        <is>
          <t>Updike Distribution Logistics, LLC</t>
        </is>
      </c>
      <c r="E4560" t="inlineStr">
        <is>
          <t>United States</t>
        </is>
      </c>
      <c r="F4560" t="inlineStr">
        <is>
          <t>Yes</t>
        </is>
      </c>
      <c r="H4560" t="n">
        <v>-2</v>
      </c>
      <c r="I4560" t="b">
        <v>0</v>
      </c>
      <c r="J4560" t="b">
        <v>1</v>
      </c>
      <c r="K4560" t="b">
        <v>0</v>
      </c>
      <c r="L4560" t="b">
        <v>0</v>
      </c>
      <c r="M4560" t="b">
        <v>1</v>
      </c>
      <c r="N4560">
        <f>IFERROR(INDEX('Company Hitlist'!$AA:$AA,MATCH(D4560,'Company Hitlist'!$A:$A,0)),)</f>
        <v/>
      </c>
      <c r="O4560">
        <f>IFERROR(INDEX('Company Hitlist'!$N:$N,MATCH(D4560,'Company Hitlist'!$A:$A,0)),)</f>
        <v/>
      </c>
      <c r="Q4560" t="inlineStr">
        <is>
          <t>todo</t>
        </is>
      </c>
    </row>
    <row r="4561">
      <c r="A4561" t="inlineStr">
        <is>
          <t>Dino Moler</t>
        </is>
      </c>
      <c r="B4561" t="inlineStr">
        <is>
          <t>Attendee</t>
        </is>
      </c>
      <c r="C4561" t="inlineStr">
        <is>
          <t>SVP, Business Development</t>
        </is>
      </c>
      <c r="D4561" t="inlineStr">
        <is>
          <t>Verst Logistics</t>
        </is>
      </c>
      <c r="E4561" t="inlineStr">
        <is>
          <t>United States</t>
        </is>
      </c>
      <c r="H4561" t="n">
        <v>-2</v>
      </c>
      <c r="I4561" t="b">
        <v>0</v>
      </c>
      <c r="J4561" t="b">
        <v>1</v>
      </c>
      <c r="K4561" t="b">
        <v>0</v>
      </c>
      <c r="L4561" t="b">
        <v>0</v>
      </c>
      <c r="M4561" t="b">
        <v>1</v>
      </c>
      <c r="N4561">
        <f>IFERROR(INDEX('Company Hitlist'!$AA:$AA,MATCH(D4561,'Company Hitlist'!$A:$A,0)),)</f>
        <v/>
      </c>
      <c r="O4561">
        <f>IFERROR(INDEX('Company Hitlist'!$N:$N,MATCH(D4561,'Company Hitlist'!$A:$A,0)),)</f>
        <v/>
      </c>
      <c r="Q4561" t="inlineStr">
        <is>
          <t>todo</t>
        </is>
      </c>
    </row>
    <row r="4562">
      <c r="A4562" t="inlineStr">
        <is>
          <t>Joe Shone</t>
        </is>
      </c>
      <c r="B4562" t="inlineStr">
        <is>
          <t>Attendee</t>
        </is>
      </c>
      <c r="C4562" t="inlineStr">
        <is>
          <t>Head of Shipper Sales</t>
        </is>
      </c>
      <c r="D4562" t="inlineStr">
        <is>
          <t>Waabi</t>
        </is>
      </c>
      <c r="E4562" t="inlineStr">
        <is>
          <t>United States</t>
        </is>
      </c>
      <c r="H4562" t="n">
        <v>-2</v>
      </c>
      <c r="I4562" t="b">
        <v>0</v>
      </c>
      <c r="J4562" t="b">
        <v>1</v>
      </c>
      <c r="K4562" t="b">
        <v>0</v>
      </c>
      <c r="L4562" t="b">
        <v>0</v>
      </c>
      <c r="M4562" t="b">
        <v>1</v>
      </c>
      <c r="N4562">
        <f>IFERROR(INDEX('Company Hitlist'!$AA:$AA,MATCH(D4562,'Company Hitlist'!$A:$A,0)),)</f>
        <v/>
      </c>
      <c r="O4562">
        <f>IFERROR(INDEX('Company Hitlist'!$N:$N,MATCH(D4562,'Company Hitlist'!$A:$A,0)),)</f>
        <v/>
      </c>
      <c r="Q4562" t="inlineStr">
        <is>
          <t>todo</t>
        </is>
      </c>
    </row>
    <row r="4563">
      <c r="A4563" t="inlineStr">
        <is>
          <t>Brian Gardner</t>
        </is>
      </c>
      <c r="B4563" t="inlineStr">
        <is>
          <t>Attendee</t>
        </is>
      </c>
      <c r="C4563" t="inlineStr">
        <is>
          <t>SVP, Business Development</t>
        </is>
      </c>
      <c r="D4563" t="inlineStr">
        <is>
          <t>Waites Sensor Technologies</t>
        </is>
      </c>
      <c r="E4563" t="inlineStr">
        <is>
          <t>United States</t>
        </is>
      </c>
      <c r="H4563" t="n">
        <v>-2</v>
      </c>
      <c r="I4563" t="b">
        <v>0</v>
      </c>
      <c r="J4563" t="b">
        <v>1</v>
      </c>
      <c r="K4563" t="b">
        <v>0</v>
      </c>
      <c r="L4563" t="b">
        <v>0</v>
      </c>
      <c r="M4563" t="b">
        <v>1</v>
      </c>
      <c r="N4563">
        <f>IFERROR(INDEX('Company Hitlist'!$AA:$AA,MATCH(D4563,'Company Hitlist'!$A:$A,0)),)</f>
        <v/>
      </c>
      <c r="O4563">
        <f>IFERROR(INDEX('Company Hitlist'!$N:$N,MATCH(D4563,'Company Hitlist'!$A:$A,0)),)</f>
        <v/>
      </c>
      <c r="Q4563" t="inlineStr">
        <is>
          <t>todo</t>
        </is>
      </c>
    </row>
    <row r="4564">
      <c r="A4564" t="inlineStr">
        <is>
          <t>Jim Stone</t>
        </is>
      </c>
      <c r="B4564" t="inlineStr">
        <is>
          <t>Attendee</t>
        </is>
      </c>
      <c r="C4564" t="inlineStr">
        <is>
          <t>Vice President of Business Development</t>
        </is>
      </c>
      <c r="D4564" t="inlineStr">
        <is>
          <t>Weber Logistics</t>
        </is>
      </c>
      <c r="E4564" t="inlineStr">
        <is>
          <t>United States</t>
        </is>
      </c>
      <c r="H4564" t="n">
        <v>-2</v>
      </c>
      <c r="I4564" t="b">
        <v>0</v>
      </c>
      <c r="J4564" t="b">
        <v>1</v>
      </c>
      <c r="K4564" t="b">
        <v>0</v>
      </c>
      <c r="L4564" t="b">
        <v>0</v>
      </c>
      <c r="M4564" t="b">
        <v>1</v>
      </c>
      <c r="N4564">
        <f>IFERROR(INDEX('Company Hitlist'!$AA:$AA,MATCH(D4564,'Company Hitlist'!$A:$A,0)),)</f>
        <v/>
      </c>
      <c r="O4564">
        <f>IFERROR(INDEX('Company Hitlist'!$N:$N,MATCH(D4564,'Company Hitlist'!$A:$A,0)),)</f>
        <v/>
      </c>
      <c r="Q4564" t="inlineStr">
        <is>
          <t>todo</t>
        </is>
      </c>
    </row>
    <row r="4565">
      <c r="A4565" t="inlineStr">
        <is>
          <t>Margo Waldie</t>
        </is>
      </c>
      <c r="B4565" t="inlineStr">
        <is>
          <t>Attendee</t>
        </is>
      </c>
      <c r="C4565" t="inlineStr">
        <is>
          <t>Vice President of Business Development</t>
        </is>
      </c>
      <c r="D4565" t="inlineStr">
        <is>
          <t>Weber Logistics</t>
        </is>
      </c>
      <c r="E4565" t="inlineStr">
        <is>
          <t>United States</t>
        </is>
      </c>
      <c r="H4565" t="n">
        <v>-2</v>
      </c>
      <c r="I4565" t="b">
        <v>0</v>
      </c>
      <c r="J4565" t="b">
        <v>1</v>
      </c>
      <c r="K4565" t="b">
        <v>0</v>
      </c>
      <c r="L4565" t="b">
        <v>0</v>
      </c>
      <c r="M4565" t="b">
        <v>1</v>
      </c>
      <c r="N4565">
        <f>IFERROR(INDEX('Company Hitlist'!$AA:$AA,MATCH(D4565,'Company Hitlist'!$A:$A,0)),)</f>
        <v/>
      </c>
      <c r="O4565">
        <f>IFERROR(INDEX('Company Hitlist'!$N:$N,MATCH(D4565,'Company Hitlist'!$A:$A,0)),)</f>
        <v/>
      </c>
      <c r="Q4565" t="inlineStr">
        <is>
          <t>todo</t>
        </is>
      </c>
    </row>
    <row r="4566">
      <c r="A4566" t="inlineStr">
        <is>
          <t>Adi Blecher</t>
        </is>
      </c>
      <c r="B4566" t="inlineStr">
        <is>
          <t>Attendee</t>
        </is>
      </c>
      <c r="C4566" t="inlineStr">
        <is>
          <t>VP of Marketing</t>
        </is>
      </c>
      <c r="D4566" t="inlineStr">
        <is>
          <t>Wisor.ai</t>
        </is>
      </c>
      <c r="E4566" t="inlineStr">
        <is>
          <t>Israel</t>
        </is>
      </c>
      <c r="F4566" t="inlineStr">
        <is>
          <t>Yes</t>
        </is>
      </c>
      <c r="H4566" t="n">
        <v>-2</v>
      </c>
      <c r="I4566" t="b">
        <v>0</v>
      </c>
      <c r="J4566" t="b">
        <v>1</v>
      </c>
      <c r="K4566" t="b">
        <v>0</v>
      </c>
      <c r="L4566" t="b">
        <v>0</v>
      </c>
      <c r="M4566" t="b">
        <v>1</v>
      </c>
      <c r="N4566">
        <f>IFERROR(INDEX('Company Hitlist'!$AA:$AA,MATCH(D4566,'Company Hitlist'!$A:$A,0)),)</f>
        <v/>
      </c>
      <c r="O4566">
        <f>IFERROR(INDEX('Company Hitlist'!$N:$N,MATCH(D4566,'Company Hitlist'!$A:$A,0)),)</f>
        <v/>
      </c>
      <c r="Q4566" t="inlineStr">
        <is>
          <t>todo</t>
        </is>
      </c>
    </row>
    <row r="4567">
      <c r="A4567" t="inlineStr">
        <is>
          <t>Brett Grieser</t>
        </is>
      </c>
      <c r="B4567" t="inlineStr">
        <is>
          <t>Attendee</t>
        </is>
      </c>
      <c r="C4567" t="inlineStr">
        <is>
          <t>Vice President of Sales</t>
        </is>
      </c>
      <c r="D4567" t="inlineStr">
        <is>
          <t>WorldWide Logistics</t>
        </is>
      </c>
      <c r="E4567" t="inlineStr">
        <is>
          <t>United States</t>
        </is>
      </c>
      <c r="H4567" t="n">
        <v>-2</v>
      </c>
      <c r="I4567" t="b">
        <v>0</v>
      </c>
      <c r="J4567" t="b">
        <v>1</v>
      </c>
      <c r="K4567" t="b">
        <v>0</v>
      </c>
      <c r="L4567" t="b">
        <v>0</v>
      </c>
      <c r="M4567" t="b">
        <v>1</v>
      </c>
      <c r="N4567">
        <f>IFERROR(INDEX('Company Hitlist'!$AA:$AA,MATCH(D4567,'Company Hitlist'!$A:$A,0)),)</f>
        <v/>
      </c>
      <c r="O4567">
        <f>IFERROR(INDEX('Company Hitlist'!$N:$N,MATCH(D4567,'Company Hitlist'!$A:$A,0)),)</f>
        <v/>
      </c>
      <c r="Q4567" t="inlineStr">
        <is>
          <t>todo</t>
        </is>
      </c>
    </row>
    <row r="4568">
      <c r="A4568" t="inlineStr">
        <is>
          <t>Young Oh</t>
        </is>
      </c>
      <c r="B4568" t="inlineStr">
        <is>
          <t>Attendee</t>
        </is>
      </c>
      <c r="C4568" t="inlineStr">
        <is>
          <t>Vice President of Sales</t>
        </is>
      </c>
      <c r="D4568" t="inlineStr">
        <is>
          <t>Zurich Transport LLC</t>
        </is>
      </c>
      <c r="E4568" t="inlineStr">
        <is>
          <t>United States</t>
        </is>
      </c>
      <c r="H4568" t="n">
        <v>-2</v>
      </c>
      <c r="I4568" t="b">
        <v>0</v>
      </c>
      <c r="J4568" t="b">
        <v>1</v>
      </c>
      <c r="K4568" t="b">
        <v>0</v>
      </c>
      <c r="L4568" t="b">
        <v>0</v>
      </c>
      <c r="M4568" t="b">
        <v>1</v>
      </c>
      <c r="N4568">
        <f>IFERROR(INDEX('Company Hitlist'!$AA:$AA,MATCH(D4568,'Company Hitlist'!$A:$A,0)),)</f>
        <v/>
      </c>
      <c r="O4568">
        <f>IFERROR(INDEX('Company Hitlist'!$N:$N,MATCH(D4568,'Company Hitlist'!$A:$A,0)),)</f>
        <v/>
      </c>
      <c r="Q4568" t="inlineStr">
        <is>
          <t>todo</t>
        </is>
      </c>
    </row>
    <row r="4569">
      <c r="A4569" t="inlineStr">
        <is>
          <t>Brian McGarry</t>
        </is>
      </c>
      <c r="B4569" t="inlineStr">
        <is>
          <t>Attendee</t>
        </is>
      </c>
      <c r="C4569" t="inlineStr">
        <is>
          <t>VP of Sales</t>
        </is>
      </c>
      <c r="D4569" t="inlineStr">
        <is>
          <t>a2b Fulfillment</t>
        </is>
      </c>
      <c r="E4569" t="inlineStr">
        <is>
          <t>United States</t>
        </is>
      </c>
      <c r="H4569" t="n">
        <v>-2</v>
      </c>
      <c r="I4569" t="b">
        <v>0</v>
      </c>
      <c r="J4569" t="b">
        <v>1</v>
      </c>
      <c r="K4569" t="b">
        <v>0</v>
      </c>
      <c r="L4569" t="b">
        <v>0</v>
      </c>
      <c r="M4569" t="b">
        <v>1</v>
      </c>
      <c r="N4569">
        <f>IFERROR(INDEX('Company Hitlist'!$AA:$AA,MATCH(D4569,'Company Hitlist'!$A:$A,0)),)</f>
        <v/>
      </c>
      <c r="O4569">
        <f>IFERROR(INDEX('Company Hitlist'!$N:$N,MATCH(D4569,'Company Hitlist'!$A:$A,0)),)</f>
        <v/>
      </c>
      <c r="Q4569" t="inlineStr">
        <is>
          <t>todo</t>
        </is>
      </c>
    </row>
    <row r="4570">
      <c r="A4570" t="inlineStr">
        <is>
          <t>Jerry Mensinger</t>
        </is>
      </c>
      <c r="B4570" t="inlineStr">
        <is>
          <t>Attendee</t>
        </is>
      </c>
      <c r="C4570" t="inlineStr">
        <is>
          <t>VP of Sales</t>
        </is>
      </c>
      <c r="D4570" t="inlineStr">
        <is>
          <t>driverDOC</t>
        </is>
      </c>
      <c r="E4570" t="inlineStr">
        <is>
          <t>United States</t>
        </is>
      </c>
      <c r="H4570" t="n">
        <v>-2</v>
      </c>
      <c r="I4570" t="b">
        <v>0</v>
      </c>
      <c r="J4570" t="b">
        <v>1</v>
      </c>
      <c r="K4570" t="b">
        <v>0</v>
      </c>
      <c r="L4570" t="b">
        <v>0</v>
      </c>
      <c r="M4570" t="b">
        <v>1</v>
      </c>
      <c r="N4570">
        <f>IFERROR(INDEX('Company Hitlist'!$AA:$AA,MATCH(D4570,'Company Hitlist'!$A:$A,0)),)</f>
        <v/>
      </c>
      <c r="O4570">
        <f>IFERROR(INDEX('Company Hitlist'!$N:$N,MATCH(D4570,'Company Hitlist'!$A:$A,0)),)</f>
        <v/>
      </c>
      <c r="Q4570" t="inlineStr">
        <is>
          <t>todo</t>
        </is>
      </c>
    </row>
    <row r="4571">
      <c r="A4571" t="inlineStr">
        <is>
          <t>Asher Bernstein</t>
        </is>
      </c>
      <c r="B4571" t="inlineStr">
        <is>
          <t>Attendee</t>
        </is>
      </c>
      <c r="C4571" t="inlineStr">
        <is>
          <t>SVP - Business Development</t>
        </is>
      </c>
      <c r="D4571" t="inlineStr">
        <is>
          <t>eWorld Fulfillment</t>
        </is>
      </c>
      <c r="E4571" t="inlineStr">
        <is>
          <t>United States</t>
        </is>
      </c>
      <c r="H4571" t="n">
        <v>-2</v>
      </c>
      <c r="I4571" t="b">
        <v>0</v>
      </c>
      <c r="J4571" t="b">
        <v>1</v>
      </c>
      <c r="K4571" t="b">
        <v>0</v>
      </c>
      <c r="L4571" t="b">
        <v>0</v>
      </c>
      <c r="M4571" t="b">
        <v>1</v>
      </c>
      <c r="N4571">
        <f>IFERROR(INDEX('Company Hitlist'!$AA:$AA,MATCH(D4571,'Company Hitlist'!$A:$A,0)),)</f>
        <v/>
      </c>
      <c r="O4571">
        <f>IFERROR(INDEX('Company Hitlist'!$N:$N,MATCH(D4571,'Company Hitlist'!$A:$A,0)),)</f>
        <v/>
      </c>
      <c r="Q4571" t="inlineStr">
        <is>
          <t>todo</t>
        </is>
      </c>
    </row>
    <row r="4572">
      <c r="A4572" t="inlineStr">
        <is>
          <t>Katie McCauley</t>
        </is>
      </c>
      <c r="B4572" t="inlineStr">
        <is>
          <t>Speaker</t>
        </is>
      </c>
      <c r="C4572" t="inlineStr">
        <is>
          <t>Senior Manager, Marketing</t>
        </is>
      </c>
      <c r="D4572" t="inlineStr">
        <is>
          <t>SnapFulfil</t>
        </is>
      </c>
      <c r="E4572" t="inlineStr">
        <is>
          <t>United States</t>
        </is>
      </c>
      <c r="H4572" t="n">
        <v>-5</v>
      </c>
      <c r="I4572" t="b">
        <v>0</v>
      </c>
      <c r="J4572" t="b">
        <v>0</v>
      </c>
      <c r="K4572" t="b">
        <v>0</v>
      </c>
      <c r="L4572" t="b">
        <v>0</v>
      </c>
      <c r="M4572" t="b">
        <v>1</v>
      </c>
      <c r="N4572">
        <f>IFERROR(INDEX('Company Hitlist'!$AA:$AA,MATCH(D4572,'Company Hitlist'!$A:$A,0)),)</f>
        <v/>
      </c>
      <c r="O4572">
        <f>IFERROR(INDEX('Company Hitlist'!$N:$N,MATCH(D4572,'Company Hitlist'!$A:$A,0)),)</f>
        <v/>
      </c>
      <c r="Q4572" t="inlineStr">
        <is>
          <t>todo</t>
        </is>
      </c>
    </row>
    <row r="4573">
      <c r="A4573" t="inlineStr">
        <is>
          <t>Craig Ginsberg</t>
        </is>
      </c>
      <c r="B4573" t="inlineStr">
        <is>
          <t>Speaker</t>
        </is>
      </c>
      <c r="C4573" t="inlineStr">
        <is>
          <t>Director Strategic Alliances</t>
        </is>
      </c>
      <c r="D4573" t="inlineStr">
        <is>
          <t>Upstream Security</t>
        </is>
      </c>
      <c r="H4573" t="n">
        <v>-5</v>
      </c>
      <c r="I4573" t="b">
        <v>0</v>
      </c>
      <c r="J4573" t="b">
        <v>0</v>
      </c>
      <c r="K4573" t="b">
        <v>0</v>
      </c>
      <c r="L4573" t="b">
        <v>0</v>
      </c>
      <c r="M4573" t="b">
        <v>1</v>
      </c>
      <c r="N4573">
        <f>IFERROR(INDEX('Company Hitlist'!$AA:$AA,MATCH(D4573,'Company Hitlist'!$A:$A,0)),)</f>
        <v/>
      </c>
      <c r="O4573">
        <f>IFERROR(INDEX('Company Hitlist'!$N:$N,MATCH(D4573,'Company Hitlist'!$A:$A,0)),)</f>
        <v/>
      </c>
      <c r="Q4573" t="inlineStr">
        <is>
          <t>todo</t>
        </is>
      </c>
    </row>
    <row r="4574">
      <c r="A4574" t="inlineStr">
        <is>
          <t>Stacey Adams</t>
        </is>
      </c>
      <c r="B4574" t="inlineStr">
        <is>
          <t>Sponsor</t>
        </is>
      </c>
      <c r="C4574" t="inlineStr">
        <is>
          <t>Director of Marketing</t>
        </is>
      </c>
      <c r="D4574" t="inlineStr">
        <is>
          <t>3C Software</t>
        </is>
      </c>
      <c r="F4574" t="inlineStr">
        <is>
          <t>Yes</t>
        </is>
      </c>
      <c r="H4574" t="n">
        <v>-6</v>
      </c>
      <c r="I4574" t="b">
        <v>0</v>
      </c>
      <c r="J4574" t="b">
        <v>0</v>
      </c>
      <c r="K4574" t="b">
        <v>0</v>
      </c>
      <c r="L4574" t="b">
        <v>0</v>
      </c>
      <c r="M4574" t="b">
        <v>1</v>
      </c>
      <c r="N4574">
        <f>IFERROR(INDEX('Company Hitlist'!$AA:$AA,MATCH(D4574,'Company Hitlist'!$A:$A,0)),)</f>
        <v/>
      </c>
      <c r="O4574">
        <f>IFERROR(INDEX('Company Hitlist'!$N:$N,MATCH(D4574,'Company Hitlist'!$A:$A,0)),)</f>
        <v/>
      </c>
      <c r="Q4574" t="inlineStr">
        <is>
          <t>todo</t>
        </is>
      </c>
    </row>
    <row r="4575">
      <c r="A4575" t="inlineStr">
        <is>
          <t>Reema Chakravorty</t>
        </is>
      </c>
      <c r="B4575" t="inlineStr">
        <is>
          <t>Sponsor</t>
        </is>
      </c>
      <c r="C4575" t="inlineStr">
        <is>
          <t>Account Executive - Profitability Solutions</t>
        </is>
      </c>
      <c r="D4575" t="inlineStr">
        <is>
          <t>3C Software</t>
        </is>
      </c>
      <c r="E4575" t="inlineStr">
        <is>
          <t>United States</t>
        </is>
      </c>
      <c r="H4575" t="n">
        <v>-6</v>
      </c>
      <c r="I4575" t="b">
        <v>0</v>
      </c>
      <c r="J4575" t="b">
        <v>0</v>
      </c>
      <c r="K4575" t="b">
        <v>0</v>
      </c>
      <c r="L4575" t="b">
        <v>0</v>
      </c>
      <c r="M4575" t="b">
        <v>1</v>
      </c>
      <c r="N4575">
        <f>IFERROR(INDEX('Company Hitlist'!$AA:$AA,MATCH(D4575,'Company Hitlist'!$A:$A,0)),)</f>
        <v/>
      </c>
      <c r="O4575">
        <f>IFERROR(INDEX('Company Hitlist'!$N:$N,MATCH(D4575,'Company Hitlist'!$A:$A,0)),)</f>
        <v/>
      </c>
      <c r="Q4575" t="inlineStr">
        <is>
          <t>todo</t>
        </is>
      </c>
    </row>
    <row r="4576">
      <c r="A4576" t="inlineStr">
        <is>
          <t>Igor Bartel</t>
        </is>
      </c>
      <c r="B4576" t="inlineStr">
        <is>
          <t>Sponsor</t>
        </is>
      </c>
      <c r="C4576" t="inlineStr">
        <is>
          <t>Director of Sales</t>
        </is>
      </c>
      <c r="D4576" t="inlineStr">
        <is>
          <t>4flow</t>
        </is>
      </c>
      <c r="E4576" t="inlineStr">
        <is>
          <t>United States</t>
        </is>
      </c>
      <c r="H4576" t="n">
        <v>-6</v>
      </c>
      <c r="I4576" t="b">
        <v>0</v>
      </c>
      <c r="J4576" t="b">
        <v>0</v>
      </c>
      <c r="K4576" t="b">
        <v>0</v>
      </c>
      <c r="L4576" t="b">
        <v>0</v>
      </c>
      <c r="M4576" t="b">
        <v>1</v>
      </c>
      <c r="N4576">
        <f>IFERROR(INDEX('Company Hitlist'!$AA:$AA,MATCH(D4576,'Company Hitlist'!$A:$A,0)),)</f>
        <v/>
      </c>
      <c r="O4576">
        <f>IFERROR(INDEX('Company Hitlist'!$N:$N,MATCH(D4576,'Company Hitlist'!$A:$A,0)),)</f>
        <v/>
      </c>
      <c r="Q4576" t="inlineStr">
        <is>
          <t>todo</t>
        </is>
      </c>
    </row>
    <row r="4577">
      <c r="A4577" t="inlineStr">
        <is>
          <t>Will (Guillermo) Chang</t>
        </is>
      </c>
      <c r="B4577" t="inlineStr">
        <is>
          <t>Sponsor</t>
        </is>
      </c>
      <c r="C4577" t="inlineStr">
        <is>
          <t>Enterprise Account Executive</t>
        </is>
      </c>
      <c r="D4577" t="inlineStr">
        <is>
          <t>AIMMS</t>
        </is>
      </c>
      <c r="H4577" t="n">
        <v>-6</v>
      </c>
      <c r="I4577" t="b">
        <v>0</v>
      </c>
      <c r="J4577" t="b">
        <v>0</v>
      </c>
      <c r="K4577" t="b">
        <v>0</v>
      </c>
      <c r="L4577" t="b">
        <v>0</v>
      </c>
      <c r="M4577" t="b">
        <v>1</v>
      </c>
      <c r="N4577">
        <f>IFERROR(INDEX('Company Hitlist'!$AA:$AA,MATCH(D4577,'Company Hitlist'!$A:$A,0)),)</f>
        <v/>
      </c>
      <c r="O4577">
        <f>IFERROR(INDEX('Company Hitlist'!$N:$N,MATCH(D4577,'Company Hitlist'!$A:$A,0)),)</f>
        <v/>
      </c>
      <c r="Q4577" t="inlineStr">
        <is>
          <t>todo</t>
        </is>
      </c>
    </row>
    <row r="4578">
      <c r="A4578" t="inlineStr">
        <is>
          <t>Andria Browne</t>
        </is>
      </c>
      <c r="B4578" t="inlineStr">
        <is>
          <t>Sponsor</t>
        </is>
      </c>
      <c r="C4578" t="inlineStr">
        <is>
          <t>Director of Marketing and Sales Enablement</t>
        </is>
      </c>
      <c r="D4578" t="inlineStr">
        <is>
          <t>APC Postal Logistics</t>
        </is>
      </c>
      <c r="E4578" t="inlineStr">
        <is>
          <t>United States</t>
        </is>
      </c>
      <c r="F4578" t="inlineStr">
        <is>
          <t>Yes</t>
        </is>
      </c>
      <c r="G4578" t="inlineStr">
        <is>
          <t>$29.4M</t>
        </is>
      </c>
      <c r="H4578" t="n">
        <v>-6</v>
      </c>
      <c r="I4578" t="b">
        <v>0</v>
      </c>
      <c r="J4578" t="b">
        <v>0</v>
      </c>
      <c r="K4578" t="b">
        <v>0</v>
      </c>
      <c r="L4578" t="b">
        <v>0</v>
      </c>
      <c r="M4578" t="b">
        <v>1</v>
      </c>
      <c r="N4578">
        <f>IFERROR(INDEX('Company Hitlist'!$AA:$AA,MATCH(D4578,'Company Hitlist'!$A:$A,0)),)</f>
        <v/>
      </c>
      <c r="O4578">
        <f>IFERROR(INDEX('Company Hitlist'!$N:$N,MATCH(D4578,'Company Hitlist'!$A:$A,0)),)</f>
        <v/>
      </c>
      <c r="Q4578" t="inlineStr">
        <is>
          <t>todo</t>
        </is>
      </c>
    </row>
    <row r="4579">
      <c r="A4579" t="inlineStr">
        <is>
          <t>Justin Raghoo</t>
        </is>
      </c>
      <c r="B4579" t="inlineStr">
        <is>
          <t>Sponsor</t>
        </is>
      </c>
      <c r="C4579" t="inlineStr">
        <is>
          <t>Business Development Representative</t>
        </is>
      </c>
      <c r="D4579" t="inlineStr">
        <is>
          <t>APC Postal Logistics</t>
        </is>
      </c>
      <c r="E4579" t="inlineStr">
        <is>
          <t>United States</t>
        </is>
      </c>
      <c r="H4579" t="n">
        <v>-6</v>
      </c>
      <c r="I4579" t="b">
        <v>0</v>
      </c>
      <c r="J4579" t="b">
        <v>0</v>
      </c>
      <c r="K4579" t="b">
        <v>0</v>
      </c>
      <c r="L4579" t="b">
        <v>0</v>
      </c>
      <c r="M4579" t="b">
        <v>1</v>
      </c>
      <c r="N4579">
        <f>IFERROR(INDEX('Company Hitlist'!$AA:$AA,MATCH(D4579,'Company Hitlist'!$A:$A,0)),)</f>
        <v/>
      </c>
      <c r="O4579">
        <f>IFERROR(INDEX('Company Hitlist'!$N:$N,MATCH(D4579,'Company Hitlist'!$A:$A,0)),)</f>
        <v/>
      </c>
      <c r="Q4579" t="inlineStr">
        <is>
          <t>todo</t>
        </is>
      </c>
    </row>
    <row r="4580">
      <c r="A4580" t="inlineStr">
        <is>
          <t>Parker LeBaron</t>
        </is>
      </c>
      <c r="B4580" t="inlineStr">
        <is>
          <t>Sponsor</t>
        </is>
      </c>
      <c r="C4580" t="inlineStr">
        <is>
          <t>Business Development Manager</t>
        </is>
      </c>
      <c r="D4580" t="inlineStr">
        <is>
          <t>APC Postal Logistics</t>
        </is>
      </c>
      <c r="E4580" t="inlineStr">
        <is>
          <t>United States</t>
        </is>
      </c>
      <c r="H4580" t="n">
        <v>-6</v>
      </c>
      <c r="I4580" t="b">
        <v>0</v>
      </c>
      <c r="J4580" t="b">
        <v>0</v>
      </c>
      <c r="K4580" t="b">
        <v>0</v>
      </c>
      <c r="L4580" t="b">
        <v>0</v>
      </c>
      <c r="M4580" t="b">
        <v>1</v>
      </c>
      <c r="N4580">
        <f>IFERROR(INDEX('Company Hitlist'!$AA:$AA,MATCH(D4580,'Company Hitlist'!$A:$A,0)),)</f>
        <v/>
      </c>
      <c r="O4580">
        <f>IFERROR(INDEX('Company Hitlist'!$N:$N,MATCH(D4580,'Company Hitlist'!$A:$A,0)),)</f>
        <v/>
      </c>
      <c r="Q4580" t="inlineStr">
        <is>
          <t>todo</t>
        </is>
      </c>
    </row>
    <row r="4581">
      <c r="A4581" t="inlineStr">
        <is>
          <t>Jim Hendy</t>
        </is>
      </c>
      <c r="B4581" t="inlineStr">
        <is>
          <t>Sponsor</t>
        </is>
      </c>
      <c r="C4581" t="inlineStr">
        <is>
          <t>Senior Advisor, Business Development</t>
        </is>
      </c>
      <c r="D4581" t="inlineStr">
        <is>
          <t>APL Logistics</t>
        </is>
      </c>
      <c r="E4581" t="inlineStr">
        <is>
          <t>United States</t>
        </is>
      </c>
      <c r="H4581" t="n">
        <v>-6</v>
      </c>
      <c r="I4581" t="b">
        <v>0</v>
      </c>
      <c r="J4581" t="b">
        <v>0</v>
      </c>
      <c r="K4581" t="b">
        <v>0</v>
      </c>
      <c r="L4581" t="b">
        <v>0</v>
      </c>
      <c r="M4581" t="b">
        <v>1</v>
      </c>
      <c r="N4581">
        <f>IFERROR(INDEX('Company Hitlist'!$AA:$AA,MATCH(D4581,'Company Hitlist'!$A:$A,0)),)</f>
        <v/>
      </c>
      <c r="O4581">
        <f>IFERROR(INDEX('Company Hitlist'!$N:$N,MATCH(D4581,'Company Hitlist'!$A:$A,0)),)</f>
        <v/>
      </c>
      <c r="Q4581" t="inlineStr">
        <is>
          <t>todo</t>
        </is>
      </c>
    </row>
    <row r="4582">
      <c r="A4582" t="inlineStr">
        <is>
          <t>Kristen Kemp</t>
        </is>
      </c>
      <c r="B4582" t="inlineStr">
        <is>
          <t>Sponsor</t>
        </is>
      </c>
      <c r="C4582" t="inlineStr">
        <is>
          <t>Senior Advisor, Business Development</t>
        </is>
      </c>
      <c r="D4582" t="inlineStr">
        <is>
          <t>APL Logistics</t>
        </is>
      </c>
      <c r="H4582" t="n">
        <v>-6</v>
      </c>
      <c r="I4582" t="b">
        <v>0</v>
      </c>
      <c r="J4582" t="b">
        <v>0</v>
      </c>
      <c r="K4582" t="b">
        <v>0</v>
      </c>
      <c r="L4582" t="b">
        <v>0</v>
      </c>
      <c r="M4582" t="b">
        <v>1</v>
      </c>
      <c r="N4582">
        <f>IFERROR(INDEX('Company Hitlist'!$AA:$AA,MATCH(D4582,'Company Hitlist'!$A:$A,0)),)</f>
        <v/>
      </c>
      <c r="O4582">
        <f>IFERROR(INDEX('Company Hitlist'!$N:$N,MATCH(D4582,'Company Hitlist'!$A:$A,0)),)</f>
        <v/>
      </c>
      <c r="Q4582" t="inlineStr">
        <is>
          <t>todo</t>
        </is>
      </c>
    </row>
    <row r="4583">
      <c r="A4583" t="inlineStr">
        <is>
          <t>Garrett Moedl</t>
        </is>
      </c>
      <c r="B4583" t="inlineStr">
        <is>
          <t>Sponsor</t>
        </is>
      </c>
      <c r="C4583" t="inlineStr">
        <is>
          <t>Product Marketing</t>
        </is>
      </c>
      <c r="D4583" t="inlineStr">
        <is>
          <t>Adopt AI</t>
        </is>
      </c>
      <c r="F4583" t="inlineStr">
        <is>
          <t>Yes</t>
        </is>
      </c>
      <c r="H4583" t="n">
        <v>-6</v>
      </c>
      <c r="I4583" t="b">
        <v>0</v>
      </c>
      <c r="J4583" t="b">
        <v>0</v>
      </c>
      <c r="K4583" t="b">
        <v>0</v>
      </c>
      <c r="L4583" t="b">
        <v>0</v>
      </c>
      <c r="M4583" t="b">
        <v>1</v>
      </c>
      <c r="N4583">
        <f>IFERROR(INDEX('Company Hitlist'!$AA:$AA,MATCH(D4583,'Company Hitlist'!$A:$A,0)),)</f>
        <v/>
      </c>
      <c r="O4583">
        <f>IFERROR(INDEX('Company Hitlist'!$N:$N,MATCH(D4583,'Company Hitlist'!$A:$A,0)),)</f>
        <v/>
      </c>
      <c r="Q4583" t="inlineStr">
        <is>
          <t>todo</t>
        </is>
      </c>
    </row>
    <row r="4584">
      <c r="A4584" t="inlineStr">
        <is>
          <t>Madison Blood</t>
        </is>
      </c>
      <c r="B4584" t="inlineStr">
        <is>
          <t>Sponsor</t>
        </is>
      </c>
      <c r="C4584" t="inlineStr">
        <is>
          <t>Enterprise Account Executive</t>
        </is>
      </c>
      <c r="D4584" t="inlineStr">
        <is>
          <t>Alvys</t>
        </is>
      </c>
      <c r="E4584" t="inlineStr">
        <is>
          <t>United States</t>
        </is>
      </c>
      <c r="H4584" t="n">
        <v>-6</v>
      </c>
      <c r="I4584" t="b">
        <v>0</v>
      </c>
      <c r="J4584" t="b">
        <v>0</v>
      </c>
      <c r="K4584" t="b">
        <v>0</v>
      </c>
      <c r="L4584" t="b">
        <v>0</v>
      </c>
      <c r="M4584" t="b">
        <v>1</v>
      </c>
      <c r="N4584">
        <f>IFERROR(INDEX('Company Hitlist'!$AA:$AA,MATCH(D4584,'Company Hitlist'!$A:$A,0)),)</f>
        <v/>
      </c>
      <c r="O4584">
        <f>IFERROR(INDEX('Company Hitlist'!$N:$N,MATCH(D4584,'Company Hitlist'!$A:$A,0)),)</f>
        <v/>
      </c>
      <c r="Q4584" t="inlineStr">
        <is>
          <t>todo</t>
        </is>
      </c>
    </row>
    <row r="4585">
      <c r="A4585" t="inlineStr">
        <is>
          <t>Jim Endres</t>
        </is>
      </c>
      <c r="B4585" t="inlineStr">
        <is>
          <t>Sponsor</t>
        </is>
      </c>
      <c r="C4585" t="inlineStr">
        <is>
          <t>Director of Sales - TMS</t>
        </is>
      </c>
      <c r="D4585" t="inlineStr">
        <is>
          <t>Aptean Supply Chain</t>
        </is>
      </c>
      <c r="H4585" t="n">
        <v>-6</v>
      </c>
      <c r="I4585" t="b">
        <v>0</v>
      </c>
      <c r="J4585" t="b">
        <v>0</v>
      </c>
      <c r="K4585" t="b">
        <v>0</v>
      </c>
      <c r="L4585" t="b">
        <v>0</v>
      </c>
      <c r="M4585" t="b">
        <v>1</v>
      </c>
      <c r="N4585">
        <f>IFERROR(INDEX('Company Hitlist'!$AA:$AA,MATCH(D4585,'Company Hitlist'!$A:$A,0)),)</f>
        <v/>
      </c>
      <c r="O4585">
        <f>IFERROR(INDEX('Company Hitlist'!$N:$N,MATCH(D4585,'Company Hitlist'!$A:$A,0)),)</f>
        <v/>
      </c>
      <c r="Q4585" t="inlineStr">
        <is>
          <t>todo</t>
        </is>
      </c>
    </row>
    <row r="4586">
      <c r="A4586" t="inlineStr">
        <is>
          <t>Julie Scheiner</t>
        </is>
      </c>
      <c r="B4586" t="inlineStr">
        <is>
          <t>Sponsor</t>
        </is>
      </c>
      <c r="C4586" t="inlineStr">
        <is>
          <t>Director of Business Development</t>
        </is>
      </c>
      <c r="D4586" t="inlineStr">
        <is>
          <t>Aptean Supply Chain</t>
        </is>
      </c>
      <c r="H4586" t="n">
        <v>-6</v>
      </c>
      <c r="I4586" t="b">
        <v>0</v>
      </c>
      <c r="J4586" t="b">
        <v>0</v>
      </c>
      <c r="K4586" t="b">
        <v>0</v>
      </c>
      <c r="L4586" t="b">
        <v>0</v>
      </c>
      <c r="M4586" t="b">
        <v>1</v>
      </c>
      <c r="N4586">
        <f>IFERROR(INDEX('Company Hitlist'!$AA:$AA,MATCH(D4586,'Company Hitlist'!$A:$A,0)),)</f>
        <v/>
      </c>
      <c r="O4586">
        <f>IFERROR(INDEX('Company Hitlist'!$N:$N,MATCH(D4586,'Company Hitlist'!$A:$A,0)),)</f>
        <v/>
      </c>
      <c r="Q4586" t="inlineStr">
        <is>
          <t>todo</t>
        </is>
      </c>
    </row>
    <row r="4587">
      <c r="A4587" t="inlineStr">
        <is>
          <t>Grant Banks</t>
        </is>
      </c>
      <c r="B4587" t="inlineStr">
        <is>
          <t>Sponsor</t>
        </is>
      </c>
      <c r="C4587" t="inlineStr">
        <is>
          <t>Vaux Sales Director</t>
        </is>
      </c>
      <c r="D4587" t="inlineStr">
        <is>
          <t>ArcBest</t>
        </is>
      </c>
      <c r="H4587" t="n">
        <v>-6</v>
      </c>
      <c r="I4587" t="b">
        <v>0</v>
      </c>
      <c r="J4587" t="b">
        <v>0</v>
      </c>
      <c r="K4587" t="b">
        <v>0</v>
      </c>
      <c r="L4587" t="b">
        <v>0</v>
      </c>
      <c r="M4587" t="b">
        <v>1</v>
      </c>
      <c r="N4587">
        <f>IFERROR(INDEX('Company Hitlist'!$AA:$AA,MATCH(D4587,'Company Hitlist'!$A:$A,0)),)</f>
        <v/>
      </c>
      <c r="O4587">
        <f>IFERROR(INDEX('Company Hitlist'!$N:$N,MATCH(D4587,'Company Hitlist'!$A:$A,0)),)</f>
        <v/>
      </c>
      <c r="Q4587" t="inlineStr">
        <is>
          <t>todo</t>
        </is>
      </c>
    </row>
    <row r="4588">
      <c r="A4588" t="inlineStr">
        <is>
          <t>Scott David</t>
        </is>
      </c>
      <c r="B4588" t="inlineStr">
        <is>
          <t>Sponsor</t>
        </is>
      </c>
      <c r="C4588" t="inlineStr">
        <is>
          <t>Senior Manager, Customer Success</t>
        </is>
      </c>
      <c r="D4588" t="inlineStr">
        <is>
          <t>ArcBest</t>
        </is>
      </c>
      <c r="E4588" t="inlineStr">
        <is>
          <t>United States</t>
        </is>
      </c>
      <c r="H4588" t="n">
        <v>-6</v>
      </c>
      <c r="I4588" t="b">
        <v>0</v>
      </c>
      <c r="J4588" t="b">
        <v>0</v>
      </c>
      <c r="K4588" t="b">
        <v>0</v>
      </c>
      <c r="L4588" t="b">
        <v>0</v>
      </c>
      <c r="M4588" t="b">
        <v>1</v>
      </c>
      <c r="N4588">
        <f>IFERROR(INDEX('Company Hitlist'!$AA:$AA,MATCH(D4588,'Company Hitlist'!$A:$A,0)),)</f>
        <v/>
      </c>
      <c r="O4588">
        <f>IFERROR(INDEX('Company Hitlist'!$N:$N,MATCH(D4588,'Company Hitlist'!$A:$A,0)),)</f>
        <v/>
      </c>
      <c r="Q4588" t="inlineStr">
        <is>
          <t>todo</t>
        </is>
      </c>
    </row>
    <row r="4589">
      <c r="A4589" t="inlineStr">
        <is>
          <t>Brian Wells</t>
        </is>
      </c>
      <c r="B4589" t="inlineStr">
        <is>
          <t>Sponsor</t>
        </is>
      </c>
      <c r="C4589" t="inlineStr">
        <is>
          <t>Senior Account Executive</t>
        </is>
      </c>
      <c r="D4589" t="inlineStr">
        <is>
          <t>Arkestro</t>
        </is>
      </c>
      <c r="E4589" t="inlineStr">
        <is>
          <t>United States</t>
        </is>
      </c>
      <c r="H4589" t="n">
        <v>-6</v>
      </c>
      <c r="I4589" t="b">
        <v>0</v>
      </c>
      <c r="J4589" t="b">
        <v>0</v>
      </c>
      <c r="K4589" t="b">
        <v>0</v>
      </c>
      <c r="L4589" t="b">
        <v>0</v>
      </c>
      <c r="M4589" t="b">
        <v>1</v>
      </c>
      <c r="N4589">
        <f>IFERROR(INDEX('Company Hitlist'!$AA:$AA,MATCH(D4589,'Company Hitlist'!$A:$A,0)),)</f>
        <v/>
      </c>
      <c r="O4589">
        <f>IFERROR(INDEX('Company Hitlist'!$N:$N,MATCH(D4589,'Company Hitlist'!$A:$A,0)),)</f>
        <v/>
      </c>
      <c r="Q4589" t="inlineStr">
        <is>
          <t>todo</t>
        </is>
      </c>
    </row>
    <row r="4590">
      <c r="A4590" t="inlineStr">
        <is>
          <t>Sharvon Hales</t>
        </is>
      </c>
      <c r="B4590" t="inlineStr">
        <is>
          <t>Sponsor</t>
        </is>
      </c>
      <c r="C4590" t="inlineStr">
        <is>
          <t>Creative Marketing &amp; Sales Support Specialist</t>
        </is>
      </c>
      <c r="D4590" t="inlineStr">
        <is>
          <t>Asendia USA</t>
        </is>
      </c>
      <c r="E4590" t="inlineStr">
        <is>
          <t>United States</t>
        </is>
      </c>
      <c r="F4590" t="inlineStr">
        <is>
          <t>Yes</t>
        </is>
      </c>
      <c r="H4590" t="n">
        <v>-6</v>
      </c>
      <c r="I4590" t="b">
        <v>0</v>
      </c>
      <c r="J4590" t="b">
        <v>0</v>
      </c>
      <c r="K4590" t="b">
        <v>0</v>
      </c>
      <c r="L4590" t="b">
        <v>0</v>
      </c>
      <c r="M4590" t="b">
        <v>1</v>
      </c>
      <c r="N4590">
        <f>IFERROR(INDEX('Company Hitlist'!$AA:$AA,MATCH(D4590,'Company Hitlist'!$A:$A,0)),)</f>
        <v/>
      </c>
      <c r="O4590">
        <f>IFERROR(INDEX('Company Hitlist'!$N:$N,MATCH(D4590,'Company Hitlist'!$A:$A,0)),)</f>
        <v/>
      </c>
      <c r="Q4590" t="inlineStr">
        <is>
          <t>todo</t>
        </is>
      </c>
    </row>
    <row r="4591">
      <c r="A4591" t="inlineStr">
        <is>
          <t>Joe Amalfitano</t>
        </is>
      </c>
      <c r="B4591" t="inlineStr">
        <is>
          <t>Sponsor</t>
        </is>
      </c>
      <c r="C4591" t="inlineStr">
        <is>
          <t>Director, Enterprise Sales</t>
        </is>
      </c>
      <c r="D4591" t="inlineStr">
        <is>
          <t>Asendia USA</t>
        </is>
      </c>
      <c r="E4591" t="inlineStr">
        <is>
          <t>United States</t>
        </is>
      </c>
      <c r="H4591" t="n">
        <v>-6</v>
      </c>
      <c r="I4591" t="b">
        <v>0</v>
      </c>
      <c r="J4591" t="b">
        <v>0</v>
      </c>
      <c r="K4591" t="b">
        <v>0</v>
      </c>
      <c r="L4591" t="b">
        <v>0</v>
      </c>
      <c r="M4591" t="b">
        <v>1</v>
      </c>
      <c r="N4591">
        <f>IFERROR(INDEX('Company Hitlist'!$AA:$AA,MATCH(D4591,'Company Hitlist'!$A:$A,0)),)</f>
        <v/>
      </c>
      <c r="O4591">
        <f>IFERROR(INDEX('Company Hitlist'!$N:$N,MATCH(D4591,'Company Hitlist'!$A:$A,0)),)</f>
        <v/>
      </c>
      <c r="Q4591" t="inlineStr">
        <is>
          <t>todo</t>
        </is>
      </c>
    </row>
    <row r="4592">
      <c r="A4592" t="inlineStr">
        <is>
          <t>Nick Agnetti</t>
        </is>
      </c>
      <c r="B4592" t="inlineStr">
        <is>
          <t>Sponsor</t>
        </is>
      </c>
      <c r="C4592" t="inlineStr">
        <is>
          <t>Director, Enterprise Sales</t>
        </is>
      </c>
      <c r="D4592" t="inlineStr">
        <is>
          <t>Asendia USA</t>
        </is>
      </c>
      <c r="E4592" t="inlineStr">
        <is>
          <t>United States</t>
        </is>
      </c>
      <c r="H4592" t="n">
        <v>-6</v>
      </c>
      <c r="I4592" t="b">
        <v>0</v>
      </c>
      <c r="J4592" t="b">
        <v>0</v>
      </c>
      <c r="K4592" t="b">
        <v>0</v>
      </c>
      <c r="L4592" t="b">
        <v>0</v>
      </c>
      <c r="M4592" t="b">
        <v>1</v>
      </c>
      <c r="N4592">
        <f>IFERROR(INDEX('Company Hitlist'!$AA:$AA,MATCH(D4592,'Company Hitlist'!$A:$A,0)),)</f>
        <v/>
      </c>
      <c r="O4592">
        <f>IFERROR(INDEX('Company Hitlist'!$N:$N,MATCH(D4592,'Company Hitlist'!$A:$A,0)),)</f>
        <v/>
      </c>
      <c r="Q4592" t="inlineStr">
        <is>
          <t>todo</t>
        </is>
      </c>
    </row>
    <row r="4593">
      <c r="A4593" t="inlineStr">
        <is>
          <t>Scott Johnson</t>
        </is>
      </c>
      <c r="B4593" t="inlineStr">
        <is>
          <t>Sponsor</t>
        </is>
      </c>
      <c r="C4593" t="inlineStr">
        <is>
          <t>National Account Executive</t>
        </is>
      </c>
      <c r="D4593" t="inlineStr">
        <is>
          <t>Asendia USA</t>
        </is>
      </c>
      <c r="H4593" t="n">
        <v>-6</v>
      </c>
      <c r="I4593" t="b">
        <v>0</v>
      </c>
      <c r="J4593" t="b">
        <v>0</v>
      </c>
      <c r="K4593" t="b">
        <v>0</v>
      </c>
      <c r="L4593" t="b">
        <v>0</v>
      </c>
      <c r="M4593" t="b">
        <v>1</v>
      </c>
      <c r="N4593">
        <f>IFERROR(INDEX('Company Hitlist'!$AA:$AA,MATCH(D4593,'Company Hitlist'!$A:$A,0)),)</f>
        <v/>
      </c>
      <c r="O4593">
        <f>IFERROR(INDEX('Company Hitlist'!$N:$N,MATCH(D4593,'Company Hitlist'!$A:$A,0)),)</f>
        <v/>
      </c>
      <c r="Q4593" t="inlineStr">
        <is>
          <t>todo</t>
        </is>
      </c>
    </row>
    <row r="4594">
      <c r="A4594" t="inlineStr">
        <is>
          <t>Eileen Brennan</t>
        </is>
      </c>
      <c r="B4594" t="inlineStr">
        <is>
          <t>Sponsor</t>
        </is>
      </c>
      <c r="C4594" t="inlineStr">
        <is>
          <t>Digital Marketing Manager</t>
        </is>
      </c>
      <c r="D4594" t="inlineStr">
        <is>
          <t>Asendia USA</t>
        </is>
      </c>
      <c r="E4594" t="inlineStr">
        <is>
          <t>United States</t>
        </is>
      </c>
      <c r="H4594" t="n">
        <v>-6</v>
      </c>
      <c r="I4594" t="b">
        <v>0</v>
      </c>
      <c r="J4594" t="b">
        <v>0</v>
      </c>
      <c r="K4594" t="b">
        <v>0</v>
      </c>
      <c r="L4594" t="b">
        <v>0</v>
      </c>
      <c r="M4594" t="b">
        <v>1</v>
      </c>
      <c r="N4594">
        <f>IFERROR(INDEX('Company Hitlist'!$AA:$AA,MATCH(D4594,'Company Hitlist'!$A:$A,0)),)</f>
        <v/>
      </c>
      <c r="O4594">
        <f>IFERROR(INDEX('Company Hitlist'!$N:$N,MATCH(D4594,'Company Hitlist'!$A:$A,0)),)</f>
        <v/>
      </c>
      <c r="Q4594" t="inlineStr">
        <is>
          <t>todo</t>
        </is>
      </c>
    </row>
    <row r="4595">
      <c r="A4595" t="inlineStr">
        <is>
          <t>Chris Nicolson</t>
        </is>
      </c>
      <c r="B4595" t="inlineStr">
        <is>
          <t>Sponsor</t>
        </is>
      </c>
      <c r="C4595" t="inlineStr">
        <is>
          <t>Business Development Lead</t>
        </is>
      </c>
      <c r="D4595" t="inlineStr">
        <is>
          <t>AtoB</t>
        </is>
      </c>
      <c r="E4595" t="inlineStr">
        <is>
          <t>Canada</t>
        </is>
      </c>
      <c r="H4595" t="n">
        <v>-6</v>
      </c>
      <c r="I4595" t="b">
        <v>0</v>
      </c>
      <c r="J4595" t="b">
        <v>0</v>
      </c>
      <c r="K4595" t="b">
        <v>0</v>
      </c>
      <c r="L4595" t="b">
        <v>0</v>
      </c>
      <c r="M4595" t="b">
        <v>1</v>
      </c>
      <c r="N4595">
        <f>IFERROR(INDEX('Company Hitlist'!$AA:$AA,MATCH(D4595,'Company Hitlist'!$A:$A,0)),)</f>
        <v/>
      </c>
      <c r="O4595">
        <f>IFERROR(INDEX('Company Hitlist'!$N:$N,MATCH(D4595,'Company Hitlist'!$A:$A,0)),)</f>
        <v/>
      </c>
      <c r="Q4595" t="inlineStr">
        <is>
          <t>todo</t>
        </is>
      </c>
    </row>
    <row r="4596">
      <c r="A4596" t="inlineStr">
        <is>
          <t>Andrew Mintz</t>
        </is>
      </c>
      <c r="B4596" t="inlineStr">
        <is>
          <t>Sponsor</t>
        </is>
      </c>
      <c r="C4596" t="inlineStr">
        <is>
          <t>Enterprise Sales Leader</t>
        </is>
      </c>
      <c r="D4596" t="inlineStr">
        <is>
          <t>Augment</t>
        </is>
      </c>
      <c r="E4596" t="inlineStr">
        <is>
          <t>United States</t>
        </is>
      </c>
      <c r="H4596" t="n">
        <v>-6</v>
      </c>
      <c r="I4596" t="b">
        <v>0</v>
      </c>
      <c r="J4596" t="b">
        <v>0</v>
      </c>
      <c r="K4596" t="b">
        <v>0</v>
      </c>
      <c r="L4596" t="b">
        <v>0</v>
      </c>
      <c r="M4596" t="b">
        <v>1</v>
      </c>
      <c r="N4596">
        <f>IFERROR(INDEX('Company Hitlist'!$AA:$AA,MATCH(D4596,'Company Hitlist'!$A:$A,0)),)</f>
        <v/>
      </c>
      <c r="O4596">
        <f>IFERROR(INDEX('Company Hitlist'!$N:$N,MATCH(D4596,'Company Hitlist'!$A:$A,0)),)</f>
        <v/>
      </c>
      <c r="Q4596" t="inlineStr">
        <is>
          <t>todo</t>
        </is>
      </c>
    </row>
    <row r="4597">
      <c r="A4597" t="inlineStr">
        <is>
          <t>Ben Oldham</t>
        </is>
      </c>
      <c r="B4597" t="inlineStr">
        <is>
          <t>Sponsor</t>
        </is>
      </c>
      <c r="C4597" t="inlineStr">
        <is>
          <t>Enterprise Sales Leader</t>
        </is>
      </c>
      <c r="D4597" t="inlineStr">
        <is>
          <t>Augment</t>
        </is>
      </c>
      <c r="E4597" t="inlineStr">
        <is>
          <t>United States</t>
        </is>
      </c>
      <c r="H4597" t="n">
        <v>-6</v>
      </c>
      <c r="I4597" t="b">
        <v>0</v>
      </c>
      <c r="J4597" t="b">
        <v>0</v>
      </c>
      <c r="K4597" t="b">
        <v>0</v>
      </c>
      <c r="L4597" t="b">
        <v>0</v>
      </c>
      <c r="M4597" t="b">
        <v>1</v>
      </c>
      <c r="N4597">
        <f>IFERROR(INDEX('Company Hitlist'!$AA:$AA,MATCH(D4597,'Company Hitlist'!$A:$A,0)),)</f>
        <v/>
      </c>
      <c r="O4597">
        <f>IFERROR(INDEX('Company Hitlist'!$N:$N,MATCH(D4597,'Company Hitlist'!$A:$A,0)),)</f>
        <v/>
      </c>
      <c r="Q4597" t="inlineStr">
        <is>
          <t>todo</t>
        </is>
      </c>
    </row>
    <row r="4598">
      <c r="A4598" t="inlineStr">
        <is>
          <t>Cody West</t>
        </is>
      </c>
      <c r="B4598" t="inlineStr">
        <is>
          <t>Sponsor</t>
        </is>
      </c>
      <c r="C4598" t="inlineStr">
        <is>
          <t>Senior Enterprise Account Executive</t>
        </is>
      </c>
      <c r="D4598" t="inlineStr">
        <is>
          <t>Augment</t>
        </is>
      </c>
      <c r="E4598" t="inlineStr">
        <is>
          <t>United States</t>
        </is>
      </c>
      <c r="H4598" t="n">
        <v>-6</v>
      </c>
      <c r="I4598" t="b">
        <v>0</v>
      </c>
      <c r="J4598" t="b">
        <v>0</v>
      </c>
      <c r="K4598" t="b">
        <v>0</v>
      </c>
      <c r="L4598" t="b">
        <v>0</v>
      </c>
      <c r="M4598" t="b">
        <v>1</v>
      </c>
      <c r="N4598">
        <f>IFERROR(INDEX('Company Hitlist'!$AA:$AA,MATCH(D4598,'Company Hitlist'!$A:$A,0)),)</f>
        <v/>
      </c>
      <c r="O4598">
        <f>IFERROR(INDEX('Company Hitlist'!$N:$N,MATCH(D4598,'Company Hitlist'!$A:$A,0)),)</f>
        <v/>
      </c>
      <c r="Q4598" t="inlineStr">
        <is>
          <t>todo</t>
        </is>
      </c>
    </row>
    <row r="4599">
      <c r="A4599" t="inlineStr">
        <is>
          <t>Amelia Charamand-Quelas</t>
        </is>
      </c>
      <c r="B4599" t="inlineStr">
        <is>
          <t>Sponsor</t>
        </is>
      </c>
      <c r="C4599" t="inlineStr">
        <is>
          <t>Business Development Associate II, Enterprise Accounts</t>
        </is>
      </c>
      <c r="D4599" t="inlineStr">
        <is>
          <t>Aurora</t>
        </is>
      </c>
      <c r="E4599" t="inlineStr">
        <is>
          <t>United States</t>
        </is>
      </c>
      <c r="H4599" t="n">
        <v>-6</v>
      </c>
      <c r="I4599" t="b">
        <v>0</v>
      </c>
      <c r="J4599" t="b">
        <v>0</v>
      </c>
      <c r="K4599" t="b">
        <v>0</v>
      </c>
      <c r="L4599" t="b">
        <v>0</v>
      </c>
      <c r="M4599" t="b">
        <v>1</v>
      </c>
      <c r="N4599">
        <f>IFERROR(INDEX('Company Hitlist'!$AA:$AA,MATCH(D4599,'Company Hitlist'!$A:$A,0)),)</f>
        <v/>
      </c>
      <c r="O4599">
        <f>IFERROR(INDEX('Company Hitlist'!$N:$N,MATCH(D4599,'Company Hitlist'!$A:$A,0)),)</f>
        <v/>
      </c>
      <c r="Q4599" t="inlineStr">
        <is>
          <t>todo</t>
        </is>
      </c>
    </row>
    <row r="4600">
      <c r="A4600" t="inlineStr">
        <is>
          <t>Saransh Bhutada</t>
        </is>
      </c>
      <c r="B4600" t="inlineStr">
        <is>
          <t>Sponsor</t>
        </is>
      </c>
      <c r="C4600" t="inlineStr">
        <is>
          <t>Customer Lifecycle Marketing</t>
        </is>
      </c>
      <c r="D4600" t="inlineStr">
        <is>
          <t>Aurora</t>
        </is>
      </c>
      <c r="E4600" t="inlineStr">
        <is>
          <t>United States</t>
        </is>
      </c>
      <c r="H4600" t="n">
        <v>-6</v>
      </c>
      <c r="I4600" t="b">
        <v>0</v>
      </c>
      <c r="J4600" t="b">
        <v>0</v>
      </c>
      <c r="K4600" t="b">
        <v>0</v>
      </c>
      <c r="L4600" t="b">
        <v>0</v>
      </c>
      <c r="M4600" t="b">
        <v>1</v>
      </c>
      <c r="N4600">
        <f>IFERROR(INDEX('Company Hitlist'!$AA:$AA,MATCH(D4600,'Company Hitlist'!$A:$A,0)),)</f>
        <v/>
      </c>
      <c r="O4600">
        <f>IFERROR(INDEX('Company Hitlist'!$N:$N,MATCH(D4600,'Company Hitlist'!$A:$A,0)),)</f>
        <v/>
      </c>
      <c r="Q4600" t="inlineStr">
        <is>
          <t>todo</t>
        </is>
      </c>
    </row>
    <row r="4601">
      <c r="A4601" t="inlineStr">
        <is>
          <t>Sam Robinson</t>
        </is>
      </c>
      <c r="B4601" t="inlineStr">
        <is>
          <t>Sponsor</t>
        </is>
      </c>
      <c r="C4601" t="inlineStr">
        <is>
          <t>Sales Manager</t>
        </is>
      </c>
      <c r="D4601" t="inlineStr">
        <is>
          <t>Aurora</t>
        </is>
      </c>
      <c r="H4601" t="n">
        <v>-6</v>
      </c>
      <c r="I4601" t="b">
        <v>0</v>
      </c>
      <c r="J4601" t="b">
        <v>0</v>
      </c>
      <c r="K4601" t="b">
        <v>0</v>
      </c>
      <c r="L4601" t="b">
        <v>0</v>
      </c>
      <c r="M4601" t="b">
        <v>1</v>
      </c>
      <c r="N4601">
        <f>IFERROR(INDEX('Company Hitlist'!$AA:$AA,MATCH(D4601,'Company Hitlist'!$A:$A,0)),)</f>
        <v/>
      </c>
      <c r="O4601">
        <f>IFERROR(INDEX('Company Hitlist'!$N:$N,MATCH(D4601,'Company Hitlist'!$A:$A,0)),)</f>
        <v/>
      </c>
      <c r="Q4601" t="inlineStr">
        <is>
          <t>todo</t>
        </is>
      </c>
    </row>
    <row r="4602">
      <c r="A4602" t="inlineStr">
        <is>
          <t>Jon Kuhlmann</t>
        </is>
      </c>
      <c r="B4602" t="inlineStr">
        <is>
          <t>Sponsor</t>
        </is>
      </c>
      <c r="C4602" t="inlineStr">
        <is>
          <t>Cross Border Sales Executive</t>
        </is>
      </c>
      <c r="D4602" t="inlineStr">
        <is>
          <t>Avalara</t>
        </is>
      </c>
      <c r="E4602" t="inlineStr">
        <is>
          <t>United States</t>
        </is>
      </c>
      <c r="H4602" t="n">
        <v>-6</v>
      </c>
      <c r="I4602" t="b">
        <v>0</v>
      </c>
      <c r="J4602" t="b">
        <v>0</v>
      </c>
      <c r="K4602" t="b">
        <v>0</v>
      </c>
      <c r="L4602" t="b">
        <v>0</v>
      </c>
      <c r="M4602" t="b">
        <v>1</v>
      </c>
      <c r="N4602">
        <f>IFERROR(INDEX('Company Hitlist'!$AA:$AA,MATCH(D4602,'Company Hitlist'!$A:$A,0)),)</f>
        <v/>
      </c>
      <c r="O4602">
        <f>IFERROR(INDEX('Company Hitlist'!$N:$N,MATCH(D4602,'Company Hitlist'!$A:$A,0)),)</f>
        <v/>
      </c>
      <c r="Q4602" t="inlineStr">
        <is>
          <t>todo</t>
        </is>
      </c>
    </row>
    <row r="4603">
      <c r="A4603" t="inlineStr">
        <is>
          <t>Marty Taffet</t>
        </is>
      </c>
      <c r="B4603" t="inlineStr">
        <is>
          <t>Sponsor</t>
        </is>
      </c>
      <c r="C4603" t="inlineStr">
        <is>
          <t>Sr Business Development Manager</t>
        </is>
      </c>
      <c r="D4603" t="inlineStr">
        <is>
          <t>Avalara</t>
        </is>
      </c>
      <c r="E4603" t="inlineStr">
        <is>
          <t>United States</t>
        </is>
      </c>
      <c r="H4603" t="n">
        <v>-6</v>
      </c>
      <c r="I4603" t="b">
        <v>0</v>
      </c>
      <c r="J4603" t="b">
        <v>0</v>
      </c>
      <c r="K4603" t="b">
        <v>0</v>
      </c>
      <c r="L4603" t="b">
        <v>0</v>
      </c>
      <c r="M4603" t="b">
        <v>1</v>
      </c>
      <c r="N4603">
        <f>IFERROR(INDEX('Company Hitlist'!$AA:$AA,MATCH(D4603,'Company Hitlist'!$A:$A,0)),)</f>
        <v/>
      </c>
      <c r="O4603">
        <f>IFERROR(INDEX('Company Hitlist'!$N:$N,MATCH(D4603,'Company Hitlist'!$A:$A,0)),)</f>
        <v/>
      </c>
      <c r="Q4603" t="inlineStr">
        <is>
          <t>todo</t>
        </is>
      </c>
    </row>
    <row r="4604">
      <c r="A4604" t="inlineStr">
        <is>
          <t>Eric Rothe</t>
        </is>
      </c>
      <c r="B4604" t="inlineStr">
        <is>
          <t>Sponsor</t>
        </is>
      </c>
      <c r="C4604" t="inlineStr">
        <is>
          <t>Enterprise Account Executive</t>
        </is>
      </c>
      <c r="D4604" t="inlineStr">
        <is>
          <t>Aviro360</t>
        </is>
      </c>
      <c r="E4604" t="inlineStr">
        <is>
          <t>United States</t>
        </is>
      </c>
      <c r="H4604" t="n">
        <v>-6</v>
      </c>
      <c r="I4604" t="b">
        <v>0</v>
      </c>
      <c r="J4604" t="b">
        <v>0</v>
      </c>
      <c r="K4604" t="b">
        <v>0</v>
      </c>
      <c r="L4604" t="b">
        <v>0</v>
      </c>
      <c r="M4604" t="b">
        <v>1</v>
      </c>
      <c r="N4604">
        <f>IFERROR(INDEX('Company Hitlist'!$AA:$AA,MATCH(D4604,'Company Hitlist'!$A:$A,0)),)</f>
        <v/>
      </c>
      <c r="O4604">
        <f>IFERROR(INDEX('Company Hitlist'!$N:$N,MATCH(D4604,'Company Hitlist'!$A:$A,0)),)</f>
        <v/>
      </c>
      <c r="Q4604" t="inlineStr">
        <is>
          <t>todo</t>
        </is>
      </c>
    </row>
    <row r="4605">
      <c r="A4605" t="inlineStr">
        <is>
          <t>Max Krevitz</t>
        </is>
      </c>
      <c r="B4605" t="inlineStr">
        <is>
          <t>Sponsor</t>
        </is>
      </c>
      <c r="C4605" t="inlineStr">
        <is>
          <t>Enterprise Account Executive</t>
        </is>
      </c>
      <c r="D4605" t="inlineStr">
        <is>
          <t>Aviro360</t>
        </is>
      </c>
      <c r="E4605" t="inlineStr">
        <is>
          <t>United States</t>
        </is>
      </c>
      <c r="H4605" t="n">
        <v>-6</v>
      </c>
      <c r="I4605" t="b">
        <v>0</v>
      </c>
      <c r="J4605" t="b">
        <v>0</v>
      </c>
      <c r="K4605" t="b">
        <v>0</v>
      </c>
      <c r="L4605" t="b">
        <v>0</v>
      </c>
      <c r="M4605" t="b">
        <v>1</v>
      </c>
      <c r="N4605">
        <f>IFERROR(INDEX('Company Hitlist'!$AA:$AA,MATCH(D4605,'Company Hitlist'!$A:$A,0)),)</f>
        <v/>
      </c>
      <c r="O4605">
        <f>IFERROR(INDEX('Company Hitlist'!$N:$N,MATCH(D4605,'Company Hitlist'!$A:$A,0)),)</f>
        <v/>
      </c>
      <c r="Q4605" t="inlineStr">
        <is>
          <t>todo</t>
        </is>
      </c>
    </row>
    <row r="4606">
      <c r="A4606" t="inlineStr">
        <is>
          <t>Shelly Kraning</t>
        </is>
      </c>
      <c r="B4606" t="inlineStr">
        <is>
          <t>Sponsor</t>
        </is>
      </c>
      <c r="C4606" t="inlineStr">
        <is>
          <t>Director, Business Development</t>
        </is>
      </c>
      <c r="D4606" t="inlineStr">
        <is>
          <t>Aviro360</t>
        </is>
      </c>
      <c r="E4606" t="inlineStr">
        <is>
          <t>United States</t>
        </is>
      </c>
      <c r="H4606" t="n">
        <v>-6</v>
      </c>
      <c r="I4606" t="b">
        <v>0</v>
      </c>
      <c r="J4606" t="b">
        <v>0</v>
      </c>
      <c r="K4606" t="b">
        <v>0</v>
      </c>
      <c r="L4606" t="b">
        <v>0</v>
      </c>
      <c r="M4606" t="b">
        <v>1</v>
      </c>
      <c r="N4606">
        <f>IFERROR(INDEX('Company Hitlist'!$AA:$AA,MATCH(D4606,'Company Hitlist'!$A:$A,0)),)</f>
        <v/>
      </c>
      <c r="O4606">
        <f>IFERROR(INDEX('Company Hitlist'!$N:$N,MATCH(D4606,'Company Hitlist'!$A:$A,0)),)</f>
        <v/>
      </c>
      <c r="Q4606" t="inlineStr">
        <is>
          <t>todo</t>
        </is>
      </c>
    </row>
    <row r="4607">
      <c r="A4607" t="inlineStr">
        <is>
          <t>Miguel Ferreira</t>
        </is>
      </c>
      <c r="B4607" t="inlineStr">
        <is>
          <t>Sponsor</t>
        </is>
      </c>
      <c r="C4607" t="inlineStr">
        <is>
          <t>Sales Manager</t>
        </is>
      </c>
      <c r="D4607" t="inlineStr">
        <is>
          <t>BEUMER Group</t>
        </is>
      </c>
      <c r="E4607" t="inlineStr">
        <is>
          <t>United States</t>
        </is>
      </c>
      <c r="H4607" t="n">
        <v>-6</v>
      </c>
      <c r="I4607" t="b">
        <v>0</v>
      </c>
      <c r="J4607" t="b">
        <v>0</v>
      </c>
      <c r="K4607" t="b">
        <v>0</v>
      </c>
      <c r="L4607" t="b">
        <v>0</v>
      </c>
      <c r="M4607" t="b">
        <v>1</v>
      </c>
      <c r="N4607">
        <f>IFERROR(INDEX('Company Hitlist'!$AA:$AA,MATCH(D4607,'Company Hitlist'!$A:$A,0)),)</f>
        <v/>
      </c>
      <c r="O4607">
        <f>IFERROR(INDEX('Company Hitlist'!$N:$N,MATCH(D4607,'Company Hitlist'!$A:$A,0)),)</f>
        <v/>
      </c>
      <c r="Q4607" t="inlineStr">
        <is>
          <t>todo</t>
        </is>
      </c>
    </row>
    <row r="4608">
      <c r="A4608" t="inlineStr">
        <is>
          <t>Megan Wolf</t>
        </is>
      </c>
      <c r="B4608" t="inlineStr">
        <is>
          <t>Sponsor</t>
        </is>
      </c>
      <c r="C4608" t="inlineStr">
        <is>
          <t>Business Development Manager</t>
        </is>
      </c>
      <c r="D4608" t="inlineStr">
        <is>
          <t>BEUMER Group</t>
        </is>
      </c>
      <c r="E4608" t="inlineStr">
        <is>
          <t>United States</t>
        </is>
      </c>
      <c r="H4608" t="n">
        <v>-6</v>
      </c>
      <c r="I4608" t="b">
        <v>0</v>
      </c>
      <c r="J4608" t="b">
        <v>0</v>
      </c>
      <c r="K4608" t="b">
        <v>0</v>
      </c>
      <c r="L4608" t="b">
        <v>0</v>
      </c>
      <c r="M4608" t="b">
        <v>1</v>
      </c>
      <c r="N4608">
        <f>IFERROR(INDEX('Company Hitlist'!$AA:$AA,MATCH(D4608,'Company Hitlist'!$A:$A,0)),)</f>
        <v/>
      </c>
      <c r="O4608">
        <f>IFERROR(INDEX('Company Hitlist'!$N:$N,MATCH(D4608,'Company Hitlist'!$A:$A,0)),)</f>
        <v/>
      </c>
      <c r="Q4608" t="inlineStr">
        <is>
          <t>todo</t>
        </is>
      </c>
    </row>
    <row r="4609">
      <c r="A4609" t="inlineStr">
        <is>
          <t>Ryan Sykora</t>
        </is>
      </c>
      <c r="B4609" t="inlineStr">
        <is>
          <t>Sponsor</t>
        </is>
      </c>
      <c r="C4609" t="inlineStr">
        <is>
          <t>Account Executive</t>
        </is>
      </c>
      <c r="D4609" t="inlineStr">
        <is>
          <t>BackOps AI</t>
        </is>
      </c>
      <c r="E4609" t="inlineStr">
        <is>
          <t>United States</t>
        </is>
      </c>
      <c r="H4609" t="n">
        <v>-6</v>
      </c>
      <c r="I4609" t="b">
        <v>0</v>
      </c>
      <c r="J4609" t="b">
        <v>0</v>
      </c>
      <c r="K4609" t="b">
        <v>0</v>
      </c>
      <c r="L4609" t="b">
        <v>0</v>
      </c>
      <c r="M4609" t="b">
        <v>1</v>
      </c>
      <c r="N4609">
        <f>IFERROR(INDEX('Company Hitlist'!$AA:$AA,MATCH(D4609,'Company Hitlist'!$A:$A,0)),)</f>
        <v/>
      </c>
      <c r="O4609">
        <f>IFERROR(INDEX('Company Hitlist'!$N:$N,MATCH(D4609,'Company Hitlist'!$A:$A,0)),)</f>
        <v/>
      </c>
      <c r="Q4609" t="inlineStr">
        <is>
          <t>todo</t>
        </is>
      </c>
    </row>
    <row r="4610">
      <c r="A4610" t="inlineStr">
        <is>
          <t>Dennis Chan</t>
        </is>
      </c>
      <c r="B4610" t="inlineStr">
        <is>
          <t>Sponsor</t>
        </is>
      </c>
      <c r="C4610" t="inlineStr">
        <is>
          <t>Sr. Account Executive</t>
        </is>
      </c>
      <c r="D4610" t="inlineStr">
        <is>
          <t>Bamboo Rose</t>
        </is>
      </c>
      <c r="E4610" t="inlineStr">
        <is>
          <t>United States</t>
        </is>
      </c>
      <c r="H4610" t="n">
        <v>-6</v>
      </c>
      <c r="I4610" t="b">
        <v>0</v>
      </c>
      <c r="J4610" t="b">
        <v>0</v>
      </c>
      <c r="K4610" t="b">
        <v>0</v>
      </c>
      <c r="L4610" t="b">
        <v>0</v>
      </c>
      <c r="M4610" t="b">
        <v>1</v>
      </c>
      <c r="N4610">
        <f>IFERROR(INDEX('Company Hitlist'!$AA:$AA,MATCH(D4610,'Company Hitlist'!$A:$A,0)),)</f>
        <v/>
      </c>
      <c r="O4610">
        <f>IFERROR(INDEX('Company Hitlist'!$N:$N,MATCH(D4610,'Company Hitlist'!$A:$A,0)),)</f>
        <v/>
      </c>
      <c r="Q4610" t="inlineStr">
        <is>
          <t>todo</t>
        </is>
      </c>
    </row>
    <row r="4611">
      <c r="A4611" t="inlineStr">
        <is>
          <t>Emil Soehnlen</t>
        </is>
      </c>
      <c r="B4611" t="inlineStr">
        <is>
          <t>Sponsor</t>
        </is>
      </c>
      <c r="C4611" t="inlineStr">
        <is>
          <t>Sales Representative</t>
        </is>
      </c>
      <c r="D4611" t="inlineStr">
        <is>
          <t>Banyan Technology</t>
        </is>
      </c>
      <c r="E4611" t="inlineStr">
        <is>
          <t>United States</t>
        </is>
      </c>
      <c r="H4611" t="n">
        <v>-6</v>
      </c>
      <c r="I4611" t="b">
        <v>0</v>
      </c>
      <c r="J4611" t="b">
        <v>0</v>
      </c>
      <c r="K4611" t="b">
        <v>0</v>
      </c>
      <c r="L4611" t="b">
        <v>0</v>
      </c>
      <c r="M4611" t="b">
        <v>1</v>
      </c>
      <c r="N4611">
        <f>IFERROR(INDEX('Company Hitlist'!$AA:$AA,MATCH(D4611,'Company Hitlist'!$A:$A,0)),)</f>
        <v/>
      </c>
      <c r="O4611">
        <f>IFERROR(INDEX('Company Hitlist'!$N:$N,MATCH(D4611,'Company Hitlist'!$A:$A,0)),)</f>
        <v/>
      </c>
      <c r="Q4611" t="inlineStr">
        <is>
          <t>todo</t>
        </is>
      </c>
    </row>
    <row r="4612">
      <c r="A4612" t="inlineStr">
        <is>
          <t>Alex Rigot</t>
        </is>
      </c>
      <c r="B4612" t="inlineStr">
        <is>
          <t>Sponsor</t>
        </is>
      </c>
      <c r="C4612" t="inlineStr">
        <is>
          <t>Director of Sales</t>
        </is>
      </c>
      <c r="D4612" t="inlineStr">
        <is>
          <t>Banyan Technology</t>
        </is>
      </c>
      <c r="H4612" t="n">
        <v>-6</v>
      </c>
      <c r="I4612" t="b">
        <v>0</v>
      </c>
      <c r="J4612" t="b">
        <v>0</v>
      </c>
      <c r="K4612" t="b">
        <v>0</v>
      </c>
      <c r="L4612" t="b">
        <v>0</v>
      </c>
      <c r="M4612" t="b">
        <v>1</v>
      </c>
      <c r="N4612">
        <f>IFERROR(INDEX('Company Hitlist'!$AA:$AA,MATCH(D4612,'Company Hitlist'!$A:$A,0)),)</f>
        <v/>
      </c>
      <c r="O4612">
        <f>IFERROR(INDEX('Company Hitlist'!$N:$N,MATCH(D4612,'Company Hitlist'!$A:$A,0)),)</f>
        <v/>
      </c>
      <c r="Q4612" t="inlineStr">
        <is>
          <t>todo</t>
        </is>
      </c>
    </row>
    <row r="4613">
      <c r="A4613" t="inlineStr">
        <is>
          <t>Jovanni Cruz</t>
        </is>
      </c>
      <c r="B4613" t="inlineStr">
        <is>
          <t>Sponsor</t>
        </is>
      </c>
      <c r="C4613" t="inlineStr">
        <is>
          <t>Sales Director</t>
        </is>
      </c>
      <c r="D4613" t="inlineStr">
        <is>
          <t>Banyan Technology</t>
        </is>
      </c>
      <c r="H4613" t="n">
        <v>-6</v>
      </c>
      <c r="I4613" t="b">
        <v>0</v>
      </c>
      <c r="J4613" t="b">
        <v>0</v>
      </c>
      <c r="K4613" t="b">
        <v>0</v>
      </c>
      <c r="L4613" t="b">
        <v>0</v>
      </c>
      <c r="M4613" t="b">
        <v>1</v>
      </c>
      <c r="N4613">
        <f>IFERROR(INDEX('Company Hitlist'!$AA:$AA,MATCH(D4613,'Company Hitlist'!$A:$A,0)),)</f>
        <v/>
      </c>
      <c r="O4613">
        <f>IFERROR(INDEX('Company Hitlist'!$N:$N,MATCH(D4613,'Company Hitlist'!$A:$A,0)),)</f>
        <v/>
      </c>
      <c r="Q4613" t="inlineStr">
        <is>
          <t>todo</t>
        </is>
      </c>
    </row>
    <row r="4614">
      <c r="A4614" t="inlineStr">
        <is>
          <t>Megan Greenwalt</t>
        </is>
      </c>
      <c r="B4614" t="inlineStr">
        <is>
          <t>Sponsor</t>
        </is>
      </c>
      <c r="C4614" t="inlineStr">
        <is>
          <t>Manager, Integrated Marketing Communications</t>
        </is>
      </c>
      <c r="D4614" t="inlineStr">
        <is>
          <t>Banyan Technology</t>
        </is>
      </c>
      <c r="E4614" t="inlineStr">
        <is>
          <t>United States</t>
        </is>
      </c>
      <c r="H4614" t="n">
        <v>-6</v>
      </c>
      <c r="I4614" t="b">
        <v>0</v>
      </c>
      <c r="J4614" t="b">
        <v>0</v>
      </c>
      <c r="K4614" t="b">
        <v>0</v>
      </c>
      <c r="L4614" t="b">
        <v>0</v>
      </c>
      <c r="M4614" t="b">
        <v>1</v>
      </c>
      <c r="N4614">
        <f>IFERROR(INDEX('Company Hitlist'!$AA:$AA,MATCH(D4614,'Company Hitlist'!$A:$A,0)),)</f>
        <v/>
      </c>
      <c r="O4614">
        <f>IFERROR(INDEX('Company Hitlist'!$N:$N,MATCH(D4614,'Company Hitlist'!$A:$A,0)),)</f>
        <v/>
      </c>
      <c r="Q4614" t="inlineStr">
        <is>
          <t>todo</t>
        </is>
      </c>
    </row>
    <row r="4615">
      <c r="A4615" t="inlineStr">
        <is>
          <t>Jon Housknecht</t>
        </is>
      </c>
      <c r="B4615" t="inlineStr">
        <is>
          <t>Sponsor</t>
        </is>
      </c>
      <c r="C4615" t="inlineStr">
        <is>
          <t>Senior Sales Manager</t>
        </is>
      </c>
      <c r="D4615" t="inlineStr">
        <is>
          <t>BlackBerry Radar</t>
        </is>
      </c>
      <c r="E4615" t="inlineStr">
        <is>
          <t>Canada</t>
        </is>
      </c>
      <c r="H4615" t="n">
        <v>-6</v>
      </c>
      <c r="I4615" t="b">
        <v>0</v>
      </c>
      <c r="J4615" t="b">
        <v>0</v>
      </c>
      <c r="K4615" t="b">
        <v>0</v>
      </c>
      <c r="L4615" t="b">
        <v>0</v>
      </c>
      <c r="M4615" t="b">
        <v>1</v>
      </c>
      <c r="N4615">
        <f>IFERROR(INDEX('Company Hitlist'!$AA:$AA,MATCH(D4615,'Company Hitlist'!$A:$A,0)),)</f>
        <v/>
      </c>
      <c r="O4615">
        <f>IFERROR(INDEX('Company Hitlist'!$N:$N,MATCH(D4615,'Company Hitlist'!$A:$A,0)),)</f>
        <v/>
      </c>
      <c r="Q4615" t="inlineStr">
        <is>
          <t>todo</t>
        </is>
      </c>
    </row>
    <row r="4616">
      <c r="A4616" t="inlineStr">
        <is>
          <t>Kelley Dean Overton</t>
        </is>
      </c>
      <c r="B4616" t="inlineStr">
        <is>
          <t>Sponsor</t>
        </is>
      </c>
      <c r="C4616" t="inlineStr">
        <is>
          <t>Senior Sales Manager</t>
        </is>
      </c>
      <c r="D4616" t="inlineStr">
        <is>
          <t>BlackBerry Radar</t>
        </is>
      </c>
      <c r="E4616" t="inlineStr">
        <is>
          <t>Canada</t>
        </is>
      </c>
      <c r="H4616" t="n">
        <v>-6</v>
      </c>
      <c r="I4616" t="b">
        <v>0</v>
      </c>
      <c r="J4616" t="b">
        <v>0</v>
      </c>
      <c r="K4616" t="b">
        <v>0</v>
      </c>
      <c r="L4616" t="b">
        <v>0</v>
      </c>
      <c r="M4616" t="b">
        <v>1</v>
      </c>
      <c r="N4616">
        <f>IFERROR(INDEX('Company Hitlist'!$AA:$AA,MATCH(D4616,'Company Hitlist'!$A:$A,0)),)</f>
        <v/>
      </c>
      <c r="O4616">
        <f>IFERROR(INDEX('Company Hitlist'!$N:$N,MATCH(D4616,'Company Hitlist'!$A:$A,0)),)</f>
        <v/>
      </c>
      <c r="Q4616" t="inlineStr">
        <is>
          <t>todo</t>
        </is>
      </c>
    </row>
    <row r="4617">
      <c r="A4617" t="inlineStr">
        <is>
          <t>William Hunter</t>
        </is>
      </c>
      <c r="B4617" t="inlineStr">
        <is>
          <t>Sponsor</t>
        </is>
      </c>
      <c r="C4617" t="inlineStr">
        <is>
          <t>Senior Sales Manager</t>
        </is>
      </c>
      <c r="D4617" t="inlineStr">
        <is>
          <t>BlackBerry Radar</t>
        </is>
      </c>
      <c r="E4617" t="inlineStr">
        <is>
          <t>United States</t>
        </is>
      </c>
      <c r="H4617" t="n">
        <v>-6</v>
      </c>
      <c r="I4617" t="b">
        <v>0</v>
      </c>
      <c r="J4617" t="b">
        <v>0</v>
      </c>
      <c r="K4617" t="b">
        <v>0</v>
      </c>
      <c r="L4617" t="b">
        <v>0</v>
      </c>
      <c r="M4617" t="b">
        <v>1</v>
      </c>
      <c r="N4617">
        <f>IFERROR(INDEX('Company Hitlist'!$AA:$AA,MATCH(D4617,'Company Hitlist'!$A:$A,0)),)</f>
        <v/>
      </c>
      <c r="O4617">
        <f>IFERROR(INDEX('Company Hitlist'!$N:$N,MATCH(D4617,'Company Hitlist'!$A:$A,0)),)</f>
        <v/>
      </c>
      <c r="Q4617" t="inlineStr">
        <is>
          <t>todo</t>
        </is>
      </c>
    </row>
    <row r="4618">
      <c r="A4618" t="inlineStr">
        <is>
          <t>Jared Mostoller</t>
        </is>
      </c>
      <c r="B4618" t="inlineStr">
        <is>
          <t>Sponsor</t>
        </is>
      </c>
      <c r="C4618" t="inlineStr">
        <is>
          <t>Field Marketing Manager</t>
        </is>
      </c>
      <c r="D4618" t="inlineStr">
        <is>
          <t>Blue Yonder, Inc.</t>
        </is>
      </c>
      <c r="E4618" t="inlineStr">
        <is>
          <t>United States</t>
        </is>
      </c>
      <c r="H4618" t="n">
        <v>-6</v>
      </c>
      <c r="I4618" t="b">
        <v>0</v>
      </c>
      <c r="J4618" t="b">
        <v>0</v>
      </c>
      <c r="K4618" t="b">
        <v>0</v>
      </c>
      <c r="L4618" t="b">
        <v>0</v>
      </c>
      <c r="M4618" t="b">
        <v>1</v>
      </c>
      <c r="N4618">
        <f>IFERROR(INDEX('Company Hitlist'!$AA:$AA,MATCH(D4618,'Company Hitlist'!$A:$A,0)),)</f>
        <v/>
      </c>
      <c r="O4618">
        <f>IFERROR(INDEX('Company Hitlist'!$N:$N,MATCH(D4618,'Company Hitlist'!$A:$A,0)),)</f>
        <v/>
      </c>
      <c r="Q4618" t="inlineStr">
        <is>
          <t>todo</t>
        </is>
      </c>
    </row>
    <row r="4619">
      <c r="A4619" t="inlineStr">
        <is>
          <t>Jason Lau</t>
        </is>
      </c>
      <c r="B4619" t="inlineStr">
        <is>
          <t>Sponsor</t>
        </is>
      </c>
      <c r="C4619" t="inlineStr">
        <is>
          <t>Director of Business Development</t>
        </is>
      </c>
      <c r="D4619" t="inlineStr">
        <is>
          <t>Bot Auto</t>
        </is>
      </c>
      <c r="H4619" t="n">
        <v>-6</v>
      </c>
      <c r="I4619" t="b">
        <v>0</v>
      </c>
      <c r="J4619" t="b">
        <v>0</v>
      </c>
      <c r="K4619" t="b">
        <v>0</v>
      </c>
      <c r="L4619" t="b">
        <v>0</v>
      </c>
      <c r="M4619" t="b">
        <v>1</v>
      </c>
      <c r="N4619">
        <f>IFERROR(INDEX('Company Hitlist'!$AA:$AA,MATCH(D4619,'Company Hitlist'!$A:$A,0)),)</f>
        <v/>
      </c>
      <c r="O4619">
        <f>IFERROR(INDEX('Company Hitlist'!$N:$N,MATCH(D4619,'Company Hitlist'!$A:$A,0)),)</f>
        <v/>
      </c>
      <c r="Q4619" t="inlineStr">
        <is>
          <t>todo</t>
        </is>
      </c>
    </row>
    <row r="4620">
      <c r="A4620" t="inlineStr">
        <is>
          <t>Brandon Beckwith</t>
        </is>
      </c>
      <c r="B4620" t="inlineStr">
        <is>
          <t>Sponsor</t>
        </is>
      </c>
      <c r="C4620" t="inlineStr">
        <is>
          <t>Account Executive</t>
        </is>
      </c>
      <c r="D4620" t="inlineStr">
        <is>
          <t>Brain Corp</t>
        </is>
      </c>
      <c r="E4620" t="inlineStr">
        <is>
          <t>United States</t>
        </is>
      </c>
      <c r="H4620" t="n">
        <v>-6</v>
      </c>
      <c r="I4620" t="b">
        <v>0</v>
      </c>
      <c r="J4620" t="b">
        <v>0</v>
      </c>
      <c r="K4620" t="b">
        <v>0</v>
      </c>
      <c r="L4620" t="b">
        <v>0</v>
      </c>
      <c r="M4620" t="b">
        <v>1</v>
      </c>
      <c r="N4620">
        <f>IFERROR(INDEX('Company Hitlist'!$AA:$AA,MATCH(D4620,'Company Hitlist'!$A:$A,0)),)</f>
        <v/>
      </c>
      <c r="O4620">
        <f>IFERROR(INDEX('Company Hitlist'!$N:$N,MATCH(D4620,'Company Hitlist'!$A:$A,0)),)</f>
        <v/>
      </c>
      <c r="Q4620" t="inlineStr">
        <is>
          <t>todo</t>
        </is>
      </c>
    </row>
    <row r="4621">
      <c r="A4621" t="inlineStr">
        <is>
          <t>Drew Brennan</t>
        </is>
      </c>
      <c r="B4621" t="inlineStr">
        <is>
          <t>Sponsor</t>
        </is>
      </c>
      <c r="C4621" t="inlineStr">
        <is>
          <t>Senior Account Executive</t>
        </is>
      </c>
      <c r="D4621" t="inlineStr">
        <is>
          <t>Brain Corp.</t>
        </is>
      </c>
      <c r="E4621" t="inlineStr">
        <is>
          <t>United States</t>
        </is>
      </c>
      <c r="H4621" t="n">
        <v>-6</v>
      </c>
      <c r="I4621" t="b">
        <v>0</v>
      </c>
      <c r="J4621" t="b">
        <v>0</v>
      </c>
      <c r="K4621" t="b">
        <v>0</v>
      </c>
      <c r="L4621" t="b">
        <v>0</v>
      </c>
      <c r="M4621" t="b">
        <v>1</v>
      </c>
      <c r="N4621">
        <f>IFERROR(INDEX('Company Hitlist'!$AA:$AA,MATCH(D4621,'Company Hitlist'!$A:$A,0)),)</f>
        <v/>
      </c>
      <c r="O4621">
        <f>IFERROR(INDEX('Company Hitlist'!$N:$N,MATCH(D4621,'Company Hitlist'!$A:$A,0)),)</f>
        <v/>
      </c>
      <c r="Q4621" t="inlineStr">
        <is>
          <t>todo</t>
        </is>
      </c>
    </row>
    <row r="4622">
      <c r="A4622" t="inlineStr">
        <is>
          <t>Gerald Brannon</t>
        </is>
      </c>
      <c r="B4622" t="inlineStr">
        <is>
          <t>Sponsor</t>
        </is>
      </c>
      <c r="C4622" t="inlineStr">
        <is>
          <t>Business Development Manager</t>
        </is>
      </c>
      <c r="D4622" t="inlineStr">
        <is>
          <t>Brambles</t>
        </is>
      </c>
      <c r="H4622" t="n">
        <v>-6</v>
      </c>
      <c r="I4622" t="b">
        <v>0</v>
      </c>
      <c r="J4622" t="b">
        <v>0</v>
      </c>
      <c r="K4622" t="b">
        <v>0</v>
      </c>
      <c r="L4622" t="b">
        <v>0</v>
      </c>
      <c r="M4622" t="b">
        <v>1</v>
      </c>
      <c r="N4622">
        <f>IFERROR(INDEX('Company Hitlist'!$AA:$AA,MATCH(D4622,'Company Hitlist'!$A:$A,0)),)</f>
        <v/>
      </c>
      <c r="O4622">
        <f>IFERROR(INDEX('Company Hitlist'!$N:$N,MATCH(D4622,'Company Hitlist'!$A:$A,0)),)</f>
        <v/>
      </c>
      <c r="Q4622" t="inlineStr">
        <is>
          <t>todo</t>
        </is>
      </c>
    </row>
    <row r="4623">
      <c r="A4623" t="inlineStr">
        <is>
          <t>Lisa Henderson</t>
        </is>
      </c>
      <c r="B4623" t="inlineStr">
        <is>
          <t>Sponsor</t>
        </is>
      </c>
      <c r="C4623" t="inlineStr">
        <is>
          <t>Business Development Manager</t>
        </is>
      </c>
      <c r="D4623" t="inlineStr">
        <is>
          <t>Brambles</t>
        </is>
      </c>
      <c r="H4623" t="n">
        <v>-6</v>
      </c>
      <c r="I4623" t="b">
        <v>0</v>
      </c>
      <c r="J4623" t="b">
        <v>0</v>
      </c>
      <c r="K4623" t="b">
        <v>0</v>
      </c>
      <c r="L4623" t="b">
        <v>0</v>
      </c>
      <c r="M4623" t="b">
        <v>1</v>
      </c>
      <c r="N4623">
        <f>IFERROR(INDEX('Company Hitlist'!$AA:$AA,MATCH(D4623,'Company Hitlist'!$A:$A,0)),)</f>
        <v/>
      </c>
      <c r="O4623">
        <f>IFERROR(INDEX('Company Hitlist'!$N:$N,MATCH(D4623,'Company Hitlist'!$A:$A,0)),)</f>
        <v/>
      </c>
      <c r="Q4623" t="inlineStr">
        <is>
          <t>todo</t>
        </is>
      </c>
    </row>
    <row r="4624">
      <c r="A4624" t="inlineStr">
        <is>
          <t>Ali Barrett</t>
        </is>
      </c>
      <c r="B4624" t="inlineStr">
        <is>
          <t>Sponsor</t>
        </is>
      </c>
      <c r="C4624" t="inlineStr">
        <is>
          <t>Director of Marketing</t>
        </is>
      </c>
      <c r="D4624" t="inlineStr">
        <is>
          <t>Breakthrough</t>
        </is>
      </c>
      <c r="E4624" t="inlineStr">
        <is>
          <t>United States</t>
        </is>
      </c>
      <c r="F4624" t="inlineStr">
        <is>
          <t>Yes</t>
        </is>
      </c>
      <c r="G4624" t="inlineStr">
        <is>
          <t>63400000</t>
        </is>
      </c>
      <c r="H4624" t="n">
        <v>-6</v>
      </c>
      <c r="I4624" t="b">
        <v>0</v>
      </c>
      <c r="J4624" t="b">
        <v>0</v>
      </c>
      <c r="K4624" t="b">
        <v>0</v>
      </c>
      <c r="L4624" t="b">
        <v>0</v>
      </c>
      <c r="M4624" t="b">
        <v>1</v>
      </c>
      <c r="N4624">
        <f>IFERROR(INDEX('Company Hitlist'!$AA:$AA,MATCH(D4624,'Company Hitlist'!$A:$A,0)),)</f>
        <v/>
      </c>
      <c r="O4624">
        <f>IFERROR(INDEX('Company Hitlist'!$N:$N,MATCH(D4624,'Company Hitlist'!$A:$A,0)),)</f>
        <v/>
      </c>
      <c r="Q4624" t="inlineStr">
        <is>
          <t>todo</t>
        </is>
      </c>
    </row>
    <row r="4625">
      <c r="A4625" t="inlineStr">
        <is>
          <t>Nick Skeen</t>
        </is>
      </c>
      <c r="B4625" t="inlineStr">
        <is>
          <t>Sponsor</t>
        </is>
      </c>
      <c r="C4625" t="inlineStr">
        <is>
          <t>Director of Business Development</t>
        </is>
      </c>
      <c r="D4625" t="inlineStr">
        <is>
          <t>Breakthrough</t>
        </is>
      </c>
      <c r="E4625" t="inlineStr">
        <is>
          <t>United States</t>
        </is>
      </c>
      <c r="H4625" t="n">
        <v>-6</v>
      </c>
      <c r="I4625" t="b">
        <v>0</v>
      </c>
      <c r="J4625" t="b">
        <v>0</v>
      </c>
      <c r="K4625" t="b">
        <v>0</v>
      </c>
      <c r="L4625" t="b">
        <v>0</v>
      </c>
      <c r="M4625" t="b">
        <v>1</v>
      </c>
      <c r="N4625">
        <f>IFERROR(INDEX('Company Hitlist'!$AA:$AA,MATCH(D4625,'Company Hitlist'!$A:$A,0)),)</f>
        <v/>
      </c>
      <c r="O4625">
        <f>IFERROR(INDEX('Company Hitlist'!$N:$N,MATCH(D4625,'Company Hitlist'!$A:$A,0)),)</f>
        <v/>
      </c>
      <c r="Q4625" t="inlineStr">
        <is>
          <t>todo</t>
        </is>
      </c>
    </row>
    <row r="4626">
      <c r="A4626" t="inlineStr">
        <is>
          <t>Troy Jones</t>
        </is>
      </c>
      <c r="B4626" t="inlineStr">
        <is>
          <t>Sponsor</t>
        </is>
      </c>
      <c r="C4626" t="inlineStr">
        <is>
          <t>Director of Business Development</t>
        </is>
      </c>
      <c r="D4626" t="inlineStr">
        <is>
          <t>Breakthrough</t>
        </is>
      </c>
      <c r="E4626" t="inlineStr">
        <is>
          <t>United States</t>
        </is>
      </c>
      <c r="H4626" t="n">
        <v>-6</v>
      </c>
      <c r="I4626" t="b">
        <v>0</v>
      </c>
      <c r="J4626" t="b">
        <v>0</v>
      </c>
      <c r="K4626" t="b">
        <v>0</v>
      </c>
      <c r="L4626" t="b">
        <v>0</v>
      </c>
      <c r="M4626" t="b">
        <v>1</v>
      </c>
      <c r="N4626">
        <f>IFERROR(INDEX('Company Hitlist'!$AA:$AA,MATCH(D4626,'Company Hitlist'!$A:$A,0)),)</f>
        <v/>
      </c>
      <c r="O4626">
        <f>IFERROR(INDEX('Company Hitlist'!$N:$N,MATCH(D4626,'Company Hitlist'!$A:$A,0)),)</f>
        <v/>
      </c>
      <c r="Q4626" t="inlineStr">
        <is>
          <t>todo</t>
        </is>
      </c>
    </row>
    <row r="4627">
      <c r="A4627" t="inlineStr">
        <is>
          <t>Philip Spelman</t>
        </is>
      </c>
      <c r="B4627" t="inlineStr">
        <is>
          <t>Sponsor</t>
        </is>
      </c>
      <c r="C4627" t="inlineStr">
        <is>
          <t>Sr. Sales Director</t>
        </is>
      </c>
      <c r="D4627" t="inlineStr">
        <is>
          <t>Bringg</t>
        </is>
      </c>
      <c r="E4627" t="inlineStr">
        <is>
          <t>United States</t>
        </is>
      </c>
      <c r="H4627" t="n">
        <v>-6</v>
      </c>
      <c r="I4627" t="b">
        <v>0</v>
      </c>
      <c r="J4627" t="b">
        <v>0</v>
      </c>
      <c r="K4627" t="b">
        <v>0</v>
      </c>
      <c r="L4627" t="b">
        <v>0</v>
      </c>
      <c r="M4627" t="b">
        <v>1</v>
      </c>
      <c r="N4627">
        <f>IFERROR(INDEX('Company Hitlist'!$AA:$AA,MATCH(D4627,'Company Hitlist'!$A:$A,0)),)</f>
        <v/>
      </c>
      <c r="O4627">
        <f>IFERROR(INDEX('Company Hitlist'!$N:$N,MATCH(D4627,'Company Hitlist'!$A:$A,0)),)</f>
        <v/>
      </c>
      <c r="Q4627" t="inlineStr">
        <is>
          <t>todo</t>
        </is>
      </c>
    </row>
    <row r="4628">
      <c r="A4628" t="inlineStr">
        <is>
          <t>Ariana Kaiser</t>
        </is>
      </c>
      <c r="B4628" t="inlineStr">
        <is>
          <t>Sponsor</t>
        </is>
      </c>
      <c r="C4628" t="inlineStr">
        <is>
          <t>Senior Account Executive</t>
        </is>
      </c>
      <c r="D4628" t="inlineStr">
        <is>
          <t>Bringg</t>
        </is>
      </c>
      <c r="E4628" t="inlineStr">
        <is>
          <t>United States</t>
        </is>
      </c>
      <c r="H4628" t="n">
        <v>-6</v>
      </c>
      <c r="I4628" t="b">
        <v>0</v>
      </c>
      <c r="J4628" t="b">
        <v>0</v>
      </c>
      <c r="K4628" t="b">
        <v>0</v>
      </c>
      <c r="L4628" t="b">
        <v>0</v>
      </c>
      <c r="M4628" t="b">
        <v>1</v>
      </c>
      <c r="N4628">
        <f>IFERROR(INDEX('Company Hitlist'!$AA:$AA,MATCH(D4628,'Company Hitlist'!$A:$A,0)),)</f>
        <v/>
      </c>
      <c r="O4628">
        <f>IFERROR(INDEX('Company Hitlist'!$N:$N,MATCH(D4628,'Company Hitlist'!$A:$A,0)),)</f>
        <v/>
      </c>
      <c r="Q4628" t="inlineStr">
        <is>
          <t>todo</t>
        </is>
      </c>
    </row>
    <row r="4629">
      <c r="A4629" t="inlineStr">
        <is>
          <t>Dominic Atkatz</t>
        </is>
      </c>
      <c r="B4629" t="inlineStr">
        <is>
          <t>Sponsor</t>
        </is>
      </c>
      <c r="C4629" t="inlineStr">
        <is>
          <t>Enterprise Account Executive</t>
        </is>
      </c>
      <c r="D4629" t="inlineStr">
        <is>
          <t>Bringg</t>
        </is>
      </c>
      <c r="E4629" t="inlineStr">
        <is>
          <t>United States</t>
        </is>
      </c>
      <c r="H4629" t="n">
        <v>-6</v>
      </c>
      <c r="I4629" t="b">
        <v>0</v>
      </c>
      <c r="J4629" t="b">
        <v>0</v>
      </c>
      <c r="K4629" t="b">
        <v>0</v>
      </c>
      <c r="L4629" t="b">
        <v>0</v>
      </c>
      <c r="M4629" t="b">
        <v>1</v>
      </c>
      <c r="N4629">
        <f>IFERROR(INDEX('Company Hitlist'!$AA:$AA,MATCH(D4629,'Company Hitlist'!$A:$A,0)),)</f>
        <v/>
      </c>
      <c r="O4629">
        <f>IFERROR(INDEX('Company Hitlist'!$N:$N,MATCH(D4629,'Company Hitlist'!$A:$A,0)),)</f>
        <v/>
      </c>
      <c r="Q4629" t="inlineStr">
        <is>
          <t>todo</t>
        </is>
      </c>
    </row>
    <row r="4630">
      <c r="A4630" t="inlineStr">
        <is>
          <t>Rebecca Cooke</t>
        </is>
      </c>
      <c r="B4630" t="inlineStr">
        <is>
          <t>Sponsor</t>
        </is>
      </c>
      <c r="C4630" t="inlineStr">
        <is>
          <t>Director of Sales &amp; Partnerships</t>
        </is>
      </c>
      <c r="D4630" t="inlineStr">
        <is>
          <t>Broker Carrier Summit</t>
        </is>
      </c>
      <c r="E4630" t="inlineStr">
        <is>
          <t>United States</t>
        </is>
      </c>
      <c r="H4630" t="n">
        <v>-6</v>
      </c>
      <c r="I4630" t="b">
        <v>0</v>
      </c>
      <c r="J4630" t="b">
        <v>0</v>
      </c>
      <c r="K4630" t="b">
        <v>0</v>
      </c>
      <c r="L4630" t="b">
        <v>0</v>
      </c>
      <c r="M4630" t="b">
        <v>1</v>
      </c>
      <c r="N4630">
        <f>IFERROR(INDEX('Company Hitlist'!$AA:$AA,MATCH(D4630,'Company Hitlist'!$A:$A,0)),)</f>
        <v/>
      </c>
      <c r="O4630">
        <f>IFERROR(INDEX('Company Hitlist'!$N:$N,MATCH(D4630,'Company Hitlist'!$A:$A,0)),)</f>
        <v/>
      </c>
      <c r="Q4630" t="inlineStr">
        <is>
          <t>todo</t>
        </is>
      </c>
    </row>
    <row r="4631">
      <c r="A4631" t="inlineStr">
        <is>
          <t>Mike Albers</t>
        </is>
      </c>
      <c r="B4631" t="inlineStr">
        <is>
          <t>Sponsor</t>
        </is>
      </c>
      <c r="C4631" t="inlineStr">
        <is>
          <t>Senior Director, Sales, Mid-Market Intermediate &amp; Commercial Truck</t>
        </is>
      </c>
      <c r="D4631" t="inlineStr">
        <is>
          <t>Budget Truck Rental</t>
        </is>
      </c>
      <c r="E4631" t="inlineStr">
        <is>
          <t>United States</t>
        </is>
      </c>
      <c r="H4631" t="n">
        <v>-6</v>
      </c>
      <c r="I4631" t="b">
        <v>0</v>
      </c>
      <c r="J4631" t="b">
        <v>0</v>
      </c>
      <c r="K4631" t="b">
        <v>0</v>
      </c>
      <c r="L4631" t="b">
        <v>0</v>
      </c>
      <c r="M4631" t="b">
        <v>1</v>
      </c>
      <c r="N4631">
        <f>IFERROR(INDEX('Company Hitlist'!$AA:$AA,MATCH(D4631,'Company Hitlist'!$A:$A,0)),)</f>
        <v/>
      </c>
      <c r="O4631">
        <f>IFERROR(INDEX('Company Hitlist'!$N:$N,MATCH(D4631,'Company Hitlist'!$A:$A,0)),)</f>
        <v/>
      </c>
      <c r="Q4631" t="inlineStr">
        <is>
          <t>todo</t>
        </is>
      </c>
    </row>
    <row r="4632">
      <c r="A4632" t="inlineStr">
        <is>
          <t>Matt Cooksey</t>
        </is>
      </c>
      <c r="B4632" t="inlineStr">
        <is>
          <t>Sponsor</t>
        </is>
      </c>
      <c r="C4632" t="inlineStr">
        <is>
          <t>Strategic Sales Executive</t>
        </is>
      </c>
      <c r="D4632" t="inlineStr">
        <is>
          <t>C.H. Robinson</t>
        </is>
      </c>
      <c r="E4632" t="inlineStr">
        <is>
          <t>United States</t>
        </is>
      </c>
      <c r="H4632" t="n">
        <v>-6</v>
      </c>
      <c r="I4632" t="b">
        <v>0</v>
      </c>
      <c r="J4632" t="b">
        <v>0</v>
      </c>
      <c r="K4632" t="b">
        <v>0</v>
      </c>
      <c r="L4632" t="b">
        <v>0</v>
      </c>
      <c r="M4632" t="b">
        <v>1</v>
      </c>
      <c r="N4632">
        <f>IFERROR(INDEX('Company Hitlist'!$AA:$AA,MATCH(D4632,'Company Hitlist'!$A:$A,0)),)</f>
        <v/>
      </c>
      <c r="O4632">
        <f>IFERROR(INDEX('Company Hitlist'!$N:$N,MATCH(D4632,'Company Hitlist'!$A:$A,0)),)</f>
        <v/>
      </c>
      <c r="Q4632" t="inlineStr">
        <is>
          <t>todo</t>
        </is>
      </c>
    </row>
    <row r="4633">
      <c r="A4633" t="inlineStr">
        <is>
          <t>Jon Erickson</t>
        </is>
      </c>
      <c r="B4633" t="inlineStr">
        <is>
          <t>Sponsor</t>
        </is>
      </c>
      <c r="C4633" t="inlineStr">
        <is>
          <t>Sr. Marketing Manager</t>
        </is>
      </c>
      <c r="D4633" t="inlineStr">
        <is>
          <t>C.H. Robinson</t>
        </is>
      </c>
      <c r="E4633" t="inlineStr">
        <is>
          <t>United States</t>
        </is>
      </c>
      <c r="H4633" t="n">
        <v>-6</v>
      </c>
      <c r="I4633" t="b">
        <v>0</v>
      </c>
      <c r="J4633" t="b">
        <v>0</v>
      </c>
      <c r="K4633" t="b">
        <v>0</v>
      </c>
      <c r="L4633" t="b">
        <v>0</v>
      </c>
      <c r="M4633" t="b">
        <v>1</v>
      </c>
      <c r="N4633">
        <f>IFERROR(INDEX('Company Hitlist'!$AA:$AA,MATCH(D4633,'Company Hitlist'!$A:$A,0)),)</f>
        <v/>
      </c>
      <c r="O4633">
        <f>IFERROR(INDEX('Company Hitlist'!$N:$N,MATCH(D4633,'Company Hitlist'!$A:$A,0)),)</f>
        <v/>
      </c>
      <c r="Q4633" t="inlineStr">
        <is>
          <t>todo</t>
        </is>
      </c>
    </row>
    <row r="4634">
      <c r="A4634" t="inlineStr">
        <is>
          <t>Shawn Pearson</t>
        </is>
      </c>
      <c r="B4634" t="inlineStr">
        <is>
          <t>Sponsor</t>
        </is>
      </c>
      <c r="C4634" t="inlineStr">
        <is>
          <t>Business Development Manager</t>
        </is>
      </c>
      <c r="D4634" t="inlineStr">
        <is>
          <t>C.H. Robinson</t>
        </is>
      </c>
      <c r="E4634" t="inlineStr">
        <is>
          <t>United States</t>
        </is>
      </c>
      <c r="H4634" t="n">
        <v>-6</v>
      </c>
      <c r="I4634" t="b">
        <v>0</v>
      </c>
      <c r="J4634" t="b">
        <v>0</v>
      </c>
      <c r="K4634" t="b">
        <v>0</v>
      </c>
      <c r="L4634" t="b">
        <v>0</v>
      </c>
      <c r="M4634" t="b">
        <v>1</v>
      </c>
      <c r="N4634">
        <f>IFERROR(INDEX('Company Hitlist'!$AA:$AA,MATCH(D4634,'Company Hitlist'!$A:$A,0)),)</f>
        <v/>
      </c>
      <c r="O4634">
        <f>IFERROR(INDEX('Company Hitlist'!$N:$N,MATCH(D4634,'Company Hitlist'!$A:$A,0)),)</f>
        <v/>
      </c>
      <c r="Q4634" t="inlineStr">
        <is>
          <t>todo</t>
        </is>
      </c>
    </row>
    <row r="4635">
      <c r="A4635" t="inlineStr">
        <is>
          <t>Ruben Nadimi</t>
        </is>
      </c>
      <c r="B4635" t="inlineStr">
        <is>
          <t>Sponsor</t>
        </is>
      </c>
      <c r="C4635" t="inlineStr">
        <is>
          <t>Director of Sales</t>
        </is>
      </c>
      <c r="D4635" t="inlineStr">
        <is>
          <t>CERTUS Automation BV</t>
        </is>
      </c>
      <c r="H4635" t="n">
        <v>-6</v>
      </c>
      <c r="I4635" t="b">
        <v>0</v>
      </c>
      <c r="J4635" t="b">
        <v>0</v>
      </c>
      <c r="K4635" t="b">
        <v>0</v>
      </c>
      <c r="L4635" t="b">
        <v>0</v>
      </c>
      <c r="M4635" t="b">
        <v>1</v>
      </c>
      <c r="N4635">
        <f>IFERROR(INDEX('Company Hitlist'!$AA:$AA,MATCH(D4635,'Company Hitlist'!$A:$A,0)),)</f>
        <v/>
      </c>
      <c r="O4635">
        <f>IFERROR(INDEX('Company Hitlist'!$N:$N,MATCH(D4635,'Company Hitlist'!$A:$A,0)),)</f>
        <v/>
      </c>
      <c r="Q4635" t="inlineStr">
        <is>
          <t>todo</t>
        </is>
      </c>
    </row>
    <row r="4636">
      <c r="A4636" t="inlineStr">
        <is>
          <t>Jonathan Herrington</t>
        </is>
      </c>
      <c r="B4636" t="inlineStr">
        <is>
          <t>Sponsor</t>
        </is>
      </c>
      <c r="C4636" t="inlineStr">
        <is>
          <t>Sr. Director - Business Development</t>
        </is>
      </c>
      <c r="D4636" t="inlineStr">
        <is>
          <t>CIRRO Fulfillment</t>
        </is>
      </c>
      <c r="E4636" t="inlineStr">
        <is>
          <t>United States</t>
        </is>
      </c>
      <c r="H4636" t="n">
        <v>-6</v>
      </c>
      <c r="I4636" t="b">
        <v>0</v>
      </c>
      <c r="J4636" t="b">
        <v>0</v>
      </c>
      <c r="K4636" t="b">
        <v>0</v>
      </c>
      <c r="L4636" t="b">
        <v>0</v>
      </c>
      <c r="M4636" t="b">
        <v>1</v>
      </c>
      <c r="N4636">
        <f>IFERROR(INDEX('Company Hitlist'!$AA:$AA,MATCH(D4636,'Company Hitlist'!$A:$A,0)),)</f>
        <v/>
      </c>
      <c r="O4636">
        <f>IFERROR(INDEX('Company Hitlist'!$N:$N,MATCH(D4636,'Company Hitlist'!$A:$A,0)),)</f>
        <v/>
      </c>
      <c r="Q4636" t="inlineStr">
        <is>
          <t>todo</t>
        </is>
      </c>
    </row>
    <row r="4637">
      <c r="A4637" t="inlineStr">
        <is>
          <t>Andrea Crowe</t>
        </is>
      </c>
      <c r="B4637" t="inlineStr">
        <is>
          <t>Sponsor</t>
        </is>
      </c>
      <c r="C4637" t="inlineStr">
        <is>
          <t>Key Account Sales Manager</t>
        </is>
      </c>
      <c r="D4637" t="inlineStr">
        <is>
          <t>CMC Packaging Automation</t>
        </is>
      </c>
      <c r="E4637" t="inlineStr">
        <is>
          <t>Italy</t>
        </is>
      </c>
      <c r="H4637" t="n">
        <v>-6</v>
      </c>
      <c r="I4637" t="b">
        <v>0</v>
      </c>
      <c r="J4637" t="b">
        <v>0</v>
      </c>
      <c r="K4637" t="b">
        <v>0</v>
      </c>
      <c r="L4637" t="b">
        <v>0</v>
      </c>
      <c r="M4637" t="b">
        <v>1</v>
      </c>
      <c r="N4637">
        <f>IFERROR(INDEX('Company Hitlist'!$AA:$AA,MATCH(D4637,'Company Hitlist'!$A:$A,0)),)</f>
        <v/>
      </c>
      <c r="O4637">
        <f>IFERROR(INDEX('Company Hitlist'!$N:$N,MATCH(D4637,'Company Hitlist'!$A:$A,0)),)</f>
        <v/>
      </c>
      <c r="Q4637" t="inlineStr">
        <is>
          <t>todo</t>
        </is>
      </c>
    </row>
    <row r="4638">
      <c r="A4638" t="inlineStr">
        <is>
          <t>Marco Mozzaorecchi</t>
        </is>
      </c>
      <c r="B4638" t="inlineStr">
        <is>
          <t>Sponsor</t>
        </is>
      </c>
      <c r="C4638" t="inlineStr">
        <is>
          <t>Director of Sales - Americas</t>
        </is>
      </c>
      <c r="D4638" t="inlineStr">
        <is>
          <t>CMC Packaging Automation</t>
        </is>
      </c>
      <c r="E4638" t="inlineStr">
        <is>
          <t>Italy</t>
        </is>
      </c>
      <c r="H4638" t="n">
        <v>-6</v>
      </c>
      <c r="I4638" t="b">
        <v>0</v>
      </c>
      <c r="J4638" t="b">
        <v>0</v>
      </c>
      <c r="K4638" t="b">
        <v>0</v>
      </c>
      <c r="L4638" t="b">
        <v>0</v>
      </c>
      <c r="M4638" t="b">
        <v>1</v>
      </c>
      <c r="N4638">
        <f>IFERROR(INDEX('Company Hitlist'!$AA:$AA,MATCH(D4638,'Company Hitlist'!$A:$A,0)),)</f>
        <v/>
      </c>
      <c r="O4638">
        <f>IFERROR(INDEX('Company Hitlist'!$N:$N,MATCH(D4638,'Company Hitlist'!$A:$A,0)),)</f>
        <v/>
      </c>
      <c r="Q4638" t="inlineStr">
        <is>
          <t>todo</t>
        </is>
      </c>
    </row>
    <row r="4639">
      <c r="A4639" t="inlineStr">
        <is>
          <t>Craig Hall</t>
        </is>
      </c>
      <c r="B4639" t="inlineStr">
        <is>
          <t>Sponsor</t>
        </is>
      </c>
      <c r="C4639" t="inlineStr">
        <is>
          <t>Sales Manager</t>
        </is>
      </c>
      <c r="D4639" t="inlineStr">
        <is>
          <t>CMC Packaging Automation</t>
        </is>
      </c>
      <c r="H4639" t="n">
        <v>-6</v>
      </c>
      <c r="I4639" t="b">
        <v>0</v>
      </c>
      <c r="J4639" t="b">
        <v>0</v>
      </c>
      <c r="K4639" t="b">
        <v>0</v>
      </c>
      <c r="L4639" t="b">
        <v>0</v>
      </c>
      <c r="M4639" t="b">
        <v>1</v>
      </c>
      <c r="N4639">
        <f>IFERROR(INDEX('Company Hitlist'!$AA:$AA,MATCH(D4639,'Company Hitlist'!$A:$A,0)),)</f>
        <v/>
      </c>
      <c r="O4639">
        <f>IFERROR(INDEX('Company Hitlist'!$N:$N,MATCH(D4639,'Company Hitlist'!$A:$A,0)),)</f>
        <v/>
      </c>
      <c r="Q4639" t="inlineStr">
        <is>
          <t>todo</t>
        </is>
      </c>
    </row>
    <row r="4640">
      <c r="A4640" t="inlineStr">
        <is>
          <t>Yilin Su</t>
        </is>
      </c>
      <c r="B4640" t="inlineStr">
        <is>
          <t>Sponsor</t>
        </is>
      </c>
      <c r="C4640" t="inlineStr">
        <is>
          <t>Business Sales Representative</t>
        </is>
      </c>
      <c r="D4640" t="inlineStr">
        <is>
          <t>Cainiao</t>
        </is>
      </c>
      <c r="H4640" t="n">
        <v>-6</v>
      </c>
      <c r="I4640" t="b">
        <v>0</v>
      </c>
      <c r="J4640" t="b">
        <v>0</v>
      </c>
      <c r="K4640" t="b">
        <v>0</v>
      </c>
      <c r="L4640" t="b">
        <v>0</v>
      </c>
      <c r="M4640" t="b">
        <v>1</v>
      </c>
      <c r="N4640">
        <f>IFERROR(INDEX('Company Hitlist'!$AA:$AA,MATCH(D4640,'Company Hitlist'!$A:$A,0)),)</f>
        <v/>
      </c>
      <c r="O4640">
        <f>IFERROR(INDEX('Company Hitlist'!$N:$N,MATCH(D4640,'Company Hitlist'!$A:$A,0)),)</f>
        <v/>
      </c>
      <c r="Q4640" t="inlineStr">
        <is>
          <t>todo</t>
        </is>
      </c>
    </row>
    <row r="4641">
      <c r="A4641" t="inlineStr">
        <is>
          <t>Jinyi Wei</t>
        </is>
      </c>
      <c r="B4641" t="inlineStr">
        <is>
          <t>Sponsor</t>
        </is>
      </c>
      <c r="C4641" t="inlineStr">
        <is>
          <t>Business Development Manager</t>
        </is>
      </c>
      <c r="D4641" t="inlineStr">
        <is>
          <t>Cainiao</t>
        </is>
      </c>
      <c r="E4641" t="inlineStr">
        <is>
          <t>China</t>
        </is>
      </c>
      <c r="H4641" t="n">
        <v>-6</v>
      </c>
      <c r="I4641" t="b">
        <v>0</v>
      </c>
      <c r="J4641" t="b">
        <v>0</v>
      </c>
      <c r="K4641" t="b">
        <v>0</v>
      </c>
      <c r="L4641" t="b">
        <v>0</v>
      </c>
      <c r="M4641" t="b">
        <v>1</v>
      </c>
      <c r="N4641">
        <f>IFERROR(INDEX('Company Hitlist'!$AA:$AA,MATCH(D4641,'Company Hitlist'!$A:$A,0)),)</f>
        <v/>
      </c>
      <c r="O4641">
        <f>IFERROR(INDEX('Company Hitlist'!$N:$N,MATCH(D4641,'Company Hitlist'!$A:$A,0)),)</f>
        <v/>
      </c>
      <c r="Q4641" t="inlineStr">
        <is>
          <t>todo</t>
        </is>
      </c>
    </row>
    <row r="4642">
      <c r="A4642" t="inlineStr">
        <is>
          <t>Geoff Greenhill</t>
        </is>
      </c>
      <c r="B4642" t="inlineStr">
        <is>
          <t>Sponsor</t>
        </is>
      </c>
      <c r="C4642" t="inlineStr">
        <is>
          <t>Director of Sales</t>
        </is>
      </c>
      <c r="D4642" t="inlineStr">
        <is>
          <t>Camelot 3PL Software</t>
        </is>
      </c>
      <c r="E4642" t="inlineStr">
        <is>
          <t>United States</t>
        </is>
      </c>
      <c r="H4642" t="n">
        <v>-6</v>
      </c>
      <c r="I4642" t="b">
        <v>0</v>
      </c>
      <c r="J4642" t="b">
        <v>0</v>
      </c>
      <c r="K4642" t="b">
        <v>0</v>
      </c>
      <c r="L4642" t="b">
        <v>0</v>
      </c>
      <c r="M4642" t="b">
        <v>1</v>
      </c>
      <c r="N4642">
        <f>IFERROR(INDEX('Company Hitlist'!$AA:$AA,MATCH(D4642,'Company Hitlist'!$A:$A,0)),)</f>
        <v/>
      </c>
      <c r="O4642">
        <f>IFERROR(INDEX('Company Hitlist'!$N:$N,MATCH(D4642,'Company Hitlist'!$A:$A,0)),)</f>
        <v/>
      </c>
      <c r="Q4642" t="inlineStr">
        <is>
          <t>todo</t>
        </is>
      </c>
    </row>
    <row r="4643">
      <c r="A4643" t="inlineStr">
        <is>
          <t>Todd Akins</t>
        </is>
      </c>
      <c r="B4643" t="inlineStr">
        <is>
          <t>Sponsor</t>
        </is>
      </c>
      <c r="C4643" t="inlineStr">
        <is>
          <t>Marketing Manager</t>
        </is>
      </c>
      <c r="D4643" t="inlineStr">
        <is>
          <t>Camelot 3PL Software</t>
        </is>
      </c>
      <c r="H4643" t="n">
        <v>-6</v>
      </c>
      <c r="I4643" t="b">
        <v>0</v>
      </c>
      <c r="J4643" t="b">
        <v>0</v>
      </c>
      <c r="K4643" t="b">
        <v>0</v>
      </c>
      <c r="L4643" t="b">
        <v>0</v>
      </c>
      <c r="M4643" t="b">
        <v>1</v>
      </c>
      <c r="N4643">
        <f>IFERROR(INDEX('Company Hitlist'!$AA:$AA,MATCH(D4643,'Company Hitlist'!$A:$A,0)),)</f>
        <v/>
      </c>
      <c r="O4643">
        <f>IFERROR(INDEX('Company Hitlist'!$N:$N,MATCH(D4643,'Company Hitlist'!$A:$A,0)),)</f>
        <v/>
      </c>
      <c r="Q4643" t="inlineStr">
        <is>
          <t>todo</t>
        </is>
      </c>
    </row>
    <row r="4644">
      <c r="A4644" t="inlineStr">
        <is>
          <t>Colleen Ballantine</t>
        </is>
      </c>
      <c r="B4644" t="inlineStr">
        <is>
          <t>Sponsor</t>
        </is>
      </c>
      <c r="C4644" t="inlineStr">
        <is>
          <t>Marketing Manager</t>
        </is>
      </c>
      <c r="D4644" t="inlineStr">
        <is>
          <t>Canary7</t>
        </is>
      </c>
      <c r="H4644" t="n">
        <v>-6</v>
      </c>
      <c r="I4644" t="b">
        <v>0</v>
      </c>
      <c r="J4644" t="b">
        <v>0</v>
      </c>
      <c r="K4644" t="b">
        <v>0</v>
      </c>
      <c r="L4644" t="b">
        <v>0</v>
      </c>
      <c r="M4644" t="b">
        <v>1</v>
      </c>
      <c r="N4644">
        <f>IFERROR(INDEX('Company Hitlist'!$AA:$AA,MATCH(D4644,'Company Hitlist'!$A:$A,0)),)</f>
        <v/>
      </c>
      <c r="O4644">
        <f>IFERROR(INDEX('Company Hitlist'!$N:$N,MATCH(D4644,'Company Hitlist'!$A:$A,0)),)</f>
        <v/>
      </c>
      <c r="Q4644" t="inlineStr">
        <is>
          <t>todo</t>
        </is>
      </c>
    </row>
    <row r="4645">
      <c r="A4645" t="inlineStr">
        <is>
          <t>Nick Lemanski</t>
        </is>
      </c>
      <c r="B4645" t="inlineStr">
        <is>
          <t>Sponsor</t>
        </is>
      </c>
      <c r="C4645" t="inlineStr">
        <is>
          <t>Sales Engineer</t>
        </is>
      </c>
      <c r="D4645" t="inlineStr">
        <is>
          <t>Catena</t>
        </is>
      </c>
      <c r="E4645" t="inlineStr">
        <is>
          <t>United States</t>
        </is>
      </c>
      <c r="H4645" t="n">
        <v>-6</v>
      </c>
      <c r="I4645" t="b">
        <v>0</v>
      </c>
      <c r="J4645" t="b">
        <v>0</v>
      </c>
      <c r="K4645" t="b">
        <v>0</v>
      </c>
      <c r="L4645" t="b">
        <v>0</v>
      </c>
      <c r="M4645" t="b">
        <v>1</v>
      </c>
      <c r="N4645">
        <f>IFERROR(INDEX('Company Hitlist'!$AA:$AA,MATCH(D4645,'Company Hitlist'!$A:$A,0)),)</f>
        <v/>
      </c>
      <c r="O4645">
        <f>IFERROR(INDEX('Company Hitlist'!$N:$N,MATCH(D4645,'Company Hitlist'!$A:$A,0)),)</f>
        <v/>
      </c>
      <c r="Q4645" t="inlineStr">
        <is>
          <t>todo</t>
        </is>
      </c>
    </row>
    <row r="4646">
      <c r="A4646" t="inlineStr">
        <is>
          <t>Dylan Lee</t>
        </is>
      </c>
      <c r="B4646" t="inlineStr">
        <is>
          <t>Sponsor</t>
        </is>
      </c>
      <c r="C4646" t="inlineStr">
        <is>
          <t>Sr. Director, Product Marketing</t>
        </is>
      </c>
      <c r="D4646" t="inlineStr">
        <is>
          <t>Cleo</t>
        </is>
      </c>
      <c r="E4646" t="inlineStr">
        <is>
          <t>United States</t>
        </is>
      </c>
      <c r="F4646" t="inlineStr">
        <is>
          <t>Yes</t>
        </is>
      </c>
      <c r="G4646" t="inlineStr">
        <is>
          <t>$84 million (2025)</t>
        </is>
      </c>
      <c r="H4646" t="n">
        <v>-6</v>
      </c>
      <c r="I4646" t="b">
        <v>0</v>
      </c>
      <c r="J4646" t="b">
        <v>0</v>
      </c>
      <c r="K4646" t="b">
        <v>0</v>
      </c>
      <c r="L4646" t="b">
        <v>0</v>
      </c>
      <c r="M4646" t="b">
        <v>1</v>
      </c>
      <c r="N4646">
        <f>IFERROR(INDEX('Company Hitlist'!$AA:$AA,MATCH(D4646,'Company Hitlist'!$A:$A,0)),)</f>
        <v/>
      </c>
      <c r="O4646">
        <f>IFERROR(INDEX('Company Hitlist'!$N:$N,MATCH(D4646,'Company Hitlist'!$A:$A,0)),)</f>
        <v/>
      </c>
      <c r="Q4646" t="inlineStr">
        <is>
          <t>todo</t>
        </is>
      </c>
    </row>
    <row r="4647">
      <c r="A4647" t="inlineStr">
        <is>
          <t>Ryan Mullin</t>
        </is>
      </c>
      <c r="B4647" t="inlineStr">
        <is>
          <t>Sponsor</t>
        </is>
      </c>
      <c r="C4647" t="inlineStr">
        <is>
          <t>Sr. Director, Marketing</t>
        </is>
      </c>
      <c r="D4647" t="inlineStr">
        <is>
          <t>Cleo</t>
        </is>
      </c>
      <c r="E4647" t="inlineStr">
        <is>
          <t>United States</t>
        </is>
      </c>
      <c r="F4647" t="inlineStr">
        <is>
          <t>Yes</t>
        </is>
      </c>
      <c r="G4647" t="inlineStr">
        <is>
          <t>$84 million (2025)</t>
        </is>
      </c>
      <c r="H4647" t="n">
        <v>-6</v>
      </c>
      <c r="I4647" t="b">
        <v>0</v>
      </c>
      <c r="J4647" t="b">
        <v>0</v>
      </c>
      <c r="K4647" t="b">
        <v>0</v>
      </c>
      <c r="L4647" t="b">
        <v>0</v>
      </c>
      <c r="M4647" t="b">
        <v>1</v>
      </c>
      <c r="N4647">
        <f>IFERROR(INDEX('Company Hitlist'!$AA:$AA,MATCH(D4647,'Company Hitlist'!$A:$A,0)),)</f>
        <v/>
      </c>
      <c r="O4647">
        <f>IFERROR(INDEX('Company Hitlist'!$N:$N,MATCH(D4647,'Company Hitlist'!$A:$A,0)),)</f>
        <v/>
      </c>
      <c r="Q4647" t="inlineStr">
        <is>
          <t>todo</t>
        </is>
      </c>
    </row>
    <row r="4648">
      <c r="A4648" t="inlineStr">
        <is>
          <t>Jeff Hanson</t>
        </is>
      </c>
      <c r="B4648" t="inlineStr">
        <is>
          <t>Sponsor</t>
        </is>
      </c>
      <c r="C4648" t="inlineStr">
        <is>
          <t>Account Executive</t>
        </is>
      </c>
      <c r="D4648" t="inlineStr">
        <is>
          <t>Cloneops.ai</t>
        </is>
      </c>
      <c r="E4648" t="inlineStr">
        <is>
          <t>United States</t>
        </is>
      </c>
      <c r="H4648" t="n">
        <v>-6</v>
      </c>
      <c r="I4648" t="b">
        <v>0</v>
      </c>
      <c r="J4648" t="b">
        <v>0</v>
      </c>
      <c r="K4648" t="b">
        <v>0</v>
      </c>
      <c r="L4648" t="b">
        <v>0</v>
      </c>
      <c r="M4648" t="b">
        <v>1</v>
      </c>
      <c r="N4648">
        <f>IFERROR(INDEX('Company Hitlist'!$AA:$AA,MATCH(D4648,'Company Hitlist'!$A:$A,0)),)</f>
        <v/>
      </c>
      <c r="O4648">
        <f>IFERROR(INDEX('Company Hitlist'!$N:$N,MATCH(D4648,'Company Hitlist'!$A:$A,0)),)</f>
        <v/>
      </c>
      <c r="Q4648" t="inlineStr">
        <is>
          <t>todo</t>
        </is>
      </c>
    </row>
    <row r="4649">
      <c r="A4649" t="inlineStr">
        <is>
          <t>Jake Martin</t>
        </is>
      </c>
      <c r="B4649" t="inlineStr">
        <is>
          <t>Sponsor</t>
        </is>
      </c>
      <c r="C4649" t="inlineStr">
        <is>
          <t>Senior Account Executive</t>
        </is>
      </c>
      <c r="D4649" t="inlineStr">
        <is>
          <t>Commonwealth Packaging Company</t>
        </is>
      </c>
      <c r="H4649" t="n">
        <v>-6</v>
      </c>
      <c r="I4649" t="b">
        <v>0</v>
      </c>
      <c r="J4649" t="b">
        <v>0</v>
      </c>
      <c r="K4649" t="b">
        <v>0</v>
      </c>
      <c r="L4649" t="b">
        <v>0</v>
      </c>
      <c r="M4649" t="b">
        <v>1</v>
      </c>
      <c r="N4649">
        <f>IFERROR(INDEX('Company Hitlist'!$AA:$AA,MATCH(D4649,'Company Hitlist'!$A:$A,0)),)</f>
        <v/>
      </c>
      <c r="O4649">
        <f>IFERROR(INDEX('Company Hitlist'!$N:$N,MATCH(D4649,'Company Hitlist'!$A:$A,0)),)</f>
        <v/>
      </c>
      <c r="Q4649" t="inlineStr">
        <is>
          <t>todo</t>
        </is>
      </c>
    </row>
    <row r="4650">
      <c r="A4650" t="inlineStr">
        <is>
          <t>David Yarbrough</t>
        </is>
      </c>
      <c r="B4650" t="inlineStr">
        <is>
          <t>Sponsor</t>
        </is>
      </c>
      <c r="C4650" t="inlineStr">
        <is>
          <t>Senior Enterprise Account Executive</t>
        </is>
      </c>
      <c r="D4650" t="inlineStr">
        <is>
          <t>Conduit</t>
        </is>
      </c>
      <c r="E4650" t="inlineStr">
        <is>
          <t>United States</t>
        </is>
      </c>
      <c r="H4650" t="n">
        <v>-6</v>
      </c>
      <c r="I4650" t="b">
        <v>0</v>
      </c>
      <c r="J4650" t="b">
        <v>0</v>
      </c>
      <c r="K4650" t="b">
        <v>0</v>
      </c>
      <c r="L4650" t="b">
        <v>0</v>
      </c>
      <c r="M4650" t="b">
        <v>1</v>
      </c>
      <c r="N4650">
        <f>IFERROR(INDEX('Company Hitlist'!$AA:$AA,MATCH(D4650,'Company Hitlist'!$A:$A,0)),)</f>
        <v/>
      </c>
      <c r="O4650">
        <f>IFERROR(INDEX('Company Hitlist'!$N:$N,MATCH(D4650,'Company Hitlist'!$A:$A,0)),)</f>
        <v/>
      </c>
      <c r="Q4650" t="inlineStr">
        <is>
          <t>todo</t>
        </is>
      </c>
    </row>
    <row r="4651">
      <c r="A4651" t="inlineStr">
        <is>
          <t>Hayden Sykes</t>
        </is>
      </c>
      <c r="B4651" t="inlineStr">
        <is>
          <t>Sponsor</t>
        </is>
      </c>
      <c r="C4651" t="inlineStr">
        <is>
          <t>Director of Sales</t>
        </is>
      </c>
      <c r="D4651" t="inlineStr">
        <is>
          <t>Corvus Robotics</t>
        </is>
      </c>
      <c r="E4651" t="inlineStr">
        <is>
          <t>United States</t>
        </is>
      </c>
      <c r="H4651" t="n">
        <v>-6</v>
      </c>
      <c r="I4651" t="b">
        <v>0</v>
      </c>
      <c r="J4651" t="b">
        <v>0</v>
      </c>
      <c r="K4651" t="b">
        <v>0</v>
      </c>
      <c r="L4651" t="b">
        <v>0</v>
      </c>
      <c r="M4651" t="b">
        <v>1</v>
      </c>
      <c r="N4651">
        <f>IFERROR(INDEX('Company Hitlist'!$AA:$AA,MATCH(D4651,'Company Hitlist'!$A:$A,0)),)</f>
        <v/>
      </c>
      <c r="O4651">
        <f>IFERROR(INDEX('Company Hitlist'!$N:$N,MATCH(D4651,'Company Hitlist'!$A:$A,0)),)</f>
        <v/>
      </c>
      <c r="Q4651" t="inlineStr">
        <is>
          <t>todo</t>
        </is>
      </c>
    </row>
    <row r="4652">
      <c r="A4652" t="inlineStr">
        <is>
          <t>Tony Esquith</t>
        </is>
      </c>
      <c r="B4652" t="inlineStr">
        <is>
          <t>Sponsor</t>
        </is>
      </c>
      <c r="C4652" t="inlineStr">
        <is>
          <t>Director of Sales</t>
        </is>
      </c>
      <c r="D4652" t="inlineStr">
        <is>
          <t>Corvus Robotics</t>
        </is>
      </c>
      <c r="H4652" t="n">
        <v>-6</v>
      </c>
      <c r="I4652" t="b">
        <v>0</v>
      </c>
      <c r="J4652" t="b">
        <v>0</v>
      </c>
      <c r="K4652" t="b">
        <v>0</v>
      </c>
      <c r="L4652" t="b">
        <v>0</v>
      </c>
      <c r="M4652" t="b">
        <v>1</v>
      </c>
      <c r="N4652">
        <f>IFERROR(INDEX('Company Hitlist'!$AA:$AA,MATCH(D4652,'Company Hitlist'!$A:$A,0)),)</f>
        <v/>
      </c>
      <c r="O4652">
        <f>IFERROR(INDEX('Company Hitlist'!$N:$N,MATCH(D4652,'Company Hitlist'!$A:$A,0)),)</f>
        <v/>
      </c>
      <c r="Q4652" t="inlineStr">
        <is>
          <t>todo</t>
        </is>
      </c>
    </row>
    <row r="4653">
      <c r="A4653" t="inlineStr">
        <is>
          <t>Jenna Goeke</t>
        </is>
      </c>
      <c r="B4653" t="inlineStr">
        <is>
          <t>Sponsor</t>
        </is>
      </c>
      <c r="C4653" t="inlineStr">
        <is>
          <t>Field Marketing</t>
        </is>
      </c>
      <c r="D4653" t="inlineStr">
        <is>
          <t>Coupa</t>
        </is>
      </c>
      <c r="E4653" t="inlineStr">
        <is>
          <t>United States</t>
        </is>
      </c>
      <c r="F4653" t="inlineStr">
        <is>
          <t>Yes</t>
        </is>
      </c>
      <c r="G4653" t="inlineStr">
        <is>
          <t>$1B (2024 est.; projected $1.1B in 2025)</t>
        </is>
      </c>
      <c r="H4653" t="n">
        <v>-6</v>
      </c>
      <c r="I4653" t="b">
        <v>0</v>
      </c>
      <c r="J4653" t="b">
        <v>0</v>
      </c>
      <c r="K4653" t="b">
        <v>0</v>
      </c>
      <c r="L4653" t="b">
        <v>0</v>
      </c>
      <c r="M4653" t="b">
        <v>1</v>
      </c>
      <c r="N4653">
        <f>IFERROR(INDEX('Company Hitlist'!$AA:$AA,MATCH(D4653,'Company Hitlist'!$A:$A,0)),)</f>
        <v/>
      </c>
      <c r="O4653">
        <f>IFERROR(INDEX('Company Hitlist'!$N:$N,MATCH(D4653,'Company Hitlist'!$A:$A,0)),)</f>
        <v/>
      </c>
      <c r="Q4653" t="inlineStr">
        <is>
          <t>todo</t>
        </is>
      </c>
    </row>
    <row r="4654">
      <c r="A4654" t="inlineStr">
        <is>
          <t>Jon Kokinda</t>
        </is>
      </c>
      <c r="B4654" t="inlineStr">
        <is>
          <t>Sponsor</t>
        </is>
      </c>
      <c r="C4654" t="inlineStr">
        <is>
          <t>Sr. Manager, Inside Sales</t>
        </is>
      </c>
      <c r="D4654" t="inlineStr">
        <is>
          <t>Coupa</t>
        </is>
      </c>
      <c r="H4654" t="n">
        <v>-6</v>
      </c>
      <c r="I4654" t="b">
        <v>0</v>
      </c>
      <c r="J4654" t="b">
        <v>0</v>
      </c>
      <c r="K4654" t="b">
        <v>0</v>
      </c>
      <c r="L4654" t="b">
        <v>0</v>
      </c>
      <c r="M4654" t="b">
        <v>1</v>
      </c>
      <c r="N4654">
        <f>IFERROR(INDEX('Company Hitlist'!$AA:$AA,MATCH(D4654,'Company Hitlist'!$A:$A,0)),)</f>
        <v/>
      </c>
      <c r="O4654">
        <f>IFERROR(INDEX('Company Hitlist'!$N:$N,MATCH(D4654,'Company Hitlist'!$A:$A,0)),)</f>
        <v/>
      </c>
      <c r="Q4654" t="inlineStr">
        <is>
          <t>todo</t>
        </is>
      </c>
    </row>
    <row r="4655">
      <c r="A4655" t="inlineStr">
        <is>
          <t>Tara Jurgens</t>
        </is>
      </c>
      <c r="B4655" t="inlineStr">
        <is>
          <t>Sponsor</t>
        </is>
      </c>
      <c r="C4655" t="inlineStr">
        <is>
          <t>Sr. Manager, Field and Account Based Marketing</t>
        </is>
      </c>
      <c r="D4655" t="inlineStr">
        <is>
          <t>Coupa</t>
        </is>
      </c>
      <c r="H4655" t="n">
        <v>-6</v>
      </c>
      <c r="I4655" t="b">
        <v>0</v>
      </c>
      <c r="J4655" t="b">
        <v>0</v>
      </c>
      <c r="K4655" t="b">
        <v>0</v>
      </c>
      <c r="L4655" t="b">
        <v>0</v>
      </c>
      <c r="M4655" t="b">
        <v>1</v>
      </c>
      <c r="N4655">
        <f>IFERROR(INDEX('Company Hitlist'!$AA:$AA,MATCH(D4655,'Company Hitlist'!$A:$A,0)),)</f>
        <v/>
      </c>
      <c r="O4655">
        <f>IFERROR(INDEX('Company Hitlist'!$N:$N,MATCH(D4655,'Company Hitlist'!$A:$A,0)),)</f>
        <v/>
      </c>
      <c r="Q4655" t="inlineStr">
        <is>
          <t>todo</t>
        </is>
      </c>
    </row>
    <row r="4656">
      <c r="A4656" t="inlineStr">
        <is>
          <t>Vikram Patil</t>
        </is>
      </c>
      <c r="B4656" t="inlineStr">
        <is>
          <t>Sponsor</t>
        </is>
      </c>
      <c r="C4656" t="inlineStr">
        <is>
          <t>Senior Director (Commercial Growth &amp; Accounts)</t>
        </is>
      </c>
      <c r="D4656" t="inlineStr">
        <is>
          <t>CrimsonLogic (U.S.), Inc.</t>
        </is>
      </c>
      <c r="E4656" t="inlineStr">
        <is>
          <t>Canada</t>
        </is>
      </c>
      <c r="H4656" t="n">
        <v>-6</v>
      </c>
      <c r="I4656" t="b">
        <v>0</v>
      </c>
      <c r="J4656" t="b">
        <v>0</v>
      </c>
      <c r="K4656" t="b">
        <v>0</v>
      </c>
      <c r="L4656" t="b">
        <v>0</v>
      </c>
      <c r="M4656" t="b">
        <v>1</v>
      </c>
      <c r="N4656">
        <f>IFERROR(INDEX('Company Hitlist'!$AA:$AA,MATCH(D4656,'Company Hitlist'!$A:$A,0)),)</f>
        <v/>
      </c>
      <c r="O4656">
        <f>IFERROR(INDEX('Company Hitlist'!$N:$N,MATCH(D4656,'Company Hitlist'!$A:$A,0)),)</f>
        <v/>
      </c>
      <c r="Q4656" t="inlineStr">
        <is>
          <t>todo</t>
        </is>
      </c>
    </row>
    <row r="4657">
      <c r="A4657" t="inlineStr">
        <is>
          <t>Li Hao Tan</t>
        </is>
      </c>
      <c r="B4657" t="inlineStr">
        <is>
          <t>Sponsor</t>
        </is>
      </c>
      <c r="C4657" t="inlineStr">
        <is>
          <t>Senior Director for Marketing, Communications &amp; Channel Alliances</t>
        </is>
      </c>
      <c r="D4657" t="inlineStr">
        <is>
          <t>CrimsonLogic (U.S.), Inc.</t>
        </is>
      </c>
      <c r="H4657" t="n">
        <v>-6</v>
      </c>
      <c r="I4657" t="b">
        <v>0</v>
      </c>
      <c r="J4657" t="b">
        <v>0</v>
      </c>
      <c r="K4657" t="b">
        <v>0</v>
      </c>
      <c r="L4657" t="b">
        <v>0</v>
      </c>
      <c r="M4657" t="b">
        <v>1</v>
      </c>
      <c r="N4657">
        <f>IFERROR(INDEX('Company Hitlist'!$AA:$AA,MATCH(D4657,'Company Hitlist'!$A:$A,0)),)</f>
        <v/>
      </c>
      <c r="O4657">
        <f>IFERROR(INDEX('Company Hitlist'!$N:$N,MATCH(D4657,'Company Hitlist'!$A:$A,0)),)</f>
        <v/>
      </c>
      <c r="Q4657" t="inlineStr">
        <is>
          <t>todo</t>
        </is>
      </c>
    </row>
    <row r="4658">
      <c r="A4658" t="inlineStr">
        <is>
          <t>Matthew Fung</t>
        </is>
      </c>
      <c r="B4658" t="inlineStr">
        <is>
          <t>Sponsor</t>
        </is>
      </c>
      <c r="C4658" t="inlineStr">
        <is>
          <t>Assistant Director, Commercial Growth &amp; Accounts</t>
        </is>
      </c>
      <c r="D4658" t="inlineStr">
        <is>
          <t>CrimsonLogic (U.S.), Inc.</t>
        </is>
      </c>
      <c r="H4658" t="n">
        <v>-6</v>
      </c>
      <c r="I4658" t="b">
        <v>0</v>
      </c>
      <c r="J4658" t="b">
        <v>0</v>
      </c>
      <c r="K4658" t="b">
        <v>0</v>
      </c>
      <c r="L4658" t="b">
        <v>0</v>
      </c>
      <c r="M4658" t="b">
        <v>1</v>
      </c>
      <c r="N4658">
        <f>IFERROR(INDEX('Company Hitlist'!$AA:$AA,MATCH(D4658,'Company Hitlist'!$A:$A,0)),)</f>
        <v/>
      </c>
      <c r="O4658">
        <f>IFERROR(INDEX('Company Hitlist'!$N:$N,MATCH(D4658,'Company Hitlist'!$A:$A,0)),)</f>
        <v/>
      </c>
      <c r="Q4658" t="inlineStr">
        <is>
          <t>todo</t>
        </is>
      </c>
    </row>
    <row r="4659">
      <c r="A4659" t="inlineStr">
        <is>
          <t>Scooter Sayers</t>
        </is>
      </c>
      <c r="B4659" t="inlineStr">
        <is>
          <t>Sponsor</t>
        </is>
      </c>
      <c r="C4659" t="inlineStr">
        <is>
          <t>Director of Business Development - LTL Solutions</t>
        </is>
      </c>
      <c r="D4659" t="inlineStr">
        <is>
          <t>Cubiscan</t>
        </is>
      </c>
      <c r="E4659" t="inlineStr">
        <is>
          <t>United States</t>
        </is>
      </c>
      <c r="H4659" t="n">
        <v>-6</v>
      </c>
      <c r="I4659" t="b">
        <v>0</v>
      </c>
      <c r="J4659" t="b">
        <v>0</v>
      </c>
      <c r="K4659" t="b">
        <v>0</v>
      </c>
      <c r="L4659" t="b">
        <v>0</v>
      </c>
      <c r="M4659" t="b">
        <v>1</v>
      </c>
      <c r="N4659">
        <f>IFERROR(INDEX('Company Hitlist'!$AA:$AA,MATCH(D4659,'Company Hitlist'!$A:$A,0)),)</f>
        <v/>
      </c>
      <c r="O4659">
        <f>IFERROR(INDEX('Company Hitlist'!$N:$N,MATCH(D4659,'Company Hitlist'!$A:$A,0)),)</f>
        <v/>
      </c>
      <c r="Q4659" t="inlineStr">
        <is>
          <t>todo</t>
        </is>
      </c>
    </row>
    <row r="4660">
      <c r="A4660" t="inlineStr">
        <is>
          <t>Valeria Sandoval</t>
        </is>
      </c>
      <c r="B4660" t="inlineStr">
        <is>
          <t>Sponsor</t>
        </is>
      </c>
      <c r="C4660" t="inlineStr">
        <is>
          <t>Marketing Executive</t>
        </is>
      </c>
      <c r="D4660" t="inlineStr">
        <is>
          <t>CustomsCity</t>
        </is>
      </c>
      <c r="E4660" t="inlineStr">
        <is>
          <t>Canada</t>
        </is>
      </c>
      <c r="H4660" t="n">
        <v>-6</v>
      </c>
      <c r="I4660" t="b">
        <v>0</v>
      </c>
      <c r="J4660" t="b">
        <v>0</v>
      </c>
      <c r="K4660" t="b">
        <v>0</v>
      </c>
      <c r="L4660" t="b">
        <v>0</v>
      </c>
      <c r="M4660" t="b">
        <v>1</v>
      </c>
      <c r="N4660">
        <f>IFERROR(INDEX('Company Hitlist'!$AA:$AA,MATCH(D4660,'Company Hitlist'!$A:$A,0)),)</f>
        <v/>
      </c>
      <c r="O4660">
        <f>IFERROR(INDEX('Company Hitlist'!$N:$N,MATCH(D4660,'Company Hitlist'!$A:$A,0)),)</f>
        <v/>
      </c>
      <c r="Q4660" t="inlineStr">
        <is>
          <t>todo</t>
        </is>
      </c>
    </row>
    <row r="4661">
      <c r="A4661" t="inlineStr">
        <is>
          <t>David Scandlyn</t>
        </is>
      </c>
      <c r="B4661" t="inlineStr">
        <is>
          <t>Sponsor</t>
        </is>
      </c>
      <c r="C4661" t="inlineStr">
        <is>
          <t>Director, Broker Sales</t>
        </is>
      </c>
      <c r="D4661" t="inlineStr">
        <is>
          <t>DAT Freight &amp; Analytics</t>
        </is>
      </c>
      <c r="E4661" t="inlineStr">
        <is>
          <t>United States</t>
        </is>
      </c>
      <c r="H4661" t="n">
        <v>-6</v>
      </c>
      <c r="I4661" t="b">
        <v>0</v>
      </c>
      <c r="J4661" t="b">
        <v>0</v>
      </c>
      <c r="K4661" t="b">
        <v>0</v>
      </c>
      <c r="L4661" t="b">
        <v>0</v>
      </c>
      <c r="M4661" t="b">
        <v>1</v>
      </c>
      <c r="N4661">
        <f>IFERROR(INDEX('Company Hitlist'!$AA:$AA,MATCH(D4661,'Company Hitlist'!$A:$A,0)),)</f>
        <v/>
      </c>
      <c r="O4661">
        <f>IFERROR(INDEX('Company Hitlist'!$N:$N,MATCH(D4661,'Company Hitlist'!$A:$A,0)),)</f>
        <v/>
      </c>
      <c r="Q4661" t="inlineStr">
        <is>
          <t>todo</t>
        </is>
      </c>
    </row>
    <row r="4662">
      <c r="A4662" t="inlineStr">
        <is>
          <t>Patrick Pretorius</t>
        </is>
      </c>
      <c r="B4662" t="inlineStr">
        <is>
          <t>Sponsor</t>
        </is>
      </c>
      <c r="C4662" t="inlineStr">
        <is>
          <t>Sr. Dir, Enterprise Sales</t>
        </is>
      </c>
      <c r="D4662" t="inlineStr">
        <is>
          <t>DAT Freight &amp; Analytics</t>
        </is>
      </c>
      <c r="E4662" t="inlineStr">
        <is>
          <t>United States</t>
        </is>
      </c>
      <c r="H4662" t="n">
        <v>-6</v>
      </c>
      <c r="I4662" t="b">
        <v>0</v>
      </c>
      <c r="J4662" t="b">
        <v>0</v>
      </c>
      <c r="K4662" t="b">
        <v>0</v>
      </c>
      <c r="L4662" t="b">
        <v>0</v>
      </c>
      <c r="M4662" t="b">
        <v>1</v>
      </c>
      <c r="N4662">
        <f>IFERROR(INDEX('Company Hitlist'!$AA:$AA,MATCH(D4662,'Company Hitlist'!$A:$A,0)),)</f>
        <v/>
      </c>
      <c r="O4662">
        <f>IFERROR(INDEX('Company Hitlist'!$N:$N,MATCH(D4662,'Company Hitlist'!$A:$A,0)),)</f>
        <v/>
      </c>
      <c r="Q4662" t="inlineStr">
        <is>
          <t>todo</t>
        </is>
      </c>
    </row>
    <row r="4663">
      <c r="A4663" t="inlineStr">
        <is>
          <t>Angela Burd</t>
        </is>
      </c>
      <c r="B4663" t="inlineStr">
        <is>
          <t>Sponsor</t>
        </is>
      </c>
      <c r="C4663" t="inlineStr">
        <is>
          <t>Director of Events, Marketing &amp; Engagement</t>
        </is>
      </c>
      <c r="D4663" t="inlineStr">
        <is>
          <t>DHL Supply Chain</t>
        </is>
      </c>
      <c r="E4663" t="inlineStr">
        <is>
          <t>United States</t>
        </is>
      </c>
      <c r="F4663" t="inlineStr">
        <is>
          <t>Yes</t>
        </is>
      </c>
      <c r="G4663" t="inlineStr">
        <is>
          <t>$80B (2024; projected $82B in 2025)</t>
        </is>
      </c>
      <c r="H4663" t="n">
        <v>-6</v>
      </c>
      <c r="I4663" t="b">
        <v>0</v>
      </c>
      <c r="J4663" t="b">
        <v>0</v>
      </c>
      <c r="K4663" t="b">
        <v>0</v>
      </c>
      <c r="L4663" t="b">
        <v>0</v>
      </c>
      <c r="M4663" t="b">
        <v>1</v>
      </c>
      <c r="N4663">
        <f>IFERROR(INDEX('Company Hitlist'!$AA:$AA,MATCH(D4663,'Company Hitlist'!$A:$A,0)),)</f>
        <v/>
      </c>
      <c r="O4663">
        <f>IFERROR(INDEX('Company Hitlist'!$N:$N,MATCH(D4663,'Company Hitlist'!$A:$A,0)),)</f>
        <v/>
      </c>
      <c r="Q4663" t="inlineStr">
        <is>
          <t>todo</t>
        </is>
      </c>
    </row>
    <row r="4664">
      <c r="A4664" t="inlineStr">
        <is>
          <t>Heather Zeigler</t>
        </is>
      </c>
      <c r="B4664" t="inlineStr">
        <is>
          <t>Sponsor</t>
        </is>
      </c>
      <c r="C4664" t="inlineStr">
        <is>
          <t>Senior Director, Experiential Marketing &amp; Engagement</t>
        </is>
      </c>
      <c r="D4664" t="inlineStr">
        <is>
          <t>DHL Supply Chain</t>
        </is>
      </c>
      <c r="E4664" t="inlineStr">
        <is>
          <t>United States</t>
        </is>
      </c>
      <c r="F4664" t="inlineStr">
        <is>
          <t>Yes</t>
        </is>
      </c>
      <c r="G4664" t="inlineStr">
        <is>
          <t>$80B (2024; projected $82B in 2025)</t>
        </is>
      </c>
      <c r="H4664" t="n">
        <v>-6</v>
      </c>
      <c r="I4664" t="b">
        <v>0</v>
      </c>
      <c r="J4664" t="b">
        <v>0</v>
      </c>
      <c r="K4664" t="b">
        <v>0</v>
      </c>
      <c r="L4664" t="b">
        <v>0</v>
      </c>
      <c r="M4664" t="b">
        <v>1</v>
      </c>
      <c r="N4664">
        <f>IFERROR(INDEX('Company Hitlist'!$AA:$AA,MATCH(D4664,'Company Hitlist'!$A:$A,0)),)</f>
        <v/>
      </c>
      <c r="O4664">
        <f>IFERROR(INDEX('Company Hitlist'!$N:$N,MATCH(D4664,'Company Hitlist'!$A:$A,0)),)</f>
        <v/>
      </c>
      <c r="Q4664" t="inlineStr">
        <is>
          <t>todo</t>
        </is>
      </c>
    </row>
    <row r="4665">
      <c r="A4665" t="inlineStr">
        <is>
          <t>Lesley Aldrich</t>
        </is>
      </c>
      <c r="B4665" t="inlineStr">
        <is>
          <t>Sponsor</t>
        </is>
      </c>
      <c r="C4665" t="inlineStr">
        <is>
          <t>Senior Director of Marketing</t>
        </is>
      </c>
      <c r="D4665" t="inlineStr">
        <is>
          <t>DHL Supply Chain</t>
        </is>
      </c>
      <c r="E4665" t="inlineStr">
        <is>
          <t>United States</t>
        </is>
      </c>
      <c r="F4665" t="inlineStr">
        <is>
          <t>Yes</t>
        </is>
      </c>
      <c r="G4665" t="inlineStr">
        <is>
          <t>$80B (2024; projected $82B in 2025)</t>
        </is>
      </c>
      <c r="H4665" t="n">
        <v>-6</v>
      </c>
      <c r="I4665" t="b">
        <v>0</v>
      </c>
      <c r="J4665" t="b">
        <v>0</v>
      </c>
      <c r="K4665" t="b">
        <v>0</v>
      </c>
      <c r="L4665" t="b">
        <v>0</v>
      </c>
      <c r="M4665" t="b">
        <v>1</v>
      </c>
      <c r="N4665">
        <f>IFERROR(INDEX('Company Hitlist'!$AA:$AA,MATCH(D4665,'Company Hitlist'!$A:$A,0)),)</f>
        <v/>
      </c>
      <c r="O4665">
        <f>IFERROR(INDEX('Company Hitlist'!$N:$N,MATCH(D4665,'Company Hitlist'!$A:$A,0)),)</f>
        <v/>
      </c>
      <c r="Q4665" t="inlineStr">
        <is>
          <t>todo</t>
        </is>
      </c>
    </row>
    <row r="4666">
      <c r="A4666" t="inlineStr">
        <is>
          <t>Mike DeFabis</t>
        </is>
      </c>
      <c r="B4666" t="inlineStr">
        <is>
          <t>Sponsor</t>
        </is>
      </c>
      <c r="C4666" t="inlineStr">
        <is>
          <t>DFN Sales Leader</t>
        </is>
      </c>
      <c r="D4666" t="inlineStr">
        <is>
          <t>DHL Supply Chain</t>
        </is>
      </c>
      <c r="H4666" t="n">
        <v>-6</v>
      </c>
      <c r="I4666" t="b">
        <v>0</v>
      </c>
      <c r="J4666" t="b">
        <v>0</v>
      </c>
      <c r="K4666" t="b">
        <v>0</v>
      </c>
      <c r="L4666" t="b">
        <v>0</v>
      </c>
      <c r="M4666" t="b">
        <v>1</v>
      </c>
      <c r="N4666">
        <f>IFERROR(INDEX('Company Hitlist'!$AA:$AA,MATCH(D4666,'Company Hitlist'!$A:$A,0)),)</f>
        <v/>
      </c>
      <c r="O4666">
        <f>IFERROR(INDEX('Company Hitlist'!$N:$N,MATCH(D4666,'Company Hitlist'!$A:$A,0)),)</f>
        <v/>
      </c>
      <c r="Q4666" t="inlineStr">
        <is>
          <t>todo</t>
        </is>
      </c>
    </row>
    <row r="4667">
      <c r="A4667" t="inlineStr">
        <is>
          <t>Maggie Butler</t>
        </is>
      </c>
      <c r="B4667" t="inlineStr">
        <is>
          <t>Sponsor</t>
        </is>
      </c>
      <c r="C4667" t="inlineStr">
        <is>
          <t>Event Marketing Manager</t>
        </is>
      </c>
      <c r="D4667" t="inlineStr">
        <is>
          <t>DHL Supply Chain</t>
        </is>
      </c>
      <c r="E4667" t="inlineStr">
        <is>
          <t>United States</t>
        </is>
      </c>
      <c r="H4667" t="n">
        <v>-6</v>
      </c>
      <c r="I4667" t="b">
        <v>0</v>
      </c>
      <c r="J4667" t="b">
        <v>0</v>
      </c>
      <c r="K4667" t="b">
        <v>0</v>
      </c>
      <c r="L4667" t="b">
        <v>0</v>
      </c>
      <c r="M4667" t="b">
        <v>1</v>
      </c>
      <c r="N4667">
        <f>IFERROR(INDEX('Company Hitlist'!$AA:$AA,MATCH(D4667,'Company Hitlist'!$A:$A,0)),)</f>
        <v/>
      </c>
      <c r="O4667">
        <f>IFERROR(INDEX('Company Hitlist'!$N:$N,MATCH(D4667,'Company Hitlist'!$A:$A,0)),)</f>
        <v/>
      </c>
      <c r="Q4667" t="inlineStr">
        <is>
          <t>todo</t>
        </is>
      </c>
    </row>
    <row r="4668">
      <c r="A4668" t="inlineStr">
        <is>
          <t>Olivia Montell</t>
        </is>
      </c>
      <c r="B4668" t="inlineStr">
        <is>
          <t>Sponsor</t>
        </is>
      </c>
      <c r="C4668" t="inlineStr">
        <is>
          <t>Senior Marketing Manager</t>
        </is>
      </c>
      <c r="D4668" t="inlineStr">
        <is>
          <t>DHL Supply Chain</t>
        </is>
      </c>
      <c r="E4668" t="inlineStr">
        <is>
          <t>United States</t>
        </is>
      </c>
      <c r="H4668" t="n">
        <v>-6</v>
      </c>
      <c r="I4668" t="b">
        <v>0</v>
      </c>
      <c r="J4668" t="b">
        <v>0</v>
      </c>
      <c r="K4668" t="b">
        <v>0</v>
      </c>
      <c r="L4668" t="b">
        <v>0</v>
      </c>
      <c r="M4668" t="b">
        <v>1</v>
      </c>
      <c r="N4668">
        <f>IFERROR(INDEX('Company Hitlist'!$AA:$AA,MATCH(D4668,'Company Hitlist'!$A:$A,0)),)</f>
        <v/>
      </c>
      <c r="O4668">
        <f>IFERROR(INDEX('Company Hitlist'!$N:$N,MATCH(D4668,'Company Hitlist'!$A:$A,0)),)</f>
        <v/>
      </c>
      <c r="Q4668" t="inlineStr">
        <is>
          <t>todo</t>
        </is>
      </c>
    </row>
    <row r="4669">
      <c r="A4669" t="inlineStr">
        <is>
          <t>Bawi Tha Ceu</t>
        </is>
      </c>
      <c r="B4669" t="inlineStr">
        <is>
          <t>Sponsor</t>
        </is>
      </c>
      <c r="C4669" t="inlineStr">
        <is>
          <t>Senior Business Development Analyst</t>
        </is>
      </c>
      <c r="D4669" t="inlineStr">
        <is>
          <t>DHL Supply Chain</t>
        </is>
      </c>
      <c r="E4669" t="inlineStr">
        <is>
          <t>United States</t>
        </is>
      </c>
      <c r="H4669" t="n">
        <v>-6</v>
      </c>
      <c r="I4669" t="b">
        <v>0</v>
      </c>
      <c r="J4669" t="b">
        <v>0</v>
      </c>
      <c r="K4669" t="b">
        <v>0</v>
      </c>
      <c r="L4669" t="b">
        <v>0</v>
      </c>
      <c r="M4669" t="b">
        <v>1</v>
      </c>
      <c r="N4669">
        <f>IFERROR(INDEX('Company Hitlist'!$AA:$AA,MATCH(D4669,'Company Hitlist'!$A:$A,0)),)</f>
        <v/>
      </c>
      <c r="O4669">
        <f>IFERROR(INDEX('Company Hitlist'!$N:$N,MATCH(D4669,'Company Hitlist'!$A:$A,0)),)</f>
        <v/>
      </c>
      <c r="Q4669" t="inlineStr">
        <is>
          <t>todo</t>
        </is>
      </c>
    </row>
    <row r="4670">
      <c r="A4670" t="inlineStr">
        <is>
          <t>Brandon Florman</t>
        </is>
      </c>
      <c r="B4670" t="inlineStr">
        <is>
          <t>Sponsor</t>
        </is>
      </c>
      <c r="C4670" t="inlineStr">
        <is>
          <t>Director Business Development</t>
        </is>
      </c>
      <c r="D4670" t="inlineStr">
        <is>
          <t>DHL Supply Chain</t>
        </is>
      </c>
      <c r="E4670" t="inlineStr">
        <is>
          <t>United States</t>
        </is>
      </c>
      <c r="H4670" t="n">
        <v>-6</v>
      </c>
      <c r="I4670" t="b">
        <v>0</v>
      </c>
      <c r="J4670" t="b">
        <v>0</v>
      </c>
      <c r="K4670" t="b">
        <v>0</v>
      </c>
      <c r="L4670" t="b">
        <v>0</v>
      </c>
      <c r="M4670" t="b">
        <v>1</v>
      </c>
      <c r="N4670">
        <f>IFERROR(INDEX('Company Hitlist'!$AA:$AA,MATCH(D4670,'Company Hitlist'!$A:$A,0)),)</f>
        <v/>
      </c>
      <c r="O4670">
        <f>IFERROR(INDEX('Company Hitlist'!$N:$N,MATCH(D4670,'Company Hitlist'!$A:$A,0)),)</f>
        <v/>
      </c>
      <c r="Q4670" t="inlineStr">
        <is>
          <t>todo</t>
        </is>
      </c>
    </row>
    <row r="4671">
      <c r="A4671" t="inlineStr">
        <is>
          <t>Connie Avadic</t>
        </is>
      </c>
      <c r="B4671" t="inlineStr">
        <is>
          <t>Sponsor</t>
        </is>
      </c>
      <c r="C4671" t="inlineStr">
        <is>
          <t>Director Business Development</t>
        </is>
      </c>
      <c r="D4671" t="inlineStr">
        <is>
          <t>DHL Supply Chain</t>
        </is>
      </c>
      <c r="E4671" t="inlineStr">
        <is>
          <t>United States</t>
        </is>
      </c>
      <c r="H4671" t="n">
        <v>-6</v>
      </c>
      <c r="I4671" t="b">
        <v>0</v>
      </c>
      <c r="J4671" t="b">
        <v>0</v>
      </c>
      <c r="K4671" t="b">
        <v>0</v>
      </c>
      <c r="L4671" t="b">
        <v>0</v>
      </c>
      <c r="M4671" t="b">
        <v>1</v>
      </c>
      <c r="N4671">
        <f>IFERROR(INDEX('Company Hitlist'!$AA:$AA,MATCH(D4671,'Company Hitlist'!$A:$A,0)),)</f>
        <v/>
      </c>
      <c r="O4671">
        <f>IFERROR(INDEX('Company Hitlist'!$N:$N,MATCH(D4671,'Company Hitlist'!$A:$A,0)),)</f>
        <v/>
      </c>
      <c r="Q4671" t="inlineStr">
        <is>
          <t>todo</t>
        </is>
      </c>
    </row>
    <row r="4672">
      <c r="A4672" t="inlineStr">
        <is>
          <t>Garrett Morrissey</t>
        </is>
      </c>
      <c r="B4672" t="inlineStr">
        <is>
          <t>Sponsor</t>
        </is>
      </c>
      <c r="C4672" t="inlineStr">
        <is>
          <t>Business Development Manager</t>
        </is>
      </c>
      <c r="D4672" t="inlineStr">
        <is>
          <t>DHL Supply Chain</t>
        </is>
      </c>
      <c r="E4672" t="inlineStr">
        <is>
          <t>United States</t>
        </is>
      </c>
      <c r="H4672" t="n">
        <v>-6</v>
      </c>
      <c r="I4672" t="b">
        <v>0</v>
      </c>
      <c r="J4672" t="b">
        <v>0</v>
      </c>
      <c r="K4672" t="b">
        <v>0</v>
      </c>
      <c r="L4672" t="b">
        <v>0</v>
      </c>
      <c r="M4672" t="b">
        <v>1</v>
      </c>
      <c r="N4672">
        <f>IFERROR(INDEX('Company Hitlist'!$AA:$AA,MATCH(D4672,'Company Hitlist'!$A:$A,0)),)</f>
        <v/>
      </c>
      <c r="O4672">
        <f>IFERROR(INDEX('Company Hitlist'!$N:$N,MATCH(D4672,'Company Hitlist'!$A:$A,0)),)</f>
        <v/>
      </c>
      <c r="Q4672" t="inlineStr">
        <is>
          <t>todo</t>
        </is>
      </c>
    </row>
    <row r="4673">
      <c r="A4673" t="inlineStr">
        <is>
          <t>Matthew Hiett</t>
        </is>
      </c>
      <c r="B4673" t="inlineStr">
        <is>
          <t>Sponsor</t>
        </is>
      </c>
      <c r="C4673" t="inlineStr">
        <is>
          <t>Senior Business Development Analyst</t>
        </is>
      </c>
      <c r="D4673" t="inlineStr">
        <is>
          <t>DHL Supply Chain</t>
        </is>
      </c>
      <c r="E4673" t="inlineStr">
        <is>
          <t>United States</t>
        </is>
      </c>
      <c r="H4673" t="n">
        <v>-6</v>
      </c>
      <c r="I4673" t="b">
        <v>0</v>
      </c>
      <c r="J4673" t="b">
        <v>0</v>
      </c>
      <c r="K4673" t="b">
        <v>0</v>
      </c>
      <c r="L4673" t="b">
        <v>0</v>
      </c>
      <c r="M4673" t="b">
        <v>1</v>
      </c>
      <c r="N4673">
        <f>IFERROR(INDEX('Company Hitlist'!$AA:$AA,MATCH(D4673,'Company Hitlist'!$A:$A,0)),)</f>
        <v/>
      </c>
      <c r="O4673">
        <f>IFERROR(INDEX('Company Hitlist'!$N:$N,MATCH(D4673,'Company Hitlist'!$A:$A,0)),)</f>
        <v/>
      </c>
      <c r="Q4673" t="inlineStr">
        <is>
          <t>todo</t>
        </is>
      </c>
    </row>
    <row r="4674">
      <c r="A4674" t="inlineStr">
        <is>
          <t>Meagan Maguire</t>
        </is>
      </c>
      <c r="B4674" t="inlineStr">
        <is>
          <t>Sponsor</t>
        </is>
      </c>
      <c r="C4674" t="inlineStr">
        <is>
          <t>Business Development Analyst</t>
        </is>
      </c>
      <c r="D4674" t="inlineStr">
        <is>
          <t>DHL Supply Chain</t>
        </is>
      </c>
      <c r="E4674" t="inlineStr">
        <is>
          <t>United States</t>
        </is>
      </c>
      <c r="H4674" t="n">
        <v>-6</v>
      </c>
      <c r="I4674" t="b">
        <v>0</v>
      </c>
      <c r="J4674" t="b">
        <v>0</v>
      </c>
      <c r="K4674" t="b">
        <v>0</v>
      </c>
      <c r="L4674" t="b">
        <v>0</v>
      </c>
      <c r="M4674" t="b">
        <v>1</v>
      </c>
      <c r="N4674">
        <f>IFERROR(INDEX('Company Hitlist'!$AA:$AA,MATCH(D4674,'Company Hitlist'!$A:$A,0)),)</f>
        <v/>
      </c>
      <c r="O4674">
        <f>IFERROR(INDEX('Company Hitlist'!$N:$N,MATCH(D4674,'Company Hitlist'!$A:$A,0)),)</f>
        <v/>
      </c>
      <c r="Q4674" t="inlineStr">
        <is>
          <t>todo</t>
        </is>
      </c>
    </row>
    <row r="4675">
      <c r="A4675" t="inlineStr">
        <is>
          <t>Nick Torpey</t>
        </is>
      </c>
      <c r="B4675" t="inlineStr">
        <is>
          <t>Sponsor</t>
        </is>
      </c>
      <c r="C4675" t="inlineStr">
        <is>
          <t>Senior Director Business Development</t>
        </is>
      </c>
      <c r="D4675" t="inlineStr">
        <is>
          <t>DHL Supply Chain</t>
        </is>
      </c>
      <c r="E4675" t="inlineStr">
        <is>
          <t>United States</t>
        </is>
      </c>
      <c r="H4675" t="n">
        <v>-6</v>
      </c>
      <c r="I4675" t="b">
        <v>0</v>
      </c>
      <c r="J4675" t="b">
        <v>0</v>
      </c>
      <c r="K4675" t="b">
        <v>0</v>
      </c>
      <c r="L4675" t="b">
        <v>0</v>
      </c>
      <c r="M4675" t="b">
        <v>1</v>
      </c>
      <c r="N4675">
        <f>IFERROR(INDEX('Company Hitlist'!$AA:$AA,MATCH(D4675,'Company Hitlist'!$A:$A,0)),)</f>
        <v/>
      </c>
      <c r="O4675">
        <f>IFERROR(INDEX('Company Hitlist'!$N:$N,MATCH(D4675,'Company Hitlist'!$A:$A,0)),)</f>
        <v/>
      </c>
      <c r="Q4675" t="inlineStr">
        <is>
          <t>todo</t>
        </is>
      </c>
    </row>
    <row r="4676">
      <c r="A4676" t="inlineStr">
        <is>
          <t>Robbie Stansfield</t>
        </is>
      </c>
      <c r="B4676" t="inlineStr">
        <is>
          <t>Sponsor</t>
        </is>
      </c>
      <c r="C4676" t="inlineStr">
        <is>
          <t>Director Business Development</t>
        </is>
      </c>
      <c r="D4676" t="inlineStr">
        <is>
          <t>DHL Supply Chain</t>
        </is>
      </c>
      <c r="E4676" t="inlineStr">
        <is>
          <t>United States</t>
        </is>
      </c>
      <c r="H4676" t="n">
        <v>-6</v>
      </c>
      <c r="I4676" t="b">
        <v>0</v>
      </c>
      <c r="J4676" t="b">
        <v>0</v>
      </c>
      <c r="K4676" t="b">
        <v>0</v>
      </c>
      <c r="L4676" t="b">
        <v>0</v>
      </c>
      <c r="M4676" t="b">
        <v>1</v>
      </c>
      <c r="N4676">
        <f>IFERROR(INDEX('Company Hitlist'!$AA:$AA,MATCH(D4676,'Company Hitlist'!$A:$A,0)),)</f>
        <v/>
      </c>
      <c r="O4676">
        <f>IFERROR(INDEX('Company Hitlist'!$N:$N,MATCH(D4676,'Company Hitlist'!$A:$A,0)),)</f>
        <v/>
      </c>
      <c r="Q4676" t="inlineStr">
        <is>
          <t>todo</t>
        </is>
      </c>
    </row>
    <row r="4677">
      <c r="A4677" t="inlineStr">
        <is>
          <t>William Yeater</t>
        </is>
      </c>
      <c r="B4677" t="inlineStr">
        <is>
          <t>Sponsor</t>
        </is>
      </c>
      <c r="C4677" t="inlineStr">
        <is>
          <t>Business Development Manager</t>
        </is>
      </c>
      <c r="D4677" t="inlineStr">
        <is>
          <t>DHL Supply Chain</t>
        </is>
      </c>
      <c r="E4677" t="inlineStr">
        <is>
          <t>United States</t>
        </is>
      </c>
      <c r="H4677" t="n">
        <v>-6</v>
      </c>
      <c r="I4677" t="b">
        <v>0</v>
      </c>
      <c r="J4677" t="b">
        <v>0</v>
      </c>
      <c r="K4677" t="b">
        <v>0</v>
      </c>
      <c r="L4677" t="b">
        <v>0</v>
      </c>
      <c r="M4677" t="b">
        <v>1</v>
      </c>
      <c r="N4677">
        <f>IFERROR(INDEX('Company Hitlist'!$AA:$AA,MATCH(D4677,'Company Hitlist'!$A:$A,0)),)</f>
        <v/>
      </c>
      <c r="O4677">
        <f>IFERROR(INDEX('Company Hitlist'!$N:$N,MATCH(D4677,'Company Hitlist'!$A:$A,0)),)</f>
        <v/>
      </c>
      <c r="Q4677" t="inlineStr">
        <is>
          <t>todo</t>
        </is>
      </c>
    </row>
    <row r="4678">
      <c r="A4678" t="inlineStr">
        <is>
          <t>Aline Friedrich</t>
        </is>
      </c>
      <c r="B4678" t="inlineStr">
        <is>
          <t>Sponsor</t>
        </is>
      </c>
      <c r="C4678" t="inlineStr">
        <is>
          <t>Sr. Director Business Development</t>
        </is>
      </c>
      <c r="D4678" t="inlineStr">
        <is>
          <t>DHL Supply Chain</t>
        </is>
      </c>
      <c r="H4678" t="n">
        <v>-6</v>
      </c>
      <c r="I4678" t="b">
        <v>0</v>
      </c>
      <c r="J4678" t="b">
        <v>0</v>
      </c>
      <c r="K4678" t="b">
        <v>0</v>
      </c>
      <c r="L4678" t="b">
        <v>0</v>
      </c>
      <c r="M4678" t="b">
        <v>1</v>
      </c>
      <c r="N4678">
        <f>IFERROR(INDEX('Company Hitlist'!$AA:$AA,MATCH(D4678,'Company Hitlist'!$A:$A,0)),)</f>
        <v/>
      </c>
      <c r="O4678">
        <f>IFERROR(INDEX('Company Hitlist'!$N:$N,MATCH(D4678,'Company Hitlist'!$A:$A,0)),)</f>
        <v/>
      </c>
      <c r="Q4678" t="inlineStr">
        <is>
          <t>todo</t>
        </is>
      </c>
    </row>
    <row r="4679">
      <c r="A4679" t="inlineStr">
        <is>
          <t>Andrew Ellis</t>
        </is>
      </c>
      <c r="B4679" t="inlineStr">
        <is>
          <t>Sponsor</t>
        </is>
      </c>
      <c r="C4679" t="inlineStr">
        <is>
          <t>Senior Business Development Analyst</t>
        </is>
      </c>
      <c r="D4679" t="inlineStr">
        <is>
          <t>DHL Supply Chain</t>
        </is>
      </c>
      <c r="H4679" t="n">
        <v>-6</v>
      </c>
      <c r="I4679" t="b">
        <v>0</v>
      </c>
      <c r="J4679" t="b">
        <v>0</v>
      </c>
      <c r="K4679" t="b">
        <v>0</v>
      </c>
      <c r="L4679" t="b">
        <v>0</v>
      </c>
      <c r="M4679" t="b">
        <v>1</v>
      </c>
      <c r="N4679">
        <f>IFERROR(INDEX('Company Hitlist'!$AA:$AA,MATCH(D4679,'Company Hitlist'!$A:$A,0)),)</f>
        <v/>
      </c>
      <c r="O4679">
        <f>IFERROR(INDEX('Company Hitlist'!$N:$N,MATCH(D4679,'Company Hitlist'!$A:$A,0)),)</f>
        <v/>
      </c>
      <c r="Q4679" t="inlineStr">
        <is>
          <t>todo</t>
        </is>
      </c>
    </row>
    <row r="4680">
      <c r="A4680" t="inlineStr">
        <is>
          <t>Andrew Kloss</t>
        </is>
      </c>
      <c r="B4680" t="inlineStr">
        <is>
          <t>Sponsor</t>
        </is>
      </c>
      <c r="C4680" t="inlineStr">
        <is>
          <t>Business Development Analyst</t>
        </is>
      </c>
      <c r="D4680" t="inlineStr">
        <is>
          <t>DHL Supply Chain</t>
        </is>
      </c>
      <c r="H4680" t="n">
        <v>-6</v>
      </c>
      <c r="I4680" t="b">
        <v>0</v>
      </c>
      <c r="J4680" t="b">
        <v>0</v>
      </c>
      <c r="K4680" t="b">
        <v>0</v>
      </c>
      <c r="L4680" t="b">
        <v>0</v>
      </c>
      <c r="M4680" t="b">
        <v>1</v>
      </c>
      <c r="N4680">
        <f>IFERROR(INDEX('Company Hitlist'!$AA:$AA,MATCH(D4680,'Company Hitlist'!$A:$A,0)),)</f>
        <v/>
      </c>
      <c r="O4680">
        <f>IFERROR(INDEX('Company Hitlist'!$N:$N,MATCH(D4680,'Company Hitlist'!$A:$A,0)),)</f>
        <v/>
      </c>
      <c r="Q4680" t="inlineStr">
        <is>
          <t>todo</t>
        </is>
      </c>
    </row>
    <row r="4681">
      <c r="A4681" t="inlineStr">
        <is>
          <t>Bob Wynes</t>
        </is>
      </c>
      <c r="B4681" t="inlineStr">
        <is>
          <t>Sponsor</t>
        </is>
      </c>
      <c r="C4681" t="inlineStr">
        <is>
          <t>Senior Director Business Development</t>
        </is>
      </c>
      <c r="D4681" t="inlineStr">
        <is>
          <t>DHL Supply Chain</t>
        </is>
      </c>
      <c r="H4681" t="n">
        <v>-6</v>
      </c>
      <c r="I4681" t="b">
        <v>0</v>
      </c>
      <c r="J4681" t="b">
        <v>0</v>
      </c>
      <c r="K4681" t="b">
        <v>0</v>
      </c>
      <c r="L4681" t="b">
        <v>0</v>
      </c>
      <c r="M4681" t="b">
        <v>1</v>
      </c>
      <c r="N4681">
        <f>IFERROR(INDEX('Company Hitlist'!$AA:$AA,MATCH(D4681,'Company Hitlist'!$A:$A,0)),)</f>
        <v/>
      </c>
      <c r="O4681">
        <f>IFERROR(INDEX('Company Hitlist'!$N:$N,MATCH(D4681,'Company Hitlist'!$A:$A,0)),)</f>
        <v/>
      </c>
      <c r="Q4681" t="inlineStr">
        <is>
          <t>todo</t>
        </is>
      </c>
    </row>
    <row r="4682">
      <c r="A4682" t="inlineStr">
        <is>
          <t>Brian Abbott</t>
        </is>
      </c>
      <c r="B4682" t="inlineStr">
        <is>
          <t>Sponsor</t>
        </is>
      </c>
      <c r="C4682" t="inlineStr">
        <is>
          <t>Senior Director Business Development</t>
        </is>
      </c>
      <c r="D4682" t="inlineStr">
        <is>
          <t>DHL Supply Chain</t>
        </is>
      </c>
      <c r="H4682" t="n">
        <v>-6</v>
      </c>
      <c r="I4682" t="b">
        <v>0</v>
      </c>
      <c r="J4682" t="b">
        <v>0</v>
      </c>
      <c r="K4682" t="b">
        <v>0</v>
      </c>
      <c r="L4682" t="b">
        <v>0</v>
      </c>
      <c r="M4682" t="b">
        <v>1</v>
      </c>
      <c r="N4682">
        <f>IFERROR(INDEX('Company Hitlist'!$AA:$AA,MATCH(D4682,'Company Hitlist'!$A:$A,0)),)</f>
        <v/>
      </c>
      <c r="O4682">
        <f>IFERROR(INDEX('Company Hitlist'!$N:$N,MATCH(D4682,'Company Hitlist'!$A:$A,0)),)</f>
        <v/>
      </c>
      <c r="Q4682" t="inlineStr">
        <is>
          <t>todo</t>
        </is>
      </c>
    </row>
    <row r="4683">
      <c r="A4683" t="inlineStr">
        <is>
          <t>Bridget Saia</t>
        </is>
      </c>
      <c r="B4683" t="inlineStr">
        <is>
          <t>Sponsor</t>
        </is>
      </c>
      <c r="C4683" t="inlineStr">
        <is>
          <t>Business Development Analyst</t>
        </is>
      </c>
      <c r="D4683" t="inlineStr">
        <is>
          <t>DHL Supply Chain</t>
        </is>
      </c>
      <c r="H4683" t="n">
        <v>-6</v>
      </c>
      <c r="I4683" t="b">
        <v>0</v>
      </c>
      <c r="J4683" t="b">
        <v>0</v>
      </c>
      <c r="K4683" t="b">
        <v>0</v>
      </c>
      <c r="L4683" t="b">
        <v>0</v>
      </c>
      <c r="M4683" t="b">
        <v>1</v>
      </c>
      <c r="N4683">
        <f>IFERROR(INDEX('Company Hitlist'!$AA:$AA,MATCH(D4683,'Company Hitlist'!$A:$A,0)),)</f>
        <v/>
      </c>
      <c r="O4683">
        <f>IFERROR(INDEX('Company Hitlist'!$N:$N,MATCH(D4683,'Company Hitlist'!$A:$A,0)),)</f>
        <v/>
      </c>
      <c r="Q4683" t="inlineStr">
        <is>
          <t>todo</t>
        </is>
      </c>
    </row>
    <row r="4684">
      <c r="A4684" t="inlineStr">
        <is>
          <t>Caio Rebello Chueiri</t>
        </is>
      </c>
      <c r="B4684" t="inlineStr">
        <is>
          <t>Sponsor</t>
        </is>
      </c>
      <c r="C4684" t="inlineStr">
        <is>
          <t>Senior Business Development Analyst</t>
        </is>
      </c>
      <c r="D4684" t="inlineStr">
        <is>
          <t>DHL Supply Chain</t>
        </is>
      </c>
      <c r="H4684" t="n">
        <v>-6</v>
      </c>
      <c r="I4684" t="b">
        <v>0</v>
      </c>
      <c r="J4684" t="b">
        <v>0</v>
      </c>
      <c r="K4684" t="b">
        <v>0</v>
      </c>
      <c r="L4684" t="b">
        <v>0</v>
      </c>
      <c r="M4684" t="b">
        <v>1</v>
      </c>
      <c r="N4684">
        <f>IFERROR(INDEX('Company Hitlist'!$AA:$AA,MATCH(D4684,'Company Hitlist'!$A:$A,0)),)</f>
        <v/>
      </c>
      <c r="O4684">
        <f>IFERROR(INDEX('Company Hitlist'!$N:$N,MATCH(D4684,'Company Hitlist'!$A:$A,0)),)</f>
        <v/>
      </c>
      <c r="Q4684" t="inlineStr">
        <is>
          <t>todo</t>
        </is>
      </c>
    </row>
    <row r="4685">
      <c r="A4685" t="inlineStr">
        <is>
          <t>Dennis Davis</t>
        </is>
      </c>
      <c r="B4685" t="inlineStr">
        <is>
          <t>Sponsor</t>
        </is>
      </c>
      <c r="C4685" t="inlineStr">
        <is>
          <t>Sr. Director Business Development</t>
        </is>
      </c>
      <c r="D4685" t="inlineStr">
        <is>
          <t>DHL Supply Chain</t>
        </is>
      </c>
      <c r="H4685" t="n">
        <v>-6</v>
      </c>
      <c r="I4685" t="b">
        <v>0</v>
      </c>
      <c r="J4685" t="b">
        <v>0</v>
      </c>
      <c r="K4685" t="b">
        <v>0</v>
      </c>
      <c r="L4685" t="b">
        <v>0</v>
      </c>
      <c r="M4685" t="b">
        <v>1</v>
      </c>
      <c r="N4685">
        <f>IFERROR(INDEX('Company Hitlist'!$AA:$AA,MATCH(D4685,'Company Hitlist'!$A:$A,0)),)</f>
        <v/>
      </c>
      <c r="O4685">
        <f>IFERROR(INDEX('Company Hitlist'!$N:$N,MATCH(D4685,'Company Hitlist'!$A:$A,0)),)</f>
        <v/>
      </c>
      <c r="Q4685" t="inlineStr">
        <is>
          <t>todo</t>
        </is>
      </c>
    </row>
    <row r="4686">
      <c r="A4686" t="inlineStr">
        <is>
          <t>Adam King</t>
        </is>
      </c>
      <c r="B4686" t="inlineStr">
        <is>
          <t>Sponsor</t>
        </is>
      </c>
      <c r="C4686" t="inlineStr">
        <is>
          <t>Director Business Development</t>
        </is>
      </c>
      <c r="D4686" t="inlineStr">
        <is>
          <t>DHL Supply Chain</t>
        </is>
      </c>
      <c r="H4686" t="n">
        <v>-6</v>
      </c>
      <c r="I4686" t="b">
        <v>0</v>
      </c>
      <c r="J4686" t="b">
        <v>0</v>
      </c>
      <c r="K4686" t="b">
        <v>0</v>
      </c>
      <c r="L4686" t="b">
        <v>0</v>
      </c>
      <c r="M4686" t="b">
        <v>1</v>
      </c>
      <c r="N4686">
        <f>IFERROR(INDEX('Company Hitlist'!$AA:$AA,MATCH(D4686,'Company Hitlist'!$A:$A,0)),)</f>
        <v/>
      </c>
      <c r="O4686">
        <f>IFERROR(INDEX('Company Hitlist'!$N:$N,MATCH(D4686,'Company Hitlist'!$A:$A,0)),)</f>
        <v/>
      </c>
      <c r="Q4686" t="inlineStr">
        <is>
          <t>todo</t>
        </is>
      </c>
    </row>
    <row r="4687">
      <c r="A4687" t="inlineStr">
        <is>
          <t>Giancarlo Delon</t>
        </is>
      </c>
      <c r="B4687" t="inlineStr">
        <is>
          <t>Sponsor</t>
        </is>
      </c>
      <c r="C4687" t="inlineStr">
        <is>
          <t>Director Business Development</t>
        </is>
      </c>
      <c r="D4687" t="inlineStr">
        <is>
          <t>DHL Supply Chain</t>
        </is>
      </c>
      <c r="H4687" t="n">
        <v>-6</v>
      </c>
      <c r="I4687" t="b">
        <v>0</v>
      </c>
      <c r="J4687" t="b">
        <v>0</v>
      </c>
      <c r="K4687" t="b">
        <v>0</v>
      </c>
      <c r="L4687" t="b">
        <v>0</v>
      </c>
      <c r="M4687" t="b">
        <v>1</v>
      </c>
      <c r="N4687">
        <f>IFERROR(INDEX('Company Hitlist'!$AA:$AA,MATCH(D4687,'Company Hitlist'!$A:$A,0)),)</f>
        <v/>
      </c>
      <c r="O4687">
        <f>IFERROR(INDEX('Company Hitlist'!$N:$N,MATCH(D4687,'Company Hitlist'!$A:$A,0)),)</f>
        <v/>
      </c>
      <c r="Q4687" t="inlineStr">
        <is>
          <t>todo</t>
        </is>
      </c>
    </row>
    <row r="4688">
      <c r="A4688" t="inlineStr">
        <is>
          <t>Gregory Gramzow</t>
        </is>
      </c>
      <c r="B4688" t="inlineStr">
        <is>
          <t>Sponsor</t>
        </is>
      </c>
      <c r="C4688" t="inlineStr">
        <is>
          <t>Senior Director Business Development</t>
        </is>
      </c>
      <c r="D4688" t="inlineStr">
        <is>
          <t>DHL Supply Chain</t>
        </is>
      </c>
      <c r="H4688" t="n">
        <v>-6</v>
      </c>
      <c r="I4688" t="b">
        <v>0</v>
      </c>
      <c r="J4688" t="b">
        <v>0</v>
      </c>
      <c r="K4688" t="b">
        <v>0</v>
      </c>
      <c r="L4688" t="b">
        <v>0</v>
      </c>
      <c r="M4688" t="b">
        <v>1</v>
      </c>
      <c r="N4688">
        <f>IFERROR(INDEX('Company Hitlist'!$AA:$AA,MATCH(D4688,'Company Hitlist'!$A:$A,0)),)</f>
        <v/>
      </c>
      <c r="O4688">
        <f>IFERROR(INDEX('Company Hitlist'!$N:$N,MATCH(D4688,'Company Hitlist'!$A:$A,0)),)</f>
        <v/>
      </c>
      <c r="Q4688" t="inlineStr">
        <is>
          <t>todo</t>
        </is>
      </c>
    </row>
    <row r="4689">
      <c r="A4689" t="inlineStr">
        <is>
          <t>Kellie Fisher</t>
        </is>
      </c>
      <c r="B4689" t="inlineStr">
        <is>
          <t>Sponsor</t>
        </is>
      </c>
      <c r="C4689" t="inlineStr">
        <is>
          <t>Senior Director Business Development</t>
        </is>
      </c>
      <c r="D4689" t="inlineStr">
        <is>
          <t>DHL Supply Chain</t>
        </is>
      </c>
      <c r="H4689" t="n">
        <v>-6</v>
      </c>
      <c r="I4689" t="b">
        <v>0</v>
      </c>
      <c r="J4689" t="b">
        <v>0</v>
      </c>
      <c r="K4689" t="b">
        <v>0</v>
      </c>
      <c r="L4689" t="b">
        <v>0</v>
      </c>
      <c r="M4689" t="b">
        <v>1</v>
      </c>
      <c r="N4689">
        <f>IFERROR(INDEX('Company Hitlist'!$AA:$AA,MATCH(D4689,'Company Hitlist'!$A:$A,0)),)</f>
        <v/>
      </c>
      <c r="O4689">
        <f>IFERROR(INDEX('Company Hitlist'!$N:$N,MATCH(D4689,'Company Hitlist'!$A:$A,0)),)</f>
        <v/>
      </c>
      <c r="Q4689" t="inlineStr">
        <is>
          <t>todo</t>
        </is>
      </c>
    </row>
    <row r="4690">
      <c r="A4690" t="inlineStr">
        <is>
          <t>Michael Mohan</t>
        </is>
      </c>
      <c r="B4690" t="inlineStr">
        <is>
          <t>Sponsor</t>
        </is>
      </c>
      <c r="C4690" t="inlineStr">
        <is>
          <t>Sr. Director Business Development</t>
        </is>
      </c>
      <c r="D4690" t="inlineStr">
        <is>
          <t>DHL Supply Chain</t>
        </is>
      </c>
      <c r="H4690" t="n">
        <v>-6</v>
      </c>
      <c r="I4690" t="b">
        <v>0</v>
      </c>
      <c r="J4690" t="b">
        <v>0</v>
      </c>
      <c r="K4690" t="b">
        <v>0</v>
      </c>
      <c r="L4690" t="b">
        <v>0</v>
      </c>
      <c r="M4690" t="b">
        <v>1</v>
      </c>
      <c r="N4690">
        <f>IFERROR(INDEX('Company Hitlist'!$AA:$AA,MATCH(D4690,'Company Hitlist'!$A:$A,0)),)</f>
        <v/>
      </c>
      <c r="O4690">
        <f>IFERROR(INDEX('Company Hitlist'!$N:$N,MATCH(D4690,'Company Hitlist'!$A:$A,0)),)</f>
        <v/>
      </c>
      <c r="Q4690" t="inlineStr">
        <is>
          <t>todo</t>
        </is>
      </c>
    </row>
    <row r="4691">
      <c r="A4691" t="inlineStr">
        <is>
          <t>Michael Ragio</t>
        </is>
      </c>
      <c r="B4691" t="inlineStr">
        <is>
          <t>Sponsor</t>
        </is>
      </c>
      <c r="C4691" t="inlineStr">
        <is>
          <t>Business Development Analyst</t>
        </is>
      </c>
      <c r="D4691" t="inlineStr">
        <is>
          <t>DHL Supply Chain</t>
        </is>
      </c>
      <c r="H4691" t="n">
        <v>-6</v>
      </c>
      <c r="I4691" t="b">
        <v>0</v>
      </c>
      <c r="J4691" t="b">
        <v>0</v>
      </c>
      <c r="K4691" t="b">
        <v>0</v>
      </c>
      <c r="L4691" t="b">
        <v>0</v>
      </c>
      <c r="M4691" t="b">
        <v>1</v>
      </c>
      <c r="N4691">
        <f>IFERROR(INDEX('Company Hitlist'!$AA:$AA,MATCH(D4691,'Company Hitlist'!$A:$A,0)),)</f>
        <v/>
      </c>
      <c r="O4691">
        <f>IFERROR(INDEX('Company Hitlist'!$N:$N,MATCH(D4691,'Company Hitlist'!$A:$A,0)),)</f>
        <v/>
      </c>
      <c r="Q4691" t="inlineStr">
        <is>
          <t>todo</t>
        </is>
      </c>
    </row>
    <row r="4692">
      <c r="A4692" t="inlineStr">
        <is>
          <t>Olivia Leatherman</t>
        </is>
      </c>
      <c r="B4692" t="inlineStr">
        <is>
          <t>Sponsor</t>
        </is>
      </c>
      <c r="C4692" t="inlineStr">
        <is>
          <t>Business Development Manager</t>
        </is>
      </c>
      <c r="D4692" t="inlineStr">
        <is>
          <t>DHL Supply Chain</t>
        </is>
      </c>
      <c r="H4692" t="n">
        <v>-6</v>
      </c>
      <c r="I4692" t="b">
        <v>0</v>
      </c>
      <c r="J4692" t="b">
        <v>0</v>
      </c>
      <c r="K4692" t="b">
        <v>0</v>
      </c>
      <c r="L4692" t="b">
        <v>0</v>
      </c>
      <c r="M4692" t="b">
        <v>1</v>
      </c>
      <c r="N4692">
        <f>IFERROR(INDEX('Company Hitlist'!$AA:$AA,MATCH(D4692,'Company Hitlist'!$A:$A,0)),)</f>
        <v/>
      </c>
      <c r="O4692">
        <f>IFERROR(INDEX('Company Hitlist'!$N:$N,MATCH(D4692,'Company Hitlist'!$A:$A,0)),)</f>
        <v/>
      </c>
      <c r="Q4692" t="inlineStr">
        <is>
          <t>todo</t>
        </is>
      </c>
    </row>
    <row r="4693">
      <c r="A4693" t="inlineStr">
        <is>
          <t>Ryan Heuser</t>
        </is>
      </c>
      <c r="B4693" t="inlineStr">
        <is>
          <t>Sponsor</t>
        </is>
      </c>
      <c r="C4693" t="inlineStr">
        <is>
          <t>Business Development Analyst</t>
        </is>
      </c>
      <c r="D4693" t="inlineStr">
        <is>
          <t>DHL Supply Chain</t>
        </is>
      </c>
      <c r="H4693" t="n">
        <v>-6</v>
      </c>
      <c r="I4693" t="b">
        <v>0</v>
      </c>
      <c r="J4693" t="b">
        <v>0</v>
      </c>
      <c r="K4693" t="b">
        <v>0</v>
      </c>
      <c r="L4693" t="b">
        <v>0</v>
      </c>
      <c r="M4693" t="b">
        <v>1</v>
      </c>
      <c r="N4693">
        <f>IFERROR(INDEX('Company Hitlist'!$AA:$AA,MATCH(D4693,'Company Hitlist'!$A:$A,0)),)</f>
        <v/>
      </c>
      <c r="O4693">
        <f>IFERROR(INDEX('Company Hitlist'!$N:$N,MATCH(D4693,'Company Hitlist'!$A:$A,0)),)</f>
        <v/>
      </c>
      <c r="Q4693" t="inlineStr">
        <is>
          <t>todo</t>
        </is>
      </c>
    </row>
    <row r="4694">
      <c r="A4694" t="inlineStr">
        <is>
          <t>Sarah Farrell</t>
        </is>
      </c>
      <c r="B4694" t="inlineStr">
        <is>
          <t>Sponsor</t>
        </is>
      </c>
      <c r="C4694" t="inlineStr">
        <is>
          <t>Sr. Director Business Development</t>
        </is>
      </c>
      <c r="D4694" t="inlineStr">
        <is>
          <t>DHL Supply Chain</t>
        </is>
      </c>
      <c r="H4694" t="n">
        <v>-6</v>
      </c>
      <c r="I4694" t="b">
        <v>0</v>
      </c>
      <c r="J4694" t="b">
        <v>0</v>
      </c>
      <c r="K4694" t="b">
        <v>0</v>
      </c>
      <c r="L4694" t="b">
        <v>0</v>
      </c>
      <c r="M4694" t="b">
        <v>1</v>
      </c>
      <c r="N4694">
        <f>IFERROR(INDEX('Company Hitlist'!$AA:$AA,MATCH(D4694,'Company Hitlist'!$A:$A,0)),)</f>
        <v/>
      </c>
      <c r="O4694">
        <f>IFERROR(INDEX('Company Hitlist'!$N:$N,MATCH(D4694,'Company Hitlist'!$A:$A,0)),)</f>
        <v/>
      </c>
      <c r="Q4694" t="inlineStr">
        <is>
          <t>todo</t>
        </is>
      </c>
    </row>
    <row r="4695">
      <c r="A4695" t="inlineStr">
        <is>
          <t>Saul Garcia</t>
        </is>
      </c>
      <c r="B4695" t="inlineStr">
        <is>
          <t>Sponsor</t>
        </is>
      </c>
      <c r="C4695" t="inlineStr">
        <is>
          <t>Business Development Manager</t>
        </is>
      </c>
      <c r="D4695" t="inlineStr">
        <is>
          <t>DHL Supply Chain</t>
        </is>
      </c>
      <c r="H4695" t="n">
        <v>-6</v>
      </c>
      <c r="I4695" t="b">
        <v>0</v>
      </c>
      <c r="J4695" t="b">
        <v>0</v>
      </c>
      <c r="K4695" t="b">
        <v>0</v>
      </c>
      <c r="L4695" t="b">
        <v>0</v>
      </c>
      <c r="M4695" t="b">
        <v>1</v>
      </c>
      <c r="N4695">
        <f>IFERROR(INDEX('Company Hitlist'!$AA:$AA,MATCH(D4695,'Company Hitlist'!$A:$A,0)),)</f>
        <v/>
      </c>
      <c r="O4695">
        <f>IFERROR(INDEX('Company Hitlist'!$N:$N,MATCH(D4695,'Company Hitlist'!$A:$A,0)),)</f>
        <v/>
      </c>
      <c r="Q4695" t="inlineStr">
        <is>
          <t>todo</t>
        </is>
      </c>
    </row>
    <row r="4696">
      <c r="A4696" t="inlineStr">
        <is>
          <t>Tan Dunn</t>
        </is>
      </c>
      <c r="B4696" t="inlineStr">
        <is>
          <t>Sponsor</t>
        </is>
      </c>
      <c r="C4696" t="inlineStr">
        <is>
          <t>Senior Business Development Analyst</t>
        </is>
      </c>
      <c r="D4696" t="inlineStr">
        <is>
          <t>DHL Supply Chain</t>
        </is>
      </c>
      <c r="H4696" t="n">
        <v>-6</v>
      </c>
      <c r="I4696" t="b">
        <v>0</v>
      </c>
      <c r="J4696" t="b">
        <v>0</v>
      </c>
      <c r="K4696" t="b">
        <v>0</v>
      </c>
      <c r="L4696" t="b">
        <v>0</v>
      </c>
      <c r="M4696" t="b">
        <v>1</v>
      </c>
      <c r="N4696">
        <f>IFERROR(INDEX('Company Hitlist'!$AA:$AA,MATCH(D4696,'Company Hitlist'!$A:$A,0)),)</f>
        <v/>
      </c>
      <c r="O4696">
        <f>IFERROR(INDEX('Company Hitlist'!$N:$N,MATCH(D4696,'Company Hitlist'!$A:$A,0)),)</f>
        <v/>
      </c>
      <c r="Q4696" t="inlineStr">
        <is>
          <t>todo</t>
        </is>
      </c>
    </row>
    <row r="4697">
      <c r="A4697" t="inlineStr">
        <is>
          <t>Taylor Callahan</t>
        </is>
      </c>
      <c r="B4697" t="inlineStr">
        <is>
          <t>Sponsor</t>
        </is>
      </c>
      <c r="C4697" t="inlineStr">
        <is>
          <t>Business Development Manager</t>
        </is>
      </c>
      <c r="D4697" t="inlineStr">
        <is>
          <t>DHL Supply Chain</t>
        </is>
      </c>
      <c r="H4697" t="n">
        <v>-6</v>
      </c>
      <c r="I4697" t="b">
        <v>0</v>
      </c>
      <c r="J4697" t="b">
        <v>0</v>
      </c>
      <c r="K4697" t="b">
        <v>0</v>
      </c>
      <c r="L4697" t="b">
        <v>0</v>
      </c>
      <c r="M4697" t="b">
        <v>1</v>
      </c>
      <c r="N4697">
        <f>IFERROR(INDEX('Company Hitlist'!$AA:$AA,MATCH(D4697,'Company Hitlist'!$A:$A,0)),)</f>
        <v/>
      </c>
      <c r="O4697">
        <f>IFERROR(INDEX('Company Hitlist'!$N:$N,MATCH(D4697,'Company Hitlist'!$A:$A,0)),)</f>
        <v/>
      </c>
      <c r="Q4697" t="inlineStr">
        <is>
          <t>todo</t>
        </is>
      </c>
    </row>
    <row r="4698">
      <c r="A4698" t="inlineStr">
        <is>
          <t>Travis Trentman</t>
        </is>
      </c>
      <c r="B4698" t="inlineStr">
        <is>
          <t>Sponsor</t>
        </is>
      </c>
      <c r="C4698" t="inlineStr">
        <is>
          <t>Senior Director Business Development</t>
        </is>
      </c>
      <c r="D4698" t="inlineStr">
        <is>
          <t>DHL Supply Chain</t>
        </is>
      </c>
      <c r="H4698" t="n">
        <v>-6</v>
      </c>
      <c r="I4698" t="b">
        <v>0</v>
      </c>
      <c r="J4698" t="b">
        <v>0</v>
      </c>
      <c r="K4698" t="b">
        <v>0</v>
      </c>
      <c r="L4698" t="b">
        <v>0</v>
      </c>
      <c r="M4698" t="b">
        <v>1</v>
      </c>
      <c r="N4698">
        <f>IFERROR(INDEX('Company Hitlist'!$AA:$AA,MATCH(D4698,'Company Hitlist'!$A:$A,0)),)</f>
        <v/>
      </c>
      <c r="O4698">
        <f>IFERROR(INDEX('Company Hitlist'!$N:$N,MATCH(D4698,'Company Hitlist'!$A:$A,0)),)</f>
        <v/>
      </c>
      <c r="Q4698" t="inlineStr">
        <is>
          <t>todo</t>
        </is>
      </c>
    </row>
    <row r="4699">
      <c r="A4699" t="inlineStr">
        <is>
          <t>William Bardel</t>
        </is>
      </c>
      <c r="B4699" t="inlineStr">
        <is>
          <t>Sponsor</t>
        </is>
      </c>
      <c r="C4699" t="inlineStr">
        <is>
          <t>Senior Director Business Development</t>
        </is>
      </c>
      <c r="D4699" t="inlineStr">
        <is>
          <t>DHL Supply Chain</t>
        </is>
      </c>
      <c r="H4699" t="n">
        <v>-6</v>
      </c>
      <c r="I4699" t="b">
        <v>0</v>
      </c>
      <c r="J4699" t="b">
        <v>0</v>
      </c>
      <c r="K4699" t="b">
        <v>0</v>
      </c>
      <c r="L4699" t="b">
        <v>0</v>
      </c>
      <c r="M4699" t="b">
        <v>1</v>
      </c>
      <c r="N4699">
        <f>IFERROR(INDEX('Company Hitlist'!$AA:$AA,MATCH(D4699,'Company Hitlist'!$A:$A,0)),)</f>
        <v/>
      </c>
      <c r="O4699">
        <f>IFERROR(INDEX('Company Hitlist'!$N:$N,MATCH(D4699,'Company Hitlist'!$A:$A,0)),)</f>
        <v/>
      </c>
      <c r="Q4699" t="inlineStr">
        <is>
          <t>todo</t>
        </is>
      </c>
    </row>
    <row r="4700">
      <c r="A4700" t="inlineStr">
        <is>
          <t>Andrew Spicer</t>
        </is>
      </c>
      <c r="B4700" t="inlineStr">
        <is>
          <t>Sponsor</t>
        </is>
      </c>
      <c r="C4700" t="inlineStr">
        <is>
          <t>Regional Sales Manager</t>
        </is>
      </c>
      <c r="D4700" t="inlineStr">
        <is>
          <t>DHL eCommerce</t>
        </is>
      </c>
      <c r="H4700" t="n">
        <v>-6</v>
      </c>
      <c r="I4700" t="b">
        <v>0</v>
      </c>
      <c r="J4700" t="b">
        <v>0</v>
      </c>
      <c r="K4700" t="b">
        <v>0</v>
      </c>
      <c r="L4700" t="b">
        <v>0</v>
      </c>
      <c r="M4700" t="b">
        <v>1</v>
      </c>
      <c r="N4700">
        <f>IFERROR(INDEX('Company Hitlist'!$AA:$AA,MATCH(D4700,'Company Hitlist'!$A:$A,0)),)</f>
        <v/>
      </c>
      <c r="O4700">
        <f>IFERROR(INDEX('Company Hitlist'!$N:$N,MATCH(D4700,'Company Hitlist'!$A:$A,0)),)</f>
        <v/>
      </c>
      <c r="Q4700" t="inlineStr">
        <is>
          <t>todo</t>
        </is>
      </c>
    </row>
    <row r="4701">
      <c r="A4701" t="inlineStr">
        <is>
          <t>Mackenzie Van Leuvan</t>
        </is>
      </c>
      <c r="B4701" t="inlineStr">
        <is>
          <t>Sponsor</t>
        </is>
      </c>
      <c r="C4701" t="inlineStr">
        <is>
          <t>Customer Success Manager</t>
        </is>
      </c>
      <c r="D4701" t="inlineStr">
        <is>
          <t>Datatruck</t>
        </is>
      </c>
      <c r="H4701" t="n">
        <v>-6</v>
      </c>
      <c r="I4701" t="b">
        <v>0</v>
      </c>
      <c r="J4701" t="b">
        <v>0</v>
      </c>
      <c r="K4701" t="b">
        <v>0</v>
      </c>
      <c r="L4701" t="b">
        <v>0</v>
      </c>
      <c r="M4701" t="b">
        <v>1</v>
      </c>
      <c r="N4701">
        <f>IFERROR(INDEX('Company Hitlist'!$AA:$AA,MATCH(D4701,'Company Hitlist'!$A:$A,0)),)</f>
        <v/>
      </c>
      <c r="O4701">
        <f>IFERROR(INDEX('Company Hitlist'!$N:$N,MATCH(D4701,'Company Hitlist'!$A:$A,0)),)</f>
        <v/>
      </c>
      <c r="Q4701" t="inlineStr">
        <is>
          <t>todo</t>
        </is>
      </c>
    </row>
    <row r="4702">
      <c r="A4702" t="inlineStr">
        <is>
          <t>Don Vitti</t>
        </is>
      </c>
      <c r="B4702" t="inlineStr">
        <is>
          <t>Sponsor</t>
        </is>
      </c>
      <c r="C4702" t="inlineStr">
        <is>
          <t>Director e-Commerce Sales &amp; Business Development</t>
        </is>
      </c>
      <c r="D4702" t="inlineStr">
        <is>
          <t>DeliverDirect</t>
        </is>
      </c>
      <c r="E4702" t="inlineStr">
        <is>
          <t>United States</t>
        </is>
      </c>
      <c r="H4702" t="n">
        <v>-6</v>
      </c>
      <c r="I4702" t="b">
        <v>0</v>
      </c>
      <c r="J4702" t="b">
        <v>0</v>
      </c>
      <c r="K4702" t="b">
        <v>0</v>
      </c>
      <c r="L4702" t="b">
        <v>0</v>
      </c>
      <c r="M4702" t="b">
        <v>1</v>
      </c>
      <c r="N4702">
        <f>IFERROR(INDEX('Company Hitlist'!$AA:$AA,MATCH(D4702,'Company Hitlist'!$A:$A,0)),)</f>
        <v/>
      </c>
      <c r="O4702">
        <f>IFERROR(INDEX('Company Hitlist'!$N:$N,MATCH(D4702,'Company Hitlist'!$A:$A,0)),)</f>
        <v/>
      </c>
      <c r="Q4702" t="inlineStr">
        <is>
          <t>todo</t>
        </is>
      </c>
    </row>
    <row r="4703">
      <c r="A4703" t="inlineStr">
        <is>
          <t>Mike Gerace</t>
        </is>
      </c>
      <c r="B4703" t="inlineStr">
        <is>
          <t>Sponsor</t>
        </is>
      </c>
      <c r="C4703" t="inlineStr">
        <is>
          <t>AVP of eCommerce &amp; Business Development</t>
        </is>
      </c>
      <c r="D4703" t="inlineStr">
        <is>
          <t>DeliverDirect</t>
        </is>
      </c>
      <c r="E4703" t="inlineStr">
        <is>
          <t>United States</t>
        </is>
      </c>
      <c r="H4703" t="n">
        <v>-6</v>
      </c>
      <c r="I4703" t="b">
        <v>0</v>
      </c>
      <c r="J4703" t="b">
        <v>0</v>
      </c>
      <c r="K4703" t="b">
        <v>0</v>
      </c>
      <c r="L4703" t="b">
        <v>0</v>
      </c>
      <c r="M4703" t="b">
        <v>1</v>
      </c>
      <c r="N4703">
        <f>IFERROR(INDEX('Company Hitlist'!$AA:$AA,MATCH(D4703,'Company Hitlist'!$A:$A,0)),)</f>
        <v/>
      </c>
      <c r="O4703">
        <f>IFERROR(INDEX('Company Hitlist'!$N:$N,MATCH(D4703,'Company Hitlist'!$A:$A,0)),)</f>
        <v/>
      </c>
      <c r="Q4703" t="inlineStr">
        <is>
          <t>todo</t>
        </is>
      </c>
    </row>
    <row r="4704">
      <c r="A4704" t="inlineStr">
        <is>
          <t>Ashleigh Culler</t>
        </is>
      </c>
      <c r="B4704" t="inlineStr">
        <is>
          <t>Sponsor</t>
        </is>
      </c>
      <c r="C4704" t="inlineStr">
        <is>
          <t>Sr Director, Revenue Marketing</t>
        </is>
      </c>
      <c r="D4704" t="inlineStr">
        <is>
          <t>Deposco</t>
        </is>
      </c>
      <c r="E4704" t="inlineStr">
        <is>
          <t>United States</t>
        </is>
      </c>
      <c r="F4704" t="inlineStr">
        <is>
          <t>Yes</t>
        </is>
      </c>
      <c r="G4704" t="inlineStr">
        <is>
          <t>$50M (2024 est.; projected $55M in 2025)</t>
        </is>
      </c>
      <c r="H4704" t="n">
        <v>-6</v>
      </c>
      <c r="I4704" t="b">
        <v>0</v>
      </c>
      <c r="J4704" t="b">
        <v>0</v>
      </c>
      <c r="K4704" t="b">
        <v>0</v>
      </c>
      <c r="L4704" t="b">
        <v>0</v>
      </c>
      <c r="M4704" t="b">
        <v>1</v>
      </c>
      <c r="N4704">
        <f>IFERROR(INDEX('Company Hitlist'!$AA:$AA,MATCH(D4704,'Company Hitlist'!$A:$A,0)),)</f>
        <v/>
      </c>
      <c r="O4704">
        <f>IFERROR(INDEX('Company Hitlist'!$N:$N,MATCH(D4704,'Company Hitlist'!$A:$A,0)),)</f>
        <v/>
      </c>
      <c r="Q4704" t="inlineStr">
        <is>
          <t>todo</t>
        </is>
      </c>
    </row>
    <row r="4705">
      <c r="A4705" t="inlineStr">
        <is>
          <t>Kyle Tepas</t>
        </is>
      </c>
      <c r="B4705" t="inlineStr">
        <is>
          <t>Sponsor</t>
        </is>
      </c>
      <c r="C4705" t="inlineStr">
        <is>
          <t>Director of Sales</t>
        </is>
      </c>
      <c r="D4705" t="inlineStr">
        <is>
          <t>Deposco</t>
        </is>
      </c>
      <c r="E4705" t="inlineStr">
        <is>
          <t>United States</t>
        </is>
      </c>
      <c r="H4705" t="n">
        <v>-6</v>
      </c>
      <c r="I4705" t="b">
        <v>0</v>
      </c>
      <c r="J4705" t="b">
        <v>0</v>
      </c>
      <c r="K4705" t="b">
        <v>0</v>
      </c>
      <c r="L4705" t="b">
        <v>0</v>
      </c>
      <c r="M4705" t="b">
        <v>1</v>
      </c>
      <c r="N4705">
        <f>IFERROR(INDEX('Company Hitlist'!$AA:$AA,MATCH(D4705,'Company Hitlist'!$A:$A,0)),)</f>
        <v/>
      </c>
      <c r="O4705">
        <f>IFERROR(INDEX('Company Hitlist'!$N:$N,MATCH(D4705,'Company Hitlist'!$A:$A,0)),)</f>
        <v/>
      </c>
      <c r="Q4705" t="inlineStr">
        <is>
          <t>todo</t>
        </is>
      </c>
    </row>
    <row r="4706">
      <c r="A4706" t="inlineStr">
        <is>
          <t>Jackie Bibby</t>
        </is>
      </c>
      <c r="B4706" t="inlineStr">
        <is>
          <t>Sponsor</t>
        </is>
      </c>
      <c r="C4706" t="inlineStr">
        <is>
          <t>Director of Marketing</t>
        </is>
      </c>
      <c r="D4706" t="inlineStr">
        <is>
          <t>Dexory</t>
        </is>
      </c>
      <c r="E4706" t="inlineStr">
        <is>
          <t>United Kingdom</t>
        </is>
      </c>
      <c r="F4706" t="inlineStr">
        <is>
          <t>Yes</t>
        </is>
      </c>
      <c r="H4706" t="n">
        <v>-6</v>
      </c>
      <c r="I4706" t="b">
        <v>0</v>
      </c>
      <c r="J4706" t="b">
        <v>0</v>
      </c>
      <c r="K4706" t="b">
        <v>0</v>
      </c>
      <c r="L4706" t="b">
        <v>0</v>
      </c>
      <c r="M4706" t="b">
        <v>1</v>
      </c>
      <c r="N4706">
        <f>IFERROR(INDEX('Company Hitlist'!$AA:$AA,MATCH(D4706,'Company Hitlist'!$A:$A,0)),)</f>
        <v/>
      </c>
      <c r="O4706">
        <f>IFERROR(INDEX('Company Hitlist'!$N:$N,MATCH(D4706,'Company Hitlist'!$A:$A,0)),)</f>
        <v/>
      </c>
      <c r="Q4706" t="inlineStr">
        <is>
          <t>todo</t>
        </is>
      </c>
    </row>
    <row r="4707">
      <c r="A4707" t="inlineStr">
        <is>
          <t>Bill Evans</t>
        </is>
      </c>
      <c r="B4707" t="inlineStr">
        <is>
          <t>Sponsor</t>
        </is>
      </c>
      <c r="C4707" t="inlineStr">
        <is>
          <t>Director of Sales</t>
        </is>
      </c>
      <c r="D4707" t="inlineStr">
        <is>
          <t>Dexory</t>
        </is>
      </c>
      <c r="E4707" t="inlineStr">
        <is>
          <t>United Kingdom</t>
        </is>
      </c>
      <c r="H4707" t="n">
        <v>-6</v>
      </c>
      <c r="I4707" t="b">
        <v>0</v>
      </c>
      <c r="J4707" t="b">
        <v>0</v>
      </c>
      <c r="K4707" t="b">
        <v>0</v>
      </c>
      <c r="L4707" t="b">
        <v>0</v>
      </c>
      <c r="M4707" t="b">
        <v>1</v>
      </c>
      <c r="N4707">
        <f>IFERROR(INDEX('Company Hitlist'!$AA:$AA,MATCH(D4707,'Company Hitlist'!$A:$A,0)),)</f>
        <v/>
      </c>
      <c r="O4707">
        <f>IFERROR(INDEX('Company Hitlist'!$N:$N,MATCH(D4707,'Company Hitlist'!$A:$A,0)),)</f>
        <v/>
      </c>
      <c r="Q4707" t="inlineStr">
        <is>
          <t>todo</t>
        </is>
      </c>
    </row>
    <row r="4708">
      <c r="A4708" t="inlineStr">
        <is>
          <t>Logan Calvey</t>
        </is>
      </c>
      <c r="B4708" t="inlineStr">
        <is>
          <t>Sponsor</t>
        </is>
      </c>
      <c r="C4708" t="inlineStr">
        <is>
          <t>Director of Sales</t>
        </is>
      </c>
      <c r="D4708" t="inlineStr">
        <is>
          <t>Dexory</t>
        </is>
      </c>
      <c r="E4708" t="inlineStr">
        <is>
          <t>United Kingdom</t>
        </is>
      </c>
      <c r="H4708" t="n">
        <v>-6</v>
      </c>
      <c r="I4708" t="b">
        <v>0</v>
      </c>
      <c r="J4708" t="b">
        <v>0</v>
      </c>
      <c r="K4708" t="b">
        <v>0</v>
      </c>
      <c r="L4708" t="b">
        <v>0</v>
      </c>
      <c r="M4708" t="b">
        <v>1</v>
      </c>
      <c r="N4708">
        <f>IFERROR(INDEX('Company Hitlist'!$AA:$AA,MATCH(D4708,'Company Hitlist'!$A:$A,0)),)</f>
        <v/>
      </c>
      <c r="O4708">
        <f>IFERROR(INDEX('Company Hitlist'!$N:$N,MATCH(D4708,'Company Hitlist'!$A:$A,0)),)</f>
        <v/>
      </c>
      <c r="Q4708" t="inlineStr">
        <is>
          <t>todo</t>
        </is>
      </c>
    </row>
    <row r="4709">
      <c r="A4709" t="inlineStr">
        <is>
          <t>Ryan Thomas</t>
        </is>
      </c>
      <c r="B4709" t="inlineStr">
        <is>
          <t>Sponsor</t>
        </is>
      </c>
      <c r="C4709" t="inlineStr">
        <is>
          <t>Director of Sales</t>
        </is>
      </c>
      <c r="D4709" t="inlineStr">
        <is>
          <t>Dexory</t>
        </is>
      </c>
      <c r="E4709" t="inlineStr">
        <is>
          <t>United Kingdom</t>
        </is>
      </c>
      <c r="H4709" t="n">
        <v>-6</v>
      </c>
      <c r="I4709" t="b">
        <v>0</v>
      </c>
      <c r="J4709" t="b">
        <v>0</v>
      </c>
      <c r="K4709" t="b">
        <v>0</v>
      </c>
      <c r="L4709" t="b">
        <v>0</v>
      </c>
      <c r="M4709" t="b">
        <v>1</v>
      </c>
      <c r="N4709">
        <f>IFERROR(INDEX('Company Hitlist'!$AA:$AA,MATCH(D4709,'Company Hitlist'!$A:$A,0)),)</f>
        <v/>
      </c>
      <c r="O4709">
        <f>IFERROR(INDEX('Company Hitlist'!$N:$N,MATCH(D4709,'Company Hitlist'!$A:$A,0)),)</f>
        <v/>
      </c>
      <c r="Q4709" t="inlineStr">
        <is>
          <t>todo</t>
        </is>
      </c>
    </row>
    <row r="4710">
      <c r="A4710" t="inlineStr">
        <is>
          <t>Jim Mass</t>
        </is>
      </c>
      <c r="B4710" t="inlineStr">
        <is>
          <t>Sponsor</t>
        </is>
      </c>
      <c r="C4710" t="inlineStr">
        <is>
          <t>Director of Sales</t>
        </is>
      </c>
      <c r="D4710" t="inlineStr">
        <is>
          <t>Dexory</t>
        </is>
      </c>
      <c r="E4710" t="inlineStr">
        <is>
          <t>United States</t>
        </is>
      </c>
      <c r="H4710" t="n">
        <v>-6</v>
      </c>
      <c r="I4710" t="b">
        <v>0</v>
      </c>
      <c r="J4710" t="b">
        <v>0</v>
      </c>
      <c r="K4710" t="b">
        <v>0</v>
      </c>
      <c r="L4710" t="b">
        <v>0</v>
      </c>
      <c r="M4710" t="b">
        <v>1</v>
      </c>
      <c r="N4710">
        <f>IFERROR(INDEX('Company Hitlist'!$AA:$AA,MATCH(D4710,'Company Hitlist'!$A:$A,0)),)</f>
        <v/>
      </c>
      <c r="O4710">
        <f>IFERROR(INDEX('Company Hitlist'!$N:$N,MATCH(D4710,'Company Hitlist'!$A:$A,0)),)</f>
        <v/>
      </c>
      <c r="Q4710" t="inlineStr">
        <is>
          <t>todo</t>
        </is>
      </c>
    </row>
    <row r="4711">
      <c r="A4711" t="inlineStr">
        <is>
          <t>Giedre Fernandes</t>
        </is>
      </c>
      <c r="B4711" t="inlineStr">
        <is>
          <t>Sponsor</t>
        </is>
      </c>
      <c r="C4711" t="inlineStr">
        <is>
          <t>Senior Sales Director</t>
        </is>
      </c>
      <c r="D4711" t="inlineStr">
        <is>
          <t>Dexory</t>
        </is>
      </c>
      <c r="H4711" t="n">
        <v>-6</v>
      </c>
      <c r="I4711" t="b">
        <v>0</v>
      </c>
      <c r="J4711" t="b">
        <v>0</v>
      </c>
      <c r="K4711" t="b">
        <v>0</v>
      </c>
      <c r="L4711" t="b">
        <v>0</v>
      </c>
      <c r="M4711" t="b">
        <v>1</v>
      </c>
      <c r="N4711">
        <f>IFERROR(INDEX('Company Hitlist'!$AA:$AA,MATCH(D4711,'Company Hitlist'!$A:$A,0)),)</f>
        <v/>
      </c>
      <c r="O4711">
        <f>IFERROR(INDEX('Company Hitlist'!$N:$N,MATCH(D4711,'Company Hitlist'!$A:$A,0)),)</f>
        <v/>
      </c>
      <c r="Q4711" t="inlineStr">
        <is>
          <t>todo</t>
        </is>
      </c>
    </row>
    <row r="4712">
      <c r="A4712" t="inlineStr">
        <is>
          <t>Gautham Rathnam</t>
        </is>
      </c>
      <c r="B4712" t="inlineStr">
        <is>
          <t>Sponsor</t>
        </is>
      </c>
      <c r="C4712" t="inlineStr">
        <is>
          <t>Sales Rep</t>
        </is>
      </c>
      <c r="D4712" t="inlineStr">
        <is>
          <t>DispatchTrack</t>
        </is>
      </c>
      <c r="E4712" t="inlineStr">
        <is>
          <t>United States</t>
        </is>
      </c>
      <c r="H4712" t="n">
        <v>-6</v>
      </c>
      <c r="I4712" t="b">
        <v>0</v>
      </c>
      <c r="J4712" t="b">
        <v>0</v>
      </c>
      <c r="K4712" t="b">
        <v>0</v>
      </c>
      <c r="L4712" t="b">
        <v>0</v>
      </c>
      <c r="M4712" t="b">
        <v>1</v>
      </c>
      <c r="N4712">
        <f>IFERROR(INDEX('Company Hitlist'!$AA:$AA,MATCH(D4712,'Company Hitlist'!$A:$A,0)),)</f>
        <v/>
      </c>
      <c r="O4712">
        <f>IFERROR(INDEX('Company Hitlist'!$N:$N,MATCH(D4712,'Company Hitlist'!$A:$A,0)),)</f>
        <v/>
      </c>
      <c r="Q4712" t="inlineStr">
        <is>
          <t>todo</t>
        </is>
      </c>
    </row>
    <row r="4713">
      <c r="A4713" t="inlineStr">
        <is>
          <t>Gregg Delpino</t>
        </is>
      </c>
      <c r="B4713" t="inlineStr">
        <is>
          <t>Sponsor</t>
        </is>
      </c>
      <c r="C4713" t="inlineStr">
        <is>
          <t>Account Executive</t>
        </is>
      </c>
      <c r="D4713" t="inlineStr">
        <is>
          <t>DispatchTrack</t>
        </is>
      </c>
      <c r="E4713" t="inlineStr">
        <is>
          <t>United States</t>
        </is>
      </c>
      <c r="H4713" t="n">
        <v>-6</v>
      </c>
      <c r="I4713" t="b">
        <v>0</v>
      </c>
      <c r="J4713" t="b">
        <v>0</v>
      </c>
      <c r="K4713" t="b">
        <v>0</v>
      </c>
      <c r="L4713" t="b">
        <v>0</v>
      </c>
      <c r="M4713" t="b">
        <v>1</v>
      </c>
      <c r="N4713">
        <f>IFERROR(INDEX('Company Hitlist'!$AA:$AA,MATCH(D4713,'Company Hitlist'!$A:$A,0)),)</f>
        <v/>
      </c>
      <c r="O4713">
        <f>IFERROR(INDEX('Company Hitlist'!$N:$N,MATCH(D4713,'Company Hitlist'!$A:$A,0)),)</f>
        <v/>
      </c>
      <c r="Q4713" t="inlineStr">
        <is>
          <t>todo</t>
        </is>
      </c>
    </row>
    <row r="4714">
      <c r="A4714" t="inlineStr">
        <is>
          <t>Heidi Budreau</t>
        </is>
      </c>
      <c r="B4714" t="inlineStr">
        <is>
          <t>Sponsor</t>
        </is>
      </c>
      <c r="C4714" t="inlineStr">
        <is>
          <t>Director of Marketing</t>
        </is>
      </c>
      <c r="D4714" t="inlineStr">
        <is>
          <t>Dot Ai</t>
        </is>
      </c>
      <c r="F4714" t="inlineStr">
        <is>
          <t>Yes</t>
        </is>
      </c>
      <c r="H4714" t="n">
        <v>-6</v>
      </c>
      <c r="I4714" t="b">
        <v>0</v>
      </c>
      <c r="J4714" t="b">
        <v>0</v>
      </c>
      <c r="K4714" t="b">
        <v>0</v>
      </c>
      <c r="L4714" t="b">
        <v>0</v>
      </c>
      <c r="M4714" t="b">
        <v>1</v>
      </c>
      <c r="N4714">
        <f>IFERROR(INDEX('Company Hitlist'!$AA:$AA,MATCH(D4714,'Company Hitlist'!$A:$A,0)),)</f>
        <v/>
      </c>
      <c r="O4714">
        <f>IFERROR(INDEX('Company Hitlist'!$N:$N,MATCH(D4714,'Company Hitlist'!$A:$A,0)),)</f>
        <v/>
      </c>
      <c r="Q4714" t="inlineStr">
        <is>
          <t>todo</t>
        </is>
      </c>
    </row>
    <row r="4715">
      <c r="A4715" t="inlineStr">
        <is>
          <t>Jeff Hewgley</t>
        </is>
      </c>
      <c r="B4715" t="inlineStr">
        <is>
          <t>Sponsor</t>
        </is>
      </c>
      <c r="C4715" t="inlineStr">
        <is>
          <t>Senior Sales Engineer</t>
        </is>
      </c>
      <c r="D4715" t="inlineStr">
        <is>
          <t>Dot Ai</t>
        </is>
      </c>
      <c r="E4715" t="inlineStr">
        <is>
          <t>United States</t>
        </is>
      </c>
      <c r="H4715" t="n">
        <v>-6</v>
      </c>
      <c r="I4715" t="b">
        <v>0</v>
      </c>
      <c r="J4715" t="b">
        <v>0</v>
      </c>
      <c r="K4715" t="b">
        <v>0</v>
      </c>
      <c r="L4715" t="b">
        <v>0</v>
      </c>
      <c r="M4715" t="b">
        <v>1</v>
      </c>
      <c r="N4715">
        <f>IFERROR(INDEX('Company Hitlist'!$AA:$AA,MATCH(D4715,'Company Hitlist'!$A:$A,0)),)</f>
        <v/>
      </c>
      <c r="O4715">
        <f>IFERROR(INDEX('Company Hitlist'!$N:$N,MATCH(D4715,'Company Hitlist'!$A:$A,0)),)</f>
        <v/>
      </c>
      <c r="Q4715" t="inlineStr">
        <is>
          <t>todo</t>
        </is>
      </c>
    </row>
    <row r="4716">
      <c r="A4716" t="inlineStr">
        <is>
          <t>Ty Snyder</t>
        </is>
      </c>
      <c r="B4716" t="inlineStr">
        <is>
          <t>Sponsor</t>
        </is>
      </c>
      <c r="C4716" t="inlineStr">
        <is>
          <t>Regional Sales Leader</t>
        </is>
      </c>
      <c r="D4716" t="inlineStr">
        <is>
          <t>Dot Ai</t>
        </is>
      </c>
      <c r="E4716" t="inlineStr">
        <is>
          <t>United States</t>
        </is>
      </c>
      <c r="H4716" t="n">
        <v>-6</v>
      </c>
      <c r="I4716" t="b">
        <v>0</v>
      </c>
      <c r="J4716" t="b">
        <v>0</v>
      </c>
      <c r="K4716" t="b">
        <v>0</v>
      </c>
      <c r="L4716" t="b">
        <v>0</v>
      </c>
      <c r="M4716" t="b">
        <v>1</v>
      </c>
      <c r="N4716">
        <f>IFERROR(INDEX('Company Hitlist'!$AA:$AA,MATCH(D4716,'Company Hitlist'!$A:$A,0)),)</f>
        <v/>
      </c>
      <c r="O4716">
        <f>IFERROR(INDEX('Company Hitlist'!$N:$N,MATCH(D4716,'Company Hitlist'!$A:$A,0)),)</f>
        <v/>
      </c>
      <c r="Q4716" t="inlineStr">
        <is>
          <t>todo</t>
        </is>
      </c>
    </row>
    <row r="4717">
      <c r="A4717" t="inlineStr">
        <is>
          <t>Zirk Ray</t>
        </is>
      </c>
      <c r="B4717" t="inlineStr">
        <is>
          <t>Sponsor</t>
        </is>
      </c>
      <c r="C4717" t="inlineStr">
        <is>
          <t>Sales Lead NE Americas</t>
        </is>
      </c>
      <c r="D4717" t="inlineStr">
        <is>
          <t>Dot Ai</t>
        </is>
      </c>
      <c r="E4717" t="inlineStr">
        <is>
          <t>United States</t>
        </is>
      </c>
      <c r="H4717" t="n">
        <v>-6</v>
      </c>
      <c r="I4717" t="b">
        <v>0</v>
      </c>
      <c r="J4717" t="b">
        <v>0</v>
      </c>
      <c r="K4717" t="b">
        <v>0</v>
      </c>
      <c r="L4717" t="b">
        <v>0</v>
      </c>
      <c r="M4717" t="b">
        <v>1</v>
      </c>
      <c r="N4717">
        <f>IFERROR(INDEX('Company Hitlist'!$AA:$AA,MATCH(D4717,'Company Hitlist'!$A:$A,0)),)</f>
        <v/>
      </c>
      <c r="O4717">
        <f>IFERROR(INDEX('Company Hitlist'!$N:$N,MATCH(D4717,'Company Hitlist'!$A:$A,0)),)</f>
        <v/>
      </c>
      <c r="Q4717" t="inlineStr">
        <is>
          <t>todo</t>
        </is>
      </c>
    </row>
    <row r="4718">
      <c r="A4718" t="inlineStr">
        <is>
          <t>Reagan Pfifer</t>
        </is>
      </c>
      <c r="B4718" t="inlineStr">
        <is>
          <t>Sponsor</t>
        </is>
      </c>
      <c r="C4718" t="inlineStr">
        <is>
          <t>Channel Marketing and Events Manager</t>
        </is>
      </c>
      <c r="D4718" t="inlineStr">
        <is>
          <t>Dot Ai</t>
        </is>
      </c>
      <c r="E4718" t="inlineStr">
        <is>
          <t>United States</t>
        </is>
      </c>
      <c r="H4718" t="n">
        <v>-6</v>
      </c>
      <c r="I4718" t="b">
        <v>0</v>
      </c>
      <c r="J4718" t="b">
        <v>0</v>
      </c>
      <c r="K4718" t="b">
        <v>0</v>
      </c>
      <c r="L4718" t="b">
        <v>0</v>
      </c>
      <c r="M4718" t="b">
        <v>1</v>
      </c>
      <c r="N4718">
        <f>IFERROR(INDEX('Company Hitlist'!$AA:$AA,MATCH(D4718,'Company Hitlist'!$A:$A,0)),)</f>
        <v/>
      </c>
      <c r="O4718">
        <f>IFERROR(INDEX('Company Hitlist'!$N:$N,MATCH(D4718,'Company Hitlist'!$A:$A,0)),)</f>
        <v/>
      </c>
      <c r="Q4718" t="inlineStr">
        <is>
          <t>todo</t>
        </is>
      </c>
    </row>
    <row r="4719">
      <c r="A4719" t="inlineStr">
        <is>
          <t>David Williams</t>
        </is>
      </c>
      <c r="B4719" t="inlineStr">
        <is>
          <t>Sponsor</t>
        </is>
      </c>
      <c r="C4719" t="inlineStr">
        <is>
          <t>Senior Director, Global Business Development</t>
        </is>
      </c>
      <c r="D4719" t="inlineStr">
        <is>
          <t>Dragonfly</t>
        </is>
      </c>
      <c r="E4719" t="inlineStr">
        <is>
          <t>Canada</t>
        </is>
      </c>
      <c r="H4719" t="n">
        <v>-6</v>
      </c>
      <c r="I4719" t="b">
        <v>0</v>
      </c>
      <c r="J4719" t="b">
        <v>0</v>
      </c>
      <c r="K4719" t="b">
        <v>0</v>
      </c>
      <c r="L4719" t="b">
        <v>0</v>
      </c>
      <c r="M4719" t="b">
        <v>1</v>
      </c>
      <c r="N4719">
        <f>IFERROR(INDEX('Company Hitlist'!$AA:$AA,MATCH(D4719,'Company Hitlist'!$A:$A,0)),)</f>
        <v/>
      </c>
      <c r="O4719">
        <f>IFERROR(INDEX('Company Hitlist'!$N:$N,MATCH(D4719,'Company Hitlist'!$A:$A,0)),)</f>
        <v/>
      </c>
      <c r="Q4719" t="inlineStr">
        <is>
          <t>todo</t>
        </is>
      </c>
    </row>
    <row r="4720">
      <c r="A4720" t="inlineStr">
        <is>
          <t>Jeremy Maxwell</t>
        </is>
      </c>
      <c r="B4720" t="inlineStr">
        <is>
          <t>Sponsor</t>
        </is>
      </c>
      <c r="C4720" t="inlineStr">
        <is>
          <t>Business Development Manager</t>
        </is>
      </c>
      <c r="D4720" t="inlineStr">
        <is>
          <t>Dragonfly</t>
        </is>
      </c>
      <c r="E4720" t="inlineStr">
        <is>
          <t>Canada</t>
        </is>
      </c>
      <c r="H4720" t="n">
        <v>-6</v>
      </c>
      <c r="I4720" t="b">
        <v>0</v>
      </c>
      <c r="J4720" t="b">
        <v>0</v>
      </c>
      <c r="K4720" t="b">
        <v>0</v>
      </c>
      <c r="L4720" t="b">
        <v>0</v>
      </c>
      <c r="M4720" t="b">
        <v>1</v>
      </c>
      <c r="N4720">
        <f>IFERROR(INDEX('Company Hitlist'!$AA:$AA,MATCH(D4720,'Company Hitlist'!$A:$A,0)),)</f>
        <v/>
      </c>
      <c r="O4720">
        <f>IFERROR(INDEX('Company Hitlist'!$N:$N,MATCH(D4720,'Company Hitlist'!$A:$A,0)),)</f>
        <v/>
      </c>
      <c r="Q4720" t="inlineStr">
        <is>
          <t>todo</t>
        </is>
      </c>
    </row>
    <row r="4721">
      <c r="A4721" t="inlineStr">
        <is>
          <t>Michael Butler</t>
        </is>
      </c>
      <c r="B4721" t="inlineStr">
        <is>
          <t>Sponsor</t>
        </is>
      </c>
      <c r="C4721" t="inlineStr">
        <is>
          <t>Senior Business Development Manager</t>
        </is>
      </c>
      <c r="D4721" t="inlineStr">
        <is>
          <t>Dragonfly</t>
        </is>
      </c>
      <c r="E4721" t="inlineStr">
        <is>
          <t>Canada</t>
        </is>
      </c>
      <c r="H4721" t="n">
        <v>-6</v>
      </c>
      <c r="I4721" t="b">
        <v>0</v>
      </c>
      <c r="J4721" t="b">
        <v>0</v>
      </c>
      <c r="K4721" t="b">
        <v>0</v>
      </c>
      <c r="L4721" t="b">
        <v>0</v>
      </c>
      <c r="M4721" t="b">
        <v>1</v>
      </c>
      <c r="N4721">
        <f>IFERROR(INDEX('Company Hitlist'!$AA:$AA,MATCH(D4721,'Company Hitlist'!$A:$A,0)),)</f>
        <v/>
      </c>
      <c r="O4721">
        <f>IFERROR(INDEX('Company Hitlist'!$N:$N,MATCH(D4721,'Company Hitlist'!$A:$A,0)),)</f>
        <v/>
      </c>
      <c r="Q4721" t="inlineStr">
        <is>
          <t>todo</t>
        </is>
      </c>
    </row>
    <row r="4722">
      <c r="A4722" t="inlineStr">
        <is>
          <t>Christine Rogers</t>
        </is>
      </c>
      <c r="B4722" t="inlineStr">
        <is>
          <t>Sponsor</t>
        </is>
      </c>
      <c r="C4722" t="inlineStr">
        <is>
          <t>Senior Director, Business Development</t>
        </is>
      </c>
      <c r="D4722" t="inlineStr">
        <is>
          <t>EFL Global</t>
        </is>
      </c>
      <c r="E4722" t="inlineStr">
        <is>
          <t>United States</t>
        </is>
      </c>
      <c r="H4722" t="n">
        <v>-6</v>
      </c>
      <c r="I4722" t="b">
        <v>0</v>
      </c>
      <c r="J4722" t="b">
        <v>0</v>
      </c>
      <c r="K4722" t="b">
        <v>0</v>
      </c>
      <c r="L4722" t="b">
        <v>0</v>
      </c>
      <c r="M4722" t="b">
        <v>1</v>
      </c>
      <c r="N4722">
        <f>IFERROR(INDEX('Company Hitlist'!$AA:$AA,MATCH(D4722,'Company Hitlist'!$A:$A,0)),)</f>
        <v/>
      </c>
      <c r="O4722">
        <f>IFERROR(INDEX('Company Hitlist'!$N:$N,MATCH(D4722,'Company Hitlist'!$A:$A,0)),)</f>
        <v/>
      </c>
      <c r="Q4722" t="inlineStr">
        <is>
          <t>todo</t>
        </is>
      </c>
    </row>
    <row r="4723">
      <c r="A4723" t="inlineStr">
        <is>
          <t>Will Huskey</t>
        </is>
      </c>
      <c r="B4723" t="inlineStr">
        <is>
          <t>Sponsor</t>
        </is>
      </c>
      <c r="C4723" t="inlineStr">
        <is>
          <t>Director, Enterprise Sales</t>
        </is>
      </c>
      <c r="D4723" t="inlineStr">
        <is>
          <t>Easy Metrics</t>
        </is>
      </c>
      <c r="E4723" t="inlineStr">
        <is>
          <t>United States</t>
        </is>
      </c>
      <c r="H4723" t="n">
        <v>-6</v>
      </c>
      <c r="I4723" t="b">
        <v>0</v>
      </c>
      <c r="J4723" t="b">
        <v>0</v>
      </c>
      <c r="K4723" t="b">
        <v>0</v>
      </c>
      <c r="L4723" t="b">
        <v>0</v>
      </c>
      <c r="M4723" t="b">
        <v>1</v>
      </c>
      <c r="N4723">
        <f>IFERROR(INDEX('Company Hitlist'!$AA:$AA,MATCH(D4723,'Company Hitlist'!$A:$A,0)),)</f>
        <v/>
      </c>
      <c r="O4723">
        <f>IFERROR(INDEX('Company Hitlist'!$N:$N,MATCH(D4723,'Company Hitlist'!$A:$A,0)),)</f>
        <v/>
      </c>
      <c r="Q4723" t="inlineStr">
        <is>
          <t>todo</t>
        </is>
      </c>
    </row>
    <row r="4724">
      <c r="A4724" t="inlineStr">
        <is>
          <t>Robert Mozier</t>
        </is>
      </c>
      <c r="B4724" t="inlineStr">
        <is>
          <t>Sponsor</t>
        </is>
      </c>
      <c r="C4724" t="inlineStr">
        <is>
          <t>Account Executive</t>
        </is>
      </c>
      <c r="D4724" t="inlineStr">
        <is>
          <t>Easy Metrics</t>
        </is>
      </c>
      <c r="E4724" t="inlineStr">
        <is>
          <t>United States</t>
        </is>
      </c>
      <c r="H4724" t="n">
        <v>-6</v>
      </c>
      <c r="I4724" t="b">
        <v>0</v>
      </c>
      <c r="J4724" t="b">
        <v>0</v>
      </c>
      <c r="K4724" t="b">
        <v>0</v>
      </c>
      <c r="L4724" t="b">
        <v>0</v>
      </c>
      <c r="M4724" t="b">
        <v>1</v>
      </c>
      <c r="N4724">
        <f>IFERROR(INDEX('Company Hitlist'!$AA:$AA,MATCH(D4724,'Company Hitlist'!$A:$A,0)),)</f>
        <v/>
      </c>
      <c r="O4724">
        <f>IFERROR(INDEX('Company Hitlist'!$N:$N,MATCH(D4724,'Company Hitlist'!$A:$A,0)),)</f>
        <v/>
      </c>
      <c r="Q4724" t="inlineStr">
        <is>
          <t>todo</t>
        </is>
      </c>
    </row>
    <row r="4725">
      <c r="A4725" t="inlineStr">
        <is>
          <t>Lukas Polame</t>
        </is>
      </c>
      <c r="B4725" t="inlineStr">
        <is>
          <t>Sponsor</t>
        </is>
      </c>
      <c r="C4725" t="inlineStr">
        <is>
          <t>Business Development Manager</t>
        </is>
      </c>
      <c r="D4725" t="inlineStr">
        <is>
          <t>EasyCargo - Load efficiently</t>
        </is>
      </c>
      <c r="H4725" t="n">
        <v>-6</v>
      </c>
      <c r="I4725" t="b">
        <v>0</v>
      </c>
      <c r="J4725" t="b">
        <v>0</v>
      </c>
      <c r="K4725" t="b">
        <v>0</v>
      </c>
      <c r="L4725" t="b">
        <v>0</v>
      </c>
      <c r="M4725" t="b">
        <v>1</v>
      </c>
      <c r="N4725">
        <f>IFERROR(INDEX('Company Hitlist'!$AA:$AA,MATCH(D4725,'Company Hitlist'!$A:$A,0)),)</f>
        <v/>
      </c>
      <c r="O4725">
        <f>IFERROR(INDEX('Company Hitlist'!$N:$N,MATCH(D4725,'Company Hitlist'!$A:$A,0)),)</f>
        <v/>
      </c>
      <c r="Q4725" t="inlineStr">
        <is>
          <t>todo</t>
        </is>
      </c>
    </row>
    <row r="4726">
      <c r="A4726" t="inlineStr">
        <is>
          <t>Brayden Christensen</t>
        </is>
      </c>
      <c r="B4726" t="inlineStr">
        <is>
          <t>Sponsor</t>
        </is>
      </c>
      <c r="C4726" t="inlineStr">
        <is>
          <t>Sales Development Rep</t>
        </is>
      </c>
      <c r="D4726" t="inlineStr">
        <is>
          <t>EasyPost</t>
        </is>
      </c>
      <c r="H4726" t="n">
        <v>-6</v>
      </c>
      <c r="I4726" t="b">
        <v>0</v>
      </c>
      <c r="J4726" t="b">
        <v>0</v>
      </c>
      <c r="K4726" t="b">
        <v>0</v>
      </c>
      <c r="L4726" t="b">
        <v>0</v>
      </c>
      <c r="M4726" t="b">
        <v>1</v>
      </c>
      <c r="N4726">
        <f>IFERROR(INDEX('Company Hitlist'!$AA:$AA,MATCH(D4726,'Company Hitlist'!$A:$A,0)),)</f>
        <v/>
      </c>
      <c r="O4726">
        <f>IFERROR(INDEX('Company Hitlist'!$N:$N,MATCH(D4726,'Company Hitlist'!$A:$A,0)),)</f>
        <v/>
      </c>
      <c r="Q4726" t="inlineStr">
        <is>
          <t>todo</t>
        </is>
      </c>
    </row>
    <row r="4727">
      <c r="A4727" t="inlineStr">
        <is>
          <t>Joe Peckskamp</t>
        </is>
      </c>
      <c r="B4727" t="inlineStr">
        <is>
          <t>Sponsor</t>
        </is>
      </c>
      <c r="C4727" t="inlineStr">
        <is>
          <t>Sales Development Rep</t>
        </is>
      </c>
      <c r="D4727" t="inlineStr">
        <is>
          <t>EasyPost</t>
        </is>
      </c>
      <c r="H4727" t="n">
        <v>-6</v>
      </c>
      <c r="I4727" t="b">
        <v>0</v>
      </c>
      <c r="J4727" t="b">
        <v>0</v>
      </c>
      <c r="K4727" t="b">
        <v>0</v>
      </c>
      <c r="L4727" t="b">
        <v>0</v>
      </c>
      <c r="M4727" t="b">
        <v>1</v>
      </c>
      <c r="N4727">
        <f>IFERROR(INDEX('Company Hitlist'!$AA:$AA,MATCH(D4727,'Company Hitlist'!$A:$A,0)),)</f>
        <v/>
      </c>
      <c r="O4727">
        <f>IFERROR(INDEX('Company Hitlist'!$N:$N,MATCH(D4727,'Company Hitlist'!$A:$A,0)),)</f>
        <v/>
      </c>
      <c r="Q4727" t="inlineStr">
        <is>
          <t>todo</t>
        </is>
      </c>
    </row>
    <row r="4728">
      <c r="A4728" t="inlineStr">
        <is>
          <t>Greg Marone</t>
        </is>
      </c>
      <c r="B4728" t="inlineStr">
        <is>
          <t>Sponsor</t>
        </is>
      </c>
      <c r="C4728" t="inlineStr">
        <is>
          <t>Sr. Enterprise Account Executive</t>
        </is>
      </c>
      <c r="D4728" t="inlineStr">
        <is>
          <t>EasyPost</t>
        </is>
      </c>
      <c r="E4728" t="inlineStr">
        <is>
          <t>United States</t>
        </is>
      </c>
      <c r="H4728" t="n">
        <v>-6</v>
      </c>
      <c r="I4728" t="b">
        <v>0</v>
      </c>
      <c r="J4728" t="b">
        <v>0</v>
      </c>
      <c r="K4728" t="b">
        <v>0</v>
      </c>
      <c r="L4728" t="b">
        <v>0</v>
      </c>
      <c r="M4728" t="b">
        <v>1</v>
      </c>
      <c r="N4728">
        <f>IFERROR(INDEX('Company Hitlist'!$AA:$AA,MATCH(D4728,'Company Hitlist'!$A:$A,0)),)</f>
        <v/>
      </c>
      <c r="O4728">
        <f>IFERROR(INDEX('Company Hitlist'!$N:$N,MATCH(D4728,'Company Hitlist'!$A:$A,0)),)</f>
        <v/>
      </c>
      <c r="Q4728" t="inlineStr">
        <is>
          <t>todo</t>
        </is>
      </c>
    </row>
    <row r="4729">
      <c r="A4729" t="inlineStr">
        <is>
          <t>Matthew Myslinski</t>
        </is>
      </c>
      <c r="B4729" t="inlineStr">
        <is>
          <t>Sponsor</t>
        </is>
      </c>
      <c r="C4729" t="inlineStr">
        <is>
          <t>Account Executive</t>
        </is>
      </c>
      <c r="D4729" t="inlineStr">
        <is>
          <t>EasyPost</t>
        </is>
      </c>
      <c r="E4729" t="inlineStr">
        <is>
          <t>United States</t>
        </is>
      </c>
      <c r="H4729" t="n">
        <v>-6</v>
      </c>
      <c r="I4729" t="b">
        <v>0</v>
      </c>
      <c r="J4729" t="b">
        <v>0</v>
      </c>
      <c r="K4729" t="b">
        <v>0</v>
      </c>
      <c r="L4729" t="b">
        <v>0</v>
      </c>
      <c r="M4729" t="b">
        <v>1</v>
      </c>
      <c r="N4729">
        <f>IFERROR(INDEX('Company Hitlist'!$AA:$AA,MATCH(D4729,'Company Hitlist'!$A:$A,0)),)</f>
        <v/>
      </c>
      <c r="O4729">
        <f>IFERROR(INDEX('Company Hitlist'!$N:$N,MATCH(D4729,'Company Hitlist'!$A:$A,0)),)</f>
        <v/>
      </c>
      <c r="Q4729" t="inlineStr">
        <is>
          <t>todo</t>
        </is>
      </c>
    </row>
    <row r="4730">
      <c r="A4730" t="inlineStr">
        <is>
          <t>Tanner Johnson</t>
        </is>
      </c>
      <c r="B4730" t="inlineStr">
        <is>
          <t>Sponsor</t>
        </is>
      </c>
      <c r="C4730" t="inlineStr">
        <is>
          <t>Account Executive</t>
        </is>
      </c>
      <c r="D4730" t="inlineStr">
        <is>
          <t>EasyPost</t>
        </is>
      </c>
      <c r="E4730" t="inlineStr">
        <is>
          <t>United States</t>
        </is>
      </c>
      <c r="H4730" t="n">
        <v>-6</v>
      </c>
      <c r="I4730" t="b">
        <v>0</v>
      </c>
      <c r="J4730" t="b">
        <v>0</v>
      </c>
      <c r="K4730" t="b">
        <v>0</v>
      </c>
      <c r="L4730" t="b">
        <v>0</v>
      </c>
      <c r="M4730" t="b">
        <v>1</v>
      </c>
      <c r="N4730">
        <f>IFERROR(INDEX('Company Hitlist'!$AA:$AA,MATCH(D4730,'Company Hitlist'!$A:$A,0)),)</f>
        <v/>
      </c>
      <c r="O4730">
        <f>IFERROR(INDEX('Company Hitlist'!$N:$N,MATCH(D4730,'Company Hitlist'!$A:$A,0)),)</f>
        <v/>
      </c>
      <c r="Q4730" t="inlineStr">
        <is>
          <t>todo</t>
        </is>
      </c>
    </row>
    <row r="4731">
      <c r="A4731" t="inlineStr">
        <is>
          <t>Kevin McFadyen</t>
        </is>
      </c>
      <c r="B4731" t="inlineStr">
        <is>
          <t>Sponsor</t>
        </is>
      </c>
      <c r="C4731" t="inlineStr">
        <is>
          <t>Sr. Demand Gen Manager</t>
        </is>
      </c>
      <c r="D4731" t="inlineStr">
        <is>
          <t>EasyPost</t>
        </is>
      </c>
      <c r="E4731" t="inlineStr">
        <is>
          <t>United States</t>
        </is>
      </c>
      <c r="H4731" t="n">
        <v>-6</v>
      </c>
      <c r="I4731" t="b">
        <v>0</v>
      </c>
      <c r="J4731" t="b">
        <v>0</v>
      </c>
      <c r="K4731" t="b">
        <v>0</v>
      </c>
      <c r="L4731" t="b">
        <v>0</v>
      </c>
      <c r="M4731" t="b">
        <v>1</v>
      </c>
      <c r="N4731">
        <f>IFERROR(INDEX('Company Hitlist'!$AA:$AA,MATCH(D4731,'Company Hitlist'!$A:$A,0)),)</f>
        <v/>
      </c>
      <c r="O4731">
        <f>IFERROR(INDEX('Company Hitlist'!$N:$N,MATCH(D4731,'Company Hitlist'!$A:$A,0)),)</f>
        <v/>
      </c>
      <c r="Q4731" t="inlineStr">
        <is>
          <t>todo</t>
        </is>
      </c>
    </row>
    <row r="4732">
      <c r="A4732" t="inlineStr">
        <is>
          <t>Krithika Karnati</t>
        </is>
      </c>
      <c r="B4732" t="inlineStr">
        <is>
          <t>Sponsor</t>
        </is>
      </c>
      <c r="C4732" t="inlineStr">
        <is>
          <t>Sales Account Manager</t>
        </is>
      </c>
      <c r="D4732" t="inlineStr">
        <is>
          <t>Ember LifeSciences</t>
        </is>
      </c>
      <c r="E4732" t="inlineStr">
        <is>
          <t>United States</t>
        </is>
      </c>
      <c r="H4732" t="n">
        <v>-6</v>
      </c>
      <c r="I4732" t="b">
        <v>0</v>
      </c>
      <c r="J4732" t="b">
        <v>0</v>
      </c>
      <c r="K4732" t="b">
        <v>0</v>
      </c>
      <c r="L4732" t="b">
        <v>0</v>
      </c>
      <c r="M4732" t="b">
        <v>1</v>
      </c>
      <c r="N4732">
        <f>IFERROR(INDEX('Company Hitlist'!$AA:$AA,MATCH(D4732,'Company Hitlist'!$A:$A,0)),)</f>
        <v/>
      </c>
      <c r="O4732">
        <f>IFERROR(INDEX('Company Hitlist'!$N:$N,MATCH(D4732,'Company Hitlist'!$A:$A,0)),)</f>
        <v/>
      </c>
      <c r="Q4732" t="inlineStr">
        <is>
          <t>todo</t>
        </is>
      </c>
    </row>
    <row r="4733">
      <c r="A4733" t="inlineStr">
        <is>
          <t>Brad McBride</t>
        </is>
      </c>
      <c r="B4733" t="inlineStr">
        <is>
          <t>Sponsor</t>
        </is>
      </c>
      <c r="C4733" t="inlineStr">
        <is>
          <t>Account Executive</t>
        </is>
      </c>
      <c r="D4733" t="inlineStr">
        <is>
          <t>EndeavorB2B</t>
        </is>
      </c>
      <c r="E4733" t="inlineStr">
        <is>
          <t>United States</t>
        </is>
      </c>
      <c r="H4733" t="n">
        <v>-6</v>
      </c>
      <c r="I4733" t="b">
        <v>0</v>
      </c>
      <c r="J4733" t="b">
        <v>0</v>
      </c>
      <c r="K4733" t="b">
        <v>0</v>
      </c>
      <c r="L4733" t="b">
        <v>0</v>
      </c>
      <c r="M4733" t="b">
        <v>1</v>
      </c>
      <c r="N4733">
        <f>IFERROR(INDEX('Company Hitlist'!$AA:$AA,MATCH(D4733,'Company Hitlist'!$A:$A,0)),)</f>
        <v/>
      </c>
      <c r="O4733">
        <f>IFERROR(INDEX('Company Hitlist'!$N:$N,MATCH(D4733,'Company Hitlist'!$A:$A,0)),)</f>
        <v/>
      </c>
      <c r="Q4733" t="inlineStr">
        <is>
          <t>todo</t>
        </is>
      </c>
    </row>
    <row r="4734">
      <c r="A4734" t="inlineStr">
        <is>
          <t>Dave Madonia</t>
        </is>
      </c>
      <c r="B4734" t="inlineStr">
        <is>
          <t>Sponsor</t>
        </is>
      </c>
      <c r="C4734" t="inlineStr">
        <is>
          <t>Account Executive</t>
        </is>
      </c>
      <c r="D4734" t="inlineStr">
        <is>
          <t>EndeavorB2B</t>
        </is>
      </c>
      <c r="E4734" t="inlineStr">
        <is>
          <t>United States</t>
        </is>
      </c>
      <c r="H4734" t="n">
        <v>-6</v>
      </c>
      <c r="I4734" t="b">
        <v>0</v>
      </c>
      <c r="J4734" t="b">
        <v>0</v>
      </c>
      <c r="K4734" t="b">
        <v>0</v>
      </c>
      <c r="L4734" t="b">
        <v>0</v>
      </c>
      <c r="M4734" t="b">
        <v>1</v>
      </c>
      <c r="N4734">
        <f>IFERROR(INDEX('Company Hitlist'!$AA:$AA,MATCH(D4734,'Company Hitlist'!$A:$A,0)),)</f>
        <v/>
      </c>
      <c r="O4734">
        <f>IFERROR(INDEX('Company Hitlist'!$N:$N,MATCH(D4734,'Company Hitlist'!$A:$A,0)),)</f>
        <v/>
      </c>
      <c r="Q4734" t="inlineStr">
        <is>
          <t>todo</t>
        </is>
      </c>
    </row>
    <row r="4735">
      <c r="A4735" t="inlineStr">
        <is>
          <t>Clark Cassell</t>
        </is>
      </c>
      <c r="B4735" t="inlineStr">
        <is>
          <t>Sponsor</t>
        </is>
      </c>
      <c r="C4735" t="inlineStr">
        <is>
          <t>Business Development</t>
        </is>
      </c>
      <c r="D4735" t="inlineStr">
        <is>
          <t>Engineering Innovation, Inc</t>
        </is>
      </c>
      <c r="H4735" t="n">
        <v>-6</v>
      </c>
      <c r="I4735" t="b">
        <v>0</v>
      </c>
      <c r="J4735" t="b">
        <v>0</v>
      </c>
      <c r="K4735" t="b">
        <v>0</v>
      </c>
      <c r="L4735" t="b">
        <v>0</v>
      </c>
      <c r="M4735" t="b">
        <v>1</v>
      </c>
      <c r="N4735">
        <f>IFERROR(INDEX('Company Hitlist'!$AA:$AA,MATCH(D4735,'Company Hitlist'!$A:$A,0)),)</f>
        <v/>
      </c>
      <c r="O4735">
        <f>IFERROR(INDEX('Company Hitlist'!$N:$N,MATCH(D4735,'Company Hitlist'!$A:$A,0)),)</f>
        <v/>
      </c>
      <c r="Q4735" t="inlineStr">
        <is>
          <t>todo</t>
        </is>
      </c>
    </row>
    <row r="4736">
      <c r="A4736" t="inlineStr">
        <is>
          <t>Allie Collier</t>
        </is>
      </c>
      <c r="B4736" t="inlineStr">
        <is>
          <t>Sponsor</t>
        </is>
      </c>
      <c r="C4736" t="inlineStr">
        <is>
          <t>Growth Specialist</t>
        </is>
      </c>
      <c r="D4736" t="inlineStr">
        <is>
          <t>Engineering Innovation, Inc.</t>
        </is>
      </c>
      <c r="F4736" t="inlineStr">
        <is>
          <t>Yes</t>
        </is>
      </c>
      <c r="H4736" t="n">
        <v>-6</v>
      </c>
      <c r="I4736" t="b">
        <v>0</v>
      </c>
      <c r="J4736" t="b">
        <v>0</v>
      </c>
      <c r="K4736" t="b">
        <v>0</v>
      </c>
      <c r="L4736" t="b">
        <v>0</v>
      </c>
      <c r="M4736" t="b">
        <v>1</v>
      </c>
      <c r="N4736">
        <f>IFERROR(INDEX('Company Hitlist'!$AA:$AA,MATCH(D4736,'Company Hitlist'!$A:$A,0)),)</f>
        <v/>
      </c>
      <c r="O4736">
        <f>IFERROR(INDEX('Company Hitlist'!$N:$N,MATCH(D4736,'Company Hitlist'!$A:$A,0)),)</f>
        <v/>
      </c>
      <c r="Q4736" t="inlineStr">
        <is>
          <t>todo</t>
        </is>
      </c>
    </row>
    <row r="4737">
      <c r="A4737" t="inlineStr">
        <is>
          <t>Alise Houserman</t>
        </is>
      </c>
      <c r="B4737" t="inlineStr">
        <is>
          <t>Sponsor</t>
        </is>
      </c>
      <c r="C4737" t="inlineStr">
        <is>
          <t>Senior Director of Marketing</t>
        </is>
      </c>
      <c r="D4737" t="inlineStr">
        <is>
          <t>Enveyo</t>
        </is>
      </c>
      <c r="E4737" t="inlineStr">
        <is>
          <t>United States</t>
        </is>
      </c>
      <c r="F4737" t="inlineStr">
        <is>
          <t>Yes</t>
        </is>
      </c>
      <c r="H4737" t="n">
        <v>-6</v>
      </c>
      <c r="I4737" t="b">
        <v>0</v>
      </c>
      <c r="J4737" t="b">
        <v>0</v>
      </c>
      <c r="K4737" t="b">
        <v>0</v>
      </c>
      <c r="L4737" t="b">
        <v>0</v>
      </c>
      <c r="M4737" t="b">
        <v>1</v>
      </c>
      <c r="N4737">
        <f>IFERROR(INDEX('Company Hitlist'!$AA:$AA,MATCH(D4737,'Company Hitlist'!$A:$A,0)),)</f>
        <v/>
      </c>
      <c r="O4737">
        <f>IFERROR(INDEX('Company Hitlist'!$N:$N,MATCH(D4737,'Company Hitlist'!$A:$A,0)),)</f>
        <v/>
      </c>
      <c r="Q4737" t="inlineStr">
        <is>
          <t>todo</t>
        </is>
      </c>
    </row>
    <row r="4738">
      <c r="A4738" t="inlineStr">
        <is>
          <t>Libby Ehrke</t>
        </is>
      </c>
      <c r="B4738" t="inlineStr">
        <is>
          <t>Sponsor</t>
        </is>
      </c>
      <c r="C4738" t="inlineStr">
        <is>
          <t>Digital Marketing Specialist</t>
        </is>
      </c>
      <c r="D4738" t="inlineStr">
        <is>
          <t>Enveyo</t>
        </is>
      </c>
      <c r="F4738" t="inlineStr">
        <is>
          <t>Yes</t>
        </is>
      </c>
      <c r="H4738" t="n">
        <v>-6</v>
      </c>
      <c r="I4738" t="b">
        <v>0</v>
      </c>
      <c r="J4738" t="b">
        <v>0</v>
      </c>
      <c r="K4738" t="b">
        <v>0</v>
      </c>
      <c r="L4738" t="b">
        <v>0</v>
      </c>
      <c r="M4738" t="b">
        <v>1</v>
      </c>
      <c r="N4738">
        <f>IFERROR(INDEX('Company Hitlist'!$AA:$AA,MATCH(D4738,'Company Hitlist'!$A:$A,0)),)</f>
        <v/>
      </c>
      <c r="O4738">
        <f>IFERROR(INDEX('Company Hitlist'!$N:$N,MATCH(D4738,'Company Hitlist'!$A:$A,0)),)</f>
        <v/>
      </c>
      <c r="Q4738" t="inlineStr">
        <is>
          <t>todo</t>
        </is>
      </c>
    </row>
    <row r="4739">
      <c r="A4739" t="inlineStr">
        <is>
          <t>Keith Roper</t>
        </is>
      </c>
      <c r="B4739" t="inlineStr">
        <is>
          <t>Sponsor</t>
        </is>
      </c>
      <c r="C4739" t="inlineStr">
        <is>
          <t>Account Executive</t>
        </is>
      </c>
      <c r="D4739" t="inlineStr">
        <is>
          <t>Enveyo</t>
        </is>
      </c>
      <c r="E4739" t="inlineStr">
        <is>
          <t>United States</t>
        </is>
      </c>
      <c r="H4739" t="n">
        <v>-6</v>
      </c>
      <c r="I4739" t="b">
        <v>0</v>
      </c>
      <c r="J4739" t="b">
        <v>0</v>
      </c>
      <c r="K4739" t="b">
        <v>0</v>
      </c>
      <c r="L4739" t="b">
        <v>0</v>
      </c>
      <c r="M4739" t="b">
        <v>1</v>
      </c>
      <c r="N4739">
        <f>IFERROR(INDEX('Company Hitlist'!$AA:$AA,MATCH(D4739,'Company Hitlist'!$A:$A,0)),)</f>
        <v/>
      </c>
      <c r="O4739">
        <f>IFERROR(INDEX('Company Hitlist'!$N:$N,MATCH(D4739,'Company Hitlist'!$A:$A,0)),)</f>
        <v/>
      </c>
      <c r="Q4739" t="inlineStr">
        <is>
          <t>todo</t>
        </is>
      </c>
    </row>
    <row r="4740">
      <c r="A4740" t="inlineStr">
        <is>
          <t>Cris Lauer</t>
        </is>
      </c>
      <c r="B4740" t="inlineStr">
        <is>
          <t>Sponsor</t>
        </is>
      </c>
      <c r="C4740" t="inlineStr">
        <is>
          <t>Account Executive</t>
        </is>
      </c>
      <c r="D4740" t="inlineStr">
        <is>
          <t>Enveyo</t>
        </is>
      </c>
      <c r="H4740" t="n">
        <v>-6</v>
      </c>
      <c r="I4740" t="b">
        <v>0</v>
      </c>
      <c r="J4740" t="b">
        <v>0</v>
      </c>
      <c r="K4740" t="b">
        <v>0</v>
      </c>
      <c r="L4740" t="b">
        <v>0</v>
      </c>
      <c r="M4740" t="b">
        <v>1</v>
      </c>
      <c r="N4740">
        <f>IFERROR(INDEX('Company Hitlist'!$AA:$AA,MATCH(D4740,'Company Hitlist'!$A:$A,0)),)</f>
        <v/>
      </c>
      <c r="O4740">
        <f>IFERROR(INDEX('Company Hitlist'!$N:$N,MATCH(D4740,'Company Hitlist'!$A:$A,0)),)</f>
        <v/>
      </c>
      <c r="Q4740" t="inlineStr">
        <is>
          <t>todo</t>
        </is>
      </c>
    </row>
    <row r="4741">
      <c r="A4741" t="inlineStr">
        <is>
          <t>Andreas Trezza</t>
        </is>
      </c>
      <c r="B4741" t="inlineStr">
        <is>
          <t>Sponsor</t>
        </is>
      </c>
      <c r="C4741" t="inlineStr">
        <is>
          <t>Senior Account Executive</t>
        </is>
      </c>
      <c r="D4741" t="inlineStr">
        <is>
          <t>Eurosender SARL</t>
        </is>
      </c>
      <c r="H4741" t="n">
        <v>-6</v>
      </c>
      <c r="I4741" t="b">
        <v>0</v>
      </c>
      <c r="J4741" t="b">
        <v>0</v>
      </c>
      <c r="K4741" t="b">
        <v>0</v>
      </c>
      <c r="L4741" t="b">
        <v>0</v>
      </c>
      <c r="M4741" t="b">
        <v>1</v>
      </c>
      <c r="N4741">
        <f>IFERROR(INDEX('Company Hitlist'!$AA:$AA,MATCH(D4741,'Company Hitlist'!$A:$A,0)),)</f>
        <v/>
      </c>
      <c r="O4741">
        <f>IFERROR(INDEX('Company Hitlist'!$N:$N,MATCH(D4741,'Company Hitlist'!$A:$A,0)),)</f>
        <v/>
      </c>
      <c r="Q4741" t="inlineStr">
        <is>
          <t>todo</t>
        </is>
      </c>
    </row>
    <row r="4742">
      <c r="A4742" t="inlineStr">
        <is>
          <t>Shamil Balapashev</t>
        </is>
      </c>
      <c r="B4742" t="inlineStr">
        <is>
          <t>Sponsor</t>
        </is>
      </c>
      <c r="C4742" t="inlineStr">
        <is>
          <t>Director of Marketing, North America</t>
        </is>
      </c>
      <c r="D4742" t="inlineStr">
        <is>
          <t>Exotec</t>
        </is>
      </c>
      <c r="E4742" t="inlineStr">
        <is>
          <t>United States</t>
        </is>
      </c>
      <c r="F4742" t="inlineStr">
        <is>
          <t>Yes</t>
        </is>
      </c>
      <c r="G4742" t="inlineStr">
        <is>
          <t>$256M (est.)</t>
        </is>
      </c>
      <c r="H4742" t="n">
        <v>-6</v>
      </c>
      <c r="I4742" t="b">
        <v>0</v>
      </c>
      <c r="J4742" t="b">
        <v>0</v>
      </c>
      <c r="K4742" t="b">
        <v>0</v>
      </c>
      <c r="L4742" t="b">
        <v>0</v>
      </c>
      <c r="M4742" t="b">
        <v>1</v>
      </c>
      <c r="N4742">
        <f>IFERROR(INDEX('Company Hitlist'!$AA:$AA,MATCH(D4742,'Company Hitlist'!$A:$A,0)),)</f>
        <v/>
      </c>
      <c r="O4742">
        <f>IFERROR(INDEX('Company Hitlist'!$N:$N,MATCH(D4742,'Company Hitlist'!$A:$A,0)),)</f>
        <v/>
      </c>
      <c r="Q4742" t="inlineStr">
        <is>
          <t>todo</t>
        </is>
      </c>
    </row>
    <row r="4743">
      <c r="A4743" t="inlineStr">
        <is>
          <t>Clayton Everhart</t>
        </is>
      </c>
      <c r="B4743" t="inlineStr">
        <is>
          <t>Sponsor</t>
        </is>
      </c>
      <c r="C4743" t="inlineStr">
        <is>
          <t>Sales Executive</t>
        </is>
      </c>
      <c r="D4743" t="inlineStr">
        <is>
          <t>Exotec</t>
        </is>
      </c>
      <c r="E4743" t="inlineStr">
        <is>
          <t>United States</t>
        </is>
      </c>
      <c r="H4743" t="n">
        <v>-6</v>
      </c>
      <c r="I4743" t="b">
        <v>0</v>
      </c>
      <c r="J4743" t="b">
        <v>0</v>
      </c>
      <c r="K4743" t="b">
        <v>0</v>
      </c>
      <c r="L4743" t="b">
        <v>0</v>
      </c>
      <c r="M4743" t="b">
        <v>1</v>
      </c>
      <c r="N4743">
        <f>IFERROR(INDEX('Company Hitlist'!$AA:$AA,MATCH(D4743,'Company Hitlist'!$A:$A,0)),)</f>
        <v/>
      </c>
      <c r="O4743">
        <f>IFERROR(INDEX('Company Hitlist'!$N:$N,MATCH(D4743,'Company Hitlist'!$A:$A,0)),)</f>
        <v/>
      </c>
      <c r="Q4743" t="inlineStr">
        <is>
          <t>todo</t>
        </is>
      </c>
    </row>
    <row r="4744">
      <c r="A4744" t="inlineStr">
        <is>
          <t>Benjamin Putz</t>
        </is>
      </c>
      <c r="B4744" t="inlineStr">
        <is>
          <t>Sponsor</t>
        </is>
      </c>
      <c r="C4744" t="inlineStr">
        <is>
          <t>Senior Sales Executive</t>
        </is>
      </c>
      <c r="D4744" t="inlineStr">
        <is>
          <t>Exotec</t>
        </is>
      </c>
      <c r="H4744" t="n">
        <v>-6</v>
      </c>
      <c r="I4744" t="b">
        <v>0</v>
      </c>
      <c r="J4744" t="b">
        <v>0</v>
      </c>
      <c r="K4744" t="b">
        <v>0</v>
      </c>
      <c r="L4744" t="b">
        <v>0</v>
      </c>
      <c r="M4744" t="b">
        <v>1</v>
      </c>
      <c r="N4744">
        <f>IFERROR(INDEX('Company Hitlist'!$AA:$AA,MATCH(D4744,'Company Hitlist'!$A:$A,0)),)</f>
        <v/>
      </c>
      <c r="O4744">
        <f>IFERROR(INDEX('Company Hitlist'!$N:$N,MATCH(D4744,'Company Hitlist'!$A:$A,0)),)</f>
        <v/>
      </c>
      <c r="Q4744" t="inlineStr">
        <is>
          <t>todo</t>
        </is>
      </c>
    </row>
    <row r="4745">
      <c r="A4745" t="inlineStr">
        <is>
          <t>John Jackson</t>
        </is>
      </c>
      <c r="B4745" t="inlineStr">
        <is>
          <t>Sponsor</t>
        </is>
      </c>
      <c r="C4745" t="inlineStr">
        <is>
          <t>Senior Sales Executive</t>
        </is>
      </c>
      <c r="D4745" t="inlineStr">
        <is>
          <t>Exotec</t>
        </is>
      </c>
      <c r="H4745" t="n">
        <v>-6</v>
      </c>
      <c r="I4745" t="b">
        <v>0</v>
      </c>
      <c r="J4745" t="b">
        <v>0</v>
      </c>
      <c r="K4745" t="b">
        <v>0</v>
      </c>
      <c r="L4745" t="b">
        <v>0</v>
      </c>
      <c r="M4745" t="b">
        <v>1</v>
      </c>
      <c r="N4745">
        <f>IFERROR(INDEX('Company Hitlist'!$AA:$AA,MATCH(D4745,'Company Hitlist'!$A:$A,0)),)</f>
        <v/>
      </c>
      <c r="O4745">
        <f>IFERROR(INDEX('Company Hitlist'!$N:$N,MATCH(D4745,'Company Hitlist'!$A:$A,0)),)</f>
        <v/>
      </c>
      <c r="Q4745" t="inlineStr">
        <is>
          <t>todo</t>
        </is>
      </c>
    </row>
    <row r="4746">
      <c r="A4746" t="inlineStr">
        <is>
          <t>Michael Fiorito</t>
        </is>
      </c>
      <c r="B4746" t="inlineStr">
        <is>
          <t>Sponsor</t>
        </is>
      </c>
      <c r="C4746" t="inlineStr">
        <is>
          <t>Strategic Sales Executive</t>
        </is>
      </c>
      <c r="D4746" t="inlineStr">
        <is>
          <t>Exotec</t>
        </is>
      </c>
      <c r="H4746" t="n">
        <v>-6</v>
      </c>
      <c r="I4746" t="b">
        <v>0</v>
      </c>
      <c r="J4746" t="b">
        <v>0</v>
      </c>
      <c r="K4746" t="b">
        <v>0</v>
      </c>
      <c r="L4746" t="b">
        <v>0</v>
      </c>
      <c r="M4746" t="b">
        <v>1</v>
      </c>
      <c r="N4746">
        <f>IFERROR(INDEX('Company Hitlist'!$AA:$AA,MATCH(D4746,'Company Hitlist'!$A:$A,0)),)</f>
        <v/>
      </c>
      <c r="O4746">
        <f>IFERROR(INDEX('Company Hitlist'!$N:$N,MATCH(D4746,'Company Hitlist'!$A:$A,0)),)</f>
        <v/>
      </c>
      <c r="Q4746" t="inlineStr">
        <is>
          <t>todo</t>
        </is>
      </c>
    </row>
    <row r="4747">
      <c r="A4747" t="inlineStr">
        <is>
          <t>Youbeen Baek</t>
        </is>
      </c>
      <c r="B4747" t="inlineStr">
        <is>
          <t>Sponsor</t>
        </is>
      </c>
      <c r="C4747" t="inlineStr">
        <is>
          <t>Senior Business Development Specialist</t>
        </is>
      </c>
      <c r="D4747" t="inlineStr">
        <is>
          <t>Exotec</t>
        </is>
      </c>
      <c r="E4747" t="inlineStr">
        <is>
          <t>United States</t>
        </is>
      </c>
      <c r="H4747" t="n">
        <v>-6</v>
      </c>
      <c r="I4747" t="b">
        <v>0</v>
      </c>
      <c r="J4747" t="b">
        <v>0</v>
      </c>
      <c r="K4747" t="b">
        <v>0</v>
      </c>
      <c r="L4747" t="b">
        <v>0</v>
      </c>
      <c r="M4747" t="b">
        <v>1</v>
      </c>
      <c r="N4747">
        <f>IFERROR(INDEX('Company Hitlist'!$AA:$AA,MATCH(D4747,'Company Hitlist'!$A:$A,0)),)</f>
        <v/>
      </c>
      <c r="O4747">
        <f>IFERROR(INDEX('Company Hitlist'!$N:$N,MATCH(D4747,'Company Hitlist'!$A:$A,0)),)</f>
        <v/>
      </c>
      <c r="Q4747" t="inlineStr">
        <is>
          <t>todo</t>
        </is>
      </c>
    </row>
    <row r="4748">
      <c r="A4748" t="inlineStr">
        <is>
          <t>Christian Bartholomew</t>
        </is>
      </c>
      <c r="B4748" t="inlineStr">
        <is>
          <t>Sponsor</t>
        </is>
      </c>
      <c r="C4748" t="inlineStr">
        <is>
          <t>Sales</t>
        </is>
      </c>
      <c r="D4748" t="inlineStr">
        <is>
          <t>Expertly AI</t>
        </is>
      </c>
      <c r="E4748" t="inlineStr">
        <is>
          <t>United States</t>
        </is>
      </c>
      <c r="H4748" t="n">
        <v>-6</v>
      </c>
      <c r="I4748" t="b">
        <v>0</v>
      </c>
      <c r="J4748" t="b">
        <v>0</v>
      </c>
      <c r="K4748" t="b">
        <v>0</v>
      </c>
      <c r="L4748" t="b">
        <v>0</v>
      </c>
      <c r="M4748" t="b">
        <v>1</v>
      </c>
      <c r="N4748">
        <f>IFERROR(INDEX('Company Hitlist'!$AA:$AA,MATCH(D4748,'Company Hitlist'!$A:$A,0)),)</f>
        <v/>
      </c>
      <c r="O4748">
        <f>IFERROR(INDEX('Company Hitlist'!$N:$N,MATCH(D4748,'Company Hitlist'!$A:$A,0)),)</f>
        <v/>
      </c>
      <c r="Q4748" t="inlineStr">
        <is>
          <t>todo</t>
        </is>
      </c>
    </row>
    <row r="4749">
      <c r="A4749" t="inlineStr">
        <is>
          <t>Joey Hurth</t>
        </is>
      </c>
      <c r="B4749" t="inlineStr">
        <is>
          <t>Sponsor</t>
        </is>
      </c>
      <c r="C4749" t="inlineStr">
        <is>
          <t>Sales</t>
        </is>
      </c>
      <c r="D4749" t="inlineStr">
        <is>
          <t>Expertly AI</t>
        </is>
      </c>
      <c r="E4749" t="inlineStr">
        <is>
          <t>United States</t>
        </is>
      </c>
      <c r="H4749" t="n">
        <v>-6</v>
      </c>
      <c r="I4749" t="b">
        <v>0</v>
      </c>
      <c r="J4749" t="b">
        <v>0</v>
      </c>
      <c r="K4749" t="b">
        <v>0</v>
      </c>
      <c r="L4749" t="b">
        <v>0</v>
      </c>
      <c r="M4749" t="b">
        <v>1</v>
      </c>
      <c r="N4749">
        <f>IFERROR(INDEX('Company Hitlist'!$AA:$AA,MATCH(D4749,'Company Hitlist'!$A:$A,0)),)</f>
        <v/>
      </c>
      <c r="O4749">
        <f>IFERROR(INDEX('Company Hitlist'!$N:$N,MATCH(D4749,'Company Hitlist'!$A:$A,0)),)</f>
        <v/>
      </c>
      <c r="Q4749" t="inlineStr">
        <is>
          <t>todo</t>
        </is>
      </c>
    </row>
    <row r="4750">
      <c r="A4750" t="inlineStr">
        <is>
          <t>Khizar Jawaid</t>
        </is>
      </c>
      <c r="B4750" t="inlineStr">
        <is>
          <t>Sponsor</t>
        </is>
      </c>
      <c r="C4750" t="inlineStr">
        <is>
          <t>Digital Marketing Principal Strategist</t>
        </is>
      </c>
      <c r="D4750" t="inlineStr">
        <is>
          <t>FedEx</t>
        </is>
      </c>
      <c r="E4750" t="inlineStr">
        <is>
          <t>United States</t>
        </is>
      </c>
      <c r="F4750" t="inlineStr">
        <is>
          <t>Yes</t>
        </is>
      </c>
      <c r="G4750" t="inlineStr">
        <is>
          <t>$87.7B (2024; projected $88B in 2025)</t>
        </is>
      </c>
      <c r="H4750" t="n">
        <v>-6</v>
      </c>
      <c r="I4750" t="b">
        <v>0</v>
      </c>
      <c r="J4750" t="b">
        <v>0</v>
      </c>
      <c r="K4750" t="b">
        <v>0</v>
      </c>
      <c r="L4750" t="b">
        <v>0</v>
      </c>
      <c r="M4750" t="b">
        <v>1</v>
      </c>
      <c r="N4750">
        <f>IFERROR(INDEX('Company Hitlist'!$AA:$AA,MATCH(D4750,'Company Hitlist'!$A:$A,0)),)</f>
        <v/>
      </c>
      <c r="O4750">
        <f>IFERROR(INDEX('Company Hitlist'!$N:$N,MATCH(D4750,'Company Hitlist'!$A:$A,0)),)</f>
        <v/>
      </c>
      <c r="Q4750" t="inlineStr">
        <is>
          <t>todo</t>
        </is>
      </c>
    </row>
    <row r="4751">
      <c r="A4751" t="inlineStr">
        <is>
          <t>Julian Rizza</t>
        </is>
      </c>
      <c r="B4751" t="inlineStr">
        <is>
          <t>Sponsor</t>
        </is>
      </c>
      <c r="C4751" t="inlineStr">
        <is>
          <t>Account Executive, 3rd Party Digital Sales</t>
        </is>
      </c>
      <c r="D4751" t="inlineStr">
        <is>
          <t>FedEx</t>
        </is>
      </c>
      <c r="H4751" t="n">
        <v>-6</v>
      </c>
      <c r="I4751" t="b">
        <v>0</v>
      </c>
      <c r="J4751" t="b">
        <v>0</v>
      </c>
      <c r="K4751" t="b">
        <v>0</v>
      </c>
      <c r="L4751" t="b">
        <v>0</v>
      </c>
      <c r="M4751" t="b">
        <v>1</v>
      </c>
      <c r="N4751">
        <f>IFERROR(INDEX('Company Hitlist'!$AA:$AA,MATCH(D4751,'Company Hitlist'!$A:$A,0)),)</f>
        <v/>
      </c>
      <c r="O4751">
        <f>IFERROR(INDEX('Company Hitlist'!$N:$N,MATCH(D4751,'Company Hitlist'!$A:$A,0)),)</f>
        <v/>
      </c>
      <c r="Q4751" t="inlineStr">
        <is>
          <t>todo</t>
        </is>
      </c>
    </row>
    <row r="4752">
      <c r="A4752" t="inlineStr">
        <is>
          <t>Ryan Lerone</t>
        </is>
      </c>
      <c r="B4752" t="inlineStr">
        <is>
          <t>Sponsor</t>
        </is>
      </c>
      <c r="C4752" t="inlineStr">
        <is>
          <t>Sales Manager</t>
        </is>
      </c>
      <c r="D4752" t="inlineStr">
        <is>
          <t>FedEx</t>
        </is>
      </c>
      <c r="H4752" t="n">
        <v>-6</v>
      </c>
      <c r="I4752" t="b">
        <v>0</v>
      </c>
      <c r="J4752" t="b">
        <v>0</v>
      </c>
      <c r="K4752" t="b">
        <v>0</v>
      </c>
      <c r="L4752" t="b">
        <v>0</v>
      </c>
      <c r="M4752" t="b">
        <v>1</v>
      </c>
      <c r="N4752">
        <f>IFERROR(INDEX('Company Hitlist'!$AA:$AA,MATCH(D4752,'Company Hitlist'!$A:$A,0)),)</f>
        <v/>
      </c>
      <c r="O4752">
        <f>IFERROR(INDEX('Company Hitlist'!$N:$N,MATCH(D4752,'Company Hitlist'!$A:$A,0)),)</f>
        <v/>
      </c>
      <c r="Q4752" t="inlineStr">
        <is>
          <t>todo</t>
        </is>
      </c>
    </row>
    <row r="4753">
      <c r="A4753" t="inlineStr">
        <is>
          <t>Jenna Schier</t>
        </is>
      </c>
      <c r="B4753" t="inlineStr">
        <is>
          <t>Sponsor</t>
        </is>
      </c>
      <c r="C4753" t="inlineStr">
        <is>
          <t>Account Executive</t>
        </is>
      </c>
      <c r="D4753" t="inlineStr">
        <is>
          <t>FedEx</t>
        </is>
      </c>
      <c r="E4753" t="inlineStr">
        <is>
          <t>United States</t>
        </is>
      </c>
      <c r="H4753" t="n">
        <v>-6</v>
      </c>
      <c r="I4753" t="b">
        <v>0</v>
      </c>
      <c r="J4753" t="b">
        <v>0</v>
      </c>
      <c r="K4753" t="b">
        <v>0</v>
      </c>
      <c r="L4753" t="b">
        <v>0</v>
      </c>
      <c r="M4753" t="b">
        <v>1</v>
      </c>
      <c r="N4753">
        <f>IFERROR(INDEX('Company Hitlist'!$AA:$AA,MATCH(D4753,'Company Hitlist'!$A:$A,0)),)</f>
        <v/>
      </c>
      <c r="O4753">
        <f>IFERROR(INDEX('Company Hitlist'!$N:$N,MATCH(D4753,'Company Hitlist'!$A:$A,0)),)</f>
        <v/>
      </c>
      <c r="Q4753" t="inlineStr">
        <is>
          <t>todo</t>
        </is>
      </c>
    </row>
    <row r="4754">
      <c r="A4754" t="inlineStr">
        <is>
          <t>Ismael Rivera</t>
        </is>
      </c>
      <c r="B4754" t="inlineStr">
        <is>
          <t>Sponsor</t>
        </is>
      </c>
      <c r="C4754" t="inlineStr">
        <is>
          <t>Sr. Field Marketing Manager</t>
        </is>
      </c>
      <c r="D4754" t="inlineStr">
        <is>
          <t>Flexe</t>
        </is>
      </c>
      <c r="E4754" t="inlineStr">
        <is>
          <t>United States</t>
        </is>
      </c>
      <c r="H4754" t="n">
        <v>-6</v>
      </c>
      <c r="I4754" t="b">
        <v>0</v>
      </c>
      <c r="J4754" t="b">
        <v>0</v>
      </c>
      <c r="K4754" t="b">
        <v>0</v>
      </c>
      <c r="L4754" t="b">
        <v>0</v>
      </c>
      <c r="M4754" t="b">
        <v>1</v>
      </c>
      <c r="N4754">
        <f>IFERROR(INDEX('Company Hitlist'!$AA:$AA,MATCH(D4754,'Company Hitlist'!$A:$A,0)),)</f>
        <v/>
      </c>
      <c r="O4754">
        <f>IFERROR(INDEX('Company Hitlist'!$N:$N,MATCH(D4754,'Company Hitlist'!$A:$A,0)),)</f>
        <v/>
      </c>
      <c r="Q4754" t="inlineStr">
        <is>
          <t>todo</t>
        </is>
      </c>
    </row>
    <row r="4755">
      <c r="A4755" t="inlineStr">
        <is>
          <t>Anabel Cormier</t>
        </is>
      </c>
      <c r="B4755" t="inlineStr">
        <is>
          <t>Sponsor</t>
        </is>
      </c>
      <c r="C4755" t="inlineStr">
        <is>
          <t>Principal Director of Business Development</t>
        </is>
      </c>
      <c r="D4755" t="inlineStr">
        <is>
          <t>Flexe</t>
        </is>
      </c>
      <c r="E4755" t="inlineStr">
        <is>
          <t>United States</t>
        </is>
      </c>
      <c r="H4755" t="n">
        <v>-6</v>
      </c>
      <c r="I4755" t="b">
        <v>0</v>
      </c>
      <c r="J4755" t="b">
        <v>0</v>
      </c>
      <c r="K4755" t="b">
        <v>0</v>
      </c>
      <c r="L4755" t="b">
        <v>0</v>
      </c>
      <c r="M4755" t="b">
        <v>1</v>
      </c>
      <c r="N4755">
        <f>IFERROR(INDEX('Company Hitlist'!$AA:$AA,MATCH(D4755,'Company Hitlist'!$A:$A,0)),)</f>
        <v/>
      </c>
      <c r="O4755">
        <f>IFERROR(INDEX('Company Hitlist'!$N:$N,MATCH(D4755,'Company Hitlist'!$A:$A,0)),)</f>
        <v/>
      </c>
      <c r="Q4755" t="inlineStr">
        <is>
          <t>todo</t>
        </is>
      </c>
    </row>
    <row r="4756">
      <c r="A4756" t="inlineStr">
        <is>
          <t>Chandler Harris</t>
        </is>
      </c>
      <c r="B4756" t="inlineStr">
        <is>
          <t>Sponsor</t>
        </is>
      </c>
      <c r="C4756" t="inlineStr">
        <is>
          <t>Director of Business Development</t>
        </is>
      </c>
      <c r="D4756" t="inlineStr">
        <is>
          <t>Flexe</t>
        </is>
      </c>
      <c r="E4756" t="inlineStr">
        <is>
          <t>United States</t>
        </is>
      </c>
      <c r="H4756" t="n">
        <v>-6</v>
      </c>
      <c r="I4756" t="b">
        <v>0</v>
      </c>
      <c r="J4756" t="b">
        <v>0</v>
      </c>
      <c r="K4756" t="b">
        <v>0</v>
      </c>
      <c r="L4756" t="b">
        <v>0</v>
      </c>
      <c r="M4756" t="b">
        <v>1</v>
      </c>
      <c r="N4756">
        <f>IFERROR(INDEX('Company Hitlist'!$AA:$AA,MATCH(D4756,'Company Hitlist'!$A:$A,0)),)</f>
        <v/>
      </c>
      <c r="O4756">
        <f>IFERROR(INDEX('Company Hitlist'!$N:$N,MATCH(D4756,'Company Hitlist'!$A:$A,0)),)</f>
        <v/>
      </c>
      <c r="Q4756" t="inlineStr">
        <is>
          <t>todo</t>
        </is>
      </c>
    </row>
    <row r="4757">
      <c r="A4757" t="inlineStr">
        <is>
          <t>Dottie Weaks</t>
        </is>
      </c>
      <c r="B4757" t="inlineStr">
        <is>
          <t>Sponsor</t>
        </is>
      </c>
      <c r="C4757" t="inlineStr">
        <is>
          <t>Director Business Development</t>
        </is>
      </c>
      <c r="D4757" t="inlineStr">
        <is>
          <t>Flexe</t>
        </is>
      </c>
      <c r="E4757" t="inlineStr">
        <is>
          <t>United States</t>
        </is>
      </c>
      <c r="H4757" t="n">
        <v>-6</v>
      </c>
      <c r="I4757" t="b">
        <v>0</v>
      </c>
      <c r="J4757" t="b">
        <v>0</v>
      </c>
      <c r="K4757" t="b">
        <v>0</v>
      </c>
      <c r="L4757" t="b">
        <v>0</v>
      </c>
      <c r="M4757" t="b">
        <v>1</v>
      </c>
      <c r="N4757">
        <f>IFERROR(INDEX('Company Hitlist'!$AA:$AA,MATCH(D4757,'Company Hitlist'!$A:$A,0)),)</f>
        <v/>
      </c>
      <c r="O4757">
        <f>IFERROR(INDEX('Company Hitlist'!$N:$N,MATCH(D4757,'Company Hitlist'!$A:$A,0)),)</f>
        <v/>
      </c>
      <c r="Q4757" t="inlineStr">
        <is>
          <t>todo</t>
        </is>
      </c>
    </row>
    <row r="4758">
      <c r="A4758" t="inlineStr">
        <is>
          <t>Dan Voss</t>
        </is>
      </c>
      <c r="B4758" t="inlineStr">
        <is>
          <t>Sponsor</t>
        </is>
      </c>
      <c r="C4758" t="inlineStr">
        <is>
          <t>Sales Development Manager</t>
        </is>
      </c>
      <c r="D4758" t="inlineStr">
        <is>
          <t>Flexport</t>
        </is>
      </c>
      <c r="E4758" t="inlineStr">
        <is>
          <t>United States</t>
        </is>
      </c>
      <c r="H4758" t="n">
        <v>-6</v>
      </c>
      <c r="I4758" t="b">
        <v>0</v>
      </c>
      <c r="J4758" t="b">
        <v>0</v>
      </c>
      <c r="K4758" t="b">
        <v>0</v>
      </c>
      <c r="L4758" t="b">
        <v>0</v>
      </c>
      <c r="M4758" t="b">
        <v>1</v>
      </c>
      <c r="N4758">
        <f>IFERROR(INDEX('Company Hitlist'!$AA:$AA,MATCH(D4758,'Company Hitlist'!$A:$A,0)),)</f>
        <v/>
      </c>
      <c r="O4758">
        <f>IFERROR(INDEX('Company Hitlist'!$N:$N,MATCH(D4758,'Company Hitlist'!$A:$A,0)),)</f>
        <v/>
      </c>
      <c r="Q4758" t="inlineStr">
        <is>
          <t>todo</t>
        </is>
      </c>
    </row>
    <row r="4759">
      <c r="A4759" t="inlineStr">
        <is>
          <t>Jake Lightman</t>
        </is>
      </c>
      <c r="B4759" t="inlineStr">
        <is>
          <t>Sponsor</t>
        </is>
      </c>
      <c r="C4759" t="inlineStr">
        <is>
          <t>Senior Sales Manager</t>
        </is>
      </c>
      <c r="D4759" t="inlineStr">
        <is>
          <t>Flexport</t>
        </is>
      </c>
      <c r="E4759" t="inlineStr">
        <is>
          <t>United States</t>
        </is>
      </c>
      <c r="H4759" t="n">
        <v>-6</v>
      </c>
      <c r="I4759" t="b">
        <v>0</v>
      </c>
      <c r="J4759" t="b">
        <v>0</v>
      </c>
      <c r="K4759" t="b">
        <v>0</v>
      </c>
      <c r="L4759" t="b">
        <v>0</v>
      </c>
      <c r="M4759" t="b">
        <v>1</v>
      </c>
      <c r="N4759">
        <f>IFERROR(INDEX('Company Hitlist'!$AA:$AA,MATCH(D4759,'Company Hitlist'!$A:$A,0)),)</f>
        <v/>
      </c>
      <c r="O4759">
        <f>IFERROR(INDEX('Company Hitlist'!$N:$N,MATCH(D4759,'Company Hitlist'!$A:$A,0)),)</f>
        <v/>
      </c>
      <c r="Q4759" t="inlineStr">
        <is>
          <t>todo</t>
        </is>
      </c>
    </row>
    <row r="4760">
      <c r="A4760" t="inlineStr">
        <is>
          <t>Maddie Eisenlord</t>
        </is>
      </c>
      <c r="B4760" t="inlineStr">
        <is>
          <t>Sponsor</t>
        </is>
      </c>
      <c r="C4760" t="inlineStr">
        <is>
          <t>Sales Development Manager</t>
        </is>
      </c>
      <c r="D4760" t="inlineStr">
        <is>
          <t>Flexport</t>
        </is>
      </c>
      <c r="E4760" t="inlineStr">
        <is>
          <t>United States</t>
        </is>
      </c>
      <c r="H4760" t="n">
        <v>-6</v>
      </c>
      <c r="I4760" t="b">
        <v>0</v>
      </c>
      <c r="J4760" t="b">
        <v>0</v>
      </c>
      <c r="K4760" t="b">
        <v>0</v>
      </c>
      <c r="L4760" t="b">
        <v>0</v>
      </c>
      <c r="M4760" t="b">
        <v>1</v>
      </c>
      <c r="N4760">
        <f>IFERROR(INDEX('Company Hitlist'!$AA:$AA,MATCH(D4760,'Company Hitlist'!$A:$A,0)),)</f>
        <v/>
      </c>
      <c r="O4760">
        <f>IFERROR(INDEX('Company Hitlist'!$N:$N,MATCH(D4760,'Company Hitlist'!$A:$A,0)),)</f>
        <v/>
      </c>
      <c r="Q4760" t="inlineStr">
        <is>
          <t>todo</t>
        </is>
      </c>
    </row>
    <row r="4761">
      <c r="A4761" t="inlineStr">
        <is>
          <t>Gary Grizzle</t>
        </is>
      </c>
      <c r="B4761" t="inlineStr">
        <is>
          <t>Sponsor</t>
        </is>
      </c>
      <c r="C4761" t="inlineStr">
        <is>
          <t>Senior Sales Manager</t>
        </is>
      </c>
      <c r="D4761" t="inlineStr">
        <is>
          <t>Flexport</t>
        </is>
      </c>
      <c r="H4761" t="n">
        <v>-6</v>
      </c>
      <c r="I4761" t="b">
        <v>0</v>
      </c>
      <c r="J4761" t="b">
        <v>0</v>
      </c>
      <c r="K4761" t="b">
        <v>0</v>
      </c>
      <c r="L4761" t="b">
        <v>0</v>
      </c>
      <c r="M4761" t="b">
        <v>1</v>
      </c>
      <c r="N4761">
        <f>IFERROR(INDEX('Company Hitlist'!$AA:$AA,MATCH(D4761,'Company Hitlist'!$A:$A,0)),)</f>
        <v/>
      </c>
      <c r="O4761">
        <f>IFERROR(INDEX('Company Hitlist'!$N:$N,MATCH(D4761,'Company Hitlist'!$A:$A,0)),)</f>
        <v/>
      </c>
      <c r="Q4761" t="inlineStr">
        <is>
          <t>todo</t>
        </is>
      </c>
    </row>
    <row r="4762">
      <c r="A4762" t="inlineStr">
        <is>
          <t>Natalie Barzyk</t>
        </is>
      </c>
      <c r="B4762" t="inlineStr">
        <is>
          <t>Sponsor</t>
        </is>
      </c>
      <c r="C4762" t="inlineStr">
        <is>
          <t>Digital Marketing Manager</t>
        </is>
      </c>
      <c r="D4762" t="inlineStr">
        <is>
          <t>Flexport</t>
        </is>
      </c>
      <c r="H4762" t="n">
        <v>-6</v>
      </c>
      <c r="I4762" t="b">
        <v>0</v>
      </c>
      <c r="J4762" t="b">
        <v>0</v>
      </c>
      <c r="K4762" t="b">
        <v>0</v>
      </c>
      <c r="L4762" t="b">
        <v>0</v>
      </c>
      <c r="M4762" t="b">
        <v>1</v>
      </c>
      <c r="N4762">
        <f>IFERROR(INDEX('Company Hitlist'!$AA:$AA,MATCH(D4762,'Company Hitlist'!$A:$A,0)),)</f>
        <v/>
      </c>
      <c r="O4762">
        <f>IFERROR(INDEX('Company Hitlist'!$N:$N,MATCH(D4762,'Company Hitlist'!$A:$A,0)),)</f>
        <v/>
      </c>
      <c r="Q4762" t="inlineStr">
        <is>
          <t>todo</t>
        </is>
      </c>
    </row>
    <row r="4763">
      <c r="A4763" t="inlineStr">
        <is>
          <t>Kyle Cordova</t>
        </is>
      </c>
      <c r="B4763" t="inlineStr">
        <is>
          <t>Sponsor</t>
        </is>
      </c>
      <c r="C4763" t="inlineStr">
        <is>
          <t>Senior Business Development Manager</t>
        </is>
      </c>
      <c r="D4763" t="inlineStr">
        <is>
          <t>Flexport</t>
        </is>
      </c>
      <c r="E4763" t="inlineStr">
        <is>
          <t>United States</t>
        </is>
      </c>
      <c r="H4763" t="n">
        <v>-6</v>
      </c>
      <c r="I4763" t="b">
        <v>0</v>
      </c>
      <c r="J4763" t="b">
        <v>0</v>
      </c>
      <c r="K4763" t="b">
        <v>0</v>
      </c>
      <c r="L4763" t="b">
        <v>0</v>
      </c>
      <c r="M4763" t="b">
        <v>1</v>
      </c>
      <c r="N4763">
        <f>IFERROR(INDEX('Company Hitlist'!$AA:$AA,MATCH(D4763,'Company Hitlist'!$A:$A,0)),)</f>
        <v/>
      </c>
      <c r="O4763">
        <f>IFERROR(INDEX('Company Hitlist'!$N:$N,MATCH(D4763,'Company Hitlist'!$A:$A,0)),)</f>
        <v/>
      </c>
      <c r="Q4763" t="inlineStr">
        <is>
          <t>todo</t>
        </is>
      </c>
    </row>
    <row r="4764">
      <c r="A4764" t="inlineStr">
        <is>
          <t>Matthew Pesacreta</t>
        </is>
      </c>
      <c r="B4764" t="inlineStr">
        <is>
          <t>Sponsor</t>
        </is>
      </c>
      <c r="C4764" t="inlineStr">
        <is>
          <t>Senior Business Development Manager</t>
        </is>
      </c>
      <c r="D4764" t="inlineStr">
        <is>
          <t>Flexport</t>
        </is>
      </c>
      <c r="E4764" t="inlineStr">
        <is>
          <t>United States</t>
        </is>
      </c>
      <c r="H4764" t="n">
        <v>-6</v>
      </c>
      <c r="I4764" t="b">
        <v>0</v>
      </c>
      <c r="J4764" t="b">
        <v>0</v>
      </c>
      <c r="K4764" t="b">
        <v>0</v>
      </c>
      <c r="L4764" t="b">
        <v>0</v>
      </c>
      <c r="M4764" t="b">
        <v>1</v>
      </c>
      <c r="N4764">
        <f>IFERROR(INDEX('Company Hitlist'!$AA:$AA,MATCH(D4764,'Company Hitlist'!$A:$A,0)),)</f>
        <v/>
      </c>
      <c r="O4764">
        <f>IFERROR(INDEX('Company Hitlist'!$N:$N,MATCH(D4764,'Company Hitlist'!$A:$A,0)),)</f>
        <v/>
      </c>
      <c r="Q4764" t="inlineStr">
        <is>
          <t>todo</t>
        </is>
      </c>
    </row>
    <row r="4765">
      <c r="A4765" t="inlineStr">
        <is>
          <t>Carlee Steinhaus</t>
        </is>
      </c>
      <c r="B4765" t="inlineStr">
        <is>
          <t>Sponsor</t>
        </is>
      </c>
      <c r="C4765" t="inlineStr">
        <is>
          <t>Sales Development Manager</t>
        </is>
      </c>
      <c r="D4765" t="inlineStr">
        <is>
          <t>FourKites</t>
        </is>
      </c>
      <c r="E4765" t="inlineStr">
        <is>
          <t>United States</t>
        </is>
      </c>
      <c r="H4765" t="n">
        <v>-6</v>
      </c>
      <c r="I4765" t="b">
        <v>0</v>
      </c>
      <c r="J4765" t="b">
        <v>0</v>
      </c>
      <c r="K4765" t="b">
        <v>0</v>
      </c>
      <c r="L4765" t="b">
        <v>0</v>
      </c>
      <c r="M4765" t="b">
        <v>1</v>
      </c>
      <c r="N4765">
        <f>IFERROR(INDEX('Company Hitlist'!$AA:$AA,MATCH(D4765,'Company Hitlist'!$A:$A,0)),)</f>
        <v/>
      </c>
      <c r="O4765">
        <f>IFERROR(INDEX('Company Hitlist'!$N:$N,MATCH(D4765,'Company Hitlist'!$A:$A,0)),)</f>
        <v/>
      </c>
      <c r="Q4765" t="inlineStr">
        <is>
          <t>todo</t>
        </is>
      </c>
    </row>
    <row r="4766">
      <c r="A4766" t="inlineStr">
        <is>
          <t>Michael Schetman</t>
        </is>
      </c>
      <c r="B4766" t="inlineStr">
        <is>
          <t>Sponsor</t>
        </is>
      </c>
      <c r="C4766" t="inlineStr">
        <is>
          <t>RVP, Sales</t>
        </is>
      </c>
      <c r="D4766" t="inlineStr">
        <is>
          <t>FourKites</t>
        </is>
      </c>
      <c r="E4766" t="inlineStr">
        <is>
          <t>United States</t>
        </is>
      </c>
      <c r="H4766" t="n">
        <v>-6</v>
      </c>
      <c r="I4766" t="b">
        <v>0</v>
      </c>
      <c r="J4766" t="b">
        <v>0</v>
      </c>
      <c r="K4766" t="b">
        <v>0</v>
      </c>
      <c r="L4766" t="b">
        <v>0</v>
      </c>
      <c r="M4766" t="b">
        <v>1</v>
      </c>
      <c r="N4766">
        <f>IFERROR(INDEX('Company Hitlist'!$AA:$AA,MATCH(D4766,'Company Hitlist'!$A:$A,0)),)</f>
        <v/>
      </c>
      <c r="O4766">
        <f>IFERROR(INDEX('Company Hitlist'!$N:$N,MATCH(D4766,'Company Hitlist'!$A:$A,0)),)</f>
        <v/>
      </c>
      <c r="Q4766" t="inlineStr">
        <is>
          <t>todo</t>
        </is>
      </c>
    </row>
    <row r="4767">
      <c r="A4767" t="inlineStr">
        <is>
          <t>Greg Colvin</t>
        </is>
      </c>
      <c r="B4767" t="inlineStr">
        <is>
          <t>Sponsor</t>
        </is>
      </c>
      <c r="C4767" t="inlineStr">
        <is>
          <t>Enterprise Account Executive</t>
        </is>
      </c>
      <c r="D4767" t="inlineStr">
        <is>
          <t>FourKites</t>
        </is>
      </c>
      <c r="E4767" t="inlineStr">
        <is>
          <t>United States</t>
        </is>
      </c>
      <c r="H4767" t="n">
        <v>-6</v>
      </c>
      <c r="I4767" t="b">
        <v>0</v>
      </c>
      <c r="J4767" t="b">
        <v>0</v>
      </c>
      <c r="K4767" t="b">
        <v>0</v>
      </c>
      <c r="L4767" t="b">
        <v>0</v>
      </c>
      <c r="M4767" t="b">
        <v>1</v>
      </c>
      <c r="N4767">
        <f>IFERROR(INDEX('Company Hitlist'!$AA:$AA,MATCH(D4767,'Company Hitlist'!$A:$A,0)),)</f>
        <v/>
      </c>
      <c r="O4767">
        <f>IFERROR(INDEX('Company Hitlist'!$N:$N,MATCH(D4767,'Company Hitlist'!$A:$A,0)),)</f>
        <v/>
      </c>
      <c r="Q4767" t="inlineStr">
        <is>
          <t>todo</t>
        </is>
      </c>
    </row>
    <row r="4768">
      <c r="A4768" t="inlineStr">
        <is>
          <t>Ricky Duddy</t>
        </is>
      </c>
      <c r="B4768" t="inlineStr">
        <is>
          <t>Sponsor</t>
        </is>
      </c>
      <c r="C4768" t="inlineStr">
        <is>
          <t>Enterprise Account Executive</t>
        </is>
      </c>
      <c r="D4768" t="inlineStr">
        <is>
          <t>FourKites</t>
        </is>
      </c>
      <c r="E4768" t="inlineStr">
        <is>
          <t>United States</t>
        </is>
      </c>
      <c r="H4768" t="n">
        <v>-6</v>
      </c>
      <c r="I4768" t="b">
        <v>0</v>
      </c>
      <c r="J4768" t="b">
        <v>0</v>
      </c>
      <c r="K4768" t="b">
        <v>0</v>
      </c>
      <c r="L4768" t="b">
        <v>0</v>
      </c>
      <c r="M4768" t="b">
        <v>1</v>
      </c>
      <c r="N4768">
        <f>IFERROR(INDEX('Company Hitlist'!$AA:$AA,MATCH(D4768,'Company Hitlist'!$A:$A,0)),)</f>
        <v/>
      </c>
      <c r="O4768">
        <f>IFERROR(INDEX('Company Hitlist'!$N:$N,MATCH(D4768,'Company Hitlist'!$A:$A,0)),)</f>
        <v/>
      </c>
      <c r="Q4768" t="inlineStr">
        <is>
          <t>todo</t>
        </is>
      </c>
    </row>
    <row r="4769">
      <c r="A4769" t="inlineStr">
        <is>
          <t>Sam Dixon</t>
        </is>
      </c>
      <c r="B4769" t="inlineStr">
        <is>
          <t>Sponsor</t>
        </is>
      </c>
      <c r="C4769" t="inlineStr">
        <is>
          <t>Enterprise Account Executive</t>
        </is>
      </c>
      <c r="D4769" t="inlineStr">
        <is>
          <t>FourKites</t>
        </is>
      </c>
      <c r="E4769" t="inlineStr">
        <is>
          <t>United States</t>
        </is>
      </c>
      <c r="H4769" t="n">
        <v>-6</v>
      </c>
      <c r="I4769" t="b">
        <v>0</v>
      </c>
      <c r="J4769" t="b">
        <v>0</v>
      </c>
      <c r="K4769" t="b">
        <v>0</v>
      </c>
      <c r="L4769" t="b">
        <v>0</v>
      </c>
      <c r="M4769" t="b">
        <v>1</v>
      </c>
      <c r="N4769">
        <f>IFERROR(INDEX('Company Hitlist'!$AA:$AA,MATCH(D4769,'Company Hitlist'!$A:$A,0)),)</f>
        <v/>
      </c>
      <c r="O4769">
        <f>IFERROR(INDEX('Company Hitlist'!$N:$N,MATCH(D4769,'Company Hitlist'!$A:$A,0)),)</f>
        <v/>
      </c>
      <c r="Q4769" t="inlineStr">
        <is>
          <t>todo</t>
        </is>
      </c>
    </row>
    <row r="4770">
      <c r="A4770" t="inlineStr">
        <is>
          <t>Aroop Sanyal</t>
        </is>
      </c>
      <c r="B4770" t="inlineStr">
        <is>
          <t>Sponsor</t>
        </is>
      </c>
      <c r="C4770" t="inlineStr">
        <is>
          <t>Associate Director - Sales and Alliances</t>
        </is>
      </c>
      <c r="D4770" t="inlineStr">
        <is>
          <t>Free Hand</t>
        </is>
      </c>
      <c r="H4770" t="n">
        <v>-6</v>
      </c>
      <c r="I4770" t="b">
        <v>0</v>
      </c>
      <c r="J4770" t="b">
        <v>0</v>
      </c>
      <c r="K4770" t="b">
        <v>0</v>
      </c>
      <c r="L4770" t="b">
        <v>0</v>
      </c>
      <c r="M4770" t="b">
        <v>1</v>
      </c>
      <c r="N4770">
        <f>IFERROR(INDEX('Company Hitlist'!$AA:$AA,MATCH(D4770,'Company Hitlist'!$A:$A,0)),)</f>
        <v/>
      </c>
      <c r="O4770">
        <f>IFERROR(INDEX('Company Hitlist'!$N:$N,MATCH(D4770,'Company Hitlist'!$A:$A,0)),)</f>
        <v/>
      </c>
      <c r="Q4770" t="inlineStr">
        <is>
          <t>todo</t>
        </is>
      </c>
    </row>
    <row r="4771">
      <c r="A4771" t="inlineStr">
        <is>
          <t>Shawn Barker</t>
        </is>
      </c>
      <c r="B4771" t="inlineStr">
        <is>
          <t>Sponsor</t>
        </is>
      </c>
      <c r="C4771" t="inlineStr">
        <is>
          <t>Enterprise Account Executive</t>
        </is>
      </c>
      <c r="D4771" t="inlineStr">
        <is>
          <t>Free Hand</t>
        </is>
      </c>
      <c r="E4771" t="inlineStr">
        <is>
          <t>United States</t>
        </is>
      </c>
      <c r="H4771" t="n">
        <v>-6</v>
      </c>
      <c r="I4771" t="b">
        <v>0</v>
      </c>
      <c r="J4771" t="b">
        <v>0</v>
      </c>
      <c r="K4771" t="b">
        <v>0</v>
      </c>
      <c r="L4771" t="b">
        <v>0</v>
      </c>
      <c r="M4771" t="b">
        <v>1</v>
      </c>
      <c r="N4771">
        <f>IFERROR(INDEX('Company Hitlist'!$AA:$AA,MATCH(D4771,'Company Hitlist'!$A:$A,0)),)</f>
        <v/>
      </c>
      <c r="O4771">
        <f>IFERROR(INDEX('Company Hitlist'!$N:$N,MATCH(D4771,'Company Hitlist'!$A:$A,0)),)</f>
        <v/>
      </c>
      <c r="Q4771" t="inlineStr">
        <is>
          <t>todo</t>
        </is>
      </c>
    </row>
    <row r="4772">
      <c r="A4772" t="inlineStr">
        <is>
          <t>Rey Hagens</t>
        </is>
      </c>
      <c r="B4772" t="inlineStr">
        <is>
          <t>Sponsor</t>
        </is>
      </c>
      <c r="C4772" t="inlineStr">
        <is>
          <t>Enterprise Account Executive</t>
        </is>
      </c>
      <c r="D4772" t="inlineStr">
        <is>
          <t>Free Hand</t>
        </is>
      </c>
      <c r="H4772" t="n">
        <v>-6</v>
      </c>
      <c r="I4772" t="b">
        <v>0</v>
      </c>
      <c r="J4772" t="b">
        <v>0</v>
      </c>
      <c r="K4772" t="b">
        <v>0</v>
      </c>
      <c r="L4772" t="b">
        <v>0</v>
      </c>
      <c r="M4772" t="b">
        <v>1</v>
      </c>
      <c r="N4772">
        <f>IFERROR(INDEX('Company Hitlist'!$AA:$AA,MATCH(D4772,'Company Hitlist'!$A:$A,0)),)</f>
        <v/>
      </c>
      <c r="O4772">
        <f>IFERROR(INDEX('Company Hitlist'!$N:$N,MATCH(D4772,'Company Hitlist'!$A:$A,0)),)</f>
        <v/>
      </c>
      <c r="Q4772" t="inlineStr">
        <is>
          <t>todo</t>
        </is>
      </c>
    </row>
    <row r="4773">
      <c r="A4773" t="inlineStr">
        <is>
          <t>Jack Jenson</t>
        </is>
      </c>
      <c r="B4773" t="inlineStr">
        <is>
          <t>Sponsor</t>
        </is>
      </c>
      <c r="C4773" t="inlineStr">
        <is>
          <t>Director of Sales</t>
        </is>
      </c>
      <c r="D4773" t="inlineStr">
        <is>
          <t>FreightWise &amp; Kuebix</t>
        </is>
      </c>
      <c r="E4773" t="inlineStr">
        <is>
          <t>United States</t>
        </is>
      </c>
      <c r="H4773" t="n">
        <v>-6</v>
      </c>
      <c r="I4773" t="b">
        <v>0</v>
      </c>
      <c r="J4773" t="b">
        <v>0</v>
      </c>
      <c r="K4773" t="b">
        <v>0</v>
      </c>
      <c r="L4773" t="b">
        <v>0</v>
      </c>
      <c r="M4773" t="b">
        <v>1</v>
      </c>
      <c r="N4773">
        <f>IFERROR(INDEX('Company Hitlist'!$AA:$AA,MATCH(D4773,'Company Hitlist'!$A:$A,0)),)</f>
        <v/>
      </c>
      <c r="O4773">
        <f>IFERROR(INDEX('Company Hitlist'!$N:$N,MATCH(D4773,'Company Hitlist'!$A:$A,0)),)</f>
        <v/>
      </c>
      <c r="Q4773" t="inlineStr">
        <is>
          <t>todo</t>
        </is>
      </c>
    </row>
    <row r="4774">
      <c r="A4774" t="inlineStr">
        <is>
          <t>Frank Camp</t>
        </is>
      </c>
      <c r="B4774" t="inlineStr">
        <is>
          <t>Sponsor</t>
        </is>
      </c>
      <c r="C4774" t="inlineStr">
        <is>
          <t>Director of Sales</t>
        </is>
      </c>
      <c r="D4774" t="inlineStr">
        <is>
          <t>Freightoscope</t>
        </is>
      </c>
      <c r="H4774" t="n">
        <v>-6</v>
      </c>
      <c r="I4774" t="b">
        <v>0</v>
      </c>
      <c r="J4774" t="b">
        <v>0</v>
      </c>
      <c r="K4774" t="b">
        <v>0</v>
      </c>
      <c r="L4774" t="b">
        <v>0</v>
      </c>
      <c r="M4774" t="b">
        <v>1</v>
      </c>
      <c r="N4774">
        <f>IFERROR(INDEX('Company Hitlist'!$AA:$AA,MATCH(D4774,'Company Hitlist'!$A:$A,0)),)</f>
        <v/>
      </c>
      <c r="O4774">
        <f>IFERROR(INDEX('Company Hitlist'!$N:$N,MATCH(D4774,'Company Hitlist'!$A:$A,0)),)</f>
        <v/>
      </c>
      <c r="Q4774" t="inlineStr">
        <is>
          <t>todo</t>
        </is>
      </c>
    </row>
    <row r="4775">
      <c r="A4775" t="inlineStr">
        <is>
          <t>Pat Bishop</t>
        </is>
      </c>
      <c r="B4775" t="inlineStr">
        <is>
          <t>Sponsor</t>
        </is>
      </c>
      <c r="C4775" t="inlineStr">
        <is>
          <t>Director of Sales</t>
        </is>
      </c>
      <c r="D4775" t="inlineStr">
        <is>
          <t>G2Mint</t>
        </is>
      </c>
      <c r="E4775" t="inlineStr">
        <is>
          <t>United States</t>
        </is>
      </c>
      <c r="H4775" t="n">
        <v>-6</v>
      </c>
      <c r="I4775" t="b">
        <v>0</v>
      </c>
      <c r="J4775" t="b">
        <v>0</v>
      </c>
      <c r="K4775" t="b">
        <v>0</v>
      </c>
      <c r="L4775" t="b">
        <v>0</v>
      </c>
      <c r="M4775" t="b">
        <v>1</v>
      </c>
      <c r="N4775">
        <f>IFERROR(INDEX('Company Hitlist'!$AA:$AA,MATCH(D4775,'Company Hitlist'!$A:$A,0)),)</f>
        <v/>
      </c>
      <c r="O4775">
        <f>IFERROR(INDEX('Company Hitlist'!$N:$N,MATCH(D4775,'Company Hitlist'!$A:$A,0)),)</f>
        <v/>
      </c>
      <c r="Q4775" t="inlineStr">
        <is>
          <t>todo</t>
        </is>
      </c>
    </row>
    <row r="4776">
      <c r="A4776" t="inlineStr">
        <is>
          <t>Samuel Rosenfield</t>
        </is>
      </c>
      <c r="B4776" t="inlineStr">
        <is>
          <t>Sponsor</t>
        </is>
      </c>
      <c r="C4776" t="inlineStr">
        <is>
          <t>Sales Engineer</t>
        </is>
      </c>
      <c r="D4776" t="inlineStr">
        <is>
          <t>G2Mint</t>
        </is>
      </c>
      <c r="H4776" t="n">
        <v>-6</v>
      </c>
      <c r="I4776" t="b">
        <v>0</v>
      </c>
      <c r="J4776" t="b">
        <v>0</v>
      </c>
      <c r="K4776" t="b">
        <v>0</v>
      </c>
      <c r="L4776" t="b">
        <v>0</v>
      </c>
      <c r="M4776" t="b">
        <v>1</v>
      </c>
      <c r="N4776">
        <f>IFERROR(INDEX('Company Hitlist'!$AA:$AA,MATCH(D4776,'Company Hitlist'!$A:$A,0)),)</f>
        <v/>
      </c>
      <c r="O4776">
        <f>IFERROR(INDEX('Company Hitlist'!$N:$N,MATCH(D4776,'Company Hitlist'!$A:$A,0)),)</f>
        <v/>
      </c>
      <c r="Q4776" t="inlineStr">
        <is>
          <t>todo</t>
        </is>
      </c>
    </row>
    <row r="4777">
      <c r="A4777" t="inlineStr">
        <is>
          <t>Avi Rao</t>
        </is>
      </c>
      <c r="B4777" t="inlineStr">
        <is>
          <t>Sponsor</t>
        </is>
      </c>
      <c r="C4777" t="inlineStr">
        <is>
          <t>Sr. Director, Strategic Partnerships &amp; Alliances</t>
        </is>
      </c>
      <c r="D4777" t="inlineStr">
        <is>
          <t>GXO Logistics</t>
        </is>
      </c>
      <c r="E4777" t="inlineStr">
        <is>
          <t>United States</t>
        </is>
      </c>
      <c r="F4777" t="inlineStr">
        <is>
          <t>Yes</t>
        </is>
      </c>
      <c r="G4777" t="inlineStr">
        <is>
          <t>$9.9 billion (2025)</t>
        </is>
      </c>
      <c r="H4777" t="n">
        <v>-6</v>
      </c>
      <c r="I4777" t="b">
        <v>0</v>
      </c>
      <c r="J4777" t="b">
        <v>0</v>
      </c>
      <c r="K4777" t="b">
        <v>0</v>
      </c>
      <c r="L4777" t="b">
        <v>0</v>
      </c>
      <c r="M4777" t="b">
        <v>1</v>
      </c>
      <c r="N4777">
        <f>IFERROR(INDEX('Company Hitlist'!$AA:$AA,MATCH(D4777,'Company Hitlist'!$A:$A,0)),)</f>
        <v/>
      </c>
      <c r="O4777">
        <f>IFERROR(INDEX('Company Hitlist'!$N:$N,MATCH(D4777,'Company Hitlist'!$A:$A,0)),)</f>
        <v/>
      </c>
      <c r="Q4777" t="inlineStr">
        <is>
          <t>todo</t>
        </is>
      </c>
    </row>
    <row r="4778">
      <c r="A4778" t="inlineStr">
        <is>
          <t>Blake Altenhoff</t>
        </is>
      </c>
      <c r="B4778" t="inlineStr">
        <is>
          <t>Sponsor</t>
        </is>
      </c>
      <c r="C4778" t="inlineStr">
        <is>
          <t>Director, Business Development</t>
        </is>
      </c>
      <c r="D4778" t="inlineStr">
        <is>
          <t>GXO Logistics</t>
        </is>
      </c>
      <c r="E4778" t="inlineStr">
        <is>
          <t>United States</t>
        </is>
      </c>
      <c r="H4778" t="n">
        <v>-6</v>
      </c>
      <c r="I4778" t="b">
        <v>0</v>
      </c>
      <c r="J4778" t="b">
        <v>0</v>
      </c>
      <c r="K4778" t="b">
        <v>0</v>
      </c>
      <c r="L4778" t="b">
        <v>0</v>
      </c>
      <c r="M4778" t="b">
        <v>1</v>
      </c>
      <c r="N4778">
        <f>IFERROR(INDEX('Company Hitlist'!$AA:$AA,MATCH(D4778,'Company Hitlist'!$A:$A,0)),)</f>
        <v/>
      </c>
      <c r="O4778">
        <f>IFERROR(INDEX('Company Hitlist'!$N:$N,MATCH(D4778,'Company Hitlist'!$A:$A,0)),)</f>
        <v/>
      </c>
      <c r="Q4778" t="inlineStr">
        <is>
          <t>todo</t>
        </is>
      </c>
    </row>
    <row r="4779">
      <c r="A4779" t="inlineStr">
        <is>
          <t>Eric Culberson</t>
        </is>
      </c>
      <c r="B4779" t="inlineStr">
        <is>
          <t>Sponsor</t>
        </is>
      </c>
      <c r="C4779" t="inlineStr">
        <is>
          <t>Senior Director, Business Development</t>
        </is>
      </c>
      <c r="D4779" t="inlineStr">
        <is>
          <t>GXO Logistics</t>
        </is>
      </c>
      <c r="E4779" t="inlineStr">
        <is>
          <t>United States</t>
        </is>
      </c>
      <c r="H4779" t="n">
        <v>-6</v>
      </c>
      <c r="I4779" t="b">
        <v>0</v>
      </c>
      <c r="J4779" t="b">
        <v>0</v>
      </c>
      <c r="K4779" t="b">
        <v>0</v>
      </c>
      <c r="L4779" t="b">
        <v>0</v>
      </c>
      <c r="M4779" t="b">
        <v>1</v>
      </c>
      <c r="N4779">
        <f>IFERROR(INDEX('Company Hitlist'!$AA:$AA,MATCH(D4779,'Company Hitlist'!$A:$A,0)),)</f>
        <v/>
      </c>
      <c r="O4779">
        <f>IFERROR(INDEX('Company Hitlist'!$N:$N,MATCH(D4779,'Company Hitlist'!$A:$A,0)),)</f>
        <v/>
      </c>
      <c r="Q4779" t="inlineStr">
        <is>
          <t>todo</t>
        </is>
      </c>
    </row>
    <row r="4780">
      <c r="A4780" t="inlineStr">
        <is>
          <t>Michael Snedeker</t>
        </is>
      </c>
      <c r="B4780" t="inlineStr">
        <is>
          <t>Sponsor</t>
        </is>
      </c>
      <c r="C4780" t="inlineStr">
        <is>
          <t>Senior Director, Business Development</t>
        </is>
      </c>
      <c r="D4780" t="inlineStr">
        <is>
          <t>GXO Logistics</t>
        </is>
      </c>
      <c r="H4780" t="n">
        <v>-6</v>
      </c>
      <c r="I4780" t="b">
        <v>0</v>
      </c>
      <c r="J4780" t="b">
        <v>0</v>
      </c>
      <c r="K4780" t="b">
        <v>0</v>
      </c>
      <c r="L4780" t="b">
        <v>0</v>
      </c>
      <c r="M4780" t="b">
        <v>1</v>
      </c>
      <c r="N4780">
        <f>IFERROR(INDEX('Company Hitlist'!$AA:$AA,MATCH(D4780,'Company Hitlist'!$A:$A,0)),)</f>
        <v/>
      </c>
      <c r="O4780">
        <f>IFERROR(INDEX('Company Hitlist'!$N:$N,MATCH(D4780,'Company Hitlist'!$A:$A,0)),)</f>
        <v/>
      </c>
      <c r="Q4780" t="inlineStr">
        <is>
          <t>todo</t>
        </is>
      </c>
    </row>
    <row r="4781">
      <c r="A4781" t="inlineStr">
        <is>
          <t>Ana Hill</t>
        </is>
      </c>
      <c r="B4781" t="inlineStr">
        <is>
          <t>Sponsor</t>
        </is>
      </c>
      <c r="C4781" t="inlineStr">
        <is>
          <t>Senior Marketing Development</t>
        </is>
      </c>
      <c r="D4781" t="inlineStr">
        <is>
          <t>Gather AI</t>
        </is>
      </c>
      <c r="E4781" t="inlineStr">
        <is>
          <t>United States</t>
        </is>
      </c>
      <c r="F4781" t="inlineStr">
        <is>
          <t>Yes</t>
        </is>
      </c>
      <c r="H4781" t="n">
        <v>-6</v>
      </c>
      <c r="I4781" t="b">
        <v>0</v>
      </c>
      <c r="J4781" t="b">
        <v>0</v>
      </c>
      <c r="K4781" t="b">
        <v>0</v>
      </c>
      <c r="L4781" t="b">
        <v>0</v>
      </c>
      <c r="M4781" t="b">
        <v>1</v>
      </c>
      <c r="N4781">
        <f>IFERROR(INDEX('Company Hitlist'!$AA:$AA,MATCH(D4781,'Company Hitlist'!$A:$A,0)),)</f>
        <v/>
      </c>
      <c r="O4781">
        <f>IFERROR(INDEX('Company Hitlist'!$N:$N,MATCH(D4781,'Company Hitlist'!$A:$A,0)),)</f>
        <v/>
      </c>
      <c r="Q4781" t="inlineStr">
        <is>
          <t>todo</t>
        </is>
      </c>
    </row>
    <row r="4782">
      <c r="A4782" t="inlineStr">
        <is>
          <t>Ben Short</t>
        </is>
      </c>
      <c r="B4782" t="inlineStr">
        <is>
          <t>Sponsor</t>
        </is>
      </c>
      <c r="C4782" t="inlineStr">
        <is>
          <t>Strategic Sales Executive</t>
        </is>
      </c>
      <c r="D4782" t="inlineStr">
        <is>
          <t>Gather AI</t>
        </is>
      </c>
      <c r="E4782" t="inlineStr">
        <is>
          <t>United States</t>
        </is>
      </c>
      <c r="H4782" t="n">
        <v>-6</v>
      </c>
      <c r="I4782" t="b">
        <v>0</v>
      </c>
      <c r="J4782" t="b">
        <v>0</v>
      </c>
      <c r="K4782" t="b">
        <v>0</v>
      </c>
      <c r="L4782" t="b">
        <v>0</v>
      </c>
      <c r="M4782" t="b">
        <v>1</v>
      </c>
      <c r="N4782">
        <f>IFERROR(INDEX('Company Hitlist'!$AA:$AA,MATCH(D4782,'Company Hitlist'!$A:$A,0)),)</f>
        <v/>
      </c>
      <c r="O4782">
        <f>IFERROR(INDEX('Company Hitlist'!$N:$N,MATCH(D4782,'Company Hitlist'!$A:$A,0)),)</f>
        <v/>
      </c>
      <c r="Q4782" t="inlineStr">
        <is>
          <t>todo</t>
        </is>
      </c>
    </row>
    <row r="4783">
      <c r="A4783" t="inlineStr">
        <is>
          <t>Alex Joyce</t>
        </is>
      </c>
      <c r="B4783" t="inlineStr">
        <is>
          <t>Sponsor</t>
        </is>
      </c>
      <c r="C4783" t="inlineStr">
        <is>
          <t>Strategic Account Executive</t>
        </is>
      </c>
      <c r="D4783" t="inlineStr">
        <is>
          <t>Gather AI</t>
        </is>
      </c>
      <c r="E4783" t="inlineStr">
        <is>
          <t>United States</t>
        </is>
      </c>
      <c r="H4783" t="n">
        <v>-6</v>
      </c>
      <c r="I4783" t="b">
        <v>0</v>
      </c>
      <c r="J4783" t="b">
        <v>0</v>
      </c>
      <c r="K4783" t="b">
        <v>0</v>
      </c>
      <c r="L4783" t="b">
        <v>0</v>
      </c>
      <c r="M4783" t="b">
        <v>1</v>
      </c>
      <c r="N4783">
        <f>IFERROR(INDEX('Company Hitlist'!$AA:$AA,MATCH(D4783,'Company Hitlist'!$A:$A,0)),)</f>
        <v/>
      </c>
      <c r="O4783">
        <f>IFERROR(INDEX('Company Hitlist'!$N:$N,MATCH(D4783,'Company Hitlist'!$A:$A,0)),)</f>
        <v/>
      </c>
      <c r="Q4783" t="inlineStr">
        <is>
          <t>todo</t>
        </is>
      </c>
    </row>
    <row r="4784">
      <c r="A4784" t="inlineStr">
        <is>
          <t>Jason Highley</t>
        </is>
      </c>
      <c r="B4784" t="inlineStr">
        <is>
          <t>Sponsor</t>
        </is>
      </c>
      <c r="C4784" t="inlineStr">
        <is>
          <t>Strategic Account Executive</t>
        </is>
      </c>
      <c r="D4784" t="inlineStr">
        <is>
          <t>Gather AI</t>
        </is>
      </c>
      <c r="E4784" t="inlineStr">
        <is>
          <t>United States</t>
        </is>
      </c>
      <c r="H4784" t="n">
        <v>-6</v>
      </c>
      <c r="I4784" t="b">
        <v>0</v>
      </c>
      <c r="J4784" t="b">
        <v>0</v>
      </c>
      <c r="K4784" t="b">
        <v>0</v>
      </c>
      <c r="L4784" t="b">
        <v>0</v>
      </c>
      <c r="M4784" t="b">
        <v>1</v>
      </c>
      <c r="N4784">
        <f>IFERROR(INDEX('Company Hitlist'!$AA:$AA,MATCH(D4784,'Company Hitlist'!$A:$A,0)),)</f>
        <v/>
      </c>
      <c r="O4784">
        <f>IFERROR(INDEX('Company Hitlist'!$N:$N,MATCH(D4784,'Company Hitlist'!$A:$A,0)),)</f>
        <v/>
      </c>
      <c r="Q4784" t="inlineStr">
        <is>
          <t>todo</t>
        </is>
      </c>
    </row>
    <row r="4785">
      <c r="A4785" t="inlineStr">
        <is>
          <t>Michael Tomala</t>
        </is>
      </c>
      <c r="B4785" t="inlineStr">
        <is>
          <t>Sponsor</t>
        </is>
      </c>
      <c r="C4785" t="inlineStr">
        <is>
          <t>Strategic Account Executive</t>
        </is>
      </c>
      <c r="D4785" t="inlineStr">
        <is>
          <t>Gather AI</t>
        </is>
      </c>
      <c r="E4785" t="inlineStr">
        <is>
          <t>United States</t>
        </is>
      </c>
      <c r="H4785" t="n">
        <v>-6</v>
      </c>
      <c r="I4785" t="b">
        <v>0</v>
      </c>
      <c r="J4785" t="b">
        <v>0</v>
      </c>
      <c r="K4785" t="b">
        <v>0</v>
      </c>
      <c r="L4785" t="b">
        <v>0</v>
      </c>
      <c r="M4785" t="b">
        <v>1</v>
      </c>
      <c r="N4785">
        <f>IFERROR(INDEX('Company Hitlist'!$AA:$AA,MATCH(D4785,'Company Hitlist'!$A:$A,0)),)</f>
        <v/>
      </c>
      <c r="O4785">
        <f>IFERROR(INDEX('Company Hitlist'!$N:$N,MATCH(D4785,'Company Hitlist'!$A:$A,0)),)</f>
        <v/>
      </c>
      <c r="Q4785" t="inlineStr">
        <is>
          <t>todo</t>
        </is>
      </c>
    </row>
    <row r="4786">
      <c r="A4786" t="inlineStr">
        <is>
          <t>Sarah Fischbaugh</t>
        </is>
      </c>
      <c r="B4786" t="inlineStr">
        <is>
          <t>Sponsor</t>
        </is>
      </c>
      <c r="C4786" t="inlineStr">
        <is>
          <t>Product Marketing Manager</t>
        </is>
      </c>
      <c r="D4786" t="inlineStr">
        <is>
          <t>Gather AI</t>
        </is>
      </c>
      <c r="E4786" t="inlineStr">
        <is>
          <t>United States</t>
        </is>
      </c>
      <c r="H4786" t="n">
        <v>-6</v>
      </c>
      <c r="I4786" t="b">
        <v>0</v>
      </c>
      <c r="J4786" t="b">
        <v>0</v>
      </c>
      <c r="K4786" t="b">
        <v>0</v>
      </c>
      <c r="L4786" t="b">
        <v>0</v>
      </c>
      <c r="M4786" t="b">
        <v>1</v>
      </c>
      <c r="N4786">
        <f>IFERROR(INDEX('Company Hitlist'!$AA:$AA,MATCH(D4786,'Company Hitlist'!$A:$A,0)),)</f>
        <v/>
      </c>
      <c r="O4786">
        <f>IFERROR(INDEX('Company Hitlist'!$N:$N,MATCH(D4786,'Company Hitlist'!$A:$A,0)),)</f>
        <v/>
      </c>
      <c r="Q4786" t="inlineStr">
        <is>
          <t>todo</t>
        </is>
      </c>
    </row>
    <row r="4787">
      <c r="A4787" t="inlineStr">
        <is>
          <t>Emilia Hasey</t>
        </is>
      </c>
      <c r="B4787" t="inlineStr">
        <is>
          <t>Sponsor</t>
        </is>
      </c>
      <c r="C4787" t="inlineStr">
        <is>
          <t>Field Marketing Manager</t>
        </is>
      </c>
      <c r="D4787" t="inlineStr">
        <is>
          <t>Gather AI</t>
        </is>
      </c>
      <c r="H4787" t="n">
        <v>-6</v>
      </c>
      <c r="I4787" t="b">
        <v>0</v>
      </c>
      <c r="J4787" t="b">
        <v>0</v>
      </c>
      <c r="K4787" t="b">
        <v>0</v>
      </c>
      <c r="L4787" t="b">
        <v>0</v>
      </c>
      <c r="M4787" t="b">
        <v>1</v>
      </c>
      <c r="N4787">
        <f>IFERROR(INDEX('Company Hitlist'!$AA:$AA,MATCH(D4787,'Company Hitlist'!$A:$A,0)),)</f>
        <v/>
      </c>
      <c r="O4787">
        <f>IFERROR(INDEX('Company Hitlist'!$N:$N,MATCH(D4787,'Company Hitlist'!$A:$A,0)),)</f>
        <v/>
      </c>
      <c r="Q4787" t="inlineStr">
        <is>
          <t>todo</t>
        </is>
      </c>
    </row>
    <row r="4788">
      <c r="A4788" t="inlineStr">
        <is>
          <t>Kyle Siko</t>
        </is>
      </c>
      <c r="B4788" t="inlineStr">
        <is>
          <t>Sponsor</t>
        </is>
      </c>
      <c r="C4788" t="inlineStr">
        <is>
          <t>Business Development Representative</t>
        </is>
      </c>
      <c r="D4788" t="inlineStr">
        <is>
          <t>Gather AI</t>
        </is>
      </c>
      <c r="H4788" t="n">
        <v>-6</v>
      </c>
      <c r="I4788" t="b">
        <v>0</v>
      </c>
      <c r="J4788" t="b">
        <v>0</v>
      </c>
      <c r="K4788" t="b">
        <v>0</v>
      </c>
      <c r="L4788" t="b">
        <v>0</v>
      </c>
      <c r="M4788" t="b">
        <v>1</v>
      </c>
      <c r="N4788">
        <f>IFERROR(INDEX('Company Hitlist'!$AA:$AA,MATCH(D4788,'Company Hitlist'!$A:$A,0)),)</f>
        <v/>
      </c>
      <c r="O4788">
        <f>IFERROR(INDEX('Company Hitlist'!$N:$N,MATCH(D4788,'Company Hitlist'!$A:$A,0)),)</f>
        <v/>
      </c>
      <c r="Q4788" t="inlineStr">
        <is>
          <t>todo</t>
        </is>
      </c>
    </row>
    <row r="4789">
      <c r="A4789" t="inlineStr">
        <is>
          <t>Dominique Jakovljevic</t>
        </is>
      </c>
      <c r="B4789" t="inlineStr">
        <is>
          <t>Sponsor</t>
        </is>
      </c>
      <c r="C4789" t="inlineStr">
        <is>
          <t>Director of Marketing and Key Accounts</t>
        </is>
      </c>
      <c r="D4789" t="inlineStr">
        <is>
          <t>Gebrüder Weiss - Transport and Logistics</t>
        </is>
      </c>
      <c r="F4789" t="inlineStr">
        <is>
          <t>Yes</t>
        </is>
      </c>
      <c r="G4789" t="inlineStr">
        <is>
          <t>$2.7B (est. 2024)</t>
        </is>
      </c>
      <c r="H4789" t="n">
        <v>-6</v>
      </c>
      <c r="I4789" t="b">
        <v>0</v>
      </c>
      <c r="J4789" t="b">
        <v>0</v>
      </c>
      <c r="K4789" t="b">
        <v>0</v>
      </c>
      <c r="L4789" t="b">
        <v>0</v>
      </c>
      <c r="M4789" t="b">
        <v>1</v>
      </c>
      <c r="N4789">
        <f>IFERROR(INDEX('Company Hitlist'!$AA:$AA,MATCH(D4789,'Company Hitlist'!$A:$A,0)),)</f>
        <v/>
      </c>
      <c r="O4789">
        <f>IFERROR(INDEX('Company Hitlist'!$N:$N,MATCH(D4789,'Company Hitlist'!$A:$A,0)),)</f>
        <v/>
      </c>
      <c r="Q4789" t="inlineStr">
        <is>
          <t>todo</t>
        </is>
      </c>
    </row>
    <row r="4790">
      <c r="A4790" t="inlineStr">
        <is>
          <t>Merlin Dow</t>
        </is>
      </c>
      <c r="B4790" t="inlineStr">
        <is>
          <t>Sponsor</t>
        </is>
      </c>
      <c r="C4790" t="inlineStr">
        <is>
          <t>Director of Sales - West</t>
        </is>
      </c>
      <c r="D4790" t="inlineStr">
        <is>
          <t>Gebrüder Weiss - Transport and Logistics</t>
        </is>
      </c>
      <c r="E4790" t="inlineStr">
        <is>
          <t>United States</t>
        </is>
      </c>
      <c r="H4790" t="n">
        <v>-6</v>
      </c>
      <c r="I4790" t="b">
        <v>0</v>
      </c>
      <c r="J4790" t="b">
        <v>0</v>
      </c>
      <c r="K4790" t="b">
        <v>0</v>
      </c>
      <c r="L4790" t="b">
        <v>0</v>
      </c>
      <c r="M4790" t="b">
        <v>1</v>
      </c>
      <c r="N4790">
        <f>IFERROR(INDEX('Company Hitlist'!$AA:$AA,MATCH(D4790,'Company Hitlist'!$A:$A,0)),)</f>
        <v/>
      </c>
      <c r="O4790">
        <f>IFERROR(INDEX('Company Hitlist'!$N:$N,MATCH(D4790,'Company Hitlist'!$A:$A,0)),)</f>
        <v/>
      </c>
      <c r="Q4790" t="inlineStr">
        <is>
          <t>todo</t>
        </is>
      </c>
    </row>
    <row r="4791">
      <c r="A4791" t="inlineStr">
        <is>
          <t>Autumn Siudzinski</t>
        </is>
      </c>
      <c r="B4791" t="inlineStr">
        <is>
          <t>Sponsor</t>
        </is>
      </c>
      <c r="C4791" t="inlineStr">
        <is>
          <t>Customer Success Director</t>
        </is>
      </c>
      <c r="D4791" t="inlineStr">
        <is>
          <t>GenLogs</t>
        </is>
      </c>
      <c r="E4791" t="inlineStr">
        <is>
          <t>United States</t>
        </is>
      </c>
      <c r="F4791" t="inlineStr">
        <is>
          <t>Yes</t>
        </is>
      </c>
      <c r="H4791" t="n">
        <v>-6</v>
      </c>
      <c r="I4791" t="b">
        <v>0</v>
      </c>
      <c r="J4791" t="b">
        <v>0</v>
      </c>
      <c r="K4791" t="b">
        <v>0</v>
      </c>
      <c r="L4791" t="b">
        <v>0</v>
      </c>
      <c r="M4791" t="b">
        <v>1</v>
      </c>
      <c r="N4791">
        <f>IFERROR(INDEX('Company Hitlist'!$AA:$AA,MATCH(D4791,'Company Hitlist'!$A:$A,0)),)</f>
        <v/>
      </c>
      <c r="O4791">
        <f>IFERROR(INDEX('Company Hitlist'!$N:$N,MATCH(D4791,'Company Hitlist'!$A:$A,0)),)</f>
        <v/>
      </c>
      <c r="Q4791" t="inlineStr">
        <is>
          <t>todo</t>
        </is>
      </c>
    </row>
    <row r="4792">
      <c r="A4792" t="inlineStr">
        <is>
          <t>Isaac Winnes</t>
        </is>
      </c>
      <c r="B4792" t="inlineStr">
        <is>
          <t>Sponsor</t>
        </is>
      </c>
      <c r="C4792" t="inlineStr">
        <is>
          <t>Director of Go-to-Market</t>
        </is>
      </c>
      <c r="D4792" t="inlineStr">
        <is>
          <t>GenLogs</t>
        </is>
      </c>
      <c r="E4792" t="inlineStr">
        <is>
          <t>United States</t>
        </is>
      </c>
      <c r="F4792" t="inlineStr">
        <is>
          <t>Yes</t>
        </is>
      </c>
      <c r="H4792" t="n">
        <v>-6</v>
      </c>
      <c r="I4792" t="b">
        <v>0</v>
      </c>
      <c r="J4792" t="b">
        <v>0</v>
      </c>
      <c r="K4792" t="b">
        <v>0</v>
      </c>
      <c r="L4792" t="b">
        <v>0</v>
      </c>
      <c r="M4792" t="b">
        <v>1</v>
      </c>
      <c r="N4792">
        <f>IFERROR(INDEX('Company Hitlist'!$AA:$AA,MATCH(D4792,'Company Hitlist'!$A:$A,0)),)</f>
        <v/>
      </c>
      <c r="O4792">
        <f>IFERROR(INDEX('Company Hitlist'!$N:$N,MATCH(D4792,'Company Hitlist'!$A:$A,0)),)</f>
        <v/>
      </c>
      <c r="Q4792" t="inlineStr">
        <is>
          <t>todo</t>
        </is>
      </c>
    </row>
    <row r="4793">
      <c r="A4793" t="inlineStr">
        <is>
          <t>Kris Forrest</t>
        </is>
      </c>
      <c r="B4793" t="inlineStr">
        <is>
          <t>Sponsor</t>
        </is>
      </c>
      <c r="C4793" t="inlineStr">
        <is>
          <t>Account Executive</t>
        </is>
      </c>
      <c r="D4793" t="inlineStr">
        <is>
          <t>GenLogs</t>
        </is>
      </c>
      <c r="E4793" t="inlineStr">
        <is>
          <t>United States</t>
        </is>
      </c>
      <c r="H4793" t="n">
        <v>-6</v>
      </c>
      <c r="I4793" t="b">
        <v>0</v>
      </c>
      <c r="J4793" t="b">
        <v>0</v>
      </c>
      <c r="K4793" t="b">
        <v>0</v>
      </c>
      <c r="L4793" t="b">
        <v>0</v>
      </c>
      <c r="M4793" t="b">
        <v>1</v>
      </c>
      <c r="N4793">
        <f>IFERROR(INDEX('Company Hitlist'!$AA:$AA,MATCH(D4793,'Company Hitlist'!$A:$A,0)),)</f>
        <v/>
      </c>
      <c r="O4793">
        <f>IFERROR(INDEX('Company Hitlist'!$N:$N,MATCH(D4793,'Company Hitlist'!$A:$A,0)),)</f>
        <v/>
      </c>
      <c r="Q4793" t="inlineStr">
        <is>
          <t>todo</t>
        </is>
      </c>
    </row>
    <row r="4794">
      <c r="A4794" t="inlineStr">
        <is>
          <t>Zachary Diekman</t>
        </is>
      </c>
      <c r="B4794" t="inlineStr">
        <is>
          <t>Sponsor</t>
        </is>
      </c>
      <c r="C4794" t="inlineStr">
        <is>
          <t>Business Development Manager</t>
        </is>
      </c>
      <c r="D4794" t="inlineStr">
        <is>
          <t>GenLogs</t>
        </is>
      </c>
      <c r="E4794" t="inlineStr">
        <is>
          <t>United States</t>
        </is>
      </c>
      <c r="H4794" t="n">
        <v>-6</v>
      </c>
      <c r="I4794" t="b">
        <v>0</v>
      </c>
      <c r="J4794" t="b">
        <v>0</v>
      </c>
      <c r="K4794" t="b">
        <v>0</v>
      </c>
      <c r="L4794" t="b">
        <v>0</v>
      </c>
      <c r="M4794" t="b">
        <v>1</v>
      </c>
      <c r="N4794">
        <f>IFERROR(INDEX('Company Hitlist'!$AA:$AA,MATCH(D4794,'Company Hitlist'!$A:$A,0)),)</f>
        <v/>
      </c>
      <c r="O4794">
        <f>IFERROR(INDEX('Company Hitlist'!$N:$N,MATCH(D4794,'Company Hitlist'!$A:$A,0)),)</f>
        <v/>
      </c>
      <c r="Q4794" t="inlineStr">
        <is>
          <t>todo</t>
        </is>
      </c>
    </row>
    <row r="4795">
      <c r="A4795" t="inlineStr">
        <is>
          <t>Arnaud Wijbinga</t>
        </is>
      </c>
      <c r="B4795" t="inlineStr">
        <is>
          <t>Sponsor</t>
        </is>
      </c>
      <c r="C4795" t="inlineStr">
        <is>
          <t>Enterprise Account Executive</t>
        </is>
      </c>
      <c r="D4795" t="inlineStr">
        <is>
          <t>GeoPostcodes</t>
        </is>
      </c>
      <c r="E4795" t="inlineStr">
        <is>
          <t>Belgium</t>
        </is>
      </c>
      <c r="H4795" t="n">
        <v>-6</v>
      </c>
      <c r="I4795" t="b">
        <v>0</v>
      </c>
      <c r="J4795" t="b">
        <v>0</v>
      </c>
      <c r="K4795" t="b">
        <v>0</v>
      </c>
      <c r="L4795" t="b">
        <v>0</v>
      </c>
      <c r="M4795" t="b">
        <v>1</v>
      </c>
      <c r="N4795">
        <f>IFERROR(INDEX('Company Hitlist'!$AA:$AA,MATCH(D4795,'Company Hitlist'!$A:$A,0)),)</f>
        <v/>
      </c>
      <c r="O4795">
        <f>IFERROR(INDEX('Company Hitlist'!$N:$N,MATCH(D4795,'Company Hitlist'!$A:$A,0)),)</f>
        <v/>
      </c>
      <c r="Q4795" t="inlineStr">
        <is>
          <t>todo</t>
        </is>
      </c>
    </row>
    <row r="4796">
      <c r="A4796" t="inlineStr">
        <is>
          <t>Fruzsi Karolyi</t>
        </is>
      </c>
      <c r="B4796" t="inlineStr">
        <is>
          <t>Sponsor</t>
        </is>
      </c>
      <c r="C4796" t="inlineStr">
        <is>
          <t>Enterprise Account Executive</t>
        </is>
      </c>
      <c r="D4796" t="inlineStr">
        <is>
          <t>GeoPostcodes</t>
        </is>
      </c>
      <c r="E4796" t="inlineStr">
        <is>
          <t>Belgium</t>
        </is>
      </c>
      <c r="H4796" t="n">
        <v>-6</v>
      </c>
      <c r="I4796" t="b">
        <v>0</v>
      </c>
      <c r="J4796" t="b">
        <v>0</v>
      </c>
      <c r="K4796" t="b">
        <v>0</v>
      </c>
      <c r="L4796" t="b">
        <v>0</v>
      </c>
      <c r="M4796" t="b">
        <v>1</v>
      </c>
      <c r="N4796">
        <f>IFERROR(INDEX('Company Hitlist'!$AA:$AA,MATCH(D4796,'Company Hitlist'!$A:$A,0)),)</f>
        <v/>
      </c>
      <c r="O4796">
        <f>IFERROR(INDEX('Company Hitlist'!$N:$N,MATCH(D4796,'Company Hitlist'!$A:$A,0)),)</f>
        <v/>
      </c>
      <c r="Q4796" t="inlineStr">
        <is>
          <t>todo</t>
        </is>
      </c>
    </row>
    <row r="4797">
      <c r="A4797" t="inlineStr">
        <is>
          <t>Aidan O'Keefe</t>
        </is>
      </c>
      <c r="B4797" t="inlineStr">
        <is>
          <t>Sponsor</t>
        </is>
      </c>
      <c r="C4797" t="inlineStr">
        <is>
          <t>Enterprise Account Executive</t>
        </is>
      </c>
      <c r="D4797" t="inlineStr">
        <is>
          <t>Gnosis Freight</t>
        </is>
      </c>
      <c r="E4797" t="inlineStr">
        <is>
          <t>United States</t>
        </is>
      </c>
      <c r="H4797" t="n">
        <v>-6</v>
      </c>
      <c r="I4797" t="b">
        <v>0</v>
      </c>
      <c r="J4797" t="b">
        <v>0</v>
      </c>
      <c r="K4797" t="b">
        <v>0</v>
      </c>
      <c r="L4797" t="b">
        <v>0</v>
      </c>
      <c r="M4797" t="b">
        <v>1</v>
      </c>
      <c r="N4797">
        <f>IFERROR(INDEX('Company Hitlist'!$AA:$AA,MATCH(D4797,'Company Hitlist'!$A:$A,0)),)</f>
        <v/>
      </c>
      <c r="O4797">
        <f>IFERROR(INDEX('Company Hitlist'!$N:$N,MATCH(D4797,'Company Hitlist'!$A:$A,0)),)</f>
        <v/>
      </c>
      <c r="Q4797" t="inlineStr">
        <is>
          <t>todo</t>
        </is>
      </c>
    </row>
    <row r="4798">
      <c r="A4798" t="inlineStr">
        <is>
          <t>Sana Chishti</t>
        </is>
      </c>
      <c r="B4798" t="inlineStr">
        <is>
          <t>Sponsor</t>
        </is>
      </c>
      <c r="C4798" t="inlineStr">
        <is>
          <t>Enterprise Account Executive</t>
        </is>
      </c>
      <c r="D4798" t="inlineStr">
        <is>
          <t>GoBolt</t>
        </is>
      </c>
      <c r="E4798" t="inlineStr">
        <is>
          <t>Canada</t>
        </is>
      </c>
      <c r="H4798" t="n">
        <v>-6</v>
      </c>
      <c r="I4798" t="b">
        <v>0</v>
      </c>
      <c r="J4798" t="b">
        <v>0</v>
      </c>
      <c r="K4798" t="b">
        <v>0</v>
      </c>
      <c r="L4798" t="b">
        <v>0</v>
      </c>
      <c r="M4798" t="b">
        <v>1</v>
      </c>
      <c r="N4798">
        <f>IFERROR(INDEX('Company Hitlist'!$AA:$AA,MATCH(D4798,'Company Hitlist'!$A:$A,0)),)</f>
        <v/>
      </c>
      <c r="O4798">
        <f>IFERROR(INDEX('Company Hitlist'!$N:$N,MATCH(D4798,'Company Hitlist'!$A:$A,0)),)</f>
        <v/>
      </c>
      <c r="Q4798" t="inlineStr">
        <is>
          <t>todo</t>
        </is>
      </c>
    </row>
    <row r="4799">
      <c r="A4799" t="inlineStr">
        <is>
          <t>Ashwini Yadav</t>
        </is>
      </c>
      <c r="B4799" t="inlineStr">
        <is>
          <t>Sponsor</t>
        </is>
      </c>
      <c r="C4799" t="inlineStr">
        <is>
          <t>Regional Sales Director</t>
        </is>
      </c>
      <c r="D4799" t="inlineStr">
        <is>
          <t>GoComet</t>
        </is>
      </c>
      <c r="H4799" t="n">
        <v>-6</v>
      </c>
      <c r="I4799" t="b">
        <v>0</v>
      </c>
      <c r="J4799" t="b">
        <v>0</v>
      </c>
      <c r="K4799" t="b">
        <v>0</v>
      </c>
      <c r="L4799" t="b">
        <v>0</v>
      </c>
      <c r="M4799" t="b">
        <v>1</v>
      </c>
      <c r="N4799">
        <f>IFERROR(INDEX('Company Hitlist'!$AA:$AA,MATCH(D4799,'Company Hitlist'!$A:$A,0)),)</f>
        <v/>
      </c>
      <c r="O4799">
        <f>IFERROR(INDEX('Company Hitlist'!$N:$N,MATCH(D4799,'Company Hitlist'!$A:$A,0)),)</f>
        <v/>
      </c>
      <c r="Q4799" t="inlineStr">
        <is>
          <t>todo</t>
        </is>
      </c>
    </row>
    <row r="4800">
      <c r="A4800" t="inlineStr">
        <is>
          <t>Celine Harris</t>
        </is>
      </c>
      <c r="B4800" t="inlineStr">
        <is>
          <t>Sponsor</t>
        </is>
      </c>
      <c r="C4800" t="inlineStr">
        <is>
          <t>Director of Marketing Programs</t>
        </is>
      </c>
      <c r="D4800" t="inlineStr">
        <is>
          <t>GoodShip</t>
        </is>
      </c>
      <c r="E4800" t="inlineStr">
        <is>
          <t>United States</t>
        </is>
      </c>
      <c r="F4800" t="inlineStr">
        <is>
          <t>Yes</t>
        </is>
      </c>
      <c r="G4800" t="inlineStr">
        <is>
          <t>$9.2 million (2025)</t>
        </is>
      </c>
      <c r="H4800" t="n">
        <v>-6</v>
      </c>
      <c r="I4800" t="b">
        <v>0</v>
      </c>
      <c r="J4800" t="b">
        <v>0</v>
      </c>
      <c r="K4800" t="b">
        <v>0</v>
      </c>
      <c r="L4800" t="b">
        <v>0</v>
      </c>
      <c r="M4800" t="b">
        <v>1</v>
      </c>
      <c r="N4800">
        <f>IFERROR(INDEX('Company Hitlist'!$AA:$AA,MATCH(D4800,'Company Hitlist'!$A:$A,0)),)</f>
        <v/>
      </c>
      <c r="O4800">
        <f>IFERROR(INDEX('Company Hitlist'!$N:$N,MATCH(D4800,'Company Hitlist'!$A:$A,0)),)</f>
        <v/>
      </c>
      <c r="Q4800" t="inlineStr">
        <is>
          <t>todo</t>
        </is>
      </c>
    </row>
    <row r="4801">
      <c r="A4801" t="inlineStr">
        <is>
          <t>Derek Zetlin</t>
        </is>
      </c>
      <c r="B4801" t="inlineStr">
        <is>
          <t>Sponsor</t>
        </is>
      </c>
      <c r="C4801" t="inlineStr">
        <is>
          <t>Director of Sales</t>
        </is>
      </c>
      <c r="D4801" t="inlineStr">
        <is>
          <t>GoodShip</t>
        </is>
      </c>
      <c r="E4801" t="inlineStr">
        <is>
          <t>United States</t>
        </is>
      </c>
      <c r="H4801" t="n">
        <v>-6</v>
      </c>
      <c r="I4801" t="b">
        <v>0</v>
      </c>
      <c r="J4801" t="b">
        <v>0</v>
      </c>
      <c r="K4801" t="b">
        <v>0</v>
      </c>
      <c r="L4801" t="b">
        <v>0</v>
      </c>
      <c r="M4801" t="b">
        <v>1</v>
      </c>
      <c r="N4801">
        <f>IFERROR(INDEX('Company Hitlist'!$AA:$AA,MATCH(D4801,'Company Hitlist'!$A:$A,0)),)</f>
        <v/>
      </c>
      <c r="O4801">
        <f>IFERROR(INDEX('Company Hitlist'!$N:$N,MATCH(D4801,'Company Hitlist'!$A:$A,0)),)</f>
        <v/>
      </c>
      <c r="Q4801" t="inlineStr">
        <is>
          <t>todo</t>
        </is>
      </c>
    </row>
    <row r="4802">
      <c r="A4802" t="inlineStr">
        <is>
          <t>Jessica Lenz</t>
        </is>
      </c>
      <c r="B4802" t="inlineStr">
        <is>
          <t>Sponsor</t>
        </is>
      </c>
      <c r="C4802" t="inlineStr">
        <is>
          <t>Enterprise Sales Director</t>
        </is>
      </c>
      <c r="D4802" t="inlineStr">
        <is>
          <t>GoodShip</t>
        </is>
      </c>
      <c r="E4802" t="inlineStr">
        <is>
          <t>United States</t>
        </is>
      </c>
      <c r="H4802" t="n">
        <v>-6</v>
      </c>
      <c r="I4802" t="b">
        <v>0</v>
      </c>
      <c r="J4802" t="b">
        <v>0</v>
      </c>
      <c r="K4802" t="b">
        <v>0</v>
      </c>
      <c r="L4802" t="b">
        <v>0</v>
      </c>
      <c r="M4802" t="b">
        <v>1</v>
      </c>
      <c r="N4802">
        <f>IFERROR(INDEX('Company Hitlist'!$AA:$AA,MATCH(D4802,'Company Hitlist'!$A:$A,0)),)</f>
        <v/>
      </c>
      <c r="O4802">
        <f>IFERROR(INDEX('Company Hitlist'!$N:$N,MATCH(D4802,'Company Hitlist'!$A:$A,0)),)</f>
        <v/>
      </c>
      <c r="Q4802" t="inlineStr">
        <is>
          <t>todo</t>
        </is>
      </c>
    </row>
    <row r="4803">
      <c r="A4803" t="inlineStr">
        <is>
          <t>Samantha Barone</t>
        </is>
      </c>
      <c r="B4803" t="inlineStr">
        <is>
          <t>Sponsor</t>
        </is>
      </c>
      <c r="C4803" t="inlineStr">
        <is>
          <t>Enterprise Sales Director</t>
        </is>
      </c>
      <c r="D4803" t="inlineStr">
        <is>
          <t>GoodShip</t>
        </is>
      </c>
      <c r="H4803" t="n">
        <v>-6</v>
      </c>
      <c r="I4803" t="b">
        <v>0</v>
      </c>
      <c r="J4803" t="b">
        <v>0</v>
      </c>
      <c r="K4803" t="b">
        <v>0</v>
      </c>
      <c r="L4803" t="b">
        <v>0</v>
      </c>
      <c r="M4803" t="b">
        <v>1</v>
      </c>
      <c r="N4803">
        <f>IFERROR(INDEX('Company Hitlist'!$AA:$AA,MATCH(D4803,'Company Hitlist'!$A:$A,0)),)</f>
        <v/>
      </c>
      <c r="O4803">
        <f>IFERROR(INDEX('Company Hitlist'!$N:$N,MATCH(D4803,'Company Hitlist'!$A:$A,0)),)</f>
        <v/>
      </c>
      <c r="Q4803" t="inlineStr">
        <is>
          <t>todo</t>
        </is>
      </c>
    </row>
    <row r="4804">
      <c r="A4804" t="inlineStr">
        <is>
          <t>Anton Sawatzky</t>
        </is>
      </c>
      <c r="B4804" t="inlineStr">
        <is>
          <t>Sponsor</t>
        </is>
      </c>
      <c r="C4804" t="inlineStr">
        <is>
          <t>Product Sales Manager</t>
        </is>
      </c>
      <c r="D4804" t="inlineStr">
        <is>
          <t>Gorbel Inc.</t>
        </is>
      </c>
      <c r="E4804" t="inlineStr">
        <is>
          <t>United States</t>
        </is>
      </c>
      <c r="H4804" t="n">
        <v>-6</v>
      </c>
      <c r="I4804" t="b">
        <v>0</v>
      </c>
      <c r="J4804" t="b">
        <v>0</v>
      </c>
      <c r="K4804" t="b">
        <v>0</v>
      </c>
      <c r="L4804" t="b">
        <v>0</v>
      </c>
      <c r="M4804" t="b">
        <v>1</v>
      </c>
      <c r="N4804">
        <f>IFERROR(INDEX('Company Hitlist'!$AA:$AA,MATCH(D4804,'Company Hitlist'!$A:$A,0)),)</f>
        <v/>
      </c>
      <c r="O4804">
        <f>IFERROR(INDEX('Company Hitlist'!$N:$N,MATCH(D4804,'Company Hitlist'!$A:$A,0)),)</f>
        <v/>
      </c>
      <c r="Q4804" t="inlineStr">
        <is>
          <t>todo</t>
        </is>
      </c>
    </row>
    <row r="4805">
      <c r="A4805" t="inlineStr">
        <is>
          <t>Stefan Friedrich</t>
        </is>
      </c>
      <c r="B4805" t="inlineStr">
        <is>
          <t>Sponsor</t>
        </is>
      </c>
      <c r="C4805" t="inlineStr">
        <is>
          <t>Product Marketing Manager</t>
        </is>
      </c>
      <c r="D4805" t="inlineStr">
        <is>
          <t>Gorbel Inc.</t>
        </is>
      </c>
      <c r="E4805" t="inlineStr">
        <is>
          <t>United States</t>
        </is>
      </c>
      <c r="H4805" t="n">
        <v>-6</v>
      </c>
      <c r="I4805" t="b">
        <v>0</v>
      </c>
      <c r="J4805" t="b">
        <v>0</v>
      </c>
      <c r="K4805" t="b">
        <v>0</v>
      </c>
      <c r="L4805" t="b">
        <v>0</v>
      </c>
      <c r="M4805" t="b">
        <v>1</v>
      </c>
      <c r="N4805">
        <f>IFERROR(INDEX('Company Hitlist'!$AA:$AA,MATCH(D4805,'Company Hitlist'!$A:$A,0)),)</f>
        <v/>
      </c>
      <c r="O4805">
        <f>IFERROR(INDEX('Company Hitlist'!$N:$N,MATCH(D4805,'Company Hitlist'!$A:$A,0)),)</f>
        <v/>
      </c>
      <c r="Q4805" t="inlineStr">
        <is>
          <t>todo</t>
        </is>
      </c>
    </row>
    <row r="4806">
      <c r="A4806" t="inlineStr">
        <is>
          <t>George Peach</t>
        </is>
      </c>
      <c r="B4806" t="inlineStr">
        <is>
          <t>Sponsor</t>
        </is>
      </c>
      <c r="C4806" t="inlineStr">
        <is>
          <t>Sales Executive</t>
        </is>
      </c>
      <c r="D4806" t="inlineStr">
        <is>
          <t>Hai Robotics</t>
        </is>
      </c>
      <c r="E4806" t="inlineStr">
        <is>
          <t>United States</t>
        </is>
      </c>
      <c r="H4806" t="n">
        <v>-6</v>
      </c>
      <c r="I4806" t="b">
        <v>0</v>
      </c>
      <c r="J4806" t="b">
        <v>0</v>
      </c>
      <c r="K4806" t="b">
        <v>0</v>
      </c>
      <c r="L4806" t="b">
        <v>0</v>
      </c>
      <c r="M4806" t="b">
        <v>1</v>
      </c>
      <c r="N4806">
        <f>IFERROR(INDEX('Company Hitlist'!$AA:$AA,MATCH(D4806,'Company Hitlist'!$A:$A,0)),)</f>
        <v/>
      </c>
      <c r="O4806">
        <f>IFERROR(INDEX('Company Hitlist'!$N:$N,MATCH(D4806,'Company Hitlist'!$A:$A,0)),)</f>
        <v/>
      </c>
      <c r="Q4806" t="inlineStr">
        <is>
          <t>todo</t>
        </is>
      </c>
    </row>
    <row r="4807">
      <c r="A4807" t="inlineStr">
        <is>
          <t>Vince Donato</t>
        </is>
      </c>
      <c r="B4807" t="inlineStr">
        <is>
          <t>Sponsor</t>
        </is>
      </c>
      <c r="C4807" t="inlineStr">
        <is>
          <t>Sales Executive</t>
        </is>
      </c>
      <c r="D4807" t="inlineStr">
        <is>
          <t>Hai Robotics</t>
        </is>
      </c>
      <c r="E4807" t="inlineStr">
        <is>
          <t>United States</t>
        </is>
      </c>
      <c r="H4807" t="n">
        <v>-6</v>
      </c>
      <c r="I4807" t="b">
        <v>0</v>
      </c>
      <c r="J4807" t="b">
        <v>0</v>
      </c>
      <c r="K4807" t="b">
        <v>0</v>
      </c>
      <c r="L4807" t="b">
        <v>0</v>
      </c>
      <c r="M4807" t="b">
        <v>1</v>
      </c>
      <c r="N4807">
        <f>IFERROR(INDEX('Company Hitlist'!$AA:$AA,MATCH(D4807,'Company Hitlist'!$A:$A,0)),)</f>
        <v/>
      </c>
      <c r="O4807">
        <f>IFERROR(INDEX('Company Hitlist'!$N:$N,MATCH(D4807,'Company Hitlist'!$A:$A,0)),)</f>
        <v/>
      </c>
      <c r="Q4807" t="inlineStr">
        <is>
          <t>todo</t>
        </is>
      </c>
    </row>
    <row r="4808">
      <c r="A4808" t="inlineStr">
        <is>
          <t>Jordan Zatz</t>
        </is>
      </c>
      <c r="B4808" t="inlineStr">
        <is>
          <t>Sponsor</t>
        </is>
      </c>
      <c r="C4808" t="inlineStr">
        <is>
          <t>Marketing Manager</t>
        </is>
      </c>
      <c r="D4808" t="inlineStr">
        <is>
          <t>Hai Robotics</t>
        </is>
      </c>
      <c r="H4808" t="n">
        <v>-6</v>
      </c>
      <c r="I4808" t="b">
        <v>0</v>
      </c>
      <c r="J4808" t="b">
        <v>0</v>
      </c>
      <c r="K4808" t="b">
        <v>0</v>
      </c>
      <c r="L4808" t="b">
        <v>0</v>
      </c>
      <c r="M4808" t="b">
        <v>1</v>
      </c>
      <c r="N4808">
        <f>IFERROR(INDEX('Company Hitlist'!$AA:$AA,MATCH(D4808,'Company Hitlist'!$A:$A,0)),)</f>
        <v/>
      </c>
      <c r="O4808">
        <f>IFERROR(INDEX('Company Hitlist'!$N:$N,MATCH(D4808,'Company Hitlist'!$A:$A,0)),)</f>
        <v/>
      </c>
      <c r="Q4808" t="inlineStr">
        <is>
          <t>todo</t>
        </is>
      </c>
    </row>
    <row r="4809">
      <c r="A4809" t="inlineStr">
        <is>
          <t>Matthew Berman</t>
        </is>
      </c>
      <c r="B4809" t="inlineStr">
        <is>
          <t>Sponsor</t>
        </is>
      </c>
      <c r="C4809" t="inlineStr">
        <is>
          <t>Business Development Representative</t>
        </is>
      </c>
      <c r="D4809" t="inlineStr">
        <is>
          <t>Hai Robotics</t>
        </is>
      </c>
      <c r="E4809" t="inlineStr">
        <is>
          <t>United States</t>
        </is>
      </c>
      <c r="H4809" t="n">
        <v>-6</v>
      </c>
      <c r="I4809" t="b">
        <v>0</v>
      </c>
      <c r="J4809" t="b">
        <v>0</v>
      </c>
      <c r="K4809" t="b">
        <v>0</v>
      </c>
      <c r="L4809" t="b">
        <v>0</v>
      </c>
      <c r="M4809" t="b">
        <v>1</v>
      </c>
      <c r="N4809">
        <f>IFERROR(INDEX('Company Hitlist'!$AA:$AA,MATCH(D4809,'Company Hitlist'!$A:$A,0)),)</f>
        <v/>
      </c>
      <c r="O4809">
        <f>IFERROR(INDEX('Company Hitlist'!$N:$N,MATCH(D4809,'Company Hitlist'!$A:$A,0)),)</f>
        <v/>
      </c>
      <c r="Q4809" t="inlineStr">
        <is>
          <t>todo</t>
        </is>
      </c>
    </row>
    <row r="4810">
      <c r="A4810" t="inlineStr">
        <is>
          <t>Marta Pico</t>
        </is>
      </c>
      <c r="B4810" t="inlineStr">
        <is>
          <t>Sponsor</t>
        </is>
      </c>
      <c r="C4810" t="inlineStr">
        <is>
          <t>Growth Strategist</t>
        </is>
      </c>
      <c r="D4810" t="inlineStr">
        <is>
          <t>HappyRobot</t>
        </is>
      </c>
      <c r="E4810" t="inlineStr">
        <is>
          <t>United States</t>
        </is>
      </c>
      <c r="F4810" t="inlineStr">
        <is>
          <t>Yes</t>
        </is>
      </c>
      <c r="H4810" t="n">
        <v>-6</v>
      </c>
      <c r="I4810" t="b">
        <v>0</v>
      </c>
      <c r="J4810" t="b">
        <v>0</v>
      </c>
      <c r="K4810" t="b">
        <v>0</v>
      </c>
      <c r="L4810" t="b">
        <v>0</v>
      </c>
      <c r="M4810" t="b">
        <v>1</v>
      </c>
      <c r="N4810">
        <f>IFERROR(INDEX('Company Hitlist'!$AA:$AA,MATCH(D4810,'Company Hitlist'!$A:$A,0)),)</f>
        <v/>
      </c>
      <c r="O4810">
        <f>IFERROR(INDEX('Company Hitlist'!$N:$N,MATCH(D4810,'Company Hitlist'!$A:$A,0)),)</f>
        <v/>
      </c>
      <c r="Q4810" t="inlineStr">
        <is>
          <t>todo</t>
        </is>
      </c>
    </row>
    <row r="4811">
      <c r="A4811" t="inlineStr">
        <is>
          <t>Tony Baciocco</t>
        </is>
      </c>
      <c r="B4811" t="inlineStr">
        <is>
          <t>Sponsor</t>
        </is>
      </c>
      <c r="C4811" t="inlineStr">
        <is>
          <t>Go-To-Market</t>
        </is>
      </c>
      <c r="D4811" t="inlineStr">
        <is>
          <t>HappyRobot</t>
        </is>
      </c>
      <c r="E4811" t="inlineStr">
        <is>
          <t>United States</t>
        </is>
      </c>
      <c r="F4811" t="inlineStr">
        <is>
          <t>Yes</t>
        </is>
      </c>
      <c r="H4811" t="n">
        <v>-6</v>
      </c>
      <c r="I4811" t="b">
        <v>0</v>
      </c>
      <c r="J4811" t="b">
        <v>0</v>
      </c>
      <c r="K4811" t="b">
        <v>0</v>
      </c>
      <c r="L4811" t="b">
        <v>0</v>
      </c>
      <c r="M4811" t="b">
        <v>1</v>
      </c>
      <c r="N4811">
        <f>IFERROR(INDEX('Company Hitlist'!$AA:$AA,MATCH(D4811,'Company Hitlist'!$A:$A,0)),)</f>
        <v/>
      </c>
      <c r="O4811">
        <f>IFERROR(INDEX('Company Hitlist'!$N:$N,MATCH(D4811,'Company Hitlist'!$A:$A,0)),)</f>
        <v/>
      </c>
      <c r="Q4811" t="inlineStr">
        <is>
          <t>todo</t>
        </is>
      </c>
    </row>
    <row r="4812">
      <c r="A4812" t="inlineStr">
        <is>
          <t>Zarek Livak</t>
        </is>
      </c>
      <c r="B4812" t="inlineStr">
        <is>
          <t>Sponsor</t>
        </is>
      </c>
      <c r="C4812" t="inlineStr">
        <is>
          <t>Founding GTM</t>
        </is>
      </c>
      <c r="D4812" t="inlineStr">
        <is>
          <t>HappyRobot</t>
        </is>
      </c>
      <c r="E4812" t="inlineStr">
        <is>
          <t>United States</t>
        </is>
      </c>
      <c r="F4812" t="inlineStr">
        <is>
          <t>Yes</t>
        </is>
      </c>
      <c r="H4812" t="n">
        <v>-6</v>
      </c>
      <c r="I4812" t="b">
        <v>0</v>
      </c>
      <c r="J4812" t="b">
        <v>0</v>
      </c>
      <c r="K4812" t="b">
        <v>0</v>
      </c>
      <c r="L4812" t="b">
        <v>0</v>
      </c>
      <c r="M4812" t="b">
        <v>1</v>
      </c>
      <c r="N4812">
        <f>IFERROR(INDEX('Company Hitlist'!$AA:$AA,MATCH(D4812,'Company Hitlist'!$A:$A,0)),)</f>
        <v/>
      </c>
      <c r="O4812">
        <f>IFERROR(INDEX('Company Hitlist'!$N:$N,MATCH(D4812,'Company Hitlist'!$A:$A,0)),)</f>
        <v/>
      </c>
      <c r="Q4812" t="inlineStr">
        <is>
          <t>todo</t>
        </is>
      </c>
    </row>
    <row r="4813">
      <c r="A4813" t="inlineStr">
        <is>
          <t>Carlos Chicharro</t>
        </is>
      </c>
      <c r="B4813" t="inlineStr">
        <is>
          <t>Sponsor</t>
        </is>
      </c>
      <c r="C4813" t="inlineStr">
        <is>
          <t>Account Executive</t>
        </is>
      </c>
      <c r="D4813" t="inlineStr">
        <is>
          <t>HappyRobot</t>
        </is>
      </c>
      <c r="E4813" t="inlineStr">
        <is>
          <t>Spain</t>
        </is>
      </c>
      <c r="H4813" t="n">
        <v>-6</v>
      </c>
      <c r="I4813" t="b">
        <v>0</v>
      </c>
      <c r="J4813" t="b">
        <v>0</v>
      </c>
      <c r="K4813" t="b">
        <v>0</v>
      </c>
      <c r="L4813" t="b">
        <v>0</v>
      </c>
      <c r="M4813" t="b">
        <v>1</v>
      </c>
      <c r="N4813">
        <f>IFERROR(INDEX('Company Hitlist'!$AA:$AA,MATCH(D4813,'Company Hitlist'!$A:$A,0)),)</f>
        <v/>
      </c>
      <c r="O4813">
        <f>IFERROR(INDEX('Company Hitlist'!$N:$N,MATCH(D4813,'Company Hitlist'!$A:$A,0)),)</f>
        <v/>
      </c>
      <c r="Q4813" t="inlineStr">
        <is>
          <t>todo</t>
        </is>
      </c>
    </row>
    <row r="4814">
      <c r="A4814" t="inlineStr">
        <is>
          <t>Adrian Varez</t>
        </is>
      </c>
      <c r="B4814" t="inlineStr">
        <is>
          <t>Sponsor</t>
        </is>
      </c>
      <c r="C4814" t="inlineStr">
        <is>
          <t>Enterprise Account Executive</t>
        </is>
      </c>
      <c r="D4814" t="inlineStr">
        <is>
          <t>HappyRobot</t>
        </is>
      </c>
      <c r="E4814" t="inlineStr">
        <is>
          <t>United States</t>
        </is>
      </c>
      <c r="H4814" t="n">
        <v>-6</v>
      </c>
      <c r="I4814" t="b">
        <v>0</v>
      </c>
      <c r="J4814" t="b">
        <v>0</v>
      </c>
      <c r="K4814" t="b">
        <v>0</v>
      </c>
      <c r="L4814" t="b">
        <v>0</v>
      </c>
      <c r="M4814" t="b">
        <v>1</v>
      </c>
      <c r="N4814">
        <f>IFERROR(INDEX('Company Hitlist'!$AA:$AA,MATCH(D4814,'Company Hitlist'!$A:$A,0)),)</f>
        <v/>
      </c>
      <c r="O4814">
        <f>IFERROR(INDEX('Company Hitlist'!$N:$N,MATCH(D4814,'Company Hitlist'!$A:$A,0)),)</f>
        <v/>
      </c>
      <c r="Q4814" t="inlineStr">
        <is>
          <t>todo</t>
        </is>
      </c>
    </row>
    <row r="4815">
      <c r="A4815" t="inlineStr">
        <is>
          <t>Chris Smith</t>
        </is>
      </c>
      <c r="B4815" t="inlineStr">
        <is>
          <t>Sponsor</t>
        </is>
      </c>
      <c r="C4815" t="inlineStr">
        <is>
          <t>Strategic Account Executive</t>
        </is>
      </c>
      <c r="D4815" t="inlineStr">
        <is>
          <t>HappyRobot</t>
        </is>
      </c>
      <c r="E4815" t="inlineStr">
        <is>
          <t>United States</t>
        </is>
      </c>
      <c r="H4815" t="n">
        <v>-6</v>
      </c>
      <c r="I4815" t="b">
        <v>0</v>
      </c>
      <c r="J4815" t="b">
        <v>0</v>
      </c>
      <c r="K4815" t="b">
        <v>0</v>
      </c>
      <c r="L4815" t="b">
        <v>0</v>
      </c>
      <c r="M4815" t="b">
        <v>1</v>
      </c>
      <c r="N4815">
        <f>IFERROR(INDEX('Company Hitlist'!$AA:$AA,MATCH(D4815,'Company Hitlist'!$A:$A,0)),)</f>
        <v/>
      </c>
      <c r="O4815">
        <f>IFERROR(INDEX('Company Hitlist'!$N:$N,MATCH(D4815,'Company Hitlist'!$A:$A,0)),)</f>
        <v/>
      </c>
      <c r="Q4815" t="inlineStr">
        <is>
          <t>todo</t>
        </is>
      </c>
    </row>
    <row r="4816">
      <c r="A4816" t="inlineStr">
        <is>
          <t>Christian Damico</t>
        </is>
      </c>
      <c r="B4816" t="inlineStr">
        <is>
          <t>Sponsor</t>
        </is>
      </c>
      <c r="C4816" t="inlineStr">
        <is>
          <t>Enterprise Account Executive</t>
        </is>
      </c>
      <c r="D4816" t="inlineStr">
        <is>
          <t>HappyRobot</t>
        </is>
      </c>
      <c r="E4816" t="inlineStr">
        <is>
          <t>United States</t>
        </is>
      </c>
      <c r="H4816" t="n">
        <v>-6</v>
      </c>
      <c r="I4816" t="b">
        <v>0</v>
      </c>
      <c r="J4816" t="b">
        <v>0</v>
      </c>
      <c r="K4816" t="b">
        <v>0</v>
      </c>
      <c r="L4816" t="b">
        <v>0</v>
      </c>
      <c r="M4816" t="b">
        <v>1</v>
      </c>
      <c r="N4816">
        <f>IFERROR(INDEX('Company Hitlist'!$AA:$AA,MATCH(D4816,'Company Hitlist'!$A:$A,0)),)</f>
        <v/>
      </c>
      <c r="O4816">
        <f>IFERROR(INDEX('Company Hitlist'!$N:$N,MATCH(D4816,'Company Hitlist'!$A:$A,0)),)</f>
        <v/>
      </c>
      <c r="Q4816" t="inlineStr">
        <is>
          <t>todo</t>
        </is>
      </c>
    </row>
    <row r="4817">
      <c r="A4817" t="inlineStr">
        <is>
          <t>Dan Hellmann</t>
        </is>
      </c>
      <c r="B4817" t="inlineStr">
        <is>
          <t>Sponsor</t>
        </is>
      </c>
      <c r="C4817" t="inlineStr">
        <is>
          <t>Enterprise Account Executive</t>
        </is>
      </c>
      <c r="D4817" t="inlineStr">
        <is>
          <t>HappyRobot</t>
        </is>
      </c>
      <c r="E4817" t="inlineStr">
        <is>
          <t>United States</t>
        </is>
      </c>
      <c r="H4817" t="n">
        <v>-6</v>
      </c>
      <c r="I4817" t="b">
        <v>0</v>
      </c>
      <c r="J4817" t="b">
        <v>0</v>
      </c>
      <c r="K4817" t="b">
        <v>0</v>
      </c>
      <c r="L4817" t="b">
        <v>0</v>
      </c>
      <c r="M4817" t="b">
        <v>1</v>
      </c>
      <c r="N4817">
        <f>IFERROR(INDEX('Company Hitlist'!$AA:$AA,MATCH(D4817,'Company Hitlist'!$A:$A,0)),)</f>
        <v/>
      </c>
      <c r="O4817">
        <f>IFERROR(INDEX('Company Hitlist'!$N:$N,MATCH(D4817,'Company Hitlist'!$A:$A,0)),)</f>
        <v/>
      </c>
      <c r="Q4817" t="inlineStr">
        <is>
          <t>todo</t>
        </is>
      </c>
    </row>
    <row r="4818">
      <c r="A4818" t="inlineStr">
        <is>
          <t>Sam Belt</t>
        </is>
      </c>
      <c r="B4818" t="inlineStr">
        <is>
          <t>Sponsor</t>
        </is>
      </c>
      <c r="C4818" t="inlineStr">
        <is>
          <t>Enterprise Account Executive</t>
        </is>
      </c>
      <c r="D4818" t="inlineStr">
        <is>
          <t>HappyRobot</t>
        </is>
      </c>
      <c r="E4818" t="inlineStr">
        <is>
          <t>United States</t>
        </is>
      </c>
      <c r="H4818" t="n">
        <v>-6</v>
      </c>
      <c r="I4818" t="b">
        <v>0</v>
      </c>
      <c r="J4818" t="b">
        <v>0</v>
      </c>
      <c r="K4818" t="b">
        <v>0</v>
      </c>
      <c r="L4818" t="b">
        <v>0</v>
      </c>
      <c r="M4818" t="b">
        <v>1</v>
      </c>
      <c r="N4818">
        <f>IFERROR(INDEX('Company Hitlist'!$AA:$AA,MATCH(D4818,'Company Hitlist'!$A:$A,0)),)</f>
        <v/>
      </c>
      <c r="O4818">
        <f>IFERROR(INDEX('Company Hitlist'!$N:$N,MATCH(D4818,'Company Hitlist'!$A:$A,0)),)</f>
        <v/>
      </c>
      <c r="Q4818" t="inlineStr">
        <is>
          <t>todo</t>
        </is>
      </c>
    </row>
    <row r="4819">
      <c r="A4819" t="inlineStr">
        <is>
          <t>Michel Ramelet</t>
        </is>
      </c>
      <c r="B4819" t="inlineStr">
        <is>
          <t>Sponsor</t>
        </is>
      </c>
      <c r="C4819" t="inlineStr">
        <is>
          <t>Director of Solutions Alliances</t>
        </is>
      </c>
      <c r="D4819" t="inlineStr">
        <is>
          <t>Hardis Supply Chain</t>
        </is>
      </c>
      <c r="F4819" t="inlineStr">
        <is>
          <t>Yes</t>
        </is>
      </c>
      <c r="G4819" t="inlineStr">
        <is>
          <t>$84M (est.)</t>
        </is>
      </c>
      <c r="H4819" t="n">
        <v>-6</v>
      </c>
      <c r="I4819" t="b">
        <v>0</v>
      </c>
      <c r="J4819" t="b">
        <v>0</v>
      </c>
      <c r="K4819" t="b">
        <v>0</v>
      </c>
      <c r="L4819" t="b">
        <v>0</v>
      </c>
      <c r="M4819" t="b">
        <v>1</v>
      </c>
      <c r="N4819">
        <f>IFERROR(INDEX('Company Hitlist'!$AA:$AA,MATCH(D4819,'Company Hitlist'!$A:$A,0)),)</f>
        <v/>
      </c>
      <c r="O4819">
        <f>IFERROR(INDEX('Company Hitlist'!$N:$N,MATCH(D4819,'Company Hitlist'!$A:$A,0)),)</f>
        <v/>
      </c>
      <c r="Q4819" t="inlineStr">
        <is>
          <t>todo</t>
        </is>
      </c>
    </row>
    <row r="4820">
      <c r="A4820" t="inlineStr">
        <is>
          <t>Alexandre Knight</t>
        </is>
      </c>
      <c r="B4820" t="inlineStr">
        <is>
          <t>Sponsor</t>
        </is>
      </c>
      <c r="C4820" t="inlineStr">
        <is>
          <t>Pre-Sales Consultant</t>
        </is>
      </c>
      <c r="D4820" t="inlineStr">
        <is>
          <t>Hardis Supply Chain</t>
        </is>
      </c>
      <c r="H4820" t="n">
        <v>-6</v>
      </c>
      <c r="I4820" t="b">
        <v>0</v>
      </c>
      <c r="J4820" t="b">
        <v>0</v>
      </c>
      <c r="K4820" t="b">
        <v>0</v>
      </c>
      <c r="L4820" t="b">
        <v>0</v>
      </c>
      <c r="M4820" t="b">
        <v>1</v>
      </c>
      <c r="N4820">
        <f>IFERROR(INDEX('Company Hitlist'!$AA:$AA,MATCH(D4820,'Company Hitlist'!$A:$A,0)),)</f>
        <v/>
      </c>
      <c r="O4820">
        <f>IFERROR(INDEX('Company Hitlist'!$N:$N,MATCH(D4820,'Company Hitlist'!$A:$A,0)),)</f>
        <v/>
      </c>
      <c r="Q4820" t="inlineStr">
        <is>
          <t>todo</t>
        </is>
      </c>
    </row>
    <row r="4821">
      <c r="A4821" t="inlineStr">
        <is>
          <t>Justin Babich</t>
        </is>
      </c>
      <c r="B4821" t="inlineStr">
        <is>
          <t>Sponsor</t>
        </is>
      </c>
      <c r="C4821" t="inlineStr">
        <is>
          <t>Pre Sales Consultant</t>
        </is>
      </c>
      <c r="D4821" t="inlineStr">
        <is>
          <t>Hardis Supply Chain</t>
        </is>
      </c>
      <c r="H4821" t="n">
        <v>-6</v>
      </c>
      <c r="I4821" t="b">
        <v>0</v>
      </c>
      <c r="J4821" t="b">
        <v>0</v>
      </c>
      <c r="K4821" t="b">
        <v>0</v>
      </c>
      <c r="L4821" t="b">
        <v>0</v>
      </c>
      <c r="M4821" t="b">
        <v>1</v>
      </c>
      <c r="N4821">
        <f>IFERROR(INDEX('Company Hitlist'!$AA:$AA,MATCH(D4821,'Company Hitlist'!$A:$A,0)),)</f>
        <v/>
      </c>
      <c r="O4821">
        <f>IFERROR(INDEX('Company Hitlist'!$N:$N,MATCH(D4821,'Company Hitlist'!$A:$A,0)),)</f>
        <v/>
      </c>
      <c r="Q4821" t="inlineStr">
        <is>
          <t>todo</t>
        </is>
      </c>
    </row>
    <row r="4822">
      <c r="A4822" t="inlineStr">
        <is>
          <t>Laura Monroe</t>
        </is>
      </c>
      <c r="B4822" t="inlineStr">
        <is>
          <t>Sponsor</t>
        </is>
      </c>
      <c r="C4822" t="inlineStr">
        <is>
          <t>Marketing Manager-US</t>
        </is>
      </c>
      <c r="D4822" t="inlineStr">
        <is>
          <t>Hardis Supply Chain</t>
        </is>
      </c>
      <c r="H4822" t="n">
        <v>-6</v>
      </c>
      <c r="I4822" t="b">
        <v>0</v>
      </c>
      <c r="J4822" t="b">
        <v>0</v>
      </c>
      <c r="K4822" t="b">
        <v>0</v>
      </c>
      <c r="L4822" t="b">
        <v>0</v>
      </c>
      <c r="M4822" t="b">
        <v>1</v>
      </c>
      <c r="N4822">
        <f>IFERROR(INDEX('Company Hitlist'!$AA:$AA,MATCH(D4822,'Company Hitlist'!$A:$A,0)),)</f>
        <v/>
      </c>
      <c r="O4822">
        <f>IFERROR(INDEX('Company Hitlist'!$N:$N,MATCH(D4822,'Company Hitlist'!$A:$A,0)),)</f>
        <v/>
      </c>
      <c r="Q4822" t="inlineStr">
        <is>
          <t>todo</t>
        </is>
      </c>
    </row>
    <row r="4823">
      <c r="A4823" t="inlineStr">
        <is>
          <t>Tatiana Munoz</t>
        </is>
      </c>
      <c r="B4823" t="inlineStr">
        <is>
          <t>Sponsor</t>
        </is>
      </c>
      <c r="C4823" t="inlineStr">
        <is>
          <t>Director of Business Development</t>
        </is>
      </c>
      <c r="D4823" t="inlineStr">
        <is>
          <t>Hardis Supply Chain</t>
        </is>
      </c>
      <c r="H4823" t="n">
        <v>-6</v>
      </c>
      <c r="I4823" t="b">
        <v>0</v>
      </c>
      <c r="J4823" t="b">
        <v>0</v>
      </c>
      <c r="K4823" t="b">
        <v>0</v>
      </c>
      <c r="L4823" t="b">
        <v>0</v>
      </c>
      <c r="M4823" t="b">
        <v>1</v>
      </c>
      <c r="N4823">
        <f>IFERROR(INDEX('Company Hitlist'!$AA:$AA,MATCH(D4823,'Company Hitlist'!$A:$A,0)),)</f>
        <v/>
      </c>
      <c r="O4823">
        <f>IFERROR(INDEX('Company Hitlist'!$N:$N,MATCH(D4823,'Company Hitlist'!$A:$A,0)),)</f>
        <v/>
      </c>
      <c r="Q4823" t="inlineStr">
        <is>
          <t>todo</t>
        </is>
      </c>
    </row>
    <row r="4824">
      <c r="A4824" t="inlineStr">
        <is>
          <t>Zach Blanchard</t>
        </is>
      </c>
      <c r="B4824" t="inlineStr">
        <is>
          <t>Sponsor</t>
        </is>
      </c>
      <c r="C4824" t="inlineStr">
        <is>
          <t>Enterprise Account Executive</t>
        </is>
      </c>
      <c r="D4824" t="inlineStr">
        <is>
          <t>Highway</t>
        </is>
      </c>
      <c r="E4824" t="inlineStr">
        <is>
          <t>United States</t>
        </is>
      </c>
      <c r="H4824" t="n">
        <v>-6</v>
      </c>
      <c r="I4824" t="b">
        <v>0</v>
      </c>
      <c r="J4824" t="b">
        <v>0</v>
      </c>
      <c r="K4824" t="b">
        <v>0</v>
      </c>
      <c r="L4824" t="b">
        <v>0</v>
      </c>
      <c r="M4824" t="b">
        <v>1</v>
      </c>
      <c r="N4824">
        <f>IFERROR(INDEX('Company Hitlist'!$AA:$AA,MATCH(D4824,'Company Hitlist'!$A:$A,0)),)</f>
        <v/>
      </c>
      <c r="O4824">
        <f>IFERROR(INDEX('Company Hitlist'!$N:$N,MATCH(D4824,'Company Hitlist'!$A:$A,0)),)</f>
        <v/>
      </c>
      <c r="Q4824" t="inlineStr">
        <is>
          <t>todo</t>
        </is>
      </c>
    </row>
    <row r="4825">
      <c r="A4825" t="inlineStr">
        <is>
          <t>Matt Furnish</t>
        </is>
      </c>
      <c r="B4825" t="inlineStr">
        <is>
          <t>Sponsor</t>
        </is>
      </c>
      <c r="C4825" t="inlineStr">
        <is>
          <t>Enterprise Account Executive</t>
        </is>
      </c>
      <c r="D4825" t="inlineStr">
        <is>
          <t>Highway</t>
        </is>
      </c>
      <c r="H4825" t="n">
        <v>-6</v>
      </c>
      <c r="I4825" t="b">
        <v>0</v>
      </c>
      <c r="J4825" t="b">
        <v>0</v>
      </c>
      <c r="K4825" t="b">
        <v>0</v>
      </c>
      <c r="L4825" t="b">
        <v>0</v>
      </c>
      <c r="M4825" t="b">
        <v>1</v>
      </c>
      <c r="N4825">
        <f>IFERROR(INDEX('Company Hitlist'!$AA:$AA,MATCH(D4825,'Company Hitlist'!$A:$A,0)),)</f>
        <v/>
      </c>
      <c r="O4825">
        <f>IFERROR(INDEX('Company Hitlist'!$N:$N,MATCH(D4825,'Company Hitlist'!$A:$A,0)),)</f>
        <v/>
      </c>
      <c r="Q4825" t="inlineStr">
        <is>
          <t>todo</t>
        </is>
      </c>
    </row>
    <row r="4826">
      <c r="A4826" t="inlineStr">
        <is>
          <t>Nate Jones</t>
        </is>
      </c>
      <c r="B4826" t="inlineStr">
        <is>
          <t>Sponsor</t>
        </is>
      </c>
      <c r="C4826" t="inlineStr">
        <is>
          <t>Enterprise Customer Success Manager</t>
        </is>
      </c>
      <c r="D4826" t="inlineStr">
        <is>
          <t>Highway</t>
        </is>
      </c>
      <c r="E4826" t="inlineStr">
        <is>
          <t>United States</t>
        </is>
      </c>
      <c r="H4826" t="n">
        <v>-6</v>
      </c>
      <c r="I4826" t="b">
        <v>0</v>
      </c>
      <c r="J4826" t="b">
        <v>0</v>
      </c>
      <c r="K4826" t="b">
        <v>0</v>
      </c>
      <c r="L4826" t="b">
        <v>0</v>
      </c>
      <c r="M4826" t="b">
        <v>1</v>
      </c>
      <c r="N4826">
        <f>IFERROR(INDEX('Company Hitlist'!$AA:$AA,MATCH(D4826,'Company Hitlist'!$A:$A,0)),)</f>
        <v/>
      </c>
      <c r="O4826">
        <f>IFERROR(INDEX('Company Hitlist'!$N:$N,MATCH(D4826,'Company Hitlist'!$A:$A,0)),)</f>
        <v/>
      </c>
      <c r="Q4826" t="inlineStr">
        <is>
          <t>todo</t>
        </is>
      </c>
    </row>
    <row r="4827">
      <c r="A4827" t="inlineStr">
        <is>
          <t>Karin Rancuret</t>
        </is>
      </c>
      <c r="B4827" t="inlineStr">
        <is>
          <t>Sponsor</t>
        </is>
      </c>
      <c r="C4827" t="inlineStr">
        <is>
          <t>Sr. Business Development Manager</t>
        </is>
      </c>
      <c r="D4827" t="inlineStr">
        <is>
          <t>Holland International Distribution Council</t>
        </is>
      </c>
      <c r="H4827" t="n">
        <v>-6</v>
      </c>
      <c r="I4827" t="b">
        <v>0</v>
      </c>
      <c r="J4827" t="b">
        <v>0</v>
      </c>
      <c r="K4827" t="b">
        <v>0</v>
      </c>
      <c r="L4827" t="b">
        <v>0</v>
      </c>
      <c r="M4827" t="b">
        <v>1</v>
      </c>
      <c r="N4827">
        <f>IFERROR(INDEX('Company Hitlist'!$AA:$AA,MATCH(D4827,'Company Hitlist'!$A:$A,0)),)</f>
        <v/>
      </c>
      <c r="O4827">
        <f>IFERROR(INDEX('Company Hitlist'!$N:$N,MATCH(D4827,'Company Hitlist'!$A:$A,0)),)</f>
        <v/>
      </c>
      <c r="Q4827" t="inlineStr">
        <is>
          <t>todo</t>
        </is>
      </c>
    </row>
    <row r="4828">
      <c r="A4828" t="inlineStr">
        <is>
          <t>Alex Stark</t>
        </is>
      </c>
      <c r="B4828" t="inlineStr">
        <is>
          <t>Sponsor</t>
        </is>
      </c>
      <c r="C4828" t="inlineStr">
        <is>
          <t>Director of Marketing</t>
        </is>
      </c>
      <c r="D4828" t="inlineStr">
        <is>
          <t>Holman Logistics</t>
        </is>
      </c>
      <c r="E4828" t="inlineStr">
        <is>
          <t>United States</t>
        </is>
      </c>
      <c r="F4828" t="inlineStr">
        <is>
          <t>Yes</t>
        </is>
      </c>
      <c r="G4828" t="inlineStr">
        <is>
          <t>$457M (est.)</t>
        </is>
      </c>
      <c r="H4828" t="n">
        <v>-6</v>
      </c>
      <c r="I4828" t="b">
        <v>0</v>
      </c>
      <c r="J4828" t="b">
        <v>0</v>
      </c>
      <c r="K4828" t="b">
        <v>0</v>
      </c>
      <c r="L4828" t="b">
        <v>0</v>
      </c>
      <c r="M4828" t="b">
        <v>1</v>
      </c>
      <c r="N4828">
        <f>IFERROR(INDEX('Company Hitlist'!$AA:$AA,MATCH(D4828,'Company Hitlist'!$A:$A,0)),)</f>
        <v/>
      </c>
      <c r="O4828">
        <f>IFERROR(INDEX('Company Hitlist'!$N:$N,MATCH(D4828,'Company Hitlist'!$A:$A,0)),)</f>
        <v/>
      </c>
      <c r="Q4828" t="inlineStr">
        <is>
          <t>todo</t>
        </is>
      </c>
    </row>
    <row r="4829">
      <c r="A4829" t="inlineStr">
        <is>
          <t>Chris Cummins</t>
        </is>
      </c>
      <c r="B4829" t="inlineStr">
        <is>
          <t>Sponsor</t>
        </is>
      </c>
      <c r="C4829" t="inlineStr">
        <is>
          <t>Business Development Manager</t>
        </is>
      </c>
      <c r="D4829" t="inlineStr">
        <is>
          <t>Holman Logistics</t>
        </is>
      </c>
      <c r="E4829" t="inlineStr">
        <is>
          <t>United States</t>
        </is>
      </c>
      <c r="H4829" t="n">
        <v>-6</v>
      </c>
      <c r="I4829" t="b">
        <v>0</v>
      </c>
      <c r="J4829" t="b">
        <v>0</v>
      </c>
      <c r="K4829" t="b">
        <v>0</v>
      </c>
      <c r="L4829" t="b">
        <v>0</v>
      </c>
      <c r="M4829" t="b">
        <v>1</v>
      </c>
      <c r="N4829">
        <f>IFERROR(INDEX('Company Hitlist'!$AA:$AA,MATCH(D4829,'Company Hitlist'!$A:$A,0)),)</f>
        <v/>
      </c>
      <c r="O4829">
        <f>IFERROR(INDEX('Company Hitlist'!$N:$N,MATCH(D4829,'Company Hitlist'!$A:$A,0)),)</f>
        <v/>
      </c>
      <c r="Q4829" t="inlineStr">
        <is>
          <t>todo</t>
        </is>
      </c>
    </row>
    <row r="4830">
      <c r="A4830" t="inlineStr">
        <is>
          <t>Ryan Pyle</t>
        </is>
      </c>
      <c r="B4830" t="inlineStr">
        <is>
          <t>Sponsor</t>
        </is>
      </c>
      <c r="C4830" t="inlineStr">
        <is>
          <t>Senior Account Executive</t>
        </is>
      </c>
      <c r="D4830" t="inlineStr">
        <is>
          <t>Hy-Tek Intralogistics</t>
        </is>
      </c>
      <c r="H4830" t="n">
        <v>-6</v>
      </c>
      <c r="I4830" t="b">
        <v>0</v>
      </c>
      <c r="J4830" t="b">
        <v>0</v>
      </c>
      <c r="K4830" t="b">
        <v>0</v>
      </c>
      <c r="L4830" t="b">
        <v>0</v>
      </c>
      <c r="M4830" t="b">
        <v>1</v>
      </c>
      <c r="N4830">
        <f>IFERROR(INDEX('Company Hitlist'!$AA:$AA,MATCH(D4830,'Company Hitlist'!$A:$A,0)),)</f>
        <v/>
      </c>
      <c r="O4830">
        <f>IFERROR(INDEX('Company Hitlist'!$N:$N,MATCH(D4830,'Company Hitlist'!$A:$A,0)),)</f>
        <v/>
      </c>
      <c r="Q4830" t="inlineStr">
        <is>
          <t>todo</t>
        </is>
      </c>
    </row>
    <row r="4831">
      <c r="A4831" t="inlineStr">
        <is>
          <t>Paul Gazdik</t>
        </is>
      </c>
      <c r="B4831" t="inlineStr">
        <is>
          <t>Sponsor</t>
        </is>
      </c>
      <c r="C4831" t="inlineStr">
        <is>
          <t>Business Development Representative</t>
        </is>
      </c>
      <c r="D4831" t="inlineStr">
        <is>
          <t>Hy-Tek Intralogistics</t>
        </is>
      </c>
      <c r="H4831" t="n">
        <v>-6</v>
      </c>
      <c r="I4831" t="b">
        <v>0</v>
      </c>
      <c r="J4831" t="b">
        <v>0</v>
      </c>
      <c r="K4831" t="b">
        <v>0</v>
      </c>
      <c r="L4831" t="b">
        <v>0</v>
      </c>
      <c r="M4831" t="b">
        <v>1</v>
      </c>
      <c r="N4831">
        <f>IFERROR(INDEX('Company Hitlist'!$AA:$AA,MATCH(D4831,'Company Hitlist'!$A:$A,0)),)</f>
        <v/>
      </c>
      <c r="O4831">
        <f>IFERROR(INDEX('Company Hitlist'!$N:$N,MATCH(D4831,'Company Hitlist'!$A:$A,0)),)</f>
        <v/>
      </c>
      <c r="Q4831" t="inlineStr">
        <is>
          <t>todo</t>
        </is>
      </c>
    </row>
    <row r="4832">
      <c r="A4832" t="inlineStr">
        <is>
          <t>Erik Knapp</t>
        </is>
      </c>
      <c r="B4832" t="inlineStr">
        <is>
          <t>Sponsor</t>
        </is>
      </c>
      <c r="C4832" t="inlineStr">
        <is>
          <t>Strategic Advisor, Partnerships &amp; Growth</t>
        </is>
      </c>
      <c r="D4832" t="inlineStr">
        <is>
          <t>Hylios</t>
        </is>
      </c>
      <c r="E4832" t="inlineStr">
        <is>
          <t>United States</t>
        </is>
      </c>
      <c r="F4832" t="inlineStr">
        <is>
          <t>Yes</t>
        </is>
      </c>
      <c r="H4832" t="n">
        <v>-6</v>
      </c>
      <c r="I4832" t="b">
        <v>0</v>
      </c>
      <c r="J4832" t="b">
        <v>0</v>
      </c>
      <c r="K4832" t="b">
        <v>0</v>
      </c>
      <c r="L4832" t="b">
        <v>0</v>
      </c>
      <c r="M4832" t="b">
        <v>1</v>
      </c>
      <c r="N4832">
        <f>IFERROR(INDEX('Company Hitlist'!$AA:$AA,MATCH(D4832,'Company Hitlist'!$A:$A,0)),)</f>
        <v/>
      </c>
      <c r="O4832">
        <f>IFERROR(INDEX('Company Hitlist'!$N:$N,MATCH(D4832,'Company Hitlist'!$A:$A,0)),)</f>
        <v/>
      </c>
      <c r="Q4832" t="inlineStr">
        <is>
          <t>todo</t>
        </is>
      </c>
    </row>
    <row r="4833">
      <c r="A4833" t="inlineStr">
        <is>
          <t>Jared Holden</t>
        </is>
      </c>
      <c r="B4833" t="inlineStr">
        <is>
          <t>Sponsor</t>
        </is>
      </c>
      <c r="C4833" t="inlineStr">
        <is>
          <t>Sales Engineer</t>
        </is>
      </c>
      <c r="D4833" t="inlineStr">
        <is>
          <t>IDScan.net</t>
        </is>
      </c>
      <c r="E4833" t="inlineStr">
        <is>
          <t>United States</t>
        </is>
      </c>
      <c r="H4833" t="n">
        <v>-6</v>
      </c>
      <c r="I4833" t="b">
        <v>0</v>
      </c>
      <c r="J4833" t="b">
        <v>0</v>
      </c>
      <c r="K4833" t="b">
        <v>0</v>
      </c>
      <c r="L4833" t="b">
        <v>0</v>
      </c>
      <c r="M4833" t="b">
        <v>1</v>
      </c>
      <c r="N4833">
        <f>IFERROR(INDEX('Company Hitlist'!$AA:$AA,MATCH(D4833,'Company Hitlist'!$A:$A,0)),)</f>
        <v/>
      </c>
      <c r="O4833">
        <f>IFERROR(INDEX('Company Hitlist'!$N:$N,MATCH(D4833,'Company Hitlist'!$A:$A,0)),)</f>
        <v/>
      </c>
      <c r="Q4833" t="inlineStr">
        <is>
          <t>todo</t>
        </is>
      </c>
    </row>
    <row r="4834">
      <c r="A4834" t="inlineStr">
        <is>
          <t>Patrick McFarland</t>
        </is>
      </c>
      <c r="B4834" t="inlineStr">
        <is>
          <t>Sponsor</t>
        </is>
      </c>
      <c r="C4834" t="inlineStr">
        <is>
          <t>Sr. Director - Marketing</t>
        </is>
      </c>
      <c r="D4834" t="inlineStr">
        <is>
          <t>ITS Logistics</t>
        </is>
      </c>
      <c r="E4834" t="inlineStr">
        <is>
          <t>United States</t>
        </is>
      </c>
      <c r="F4834" t="inlineStr">
        <is>
          <t>Yes</t>
        </is>
      </c>
      <c r="G4834" t="inlineStr">
        <is>
          <t>365000000</t>
        </is>
      </c>
      <c r="H4834" t="n">
        <v>-6</v>
      </c>
      <c r="I4834" t="b">
        <v>0</v>
      </c>
      <c r="J4834" t="b">
        <v>0</v>
      </c>
      <c r="K4834" t="b">
        <v>0</v>
      </c>
      <c r="L4834" t="b">
        <v>0</v>
      </c>
      <c r="M4834" t="b">
        <v>1</v>
      </c>
      <c r="N4834">
        <f>IFERROR(INDEX('Company Hitlist'!$AA:$AA,MATCH(D4834,'Company Hitlist'!$A:$A,0)),)</f>
        <v/>
      </c>
      <c r="O4834">
        <f>IFERROR(INDEX('Company Hitlist'!$N:$N,MATCH(D4834,'Company Hitlist'!$A:$A,0)),)</f>
        <v/>
      </c>
      <c r="Q4834" t="inlineStr">
        <is>
          <t>todo</t>
        </is>
      </c>
    </row>
    <row r="4835">
      <c r="A4835" t="inlineStr">
        <is>
          <t>Joe Biondo</t>
        </is>
      </c>
      <c r="B4835" t="inlineStr">
        <is>
          <t>Sponsor</t>
        </is>
      </c>
      <c r="C4835" t="inlineStr">
        <is>
          <t>Regional Director of Sales</t>
        </is>
      </c>
      <c r="D4835" t="inlineStr">
        <is>
          <t>Inbound Logistics</t>
        </is>
      </c>
      <c r="H4835" t="n">
        <v>-6</v>
      </c>
      <c r="I4835" t="b">
        <v>0</v>
      </c>
      <c r="J4835" t="b">
        <v>0</v>
      </c>
      <c r="K4835" t="b">
        <v>0</v>
      </c>
      <c r="L4835" t="b">
        <v>0</v>
      </c>
      <c r="M4835" t="b">
        <v>1</v>
      </c>
      <c r="N4835">
        <f>IFERROR(INDEX('Company Hitlist'!$AA:$AA,MATCH(D4835,'Company Hitlist'!$A:$A,0)),)</f>
        <v/>
      </c>
      <c r="O4835">
        <f>IFERROR(INDEX('Company Hitlist'!$N:$N,MATCH(D4835,'Company Hitlist'!$A:$A,0)),)</f>
        <v/>
      </c>
      <c r="Q4835" t="inlineStr">
        <is>
          <t>todo</t>
        </is>
      </c>
    </row>
    <row r="4836">
      <c r="A4836" t="inlineStr">
        <is>
          <t>Rachael Sprinz</t>
        </is>
      </c>
      <c r="B4836" t="inlineStr">
        <is>
          <t>Sponsor</t>
        </is>
      </c>
      <c r="C4836" t="inlineStr">
        <is>
          <t>Director, Sales and Business Development</t>
        </is>
      </c>
      <c r="D4836" t="inlineStr">
        <is>
          <t>Inbound Logistics</t>
        </is>
      </c>
      <c r="E4836" t="inlineStr">
        <is>
          <t>United States</t>
        </is>
      </c>
      <c r="H4836" t="n">
        <v>-6</v>
      </c>
      <c r="I4836" t="b">
        <v>0</v>
      </c>
      <c r="J4836" t="b">
        <v>0</v>
      </c>
      <c r="K4836" t="b">
        <v>0</v>
      </c>
      <c r="L4836" t="b">
        <v>0</v>
      </c>
      <c r="M4836" t="b">
        <v>1</v>
      </c>
      <c r="N4836">
        <f>IFERROR(INDEX('Company Hitlist'!$AA:$AA,MATCH(D4836,'Company Hitlist'!$A:$A,0)),)</f>
        <v/>
      </c>
      <c r="O4836">
        <f>IFERROR(INDEX('Company Hitlist'!$N:$N,MATCH(D4836,'Company Hitlist'!$A:$A,0)),)</f>
        <v/>
      </c>
      <c r="Q4836" t="inlineStr">
        <is>
          <t>todo</t>
        </is>
      </c>
    </row>
    <row r="4837">
      <c r="A4837" t="inlineStr">
        <is>
          <t>Eoin Rogers</t>
        </is>
      </c>
      <c r="B4837" t="inlineStr">
        <is>
          <t>Sponsor</t>
        </is>
      </c>
      <c r="C4837" t="inlineStr">
        <is>
          <t>Director, Business Development</t>
        </is>
      </c>
      <c r="D4837" t="inlineStr">
        <is>
          <t>Infinity Loop</t>
        </is>
      </c>
      <c r="H4837" t="n">
        <v>-6</v>
      </c>
      <c r="I4837" t="b">
        <v>0</v>
      </c>
      <c r="J4837" t="b">
        <v>0</v>
      </c>
      <c r="K4837" t="b">
        <v>0</v>
      </c>
      <c r="L4837" t="b">
        <v>0</v>
      </c>
      <c r="M4837" t="b">
        <v>1</v>
      </c>
      <c r="N4837">
        <f>IFERROR(INDEX('Company Hitlist'!$AA:$AA,MATCH(D4837,'Company Hitlist'!$A:$A,0)),)</f>
        <v/>
      </c>
      <c r="O4837">
        <f>IFERROR(INDEX('Company Hitlist'!$N:$N,MATCH(D4837,'Company Hitlist'!$A:$A,0)),)</f>
        <v/>
      </c>
      <c r="Q4837" t="inlineStr">
        <is>
          <t>todo</t>
        </is>
      </c>
    </row>
    <row r="4838">
      <c r="A4838" t="inlineStr">
        <is>
          <t>Ashley Swanson</t>
        </is>
      </c>
      <c r="B4838" t="inlineStr">
        <is>
          <t>Sponsor</t>
        </is>
      </c>
      <c r="C4838" t="inlineStr">
        <is>
          <t>Account Executive</t>
        </is>
      </c>
      <c r="D4838" t="inlineStr">
        <is>
          <t>Infios</t>
        </is>
      </c>
      <c r="H4838" t="n">
        <v>-6</v>
      </c>
      <c r="I4838" t="b">
        <v>0</v>
      </c>
      <c r="J4838" t="b">
        <v>0</v>
      </c>
      <c r="K4838" t="b">
        <v>0</v>
      </c>
      <c r="L4838" t="b">
        <v>0</v>
      </c>
      <c r="M4838" t="b">
        <v>1</v>
      </c>
      <c r="N4838">
        <f>IFERROR(INDEX('Company Hitlist'!$AA:$AA,MATCH(D4838,'Company Hitlist'!$A:$A,0)),)</f>
        <v/>
      </c>
      <c r="O4838">
        <f>IFERROR(INDEX('Company Hitlist'!$N:$N,MATCH(D4838,'Company Hitlist'!$A:$A,0)),)</f>
        <v/>
      </c>
      <c r="Q4838" t="inlineStr">
        <is>
          <t>todo</t>
        </is>
      </c>
    </row>
    <row r="4839">
      <c r="A4839" t="inlineStr">
        <is>
          <t>Gabe Vidal</t>
        </is>
      </c>
      <c r="B4839" t="inlineStr">
        <is>
          <t>Sponsor</t>
        </is>
      </c>
      <c r="C4839" t="inlineStr">
        <is>
          <t>Account Executive</t>
        </is>
      </c>
      <c r="D4839" t="inlineStr">
        <is>
          <t>Infios</t>
        </is>
      </c>
      <c r="H4839" t="n">
        <v>-6</v>
      </c>
      <c r="I4839" t="b">
        <v>0</v>
      </c>
      <c r="J4839" t="b">
        <v>0</v>
      </c>
      <c r="K4839" t="b">
        <v>0</v>
      </c>
      <c r="L4839" t="b">
        <v>0</v>
      </c>
      <c r="M4839" t="b">
        <v>1</v>
      </c>
      <c r="N4839">
        <f>IFERROR(INDEX('Company Hitlist'!$AA:$AA,MATCH(D4839,'Company Hitlist'!$A:$A,0)),)</f>
        <v/>
      </c>
      <c r="O4839">
        <f>IFERROR(INDEX('Company Hitlist'!$N:$N,MATCH(D4839,'Company Hitlist'!$A:$A,0)),)</f>
        <v/>
      </c>
      <c r="Q4839" t="inlineStr">
        <is>
          <t>todo</t>
        </is>
      </c>
    </row>
    <row r="4840">
      <c r="A4840" t="inlineStr">
        <is>
          <t>Josh Wilkinson</t>
        </is>
      </c>
      <c r="B4840" t="inlineStr">
        <is>
          <t>Sponsor</t>
        </is>
      </c>
      <c r="C4840" t="inlineStr">
        <is>
          <t>Account Executive</t>
        </is>
      </c>
      <c r="D4840" t="inlineStr">
        <is>
          <t>Infios</t>
        </is>
      </c>
      <c r="H4840" t="n">
        <v>-6</v>
      </c>
      <c r="I4840" t="b">
        <v>0</v>
      </c>
      <c r="J4840" t="b">
        <v>0</v>
      </c>
      <c r="K4840" t="b">
        <v>0</v>
      </c>
      <c r="L4840" t="b">
        <v>0</v>
      </c>
      <c r="M4840" t="b">
        <v>1</v>
      </c>
      <c r="N4840">
        <f>IFERROR(INDEX('Company Hitlist'!$AA:$AA,MATCH(D4840,'Company Hitlist'!$A:$A,0)),)</f>
        <v/>
      </c>
      <c r="O4840">
        <f>IFERROR(INDEX('Company Hitlist'!$N:$N,MATCH(D4840,'Company Hitlist'!$A:$A,0)),)</f>
        <v/>
      </c>
      <c r="Q4840" t="inlineStr">
        <is>
          <t>todo</t>
        </is>
      </c>
    </row>
    <row r="4841">
      <c r="A4841" t="inlineStr">
        <is>
          <t>Bryant Henseler</t>
        </is>
      </c>
      <c r="B4841" t="inlineStr">
        <is>
          <t>Sponsor</t>
        </is>
      </c>
      <c r="C4841" t="inlineStr">
        <is>
          <t>Business Development Representative</t>
        </is>
      </c>
      <c r="D4841" t="inlineStr">
        <is>
          <t>Infios</t>
        </is>
      </c>
      <c r="H4841" t="n">
        <v>-6</v>
      </c>
      <c r="I4841" t="b">
        <v>0</v>
      </c>
      <c r="J4841" t="b">
        <v>0</v>
      </c>
      <c r="K4841" t="b">
        <v>0</v>
      </c>
      <c r="L4841" t="b">
        <v>0</v>
      </c>
      <c r="M4841" t="b">
        <v>1</v>
      </c>
      <c r="N4841">
        <f>IFERROR(INDEX('Company Hitlist'!$AA:$AA,MATCH(D4841,'Company Hitlist'!$A:$A,0)),)</f>
        <v/>
      </c>
      <c r="O4841">
        <f>IFERROR(INDEX('Company Hitlist'!$N:$N,MATCH(D4841,'Company Hitlist'!$A:$A,0)),)</f>
        <v/>
      </c>
      <c r="Q4841" t="inlineStr">
        <is>
          <t>todo</t>
        </is>
      </c>
    </row>
    <row r="4842">
      <c r="A4842" t="inlineStr">
        <is>
          <t>Chris Gallagher</t>
        </is>
      </c>
      <c r="B4842" t="inlineStr">
        <is>
          <t>Sponsor</t>
        </is>
      </c>
      <c r="C4842" t="inlineStr">
        <is>
          <t>Director of Sales</t>
        </is>
      </c>
      <c r="D4842" t="inlineStr">
        <is>
          <t>Infor</t>
        </is>
      </c>
      <c r="E4842" t="inlineStr">
        <is>
          <t>United States</t>
        </is>
      </c>
      <c r="H4842" t="n">
        <v>-6</v>
      </c>
      <c r="I4842" t="b">
        <v>0</v>
      </c>
      <c r="J4842" t="b">
        <v>0</v>
      </c>
      <c r="K4842" t="b">
        <v>0</v>
      </c>
      <c r="L4842" t="b">
        <v>0</v>
      </c>
      <c r="M4842" t="b">
        <v>1</v>
      </c>
      <c r="N4842">
        <f>IFERROR(INDEX('Company Hitlist'!$AA:$AA,MATCH(D4842,'Company Hitlist'!$A:$A,0)),)</f>
        <v/>
      </c>
      <c r="O4842">
        <f>IFERROR(INDEX('Company Hitlist'!$N:$N,MATCH(D4842,'Company Hitlist'!$A:$A,0)),)</f>
        <v/>
      </c>
      <c r="Q4842" t="inlineStr">
        <is>
          <t>todo</t>
        </is>
      </c>
    </row>
    <row r="4843">
      <c r="A4843" t="inlineStr">
        <is>
          <t>Andrew Kurman</t>
        </is>
      </c>
      <c r="B4843" t="inlineStr">
        <is>
          <t>Sponsor</t>
        </is>
      </c>
      <c r="C4843" t="inlineStr">
        <is>
          <t>Event Marketing Manager</t>
        </is>
      </c>
      <c r="D4843" t="inlineStr">
        <is>
          <t>Instawork</t>
        </is>
      </c>
      <c r="E4843" t="inlineStr">
        <is>
          <t>United States</t>
        </is>
      </c>
      <c r="H4843" t="n">
        <v>-6</v>
      </c>
      <c r="I4843" t="b">
        <v>0</v>
      </c>
      <c r="J4843" t="b">
        <v>0</v>
      </c>
      <c r="K4843" t="b">
        <v>0</v>
      </c>
      <c r="L4843" t="b">
        <v>0</v>
      </c>
      <c r="M4843" t="b">
        <v>1</v>
      </c>
      <c r="N4843">
        <f>IFERROR(INDEX('Company Hitlist'!$AA:$AA,MATCH(D4843,'Company Hitlist'!$A:$A,0)),)</f>
        <v/>
      </c>
      <c r="O4843">
        <f>IFERROR(INDEX('Company Hitlist'!$N:$N,MATCH(D4843,'Company Hitlist'!$A:$A,0)),)</f>
        <v/>
      </c>
      <c r="Q4843" t="inlineStr">
        <is>
          <t>todo</t>
        </is>
      </c>
    </row>
    <row r="4844">
      <c r="A4844" t="inlineStr">
        <is>
          <t>David Sullivan</t>
        </is>
      </c>
      <c r="B4844" t="inlineStr">
        <is>
          <t>Sponsor</t>
        </is>
      </c>
      <c r="C4844" t="inlineStr">
        <is>
          <t>Strategic Account Executive</t>
        </is>
      </c>
      <c r="D4844" t="inlineStr">
        <is>
          <t>Instawork</t>
        </is>
      </c>
      <c r="E4844" t="inlineStr">
        <is>
          <t>United States</t>
        </is>
      </c>
      <c r="H4844" t="n">
        <v>-6</v>
      </c>
      <c r="I4844" t="b">
        <v>0</v>
      </c>
      <c r="J4844" t="b">
        <v>0</v>
      </c>
      <c r="K4844" t="b">
        <v>0</v>
      </c>
      <c r="L4844" t="b">
        <v>0</v>
      </c>
      <c r="M4844" t="b">
        <v>1</v>
      </c>
      <c r="N4844">
        <f>IFERROR(INDEX('Company Hitlist'!$AA:$AA,MATCH(D4844,'Company Hitlist'!$A:$A,0)),)</f>
        <v/>
      </c>
      <c r="O4844">
        <f>IFERROR(INDEX('Company Hitlist'!$N:$N,MATCH(D4844,'Company Hitlist'!$A:$A,0)),)</f>
        <v/>
      </c>
      <c r="Q4844" t="inlineStr">
        <is>
          <t>todo</t>
        </is>
      </c>
    </row>
    <row r="4845">
      <c r="A4845" t="inlineStr">
        <is>
          <t>Joe Chiarenza</t>
        </is>
      </c>
      <c r="B4845" t="inlineStr">
        <is>
          <t>Sponsor</t>
        </is>
      </c>
      <c r="C4845" t="inlineStr">
        <is>
          <t>Strategic Account Executive</t>
        </is>
      </c>
      <c r="D4845" t="inlineStr">
        <is>
          <t>Instawork</t>
        </is>
      </c>
      <c r="E4845" t="inlineStr">
        <is>
          <t>United States</t>
        </is>
      </c>
      <c r="H4845" t="n">
        <v>-6</v>
      </c>
      <c r="I4845" t="b">
        <v>0</v>
      </c>
      <c r="J4845" t="b">
        <v>0</v>
      </c>
      <c r="K4845" t="b">
        <v>0</v>
      </c>
      <c r="L4845" t="b">
        <v>0</v>
      </c>
      <c r="M4845" t="b">
        <v>1</v>
      </c>
      <c r="N4845">
        <f>IFERROR(INDEX('Company Hitlist'!$AA:$AA,MATCH(D4845,'Company Hitlist'!$A:$A,0)),)</f>
        <v/>
      </c>
      <c r="O4845">
        <f>IFERROR(INDEX('Company Hitlist'!$N:$N,MATCH(D4845,'Company Hitlist'!$A:$A,0)),)</f>
        <v/>
      </c>
      <c r="Q4845" t="inlineStr">
        <is>
          <t>todo</t>
        </is>
      </c>
    </row>
    <row r="4846">
      <c r="A4846" t="inlineStr">
        <is>
          <t>Simon Messenger</t>
        </is>
      </c>
      <c r="B4846" t="inlineStr">
        <is>
          <t>Sponsor</t>
        </is>
      </c>
      <c r="C4846" t="inlineStr">
        <is>
          <t>Strategic Account Executive</t>
        </is>
      </c>
      <c r="D4846" t="inlineStr">
        <is>
          <t>Instawork</t>
        </is>
      </c>
      <c r="E4846" t="inlineStr">
        <is>
          <t>United States</t>
        </is>
      </c>
      <c r="H4846" t="n">
        <v>-6</v>
      </c>
      <c r="I4846" t="b">
        <v>0</v>
      </c>
      <c r="J4846" t="b">
        <v>0</v>
      </c>
      <c r="K4846" t="b">
        <v>0</v>
      </c>
      <c r="L4846" t="b">
        <v>0</v>
      </c>
      <c r="M4846" t="b">
        <v>1</v>
      </c>
      <c r="N4846">
        <f>IFERROR(INDEX('Company Hitlist'!$AA:$AA,MATCH(D4846,'Company Hitlist'!$A:$A,0)),)</f>
        <v/>
      </c>
      <c r="O4846">
        <f>IFERROR(INDEX('Company Hitlist'!$N:$N,MATCH(D4846,'Company Hitlist'!$A:$A,0)),)</f>
        <v/>
      </c>
      <c r="Q4846" t="inlineStr">
        <is>
          <t>todo</t>
        </is>
      </c>
    </row>
    <row r="4847">
      <c r="A4847" t="inlineStr">
        <is>
          <t>Tommy Sparling</t>
        </is>
      </c>
      <c r="B4847" t="inlineStr">
        <is>
          <t>Sponsor</t>
        </is>
      </c>
      <c r="C4847" t="inlineStr">
        <is>
          <t>Strategic Account Executive</t>
        </is>
      </c>
      <c r="D4847" t="inlineStr">
        <is>
          <t>Instawork</t>
        </is>
      </c>
      <c r="E4847" t="inlineStr">
        <is>
          <t>United States</t>
        </is>
      </c>
      <c r="H4847" t="n">
        <v>-6</v>
      </c>
      <c r="I4847" t="b">
        <v>0</v>
      </c>
      <c r="J4847" t="b">
        <v>0</v>
      </c>
      <c r="K4847" t="b">
        <v>0</v>
      </c>
      <c r="L4847" t="b">
        <v>0</v>
      </c>
      <c r="M4847" t="b">
        <v>1</v>
      </c>
      <c r="N4847">
        <f>IFERROR(INDEX('Company Hitlist'!$AA:$AA,MATCH(D4847,'Company Hitlist'!$A:$A,0)),)</f>
        <v/>
      </c>
      <c r="O4847">
        <f>IFERROR(INDEX('Company Hitlist'!$N:$N,MATCH(D4847,'Company Hitlist'!$A:$A,0)),)</f>
        <v/>
      </c>
      <c r="Q4847" t="inlineStr">
        <is>
          <t>todo</t>
        </is>
      </c>
    </row>
    <row r="4848">
      <c r="A4848" t="inlineStr">
        <is>
          <t>Jay Pagsanjan</t>
        </is>
      </c>
      <c r="B4848" t="inlineStr">
        <is>
          <t>Sponsor</t>
        </is>
      </c>
      <c r="C4848" t="inlineStr">
        <is>
          <t>Strategic Account Executive</t>
        </is>
      </c>
      <c r="D4848" t="inlineStr">
        <is>
          <t>Instawork</t>
        </is>
      </c>
      <c r="H4848" t="n">
        <v>-6</v>
      </c>
      <c r="I4848" t="b">
        <v>0</v>
      </c>
      <c r="J4848" t="b">
        <v>0</v>
      </c>
      <c r="K4848" t="b">
        <v>0</v>
      </c>
      <c r="L4848" t="b">
        <v>0</v>
      </c>
      <c r="M4848" t="b">
        <v>1</v>
      </c>
      <c r="N4848">
        <f>IFERROR(INDEX('Company Hitlist'!$AA:$AA,MATCH(D4848,'Company Hitlist'!$A:$A,0)),)</f>
        <v/>
      </c>
      <c r="O4848">
        <f>IFERROR(INDEX('Company Hitlist'!$N:$N,MATCH(D4848,'Company Hitlist'!$A:$A,0)),)</f>
        <v/>
      </c>
      <c r="Q4848" t="inlineStr">
        <is>
          <t>todo</t>
        </is>
      </c>
    </row>
    <row r="4849">
      <c r="A4849" t="inlineStr">
        <is>
          <t>Kelsey Miner</t>
        </is>
      </c>
      <c r="B4849" t="inlineStr">
        <is>
          <t>Sponsor</t>
        </is>
      </c>
      <c r="C4849" t="inlineStr">
        <is>
          <t>Enterprise Sales Director</t>
        </is>
      </c>
      <c r="D4849" t="inlineStr">
        <is>
          <t>Instawork</t>
        </is>
      </c>
      <c r="H4849" t="n">
        <v>-6</v>
      </c>
      <c r="I4849" t="b">
        <v>0</v>
      </c>
      <c r="J4849" t="b">
        <v>0</v>
      </c>
      <c r="K4849" t="b">
        <v>0</v>
      </c>
      <c r="L4849" t="b">
        <v>0</v>
      </c>
      <c r="M4849" t="b">
        <v>1</v>
      </c>
      <c r="N4849">
        <f>IFERROR(INDEX('Company Hitlist'!$AA:$AA,MATCH(D4849,'Company Hitlist'!$A:$A,0)),)</f>
        <v/>
      </c>
      <c r="O4849">
        <f>IFERROR(INDEX('Company Hitlist'!$N:$N,MATCH(D4849,'Company Hitlist'!$A:$A,0)),)</f>
        <v/>
      </c>
      <c r="Q4849" t="inlineStr">
        <is>
          <t>todo</t>
        </is>
      </c>
    </row>
    <row r="4850">
      <c r="A4850" t="inlineStr">
        <is>
          <t>Brian Steele</t>
        </is>
      </c>
      <c r="B4850" t="inlineStr">
        <is>
          <t>Sponsor</t>
        </is>
      </c>
      <c r="C4850" t="inlineStr">
        <is>
          <t>Enterprise Sales Director</t>
        </is>
      </c>
      <c r="D4850" t="inlineStr">
        <is>
          <t>IntelliTrans</t>
        </is>
      </c>
      <c r="E4850" t="inlineStr">
        <is>
          <t>United States</t>
        </is>
      </c>
      <c r="H4850" t="n">
        <v>-6</v>
      </c>
      <c r="I4850" t="b">
        <v>0</v>
      </c>
      <c r="J4850" t="b">
        <v>0</v>
      </c>
      <c r="K4850" t="b">
        <v>0</v>
      </c>
      <c r="L4850" t="b">
        <v>0</v>
      </c>
      <c r="M4850" t="b">
        <v>1</v>
      </c>
      <c r="N4850">
        <f>IFERROR(INDEX('Company Hitlist'!$AA:$AA,MATCH(D4850,'Company Hitlist'!$A:$A,0)),)</f>
        <v/>
      </c>
      <c r="O4850">
        <f>IFERROR(INDEX('Company Hitlist'!$N:$N,MATCH(D4850,'Company Hitlist'!$A:$A,0)),)</f>
        <v/>
      </c>
      <c r="Q4850" t="inlineStr">
        <is>
          <t>todo</t>
        </is>
      </c>
    </row>
    <row r="4851">
      <c r="A4851" t="inlineStr">
        <is>
          <t>Jake Brown</t>
        </is>
      </c>
      <c r="B4851" t="inlineStr">
        <is>
          <t>Sponsor</t>
        </is>
      </c>
      <c r="C4851" t="inlineStr">
        <is>
          <t>Enterprise Sales Director</t>
        </is>
      </c>
      <c r="D4851" t="inlineStr">
        <is>
          <t>IntelliTrans</t>
        </is>
      </c>
      <c r="H4851" t="n">
        <v>-6</v>
      </c>
      <c r="I4851" t="b">
        <v>0</v>
      </c>
      <c r="J4851" t="b">
        <v>0</v>
      </c>
      <c r="K4851" t="b">
        <v>0</v>
      </c>
      <c r="L4851" t="b">
        <v>0</v>
      </c>
      <c r="M4851" t="b">
        <v>1</v>
      </c>
      <c r="N4851">
        <f>IFERROR(INDEX('Company Hitlist'!$AA:$AA,MATCH(D4851,'Company Hitlist'!$A:$A,0)),)</f>
        <v/>
      </c>
      <c r="O4851">
        <f>IFERROR(INDEX('Company Hitlist'!$N:$N,MATCH(D4851,'Company Hitlist'!$A:$A,0)),)</f>
        <v/>
      </c>
      <c r="Q4851" t="inlineStr">
        <is>
          <t>todo</t>
        </is>
      </c>
    </row>
    <row r="4852">
      <c r="A4852" t="inlineStr">
        <is>
          <t>Collins Rigdon</t>
        </is>
      </c>
      <c r="B4852" t="inlineStr">
        <is>
          <t>Sponsor</t>
        </is>
      </c>
      <c r="C4852" t="inlineStr">
        <is>
          <t>Marketing Manager</t>
        </is>
      </c>
      <c r="D4852" t="inlineStr">
        <is>
          <t>IntelliTrans</t>
        </is>
      </c>
      <c r="H4852" t="n">
        <v>-6</v>
      </c>
      <c r="I4852" t="b">
        <v>0</v>
      </c>
      <c r="J4852" t="b">
        <v>0</v>
      </c>
      <c r="K4852" t="b">
        <v>0</v>
      </c>
      <c r="L4852" t="b">
        <v>0</v>
      </c>
      <c r="M4852" t="b">
        <v>1</v>
      </c>
      <c r="N4852">
        <f>IFERROR(INDEX('Company Hitlist'!$AA:$AA,MATCH(D4852,'Company Hitlist'!$A:$A,0)),)</f>
        <v/>
      </c>
      <c r="O4852">
        <f>IFERROR(INDEX('Company Hitlist'!$N:$N,MATCH(D4852,'Company Hitlist'!$A:$A,0)),)</f>
        <v/>
      </c>
      <c r="Q4852" t="inlineStr">
        <is>
          <t>todo</t>
        </is>
      </c>
    </row>
    <row r="4853">
      <c r="A4853" t="inlineStr">
        <is>
          <t>Chris Huber</t>
        </is>
      </c>
      <c r="B4853" t="inlineStr">
        <is>
          <t>Sponsor</t>
        </is>
      </c>
      <c r="C4853" t="inlineStr">
        <is>
          <t>Sales Manager</t>
        </is>
      </c>
      <c r="D4853" t="inlineStr">
        <is>
          <t>Interlake Mecalux</t>
        </is>
      </c>
      <c r="E4853" t="inlineStr">
        <is>
          <t>United States</t>
        </is>
      </c>
      <c r="H4853" t="n">
        <v>-6</v>
      </c>
      <c r="I4853" t="b">
        <v>0</v>
      </c>
      <c r="J4853" t="b">
        <v>0</v>
      </c>
      <c r="K4853" t="b">
        <v>0</v>
      </c>
      <c r="L4853" t="b">
        <v>0</v>
      </c>
      <c r="M4853" t="b">
        <v>1</v>
      </c>
      <c r="N4853">
        <f>IFERROR(INDEX('Company Hitlist'!$AA:$AA,MATCH(D4853,'Company Hitlist'!$A:$A,0)),)</f>
        <v/>
      </c>
      <c r="O4853">
        <f>IFERROR(INDEX('Company Hitlist'!$N:$N,MATCH(D4853,'Company Hitlist'!$A:$A,0)),)</f>
        <v/>
      </c>
      <c r="Q4853" t="inlineStr">
        <is>
          <t>todo</t>
        </is>
      </c>
    </row>
    <row r="4854">
      <c r="A4854" t="inlineStr">
        <is>
          <t>Maria Choy</t>
        </is>
      </c>
      <c r="B4854" t="inlineStr">
        <is>
          <t>Sponsor</t>
        </is>
      </c>
      <c r="C4854" t="inlineStr">
        <is>
          <t>Director of Sales</t>
        </is>
      </c>
      <c r="D4854" t="inlineStr">
        <is>
          <t>International Bridge</t>
        </is>
      </c>
      <c r="E4854" t="inlineStr">
        <is>
          <t>United States</t>
        </is>
      </c>
      <c r="H4854" t="n">
        <v>-6</v>
      </c>
      <c r="I4854" t="b">
        <v>0</v>
      </c>
      <c r="J4854" t="b">
        <v>0</v>
      </c>
      <c r="K4854" t="b">
        <v>0</v>
      </c>
      <c r="L4854" t="b">
        <v>0</v>
      </c>
      <c r="M4854" t="b">
        <v>1</v>
      </c>
      <c r="N4854">
        <f>IFERROR(INDEX('Company Hitlist'!$AA:$AA,MATCH(D4854,'Company Hitlist'!$A:$A,0)),)</f>
        <v/>
      </c>
      <c r="O4854">
        <f>IFERROR(INDEX('Company Hitlist'!$N:$N,MATCH(D4854,'Company Hitlist'!$A:$A,0)),)</f>
        <v/>
      </c>
      <c r="Q4854" t="inlineStr">
        <is>
          <t>todo</t>
        </is>
      </c>
    </row>
    <row r="4855">
      <c r="A4855" t="inlineStr">
        <is>
          <t>Joe Fabro</t>
        </is>
      </c>
      <c r="B4855" t="inlineStr">
        <is>
          <t>Sponsor</t>
        </is>
      </c>
      <c r="C4855" t="inlineStr">
        <is>
          <t>Marketing &amp; PR Manager</t>
        </is>
      </c>
      <c r="D4855" t="inlineStr">
        <is>
          <t>International Warehouse Logistics Association</t>
        </is>
      </c>
      <c r="H4855" t="n">
        <v>-6</v>
      </c>
      <c r="I4855" t="b">
        <v>0</v>
      </c>
      <c r="J4855" t="b">
        <v>0</v>
      </c>
      <c r="K4855" t="b">
        <v>0</v>
      </c>
      <c r="L4855" t="b">
        <v>0</v>
      </c>
      <c r="M4855" t="b">
        <v>1</v>
      </c>
      <c r="N4855">
        <f>IFERROR(INDEX('Company Hitlist'!$AA:$AA,MATCH(D4855,'Company Hitlist'!$A:$A,0)),)</f>
        <v/>
      </c>
      <c r="O4855">
        <f>IFERROR(INDEX('Company Hitlist'!$N:$N,MATCH(D4855,'Company Hitlist'!$A:$A,0)),)</f>
        <v/>
      </c>
      <c r="Q4855" t="inlineStr">
        <is>
          <t>todo</t>
        </is>
      </c>
    </row>
    <row r="4856">
      <c r="A4856" t="inlineStr">
        <is>
          <t>John Ennen</t>
        </is>
      </c>
      <c r="B4856" t="inlineStr">
        <is>
          <t>Sponsor</t>
        </is>
      </c>
      <c r="C4856" t="inlineStr">
        <is>
          <t>Senior Business Development Manager</t>
        </is>
      </c>
      <c r="D4856" t="inlineStr">
        <is>
          <t>Iron Mountain</t>
        </is>
      </c>
      <c r="H4856" t="n">
        <v>-6</v>
      </c>
      <c r="I4856" t="b">
        <v>0</v>
      </c>
      <c r="J4856" t="b">
        <v>0</v>
      </c>
      <c r="K4856" t="b">
        <v>0</v>
      </c>
      <c r="L4856" t="b">
        <v>0</v>
      </c>
      <c r="M4856" t="b">
        <v>1</v>
      </c>
      <c r="N4856">
        <f>IFERROR(INDEX('Company Hitlist'!$AA:$AA,MATCH(D4856,'Company Hitlist'!$A:$A,0)),)</f>
        <v/>
      </c>
      <c r="O4856">
        <f>IFERROR(INDEX('Company Hitlist'!$N:$N,MATCH(D4856,'Company Hitlist'!$A:$A,0)),)</f>
        <v/>
      </c>
      <c r="Q4856" t="inlineStr">
        <is>
          <t>todo</t>
        </is>
      </c>
    </row>
    <row r="4857">
      <c r="A4857" t="inlineStr">
        <is>
          <t>Rachel Martin</t>
        </is>
      </c>
      <c r="B4857" t="inlineStr">
        <is>
          <t>Sponsor</t>
        </is>
      </c>
      <c r="C4857" t="inlineStr">
        <is>
          <t>Senior Product Marketing Manager</t>
        </is>
      </c>
      <c r="D4857" t="inlineStr">
        <is>
          <t>Iron Mountain</t>
        </is>
      </c>
      <c r="H4857" t="n">
        <v>-6</v>
      </c>
      <c r="I4857" t="b">
        <v>0</v>
      </c>
      <c r="J4857" t="b">
        <v>0</v>
      </c>
      <c r="K4857" t="b">
        <v>0</v>
      </c>
      <c r="L4857" t="b">
        <v>0</v>
      </c>
      <c r="M4857" t="b">
        <v>1</v>
      </c>
      <c r="N4857">
        <f>IFERROR(INDEX('Company Hitlist'!$AA:$AA,MATCH(D4857,'Company Hitlist'!$A:$A,0)),)</f>
        <v/>
      </c>
      <c r="O4857">
        <f>IFERROR(INDEX('Company Hitlist'!$N:$N,MATCH(D4857,'Company Hitlist'!$A:$A,0)),)</f>
        <v/>
      </c>
      <c r="Q4857" t="inlineStr">
        <is>
          <t>todo</t>
        </is>
      </c>
    </row>
    <row r="4858">
      <c r="A4858" t="inlineStr">
        <is>
          <t>Jean-Marc Sorhondo</t>
        </is>
      </c>
      <c r="B4858" t="inlineStr">
        <is>
          <t>Sponsor</t>
        </is>
      </c>
      <c r="C4858" t="inlineStr">
        <is>
          <t>Enterprise Account Executive</t>
        </is>
      </c>
      <c r="D4858" t="inlineStr">
        <is>
          <t>Jitsu</t>
        </is>
      </c>
      <c r="E4858" t="inlineStr">
        <is>
          <t>United States</t>
        </is>
      </c>
      <c r="H4858" t="n">
        <v>-6</v>
      </c>
      <c r="I4858" t="b">
        <v>0</v>
      </c>
      <c r="J4858" t="b">
        <v>0</v>
      </c>
      <c r="K4858" t="b">
        <v>0</v>
      </c>
      <c r="L4858" t="b">
        <v>0</v>
      </c>
      <c r="M4858" t="b">
        <v>1</v>
      </c>
      <c r="N4858">
        <f>IFERROR(INDEX('Company Hitlist'!$AA:$AA,MATCH(D4858,'Company Hitlist'!$A:$A,0)),)</f>
        <v/>
      </c>
      <c r="O4858">
        <f>IFERROR(INDEX('Company Hitlist'!$N:$N,MATCH(D4858,'Company Hitlist'!$A:$A,0)),)</f>
        <v/>
      </c>
      <c r="Q4858" t="inlineStr">
        <is>
          <t>todo</t>
        </is>
      </c>
    </row>
    <row r="4859">
      <c r="A4859" t="inlineStr">
        <is>
          <t>Kamila Teplicki</t>
        </is>
      </c>
      <c r="B4859" t="inlineStr">
        <is>
          <t>Sponsor</t>
        </is>
      </c>
      <c r="C4859" t="inlineStr">
        <is>
          <t>Enterprise Account Executive</t>
        </is>
      </c>
      <c r="D4859" t="inlineStr">
        <is>
          <t>Jitsu</t>
        </is>
      </c>
      <c r="E4859" t="inlineStr">
        <is>
          <t>United States</t>
        </is>
      </c>
      <c r="H4859" t="n">
        <v>-6</v>
      </c>
      <c r="I4859" t="b">
        <v>0</v>
      </c>
      <c r="J4859" t="b">
        <v>0</v>
      </c>
      <c r="K4859" t="b">
        <v>0</v>
      </c>
      <c r="L4859" t="b">
        <v>0</v>
      </c>
      <c r="M4859" t="b">
        <v>1</v>
      </c>
      <c r="N4859">
        <f>IFERROR(INDEX('Company Hitlist'!$AA:$AA,MATCH(D4859,'Company Hitlist'!$A:$A,0)),)</f>
        <v/>
      </c>
      <c r="O4859">
        <f>IFERROR(INDEX('Company Hitlist'!$N:$N,MATCH(D4859,'Company Hitlist'!$A:$A,0)),)</f>
        <v/>
      </c>
      <c r="Q4859" t="inlineStr">
        <is>
          <t>todo</t>
        </is>
      </c>
    </row>
    <row r="4860">
      <c r="A4860" t="inlineStr">
        <is>
          <t>Pete Spisiak</t>
        </is>
      </c>
      <c r="B4860" t="inlineStr">
        <is>
          <t>Sponsor</t>
        </is>
      </c>
      <c r="C4860" t="inlineStr">
        <is>
          <t>Enterprise Account Executive</t>
        </is>
      </c>
      <c r="D4860" t="inlineStr">
        <is>
          <t>Jitsu</t>
        </is>
      </c>
      <c r="E4860" t="inlineStr">
        <is>
          <t>United States</t>
        </is>
      </c>
      <c r="H4860" t="n">
        <v>-6</v>
      </c>
      <c r="I4860" t="b">
        <v>0</v>
      </c>
      <c r="J4860" t="b">
        <v>0</v>
      </c>
      <c r="K4860" t="b">
        <v>0</v>
      </c>
      <c r="L4860" t="b">
        <v>0</v>
      </c>
      <c r="M4860" t="b">
        <v>1</v>
      </c>
      <c r="N4860">
        <f>IFERROR(INDEX('Company Hitlist'!$AA:$AA,MATCH(D4860,'Company Hitlist'!$A:$A,0)),)</f>
        <v/>
      </c>
      <c r="O4860">
        <f>IFERROR(INDEX('Company Hitlist'!$N:$N,MATCH(D4860,'Company Hitlist'!$A:$A,0)),)</f>
        <v/>
      </c>
      <c r="Q4860" t="inlineStr">
        <is>
          <t>todo</t>
        </is>
      </c>
    </row>
    <row r="4861">
      <c r="A4861" t="inlineStr">
        <is>
          <t>Alex Stone</t>
        </is>
      </c>
      <c r="B4861" t="inlineStr">
        <is>
          <t>Sponsor</t>
        </is>
      </c>
      <c r="C4861" t="inlineStr">
        <is>
          <t>Regional Sales Manager, North America</t>
        </is>
      </c>
      <c r="D4861" t="inlineStr">
        <is>
          <t>K.Hartwall</t>
        </is>
      </c>
      <c r="E4861" t="inlineStr">
        <is>
          <t>United States</t>
        </is>
      </c>
      <c r="H4861" t="n">
        <v>-6</v>
      </c>
      <c r="I4861" t="b">
        <v>0</v>
      </c>
      <c r="J4861" t="b">
        <v>0</v>
      </c>
      <c r="K4861" t="b">
        <v>0</v>
      </c>
      <c r="L4861" t="b">
        <v>0</v>
      </c>
      <c r="M4861" t="b">
        <v>1</v>
      </c>
      <c r="N4861">
        <f>IFERROR(INDEX('Company Hitlist'!$AA:$AA,MATCH(D4861,'Company Hitlist'!$A:$A,0)),)</f>
        <v/>
      </c>
      <c r="O4861">
        <f>IFERROR(INDEX('Company Hitlist'!$N:$N,MATCH(D4861,'Company Hitlist'!$A:$A,0)),)</f>
        <v/>
      </c>
      <c r="Q4861" t="inlineStr">
        <is>
          <t>todo</t>
        </is>
      </c>
    </row>
    <row r="4862">
      <c r="A4862" t="inlineStr">
        <is>
          <t>Courtney Jackson</t>
        </is>
      </c>
      <c r="B4862" t="inlineStr">
        <is>
          <t>Sponsor</t>
        </is>
      </c>
      <c r="C4862" t="inlineStr">
        <is>
          <t>Regional Sales Manager, North America</t>
        </is>
      </c>
      <c r="D4862" t="inlineStr">
        <is>
          <t>K.Hartwall</t>
        </is>
      </c>
      <c r="H4862" t="n">
        <v>-6</v>
      </c>
      <c r="I4862" t="b">
        <v>0</v>
      </c>
      <c r="J4862" t="b">
        <v>0</v>
      </c>
      <c r="K4862" t="b">
        <v>0</v>
      </c>
      <c r="L4862" t="b">
        <v>0</v>
      </c>
      <c r="M4862" t="b">
        <v>1</v>
      </c>
      <c r="N4862">
        <f>IFERROR(INDEX('Company Hitlist'!$AA:$AA,MATCH(D4862,'Company Hitlist'!$A:$A,0)),)</f>
        <v/>
      </c>
      <c r="O4862">
        <f>IFERROR(INDEX('Company Hitlist'!$N:$N,MATCH(D4862,'Company Hitlist'!$A:$A,0)),)</f>
        <v/>
      </c>
      <c r="Q4862" t="inlineStr">
        <is>
          <t>todo</t>
        </is>
      </c>
    </row>
    <row r="4863">
      <c r="A4863" t="inlineStr">
        <is>
          <t>Sam Stringham</t>
        </is>
      </c>
      <c r="B4863" t="inlineStr">
        <is>
          <t>Sponsor</t>
        </is>
      </c>
      <c r="C4863" t="inlineStr">
        <is>
          <t>Account Executive</t>
        </is>
      </c>
      <c r="D4863" t="inlineStr">
        <is>
          <t>KIBO</t>
        </is>
      </c>
      <c r="H4863" t="n">
        <v>-6</v>
      </c>
      <c r="I4863" t="b">
        <v>0</v>
      </c>
      <c r="J4863" t="b">
        <v>0</v>
      </c>
      <c r="K4863" t="b">
        <v>0</v>
      </c>
      <c r="L4863" t="b">
        <v>0</v>
      </c>
      <c r="M4863" t="b">
        <v>1</v>
      </c>
      <c r="N4863">
        <f>IFERROR(INDEX('Company Hitlist'!$AA:$AA,MATCH(D4863,'Company Hitlist'!$A:$A,0)),)</f>
        <v/>
      </c>
      <c r="O4863">
        <f>IFERROR(INDEX('Company Hitlist'!$N:$N,MATCH(D4863,'Company Hitlist'!$A:$A,0)),)</f>
        <v/>
      </c>
      <c r="Q4863" t="inlineStr">
        <is>
          <t>todo</t>
        </is>
      </c>
    </row>
    <row r="4864">
      <c r="A4864" t="inlineStr">
        <is>
          <t>Anthony Crow</t>
        </is>
      </c>
      <c r="B4864" t="inlineStr">
        <is>
          <t>Sponsor</t>
        </is>
      </c>
      <c r="C4864" t="inlineStr">
        <is>
          <t>Business Development Executive</t>
        </is>
      </c>
      <c r="D4864" t="inlineStr">
        <is>
          <t>KIBO</t>
        </is>
      </c>
      <c r="H4864" t="n">
        <v>-6</v>
      </c>
      <c r="I4864" t="b">
        <v>0</v>
      </c>
      <c r="J4864" t="b">
        <v>0</v>
      </c>
      <c r="K4864" t="b">
        <v>0</v>
      </c>
      <c r="L4864" t="b">
        <v>0</v>
      </c>
      <c r="M4864" t="b">
        <v>1</v>
      </c>
      <c r="N4864">
        <f>IFERROR(INDEX('Company Hitlist'!$AA:$AA,MATCH(D4864,'Company Hitlist'!$A:$A,0)),)</f>
        <v/>
      </c>
      <c r="O4864">
        <f>IFERROR(INDEX('Company Hitlist'!$N:$N,MATCH(D4864,'Company Hitlist'!$A:$A,0)),)</f>
        <v/>
      </c>
      <c r="Q4864" t="inlineStr">
        <is>
          <t>todo</t>
        </is>
      </c>
    </row>
    <row r="4865">
      <c r="A4865" t="inlineStr">
        <is>
          <t>Mike Treat</t>
        </is>
      </c>
      <c r="B4865" t="inlineStr">
        <is>
          <t>Sponsor</t>
        </is>
      </c>
      <c r="C4865" t="inlineStr">
        <is>
          <t>Enterprise Sales Executive</t>
        </is>
      </c>
      <c r="D4865" t="inlineStr">
        <is>
          <t>Kaleris</t>
        </is>
      </c>
      <c r="H4865" t="n">
        <v>-6</v>
      </c>
      <c r="I4865" t="b">
        <v>0</v>
      </c>
      <c r="J4865" t="b">
        <v>0</v>
      </c>
      <c r="K4865" t="b">
        <v>0</v>
      </c>
      <c r="L4865" t="b">
        <v>0</v>
      </c>
      <c r="M4865" t="b">
        <v>1</v>
      </c>
      <c r="N4865">
        <f>IFERROR(INDEX('Company Hitlist'!$AA:$AA,MATCH(D4865,'Company Hitlist'!$A:$A,0)),)</f>
        <v/>
      </c>
      <c r="O4865">
        <f>IFERROR(INDEX('Company Hitlist'!$N:$N,MATCH(D4865,'Company Hitlist'!$A:$A,0)),)</f>
        <v/>
      </c>
      <c r="Q4865" t="inlineStr">
        <is>
          <t>todo</t>
        </is>
      </c>
    </row>
    <row r="4866">
      <c r="A4866" t="inlineStr">
        <is>
          <t>Jake Thomason</t>
        </is>
      </c>
      <c r="B4866" t="inlineStr">
        <is>
          <t>Sponsor</t>
        </is>
      </c>
      <c r="C4866" t="inlineStr">
        <is>
          <t>Account Executive</t>
        </is>
      </c>
      <c r="D4866" t="inlineStr">
        <is>
          <t>Kaleris</t>
        </is>
      </c>
      <c r="H4866" t="n">
        <v>-6</v>
      </c>
      <c r="I4866" t="b">
        <v>0</v>
      </c>
      <c r="J4866" t="b">
        <v>0</v>
      </c>
      <c r="K4866" t="b">
        <v>0</v>
      </c>
      <c r="L4866" t="b">
        <v>0</v>
      </c>
      <c r="M4866" t="b">
        <v>1</v>
      </c>
      <c r="N4866">
        <f>IFERROR(INDEX('Company Hitlist'!$AA:$AA,MATCH(D4866,'Company Hitlist'!$A:$A,0)),)</f>
        <v/>
      </c>
      <c r="O4866">
        <f>IFERROR(INDEX('Company Hitlist'!$N:$N,MATCH(D4866,'Company Hitlist'!$A:$A,0)),)</f>
        <v/>
      </c>
      <c r="Q4866" t="inlineStr">
        <is>
          <t>todo</t>
        </is>
      </c>
    </row>
    <row r="4867">
      <c r="A4867" t="inlineStr">
        <is>
          <t>Darius Landrum</t>
        </is>
      </c>
      <c r="B4867" t="inlineStr">
        <is>
          <t>Sponsor</t>
        </is>
      </c>
      <c r="C4867" t="inlineStr">
        <is>
          <t>Senior Product Marketing Manager</t>
        </is>
      </c>
      <c r="D4867" t="inlineStr">
        <is>
          <t>Kaleris</t>
        </is>
      </c>
      <c r="H4867" t="n">
        <v>-6</v>
      </c>
      <c r="I4867" t="b">
        <v>0</v>
      </c>
      <c r="J4867" t="b">
        <v>0</v>
      </c>
      <c r="K4867" t="b">
        <v>0</v>
      </c>
      <c r="L4867" t="b">
        <v>0</v>
      </c>
      <c r="M4867" t="b">
        <v>1</v>
      </c>
      <c r="N4867">
        <f>IFERROR(INDEX('Company Hitlist'!$AA:$AA,MATCH(D4867,'Company Hitlist'!$A:$A,0)),)</f>
        <v/>
      </c>
      <c r="O4867">
        <f>IFERROR(INDEX('Company Hitlist'!$N:$N,MATCH(D4867,'Company Hitlist'!$A:$A,0)),)</f>
        <v/>
      </c>
      <c r="Q4867" t="inlineStr">
        <is>
          <t>todo</t>
        </is>
      </c>
    </row>
    <row r="4868">
      <c r="A4868" t="inlineStr">
        <is>
          <t>Patricia Warnock</t>
        </is>
      </c>
      <c r="B4868" t="inlineStr">
        <is>
          <t>Sponsor</t>
        </is>
      </c>
      <c r="C4868" t="inlineStr">
        <is>
          <t>Business Development Manager US</t>
        </is>
      </c>
      <c r="D4868" t="inlineStr">
        <is>
          <t>Katoen Natie</t>
        </is>
      </c>
      <c r="H4868" t="n">
        <v>-6</v>
      </c>
      <c r="I4868" t="b">
        <v>0</v>
      </c>
      <c r="J4868" t="b">
        <v>0</v>
      </c>
      <c r="K4868" t="b">
        <v>0</v>
      </c>
      <c r="L4868" t="b">
        <v>0</v>
      </c>
      <c r="M4868" t="b">
        <v>1</v>
      </c>
      <c r="N4868">
        <f>IFERROR(INDEX('Company Hitlist'!$AA:$AA,MATCH(D4868,'Company Hitlist'!$A:$A,0)),)</f>
        <v/>
      </c>
      <c r="O4868">
        <f>IFERROR(INDEX('Company Hitlist'!$N:$N,MATCH(D4868,'Company Hitlist'!$A:$A,0)),)</f>
        <v/>
      </c>
      <c r="Q4868" t="inlineStr">
        <is>
          <t>todo</t>
        </is>
      </c>
    </row>
    <row r="4869">
      <c r="A4869" t="inlineStr">
        <is>
          <t>Kayla Pettenger</t>
        </is>
      </c>
      <c r="B4869" t="inlineStr">
        <is>
          <t>Sponsor</t>
        </is>
      </c>
      <c r="C4869" t="inlineStr">
        <is>
          <t>Enterprise Account Executive</t>
        </is>
      </c>
      <c r="D4869" t="inlineStr">
        <is>
          <t>Keelvar</t>
        </is>
      </c>
      <c r="E4869" t="inlineStr">
        <is>
          <t>United States</t>
        </is>
      </c>
      <c r="H4869" t="n">
        <v>-6</v>
      </c>
      <c r="I4869" t="b">
        <v>0</v>
      </c>
      <c r="J4869" t="b">
        <v>0</v>
      </c>
      <c r="K4869" t="b">
        <v>0</v>
      </c>
      <c r="L4869" t="b">
        <v>0</v>
      </c>
      <c r="M4869" t="b">
        <v>1</v>
      </c>
      <c r="N4869">
        <f>IFERROR(INDEX('Company Hitlist'!$AA:$AA,MATCH(D4869,'Company Hitlist'!$A:$A,0)),)</f>
        <v/>
      </c>
      <c r="O4869">
        <f>IFERROR(INDEX('Company Hitlist'!$N:$N,MATCH(D4869,'Company Hitlist'!$A:$A,0)),)</f>
        <v/>
      </c>
      <c r="Q4869" t="inlineStr">
        <is>
          <t>todo</t>
        </is>
      </c>
    </row>
    <row r="4870">
      <c r="A4870" t="inlineStr">
        <is>
          <t>Charlie V. Pisciotta</t>
        </is>
      </c>
      <c r="B4870" t="inlineStr">
        <is>
          <t>Sponsor</t>
        </is>
      </c>
      <c r="C4870" t="inlineStr">
        <is>
          <t>Business Development</t>
        </is>
      </c>
      <c r="D4870" t="inlineStr">
        <is>
          <t>Key Software Systems</t>
        </is>
      </c>
      <c r="H4870" t="n">
        <v>-6</v>
      </c>
      <c r="I4870" t="b">
        <v>0</v>
      </c>
      <c r="J4870" t="b">
        <v>0</v>
      </c>
      <c r="K4870" t="b">
        <v>0</v>
      </c>
      <c r="L4870" t="b">
        <v>0</v>
      </c>
      <c r="M4870" t="b">
        <v>1</v>
      </c>
      <c r="N4870">
        <f>IFERROR(INDEX('Company Hitlist'!$AA:$AA,MATCH(D4870,'Company Hitlist'!$A:$A,0)),)</f>
        <v/>
      </c>
      <c r="O4870">
        <f>IFERROR(INDEX('Company Hitlist'!$N:$N,MATCH(D4870,'Company Hitlist'!$A:$A,0)),)</f>
        <v/>
      </c>
      <c r="Q4870" t="inlineStr">
        <is>
          <t>todo</t>
        </is>
      </c>
    </row>
    <row r="4871">
      <c r="A4871" t="inlineStr">
        <is>
          <t>Jim Reilly</t>
        </is>
      </c>
      <c r="B4871" t="inlineStr">
        <is>
          <t>Sponsor</t>
        </is>
      </c>
      <c r="C4871" t="inlineStr">
        <is>
          <t>RVP, Sales, North America Central</t>
        </is>
      </c>
      <c r="D4871" t="inlineStr">
        <is>
          <t>Kinaxis</t>
        </is>
      </c>
      <c r="E4871" t="inlineStr">
        <is>
          <t>United States</t>
        </is>
      </c>
      <c r="H4871" t="n">
        <v>-6</v>
      </c>
      <c r="I4871" t="b">
        <v>0</v>
      </c>
      <c r="J4871" t="b">
        <v>0</v>
      </c>
      <c r="K4871" t="b">
        <v>0</v>
      </c>
      <c r="L4871" t="b">
        <v>0</v>
      </c>
      <c r="M4871" t="b">
        <v>1</v>
      </c>
      <c r="N4871">
        <f>IFERROR(INDEX('Company Hitlist'!$AA:$AA,MATCH(D4871,'Company Hitlist'!$A:$A,0)),)</f>
        <v/>
      </c>
      <c r="O4871">
        <f>IFERROR(INDEX('Company Hitlist'!$N:$N,MATCH(D4871,'Company Hitlist'!$A:$A,0)),)</f>
        <v/>
      </c>
      <c r="Q4871" t="inlineStr">
        <is>
          <t>todo</t>
        </is>
      </c>
    </row>
    <row r="4872">
      <c r="A4872" t="inlineStr">
        <is>
          <t>Tom Rhoads</t>
        </is>
      </c>
      <c r="B4872" t="inlineStr">
        <is>
          <t>Sponsor</t>
        </is>
      </c>
      <c r="C4872" t="inlineStr">
        <is>
          <t>Director, SCE Sales</t>
        </is>
      </c>
      <c r="D4872" t="inlineStr">
        <is>
          <t>Kinaxis</t>
        </is>
      </c>
      <c r="E4872" t="inlineStr">
        <is>
          <t>United States</t>
        </is>
      </c>
      <c r="H4872" t="n">
        <v>-6</v>
      </c>
      <c r="I4872" t="b">
        <v>0</v>
      </c>
      <c r="J4872" t="b">
        <v>0</v>
      </c>
      <c r="K4872" t="b">
        <v>0</v>
      </c>
      <c r="L4872" t="b">
        <v>0</v>
      </c>
      <c r="M4872" t="b">
        <v>1</v>
      </c>
      <c r="N4872">
        <f>IFERROR(INDEX('Company Hitlist'!$AA:$AA,MATCH(D4872,'Company Hitlist'!$A:$A,0)),)</f>
        <v/>
      </c>
      <c r="O4872">
        <f>IFERROR(INDEX('Company Hitlist'!$N:$N,MATCH(D4872,'Company Hitlist'!$A:$A,0)),)</f>
        <v/>
      </c>
      <c r="Q4872" t="inlineStr">
        <is>
          <t>todo</t>
        </is>
      </c>
    </row>
    <row r="4873">
      <c r="A4873" t="inlineStr">
        <is>
          <t>Paul Mullen</t>
        </is>
      </c>
      <c r="B4873" t="inlineStr">
        <is>
          <t>Sponsor</t>
        </is>
      </c>
      <c r="C4873" t="inlineStr">
        <is>
          <t>Strategic Account Executive</t>
        </is>
      </c>
      <c r="D4873" t="inlineStr">
        <is>
          <t>Kinaxis</t>
        </is>
      </c>
      <c r="E4873" t="inlineStr">
        <is>
          <t>United States</t>
        </is>
      </c>
      <c r="H4873" t="n">
        <v>-6</v>
      </c>
      <c r="I4873" t="b">
        <v>0</v>
      </c>
      <c r="J4873" t="b">
        <v>0</v>
      </c>
      <c r="K4873" t="b">
        <v>0</v>
      </c>
      <c r="L4873" t="b">
        <v>0</v>
      </c>
      <c r="M4873" t="b">
        <v>1</v>
      </c>
      <c r="N4873">
        <f>IFERROR(INDEX('Company Hitlist'!$AA:$AA,MATCH(D4873,'Company Hitlist'!$A:$A,0)),)</f>
        <v/>
      </c>
      <c r="O4873">
        <f>IFERROR(INDEX('Company Hitlist'!$N:$N,MATCH(D4873,'Company Hitlist'!$A:$A,0)),)</f>
        <v/>
      </c>
      <c r="Q4873" t="inlineStr">
        <is>
          <t>todo</t>
        </is>
      </c>
    </row>
    <row r="4874">
      <c r="A4874" t="inlineStr">
        <is>
          <t>Vikki VanDuyne</t>
        </is>
      </c>
      <c r="B4874" t="inlineStr">
        <is>
          <t>Sponsor</t>
        </is>
      </c>
      <c r="C4874" t="inlineStr">
        <is>
          <t>Business Development Representative</t>
        </is>
      </c>
      <c r="D4874" t="inlineStr">
        <is>
          <t>Kinaxis</t>
        </is>
      </c>
      <c r="E4874" t="inlineStr">
        <is>
          <t>United States</t>
        </is>
      </c>
      <c r="H4874" t="n">
        <v>-6</v>
      </c>
      <c r="I4874" t="b">
        <v>0</v>
      </c>
      <c r="J4874" t="b">
        <v>0</v>
      </c>
      <c r="K4874" t="b">
        <v>0</v>
      </c>
      <c r="L4874" t="b">
        <v>0</v>
      </c>
      <c r="M4874" t="b">
        <v>1</v>
      </c>
      <c r="N4874">
        <f>IFERROR(INDEX('Company Hitlist'!$AA:$AA,MATCH(D4874,'Company Hitlist'!$A:$A,0)),)</f>
        <v/>
      </c>
      <c r="O4874">
        <f>IFERROR(INDEX('Company Hitlist'!$N:$N,MATCH(D4874,'Company Hitlist'!$A:$A,0)),)</f>
        <v/>
      </c>
      <c r="Q4874" t="inlineStr">
        <is>
          <t>todo</t>
        </is>
      </c>
    </row>
    <row r="4875">
      <c r="A4875" t="inlineStr">
        <is>
          <t>Jeffrey Korengold</t>
        </is>
      </c>
      <c r="B4875" t="inlineStr">
        <is>
          <t>Sponsor</t>
        </is>
      </c>
      <c r="C4875" t="inlineStr">
        <is>
          <t>Sales Enablement Manager</t>
        </is>
      </c>
      <c r="D4875" t="inlineStr">
        <is>
          <t>Kleinschmidt Inc.</t>
        </is>
      </c>
      <c r="E4875" t="inlineStr">
        <is>
          <t>United States</t>
        </is>
      </c>
      <c r="H4875" t="n">
        <v>-6</v>
      </c>
      <c r="I4875" t="b">
        <v>0</v>
      </c>
      <c r="J4875" t="b">
        <v>0</v>
      </c>
      <c r="K4875" t="b">
        <v>0</v>
      </c>
      <c r="L4875" t="b">
        <v>0</v>
      </c>
      <c r="M4875" t="b">
        <v>1</v>
      </c>
      <c r="N4875">
        <f>IFERROR(INDEX('Company Hitlist'!$AA:$AA,MATCH(D4875,'Company Hitlist'!$A:$A,0)),)</f>
        <v/>
      </c>
      <c r="O4875">
        <f>IFERROR(INDEX('Company Hitlist'!$N:$N,MATCH(D4875,'Company Hitlist'!$A:$A,0)),)</f>
        <v/>
      </c>
      <c r="Q4875" t="inlineStr">
        <is>
          <t>todo</t>
        </is>
      </c>
    </row>
    <row r="4876">
      <c r="A4876" t="inlineStr">
        <is>
          <t>Whitney Cowell</t>
        </is>
      </c>
      <c r="B4876" t="inlineStr">
        <is>
          <t>Sponsor</t>
        </is>
      </c>
      <c r="C4876" t="inlineStr">
        <is>
          <t>Revenue Marketing Manager</t>
        </is>
      </c>
      <c r="D4876" t="inlineStr">
        <is>
          <t>Knight-Swift Warehousing &amp; Fulfillment</t>
        </is>
      </c>
      <c r="E4876" t="inlineStr">
        <is>
          <t>United States</t>
        </is>
      </c>
      <c r="H4876" t="n">
        <v>-6</v>
      </c>
      <c r="I4876" t="b">
        <v>0</v>
      </c>
      <c r="J4876" t="b">
        <v>0</v>
      </c>
      <c r="K4876" t="b">
        <v>0</v>
      </c>
      <c r="L4876" t="b">
        <v>0</v>
      </c>
      <c r="M4876" t="b">
        <v>1</v>
      </c>
      <c r="N4876">
        <f>IFERROR(INDEX('Company Hitlist'!$AA:$AA,MATCH(D4876,'Company Hitlist'!$A:$A,0)),)</f>
        <v/>
      </c>
      <c r="O4876">
        <f>IFERROR(INDEX('Company Hitlist'!$N:$N,MATCH(D4876,'Company Hitlist'!$A:$A,0)),)</f>
        <v/>
      </c>
      <c r="Q4876" t="inlineStr">
        <is>
          <t>todo</t>
        </is>
      </c>
    </row>
    <row r="4877">
      <c r="A4877" t="inlineStr">
        <is>
          <t>Julian Queirolo</t>
        </is>
      </c>
      <c r="B4877" t="inlineStr">
        <is>
          <t>Sponsor</t>
        </is>
      </c>
      <c r="C4877" t="inlineStr">
        <is>
          <t>Director of Sales</t>
        </is>
      </c>
      <c r="D4877" t="inlineStr">
        <is>
          <t>Kovix</t>
        </is>
      </c>
      <c r="E4877" t="inlineStr">
        <is>
          <t>Argentina</t>
        </is>
      </c>
      <c r="H4877" t="n">
        <v>-6</v>
      </c>
      <c r="I4877" t="b">
        <v>0</v>
      </c>
      <c r="J4877" t="b">
        <v>0</v>
      </c>
      <c r="K4877" t="b">
        <v>0</v>
      </c>
      <c r="L4877" t="b">
        <v>0</v>
      </c>
      <c r="M4877" t="b">
        <v>1</v>
      </c>
      <c r="N4877">
        <f>IFERROR(INDEX('Company Hitlist'!$AA:$AA,MATCH(D4877,'Company Hitlist'!$A:$A,0)),)</f>
        <v/>
      </c>
      <c r="O4877">
        <f>IFERROR(INDEX('Company Hitlist'!$N:$N,MATCH(D4877,'Company Hitlist'!$A:$A,0)),)</f>
        <v/>
      </c>
      <c r="Q4877" t="inlineStr">
        <is>
          <t>todo</t>
        </is>
      </c>
    </row>
    <row r="4878">
      <c r="A4878" t="inlineStr">
        <is>
          <t>Lorena Horowicz</t>
        </is>
      </c>
      <c r="B4878" t="inlineStr">
        <is>
          <t>Sponsor</t>
        </is>
      </c>
      <c r="C4878" t="inlineStr">
        <is>
          <t>Marketing Manager</t>
        </is>
      </c>
      <c r="D4878" t="inlineStr">
        <is>
          <t>Kovix</t>
        </is>
      </c>
      <c r="E4878" t="inlineStr">
        <is>
          <t>United States</t>
        </is>
      </c>
      <c r="H4878" t="n">
        <v>-6</v>
      </c>
      <c r="I4878" t="b">
        <v>0</v>
      </c>
      <c r="J4878" t="b">
        <v>0</v>
      </c>
      <c r="K4878" t="b">
        <v>0</v>
      </c>
      <c r="L4878" t="b">
        <v>0</v>
      </c>
      <c r="M4878" t="b">
        <v>1</v>
      </c>
      <c r="N4878">
        <f>IFERROR(INDEX('Company Hitlist'!$AA:$AA,MATCH(D4878,'Company Hitlist'!$A:$A,0)),)</f>
        <v/>
      </c>
      <c r="O4878">
        <f>IFERROR(INDEX('Company Hitlist'!$N:$N,MATCH(D4878,'Company Hitlist'!$A:$A,0)),)</f>
        <v/>
      </c>
      <c r="Q4878" t="inlineStr">
        <is>
          <t>todo</t>
        </is>
      </c>
    </row>
    <row r="4879">
      <c r="A4879" t="inlineStr">
        <is>
          <t>Jay Fox</t>
        </is>
      </c>
      <c r="B4879" t="inlineStr">
        <is>
          <t>Sponsor</t>
        </is>
      </c>
      <c r="C4879" t="inlineStr">
        <is>
          <t>SR National Sales Executive</t>
        </is>
      </c>
      <c r="D4879" t="inlineStr">
        <is>
          <t>LJM</t>
        </is>
      </c>
      <c r="E4879" t="inlineStr">
        <is>
          <t>United States</t>
        </is>
      </c>
      <c r="H4879" t="n">
        <v>-6</v>
      </c>
      <c r="I4879" t="b">
        <v>0</v>
      </c>
      <c r="J4879" t="b">
        <v>0</v>
      </c>
      <c r="K4879" t="b">
        <v>0</v>
      </c>
      <c r="L4879" t="b">
        <v>0</v>
      </c>
      <c r="M4879" t="b">
        <v>1</v>
      </c>
      <c r="N4879">
        <f>IFERROR(INDEX('Company Hitlist'!$AA:$AA,MATCH(D4879,'Company Hitlist'!$A:$A,0)),)</f>
        <v/>
      </c>
      <c r="O4879">
        <f>IFERROR(INDEX('Company Hitlist'!$N:$N,MATCH(D4879,'Company Hitlist'!$A:$A,0)),)</f>
        <v/>
      </c>
      <c r="Q4879" t="inlineStr">
        <is>
          <t>todo</t>
        </is>
      </c>
    </row>
    <row r="4880">
      <c r="A4880" t="inlineStr">
        <is>
          <t>Jonathan Wiener</t>
        </is>
      </c>
      <c r="B4880" t="inlineStr">
        <is>
          <t>Sponsor</t>
        </is>
      </c>
      <c r="C4880" t="inlineStr">
        <is>
          <t>SR National Sales Executive</t>
        </is>
      </c>
      <c r="D4880" t="inlineStr">
        <is>
          <t>LJM</t>
        </is>
      </c>
      <c r="E4880" t="inlineStr">
        <is>
          <t>United States</t>
        </is>
      </c>
      <c r="H4880" t="n">
        <v>-6</v>
      </c>
      <c r="I4880" t="b">
        <v>0</v>
      </c>
      <c r="J4880" t="b">
        <v>0</v>
      </c>
      <c r="K4880" t="b">
        <v>0</v>
      </c>
      <c r="L4880" t="b">
        <v>0</v>
      </c>
      <c r="M4880" t="b">
        <v>1</v>
      </c>
      <c r="N4880">
        <f>IFERROR(INDEX('Company Hitlist'!$AA:$AA,MATCH(D4880,'Company Hitlist'!$A:$A,0)),)</f>
        <v/>
      </c>
      <c r="O4880">
        <f>IFERROR(INDEX('Company Hitlist'!$N:$N,MATCH(D4880,'Company Hitlist'!$A:$A,0)),)</f>
        <v/>
      </c>
      <c r="Q4880" t="inlineStr">
        <is>
          <t>todo</t>
        </is>
      </c>
    </row>
    <row r="4881">
      <c r="A4881" t="inlineStr">
        <is>
          <t>Kassandra Najar</t>
        </is>
      </c>
      <c r="B4881" t="inlineStr">
        <is>
          <t>Sponsor</t>
        </is>
      </c>
      <c r="C4881" t="inlineStr">
        <is>
          <t>Sales Manager</t>
        </is>
      </c>
      <c r="D4881" t="inlineStr">
        <is>
          <t>Lateral Fulfillment LLC</t>
        </is>
      </c>
      <c r="E4881" t="inlineStr">
        <is>
          <t>United States</t>
        </is>
      </c>
      <c r="H4881" t="n">
        <v>-6</v>
      </c>
      <c r="I4881" t="b">
        <v>0</v>
      </c>
      <c r="J4881" t="b">
        <v>0</v>
      </c>
      <c r="K4881" t="b">
        <v>0</v>
      </c>
      <c r="L4881" t="b">
        <v>0</v>
      </c>
      <c r="M4881" t="b">
        <v>1</v>
      </c>
      <c r="N4881">
        <f>IFERROR(INDEX('Company Hitlist'!$AA:$AA,MATCH(D4881,'Company Hitlist'!$A:$A,0)),)</f>
        <v/>
      </c>
      <c r="O4881">
        <f>IFERROR(INDEX('Company Hitlist'!$N:$N,MATCH(D4881,'Company Hitlist'!$A:$A,0)),)</f>
        <v/>
      </c>
      <c r="Q4881" t="inlineStr">
        <is>
          <t>todo</t>
        </is>
      </c>
    </row>
    <row r="4882">
      <c r="A4882" t="inlineStr">
        <is>
          <t>Juliana Castro</t>
        </is>
      </c>
      <c r="B4882" t="inlineStr">
        <is>
          <t>Sponsor</t>
        </is>
      </c>
      <c r="C4882" t="inlineStr">
        <is>
          <t>Sales Development Manager</t>
        </is>
      </c>
      <c r="D4882" t="inlineStr">
        <is>
          <t>Lean Solutions Group</t>
        </is>
      </c>
      <c r="E4882" t="inlineStr">
        <is>
          <t>United States</t>
        </is>
      </c>
      <c r="H4882" t="n">
        <v>-6</v>
      </c>
      <c r="I4882" t="b">
        <v>0</v>
      </c>
      <c r="J4882" t="b">
        <v>0</v>
      </c>
      <c r="K4882" t="b">
        <v>0</v>
      </c>
      <c r="L4882" t="b">
        <v>0</v>
      </c>
      <c r="M4882" t="b">
        <v>1</v>
      </c>
      <c r="N4882">
        <f>IFERROR(INDEX('Company Hitlist'!$AA:$AA,MATCH(D4882,'Company Hitlist'!$A:$A,0)),)</f>
        <v/>
      </c>
      <c r="O4882">
        <f>IFERROR(INDEX('Company Hitlist'!$N:$N,MATCH(D4882,'Company Hitlist'!$A:$A,0)),)</f>
        <v/>
      </c>
      <c r="Q4882" t="inlineStr">
        <is>
          <t>todo</t>
        </is>
      </c>
    </row>
    <row r="4883">
      <c r="A4883" t="inlineStr">
        <is>
          <t>Laura Gonzalez</t>
        </is>
      </c>
      <c r="B4883" t="inlineStr">
        <is>
          <t>Sponsor</t>
        </is>
      </c>
      <c r="C4883" t="inlineStr">
        <is>
          <t>Sales Development Representative</t>
        </is>
      </c>
      <c r="D4883" t="inlineStr">
        <is>
          <t>Lean Solutions Group</t>
        </is>
      </c>
      <c r="E4883" t="inlineStr">
        <is>
          <t>United States</t>
        </is>
      </c>
      <c r="H4883" t="n">
        <v>-6</v>
      </c>
      <c r="I4883" t="b">
        <v>0</v>
      </c>
      <c r="J4883" t="b">
        <v>0</v>
      </c>
      <c r="K4883" t="b">
        <v>0</v>
      </c>
      <c r="L4883" t="b">
        <v>0</v>
      </c>
      <c r="M4883" t="b">
        <v>1</v>
      </c>
      <c r="N4883">
        <f>IFERROR(INDEX('Company Hitlist'!$AA:$AA,MATCH(D4883,'Company Hitlist'!$A:$A,0)),)</f>
        <v/>
      </c>
      <c r="O4883">
        <f>IFERROR(INDEX('Company Hitlist'!$N:$N,MATCH(D4883,'Company Hitlist'!$A:$A,0)),)</f>
        <v/>
      </c>
      <c r="Q4883" t="inlineStr">
        <is>
          <t>todo</t>
        </is>
      </c>
    </row>
    <row r="4884">
      <c r="A4884" t="inlineStr">
        <is>
          <t>Natalia Giraldo</t>
        </is>
      </c>
      <c r="B4884" t="inlineStr">
        <is>
          <t>Sponsor</t>
        </is>
      </c>
      <c r="C4884" t="inlineStr">
        <is>
          <t>Account Executive</t>
        </is>
      </c>
      <c r="D4884" t="inlineStr">
        <is>
          <t>Lean Solutions Group</t>
        </is>
      </c>
      <c r="E4884" t="inlineStr">
        <is>
          <t>United States</t>
        </is>
      </c>
      <c r="H4884" t="n">
        <v>-6</v>
      </c>
      <c r="I4884" t="b">
        <v>0</v>
      </c>
      <c r="J4884" t="b">
        <v>0</v>
      </c>
      <c r="K4884" t="b">
        <v>0</v>
      </c>
      <c r="L4884" t="b">
        <v>0</v>
      </c>
      <c r="M4884" t="b">
        <v>1</v>
      </c>
      <c r="N4884">
        <f>IFERROR(INDEX('Company Hitlist'!$AA:$AA,MATCH(D4884,'Company Hitlist'!$A:$A,0)),)</f>
        <v/>
      </c>
      <c r="O4884">
        <f>IFERROR(INDEX('Company Hitlist'!$N:$N,MATCH(D4884,'Company Hitlist'!$A:$A,0)),)</f>
        <v/>
      </c>
      <c r="Q4884" t="inlineStr">
        <is>
          <t>todo</t>
        </is>
      </c>
    </row>
    <row r="4885">
      <c r="A4885" t="inlineStr">
        <is>
          <t>Lucas Francato</t>
        </is>
      </c>
      <c r="B4885" t="inlineStr">
        <is>
          <t>Sponsor</t>
        </is>
      </c>
      <c r="C4885" t="inlineStr">
        <is>
          <t>Senior Growth Manager</t>
        </is>
      </c>
      <c r="D4885" t="inlineStr">
        <is>
          <t>Levity AI Inc.</t>
        </is>
      </c>
      <c r="E4885" t="inlineStr">
        <is>
          <t>Germany</t>
        </is>
      </c>
      <c r="H4885" t="n">
        <v>-6</v>
      </c>
      <c r="I4885" t="b">
        <v>0</v>
      </c>
      <c r="J4885" t="b">
        <v>0</v>
      </c>
      <c r="K4885" t="b">
        <v>0</v>
      </c>
      <c r="L4885" t="b">
        <v>0</v>
      </c>
      <c r="M4885" t="b">
        <v>1</v>
      </c>
      <c r="N4885">
        <f>IFERROR(INDEX('Company Hitlist'!$AA:$AA,MATCH(D4885,'Company Hitlist'!$A:$A,0)),)</f>
        <v/>
      </c>
      <c r="O4885">
        <f>IFERROR(INDEX('Company Hitlist'!$N:$N,MATCH(D4885,'Company Hitlist'!$A:$A,0)),)</f>
        <v/>
      </c>
      <c r="Q4885" t="inlineStr">
        <is>
          <t>todo</t>
        </is>
      </c>
    </row>
    <row r="4886">
      <c r="A4886" t="inlineStr">
        <is>
          <t>Sai Shiva Jampala</t>
        </is>
      </c>
      <c r="B4886" t="inlineStr">
        <is>
          <t>Sponsor</t>
        </is>
      </c>
      <c r="C4886" t="inlineStr">
        <is>
          <t>Director - Pre-Sales</t>
        </is>
      </c>
      <c r="D4886" t="inlineStr">
        <is>
          <t>Locus</t>
        </is>
      </c>
      <c r="H4886" t="n">
        <v>-6</v>
      </c>
      <c r="I4886" t="b">
        <v>0</v>
      </c>
      <c r="J4886" t="b">
        <v>0</v>
      </c>
      <c r="K4886" t="b">
        <v>0</v>
      </c>
      <c r="L4886" t="b">
        <v>0</v>
      </c>
      <c r="M4886" t="b">
        <v>1</v>
      </c>
      <c r="N4886">
        <f>IFERROR(INDEX('Company Hitlist'!$AA:$AA,MATCH(D4886,'Company Hitlist'!$A:$A,0)),)</f>
        <v/>
      </c>
      <c r="O4886">
        <f>IFERROR(INDEX('Company Hitlist'!$N:$N,MATCH(D4886,'Company Hitlist'!$A:$A,0)),)</f>
        <v/>
      </c>
      <c r="Q4886" t="inlineStr">
        <is>
          <t>todo</t>
        </is>
      </c>
    </row>
    <row r="4887">
      <c r="A4887" t="inlineStr">
        <is>
          <t>Laura Adams</t>
        </is>
      </c>
      <c r="B4887" t="inlineStr">
        <is>
          <t>Sponsor</t>
        </is>
      </c>
      <c r="C4887" t="inlineStr">
        <is>
          <t>Director of Customer Lifecycle Marketing</t>
        </is>
      </c>
      <c r="D4887" t="inlineStr">
        <is>
          <t>Locus Robotics</t>
        </is>
      </c>
      <c r="F4887" t="inlineStr">
        <is>
          <t>Yes</t>
        </is>
      </c>
      <c r="G4887" t="inlineStr">
        <is>
          <t>100000000</t>
        </is>
      </c>
      <c r="H4887" t="n">
        <v>-6</v>
      </c>
      <c r="I4887" t="b">
        <v>0</v>
      </c>
      <c r="J4887" t="b">
        <v>0</v>
      </c>
      <c r="K4887" t="b">
        <v>0</v>
      </c>
      <c r="L4887" t="b">
        <v>0</v>
      </c>
      <c r="M4887" t="b">
        <v>1</v>
      </c>
      <c r="N4887">
        <f>IFERROR(INDEX('Company Hitlist'!$AA:$AA,MATCH(D4887,'Company Hitlist'!$A:$A,0)),)</f>
        <v/>
      </c>
      <c r="O4887">
        <f>IFERROR(INDEX('Company Hitlist'!$N:$N,MATCH(D4887,'Company Hitlist'!$A:$A,0)),)</f>
        <v/>
      </c>
      <c r="Q4887" t="inlineStr">
        <is>
          <t>todo</t>
        </is>
      </c>
    </row>
    <row r="4888">
      <c r="A4888" t="inlineStr">
        <is>
          <t>Dean Froehlich</t>
        </is>
      </c>
      <c r="B4888" t="inlineStr">
        <is>
          <t>Sponsor</t>
        </is>
      </c>
      <c r="C4888" t="inlineStr">
        <is>
          <t>Sales Executive</t>
        </is>
      </c>
      <c r="D4888" t="inlineStr">
        <is>
          <t>Locus Robotics</t>
        </is>
      </c>
      <c r="E4888" t="inlineStr">
        <is>
          <t>United States</t>
        </is>
      </c>
      <c r="H4888" t="n">
        <v>-6</v>
      </c>
      <c r="I4888" t="b">
        <v>0</v>
      </c>
      <c r="J4888" t="b">
        <v>0</v>
      </c>
      <c r="K4888" t="b">
        <v>0</v>
      </c>
      <c r="L4888" t="b">
        <v>0</v>
      </c>
      <c r="M4888" t="b">
        <v>1</v>
      </c>
      <c r="N4888">
        <f>IFERROR(INDEX('Company Hitlist'!$AA:$AA,MATCH(D4888,'Company Hitlist'!$A:$A,0)),)</f>
        <v/>
      </c>
      <c r="O4888">
        <f>IFERROR(INDEX('Company Hitlist'!$N:$N,MATCH(D4888,'Company Hitlist'!$A:$A,0)),)</f>
        <v/>
      </c>
      <c r="Q4888" t="inlineStr">
        <is>
          <t>todo</t>
        </is>
      </c>
    </row>
    <row r="4889">
      <c r="A4889" t="inlineStr">
        <is>
          <t>Mitchell Bluford</t>
        </is>
      </c>
      <c r="B4889" t="inlineStr">
        <is>
          <t>Sponsor</t>
        </is>
      </c>
      <c r="C4889" t="inlineStr">
        <is>
          <t>Sales Executive</t>
        </is>
      </c>
      <c r="D4889" t="inlineStr">
        <is>
          <t>Locus Robotics</t>
        </is>
      </c>
      <c r="E4889" t="inlineStr">
        <is>
          <t>United States</t>
        </is>
      </c>
      <c r="H4889" t="n">
        <v>-6</v>
      </c>
      <c r="I4889" t="b">
        <v>0</v>
      </c>
      <c r="J4889" t="b">
        <v>0</v>
      </c>
      <c r="K4889" t="b">
        <v>0</v>
      </c>
      <c r="L4889" t="b">
        <v>0</v>
      </c>
      <c r="M4889" t="b">
        <v>1</v>
      </c>
      <c r="N4889">
        <f>IFERROR(INDEX('Company Hitlist'!$AA:$AA,MATCH(D4889,'Company Hitlist'!$A:$A,0)),)</f>
        <v/>
      </c>
      <c r="O4889">
        <f>IFERROR(INDEX('Company Hitlist'!$N:$N,MATCH(D4889,'Company Hitlist'!$A:$A,0)),)</f>
        <v/>
      </c>
      <c r="Q4889" t="inlineStr">
        <is>
          <t>todo</t>
        </is>
      </c>
    </row>
    <row r="4890">
      <c r="A4890" t="inlineStr">
        <is>
          <t>Ryan Simmons</t>
        </is>
      </c>
      <c r="B4890" t="inlineStr">
        <is>
          <t>Sponsor</t>
        </is>
      </c>
      <c r="C4890" t="inlineStr">
        <is>
          <t>Sales Executive</t>
        </is>
      </c>
      <c r="D4890" t="inlineStr">
        <is>
          <t>Locus Robotics</t>
        </is>
      </c>
      <c r="E4890" t="inlineStr">
        <is>
          <t>United States</t>
        </is>
      </c>
      <c r="H4890" t="n">
        <v>-6</v>
      </c>
      <c r="I4890" t="b">
        <v>0</v>
      </c>
      <c r="J4890" t="b">
        <v>0</v>
      </c>
      <c r="K4890" t="b">
        <v>0</v>
      </c>
      <c r="L4890" t="b">
        <v>0</v>
      </c>
      <c r="M4890" t="b">
        <v>1</v>
      </c>
      <c r="N4890">
        <f>IFERROR(INDEX('Company Hitlist'!$AA:$AA,MATCH(D4890,'Company Hitlist'!$A:$A,0)),)</f>
        <v/>
      </c>
      <c r="O4890">
        <f>IFERROR(INDEX('Company Hitlist'!$N:$N,MATCH(D4890,'Company Hitlist'!$A:$A,0)),)</f>
        <v/>
      </c>
      <c r="Q4890" t="inlineStr">
        <is>
          <t>todo</t>
        </is>
      </c>
    </row>
    <row r="4891">
      <c r="A4891" t="inlineStr">
        <is>
          <t>William Culhane</t>
        </is>
      </c>
      <c r="B4891" t="inlineStr">
        <is>
          <t>Sponsor</t>
        </is>
      </c>
      <c r="C4891" t="inlineStr">
        <is>
          <t>Sales Executive</t>
        </is>
      </c>
      <c r="D4891" t="inlineStr">
        <is>
          <t>Locus Robotics</t>
        </is>
      </c>
      <c r="E4891" t="inlineStr">
        <is>
          <t>United States</t>
        </is>
      </c>
      <c r="H4891" t="n">
        <v>-6</v>
      </c>
      <c r="I4891" t="b">
        <v>0</v>
      </c>
      <c r="J4891" t="b">
        <v>0</v>
      </c>
      <c r="K4891" t="b">
        <v>0</v>
      </c>
      <c r="L4891" t="b">
        <v>0</v>
      </c>
      <c r="M4891" t="b">
        <v>1</v>
      </c>
      <c r="N4891">
        <f>IFERROR(INDEX('Company Hitlist'!$AA:$AA,MATCH(D4891,'Company Hitlist'!$A:$A,0)),)</f>
        <v/>
      </c>
      <c r="O4891">
        <f>IFERROR(INDEX('Company Hitlist'!$N:$N,MATCH(D4891,'Company Hitlist'!$A:$A,0)),)</f>
        <v/>
      </c>
      <c r="Q4891" t="inlineStr">
        <is>
          <t>todo</t>
        </is>
      </c>
    </row>
    <row r="4892">
      <c r="A4892" t="inlineStr">
        <is>
          <t>Currin McCarty</t>
        </is>
      </c>
      <c r="B4892" t="inlineStr">
        <is>
          <t>Sponsor</t>
        </is>
      </c>
      <c r="C4892" t="inlineStr">
        <is>
          <t>Sales Executive</t>
        </is>
      </c>
      <c r="D4892" t="inlineStr">
        <is>
          <t>Locus Robotics</t>
        </is>
      </c>
      <c r="H4892" t="n">
        <v>-6</v>
      </c>
      <c r="I4892" t="b">
        <v>0</v>
      </c>
      <c r="J4892" t="b">
        <v>0</v>
      </c>
      <c r="K4892" t="b">
        <v>0</v>
      </c>
      <c r="L4892" t="b">
        <v>0</v>
      </c>
      <c r="M4892" t="b">
        <v>1</v>
      </c>
      <c r="N4892">
        <f>IFERROR(INDEX('Company Hitlist'!$AA:$AA,MATCH(D4892,'Company Hitlist'!$A:$A,0)),)</f>
        <v/>
      </c>
      <c r="O4892">
        <f>IFERROR(INDEX('Company Hitlist'!$N:$N,MATCH(D4892,'Company Hitlist'!$A:$A,0)),)</f>
        <v/>
      </c>
      <c r="Q4892" t="inlineStr">
        <is>
          <t>todo</t>
        </is>
      </c>
    </row>
    <row r="4893">
      <c r="A4893" t="inlineStr">
        <is>
          <t>Aaron Litzinger</t>
        </is>
      </c>
      <c r="B4893" t="inlineStr">
        <is>
          <t>Sponsor</t>
        </is>
      </c>
      <c r="C4893" t="inlineStr">
        <is>
          <t>Sales Executive</t>
        </is>
      </c>
      <c r="D4893" t="inlineStr">
        <is>
          <t>Locus Robotics</t>
        </is>
      </c>
      <c r="H4893" t="n">
        <v>-6</v>
      </c>
      <c r="I4893" t="b">
        <v>0</v>
      </c>
      <c r="J4893" t="b">
        <v>0</v>
      </c>
      <c r="K4893" t="b">
        <v>0</v>
      </c>
      <c r="L4893" t="b">
        <v>0</v>
      </c>
      <c r="M4893" t="b">
        <v>1</v>
      </c>
      <c r="N4893">
        <f>IFERROR(INDEX('Company Hitlist'!$AA:$AA,MATCH(D4893,'Company Hitlist'!$A:$A,0)),)</f>
        <v/>
      </c>
      <c r="O4893">
        <f>IFERROR(INDEX('Company Hitlist'!$N:$N,MATCH(D4893,'Company Hitlist'!$A:$A,0)),)</f>
        <v/>
      </c>
      <c r="Q4893" t="inlineStr">
        <is>
          <t>todo</t>
        </is>
      </c>
    </row>
    <row r="4894">
      <c r="A4894" t="inlineStr">
        <is>
          <t>Eric Shepard</t>
        </is>
      </c>
      <c r="B4894" t="inlineStr">
        <is>
          <t>Sponsor</t>
        </is>
      </c>
      <c r="C4894" t="inlineStr">
        <is>
          <t>Senior Sales Executive</t>
        </is>
      </c>
      <c r="D4894" t="inlineStr">
        <is>
          <t>Locus Robotics</t>
        </is>
      </c>
      <c r="H4894" t="n">
        <v>-6</v>
      </c>
      <c r="I4894" t="b">
        <v>0</v>
      </c>
      <c r="J4894" t="b">
        <v>0</v>
      </c>
      <c r="K4894" t="b">
        <v>0</v>
      </c>
      <c r="L4894" t="b">
        <v>0</v>
      </c>
      <c r="M4894" t="b">
        <v>1</v>
      </c>
      <c r="N4894">
        <f>IFERROR(INDEX('Company Hitlist'!$AA:$AA,MATCH(D4894,'Company Hitlist'!$A:$A,0)),)</f>
        <v/>
      </c>
      <c r="O4894">
        <f>IFERROR(INDEX('Company Hitlist'!$N:$N,MATCH(D4894,'Company Hitlist'!$A:$A,0)),)</f>
        <v/>
      </c>
      <c r="Q4894" t="inlineStr">
        <is>
          <t>todo</t>
        </is>
      </c>
    </row>
    <row r="4895">
      <c r="A4895" t="inlineStr">
        <is>
          <t>Justine Congdon</t>
        </is>
      </c>
      <c r="B4895" t="inlineStr">
        <is>
          <t>Sponsor</t>
        </is>
      </c>
      <c r="C4895" t="inlineStr">
        <is>
          <t>Sales Executive</t>
        </is>
      </c>
      <c r="D4895" t="inlineStr">
        <is>
          <t>Locus Robotics</t>
        </is>
      </c>
      <c r="H4895" t="n">
        <v>-6</v>
      </c>
      <c r="I4895" t="b">
        <v>0</v>
      </c>
      <c r="J4895" t="b">
        <v>0</v>
      </c>
      <c r="K4895" t="b">
        <v>0</v>
      </c>
      <c r="L4895" t="b">
        <v>0</v>
      </c>
      <c r="M4895" t="b">
        <v>1</v>
      </c>
      <c r="N4895">
        <f>IFERROR(INDEX('Company Hitlist'!$AA:$AA,MATCH(D4895,'Company Hitlist'!$A:$A,0)),)</f>
        <v/>
      </c>
      <c r="O4895">
        <f>IFERROR(INDEX('Company Hitlist'!$N:$N,MATCH(D4895,'Company Hitlist'!$A:$A,0)),)</f>
        <v/>
      </c>
      <c r="Q4895" t="inlineStr">
        <is>
          <t>todo</t>
        </is>
      </c>
    </row>
    <row r="4896">
      <c r="A4896" t="inlineStr">
        <is>
          <t>Ryan Gimlin</t>
        </is>
      </c>
      <c r="B4896" t="inlineStr">
        <is>
          <t>Sponsor</t>
        </is>
      </c>
      <c r="C4896" t="inlineStr">
        <is>
          <t>Sales Executive</t>
        </is>
      </c>
      <c r="D4896" t="inlineStr">
        <is>
          <t>Locus Robotics</t>
        </is>
      </c>
      <c r="H4896" t="n">
        <v>-6</v>
      </c>
      <c r="I4896" t="b">
        <v>0</v>
      </c>
      <c r="J4896" t="b">
        <v>0</v>
      </c>
      <c r="K4896" t="b">
        <v>0</v>
      </c>
      <c r="L4896" t="b">
        <v>0</v>
      </c>
      <c r="M4896" t="b">
        <v>1</v>
      </c>
      <c r="N4896">
        <f>IFERROR(INDEX('Company Hitlist'!$AA:$AA,MATCH(D4896,'Company Hitlist'!$A:$A,0)),)</f>
        <v/>
      </c>
      <c r="O4896">
        <f>IFERROR(INDEX('Company Hitlist'!$N:$N,MATCH(D4896,'Company Hitlist'!$A:$A,0)),)</f>
        <v/>
      </c>
      <c r="Q4896" t="inlineStr">
        <is>
          <t>todo</t>
        </is>
      </c>
    </row>
    <row r="4897">
      <c r="A4897" t="inlineStr">
        <is>
          <t>Claudia Norvilus</t>
        </is>
      </c>
      <c r="B4897" t="inlineStr">
        <is>
          <t>Sponsor</t>
        </is>
      </c>
      <c r="C4897" t="inlineStr">
        <is>
          <t>Senior Marketing Programs Manager</t>
        </is>
      </c>
      <c r="D4897" t="inlineStr">
        <is>
          <t>Locus Robotics</t>
        </is>
      </c>
      <c r="E4897" t="inlineStr">
        <is>
          <t>United States</t>
        </is>
      </c>
      <c r="H4897" t="n">
        <v>-6</v>
      </c>
      <c r="I4897" t="b">
        <v>0</v>
      </c>
      <c r="J4897" t="b">
        <v>0</v>
      </c>
      <c r="K4897" t="b">
        <v>0</v>
      </c>
      <c r="L4897" t="b">
        <v>0</v>
      </c>
      <c r="M4897" t="b">
        <v>1</v>
      </c>
      <c r="N4897">
        <f>IFERROR(INDEX('Company Hitlist'!$AA:$AA,MATCH(D4897,'Company Hitlist'!$A:$A,0)),)</f>
        <v/>
      </c>
      <c r="O4897">
        <f>IFERROR(INDEX('Company Hitlist'!$N:$N,MATCH(D4897,'Company Hitlist'!$A:$A,0)),)</f>
        <v/>
      </c>
      <c r="Q4897" t="inlineStr">
        <is>
          <t>todo</t>
        </is>
      </c>
    </row>
    <row r="4898">
      <c r="A4898" t="inlineStr">
        <is>
          <t>Martijn Backus</t>
        </is>
      </c>
      <c r="B4898" t="inlineStr">
        <is>
          <t>Sponsor</t>
        </is>
      </c>
      <c r="C4898" t="inlineStr">
        <is>
          <t>Sales Director</t>
        </is>
      </c>
      <c r="D4898" t="inlineStr">
        <is>
          <t>Logicall Group</t>
        </is>
      </c>
      <c r="H4898" t="n">
        <v>-6</v>
      </c>
      <c r="I4898" t="b">
        <v>0</v>
      </c>
      <c r="J4898" t="b">
        <v>0</v>
      </c>
      <c r="K4898" t="b">
        <v>0</v>
      </c>
      <c r="L4898" t="b">
        <v>0</v>
      </c>
      <c r="M4898" t="b">
        <v>1</v>
      </c>
      <c r="N4898">
        <f>IFERROR(INDEX('Company Hitlist'!$AA:$AA,MATCH(D4898,'Company Hitlist'!$A:$A,0)),)</f>
        <v/>
      </c>
      <c r="O4898">
        <f>IFERROR(INDEX('Company Hitlist'!$N:$N,MATCH(D4898,'Company Hitlist'!$A:$A,0)),)</f>
        <v/>
      </c>
      <c r="Q4898" t="inlineStr">
        <is>
          <t>todo</t>
        </is>
      </c>
    </row>
    <row r="4899">
      <c r="A4899" t="inlineStr">
        <is>
          <t>Ryan Fierro</t>
        </is>
      </c>
      <c r="B4899" t="inlineStr">
        <is>
          <t>Sponsor</t>
        </is>
      </c>
      <c r="C4899" t="inlineStr">
        <is>
          <t>Sales Engineer</t>
        </is>
      </c>
      <c r="D4899" t="inlineStr">
        <is>
          <t>Logiwa</t>
        </is>
      </c>
      <c r="E4899" t="inlineStr">
        <is>
          <t>United States</t>
        </is>
      </c>
      <c r="H4899" t="n">
        <v>-6</v>
      </c>
      <c r="I4899" t="b">
        <v>0</v>
      </c>
      <c r="J4899" t="b">
        <v>0</v>
      </c>
      <c r="K4899" t="b">
        <v>0</v>
      </c>
      <c r="L4899" t="b">
        <v>0</v>
      </c>
      <c r="M4899" t="b">
        <v>1</v>
      </c>
      <c r="N4899">
        <f>IFERROR(INDEX('Company Hitlist'!$AA:$AA,MATCH(D4899,'Company Hitlist'!$A:$A,0)),)</f>
        <v/>
      </c>
      <c r="O4899">
        <f>IFERROR(INDEX('Company Hitlist'!$N:$N,MATCH(D4899,'Company Hitlist'!$A:$A,0)),)</f>
        <v/>
      </c>
      <c r="Q4899" t="inlineStr">
        <is>
          <t>todo</t>
        </is>
      </c>
    </row>
    <row r="4900">
      <c r="A4900" t="inlineStr">
        <is>
          <t>Seth Kupersmith</t>
        </is>
      </c>
      <c r="B4900" t="inlineStr">
        <is>
          <t>Sponsor</t>
        </is>
      </c>
      <c r="C4900" t="inlineStr">
        <is>
          <t>Director, Marketing &amp; Creative</t>
        </is>
      </c>
      <c r="D4900" t="inlineStr">
        <is>
          <t>Lojistic</t>
        </is>
      </c>
      <c r="E4900" t="inlineStr">
        <is>
          <t>United States</t>
        </is>
      </c>
      <c r="F4900" t="inlineStr">
        <is>
          <t>Yes</t>
        </is>
      </c>
      <c r="H4900" t="n">
        <v>-6</v>
      </c>
      <c r="I4900" t="b">
        <v>0</v>
      </c>
      <c r="J4900" t="b">
        <v>0</v>
      </c>
      <c r="K4900" t="b">
        <v>0</v>
      </c>
      <c r="L4900" t="b">
        <v>0</v>
      </c>
      <c r="M4900" t="b">
        <v>1</v>
      </c>
      <c r="N4900">
        <f>IFERROR(INDEX('Company Hitlist'!$AA:$AA,MATCH(D4900,'Company Hitlist'!$A:$A,0)),)</f>
        <v/>
      </c>
      <c r="O4900">
        <f>IFERROR(INDEX('Company Hitlist'!$N:$N,MATCH(D4900,'Company Hitlist'!$A:$A,0)),)</f>
        <v/>
      </c>
      <c r="Q4900" t="inlineStr">
        <is>
          <t>todo</t>
        </is>
      </c>
    </row>
    <row r="4901">
      <c r="A4901" t="inlineStr">
        <is>
          <t>Patrick Petit</t>
        </is>
      </c>
      <c r="B4901" t="inlineStr">
        <is>
          <t>Sponsor</t>
        </is>
      </c>
      <c r="C4901" t="inlineStr">
        <is>
          <t>Director of Sales</t>
        </is>
      </c>
      <c r="D4901" t="inlineStr">
        <is>
          <t>Lojistic</t>
        </is>
      </c>
      <c r="E4901" t="inlineStr">
        <is>
          <t>United States</t>
        </is>
      </c>
      <c r="H4901" t="n">
        <v>-6</v>
      </c>
      <c r="I4901" t="b">
        <v>0</v>
      </c>
      <c r="J4901" t="b">
        <v>0</v>
      </c>
      <c r="K4901" t="b">
        <v>0</v>
      </c>
      <c r="L4901" t="b">
        <v>0</v>
      </c>
      <c r="M4901" t="b">
        <v>1</v>
      </c>
      <c r="N4901">
        <f>IFERROR(INDEX('Company Hitlist'!$AA:$AA,MATCH(D4901,'Company Hitlist'!$A:$A,0)),)</f>
        <v/>
      </c>
      <c r="O4901">
        <f>IFERROR(INDEX('Company Hitlist'!$N:$N,MATCH(D4901,'Company Hitlist'!$A:$A,0)),)</f>
        <v/>
      </c>
      <c r="Q4901" t="inlineStr">
        <is>
          <t>todo</t>
        </is>
      </c>
    </row>
    <row r="4902">
      <c r="A4902" t="inlineStr">
        <is>
          <t>Zach Negroni</t>
        </is>
      </c>
      <c r="B4902" t="inlineStr">
        <is>
          <t>Sponsor</t>
        </is>
      </c>
      <c r="C4902" t="inlineStr">
        <is>
          <t>Senior Enterprise Account Executive</t>
        </is>
      </c>
      <c r="D4902" t="inlineStr">
        <is>
          <t>Loop</t>
        </is>
      </c>
      <c r="E4902" t="inlineStr">
        <is>
          <t>United States</t>
        </is>
      </c>
      <c r="H4902" t="n">
        <v>-6</v>
      </c>
      <c r="I4902" t="b">
        <v>0</v>
      </c>
      <c r="J4902" t="b">
        <v>0</v>
      </c>
      <c r="K4902" t="b">
        <v>0</v>
      </c>
      <c r="L4902" t="b">
        <v>0</v>
      </c>
      <c r="M4902" t="b">
        <v>1</v>
      </c>
      <c r="N4902">
        <f>IFERROR(INDEX('Company Hitlist'!$AA:$AA,MATCH(D4902,'Company Hitlist'!$A:$A,0)),)</f>
        <v/>
      </c>
      <c r="O4902">
        <f>IFERROR(INDEX('Company Hitlist'!$N:$N,MATCH(D4902,'Company Hitlist'!$A:$A,0)),)</f>
        <v/>
      </c>
      <c r="Q4902" t="inlineStr">
        <is>
          <t>todo</t>
        </is>
      </c>
    </row>
    <row r="4903">
      <c r="A4903" t="inlineStr">
        <is>
          <t>Claire Swindle</t>
        </is>
      </c>
      <c r="B4903" t="inlineStr">
        <is>
          <t>Sponsor</t>
        </is>
      </c>
      <c r="C4903" t="inlineStr">
        <is>
          <t>Account Executive</t>
        </is>
      </c>
      <c r="D4903" t="inlineStr">
        <is>
          <t>MODE Global</t>
        </is>
      </c>
      <c r="E4903" t="inlineStr">
        <is>
          <t>United States</t>
        </is>
      </c>
      <c r="H4903" t="n">
        <v>-6</v>
      </c>
      <c r="I4903" t="b">
        <v>0</v>
      </c>
      <c r="J4903" t="b">
        <v>0</v>
      </c>
      <c r="K4903" t="b">
        <v>0</v>
      </c>
      <c r="L4903" t="b">
        <v>0</v>
      </c>
      <c r="M4903" t="b">
        <v>1</v>
      </c>
      <c r="N4903">
        <f>IFERROR(INDEX('Company Hitlist'!$AA:$AA,MATCH(D4903,'Company Hitlist'!$A:$A,0)),)</f>
        <v/>
      </c>
      <c r="O4903">
        <f>IFERROR(INDEX('Company Hitlist'!$N:$N,MATCH(D4903,'Company Hitlist'!$A:$A,0)),)</f>
        <v/>
      </c>
      <c r="Q4903" t="inlineStr">
        <is>
          <t>todo</t>
        </is>
      </c>
    </row>
    <row r="4904">
      <c r="A4904" t="inlineStr">
        <is>
          <t>Hailey Johns</t>
        </is>
      </c>
      <c r="B4904" t="inlineStr">
        <is>
          <t>Sponsor</t>
        </is>
      </c>
      <c r="C4904" t="inlineStr">
        <is>
          <t>Account Executive</t>
        </is>
      </c>
      <c r="D4904" t="inlineStr">
        <is>
          <t>MODE Global</t>
        </is>
      </c>
      <c r="E4904" t="inlineStr">
        <is>
          <t>United States</t>
        </is>
      </c>
      <c r="H4904" t="n">
        <v>-6</v>
      </c>
      <c r="I4904" t="b">
        <v>0</v>
      </c>
      <c r="J4904" t="b">
        <v>0</v>
      </c>
      <c r="K4904" t="b">
        <v>0</v>
      </c>
      <c r="L4904" t="b">
        <v>0</v>
      </c>
      <c r="M4904" t="b">
        <v>1</v>
      </c>
      <c r="N4904">
        <f>IFERROR(INDEX('Company Hitlist'!$AA:$AA,MATCH(D4904,'Company Hitlist'!$A:$A,0)),)</f>
        <v/>
      </c>
      <c r="O4904">
        <f>IFERROR(INDEX('Company Hitlist'!$N:$N,MATCH(D4904,'Company Hitlist'!$A:$A,0)),)</f>
        <v/>
      </c>
      <c r="Q4904" t="inlineStr">
        <is>
          <t>todo</t>
        </is>
      </c>
    </row>
    <row r="4905">
      <c r="A4905" t="inlineStr">
        <is>
          <t>Kaleigh Singer</t>
        </is>
      </c>
      <c r="B4905" t="inlineStr">
        <is>
          <t>Sponsor</t>
        </is>
      </c>
      <c r="C4905" t="inlineStr">
        <is>
          <t>Account Executive</t>
        </is>
      </c>
      <c r="D4905" t="inlineStr">
        <is>
          <t>MODE Global</t>
        </is>
      </c>
      <c r="E4905" t="inlineStr">
        <is>
          <t>United States</t>
        </is>
      </c>
      <c r="H4905" t="n">
        <v>-6</v>
      </c>
      <c r="I4905" t="b">
        <v>0</v>
      </c>
      <c r="J4905" t="b">
        <v>0</v>
      </c>
      <c r="K4905" t="b">
        <v>0</v>
      </c>
      <c r="L4905" t="b">
        <v>0</v>
      </c>
      <c r="M4905" t="b">
        <v>1</v>
      </c>
      <c r="N4905">
        <f>IFERROR(INDEX('Company Hitlist'!$AA:$AA,MATCH(D4905,'Company Hitlist'!$A:$A,0)),)</f>
        <v/>
      </c>
      <c r="O4905">
        <f>IFERROR(INDEX('Company Hitlist'!$N:$N,MATCH(D4905,'Company Hitlist'!$A:$A,0)),)</f>
        <v/>
      </c>
      <c r="Q4905" t="inlineStr">
        <is>
          <t>todo</t>
        </is>
      </c>
    </row>
    <row r="4906">
      <c r="A4906" t="inlineStr">
        <is>
          <t>Brandon Nunn</t>
        </is>
      </c>
      <c r="B4906" t="inlineStr">
        <is>
          <t>Sponsor</t>
        </is>
      </c>
      <c r="C4906" t="inlineStr">
        <is>
          <t>Account Executive</t>
        </is>
      </c>
      <c r="D4906" t="inlineStr">
        <is>
          <t>MODE Global</t>
        </is>
      </c>
      <c r="H4906" t="n">
        <v>-6</v>
      </c>
      <c r="I4906" t="b">
        <v>0</v>
      </c>
      <c r="J4906" t="b">
        <v>0</v>
      </c>
      <c r="K4906" t="b">
        <v>0</v>
      </c>
      <c r="L4906" t="b">
        <v>0</v>
      </c>
      <c r="M4906" t="b">
        <v>1</v>
      </c>
      <c r="N4906">
        <f>IFERROR(INDEX('Company Hitlist'!$AA:$AA,MATCH(D4906,'Company Hitlist'!$A:$A,0)),)</f>
        <v/>
      </c>
      <c r="O4906">
        <f>IFERROR(INDEX('Company Hitlist'!$N:$N,MATCH(D4906,'Company Hitlist'!$A:$A,0)),)</f>
        <v/>
      </c>
      <c r="Q4906" t="inlineStr">
        <is>
          <t>todo</t>
        </is>
      </c>
    </row>
    <row r="4907">
      <c r="A4907" t="inlineStr">
        <is>
          <t>Errol Gonzales</t>
        </is>
      </c>
      <c r="B4907" t="inlineStr">
        <is>
          <t>Sponsor</t>
        </is>
      </c>
      <c r="C4907" t="inlineStr">
        <is>
          <t>Director of Sales</t>
        </is>
      </c>
      <c r="D4907" t="inlineStr">
        <is>
          <t>Made4net</t>
        </is>
      </c>
      <c r="E4907" t="inlineStr">
        <is>
          <t>United States</t>
        </is>
      </c>
      <c r="H4907" t="n">
        <v>-6</v>
      </c>
      <c r="I4907" t="b">
        <v>0</v>
      </c>
      <c r="J4907" t="b">
        <v>0</v>
      </c>
      <c r="K4907" t="b">
        <v>0</v>
      </c>
      <c r="L4907" t="b">
        <v>0</v>
      </c>
      <c r="M4907" t="b">
        <v>1</v>
      </c>
      <c r="N4907">
        <f>IFERROR(INDEX('Company Hitlist'!$AA:$AA,MATCH(D4907,'Company Hitlist'!$A:$A,0)),)</f>
        <v/>
      </c>
      <c r="O4907">
        <f>IFERROR(INDEX('Company Hitlist'!$N:$N,MATCH(D4907,'Company Hitlist'!$A:$A,0)),)</f>
        <v/>
      </c>
      <c r="Q4907" t="inlineStr">
        <is>
          <t>todo</t>
        </is>
      </c>
    </row>
    <row r="4908">
      <c r="A4908" t="inlineStr">
        <is>
          <t>Jeff Jones</t>
        </is>
      </c>
      <c r="B4908" t="inlineStr">
        <is>
          <t>Sponsor</t>
        </is>
      </c>
      <c r="C4908" t="inlineStr">
        <is>
          <t>Senior Account Executive</t>
        </is>
      </c>
      <c r="D4908" t="inlineStr">
        <is>
          <t>Made4net</t>
        </is>
      </c>
      <c r="H4908" t="n">
        <v>-6</v>
      </c>
      <c r="I4908" t="b">
        <v>0</v>
      </c>
      <c r="J4908" t="b">
        <v>0</v>
      </c>
      <c r="K4908" t="b">
        <v>0</v>
      </c>
      <c r="L4908" t="b">
        <v>0</v>
      </c>
      <c r="M4908" t="b">
        <v>1</v>
      </c>
      <c r="N4908">
        <f>IFERROR(INDEX('Company Hitlist'!$AA:$AA,MATCH(D4908,'Company Hitlist'!$A:$A,0)),)</f>
        <v/>
      </c>
      <c r="O4908">
        <f>IFERROR(INDEX('Company Hitlist'!$N:$N,MATCH(D4908,'Company Hitlist'!$A:$A,0)),)</f>
        <v/>
      </c>
      <c r="Q4908" t="inlineStr">
        <is>
          <t>todo</t>
        </is>
      </c>
    </row>
    <row r="4909">
      <c r="A4909" t="inlineStr">
        <is>
          <t>Renata Janeiro</t>
        </is>
      </c>
      <c r="B4909" t="inlineStr">
        <is>
          <t>Sponsor</t>
        </is>
      </c>
      <c r="C4909" t="inlineStr">
        <is>
          <t>Senior Marketing Manager</t>
        </is>
      </c>
      <c r="D4909" t="inlineStr">
        <is>
          <t>Made4net</t>
        </is>
      </c>
      <c r="H4909" t="n">
        <v>-6</v>
      </c>
      <c r="I4909" t="b">
        <v>0</v>
      </c>
      <c r="J4909" t="b">
        <v>0</v>
      </c>
      <c r="K4909" t="b">
        <v>0</v>
      </c>
      <c r="L4909" t="b">
        <v>0</v>
      </c>
      <c r="M4909" t="b">
        <v>1</v>
      </c>
      <c r="N4909">
        <f>IFERROR(INDEX('Company Hitlist'!$AA:$AA,MATCH(D4909,'Company Hitlist'!$A:$A,0)),)</f>
        <v/>
      </c>
      <c r="O4909">
        <f>IFERROR(INDEX('Company Hitlist'!$N:$N,MATCH(D4909,'Company Hitlist'!$A:$A,0)),)</f>
        <v/>
      </c>
      <c r="Q4909" t="inlineStr">
        <is>
          <t>todo</t>
        </is>
      </c>
    </row>
    <row r="4910">
      <c r="A4910" t="inlineStr">
        <is>
          <t>Monique Cochran</t>
        </is>
      </c>
      <c r="B4910" t="inlineStr">
        <is>
          <t>Sponsor</t>
        </is>
      </c>
      <c r="C4910" t="inlineStr">
        <is>
          <t>Product Marketing Manager</t>
        </is>
      </c>
      <c r="D4910" t="inlineStr">
        <is>
          <t>Maersk E-Commerce</t>
        </is>
      </c>
      <c r="H4910" t="n">
        <v>-6</v>
      </c>
      <c r="I4910" t="b">
        <v>0</v>
      </c>
      <c r="J4910" t="b">
        <v>0</v>
      </c>
      <c r="K4910" t="b">
        <v>0</v>
      </c>
      <c r="L4910" t="b">
        <v>0</v>
      </c>
      <c r="M4910" t="b">
        <v>1</v>
      </c>
      <c r="N4910">
        <f>IFERROR(INDEX('Company Hitlist'!$AA:$AA,MATCH(D4910,'Company Hitlist'!$A:$A,0)),)</f>
        <v/>
      </c>
      <c r="O4910">
        <f>IFERROR(INDEX('Company Hitlist'!$N:$N,MATCH(D4910,'Company Hitlist'!$A:$A,0)),)</f>
        <v/>
      </c>
      <c r="Q4910" t="inlineStr">
        <is>
          <t>todo</t>
        </is>
      </c>
    </row>
    <row r="4911">
      <c r="A4911" t="inlineStr">
        <is>
          <t>Claudine Ting</t>
        </is>
      </c>
      <c r="B4911" t="inlineStr">
        <is>
          <t>Sponsor</t>
        </is>
      </c>
      <c r="C4911" t="inlineStr">
        <is>
          <t>Director of Field Marketing</t>
        </is>
      </c>
      <c r="D4911" t="inlineStr">
        <is>
          <t>MaintainX</t>
        </is>
      </c>
      <c r="F4911" t="inlineStr">
        <is>
          <t>Yes</t>
        </is>
      </c>
      <c r="H4911" t="n">
        <v>-6</v>
      </c>
      <c r="I4911" t="b">
        <v>0</v>
      </c>
      <c r="J4911" t="b">
        <v>0</v>
      </c>
      <c r="K4911" t="b">
        <v>0</v>
      </c>
      <c r="L4911" t="b">
        <v>0</v>
      </c>
      <c r="M4911" t="b">
        <v>1</v>
      </c>
      <c r="N4911">
        <f>IFERROR(INDEX('Company Hitlist'!$AA:$AA,MATCH(D4911,'Company Hitlist'!$A:$A,0)),)</f>
        <v/>
      </c>
      <c r="O4911">
        <f>IFERROR(INDEX('Company Hitlist'!$N:$N,MATCH(D4911,'Company Hitlist'!$A:$A,0)),)</f>
        <v/>
      </c>
      <c r="Q4911" t="inlineStr">
        <is>
          <t>todo</t>
        </is>
      </c>
    </row>
    <row r="4912">
      <c r="A4912" t="inlineStr">
        <is>
          <t>Doug Roberge</t>
        </is>
      </c>
      <c r="B4912" t="inlineStr">
        <is>
          <t>Sponsor</t>
        </is>
      </c>
      <c r="C4912" t="inlineStr">
        <is>
          <t>Director of Product Marketing</t>
        </is>
      </c>
      <c r="D4912" t="inlineStr">
        <is>
          <t>MaintainX</t>
        </is>
      </c>
      <c r="F4912" t="inlineStr">
        <is>
          <t>Yes</t>
        </is>
      </c>
      <c r="H4912" t="n">
        <v>-6</v>
      </c>
      <c r="I4912" t="b">
        <v>0</v>
      </c>
      <c r="J4912" t="b">
        <v>0</v>
      </c>
      <c r="K4912" t="b">
        <v>0</v>
      </c>
      <c r="L4912" t="b">
        <v>0</v>
      </c>
      <c r="M4912" t="b">
        <v>1</v>
      </c>
      <c r="N4912">
        <f>IFERROR(INDEX('Company Hitlist'!$AA:$AA,MATCH(D4912,'Company Hitlist'!$A:$A,0)),)</f>
        <v/>
      </c>
      <c r="O4912">
        <f>IFERROR(INDEX('Company Hitlist'!$N:$N,MATCH(D4912,'Company Hitlist'!$A:$A,0)),)</f>
        <v/>
      </c>
      <c r="Q4912" t="inlineStr">
        <is>
          <t>todo</t>
        </is>
      </c>
    </row>
    <row r="4913">
      <c r="A4913" t="inlineStr">
        <is>
          <t>Kelley Wilson</t>
        </is>
      </c>
      <c r="B4913" t="inlineStr">
        <is>
          <t>Sponsor</t>
        </is>
      </c>
      <c r="C4913" t="inlineStr">
        <is>
          <t>Field Marketing Coordinator</t>
        </is>
      </c>
      <c r="D4913" t="inlineStr">
        <is>
          <t>MaintainX</t>
        </is>
      </c>
      <c r="F4913" t="inlineStr">
        <is>
          <t>Yes</t>
        </is>
      </c>
      <c r="H4913" t="n">
        <v>-6</v>
      </c>
      <c r="I4913" t="b">
        <v>0</v>
      </c>
      <c r="J4913" t="b">
        <v>0</v>
      </c>
      <c r="K4913" t="b">
        <v>0</v>
      </c>
      <c r="L4913" t="b">
        <v>0</v>
      </c>
      <c r="M4913" t="b">
        <v>1</v>
      </c>
      <c r="N4913">
        <f>IFERROR(INDEX('Company Hitlist'!$AA:$AA,MATCH(D4913,'Company Hitlist'!$A:$A,0)),)</f>
        <v/>
      </c>
      <c r="O4913">
        <f>IFERROR(INDEX('Company Hitlist'!$N:$N,MATCH(D4913,'Company Hitlist'!$A:$A,0)),)</f>
        <v/>
      </c>
      <c r="Q4913" t="inlineStr">
        <is>
          <t>todo</t>
        </is>
      </c>
    </row>
    <row r="4914">
      <c r="A4914" t="inlineStr">
        <is>
          <t>Gary Bailey</t>
        </is>
      </c>
      <c r="B4914" t="inlineStr">
        <is>
          <t>Sponsor</t>
        </is>
      </c>
      <c r="C4914" t="inlineStr">
        <is>
          <t>Inside Sales Representative</t>
        </is>
      </c>
      <c r="D4914" t="inlineStr">
        <is>
          <t>MaintainX</t>
        </is>
      </c>
      <c r="E4914" t="inlineStr">
        <is>
          <t>United States</t>
        </is>
      </c>
      <c r="H4914" t="n">
        <v>-6</v>
      </c>
      <c r="I4914" t="b">
        <v>0</v>
      </c>
      <c r="J4914" t="b">
        <v>0</v>
      </c>
      <c r="K4914" t="b">
        <v>0</v>
      </c>
      <c r="L4914" t="b">
        <v>0</v>
      </c>
      <c r="M4914" t="b">
        <v>1</v>
      </c>
      <c r="N4914">
        <f>IFERROR(INDEX('Company Hitlist'!$AA:$AA,MATCH(D4914,'Company Hitlist'!$A:$A,0)),)</f>
        <v/>
      </c>
      <c r="O4914">
        <f>IFERROR(INDEX('Company Hitlist'!$N:$N,MATCH(D4914,'Company Hitlist'!$A:$A,0)),)</f>
        <v/>
      </c>
      <c r="Q4914" t="inlineStr">
        <is>
          <t>todo</t>
        </is>
      </c>
    </row>
    <row r="4915">
      <c r="A4915" t="inlineStr">
        <is>
          <t>Luke Robbins</t>
        </is>
      </c>
      <c r="B4915" t="inlineStr">
        <is>
          <t>Sponsor</t>
        </is>
      </c>
      <c r="C4915" t="inlineStr">
        <is>
          <t>Business Development Representative</t>
        </is>
      </c>
      <c r="D4915" t="inlineStr">
        <is>
          <t>MaintainX</t>
        </is>
      </c>
      <c r="E4915" t="inlineStr">
        <is>
          <t>United States</t>
        </is>
      </c>
      <c r="H4915" t="n">
        <v>-6</v>
      </c>
      <c r="I4915" t="b">
        <v>0</v>
      </c>
      <c r="J4915" t="b">
        <v>0</v>
      </c>
      <c r="K4915" t="b">
        <v>0</v>
      </c>
      <c r="L4915" t="b">
        <v>0</v>
      </c>
      <c r="M4915" t="b">
        <v>1</v>
      </c>
      <c r="N4915">
        <f>IFERROR(INDEX('Company Hitlist'!$AA:$AA,MATCH(D4915,'Company Hitlist'!$A:$A,0)),)</f>
        <v/>
      </c>
      <c r="O4915">
        <f>IFERROR(INDEX('Company Hitlist'!$N:$N,MATCH(D4915,'Company Hitlist'!$A:$A,0)),)</f>
        <v/>
      </c>
      <c r="Q4915" t="inlineStr">
        <is>
          <t>todo</t>
        </is>
      </c>
    </row>
    <row r="4916">
      <c r="A4916" t="inlineStr">
        <is>
          <t>Grant Hurd</t>
        </is>
      </c>
      <c r="B4916" t="inlineStr">
        <is>
          <t>Sponsor</t>
        </is>
      </c>
      <c r="C4916" t="inlineStr">
        <is>
          <t>Sales, West Coast</t>
        </is>
      </c>
      <c r="D4916" t="inlineStr">
        <is>
          <t>Meter</t>
        </is>
      </c>
      <c r="E4916" t="inlineStr">
        <is>
          <t>United States</t>
        </is>
      </c>
      <c r="H4916" t="n">
        <v>-6</v>
      </c>
      <c r="I4916" t="b">
        <v>0</v>
      </c>
      <c r="J4916" t="b">
        <v>0</v>
      </c>
      <c r="K4916" t="b">
        <v>0</v>
      </c>
      <c r="L4916" t="b">
        <v>0</v>
      </c>
      <c r="M4916" t="b">
        <v>1</v>
      </c>
      <c r="N4916">
        <f>IFERROR(INDEX('Company Hitlist'!$AA:$AA,MATCH(D4916,'Company Hitlist'!$A:$A,0)),)</f>
        <v/>
      </c>
      <c r="O4916">
        <f>IFERROR(INDEX('Company Hitlist'!$N:$N,MATCH(D4916,'Company Hitlist'!$A:$A,0)),)</f>
        <v/>
      </c>
      <c r="Q4916" t="inlineStr">
        <is>
          <t>todo</t>
        </is>
      </c>
    </row>
    <row r="4917">
      <c r="A4917" t="inlineStr">
        <is>
          <t>Jon Paddock</t>
        </is>
      </c>
      <c r="B4917" t="inlineStr">
        <is>
          <t>Sponsor</t>
        </is>
      </c>
      <c r="C4917" t="inlineStr">
        <is>
          <t>Sales, Enterprise</t>
        </is>
      </c>
      <c r="D4917" t="inlineStr">
        <is>
          <t>Meter</t>
        </is>
      </c>
      <c r="E4917" t="inlineStr">
        <is>
          <t>United States</t>
        </is>
      </c>
      <c r="H4917" t="n">
        <v>-6</v>
      </c>
      <c r="I4917" t="b">
        <v>0</v>
      </c>
      <c r="J4917" t="b">
        <v>0</v>
      </c>
      <c r="K4917" t="b">
        <v>0</v>
      </c>
      <c r="L4917" t="b">
        <v>0</v>
      </c>
      <c r="M4917" t="b">
        <v>1</v>
      </c>
      <c r="N4917">
        <f>IFERROR(INDEX('Company Hitlist'!$AA:$AA,MATCH(D4917,'Company Hitlist'!$A:$A,0)),)</f>
        <v/>
      </c>
      <c r="O4917">
        <f>IFERROR(INDEX('Company Hitlist'!$N:$N,MATCH(D4917,'Company Hitlist'!$A:$A,0)),)</f>
        <v/>
      </c>
      <c r="Q4917" t="inlineStr">
        <is>
          <t>todo</t>
        </is>
      </c>
    </row>
    <row r="4918">
      <c r="A4918" t="inlineStr">
        <is>
          <t>Mary Anne Hensley</t>
        </is>
      </c>
      <c r="B4918" t="inlineStr">
        <is>
          <t>Sponsor</t>
        </is>
      </c>
      <c r="C4918" t="inlineStr">
        <is>
          <t>Senior Manager, Marketing Content &amp; Campaigns</t>
        </is>
      </c>
      <c r="D4918" t="inlineStr">
        <is>
          <t>NXTPoint Logistics</t>
        </is>
      </c>
      <c r="E4918" t="inlineStr">
        <is>
          <t>United States</t>
        </is>
      </c>
      <c r="H4918" t="n">
        <v>-6</v>
      </c>
      <c r="I4918" t="b">
        <v>0</v>
      </c>
      <c r="J4918" t="b">
        <v>0</v>
      </c>
      <c r="K4918" t="b">
        <v>0</v>
      </c>
      <c r="L4918" t="b">
        <v>0</v>
      </c>
      <c r="M4918" t="b">
        <v>1</v>
      </c>
      <c r="N4918">
        <f>IFERROR(INDEX('Company Hitlist'!$AA:$AA,MATCH(D4918,'Company Hitlist'!$A:$A,0)),)</f>
        <v/>
      </c>
      <c r="O4918">
        <f>IFERROR(INDEX('Company Hitlist'!$N:$N,MATCH(D4918,'Company Hitlist'!$A:$A,0)),)</f>
        <v/>
      </c>
      <c r="Q4918" t="inlineStr">
        <is>
          <t>todo</t>
        </is>
      </c>
    </row>
    <row r="4919">
      <c r="A4919" t="inlineStr">
        <is>
          <t>Marli Hall</t>
        </is>
      </c>
      <c r="B4919" t="inlineStr">
        <is>
          <t>Sponsor</t>
        </is>
      </c>
      <c r="C4919" t="inlineStr">
        <is>
          <t>Director of Communications and Marketing</t>
        </is>
      </c>
      <c r="D4919" t="inlineStr">
        <is>
          <t>National Motor Freight Traffic Association, Inc. (NMFTA)</t>
        </is>
      </c>
      <c r="E4919" t="inlineStr">
        <is>
          <t>United States</t>
        </is>
      </c>
      <c r="H4919" t="n">
        <v>-6</v>
      </c>
      <c r="I4919" t="b">
        <v>0</v>
      </c>
      <c r="J4919" t="b">
        <v>0</v>
      </c>
      <c r="K4919" t="b">
        <v>0</v>
      </c>
      <c r="L4919" t="b">
        <v>0</v>
      </c>
      <c r="M4919" t="b">
        <v>1</v>
      </c>
      <c r="N4919">
        <f>IFERROR(INDEX('Company Hitlist'!$AA:$AA,MATCH(D4919,'Company Hitlist'!$A:$A,0)),)</f>
        <v/>
      </c>
      <c r="O4919">
        <f>IFERROR(INDEX('Company Hitlist'!$N:$N,MATCH(D4919,'Company Hitlist'!$A:$A,0)),)</f>
        <v/>
      </c>
      <c r="Q4919" t="inlineStr">
        <is>
          <t>todo</t>
        </is>
      </c>
    </row>
    <row r="4920">
      <c r="A4920" t="inlineStr">
        <is>
          <t>Madeline Belvin</t>
        </is>
      </c>
      <c r="B4920" t="inlineStr">
        <is>
          <t>Sponsor</t>
        </is>
      </c>
      <c r="C4920" t="inlineStr">
        <is>
          <t>Sr. Director, Marketing</t>
        </is>
      </c>
      <c r="D4920" t="inlineStr">
        <is>
          <t>Ndustrial</t>
        </is>
      </c>
      <c r="F4920" t="inlineStr">
        <is>
          <t>Yes</t>
        </is>
      </c>
      <c r="G4920" t="inlineStr">
        <is>
          <t>6500000</t>
        </is>
      </c>
      <c r="H4920" t="n">
        <v>-6</v>
      </c>
      <c r="I4920" t="b">
        <v>0</v>
      </c>
      <c r="J4920" t="b">
        <v>0</v>
      </c>
      <c r="K4920" t="b">
        <v>0</v>
      </c>
      <c r="L4920" t="b">
        <v>0</v>
      </c>
      <c r="M4920" t="b">
        <v>1</v>
      </c>
      <c r="N4920">
        <f>IFERROR(INDEX('Company Hitlist'!$AA:$AA,MATCH(D4920,'Company Hitlist'!$A:$A,0)),)</f>
        <v/>
      </c>
      <c r="O4920">
        <f>IFERROR(INDEX('Company Hitlist'!$N:$N,MATCH(D4920,'Company Hitlist'!$A:$A,0)),)</f>
        <v/>
      </c>
      <c r="Q4920" t="inlineStr">
        <is>
          <t>todo</t>
        </is>
      </c>
    </row>
    <row r="4921">
      <c r="A4921" t="inlineStr">
        <is>
          <t>Cole Witten</t>
        </is>
      </c>
      <c r="B4921" t="inlineStr">
        <is>
          <t>Sponsor</t>
        </is>
      </c>
      <c r="C4921" t="inlineStr">
        <is>
          <t>Account Executive</t>
        </is>
      </c>
      <c r="D4921" t="inlineStr">
        <is>
          <t>Ndustrial</t>
        </is>
      </c>
      <c r="E4921" t="inlineStr">
        <is>
          <t>United States</t>
        </is>
      </c>
      <c r="H4921" t="n">
        <v>-6</v>
      </c>
      <c r="I4921" t="b">
        <v>0</v>
      </c>
      <c r="J4921" t="b">
        <v>0</v>
      </c>
      <c r="K4921" t="b">
        <v>0</v>
      </c>
      <c r="L4921" t="b">
        <v>0</v>
      </c>
      <c r="M4921" t="b">
        <v>1</v>
      </c>
      <c r="N4921">
        <f>IFERROR(INDEX('Company Hitlist'!$AA:$AA,MATCH(D4921,'Company Hitlist'!$A:$A,0)),)</f>
        <v/>
      </c>
      <c r="O4921">
        <f>IFERROR(INDEX('Company Hitlist'!$N:$N,MATCH(D4921,'Company Hitlist'!$A:$A,0)),)</f>
        <v/>
      </c>
      <c r="Q4921" t="inlineStr">
        <is>
          <t>todo</t>
        </is>
      </c>
    </row>
    <row r="4922">
      <c r="A4922" t="inlineStr">
        <is>
          <t>Eric Smith</t>
        </is>
      </c>
      <c r="B4922" t="inlineStr">
        <is>
          <t>Sponsor</t>
        </is>
      </c>
      <c r="C4922" t="inlineStr">
        <is>
          <t>Senior Director Business Development &amp; Customer Success</t>
        </is>
      </c>
      <c r="D4922" t="inlineStr">
        <is>
          <t>Neovia Logistics</t>
        </is>
      </c>
      <c r="H4922" t="n">
        <v>-6</v>
      </c>
      <c r="I4922" t="b">
        <v>0</v>
      </c>
      <c r="J4922" t="b">
        <v>0</v>
      </c>
      <c r="K4922" t="b">
        <v>0</v>
      </c>
      <c r="L4922" t="b">
        <v>0</v>
      </c>
      <c r="M4922" t="b">
        <v>1</v>
      </c>
      <c r="N4922">
        <f>IFERROR(INDEX('Company Hitlist'!$AA:$AA,MATCH(D4922,'Company Hitlist'!$A:$A,0)),)</f>
        <v/>
      </c>
      <c r="O4922">
        <f>IFERROR(INDEX('Company Hitlist'!$N:$N,MATCH(D4922,'Company Hitlist'!$A:$A,0)),)</f>
        <v/>
      </c>
      <c r="Q4922" t="inlineStr">
        <is>
          <t>todo</t>
        </is>
      </c>
    </row>
    <row r="4923">
      <c r="A4923" t="inlineStr">
        <is>
          <t>Frank Kopas</t>
        </is>
      </c>
      <c r="B4923" t="inlineStr">
        <is>
          <t>Sponsor</t>
        </is>
      </c>
      <c r="C4923" t="inlineStr">
        <is>
          <t>GTM Strategy</t>
        </is>
      </c>
      <c r="D4923" t="inlineStr">
        <is>
          <t>NextBillion.ai</t>
        </is>
      </c>
      <c r="E4923" t="inlineStr">
        <is>
          <t>United States</t>
        </is>
      </c>
      <c r="F4923" t="inlineStr">
        <is>
          <t>Yes</t>
        </is>
      </c>
      <c r="H4923" t="n">
        <v>-6</v>
      </c>
      <c r="I4923" t="b">
        <v>0</v>
      </c>
      <c r="J4923" t="b">
        <v>0</v>
      </c>
      <c r="K4923" t="b">
        <v>0</v>
      </c>
      <c r="L4923" t="b">
        <v>0</v>
      </c>
      <c r="M4923" t="b">
        <v>1</v>
      </c>
      <c r="N4923">
        <f>IFERROR(INDEX('Company Hitlist'!$AA:$AA,MATCH(D4923,'Company Hitlist'!$A:$A,0)),)</f>
        <v/>
      </c>
      <c r="O4923">
        <f>IFERROR(INDEX('Company Hitlist'!$N:$N,MATCH(D4923,'Company Hitlist'!$A:$A,0)),)</f>
        <v/>
      </c>
      <c r="Q4923" t="inlineStr">
        <is>
          <t>todo</t>
        </is>
      </c>
    </row>
    <row r="4924">
      <c r="A4924" t="inlineStr">
        <is>
          <t>Connor Faqua</t>
        </is>
      </c>
      <c r="B4924" t="inlineStr">
        <is>
          <t>Sponsor</t>
        </is>
      </c>
      <c r="C4924" t="inlineStr">
        <is>
          <t>Account Executive</t>
        </is>
      </c>
      <c r="D4924" t="inlineStr">
        <is>
          <t>Nutrifresh Holdings LLC dba ColdTrack</t>
        </is>
      </c>
      <c r="H4924" t="n">
        <v>-6</v>
      </c>
      <c r="I4924" t="b">
        <v>0</v>
      </c>
      <c r="J4924" t="b">
        <v>0</v>
      </c>
      <c r="K4924" t="b">
        <v>0</v>
      </c>
      <c r="L4924" t="b">
        <v>0</v>
      </c>
      <c r="M4924" t="b">
        <v>1</v>
      </c>
      <c r="N4924">
        <f>IFERROR(INDEX('Company Hitlist'!$AA:$AA,MATCH(D4924,'Company Hitlist'!$A:$A,0)),)</f>
        <v/>
      </c>
      <c r="O4924">
        <f>IFERROR(INDEX('Company Hitlist'!$N:$N,MATCH(D4924,'Company Hitlist'!$A:$A,0)),)</f>
        <v/>
      </c>
      <c r="Q4924" t="inlineStr">
        <is>
          <t>todo</t>
        </is>
      </c>
    </row>
    <row r="4925">
      <c r="A4925" t="inlineStr">
        <is>
          <t>Adam Schaut</t>
        </is>
      </c>
      <c r="B4925" t="inlineStr">
        <is>
          <t>Sponsor</t>
        </is>
      </c>
      <c r="C4925" t="inlineStr">
        <is>
          <t>Sales Executive</t>
        </is>
      </c>
      <c r="D4925" t="inlineStr">
        <is>
          <t>OLIMP Warehousing</t>
        </is>
      </c>
      <c r="E4925" t="inlineStr">
        <is>
          <t>United States</t>
        </is>
      </c>
      <c r="H4925" t="n">
        <v>-6</v>
      </c>
      <c r="I4925" t="b">
        <v>0</v>
      </c>
      <c r="J4925" t="b">
        <v>0</v>
      </c>
      <c r="K4925" t="b">
        <v>0</v>
      </c>
      <c r="L4925" t="b">
        <v>0</v>
      </c>
      <c r="M4925" t="b">
        <v>1</v>
      </c>
      <c r="N4925">
        <f>IFERROR(INDEX('Company Hitlist'!$AA:$AA,MATCH(D4925,'Company Hitlist'!$A:$A,0)),)</f>
        <v/>
      </c>
      <c r="O4925">
        <f>IFERROR(INDEX('Company Hitlist'!$N:$N,MATCH(D4925,'Company Hitlist'!$A:$A,0)),)</f>
        <v/>
      </c>
      <c r="Q4925" t="inlineStr">
        <is>
          <t>todo</t>
        </is>
      </c>
    </row>
    <row r="4926">
      <c r="A4926" t="inlineStr">
        <is>
          <t>Ashley Saifuddin</t>
        </is>
      </c>
      <c r="B4926" t="inlineStr">
        <is>
          <t>Sponsor</t>
        </is>
      </c>
      <c r="C4926" t="inlineStr">
        <is>
          <t>Commercial Marketing Manager</t>
        </is>
      </c>
      <c r="D4926" t="inlineStr">
        <is>
          <t>Ocado Intelligent Automation</t>
        </is>
      </c>
      <c r="H4926" t="n">
        <v>-6</v>
      </c>
      <c r="I4926" t="b">
        <v>0</v>
      </c>
      <c r="J4926" t="b">
        <v>0</v>
      </c>
      <c r="K4926" t="b">
        <v>0</v>
      </c>
      <c r="L4926" t="b">
        <v>0</v>
      </c>
      <c r="M4926" t="b">
        <v>1</v>
      </c>
      <c r="N4926">
        <f>IFERROR(INDEX('Company Hitlist'!$AA:$AA,MATCH(D4926,'Company Hitlist'!$A:$A,0)),)</f>
        <v/>
      </c>
      <c r="O4926">
        <f>IFERROR(INDEX('Company Hitlist'!$N:$N,MATCH(D4926,'Company Hitlist'!$A:$A,0)),)</f>
        <v/>
      </c>
      <c r="Q4926" t="inlineStr">
        <is>
          <t>todo</t>
        </is>
      </c>
    </row>
    <row r="4927">
      <c r="A4927" t="inlineStr">
        <is>
          <t>Colin McAleenan</t>
        </is>
      </c>
      <c r="B4927" t="inlineStr">
        <is>
          <t>Sponsor</t>
        </is>
      </c>
      <c r="C4927" t="inlineStr">
        <is>
          <t>Senior Director of Sales</t>
        </is>
      </c>
      <c r="D4927" t="inlineStr">
        <is>
          <t>Ocado Intelligent Automation</t>
        </is>
      </c>
      <c r="H4927" t="n">
        <v>-6</v>
      </c>
      <c r="I4927" t="b">
        <v>0</v>
      </c>
      <c r="J4927" t="b">
        <v>0</v>
      </c>
      <c r="K4927" t="b">
        <v>0</v>
      </c>
      <c r="L4927" t="b">
        <v>0</v>
      </c>
      <c r="M4927" t="b">
        <v>1</v>
      </c>
      <c r="N4927">
        <f>IFERROR(INDEX('Company Hitlist'!$AA:$AA,MATCH(D4927,'Company Hitlist'!$A:$A,0)),)</f>
        <v/>
      </c>
      <c r="O4927">
        <f>IFERROR(INDEX('Company Hitlist'!$N:$N,MATCH(D4927,'Company Hitlist'!$A:$A,0)),)</f>
        <v/>
      </c>
      <c r="Q4927" t="inlineStr">
        <is>
          <t>todo</t>
        </is>
      </c>
    </row>
    <row r="4928">
      <c r="A4928" t="inlineStr">
        <is>
          <t>Eric Hovan</t>
        </is>
      </c>
      <c r="B4928" t="inlineStr">
        <is>
          <t>Sponsor</t>
        </is>
      </c>
      <c r="C4928" t="inlineStr">
        <is>
          <t>Senior Director of Sales</t>
        </is>
      </c>
      <c r="D4928" t="inlineStr">
        <is>
          <t>Ocado Intelligent Automation</t>
        </is>
      </c>
      <c r="H4928" t="n">
        <v>-6</v>
      </c>
      <c r="I4928" t="b">
        <v>0</v>
      </c>
      <c r="J4928" t="b">
        <v>0</v>
      </c>
      <c r="K4928" t="b">
        <v>0</v>
      </c>
      <c r="L4928" t="b">
        <v>0</v>
      </c>
      <c r="M4928" t="b">
        <v>1</v>
      </c>
      <c r="N4928">
        <f>IFERROR(INDEX('Company Hitlist'!$AA:$AA,MATCH(D4928,'Company Hitlist'!$A:$A,0)),)</f>
        <v/>
      </c>
      <c r="O4928">
        <f>IFERROR(INDEX('Company Hitlist'!$N:$N,MATCH(D4928,'Company Hitlist'!$A:$A,0)),)</f>
        <v/>
      </c>
      <c r="Q4928" t="inlineStr">
        <is>
          <t>todo</t>
        </is>
      </c>
    </row>
    <row r="4929">
      <c r="A4929" t="inlineStr">
        <is>
          <t>Trevor Fitzgerald</t>
        </is>
      </c>
      <c r="B4929" t="inlineStr">
        <is>
          <t>Sponsor</t>
        </is>
      </c>
      <c r="C4929" t="inlineStr">
        <is>
          <t>Sales Executive</t>
        </is>
      </c>
      <c r="D4929" t="inlineStr">
        <is>
          <t>Olimp Warehousing</t>
        </is>
      </c>
      <c r="E4929" t="inlineStr">
        <is>
          <t>United States</t>
        </is>
      </c>
      <c r="H4929" t="n">
        <v>-6</v>
      </c>
      <c r="I4929" t="b">
        <v>0</v>
      </c>
      <c r="J4929" t="b">
        <v>0</v>
      </c>
      <c r="K4929" t="b">
        <v>0</v>
      </c>
      <c r="L4929" t="b">
        <v>0</v>
      </c>
      <c r="M4929" t="b">
        <v>1</v>
      </c>
      <c r="N4929">
        <f>IFERROR(INDEX('Company Hitlist'!$AA:$AA,MATCH(D4929,'Company Hitlist'!$A:$A,0)),)</f>
        <v/>
      </c>
      <c r="O4929">
        <f>IFERROR(INDEX('Company Hitlist'!$N:$N,MATCH(D4929,'Company Hitlist'!$A:$A,0)),)</f>
        <v/>
      </c>
      <c r="Q4929" t="inlineStr">
        <is>
          <t>todo</t>
        </is>
      </c>
    </row>
    <row r="4930">
      <c r="A4930" t="inlineStr">
        <is>
          <t>Margie Mitchell</t>
        </is>
      </c>
      <c r="B4930" t="inlineStr">
        <is>
          <t>Sponsor</t>
        </is>
      </c>
      <c r="C4930" t="inlineStr">
        <is>
          <t>Director of Sales - Middle Market</t>
        </is>
      </c>
      <c r="D4930" t="inlineStr">
        <is>
          <t>OnTrac</t>
        </is>
      </c>
      <c r="H4930" t="n">
        <v>-6</v>
      </c>
      <c r="I4930" t="b">
        <v>0</v>
      </c>
      <c r="J4930" t="b">
        <v>0</v>
      </c>
      <c r="K4930" t="b">
        <v>0</v>
      </c>
      <c r="L4930" t="b">
        <v>0</v>
      </c>
      <c r="M4930" t="b">
        <v>1</v>
      </c>
      <c r="N4930">
        <f>IFERROR(INDEX('Company Hitlist'!$AA:$AA,MATCH(D4930,'Company Hitlist'!$A:$A,0)),)</f>
        <v/>
      </c>
      <c r="O4930">
        <f>IFERROR(INDEX('Company Hitlist'!$N:$N,MATCH(D4930,'Company Hitlist'!$A:$A,0)),)</f>
        <v/>
      </c>
      <c r="Q4930" t="inlineStr">
        <is>
          <t>todo</t>
        </is>
      </c>
    </row>
    <row r="4931">
      <c r="A4931" t="inlineStr">
        <is>
          <t>Clay Kraby</t>
        </is>
      </c>
      <c r="B4931" t="inlineStr">
        <is>
          <t>Sponsor</t>
        </is>
      </c>
      <c r="C4931" t="inlineStr">
        <is>
          <t>Marketing Director</t>
        </is>
      </c>
      <c r="D4931" t="inlineStr">
        <is>
          <t>Onsharp</t>
        </is>
      </c>
      <c r="H4931" t="n">
        <v>-6</v>
      </c>
      <c r="I4931" t="b">
        <v>0</v>
      </c>
      <c r="J4931" t="b">
        <v>0</v>
      </c>
      <c r="K4931" t="b">
        <v>0</v>
      </c>
      <c r="L4931" t="b">
        <v>0</v>
      </c>
      <c r="M4931" t="b">
        <v>1</v>
      </c>
      <c r="N4931">
        <f>IFERROR(INDEX('Company Hitlist'!$AA:$AA,MATCH(D4931,'Company Hitlist'!$A:$A,0)),)</f>
        <v/>
      </c>
      <c r="O4931">
        <f>IFERROR(INDEX('Company Hitlist'!$N:$N,MATCH(D4931,'Company Hitlist'!$A:$A,0)),)</f>
        <v/>
      </c>
      <c r="Q4931" t="inlineStr">
        <is>
          <t>todo</t>
        </is>
      </c>
    </row>
    <row r="4932">
      <c r="A4932" t="inlineStr">
        <is>
          <t>Dee Whitney</t>
        </is>
      </c>
      <c r="B4932" t="inlineStr">
        <is>
          <t>Sponsor</t>
        </is>
      </c>
      <c r="C4932" t="inlineStr">
        <is>
          <t>Account Executive</t>
        </is>
      </c>
      <c r="D4932" t="inlineStr">
        <is>
          <t>OpenText</t>
        </is>
      </c>
      <c r="E4932" t="inlineStr">
        <is>
          <t>United States</t>
        </is>
      </c>
      <c r="H4932" t="n">
        <v>-6</v>
      </c>
      <c r="I4932" t="b">
        <v>0</v>
      </c>
      <c r="J4932" t="b">
        <v>0</v>
      </c>
      <c r="K4932" t="b">
        <v>0</v>
      </c>
      <c r="L4932" t="b">
        <v>0</v>
      </c>
      <c r="M4932" t="b">
        <v>1</v>
      </c>
      <c r="N4932">
        <f>IFERROR(INDEX('Company Hitlist'!$AA:$AA,MATCH(D4932,'Company Hitlist'!$A:$A,0)),)</f>
        <v/>
      </c>
      <c r="O4932">
        <f>IFERROR(INDEX('Company Hitlist'!$N:$N,MATCH(D4932,'Company Hitlist'!$A:$A,0)),)</f>
        <v/>
      </c>
      <c r="Q4932" t="inlineStr">
        <is>
          <t>todo</t>
        </is>
      </c>
    </row>
    <row r="4933">
      <c r="A4933" t="inlineStr">
        <is>
          <t>John Blevins</t>
        </is>
      </c>
      <c r="B4933" t="inlineStr">
        <is>
          <t>Sponsor</t>
        </is>
      </c>
      <c r="C4933" t="inlineStr">
        <is>
          <t>Senior Account Executive</t>
        </is>
      </c>
      <c r="D4933" t="inlineStr">
        <is>
          <t>OpenText</t>
        </is>
      </c>
      <c r="E4933" t="inlineStr">
        <is>
          <t>United States</t>
        </is>
      </c>
      <c r="H4933" t="n">
        <v>-6</v>
      </c>
      <c r="I4933" t="b">
        <v>0</v>
      </c>
      <c r="J4933" t="b">
        <v>0</v>
      </c>
      <c r="K4933" t="b">
        <v>0</v>
      </c>
      <c r="L4933" t="b">
        <v>0</v>
      </c>
      <c r="M4933" t="b">
        <v>1</v>
      </c>
      <c r="N4933">
        <f>IFERROR(INDEX('Company Hitlist'!$AA:$AA,MATCH(D4933,'Company Hitlist'!$A:$A,0)),)</f>
        <v/>
      </c>
      <c r="O4933">
        <f>IFERROR(INDEX('Company Hitlist'!$N:$N,MATCH(D4933,'Company Hitlist'!$A:$A,0)),)</f>
        <v/>
      </c>
      <c r="Q4933" t="inlineStr">
        <is>
          <t>todo</t>
        </is>
      </c>
    </row>
    <row r="4934">
      <c r="A4934" t="inlineStr">
        <is>
          <t>Naomi Skinner</t>
        </is>
      </c>
      <c r="B4934" t="inlineStr">
        <is>
          <t>Sponsor</t>
        </is>
      </c>
      <c r="C4934" t="inlineStr">
        <is>
          <t>Product Marketing Manager</t>
        </is>
      </c>
      <c r="D4934" t="inlineStr">
        <is>
          <t>OpenText</t>
        </is>
      </c>
      <c r="E4934" t="inlineStr">
        <is>
          <t>United States</t>
        </is>
      </c>
      <c r="H4934" t="n">
        <v>-6</v>
      </c>
      <c r="I4934" t="b">
        <v>0</v>
      </c>
      <c r="J4934" t="b">
        <v>0</v>
      </c>
      <c r="K4934" t="b">
        <v>0</v>
      </c>
      <c r="L4934" t="b">
        <v>0</v>
      </c>
      <c r="M4934" t="b">
        <v>1</v>
      </c>
      <c r="N4934">
        <f>IFERROR(INDEX('Company Hitlist'!$AA:$AA,MATCH(D4934,'Company Hitlist'!$A:$A,0)),)</f>
        <v/>
      </c>
      <c r="O4934">
        <f>IFERROR(INDEX('Company Hitlist'!$N:$N,MATCH(D4934,'Company Hitlist'!$A:$A,0)),)</f>
        <v/>
      </c>
      <c r="Q4934" t="inlineStr">
        <is>
          <t>todo</t>
        </is>
      </c>
    </row>
    <row r="4935">
      <c r="A4935" t="inlineStr">
        <is>
          <t>Karla Price</t>
        </is>
      </c>
      <c r="B4935" t="inlineStr">
        <is>
          <t>Sponsor</t>
        </is>
      </c>
      <c r="C4935" t="inlineStr">
        <is>
          <t>Senior Marketing Manager</t>
        </is>
      </c>
      <c r="D4935" t="inlineStr">
        <is>
          <t>OpenText</t>
        </is>
      </c>
      <c r="H4935" t="n">
        <v>-6</v>
      </c>
      <c r="I4935" t="b">
        <v>0</v>
      </c>
      <c r="J4935" t="b">
        <v>0</v>
      </c>
      <c r="K4935" t="b">
        <v>0</v>
      </c>
      <c r="L4935" t="b">
        <v>0</v>
      </c>
      <c r="M4935" t="b">
        <v>1</v>
      </c>
      <c r="N4935">
        <f>IFERROR(INDEX('Company Hitlist'!$AA:$AA,MATCH(D4935,'Company Hitlist'!$A:$A,0)),)</f>
        <v/>
      </c>
      <c r="O4935">
        <f>IFERROR(INDEX('Company Hitlist'!$N:$N,MATCH(D4935,'Company Hitlist'!$A:$A,0)),)</f>
        <v/>
      </c>
      <c r="Q4935" t="inlineStr">
        <is>
          <t>todo</t>
        </is>
      </c>
    </row>
    <row r="4936">
      <c r="A4936" t="inlineStr">
        <is>
          <t>Tommy Johnston</t>
        </is>
      </c>
      <c r="B4936" t="inlineStr">
        <is>
          <t>Sponsor</t>
        </is>
      </c>
      <c r="C4936" t="inlineStr">
        <is>
          <t>Account Executive</t>
        </is>
      </c>
      <c r="D4936" t="inlineStr">
        <is>
          <t>OpenTrack Inc.</t>
        </is>
      </c>
      <c r="E4936" t="inlineStr">
        <is>
          <t>United States</t>
        </is>
      </c>
      <c r="H4936" t="n">
        <v>-6</v>
      </c>
      <c r="I4936" t="b">
        <v>0</v>
      </c>
      <c r="J4936" t="b">
        <v>0</v>
      </c>
      <c r="K4936" t="b">
        <v>0</v>
      </c>
      <c r="L4936" t="b">
        <v>0</v>
      </c>
      <c r="M4936" t="b">
        <v>1</v>
      </c>
      <c r="N4936">
        <f>IFERROR(INDEX('Company Hitlist'!$AA:$AA,MATCH(D4936,'Company Hitlist'!$A:$A,0)),)</f>
        <v/>
      </c>
      <c r="O4936">
        <f>IFERROR(INDEX('Company Hitlist'!$N:$N,MATCH(D4936,'Company Hitlist'!$A:$A,0)),)</f>
        <v/>
      </c>
      <c r="Q4936" t="inlineStr">
        <is>
          <t>todo</t>
        </is>
      </c>
    </row>
    <row r="4937">
      <c r="A4937" t="inlineStr">
        <is>
          <t>Ben Marks</t>
        </is>
      </c>
      <c r="B4937" t="inlineStr">
        <is>
          <t>Sponsor</t>
        </is>
      </c>
      <c r="C4937" t="inlineStr">
        <is>
          <t>Senior Director, Solution Sales Engineering</t>
        </is>
      </c>
      <c r="D4937" t="inlineStr">
        <is>
          <t>Optimal Dynamics</t>
        </is>
      </c>
      <c r="E4937" t="inlineStr">
        <is>
          <t>United States</t>
        </is>
      </c>
      <c r="H4937" t="n">
        <v>-6</v>
      </c>
      <c r="I4937" t="b">
        <v>0</v>
      </c>
      <c r="J4937" t="b">
        <v>0</v>
      </c>
      <c r="K4937" t="b">
        <v>0</v>
      </c>
      <c r="L4937" t="b">
        <v>0</v>
      </c>
      <c r="M4937" t="b">
        <v>1</v>
      </c>
      <c r="N4937">
        <f>IFERROR(INDEX('Company Hitlist'!$AA:$AA,MATCH(D4937,'Company Hitlist'!$A:$A,0)),)</f>
        <v/>
      </c>
      <c r="O4937">
        <f>IFERROR(INDEX('Company Hitlist'!$N:$N,MATCH(D4937,'Company Hitlist'!$A:$A,0)),)</f>
        <v/>
      </c>
      <c r="Q4937" t="inlineStr">
        <is>
          <t>todo</t>
        </is>
      </c>
    </row>
    <row r="4938">
      <c r="A4938" t="inlineStr">
        <is>
          <t>Martin Steczek</t>
        </is>
      </c>
      <c r="B4938" t="inlineStr">
        <is>
          <t>Sponsor</t>
        </is>
      </c>
      <c r="C4938" t="inlineStr">
        <is>
          <t>Director of Sales</t>
        </is>
      </c>
      <c r="D4938" t="inlineStr">
        <is>
          <t>Optimologic</t>
        </is>
      </c>
      <c r="E4938" t="inlineStr">
        <is>
          <t>United States</t>
        </is>
      </c>
      <c r="H4938" t="n">
        <v>-6</v>
      </c>
      <c r="I4938" t="b">
        <v>0</v>
      </c>
      <c r="J4938" t="b">
        <v>0</v>
      </c>
      <c r="K4938" t="b">
        <v>0</v>
      </c>
      <c r="L4938" t="b">
        <v>0</v>
      </c>
      <c r="M4938" t="b">
        <v>1</v>
      </c>
      <c r="N4938">
        <f>IFERROR(INDEX('Company Hitlist'!$AA:$AA,MATCH(D4938,'Company Hitlist'!$A:$A,0)),)</f>
        <v/>
      </c>
      <c r="O4938">
        <f>IFERROR(INDEX('Company Hitlist'!$N:$N,MATCH(D4938,'Company Hitlist'!$A:$A,0)),)</f>
        <v/>
      </c>
      <c r="Q4938" t="inlineStr">
        <is>
          <t>todo</t>
        </is>
      </c>
    </row>
    <row r="4939">
      <c r="A4939" t="inlineStr">
        <is>
          <t>Brad Wham</t>
        </is>
      </c>
      <c r="B4939" t="inlineStr">
        <is>
          <t>Sponsor</t>
        </is>
      </c>
      <c r="C4939" t="inlineStr">
        <is>
          <t>Director of Sales</t>
        </is>
      </c>
      <c r="D4939" t="inlineStr">
        <is>
          <t>Orange EV</t>
        </is>
      </c>
      <c r="E4939" t="inlineStr">
        <is>
          <t>United States</t>
        </is>
      </c>
      <c r="H4939" t="n">
        <v>-6</v>
      </c>
      <c r="I4939" t="b">
        <v>0</v>
      </c>
      <c r="J4939" t="b">
        <v>0</v>
      </c>
      <c r="K4939" t="b">
        <v>0</v>
      </c>
      <c r="L4939" t="b">
        <v>0</v>
      </c>
      <c r="M4939" t="b">
        <v>1</v>
      </c>
      <c r="N4939">
        <f>IFERROR(INDEX('Company Hitlist'!$AA:$AA,MATCH(D4939,'Company Hitlist'!$A:$A,0)),)</f>
        <v/>
      </c>
      <c r="O4939">
        <f>IFERROR(INDEX('Company Hitlist'!$N:$N,MATCH(D4939,'Company Hitlist'!$A:$A,0)),)</f>
        <v/>
      </c>
      <c r="Q4939" t="inlineStr">
        <is>
          <t>todo</t>
        </is>
      </c>
    </row>
    <row r="4940">
      <c r="A4940" t="inlineStr">
        <is>
          <t>James Maitland</t>
        </is>
      </c>
      <c r="B4940" t="inlineStr">
        <is>
          <t>Sponsor</t>
        </is>
      </c>
      <c r="C4940" t="inlineStr">
        <is>
          <t>Sales Manager - Charging Solutions - Ports</t>
        </is>
      </c>
      <c r="D4940" t="inlineStr">
        <is>
          <t>Orange EV</t>
        </is>
      </c>
      <c r="E4940" t="inlineStr">
        <is>
          <t>United States</t>
        </is>
      </c>
      <c r="H4940" t="n">
        <v>-6</v>
      </c>
      <c r="I4940" t="b">
        <v>0</v>
      </c>
      <c r="J4940" t="b">
        <v>0</v>
      </c>
      <c r="K4940" t="b">
        <v>0</v>
      </c>
      <c r="L4940" t="b">
        <v>0</v>
      </c>
      <c r="M4940" t="b">
        <v>1</v>
      </c>
      <c r="N4940">
        <f>IFERROR(INDEX('Company Hitlist'!$AA:$AA,MATCH(D4940,'Company Hitlist'!$A:$A,0)),)</f>
        <v/>
      </c>
      <c r="O4940">
        <f>IFERROR(INDEX('Company Hitlist'!$N:$N,MATCH(D4940,'Company Hitlist'!$A:$A,0)),)</f>
        <v/>
      </c>
      <c r="Q4940" t="inlineStr">
        <is>
          <t>todo</t>
        </is>
      </c>
    </row>
    <row r="4941">
      <c r="A4941" t="inlineStr">
        <is>
          <t>Marc Schrader</t>
        </is>
      </c>
      <c r="B4941" t="inlineStr">
        <is>
          <t>Sponsor</t>
        </is>
      </c>
      <c r="C4941" t="inlineStr">
        <is>
          <t>Sr. Director, Partnerships &amp; BD</t>
        </is>
      </c>
      <c r="D4941" t="inlineStr">
        <is>
          <t>Overhaul</t>
        </is>
      </c>
      <c r="E4941" t="inlineStr">
        <is>
          <t>United States</t>
        </is>
      </c>
      <c r="F4941" t="inlineStr">
        <is>
          <t>Yes</t>
        </is>
      </c>
      <c r="G4941" t="inlineStr">
        <is>
          <t>131700000</t>
        </is>
      </c>
      <c r="H4941" t="n">
        <v>-6</v>
      </c>
      <c r="I4941" t="b">
        <v>0</v>
      </c>
      <c r="J4941" t="b">
        <v>0</v>
      </c>
      <c r="K4941" t="b">
        <v>0</v>
      </c>
      <c r="L4941" t="b">
        <v>0</v>
      </c>
      <c r="M4941" t="b">
        <v>1</v>
      </c>
      <c r="N4941">
        <f>IFERROR(INDEX('Company Hitlist'!$AA:$AA,MATCH(D4941,'Company Hitlist'!$A:$A,0)),)</f>
        <v/>
      </c>
      <c r="O4941">
        <f>IFERROR(INDEX('Company Hitlist'!$N:$N,MATCH(D4941,'Company Hitlist'!$A:$A,0)),)</f>
        <v/>
      </c>
      <c r="Q4941" t="inlineStr">
        <is>
          <t>todo</t>
        </is>
      </c>
    </row>
    <row r="4942">
      <c r="A4942" t="inlineStr">
        <is>
          <t>Ricardo Malacara</t>
        </is>
      </c>
      <c r="B4942" t="inlineStr">
        <is>
          <t>Sponsor</t>
        </is>
      </c>
      <c r="C4942" t="inlineStr">
        <is>
          <t>Director of Sales</t>
        </is>
      </c>
      <c r="D4942" t="inlineStr">
        <is>
          <t>Overhaul</t>
        </is>
      </c>
      <c r="E4942" t="inlineStr">
        <is>
          <t>United States</t>
        </is>
      </c>
      <c r="H4942" t="n">
        <v>-6</v>
      </c>
      <c r="I4942" t="b">
        <v>0</v>
      </c>
      <c r="J4942" t="b">
        <v>0</v>
      </c>
      <c r="K4942" t="b">
        <v>0</v>
      </c>
      <c r="L4942" t="b">
        <v>0</v>
      </c>
      <c r="M4942" t="b">
        <v>1</v>
      </c>
      <c r="N4942">
        <f>IFERROR(INDEX('Company Hitlist'!$AA:$AA,MATCH(D4942,'Company Hitlist'!$A:$A,0)),)</f>
        <v/>
      </c>
      <c r="O4942">
        <f>IFERROR(INDEX('Company Hitlist'!$N:$N,MATCH(D4942,'Company Hitlist'!$A:$A,0)),)</f>
        <v/>
      </c>
      <c r="Q4942" t="inlineStr">
        <is>
          <t>todo</t>
        </is>
      </c>
    </row>
    <row r="4943">
      <c r="A4943" t="inlineStr">
        <is>
          <t>Conor Conlon</t>
        </is>
      </c>
      <c r="B4943" t="inlineStr">
        <is>
          <t>Sponsor</t>
        </is>
      </c>
      <c r="C4943" t="inlineStr">
        <is>
          <t>Sr. Director, Sales</t>
        </is>
      </c>
      <c r="D4943" t="inlineStr">
        <is>
          <t>Overhaul</t>
        </is>
      </c>
      <c r="H4943" t="n">
        <v>-6</v>
      </c>
      <c r="I4943" t="b">
        <v>0</v>
      </c>
      <c r="J4943" t="b">
        <v>0</v>
      </c>
      <c r="K4943" t="b">
        <v>0</v>
      </c>
      <c r="L4943" t="b">
        <v>0</v>
      </c>
      <c r="M4943" t="b">
        <v>1</v>
      </c>
      <c r="N4943">
        <f>IFERROR(INDEX('Company Hitlist'!$AA:$AA,MATCH(D4943,'Company Hitlist'!$A:$A,0)),)</f>
        <v/>
      </c>
      <c r="O4943">
        <f>IFERROR(INDEX('Company Hitlist'!$N:$N,MATCH(D4943,'Company Hitlist'!$A:$A,0)),)</f>
        <v/>
      </c>
      <c r="Q4943" t="inlineStr">
        <is>
          <t>todo</t>
        </is>
      </c>
    </row>
    <row r="4944">
      <c r="A4944" t="inlineStr">
        <is>
          <t>Nate Morrison</t>
        </is>
      </c>
      <c r="B4944" t="inlineStr">
        <is>
          <t>Sponsor</t>
        </is>
      </c>
      <c r="C4944" t="inlineStr">
        <is>
          <t>Enterprise Account Executive</t>
        </is>
      </c>
      <c r="D4944" t="inlineStr">
        <is>
          <t>Overhaul</t>
        </is>
      </c>
      <c r="E4944" t="inlineStr">
        <is>
          <t>United States</t>
        </is>
      </c>
      <c r="H4944" t="n">
        <v>-6</v>
      </c>
      <c r="I4944" t="b">
        <v>0</v>
      </c>
      <c r="J4944" t="b">
        <v>0</v>
      </c>
      <c r="K4944" t="b">
        <v>0</v>
      </c>
      <c r="L4944" t="b">
        <v>0</v>
      </c>
      <c r="M4944" t="b">
        <v>1</v>
      </c>
      <c r="N4944">
        <f>IFERROR(INDEX('Company Hitlist'!$AA:$AA,MATCH(D4944,'Company Hitlist'!$A:$A,0)),)</f>
        <v/>
      </c>
      <c r="O4944">
        <f>IFERROR(INDEX('Company Hitlist'!$N:$N,MATCH(D4944,'Company Hitlist'!$A:$A,0)),)</f>
        <v/>
      </c>
      <c r="Q4944" t="inlineStr">
        <is>
          <t>todo</t>
        </is>
      </c>
    </row>
    <row r="4945">
      <c r="A4945" t="inlineStr">
        <is>
          <t>Jessica Zelaya</t>
        </is>
      </c>
      <c r="B4945" t="inlineStr">
        <is>
          <t>Sponsor</t>
        </is>
      </c>
      <c r="C4945" t="inlineStr">
        <is>
          <t>Enterprise Account Executive</t>
        </is>
      </c>
      <c r="D4945" t="inlineStr">
        <is>
          <t>Overhaul</t>
        </is>
      </c>
      <c r="H4945" t="n">
        <v>-6</v>
      </c>
      <c r="I4945" t="b">
        <v>0</v>
      </c>
      <c r="J4945" t="b">
        <v>0</v>
      </c>
      <c r="K4945" t="b">
        <v>0</v>
      </c>
      <c r="L4945" t="b">
        <v>0</v>
      </c>
      <c r="M4945" t="b">
        <v>1</v>
      </c>
      <c r="N4945">
        <f>IFERROR(INDEX('Company Hitlist'!$AA:$AA,MATCH(D4945,'Company Hitlist'!$A:$A,0)),)</f>
        <v/>
      </c>
      <c r="O4945">
        <f>IFERROR(INDEX('Company Hitlist'!$N:$N,MATCH(D4945,'Company Hitlist'!$A:$A,0)),)</f>
        <v/>
      </c>
      <c r="Q4945" t="inlineStr">
        <is>
          <t>todo</t>
        </is>
      </c>
    </row>
    <row r="4946">
      <c r="A4946" t="inlineStr">
        <is>
          <t>Kevin Hubrecht</t>
        </is>
      </c>
      <c r="B4946" t="inlineStr">
        <is>
          <t>Sponsor</t>
        </is>
      </c>
      <c r="C4946" t="inlineStr">
        <is>
          <t>Enterprise Account Executive</t>
        </is>
      </c>
      <c r="D4946" t="inlineStr">
        <is>
          <t>Overhaul</t>
        </is>
      </c>
      <c r="H4946" t="n">
        <v>-6</v>
      </c>
      <c r="I4946" t="b">
        <v>0</v>
      </c>
      <c r="J4946" t="b">
        <v>0</v>
      </c>
      <c r="K4946" t="b">
        <v>0</v>
      </c>
      <c r="L4946" t="b">
        <v>0</v>
      </c>
      <c r="M4946" t="b">
        <v>1</v>
      </c>
      <c r="N4946">
        <f>IFERROR(INDEX('Company Hitlist'!$AA:$AA,MATCH(D4946,'Company Hitlist'!$A:$A,0)),)</f>
        <v/>
      </c>
      <c r="O4946">
        <f>IFERROR(INDEX('Company Hitlist'!$N:$N,MATCH(D4946,'Company Hitlist'!$A:$A,0)),)</f>
        <v/>
      </c>
      <c r="Q4946" t="inlineStr">
        <is>
          <t>todo</t>
        </is>
      </c>
    </row>
    <row r="4947">
      <c r="A4947" t="inlineStr">
        <is>
          <t>Douglas Gilmour</t>
        </is>
      </c>
      <c r="B4947" t="inlineStr">
        <is>
          <t>Sponsor</t>
        </is>
      </c>
      <c r="C4947" t="inlineStr">
        <is>
          <t>Business Development Representative</t>
        </is>
      </c>
      <c r="D4947" t="inlineStr">
        <is>
          <t>Overhaul</t>
        </is>
      </c>
      <c r="E4947" t="inlineStr">
        <is>
          <t>United States</t>
        </is>
      </c>
      <c r="H4947" t="n">
        <v>-6</v>
      </c>
      <c r="I4947" t="b">
        <v>0</v>
      </c>
      <c r="J4947" t="b">
        <v>0</v>
      </c>
      <c r="K4947" t="b">
        <v>0</v>
      </c>
      <c r="L4947" t="b">
        <v>0</v>
      </c>
      <c r="M4947" t="b">
        <v>1</v>
      </c>
      <c r="N4947">
        <f>IFERROR(INDEX('Company Hitlist'!$AA:$AA,MATCH(D4947,'Company Hitlist'!$A:$A,0)),)</f>
        <v/>
      </c>
      <c r="O4947">
        <f>IFERROR(INDEX('Company Hitlist'!$N:$N,MATCH(D4947,'Company Hitlist'!$A:$A,0)),)</f>
        <v/>
      </c>
      <c r="Q4947" t="inlineStr">
        <is>
          <t>todo</t>
        </is>
      </c>
    </row>
    <row r="4948">
      <c r="A4948" t="inlineStr">
        <is>
          <t>Bret Evans</t>
        </is>
      </c>
      <c r="B4948" t="inlineStr">
        <is>
          <t>Sponsor</t>
        </is>
      </c>
      <c r="C4948" t="inlineStr">
        <is>
          <t>Director of Sales</t>
        </is>
      </c>
      <c r="D4948" t="inlineStr">
        <is>
          <t>PHD Solutions Inc.</t>
        </is>
      </c>
      <c r="H4948" t="n">
        <v>-6</v>
      </c>
      <c r="I4948" t="b">
        <v>0</v>
      </c>
      <c r="J4948" t="b">
        <v>0</v>
      </c>
      <c r="K4948" t="b">
        <v>0</v>
      </c>
      <c r="L4948" t="b">
        <v>0</v>
      </c>
      <c r="M4948" t="b">
        <v>1</v>
      </c>
      <c r="N4948">
        <f>IFERROR(INDEX('Company Hitlist'!$AA:$AA,MATCH(D4948,'Company Hitlist'!$A:$A,0)),)</f>
        <v/>
      </c>
      <c r="O4948">
        <f>IFERROR(INDEX('Company Hitlist'!$N:$N,MATCH(D4948,'Company Hitlist'!$A:$A,0)),)</f>
        <v/>
      </c>
      <c r="Q4948" t="inlineStr">
        <is>
          <t>todo</t>
        </is>
      </c>
    </row>
    <row r="4949">
      <c r="A4949" t="inlineStr">
        <is>
          <t>Arman Amlani</t>
        </is>
      </c>
      <c r="B4949" t="inlineStr">
        <is>
          <t>Sponsor</t>
        </is>
      </c>
      <c r="C4949" t="inlineStr">
        <is>
          <t>Sales Solutions Engineer</t>
        </is>
      </c>
      <c r="D4949" t="inlineStr">
        <is>
          <t>PIPE17 - Order Operations Solutions for 3PLs</t>
        </is>
      </c>
      <c r="E4949" t="inlineStr">
        <is>
          <t>United States</t>
        </is>
      </c>
      <c r="H4949" t="n">
        <v>-6</v>
      </c>
      <c r="I4949" t="b">
        <v>0</v>
      </c>
      <c r="J4949" t="b">
        <v>0</v>
      </c>
      <c r="K4949" t="b">
        <v>0</v>
      </c>
      <c r="L4949" t="b">
        <v>0</v>
      </c>
      <c r="M4949" t="b">
        <v>1</v>
      </c>
      <c r="N4949">
        <f>IFERROR(INDEX('Company Hitlist'!$AA:$AA,MATCH(D4949,'Company Hitlist'!$A:$A,0)),)</f>
        <v/>
      </c>
      <c r="O4949">
        <f>IFERROR(INDEX('Company Hitlist'!$N:$N,MATCH(D4949,'Company Hitlist'!$A:$A,0)),)</f>
        <v/>
      </c>
      <c r="Q4949" t="inlineStr">
        <is>
          <t>todo</t>
        </is>
      </c>
    </row>
    <row r="4950">
      <c r="A4950" t="inlineStr">
        <is>
          <t>Spencer Coop</t>
        </is>
      </c>
      <c r="B4950" t="inlineStr">
        <is>
          <t>Sponsor</t>
        </is>
      </c>
      <c r="C4950" t="inlineStr">
        <is>
          <t>Account Executive</t>
        </is>
      </c>
      <c r="D4950" t="inlineStr">
        <is>
          <t>Paccurate</t>
        </is>
      </c>
      <c r="E4950" t="inlineStr">
        <is>
          <t>United States</t>
        </is>
      </c>
      <c r="H4950" t="n">
        <v>-6</v>
      </c>
      <c r="I4950" t="b">
        <v>0</v>
      </c>
      <c r="J4950" t="b">
        <v>0</v>
      </c>
      <c r="K4950" t="b">
        <v>0</v>
      </c>
      <c r="L4950" t="b">
        <v>0</v>
      </c>
      <c r="M4950" t="b">
        <v>1</v>
      </c>
      <c r="N4950">
        <f>IFERROR(INDEX('Company Hitlist'!$AA:$AA,MATCH(D4950,'Company Hitlist'!$A:$A,0)),)</f>
        <v/>
      </c>
      <c r="O4950">
        <f>IFERROR(INDEX('Company Hitlist'!$N:$N,MATCH(D4950,'Company Hitlist'!$A:$A,0)),)</f>
        <v/>
      </c>
      <c r="Q4950" t="inlineStr">
        <is>
          <t>todo</t>
        </is>
      </c>
    </row>
    <row r="4951">
      <c r="A4951" t="inlineStr">
        <is>
          <t>Chad Selix</t>
        </is>
      </c>
      <c r="B4951" t="inlineStr">
        <is>
          <t>Sponsor</t>
        </is>
      </c>
      <c r="C4951" t="inlineStr">
        <is>
          <t>Enterprise Account Executive</t>
        </is>
      </c>
      <c r="D4951" t="inlineStr">
        <is>
          <t>PackageX</t>
        </is>
      </c>
      <c r="E4951" t="inlineStr">
        <is>
          <t>United States</t>
        </is>
      </c>
      <c r="H4951" t="n">
        <v>-6</v>
      </c>
      <c r="I4951" t="b">
        <v>0</v>
      </c>
      <c r="J4951" t="b">
        <v>0</v>
      </c>
      <c r="K4951" t="b">
        <v>0</v>
      </c>
      <c r="L4951" t="b">
        <v>0</v>
      </c>
      <c r="M4951" t="b">
        <v>1</v>
      </c>
      <c r="N4951">
        <f>IFERROR(INDEX('Company Hitlist'!$AA:$AA,MATCH(D4951,'Company Hitlist'!$A:$A,0)),)</f>
        <v/>
      </c>
      <c r="O4951">
        <f>IFERROR(INDEX('Company Hitlist'!$N:$N,MATCH(D4951,'Company Hitlist'!$A:$A,0)),)</f>
        <v/>
      </c>
      <c r="Q4951" t="inlineStr">
        <is>
          <t>todo</t>
        </is>
      </c>
    </row>
    <row r="4952">
      <c r="A4952" t="inlineStr">
        <is>
          <t>David Hutchison</t>
        </is>
      </c>
      <c r="B4952" t="inlineStr">
        <is>
          <t>Sponsor</t>
        </is>
      </c>
      <c r="C4952" t="inlineStr">
        <is>
          <t>Account Executive</t>
        </is>
      </c>
      <c r="D4952" t="inlineStr">
        <is>
          <t>PackageX</t>
        </is>
      </c>
      <c r="H4952" t="n">
        <v>-6</v>
      </c>
      <c r="I4952" t="b">
        <v>0</v>
      </c>
      <c r="J4952" t="b">
        <v>0</v>
      </c>
      <c r="K4952" t="b">
        <v>0</v>
      </c>
      <c r="L4952" t="b">
        <v>0</v>
      </c>
      <c r="M4952" t="b">
        <v>1</v>
      </c>
      <c r="N4952">
        <f>IFERROR(INDEX('Company Hitlist'!$AA:$AA,MATCH(D4952,'Company Hitlist'!$A:$A,0)),)</f>
        <v/>
      </c>
      <c r="O4952">
        <f>IFERROR(INDEX('Company Hitlist'!$N:$N,MATCH(D4952,'Company Hitlist'!$A:$A,0)),)</f>
        <v/>
      </c>
      <c r="Q4952" t="inlineStr">
        <is>
          <t>todo</t>
        </is>
      </c>
    </row>
    <row r="4953">
      <c r="A4953" t="inlineStr">
        <is>
          <t>Jeff Kinzler</t>
        </is>
      </c>
      <c r="B4953" t="inlineStr">
        <is>
          <t>Sponsor</t>
        </is>
      </c>
      <c r="C4953" t="inlineStr">
        <is>
          <t>Account Executive</t>
        </is>
      </c>
      <c r="D4953" t="inlineStr">
        <is>
          <t>PackageX</t>
        </is>
      </c>
      <c r="H4953" t="n">
        <v>-6</v>
      </c>
      <c r="I4953" t="b">
        <v>0</v>
      </c>
      <c r="J4953" t="b">
        <v>0</v>
      </c>
      <c r="K4953" t="b">
        <v>0</v>
      </c>
      <c r="L4953" t="b">
        <v>0</v>
      </c>
      <c r="M4953" t="b">
        <v>1</v>
      </c>
      <c r="N4953">
        <f>IFERROR(INDEX('Company Hitlist'!$AA:$AA,MATCH(D4953,'Company Hitlist'!$A:$A,0)),)</f>
        <v/>
      </c>
      <c r="O4953">
        <f>IFERROR(INDEX('Company Hitlist'!$N:$N,MATCH(D4953,'Company Hitlist'!$A:$A,0)),)</f>
        <v/>
      </c>
      <c r="Q4953" t="inlineStr">
        <is>
          <t>todo</t>
        </is>
      </c>
    </row>
    <row r="4954">
      <c r="A4954" t="inlineStr">
        <is>
          <t>Chris Gross</t>
        </is>
      </c>
      <c r="B4954" t="inlineStr">
        <is>
          <t>Sponsor</t>
        </is>
      </c>
      <c r="C4954" t="inlineStr">
        <is>
          <t>Senior Regional Sales Manager</t>
        </is>
      </c>
      <c r="D4954" t="inlineStr">
        <is>
          <t>Packsize</t>
        </is>
      </c>
      <c r="E4954" t="inlineStr">
        <is>
          <t>United States</t>
        </is>
      </c>
      <c r="H4954" t="n">
        <v>-6</v>
      </c>
      <c r="I4954" t="b">
        <v>0</v>
      </c>
      <c r="J4954" t="b">
        <v>0</v>
      </c>
      <c r="K4954" t="b">
        <v>0</v>
      </c>
      <c r="L4954" t="b">
        <v>0</v>
      </c>
      <c r="M4954" t="b">
        <v>1</v>
      </c>
      <c r="N4954">
        <f>IFERROR(INDEX('Company Hitlist'!$AA:$AA,MATCH(D4954,'Company Hitlist'!$A:$A,0)),)</f>
        <v/>
      </c>
      <c r="O4954">
        <f>IFERROR(INDEX('Company Hitlist'!$N:$N,MATCH(D4954,'Company Hitlist'!$A:$A,0)),)</f>
        <v/>
      </c>
      <c r="Q4954" t="inlineStr">
        <is>
          <t>todo</t>
        </is>
      </c>
    </row>
    <row r="4955">
      <c r="A4955" t="inlineStr">
        <is>
          <t>Craig Fitzsimmons</t>
        </is>
      </c>
      <c r="B4955" t="inlineStr">
        <is>
          <t>Sponsor</t>
        </is>
      </c>
      <c r="C4955" t="inlineStr">
        <is>
          <t>Sr Regional Sales Manager</t>
        </is>
      </c>
      <c r="D4955" t="inlineStr">
        <is>
          <t>Packsize</t>
        </is>
      </c>
      <c r="E4955" t="inlineStr">
        <is>
          <t>United States</t>
        </is>
      </c>
      <c r="H4955" t="n">
        <v>-6</v>
      </c>
      <c r="I4955" t="b">
        <v>0</v>
      </c>
      <c r="J4955" t="b">
        <v>0</v>
      </c>
      <c r="K4955" t="b">
        <v>0</v>
      </c>
      <c r="L4955" t="b">
        <v>0</v>
      </c>
      <c r="M4955" t="b">
        <v>1</v>
      </c>
      <c r="N4955">
        <f>IFERROR(INDEX('Company Hitlist'!$AA:$AA,MATCH(D4955,'Company Hitlist'!$A:$A,0)),)</f>
        <v/>
      </c>
      <c r="O4955">
        <f>IFERROR(INDEX('Company Hitlist'!$N:$N,MATCH(D4955,'Company Hitlist'!$A:$A,0)),)</f>
        <v/>
      </c>
      <c r="Q4955" t="inlineStr">
        <is>
          <t>todo</t>
        </is>
      </c>
    </row>
    <row r="4956">
      <c r="A4956" t="inlineStr">
        <is>
          <t>Keanna Strelau</t>
        </is>
      </c>
      <c r="B4956" t="inlineStr">
        <is>
          <t>Sponsor</t>
        </is>
      </c>
      <c r="C4956" t="inlineStr">
        <is>
          <t>Business Development Representative</t>
        </is>
      </c>
      <c r="D4956" t="inlineStr">
        <is>
          <t>Packsize</t>
        </is>
      </c>
      <c r="H4956" t="n">
        <v>-6</v>
      </c>
      <c r="I4956" t="b">
        <v>0</v>
      </c>
      <c r="J4956" t="b">
        <v>0</v>
      </c>
      <c r="K4956" t="b">
        <v>0</v>
      </c>
      <c r="L4956" t="b">
        <v>0</v>
      </c>
      <c r="M4956" t="b">
        <v>1</v>
      </c>
      <c r="N4956">
        <f>IFERROR(INDEX('Company Hitlist'!$AA:$AA,MATCH(D4956,'Company Hitlist'!$A:$A,0)),)</f>
        <v/>
      </c>
      <c r="O4956">
        <f>IFERROR(INDEX('Company Hitlist'!$N:$N,MATCH(D4956,'Company Hitlist'!$A:$A,0)),)</f>
        <v/>
      </c>
      <c r="Q4956" t="inlineStr">
        <is>
          <t>todo</t>
        </is>
      </c>
    </row>
    <row r="4957">
      <c r="A4957" t="inlineStr">
        <is>
          <t>Brendan Todd</t>
        </is>
      </c>
      <c r="B4957" t="inlineStr">
        <is>
          <t>Sponsor</t>
        </is>
      </c>
      <c r="C4957" t="inlineStr">
        <is>
          <t>GTM</t>
        </is>
      </c>
      <c r="D4957" t="inlineStr">
        <is>
          <t>Pallet</t>
        </is>
      </c>
      <c r="E4957" t="inlineStr">
        <is>
          <t>United States</t>
        </is>
      </c>
      <c r="F4957" t="inlineStr">
        <is>
          <t>Yes</t>
        </is>
      </c>
      <c r="G4957" t="inlineStr">
        <is>
          <t>11251000</t>
        </is>
      </c>
      <c r="H4957" t="n">
        <v>-6</v>
      </c>
      <c r="I4957" t="b">
        <v>0</v>
      </c>
      <c r="J4957" t="b">
        <v>0</v>
      </c>
      <c r="K4957" t="b">
        <v>0</v>
      </c>
      <c r="L4957" t="b">
        <v>0</v>
      </c>
      <c r="M4957" t="b">
        <v>1</v>
      </c>
      <c r="N4957">
        <f>IFERROR(INDEX('Company Hitlist'!$AA:$AA,MATCH(D4957,'Company Hitlist'!$A:$A,0)),)</f>
        <v/>
      </c>
      <c r="O4957">
        <f>IFERROR(INDEX('Company Hitlist'!$N:$N,MATCH(D4957,'Company Hitlist'!$A:$A,0)),)</f>
        <v/>
      </c>
      <c r="Q4957" t="inlineStr">
        <is>
          <t>todo</t>
        </is>
      </c>
    </row>
    <row r="4958">
      <c r="A4958" t="inlineStr">
        <is>
          <t>Gracie Ladner</t>
        </is>
      </c>
      <c r="B4958" t="inlineStr">
        <is>
          <t>Sponsor</t>
        </is>
      </c>
      <c r="C4958" t="inlineStr">
        <is>
          <t>Field Marketing</t>
        </is>
      </c>
      <c r="D4958" t="inlineStr">
        <is>
          <t>Pallet</t>
        </is>
      </c>
      <c r="E4958" t="inlineStr">
        <is>
          <t>United States</t>
        </is>
      </c>
      <c r="F4958" t="inlineStr">
        <is>
          <t>Yes</t>
        </is>
      </c>
      <c r="G4958" t="inlineStr">
        <is>
          <t>11251000</t>
        </is>
      </c>
      <c r="H4958" t="n">
        <v>-6</v>
      </c>
      <c r="I4958" t="b">
        <v>0</v>
      </c>
      <c r="J4958" t="b">
        <v>0</v>
      </c>
      <c r="K4958" t="b">
        <v>0</v>
      </c>
      <c r="L4958" t="b">
        <v>0</v>
      </c>
      <c r="M4958" t="b">
        <v>1</v>
      </c>
      <c r="N4958">
        <f>IFERROR(INDEX('Company Hitlist'!$AA:$AA,MATCH(D4958,'Company Hitlist'!$A:$A,0)),)</f>
        <v/>
      </c>
      <c r="O4958">
        <f>IFERROR(INDEX('Company Hitlist'!$N:$N,MATCH(D4958,'Company Hitlist'!$A:$A,0)),)</f>
        <v/>
      </c>
      <c r="Q4958" t="inlineStr">
        <is>
          <t>todo</t>
        </is>
      </c>
    </row>
    <row r="4959">
      <c r="A4959" t="inlineStr">
        <is>
          <t>Tara Sheridan</t>
        </is>
      </c>
      <c r="B4959" t="inlineStr">
        <is>
          <t>Sponsor</t>
        </is>
      </c>
      <c r="C4959" t="inlineStr">
        <is>
          <t>GTM</t>
        </is>
      </c>
      <c r="D4959" t="inlineStr">
        <is>
          <t>Pallet</t>
        </is>
      </c>
      <c r="E4959" t="inlineStr">
        <is>
          <t>United States</t>
        </is>
      </c>
      <c r="F4959" t="inlineStr">
        <is>
          <t>Yes</t>
        </is>
      </c>
      <c r="G4959" t="inlineStr">
        <is>
          <t>11251000</t>
        </is>
      </c>
      <c r="H4959" t="n">
        <v>-6</v>
      </c>
      <c r="I4959" t="b">
        <v>0</v>
      </c>
      <c r="J4959" t="b">
        <v>0</v>
      </c>
      <c r="K4959" t="b">
        <v>0</v>
      </c>
      <c r="L4959" t="b">
        <v>0</v>
      </c>
      <c r="M4959" t="b">
        <v>1</v>
      </c>
      <c r="N4959">
        <f>IFERROR(INDEX('Company Hitlist'!$AA:$AA,MATCH(D4959,'Company Hitlist'!$A:$A,0)),)</f>
        <v/>
      </c>
      <c r="O4959">
        <f>IFERROR(INDEX('Company Hitlist'!$N:$N,MATCH(D4959,'Company Hitlist'!$A:$A,0)),)</f>
        <v/>
      </c>
      <c r="Q4959" t="inlineStr">
        <is>
          <t>todo</t>
        </is>
      </c>
    </row>
    <row r="4960">
      <c r="A4960" t="inlineStr">
        <is>
          <t>Justis Faulkner</t>
        </is>
      </c>
      <c r="B4960" t="inlineStr">
        <is>
          <t>Sponsor</t>
        </is>
      </c>
      <c r="C4960" t="inlineStr">
        <is>
          <t>Sales Engineer</t>
        </is>
      </c>
      <c r="D4960" t="inlineStr">
        <is>
          <t>Pallet</t>
        </is>
      </c>
      <c r="E4960" t="inlineStr">
        <is>
          <t>United States</t>
        </is>
      </c>
      <c r="H4960" t="n">
        <v>-6</v>
      </c>
      <c r="I4960" t="b">
        <v>0</v>
      </c>
      <c r="J4960" t="b">
        <v>0</v>
      </c>
      <c r="K4960" t="b">
        <v>0</v>
      </c>
      <c r="L4960" t="b">
        <v>0</v>
      </c>
      <c r="M4960" t="b">
        <v>1</v>
      </c>
      <c r="N4960">
        <f>IFERROR(INDEX('Company Hitlist'!$AA:$AA,MATCH(D4960,'Company Hitlist'!$A:$A,0)),)</f>
        <v/>
      </c>
      <c r="O4960">
        <f>IFERROR(INDEX('Company Hitlist'!$N:$N,MATCH(D4960,'Company Hitlist'!$A:$A,0)),)</f>
        <v/>
      </c>
      <c r="Q4960" t="inlineStr">
        <is>
          <t>todo</t>
        </is>
      </c>
    </row>
    <row r="4961">
      <c r="A4961" t="inlineStr">
        <is>
          <t>Jaxon Kraemer</t>
        </is>
      </c>
      <c r="B4961" t="inlineStr">
        <is>
          <t>Sponsor</t>
        </is>
      </c>
      <c r="C4961" t="inlineStr">
        <is>
          <t>Account Executive</t>
        </is>
      </c>
      <c r="D4961" t="inlineStr">
        <is>
          <t>Pallet</t>
        </is>
      </c>
      <c r="E4961" t="inlineStr">
        <is>
          <t>United States</t>
        </is>
      </c>
      <c r="H4961" t="n">
        <v>-6</v>
      </c>
      <c r="I4961" t="b">
        <v>0</v>
      </c>
      <c r="J4961" t="b">
        <v>0</v>
      </c>
      <c r="K4961" t="b">
        <v>0</v>
      </c>
      <c r="L4961" t="b">
        <v>0</v>
      </c>
      <c r="M4961" t="b">
        <v>1</v>
      </c>
      <c r="N4961">
        <f>IFERROR(INDEX('Company Hitlist'!$AA:$AA,MATCH(D4961,'Company Hitlist'!$A:$A,0)),)</f>
        <v/>
      </c>
      <c r="O4961">
        <f>IFERROR(INDEX('Company Hitlist'!$N:$N,MATCH(D4961,'Company Hitlist'!$A:$A,0)),)</f>
        <v/>
      </c>
      <c r="Q4961" t="inlineStr">
        <is>
          <t>todo</t>
        </is>
      </c>
    </row>
    <row r="4962">
      <c r="A4962" t="inlineStr">
        <is>
          <t>Lisa Fimian</t>
        </is>
      </c>
      <c r="B4962" t="inlineStr">
        <is>
          <t>Sponsor</t>
        </is>
      </c>
      <c r="C4962" t="inlineStr">
        <is>
          <t>Account Executive</t>
        </is>
      </c>
      <c r="D4962" t="inlineStr">
        <is>
          <t>Pallet</t>
        </is>
      </c>
      <c r="E4962" t="inlineStr">
        <is>
          <t>United States</t>
        </is>
      </c>
      <c r="H4962" t="n">
        <v>-6</v>
      </c>
      <c r="I4962" t="b">
        <v>0</v>
      </c>
      <c r="J4962" t="b">
        <v>0</v>
      </c>
      <c r="K4962" t="b">
        <v>0</v>
      </c>
      <c r="L4962" t="b">
        <v>0</v>
      </c>
      <c r="M4962" t="b">
        <v>1</v>
      </c>
      <c r="N4962">
        <f>IFERROR(INDEX('Company Hitlist'!$AA:$AA,MATCH(D4962,'Company Hitlist'!$A:$A,0)),)</f>
        <v/>
      </c>
      <c r="O4962">
        <f>IFERROR(INDEX('Company Hitlist'!$N:$N,MATCH(D4962,'Company Hitlist'!$A:$A,0)),)</f>
        <v/>
      </c>
      <c r="Q4962" t="inlineStr">
        <is>
          <t>todo</t>
        </is>
      </c>
    </row>
    <row r="4963">
      <c r="A4963" t="inlineStr">
        <is>
          <t>Michael Burg</t>
        </is>
      </c>
      <c r="B4963" t="inlineStr">
        <is>
          <t>Sponsor</t>
        </is>
      </c>
      <c r="C4963" t="inlineStr">
        <is>
          <t>Account Executive</t>
        </is>
      </c>
      <c r="D4963" t="inlineStr">
        <is>
          <t>Pallet</t>
        </is>
      </c>
      <c r="H4963" t="n">
        <v>-6</v>
      </c>
      <c r="I4963" t="b">
        <v>0</v>
      </c>
      <c r="J4963" t="b">
        <v>0</v>
      </c>
      <c r="K4963" t="b">
        <v>0</v>
      </c>
      <c r="L4963" t="b">
        <v>0</v>
      </c>
      <c r="M4963" t="b">
        <v>1</v>
      </c>
      <c r="N4963">
        <f>IFERROR(INDEX('Company Hitlist'!$AA:$AA,MATCH(D4963,'Company Hitlist'!$A:$A,0)),)</f>
        <v/>
      </c>
      <c r="O4963">
        <f>IFERROR(INDEX('Company Hitlist'!$N:$N,MATCH(D4963,'Company Hitlist'!$A:$A,0)),)</f>
        <v/>
      </c>
      <c r="Q4963" t="inlineStr">
        <is>
          <t>todo</t>
        </is>
      </c>
    </row>
    <row r="4964">
      <c r="A4964" t="inlineStr">
        <is>
          <t>Stephen Bartalini</t>
        </is>
      </c>
      <c r="B4964" t="inlineStr">
        <is>
          <t>Sponsor</t>
        </is>
      </c>
      <c r="C4964" t="inlineStr">
        <is>
          <t>Director of Sales</t>
        </is>
      </c>
      <c r="D4964" t="inlineStr">
        <is>
          <t>PalletTrader</t>
        </is>
      </c>
      <c r="E4964" t="inlineStr">
        <is>
          <t>United States</t>
        </is>
      </c>
      <c r="H4964" t="n">
        <v>-6</v>
      </c>
      <c r="I4964" t="b">
        <v>0</v>
      </c>
      <c r="J4964" t="b">
        <v>0</v>
      </c>
      <c r="K4964" t="b">
        <v>0</v>
      </c>
      <c r="L4964" t="b">
        <v>0</v>
      </c>
      <c r="M4964" t="b">
        <v>1</v>
      </c>
      <c r="N4964">
        <f>IFERROR(INDEX('Company Hitlist'!$AA:$AA,MATCH(D4964,'Company Hitlist'!$A:$A,0)),)</f>
        <v/>
      </c>
      <c r="O4964">
        <f>IFERROR(INDEX('Company Hitlist'!$N:$N,MATCH(D4964,'Company Hitlist'!$A:$A,0)),)</f>
        <v/>
      </c>
      <c r="Q4964" t="inlineStr">
        <is>
          <t>todo</t>
        </is>
      </c>
    </row>
    <row r="4965">
      <c r="A4965" t="inlineStr">
        <is>
          <t>Trey Kulak</t>
        </is>
      </c>
      <c r="B4965" t="inlineStr">
        <is>
          <t>Sponsor</t>
        </is>
      </c>
      <c r="C4965" t="inlineStr">
        <is>
          <t>Sr. Account Executive</t>
        </is>
      </c>
      <c r="D4965" t="inlineStr">
        <is>
          <t>PalletTrader</t>
        </is>
      </c>
      <c r="E4965" t="inlineStr">
        <is>
          <t>United States</t>
        </is>
      </c>
      <c r="H4965" t="n">
        <v>-6</v>
      </c>
      <c r="I4965" t="b">
        <v>0</v>
      </c>
      <c r="J4965" t="b">
        <v>0</v>
      </c>
      <c r="K4965" t="b">
        <v>0</v>
      </c>
      <c r="L4965" t="b">
        <v>0</v>
      </c>
      <c r="M4965" t="b">
        <v>1</v>
      </c>
      <c r="N4965">
        <f>IFERROR(INDEX('Company Hitlist'!$AA:$AA,MATCH(D4965,'Company Hitlist'!$A:$A,0)),)</f>
        <v/>
      </c>
      <c r="O4965">
        <f>IFERROR(INDEX('Company Hitlist'!$N:$N,MATCH(D4965,'Company Hitlist'!$A:$A,0)),)</f>
        <v/>
      </c>
      <c r="Q4965" t="inlineStr">
        <is>
          <t>todo</t>
        </is>
      </c>
    </row>
    <row r="4966">
      <c r="A4966" t="inlineStr">
        <is>
          <t>Chelsea Lee</t>
        </is>
      </c>
      <c r="B4966" t="inlineStr">
        <is>
          <t>Sponsor</t>
        </is>
      </c>
      <c r="C4966" t="inlineStr">
        <is>
          <t>Director of Sales Enablement</t>
        </is>
      </c>
      <c r="D4966" t="inlineStr">
        <is>
          <t>Parcel Perform</t>
        </is>
      </c>
      <c r="E4966" t="inlineStr">
        <is>
          <t>United States</t>
        </is>
      </c>
      <c r="H4966" t="n">
        <v>-6</v>
      </c>
      <c r="I4966" t="b">
        <v>0</v>
      </c>
      <c r="J4966" t="b">
        <v>0</v>
      </c>
      <c r="K4966" t="b">
        <v>0</v>
      </c>
      <c r="L4966" t="b">
        <v>0</v>
      </c>
      <c r="M4966" t="b">
        <v>1</v>
      </c>
      <c r="N4966">
        <f>IFERROR(INDEX('Company Hitlist'!$AA:$AA,MATCH(D4966,'Company Hitlist'!$A:$A,0)),)</f>
        <v/>
      </c>
      <c r="O4966">
        <f>IFERROR(INDEX('Company Hitlist'!$N:$N,MATCH(D4966,'Company Hitlist'!$A:$A,0)),)</f>
        <v/>
      </c>
      <c r="Q4966" t="inlineStr">
        <is>
          <t>todo</t>
        </is>
      </c>
    </row>
    <row r="4967">
      <c r="A4967" t="inlineStr">
        <is>
          <t>Randall Smith</t>
        </is>
      </c>
      <c r="B4967" t="inlineStr">
        <is>
          <t>Sponsor</t>
        </is>
      </c>
      <c r="C4967" t="inlineStr">
        <is>
          <t>Account Executive</t>
        </is>
      </c>
      <c r="D4967" t="inlineStr">
        <is>
          <t>Parcel Perform</t>
        </is>
      </c>
      <c r="E4967" t="inlineStr">
        <is>
          <t>United States</t>
        </is>
      </c>
      <c r="H4967" t="n">
        <v>-6</v>
      </c>
      <c r="I4967" t="b">
        <v>0</v>
      </c>
      <c r="J4967" t="b">
        <v>0</v>
      </c>
      <c r="K4967" t="b">
        <v>0</v>
      </c>
      <c r="L4967" t="b">
        <v>0</v>
      </c>
      <c r="M4967" t="b">
        <v>1</v>
      </c>
      <c r="N4967">
        <f>IFERROR(INDEX('Company Hitlist'!$AA:$AA,MATCH(D4967,'Company Hitlist'!$A:$A,0)),)</f>
        <v/>
      </c>
      <c r="O4967">
        <f>IFERROR(INDEX('Company Hitlist'!$N:$N,MATCH(D4967,'Company Hitlist'!$A:$A,0)),)</f>
        <v/>
      </c>
      <c r="Q4967" t="inlineStr">
        <is>
          <t>todo</t>
        </is>
      </c>
    </row>
    <row r="4968">
      <c r="A4968" t="inlineStr">
        <is>
          <t>Preston Thompson</t>
        </is>
      </c>
      <c r="B4968" t="inlineStr">
        <is>
          <t>Sponsor</t>
        </is>
      </c>
      <c r="C4968" t="inlineStr">
        <is>
          <t>Senior Account Executive</t>
        </is>
      </c>
      <c r="D4968" t="inlineStr">
        <is>
          <t>Parcel Perform</t>
        </is>
      </c>
      <c r="H4968" t="n">
        <v>-6</v>
      </c>
      <c r="I4968" t="b">
        <v>0</v>
      </c>
      <c r="J4968" t="b">
        <v>0</v>
      </c>
      <c r="K4968" t="b">
        <v>0</v>
      </c>
      <c r="L4968" t="b">
        <v>0</v>
      </c>
      <c r="M4968" t="b">
        <v>1</v>
      </c>
      <c r="N4968">
        <f>IFERROR(INDEX('Company Hitlist'!$AA:$AA,MATCH(D4968,'Company Hitlist'!$A:$A,0)),)</f>
        <v/>
      </c>
      <c r="O4968">
        <f>IFERROR(INDEX('Company Hitlist'!$N:$N,MATCH(D4968,'Company Hitlist'!$A:$A,0)),)</f>
        <v/>
      </c>
      <c r="Q4968" t="inlineStr">
        <is>
          <t>todo</t>
        </is>
      </c>
    </row>
    <row r="4969">
      <c r="A4969" t="inlineStr">
        <is>
          <t>Aidan Murphy</t>
        </is>
      </c>
      <c r="B4969" t="inlineStr">
        <is>
          <t>Sponsor</t>
        </is>
      </c>
      <c r="C4969" t="inlineStr">
        <is>
          <t>Senior Business Development Executive</t>
        </is>
      </c>
      <c r="D4969" t="inlineStr">
        <is>
          <t>Penske Logistics</t>
        </is>
      </c>
      <c r="E4969" t="inlineStr">
        <is>
          <t>United States</t>
        </is>
      </c>
      <c r="H4969" t="n">
        <v>-6</v>
      </c>
      <c r="I4969" t="b">
        <v>0</v>
      </c>
      <c r="J4969" t="b">
        <v>0</v>
      </c>
      <c r="K4969" t="b">
        <v>0</v>
      </c>
      <c r="L4969" t="b">
        <v>0</v>
      </c>
      <c r="M4969" t="b">
        <v>1</v>
      </c>
      <c r="N4969">
        <f>IFERROR(INDEX('Company Hitlist'!$AA:$AA,MATCH(D4969,'Company Hitlist'!$A:$A,0)),)</f>
        <v/>
      </c>
      <c r="O4969">
        <f>IFERROR(INDEX('Company Hitlist'!$N:$N,MATCH(D4969,'Company Hitlist'!$A:$A,0)),)</f>
        <v/>
      </c>
      <c r="Q4969" t="inlineStr">
        <is>
          <t>todo</t>
        </is>
      </c>
    </row>
    <row r="4970">
      <c r="A4970" t="inlineStr">
        <is>
          <t>Richard Schager</t>
        </is>
      </c>
      <c r="B4970" t="inlineStr">
        <is>
          <t>Sponsor</t>
        </is>
      </c>
      <c r="C4970" t="inlineStr">
        <is>
          <t>Senior Business Development Executive</t>
        </is>
      </c>
      <c r="D4970" t="inlineStr">
        <is>
          <t>Penske Logistics</t>
        </is>
      </c>
      <c r="E4970" t="inlineStr">
        <is>
          <t>United States</t>
        </is>
      </c>
      <c r="H4970" t="n">
        <v>-6</v>
      </c>
      <c r="I4970" t="b">
        <v>0</v>
      </c>
      <c r="J4970" t="b">
        <v>0</v>
      </c>
      <c r="K4970" t="b">
        <v>0</v>
      </c>
      <c r="L4970" t="b">
        <v>0</v>
      </c>
      <c r="M4970" t="b">
        <v>1</v>
      </c>
      <c r="N4970">
        <f>IFERROR(INDEX('Company Hitlist'!$AA:$AA,MATCH(D4970,'Company Hitlist'!$A:$A,0)),)</f>
        <v/>
      </c>
      <c r="O4970">
        <f>IFERROR(INDEX('Company Hitlist'!$N:$N,MATCH(D4970,'Company Hitlist'!$A:$A,0)),)</f>
        <v/>
      </c>
      <c r="Q4970" t="inlineStr">
        <is>
          <t>todo</t>
        </is>
      </c>
    </row>
    <row r="4971">
      <c r="A4971" t="inlineStr">
        <is>
          <t>Jim McGlynn</t>
        </is>
      </c>
      <c r="B4971" t="inlineStr">
        <is>
          <t>Sponsor</t>
        </is>
      </c>
      <c r="C4971" t="inlineStr">
        <is>
          <t>Director-Strategic Sales</t>
        </is>
      </c>
      <c r="D4971" t="inlineStr">
        <is>
          <t>Penske Transportation Solutions</t>
        </is>
      </c>
      <c r="E4971" t="inlineStr">
        <is>
          <t>United States</t>
        </is>
      </c>
      <c r="H4971" t="n">
        <v>-6</v>
      </c>
      <c r="I4971" t="b">
        <v>0</v>
      </c>
      <c r="J4971" t="b">
        <v>0</v>
      </c>
      <c r="K4971" t="b">
        <v>0</v>
      </c>
      <c r="L4971" t="b">
        <v>0</v>
      </c>
      <c r="M4971" t="b">
        <v>1</v>
      </c>
      <c r="N4971">
        <f>IFERROR(INDEX('Company Hitlist'!$AA:$AA,MATCH(D4971,'Company Hitlist'!$A:$A,0)),)</f>
        <v/>
      </c>
      <c r="O4971">
        <f>IFERROR(INDEX('Company Hitlist'!$N:$N,MATCH(D4971,'Company Hitlist'!$A:$A,0)),)</f>
        <v/>
      </c>
      <c r="Q4971" t="inlineStr">
        <is>
          <t>todo</t>
        </is>
      </c>
    </row>
    <row r="4972">
      <c r="A4972" t="inlineStr">
        <is>
          <t>Doug Kubik</t>
        </is>
      </c>
      <c r="B4972" t="inlineStr">
        <is>
          <t>Sponsor</t>
        </is>
      </c>
      <c r="C4972" t="inlineStr">
        <is>
          <t>Strategic Account Executive</t>
        </is>
      </c>
      <c r="D4972" t="inlineStr">
        <is>
          <t>Penske Transportation Solutions</t>
        </is>
      </c>
      <c r="E4972" t="inlineStr">
        <is>
          <t>United States</t>
        </is>
      </c>
      <c r="H4972" t="n">
        <v>-6</v>
      </c>
      <c r="I4972" t="b">
        <v>0</v>
      </c>
      <c r="J4972" t="b">
        <v>0</v>
      </c>
      <c r="K4972" t="b">
        <v>0</v>
      </c>
      <c r="L4972" t="b">
        <v>0</v>
      </c>
      <c r="M4972" t="b">
        <v>1</v>
      </c>
      <c r="N4972">
        <f>IFERROR(INDEX('Company Hitlist'!$AA:$AA,MATCH(D4972,'Company Hitlist'!$A:$A,0)),)</f>
        <v/>
      </c>
      <c r="O4972">
        <f>IFERROR(INDEX('Company Hitlist'!$N:$N,MATCH(D4972,'Company Hitlist'!$A:$A,0)),)</f>
        <v/>
      </c>
      <c r="Q4972" t="inlineStr">
        <is>
          <t>todo</t>
        </is>
      </c>
    </row>
    <row r="4973">
      <c r="A4973" t="inlineStr">
        <is>
          <t>Travis Steffen</t>
        </is>
      </c>
      <c r="B4973" t="inlineStr">
        <is>
          <t>Sponsor</t>
        </is>
      </c>
      <c r="C4973" t="inlineStr">
        <is>
          <t>Strategic Account Executive</t>
        </is>
      </c>
      <c r="D4973" t="inlineStr">
        <is>
          <t>Penske Transportation Solutions</t>
        </is>
      </c>
      <c r="H4973" t="n">
        <v>-6</v>
      </c>
      <c r="I4973" t="b">
        <v>0</v>
      </c>
      <c r="J4973" t="b">
        <v>0</v>
      </c>
      <c r="K4973" t="b">
        <v>0</v>
      </c>
      <c r="L4973" t="b">
        <v>0</v>
      </c>
      <c r="M4973" t="b">
        <v>1</v>
      </c>
      <c r="N4973">
        <f>IFERROR(INDEX('Company Hitlist'!$AA:$AA,MATCH(D4973,'Company Hitlist'!$A:$A,0)),)</f>
        <v/>
      </c>
      <c r="O4973">
        <f>IFERROR(INDEX('Company Hitlist'!$N:$N,MATCH(D4973,'Company Hitlist'!$A:$A,0)),)</f>
        <v/>
      </c>
      <c r="Q4973" t="inlineStr">
        <is>
          <t>todo</t>
        </is>
      </c>
    </row>
    <row r="4974">
      <c r="A4974" t="inlineStr">
        <is>
          <t>Bethann Eaton</t>
        </is>
      </c>
      <c r="B4974" t="inlineStr">
        <is>
          <t>Sponsor</t>
        </is>
      </c>
      <c r="C4974" t="inlineStr">
        <is>
          <t>Customer Success Manager</t>
        </is>
      </c>
      <c r="D4974" t="inlineStr">
        <is>
          <t>Penske Transportation Solutions</t>
        </is>
      </c>
      <c r="E4974" t="inlineStr">
        <is>
          <t>United States</t>
        </is>
      </c>
      <c r="H4974" t="n">
        <v>-6</v>
      </c>
      <c r="I4974" t="b">
        <v>0</v>
      </c>
      <c r="J4974" t="b">
        <v>0</v>
      </c>
      <c r="K4974" t="b">
        <v>0</v>
      </c>
      <c r="L4974" t="b">
        <v>0</v>
      </c>
      <c r="M4974" t="b">
        <v>1</v>
      </c>
      <c r="N4974">
        <f>IFERROR(INDEX('Company Hitlist'!$AA:$AA,MATCH(D4974,'Company Hitlist'!$A:$A,0)),)</f>
        <v/>
      </c>
      <c r="O4974">
        <f>IFERROR(INDEX('Company Hitlist'!$N:$N,MATCH(D4974,'Company Hitlist'!$A:$A,0)),)</f>
        <v/>
      </c>
      <c r="Q4974" t="inlineStr">
        <is>
          <t>todo</t>
        </is>
      </c>
    </row>
    <row r="4975">
      <c r="A4975" t="inlineStr">
        <is>
          <t>Cyril Chatonda</t>
        </is>
      </c>
      <c r="B4975" t="inlineStr">
        <is>
          <t>Sponsor</t>
        </is>
      </c>
      <c r="C4975" t="inlineStr">
        <is>
          <t>Account Executive</t>
        </is>
      </c>
      <c r="D4975" t="inlineStr">
        <is>
          <t>Piaggio Fast Forward</t>
        </is>
      </c>
      <c r="E4975" t="inlineStr">
        <is>
          <t>United States</t>
        </is>
      </c>
      <c r="H4975" t="n">
        <v>-6</v>
      </c>
      <c r="I4975" t="b">
        <v>0</v>
      </c>
      <c r="J4975" t="b">
        <v>0</v>
      </c>
      <c r="K4975" t="b">
        <v>0</v>
      </c>
      <c r="L4975" t="b">
        <v>0</v>
      </c>
      <c r="M4975" t="b">
        <v>1</v>
      </c>
      <c r="N4975">
        <f>IFERROR(INDEX('Company Hitlist'!$AA:$AA,MATCH(D4975,'Company Hitlist'!$A:$A,0)),)</f>
        <v/>
      </c>
      <c r="O4975">
        <f>IFERROR(INDEX('Company Hitlist'!$N:$N,MATCH(D4975,'Company Hitlist'!$A:$A,0)),)</f>
        <v/>
      </c>
      <c r="Q4975" t="inlineStr">
        <is>
          <t>todo</t>
        </is>
      </c>
    </row>
    <row r="4976">
      <c r="A4976" t="inlineStr">
        <is>
          <t>Jack Diamond</t>
        </is>
      </c>
      <c r="B4976" t="inlineStr">
        <is>
          <t>Sponsor</t>
        </is>
      </c>
      <c r="C4976" t="inlineStr">
        <is>
          <t>Account Executive</t>
        </is>
      </c>
      <c r="D4976" t="inlineStr">
        <is>
          <t>Piaggio Fast Forward</t>
        </is>
      </c>
      <c r="E4976" t="inlineStr">
        <is>
          <t>United States</t>
        </is>
      </c>
      <c r="H4976" t="n">
        <v>-6</v>
      </c>
      <c r="I4976" t="b">
        <v>0</v>
      </c>
      <c r="J4976" t="b">
        <v>0</v>
      </c>
      <c r="K4976" t="b">
        <v>0</v>
      </c>
      <c r="L4976" t="b">
        <v>0</v>
      </c>
      <c r="M4976" t="b">
        <v>1</v>
      </c>
      <c r="N4976">
        <f>IFERROR(INDEX('Company Hitlist'!$AA:$AA,MATCH(D4976,'Company Hitlist'!$A:$A,0)),)</f>
        <v/>
      </c>
      <c r="O4976">
        <f>IFERROR(INDEX('Company Hitlist'!$N:$N,MATCH(D4976,'Company Hitlist'!$A:$A,0)),)</f>
        <v/>
      </c>
      <c r="Q4976" t="inlineStr">
        <is>
          <t>todo</t>
        </is>
      </c>
    </row>
    <row r="4977">
      <c r="A4977" t="inlineStr">
        <is>
          <t>Nathan Kufel</t>
        </is>
      </c>
      <c r="B4977" t="inlineStr">
        <is>
          <t>Sponsor</t>
        </is>
      </c>
      <c r="C4977" t="inlineStr">
        <is>
          <t>Strategic Account Executive</t>
        </is>
      </c>
      <c r="D4977" t="inlineStr">
        <is>
          <t>Pickle Robot</t>
        </is>
      </c>
      <c r="E4977" t="inlineStr">
        <is>
          <t>United States</t>
        </is>
      </c>
      <c r="H4977" t="n">
        <v>-6</v>
      </c>
      <c r="I4977" t="b">
        <v>0</v>
      </c>
      <c r="J4977" t="b">
        <v>0</v>
      </c>
      <c r="K4977" t="b">
        <v>0</v>
      </c>
      <c r="L4977" t="b">
        <v>0</v>
      </c>
      <c r="M4977" t="b">
        <v>1</v>
      </c>
      <c r="N4977">
        <f>IFERROR(INDEX('Company Hitlist'!$AA:$AA,MATCH(D4977,'Company Hitlist'!$A:$A,0)),)</f>
        <v/>
      </c>
      <c r="O4977">
        <f>IFERROR(INDEX('Company Hitlist'!$N:$N,MATCH(D4977,'Company Hitlist'!$A:$A,0)),)</f>
        <v/>
      </c>
      <c r="Q4977" t="inlineStr">
        <is>
          <t>todo</t>
        </is>
      </c>
    </row>
    <row r="4978">
      <c r="A4978" t="inlineStr">
        <is>
          <t>Shannon Frassrand</t>
        </is>
      </c>
      <c r="B4978" t="inlineStr">
        <is>
          <t>Sponsor</t>
        </is>
      </c>
      <c r="C4978" t="inlineStr">
        <is>
          <t>Senior Manager, Marketing</t>
        </is>
      </c>
      <c r="D4978" t="inlineStr">
        <is>
          <t>Pickle Robot</t>
        </is>
      </c>
      <c r="H4978" t="n">
        <v>-6</v>
      </c>
      <c r="I4978" t="b">
        <v>0</v>
      </c>
      <c r="J4978" t="b">
        <v>0</v>
      </c>
      <c r="K4978" t="b">
        <v>0</v>
      </c>
      <c r="L4978" t="b">
        <v>0</v>
      </c>
      <c r="M4978" t="b">
        <v>1</v>
      </c>
      <c r="N4978">
        <f>IFERROR(INDEX('Company Hitlist'!$AA:$AA,MATCH(D4978,'Company Hitlist'!$A:$A,0)),)</f>
        <v/>
      </c>
      <c r="O4978">
        <f>IFERROR(INDEX('Company Hitlist'!$N:$N,MATCH(D4978,'Company Hitlist'!$A:$A,0)),)</f>
        <v/>
      </c>
      <c r="Q4978" t="inlineStr">
        <is>
          <t>todo</t>
        </is>
      </c>
    </row>
    <row r="4979">
      <c r="A4979" t="inlineStr">
        <is>
          <t>Jaeden McLeod</t>
        </is>
      </c>
      <c r="B4979" t="inlineStr">
        <is>
          <t>Sponsor</t>
        </is>
      </c>
      <c r="C4979" t="inlineStr">
        <is>
          <t>Corporate Marketing Associate</t>
        </is>
      </c>
      <c r="D4979" t="inlineStr">
        <is>
          <t>Prince Rupert Port Authority</t>
        </is>
      </c>
      <c r="E4979" t="inlineStr">
        <is>
          <t>Canada</t>
        </is>
      </c>
      <c r="F4979" t="inlineStr">
        <is>
          <t>Yes</t>
        </is>
      </c>
      <c r="H4979" t="n">
        <v>-6</v>
      </c>
      <c r="I4979" t="b">
        <v>0</v>
      </c>
      <c r="J4979" t="b">
        <v>0</v>
      </c>
      <c r="K4979" t="b">
        <v>0</v>
      </c>
      <c r="L4979" t="b">
        <v>0</v>
      </c>
      <c r="M4979" t="b">
        <v>1</v>
      </c>
      <c r="N4979">
        <f>IFERROR(INDEX('Company Hitlist'!$AA:$AA,MATCH(D4979,'Company Hitlist'!$A:$A,0)),)</f>
        <v/>
      </c>
      <c r="O4979">
        <f>IFERROR(INDEX('Company Hitlist'!$N:$N,MATCH(D4979,'Company Hitlist'!$A:$A,0)),)</f>
        <v/>
      </c>
      <c r="Q4979" t="inlineStr">
        <is>
          <t>todo</t>
        </is>
      </c>
    </row>
    <row r="4980">
      <c r="A4980" t="inlineStr">
        <is>
          <t>Jeff Stromdahl</t>
        </is>
      </c>
      <c r="B4980" t="inlineStr">
        <is>
          <t>Sponsor</t>
        </is>
      </c>
      <c r="C4980" t="inlineStr">
        <is>
          <t>Manager, Marketing</t>
        </is>
      </c>
      <c r="D4980" t="inlineStr">
        <is>
          <t>Prince Rupert Port Authority</t>
        </is>
      </c>
      <c r="H4980" t="n">
        <v>-6</v>
      </c>
      <c r="I4980" t="b">
        <v>0</v>
      </c>
      <c r="J4980" t="b">
        <v>0</v>
      </c>
      <c r="K4980" t="b">
        <v>0</v>
      </c>
      <c r="L4980" t="b">
        <v>0</v>
      </c>
      <c r="M4980" t="b">
        <v>1</v>
      </c>
      <c r="N4980">
        <f>IFERROR(INDEX('Company Hitlist'!$AA:$AA,MATCH(D4980,'Company Hitlist'!$A:$A,0)),)</f>
        <v/>
      </c>
      <c r="O4980">
        <f>IFERROR(INDEX('Company Hitlist'!$N:$N,MATCH(D4980,'Company Hitlist'!$A:$A,0)),)</f>
        <v/>
      </c>
      <c r="Q4980" t="inlineStr">
        <is>
          <t>todo</t>
        </is>
      </c>
    </row>
    <row r="4981">
      <c r="A4981" t="inlineStr">
        <is>
          <t>Miranda Dowler</t>
        </is>
      </c>
      <c r="B4981" t="inlineStr">
        <is>
          <t>Sponsor</t>
        </is>
      </c>
      <c r="C4981" t="inlineStr">
        <is>
          <t>Enterprise Sales Executive</t>
        </is>
      </c>
      <c r="D4981" t="inlineStr">
        <is>
          <t>ProShip, Inc.</t>
        </is>
      </c>
      <c r="H4981" t="n">
        <v>-6</v>
      </c>
      <c r="I4981" t="b">
        <v>0</v>
      </c>
      <c r="J4981" t="b">
        <v>0</v>
      </c>
      <c r="K4981" t="b">
        <v>0</v>
      </c>
      <c r="L4981" t="b">
        <v>0</v>
      </c>
      <c r="M4981" t="b">
        <v>1</v>
      </c>
      <c r="N4981">
        <f>IFERROR(INDEX('Company Hitlist'!$AA:$AA,MATCH(D4981,'Company Hitlist'!$A:$A,0)),)</f>
        <v/>
      </c>
      <c r="O4981">
        <f>IFERROR(INDEX('Company Hitlist'!$N:$N,MATCH(D4981,'Company Hitlist'!$A:$A,0)),)</f>
        <v/>
      </c>
      <c r="Q4981" t="inlineStr">
        <is>
          <t>todo</t>
        </is>
      </c>
    </row>
    <row r="4982">
      <c r="A4982" t="inlineStr">
        <is>
          <t>Ben Kingdon</t>
        </is>
      </c>
      <c r="B4982" t="inlineStr">
        <is>
          <t>Sponsor</t>
        </is>
      </c>
      <c r="C4982" t="inlineStr">
        <is>
          <t>Senior Director, Business Development</t>
        </is>
      </c>
      <c r="D4982" t="inlineStr">
        <is>
          <t>Procure Analytics</t>
        </is>
      </c>
      <c r="E4982" t="inlineStr">
        <is>
          <t>United States</t>
        </is>
      </c>
      <c r="H4982" t="n">
        <v>-6</v>
      </c>
      <c r="I4982" t="b">
        <v>0</v>
      </c>
      <c r="J4982" t="b">
        <v>0</v>
      </c>
      <c r="K4982" t="b">
        <v>0</v>
      </c>
      <c r="L4982" t="b">
        <v>0</v>
      </c>
      <c r="M4982" t="b">
        <v>1</v>
      </c>
      <c r="N4982">
        <f>IFERROR(INDEX('Company Hitlist'!$AA:$AA,MATCH(D4982,'Company Hitlist'!$A:$A,0)),)</f>
        <v/>
      </c>
      <c r="O4982">
        <f>IFERROR(INDEX('Company Hitlist'!$N:$N,MATCH(D4982,'Company Hitlist'!$A:$A,0)),)</f>
        <v/>
      </c>
      <c r="Q4982" t="inlineStr">
        <is>
          <t>todo</t>
        </is>
      </c>
    </row>
    <row r="4983">
      <c r="A4983" t="inlineStr">
        <is>
          <t>Deeksha Shekar</t>
        </is>
      </c>
      <c r="B4983" t="inlineStr">
        <is>
          <t>Sponsor</t>
        </is>
      </c>
      <c r="C4983" t="inlineStr">
        <is>
          <t>Director, Business Development</t>
        </is>
      </c>
      <c r="D4983" t="inlineStr">
        <is>
          <t>Procure Analytics</t>
        </is>
      </c>
      <c r="H4983" t="n">
        <v>-6</v>
      </c>
      <c r="I4983" t="b">
        <v>0</v>
      </c>
      <c r="J4983" t="b">
        <v>0</v>
      </c>
      <c r="K4983" t="b">
        <v>0</v>
      </c>
      <c r="L4983" t="b">
        <v>0</v>
      </c>
      <c r="M4983" t="b">
        <v>1</v>
      </c>
      <c r="N4983">
        <f>IFERROR(INDEX('Company Hitlist'!$AA:$AA,MATCH(D4983,'Company Hitlist'!$A:$A,0)),)</f>
        <v/>
      </c>
      <c r="O4983">
        <f>IFERROR(INDEX('Company Hitlist'!$N:$N,MATCH(D4983,'Company Hitlist'!$A:$A,0)),)</f>
        <v/>
      </c>
      <c r="Q4983" t="inlineStr">
        <is>
          <t>todo</t>
        </is>
      </c>
    </row>
    <row r="4984">
      <c r="A4984" t="inlineStr">
        <is>
          <t>Quiana Taylor</t>
        </is>
      </c>
      <c r="B4984" t="inlineStr">
        <is>
          <t>Sponsor</t>
        </is>
      </c>
      <c r="C4984" t="inlineStr">
        <is>
          <t>Business Development Representative</t>
        </is>
      </c>
      <c r="D4984" t="inlineStr">
        <is>
          <t>Procure Analytics</t>
        </is>
      </c>
      <c r="H4984" t="n">
        <v>-6</v>
      </c>
      <c r="I4984" t="b">
        <v>0</v>
      </c>
      <c r="J4984" t="b">
        <v>0</v>
      </c>
      <c r="K4984" t="b">
        <v>0</v>
      </c>
      <c r="L4984" t="b">
        <v>0</v>
      </c>
      <c r="M4984" t="b">
        <v>1</v>
      </c>
      <c r="N4984">
        <f>IFERROR(INDEX('Company Hitlist'!$AA:$AA,MATCH(D4984,'Company Hitlist'!$A:$A,0)),)</f>
        <v/>
      </c>
      <c r="O4984">
        <f>IFERROR(INDEX('Company Hitlist'!$N:$N,MATCH(D4984,'Company Hitlist'!$A:$A,0)),)</f>
        <v/>
      </c>
      <c r="Q4984" t="inlineStr">
        <is>
          <t>todo</t>
        </is>
      </c>
    </row>
    <row r="4985">
      <c r="A4985" t="inlineStr">
        <is>
          <t>Geof Dolejsi</t>
        </is>
      </c>
      <c r="B4985" t="inlineStr">
        <is>
          <t>Sponsor</t>
        </is>
      </c>
      <c r="C4985" t="inlineStr">
        <is>
          <t>Senior A/E Alliances</t>
        </is>
      </c>
      <c r="D4985" t="inlineStr">
        <is>
          <t>Purolator</t>
        </is>
      </c>
      <c r="E4985" t="inlineStr">
        <is>
          <t>Canada</t>
        </is>
      </c>
      <c r="F4985" t="inlineStr">
        <is>
          <t>Yes</t>
        </is>
      </c>
      <c r="G4985" t="inlineStr">
        <is>
          <t>$2.7B</t>
        </is>
      </c>
      <c r="H4985" t="n">
        <v>-6</v>
      </c>
      <c r="I4985" t="b">
        <v>0</v>
      </c>
      <c r="J4985" t="b">
        <v>0</v>
      </c>
      <c r="K4985" t="b">
        <v>0</v>
      </c>
      <c r="L4985" t="b">
        <v>0</v>
      </c>
      <c r="M4985" t="b">
        <v>1</v>
      </c>
      <c r="N4985">
        <f>IFERROR(INDEX('Company Hitlist'!$AA:$AA,MATCH(D4985,'Company Hitlist'!$A:$A,0)),)</f>
        <v/>
      </c>
      <c r="O4985">
        <f>IFERROR(INDEX('Company Hitlist'!$N:$N,MATCH(D4985,'Company Hitlist'!$A:$A,0)),)</f>
        <v/>
      </c>
      <c r="Q4985" t="inlineStr">
        <is>
          <t>todo</t>
        </is>
      </c>
    </row>
    <row r="4986">
      <c r="A4986" t="inlineStr">
        <is>
          <t>Mike Chahenian</t>
        </is>
      </c>
      <c r="B4986" t="inlineStr">
        <is>
          <t>Sponsor</t>
        </is>
      </c>
      <c r="C4986" t="inlineStr">
        <is>
          <t>Director of Sales – Retail Vertical</t>
        </is>
      </c>
      <c r="D4986" t="inlineStr">
        <is>
          <t>Purolator</t>
        </is>
      </c>
      <c r="E4986" t="inlineStr">
        <is>
          <t>Canada</t>
        </is>
      </c>
      <c r="H4986" t="n">
        <v>-6</v>
      </c>
      <c r="I4986" t="b">
        <v>0</v>
      </c>
      <c r="J4986" t="b">
        <v>0</v>
      </c>
      <c r="K4986" t="b">
        <v>0</v>
      </c>
      <c r="L4986" t="b">
        <v>0</v>
      </c>
      <c r="M4986" t="b">
        <v>1</v>
      </c>
      <c r="N4986">
        <f>IFERROR(INDEX('Company Hitlist'!$AA:$AA,MATCH(D4986,'Company Hitlist'!$A:$A,0)),)</f>
        <v/>
      </c>
      <c r="O4986">
        <f>IFERROR(INDEX('Company Hitlist'!$N:$N,MATCH(D4986,'Company Hitlist'!$A:$A,0)),)</f>
        <v/>
      </c>
      <c r="Q4986" t="inlineStr">
        <is>
          <t>todo</t>
        </is>
      </c>
    </row>
    <row r="4987">
      <c r="A4987" t="inlineStr">
        <is>
          <t>Daniel Robertson</t>
        </is>
      </c>
      <c r="B4987" t="inlineStr">
        <is>
          <t>Sponsor</t>
        </is>
      </c>
      <c r="C4987" t="inlineStr">
        <is>
          <t>Retail Vertical Sales Executive</t>
        </is>
      </c>
      <c r="D4987" t="inlineStr">
        <is>
          <t>Purolator Inc.</t>
        </is>
      </c>
      <c r="E4987" t="inlineStr">
        <is>
          <t>United States</t>
        </is>
      </c>
      <c r="H4987" t="n">
        <v>-6</v>
      </c>
      <c r="I4987" t="b">
        <v>0</v>
      </c>
      <c r="J4987" t="b">
        <v>0</v>
      </c>
      <c r="K4987" t="b">
        <v>0</v>
      </c>
      <c r="L4987" t="b">
        <v>0</v>
      </c>
      <c r="M4987" t="b">
        <v>1</v>
      </c>
      <c r="N4987">
        <f>IFERROR(INDEX('Company Hitlist'!$AA:$AA,MATCH(D4987,'Company Hitlist'!$A:$A,0)),)</f>
        <v/>
      </c>
      <c r="O4987">
        <f>IFERROR(INDEX('Company Hitlist'!$N:$N,MATCH(D4987,'Company Hitlist'!$A:$A,0)),)</f>
        <v/>
      </c>
      <c r="Q4987" t="inlineStr">
        <is>
          <t>todo</t>
        </is>
      </c>
    </row>
    <row r="4988">
      <c r="A4988" t="inlineStr">
        <is>
          <t>Liz Pinkstaff</t>
        </is>
      </c>
      <c r="B4988" t="inlineStr">
        <is>
          <t>Sponsor</t>
        </is>
      </c>
      <c r="C4988" t="inlineStr">
        <is>
          <t>Industrial Vertical Sales Specialist</t>
        </is>
      </c>
      <c r="D4988" t="inlineStr">
        <is>
          <t>Purolator Inc.</t>
        </is>
      </c>
      <c r="E4988" t="inlineStr">
        <is>
          <t>United States</t>
        </is>
      </c>
      <c r="H4988" t="n">
        <v>-6</v>
      </c>
      <c r="I4988" t="b">
        <v>0</v>
      </c>
      <c r="J4988" t="b">
        <v>0</v>
      </c>
      <c r="K4988" t="b">
        <v>0</v>
      </c>
      <c r="L4988" t="b">
        <v>0</v>
      </c>
      <c r="M4988" t="b">
        <v>1</v>
      </c>
      <c r="N4988">
        <f>IFERROR(INDEX('Company Hitlist'!$AA:$AA,MATCH(D4988,'Company Hitlist'!$A:$A,0)),)</f>
        <v/>
      </c>
      <c r="O4988">
        <f>IFERROR(INDEX('Company Hitlist'!$N:$N,MATCH(D4988,'Company Hitlist'!$A:$A,0)),)</f>
        <v/>
      </c>
      <c r="Q4988" t="inlineStr">
        <is>
          <t>todo</t>
        </is>
      </c>
    </row>
    <row r="4989">
      <c r="A4989" t="inlineStr">
        <is>
          <t>David Shawcross</t>
        </is>
      </c>
      <c r="B4989" t="inlineStr">
        <is>
          <t>Sponsor</t>
        </is>
      </c>
      <c r="C4989" t="inlineStr">
        <is>
          <t>Senior Business Development Manager UK</t>
        </is>
      </c>
      <c r="D4989" t="inlineStr">
        <is>
          <t>Qargo TMS</t>
        </is>
      </c>
      <c r="E4989" t="inlineStr">
        <is>
          <t>United Kingdom</t>
        </is>
      </c>
      <c r="H4989" t="n">
        <v>-6</v>
      </c>
      <c r="I4989" t="b">
        <v>0</v>
      </c>
      <c r="J4989" t="b">
        <v>0</v>
      </c>
      <c r="K4989" t="b">
        <v>0</v>
      </c>
      <c r="L4989" t="b">
        <v>0</v>
      </c>
      <c r="M4989" t="b">
        <v>1</v>
      </c>
      <c r="N4989">
        <f>IFERROR(INDEX('Company Hitlist'!$AA:$AA,MATCH(D4989,'Company Hitlist'!$A:$A,0)),)</f>
        <v/>
      </c>
      <c r="O4989">
        <f>IFERROR(INDEX('Company Hitlist'!$N:$N,MATCH(D4989,'Company Hitlist'!$A:$A,0)),)</f>
        <v/>
      </c>
      <c r="Q4989" t="inlineStr">
        <is>
          <t>todo</t>
        </is>
      </c>
    </row>
    <row r="4990">
      <c r="A4990" t="inlineStr">
        <is>
          <t>Jordan Shrago</t>
        </is>
      </c>
      <c r="B4990" t="inlineStr">
        <is>
          <t>Sponsor</t>
        </is>
      </c>
      <c r="C4990" t="inlineStr">
        <is>
          <t>Director of Sales</t>
        </is>
      </c>
      <c r="D4990" t="inlineStr">
        <is>
          <t>Quickcode.ai</t>
        </is>
      </c>
      <c r="E4990" t="inlineStr">
        <is>
          <t>United States</t>
        </is>
      </c>
      <c r="H4990" t="n">
        <v>-6</v>
      </c>
      <c r="I4990" t="b">
        <v>0</v>
      </c>
      <c r="J4990" t="b">
        <v>0</v>
      </c>
      <c r="K4990" t="b">
        <v>0</v>
      </c>
      <c r="L4990" t="b">
        <v>0</v>
      </c>
      <c r="M4990" t="b">
        <v>1</v>
      </c>
      <c r="N4990">
        <f>IFERROR(INDEX('Company Hitlist'!$AA:$AA,MATCH(D4990,'Company Hitlist'!$A:$A,0)),)</f>
        <v/>
      </c>
      <c r="O4990">
        <f>IFERROR(INDEX('Company Hitlist'!$N:$N,MATCH(D4990,'Company Hitlist'!$A:$A,0)),)</f>
        <v/>
      </c>
      <c r="Q4990" t="inlineStr">
        <is>
          <t>todo</t>
        </is>
      </c>
    </row>
    <row r="4991">
      <c r="A4991" t="inlineStr">
        <is>
          <t>Sonali Reddy</t>
        </is>
      </c>
      <c r="B4991" t="inlineStr">
        <is>
          <t>Sponsor</t>
        </is>
      </c>
      <c r="C4991" t="inlineStr">
        <is>
          <t>Sales Development Rep</t>
        </is>
      </c>
      <c r="D4991" t="inlineStr">
        <is>
          <t>Radar</t>
        </is>
      </c>
      <c r="H4991" t="n">
        <v>-6</v>
      </c>
      <c r="I4991" t="b">
        <v>0</v>
      </c>
      <c r="J4991" t="b">
        <v>0</v>
      </c>
      <c r="K4991" t="b">
        <v>0</v>
      </c>
      <c r="L4991" t="b">
        <v>0</v>
      </c>
      <c r="M4991" t="b">
        <v>1</v>
      </c>
      <c r="N4991">
        <f>IFERROR(INDEX('Company Hitlist'!$AA:$AA,MATCH(D4991,'Company Hitlist'!$A:$A,0)),)</f>
        <v/>
      </c>
      <c r="O4991">
        <f>IFERROR(INDEX('Company Hitlist'!$N:$N,MATCH(D4991,'Company Hitlist'!$A:$A,0)),)</f>
        <v/>
      </c>
      <c r="Q4991" t="inlineStr">
        <is>
          <t>todo</t>
        </is>
      </c>
    </row>
    <row r="4992">
      <c r="A4992" t="inlineStr">
        <is>
          <t>Ben Mason</t>
        </is>
      </c>
      <c r="B4992" t="inlineStr">
        <is>
          <t>Sponsor</t>
        </is>
      </c>
      <c r="C4992" t="inlineStr">
        <is>
          <t>Account Executive</t>
        </is>
      </c>
      <c r="D4992" t="inlineStr">
        <is>
          <t>Radar</t>
        </is>
      </c>
      <c r="E4992" t="inlineStr">
        <is>
          <t>United States</t>
        </is>
      </c>
      <c r="H4992" t="n">
        <v>-6</v>
      </c>
      <c r="I4992" t="b">
        <v>0</v>
      </c>
      <c r="J4992" t="b">
        <v>0</v>
      </c>
      <c r="K4992" t="b">
        <v>0</v>
      </c>
      <c r="L4992" t="b">
        <v>0</v>
      </c>
      <c r="M4992" t="b">
        <v>1</v>
      </c>
      <c r="N4992">
        <f>IFERROR(INDEX('Company Hitlist'!$AA:$AA,MATCH(D4992,'Company Hitlist'!$A:$A,0)),)</f>
        <v/>
      </c>
      <c r="O4992">
        <f>IFERROR(INDEX('Company Hitlist'!$N:$N,MATCH(D4992,'Company Hitlist'!$A:$A,0)),)</f>
        <v/>
      </c>
      <c r="Q4992" t="inlineStr">
        <is>
          <t>todo</t>
        </is>
      </c>
    </row>
    <row r="4993">
      <c r="A4993" t="inlineStr">
        <is>
          <t>Kai Simon</t>
        </is>
      </c>
      <c r="B4993" t="inlineStr">
        <is>
          <t>Sponsor</t>
        </is>
      </c>
      <c r="C4993" t="inlineStr">
        <is>
          <t>Account Executive</t>
        </is>
      </c>
      <c r="D4993" t="inlineStr">
        <is>
          <t>Radar</t>
        </is>
      </c>
      <c r="H4993" t="n">
        <v>-6</v>
      </c>
      <c r="I4993" t="b">
        <v>0</v>
      </c>
      <c r="J4993" t="b">
        <v>0</v>
      </c>
      <c r="K4993" t="b">
        <v>0</v>
      </c>
      <c r="L4993" t="b">
        <v>0</v>
      </c>
      <c r="M4993" t="b">
        <v>1</v>
      </c>
      <c r="N4993">
        <f>IFERROR(INDEX('Company Hitlist'!$AA:$AA,MATCH(D4993,'Company Hitlist'!$A:$A,0)),)</f>
        <v/>
      </c>
      <c r="O4993">
        <f>IFERROR(INDEX('Company Hitlist'!$N:$N,MATCH(D4993,'Company Hitlist'!$A:$A,0)),)</f>
        <v/>
      </c>
      <c r="Q4993" t="inlineStr">
        <is>
          <t>todo</t>
        </is>
      </c>
    </row>
    <row r="4994">
      <c r="A4994" t="inlineStr">
        <is>
          <t>Jessica Blades</t>
        </is>
      </c>
      <c r="B4994" t="inlineStr">
        <is>
          <t>Sponsor</t>
        </is>
      </c>
      <c r="C4994" t="inlineStr">
        <is>
          <t>Marketing &amp; Events Coordinator</t>
        </is>
      </c>
      <c r="D4994" t="inlineStr">
        <is>
          <t>Raft</t>
        </is>
      </c>
      <c r="E4994" t="inlineStr">
        <is>
          <t>United Kingdom</t>
        </is>
      </c>
      <c r="F4994" t="inlineStr">
        <is>
          <t>Yes</t>
        </is>
      </c>
      <c r="G4994" t="inlineStr">
        <is>
          <t>$20 million (2025)</t>
        </is>
      </c>
      <c r="H4994" t="n">
        <v>-6</v>
      </c>
      <c r="I4994" t="b">
        <v>0</v>
      </c>
      <c r="J4994" t="b">
        <v>0</v>
      </c>
      <c r="K4994" t="b">
        <v>0</v>
      </c>
      <c r="L4994" t="b">
        <v>0</v>
      </c>
      <c r="M4994" t="b">
        <v>1</v>
      </c>
      <c r="N4994">
        <f>IFERROR(INDEX('Company Hitlist'!$AA:$AA,MATCH(D4994,'Company Hitlist'!$A:$A,0)),)</f>
        <v/>
      </c>
      <c r="O4994">
        <f>IFERROR(INDEX('Company Hitlist'!$N:$N,MATCH(D4994,'Company Hitlist'!$A:$A,0)),)</f>
        <v/>
      </c>
      <c r="Q4994" t="inlineStr">
        <is>
          <t>todo</t>
        </is>
      </c>
    </row>
    <row r="4995">
      <c r="A4995" t="inlineStr">
        <is>
          <t>Lauren Battersby</t>
        </is>
      </c>
      <c r="B4995" t="inlineStr">
        <is>
          <t>Sponsor</t>
        </is>
      </c>
      <c r="C4995" t="inlineStr">
        <is>
          <t>Customer Success Lead</t>
        </is>
      </c>
      <c r="D4995" t="inlineStr">
        <is>
          <t>Raft</t>
        </is>
      </c>
      <c r="E4995" t="inlineStr">
        <is>
          <t>United Kingdom</t>
        </is>
      </c>
      <c r="F4995" t="inlineStr">
        <is>
          <t>Yes</t>
        </is>
      </c>
      <c r="G4995" t="inlineStr">
        <is>
          <t>$20 million (2025)</t>
        </is>
      </c>
      <c r="H4995" t="n">
        <v>-6</v>
      </c>
      <c r="I4995" t="b">
        <v>0</v>
      </c>
      <c r="J4995" t="b">
        <v>0</v>
      </c>
      <c r="K4995" t="b">
        <v>0</v>
      </c>
      <c r="L4995" t="b">
        <v>0</v>
      </c>
      <c r="M4995" t="b">
        <v>1</v>
      </c>
      <c r="N4995">
        <f>IFERROR(INDEX('Company Hitlist'!$AA:$AA,MATCH(D4995,'Company Hitlist'!$A:$A,0)),)</f>
        <v/>
      </c>
      <c r="O4995">
        <f>IFERROR(INDEX('Company Hitlist'!$N:$N,MATCH(D4995,'Company Hitlist'!$A:$A,0)),)</f>
        <v/>
      </c>
      <c r="Q4995" t="inlineStr">
        <is>
          <t>todo</t>
        </is>
      </c>
    </row>
    <row r="4996">
      <c r="A4996" t="inlineStr">
        <is>
          <t>Kendyl Scott</t>
        </is>
      </c>
      <c r="B4996" t="inlineStr">
        <is>
          <t>Sponsor</t>
        </is>
      </c>
      <c r="C4996" t="inlineStr">
        <is>
          <t>Senior Business Development Representative</t>
        </is>
      </c>
      <c r="D4996" t="inlineStr">
        <is>
          <t>Raft</t>
        </is>
      </c>
      <c r="E4996" t="inlineStr">
        <is>
          <t>United States</t>
        </is>
      </c>
      <c r="H4996" t="n">
        <v>-6</v>
      </c>
      <c r="I4996" t="b">
        <v>0</v>
      </c>
      <c r="J4996" t="b">
        <v>0</v>
      </c>
      <c r="K4996" t="b">
        <v>0</v>
      </c>
      <c r="L4996" t="b">
        <v>0</v>
      </c>
      <c r="M4996" t="b">
        <v>1</v>
      </c>
      <c r="N4996">
        <f>IFERROR(INDEX('Company Hitlist'!$AA:$AA,MATCH(D4996,'Company Hitlist'!$A:$A,0)),)</f>
        <v/>
      </c>
      <c r="O4996">
        <f>IFERROR(INDEX('Company Hitlist'!$N:$N,MATCH(D4996,'Company Hitlist'!$A:$A,0)),)</f>
        <v/>
      </c>
      <c r="Q4996" t="inlineStr">
        <is>
          <t>todo</t>
        </is>
      </c>
    </row>
    <row r="4997">
      <c r="A4997" t="inlineStr">
        <is>
          <t>Brad Viernow</t>
        </is>
      </c>
      <c r="B4997" t="inlineStr">
        <is>
          <t>Sponsor</t>
        </is>
      </c>
      <c r="C4997" t="inlineStr">
        <is>
          <t>Director of Sales</t>
        </is>
      </c>
      <c r="D4997" t="inlineStr">
        <is>
          <t>Rajant Corporation</t>
        </is>
      </c>
      <c r="H4997" t="n">
        <v>-6</v>
      </c>
      <c r="I4997" t="b">
        <v>0</v>
      </c>
      <c r="J4997" t="b">
        <v>0</v>
      </c>
      <c r="K4997" t="b">
        <v>0</v>
      </c>
      <c r="L4997" t="b">
        <v>0</v>
      </c>
      <c r="M4997" t="b">
        <v>1</v>
      </c>
      <c r="N4997">
        <f>IFERROR(INDEX('Company Hitlist'!$AA:$AA,MATCH(D4997,'Company Hitlist'!$A:$A,0)),)</f>
        <v/>
      </c>
      <c r="O4997">
        <f>IFERROR(INDEX('Company Hitlist'!$N:$N,MATCH(D4997,'Company Hitlist'!$A:$A,0)),)</f>
        <v/>
      </c>
      <c r="Q4997" t="inlineStr">
        <is>
          <t>todo</t>
        </is>
      </c>
    </row>
    <row r="4998">
      <c r="A4998" t="inlineStr">
        <is>
          <t>Michael Dias</t>
        </is>
      </c>
      <c r="B4998" t="inlineStr">
        <is>
          <t>Sponsor</t>
        </is>
      </c>
      <c r="C4998" t="inlineStr">
        <is>
          <t>Senior Business Development Manager</t>
        </is>
      </c>
      <c r="D4998" t="inlineStr">
        <is>
          <t>Rapid Logistics</t>
        </is>
      </c>
      <c r="E4998" t="inlineStr">
        <is>
          <t>Netherlands</t>
        </is>
      </c>
      <c r="H4998" t="n">
        <v>-6</v>
      </c>
      <c r="I4998" t="b">
        <v>0</v>
      </c>
      <c r="J4998" t="b">
        <v>0</v>
      </c>
      <c r="K4998" t="b">
        <v>0</v>
      </c>
      <c r="L4998" t="b">
        <v>0</v>
      </c>
      <c r="M4998" t="b">
        <v>1</v>
      </c>
      <c r="N4998">
        <f>IFERROR(INDEX('Company Hitlist'!$AA:$AA,MATCH(D4998,'Company Hitlist'!$A:$A,0)),)</f>
        <v/>
      </c>
      <c r="O4998">
        <f>IFERROR(INDEX('Company Hitlist'!$N:$N,MATCH(D4998,'Company Hitlist'!$A:$A,0)),)</f>
        <v/>
      </c>
      <c r="Q4998" t="inlineStr">
        <is>
          <t>todo</t>
        </is>
      </c>
    </row>
    <row r="4999">
      <c r="A4999" t="inlineStr">
        <is>
          <t>Berit Mann</t>
        </is>
      </c>
      <c r="B4999" t="inlineStr">
        <is>
          <t>Sponsor</t>
        </is>
      </c>
      <c r="C4999" t="inlineStr">
        <is>
          <t>Enterprise Sales Executive</t>
        </is>
      </c>
      <c r="D4999" t="inlineStr">
        <is>
          <t>ReBound</t>
        </is>
      </c>
      <c r="H4999" t="n">
        <v>-6</v>
      </c>
      <c r="I4999" t="b">
        <v>0</v>
      </c>
      <c r="J4999" t="b">
        <v>0</v>
      </c>
      <c r="K4999" t="b">
        <v>0</v>
      </c>
      <c r="L4999" t="b">
        <v>0</v>
      </c>
      <c r="M4999" t="b">
        <v>1</v>
      </c>
      <c r="N4999">
        <f>IFERROR(INDEX('Company Hitlist'!$AA:$AA,MATCH(D4999,'Company Hitlist'!$A:$A,0)),)</f>
        <v/>
      </c>
      <c r="O4999">
        <f>IFERROR(INDEX('Company Hitlist'!$N:$N,MATCH(D4999,'Company Hitlist'!$A:$A,0)),)</f>
        <v/>
      </c>
      <c r="Q4999" t="inlineStr">
        <is>
          <t>todo</t>
        </is>
      </c>
    </row>
    <row r="5000">
      <c r="A5000" t="inlineStr">
        <is>
          <t>Liselotte Reijrink</t>
        </is>
      </c>
      <c r="B5000" t="inlineStr">
        <is>
          <t>Sponsor</t>
        </is>
      </c>
      <c r="C5000" t="inlineStr">
        <is>
          <t>Director of Sales</t>
        </is>
      </c>
      <c r="D5000" t="inlineStr">
        <is>
          <t>ReBound</t>
        </is>
      </c>
      <c r="H5000" t="n">
        <v>-6</v>
      </c>
      <c r="I5000" t="b">
        <v>0</v>
      </c>
      <c r="J5000" t="b">
        <v>0</v>
      </c>
      <c r="K5000" t="b">
        <v>0</v>
      </c>
      <c r="L5000" t="b">
        <v>0</v>
      </c>
      <c r="M5000" t="b">
        <v>1</v>
      </c>
      <c r="N5000">
        <f>IFERROR(INDEX('Company Hitlist'!$AA:$AA,MATCH(D5000,'Company Hitlist'!$A:$A,0)),)</f>
        <v/>
      </c>
      <c r="O5000">
        <f>IFERROR(INDEX('Company Hitlist'!$N:$N,MATCH(D5000,'Company Hitlist'!$A:$A,0)),)</f>
        <v/>
      </c>
      <c r="Q5000" t="inlineStr">
        <is>
          <t>todo</t>
        </is>
      </c>
    </row>
    <row r="5001">
      <c r="A5001" t="inlineStr">
        <is>
          <t>Edip Tac</t>
        </is>
      </c>
      <c r="B5001" t="inlineStr">
        <is>
          <t>Sponsor</t>
        </is>
      </c>
      <c r="C5001" t="inlineStr">
        <is>
          <t>Director of Sales Engineering</t>
        </is>
      </c>
      <c r="D5001" t="inlineStr">
        <is>
          <t>Rebus</t>
        </is>
      </c>
      <c r="E5001" t="inlineStr">
        <is>
          <t>Canada</t>
        </is>
      </c>
      <c r="H5001" t="n">
        <v>-6</v>
      </c>
      <c r="I5001" t="b">
        <v>0</v>
      </c>
      <c r="J5001" t="b">
        <v>0</v>
      </c>
      <c r="K5001" t="b">
        <v>0</v>
      </c>
      <c r="L5001" t="b">
        <v>0</v>
      </c>
      <c r="M5001" t="b">
        <v>1</v>
      </c>
      <c r="N5001">
        <f>IFERROR(INDEX('Company Hitlist'!$AA:$AA,MATCH(D5001,'Company Hitlist'!$A:$A,0)),)</f>
        <v/>
      </c>
      <c r="O5001">
        <f>IFERROR(INDEX('Company Hitlist'!$N:$N,MATCH(D5001,'Company Hitlist'!$A:$A,0)),)</f>
        <v/>
      </c>
      <c r="Q5001" t="inlineStr">
        <is>
          <t>todo</t>
        </is>
      </c>
    </row>
    <row r="5002">
      <c r="A5002" t="inlineStr">
        <is>
          <t>Steven Wittenberg</t>
        </is>
      </c>
      <c r="B5002" t="inlineStr">
        <is>
          <t>Sponsor</t>
        </is>
      </c>
      <c r="C5002" t="inlineStr">
        <is>
          <t>Account Executive</t>
        </is>
      </c>
      <c r="D5002" t="inlineStr">
        <is>
          <t>Rebus</t>
        </is>
      </c>
      <c r="E5002" t="inlineStr">
        <is>
          <t>United States</t>
        </is>
      </c>
      <c r="H5002" t="n">
        <v>-6</v>
      </c>
      <c r="I5002" t="b">
        <v>0</v>
      </c>
      <c r="J5002" t="b">
        <v>0</v>
      </c>
      <c r="K5002" t="b">
        <v>0</v>
      </c>
      <c r="L5002" t="b">
        <v>0</v>
      </c>
      <c r="M5002" t="b">
        <v>1</v>
      </c>
      <c r="N5002">
        <f>IFERROR(INDEX('Company Hitlist'!$AA:$AA,MATCH(D5002,'Company Hitlist'!$A:$A,0)),)</f>
        <v/>
      </c>
      <c r="O5002">
        <f>IFERROR(INDEX('Company Hitlist'!$N:$N,MATCH(D5002,'Company Hitlist'!$A:$A,0)),)</f>
        <v/>
      </c>
      <c r="Q5002" t="inlineStr">
        <is>
          <t>todo</t>
        </is>
      </c>
    </row>
    <row r="5003">
      <c r="A5003" t="inlineStr">
        <is>
          <t>Jordan Lim</t>
        </is>
      </c>
      <c r="B5003" t="inlineStr">
        <is>
          <t>Sponsor</t>
        </is>
      </c>
      <c r="C5003" t="inlineStr">
        <is>
          <t>Founding GTM</t>
        </is>
      </c>
      <c r="D5003" t="inlineStr">
        <is>
          <t>Reform</t>
        </is>
      </c>
      <c r="E5003" t="inlineStr">
        <is>
          <t>United States</t>
        </is>
      </c>
      <c r="F5003" t="inlineStr">
        <is>
          <t>Yes</t>
        </is>
      </c>
      <c r="H5003" t="n">
        <v>-6</v>
      </c>
      <c r="I5003" t="b">
        <v>0</v>
      </c>
      <c r="J5003" t="b">
        <v>0</v>
      </c>
      <c r="K5003" t="b">
        <v>0</v>
      </c>
      <c r="L5003" t="b">
        <v>0</v>
      </c>
      <c r="M5003" t="b">
        <v>1</v>
      </c>
      <c r="N5003">
        <f>IFERROR(INDEX('Company Hitlist'!$AA:$AA,MATCH(D5003,'Company Hitlist'!$A:$A,0)),)</f>
        <v/>
      </c>
      <c r="O5003">
        <f>IFERROR(INDEX('Company Hitlist'!$N:$N,MATCH(D5003,'Company Hitlist'!$A:$A,0)),)</f>
        <v/>
      </c>
      <c r="Q5003" t="inlineStr">
        <is>
          <t>todo</t>
        </is>
      </c>
    </row>
    <row r="5004">
      <c r="A5004" t="inlineStr">
        <is>
          <t>Megan Morreale</t>
        </is>
      </c>
      <c r="B5004" t="inlineStr">
        <is>
          <t>Sponsor</t>
        </is>
      </c>
      <c r="C5004" t="inlineStr">
        <is>
          <t>Marketing</t>
        </is>
      </c>
      <c r="D5004" t="inlineStr">
        <is>
          <t>Reindeer AI</t>
        </is>
      </c>
      <c r="E5004" t="inlineStr">
        <is>
          <t>United States</t>
        </is>
      </c>
      <c r="F5004" t="inlineStr">
        <is>
          <t>Yes</t>
        </is>
      </c>
      <c r="H5004" t="n">
        <v>-6</v>
      </c>
      <c r="I5004" t="b">
        <v>0</v>
      </c>
      <c r="J5004" t="b">
        <v>0</v>
      </c>
      <c r="K5004" t="b">
        <v>0</v>
      </c>
      <c r="L5004" t="b">
        <v>0</v>
      </c>
      <c r="M5004" t="b">
        <v>1</v>
      </c>
      <c r="N5004">
        <f>IFERROR(INDEX('Company Hitlist'!$AA:$AA,MATCH(D5004,'Company Hitlist'!$A:$A,0)),)</f>
        <v/>
      </c>
      <c r="O5004">
        <f>IFERROR(INDEX('Company Hitlist'!$N:$N,MATCH(D5004,'Company Hitlist'!$A:$A,0)),)</f>
        <v/>
      </c>
      <c r="Q5004" t="inlineStr">
        <is>
          <t>todo</t>
        </is>
      </c>
    </row>
    <row r="5005">
      <c r="A5005" t="inlineStr">
        <is>
          <t>Yuliya Dunets</t>
        </is>
      </c>
      <c r="B5005" t="inlineStr">
        <is>
          <t>Sponsor</t>
        </is>
      </c>
      <c r="C5005" t="inlineStr">
        <is>
          <t>Sales and Marketing Specialist</t>
        </is>
      </c>
      <c r="D5005" t="inlineStr">
        <is>
          <t>Reliable Logistics</t>
        </is>
      </c>
      <c r="E5005" t="inlineStr">
        <is>
          <t>Canada</t>
        </is>
      </c>
      <c r="F5005" t="inlineStr">
        <is>
          <t>Yes</t>
        </is>
      </c>
      <c r="H5005" t="n">
        <v>-6</v>
      </c>
      <c r="I5005" t="b">
        <v>0</v>
      </c>
      <c r="J5005" t="b">
        <v>0</v>
      </c>
      <c r="K5005" t="b">
        <v>0</v>
      </c>
      <c r="L5005" t="b">
        <v>0</v>
      </c>
      <c r="M5005" t="b">
        <v>1</v>
      </c>
      <c r="N5005">
        <f>IFERROR(INDEX('Company Hitlist'!$AA:$AA,MATCH(D5005,'Company Hitlist'!$A:$A,0)),)</f>
        <v/>
      </c>
      <c r="O5005">
        <f>IFERROR(INDEX('Company Hitlist'!$N:$N,MATCH(D5005,'Company Hitlist'!$A:$A,0)),)</f>
        <v/>
      </c>
      <c r="Q5005" t="inlineStr">
        <is>
          <t>todo</t>
        </is>
      </c>
    </row>
    <row r="5006">
      <c r="A5006" t="inlineStr">
        <is>
          <t>Stacy Payne</t>
        </is>
      </c>
      <c r="B5006" t="inlineStr">
        <is>
          <t>Sponsor</t>
        </is>
      </c>
      <c r="C5006" t="inlineStr">
        <is>
          <t>Marketing Manager</t>
        </is>
      </c>
      <c r="D5006" t="inlineStr">
        <is>
          <t>ReturnPro</t>
        </is>
      </c>
      <c r="H5006" t="n">
        <v>-6</v>
      </c>
      <c r="I5006" t="b">
        <v>0</v>
      </c>
      <c r="J5006" t="b">
        <v>0</v>
      </c>
      <c r="K5006" t="b">
        <v>0</v>
      </c>
      <c r="L5006" t="b">
        <v>0</v>
      </c>
      <c r="M5006" t="b">
        <v>1</v>
      </c>
      <c r="N5006">
        <f>IFERROR(INDEX('Company Hitlist'!$AA:$AA,MATCH(D5006,'Company Hitlist'!$A:$A,0)),)</f>
        <v/>
      </c>
      <c r="O5006">
        <f>IFERROR(INDEX('Company Hitlist'!$N:$N,MATCH(D5006,'Company Hitlist'!$A:$A,0)),)</f>
        <v/>
      </c>
      <c r="Q5006" t="inlineStr">
        <is>
          <t>todo</t>
        </is>
      </c>
    </row>
    <row r="5007">
      <c r="A5007" t="inlineStr">
        <is>
          <t>Juan De La Torre</t>
        </is>
      </c>
      <c r="B5007" t="inlineStr">
        <is>
          <t>Sponsor</t>
        </is>
      </c>
      <c r="C5007" t="inlineStr">
        <is>
          <t>Director, Business Development</t>
        </is>
      </c>
      <c r="D5007" t="inlineStr">
        <is>
          <t>ReturnPro</t>
        </is>
      </c>
      <c r="E5007" t="inlineStr">
        <is>
          <t>United States</t>
        </is>
      </c>
      <c r="H5007" t="n">
        <v>-6</v>
      </c>
      <c r="I5007" t="b">
        <v>0</v>
      </c>
      <c r="J5007" t="b">
        <v>0</v>
      </c>
      <c r="K5007" t="b">
        <v>0</v>
      </c>
      <c r="L5007" t="b">
        <v>0</v>
      </c>
      <c r="M5007" t="b">
        <v>1</v>
      </c>
      <c r="N5007">
        <f>IFERROR(INDEX('Company Hitlist'!$AA:$AA,MATCH(D5007,'Company Hitlist'!$A:$A,0)),)</f>
        <v/>
      </c>
      <c r="O5007">
        <f>IFERROR(INDEX('Company Hitlist'!$N:$N,MATCH(D5007,'Company Hitlist'!$A:$A,0)),)</f>
        <v/>
      </c>
      <c r="Q5007" t="inlineStr">
        <is>
          <t>todo</t>
        </is>
      </c>
    </row>
    <row r="5008">
      <c r="A5008" t="inlineStr">
        <is>
          <t>Lorieanne Rinehart</t>
        </is>
      </c>
      <c r="B5008" t="inlineStr">
        <is>
          <t>Sponsor</t>
        </is>
      </c>
      <c r="C5008" t="inlineStr">
        <is>
          <t>Digital Marketing Specialist</t>
        </is>
      </c>
      <c r="D5008" t="inlineStr">
        <is>
          <t>Revenova</t>
        </is>
      </c>
      <c r="E5008" t="inlineStr">
        <is>
          <t>United States</t>
        </is>
      </c>
      <c r="F5008" t="inlineStr">
        <is>
          <t>Yes</t>
        </is>
      </c>
      <c r="H5008" t="n">
        <v>-6</v>
      </c>
      <c r="I5008" t="b">
        <v>0</v>
      </c>
      <c r="J5008" t="b">
        <v>0</v>
      </c>
      <c r="K5008" t="b">
        <v>0</v>
      </c>
      <c r="L5008" t="b">
        <v>0</v>
      </c>
      <c r="M5008" t="b">
        <v>1</v>
      </c>
      <c r="N5008">
        <f>IFERROR(INDEX('Company Hitlist'!$AA:$AA,MATCH(D5008,'Company Hitlist'!$A:$A,0)),)</f>
        <v/>
      </c>
      <c r="O5008">
        <f>IFERROR(INDEX('Company Hitlist'!$N:$N,MATCH(D5008,'Company Hitlist'!$A:$A,0)),)</f>
        <v/>
      </c>
      <c r="Q5008" t="inlineStr">
        <is>
          <t>todo</t>
        </is>
      </c>
    </row>
    <row r="5009">
      <c r="A5009" t="inlineStr">
        <is>
          <t>Trent Sorensen</t>
        </is>
      </c>
      <c r="B5009" t="inlineStr">
        <is>
          <t>Sponsor</t>
        </is>
      </c>
      <c r="C5009" t="inlineStr">
        <is>
          <t>Enterprise Sales Manager</t>
        </is>
      </c>
      <c r="D5009" t="inlineStr">
        <is>
          <t>Revenova</t>
        </is>
      </c>
      <c r="E5009" t="inlineStr">
        <is>
          <t>United States</t>
        </is>
      </c>
      <c r="H5009" t="n">
        <v>-6</v>
      </c>
      <c r="I5009" t="b">
        <v>0</v>
      </c>
      <c r="J5009" t="b">
        <v>0</v>
      </c>
      <c r="K5009" t="b">
        <v>0</v>
      </c>
      <c r="L5009" t="b">
        <v>0</v>
      </c>
      <c r="M5009" t="b">
        <v>1</v>
      </c>
      <c r="N5009">
        <f>IFERROR(INDEX('Company Hitlist'!$AA:$AA,MATCH(D5009,'Company Hitlist'!$A:$A,0)),)</f>
        <v/>
      </c>
      <c r="O5009">
        <f>IFERROR(INDEX('Company Hitlist'!$N:$N,MATCH(D5009,'Company Hitlist'!$A:$A,0)),)</f>
        <v/>
      </c>
      <c r="Q5009" t="inlineStr">
        <is>
          <t>todo</t>
        </is>
      </c>
    </row>
    <row r="5010">
      <c r="A5010" t="inlineStr">
        <is>
          <t>Joy Baik</t>
        </is>
      </c>
      <c r="B5010" t="inlineStr">
        <is>
          <t>Sponsor</t>
        </is>
      </c>
      <c r="C5010" t="inlineStr">
        <is>
          <t>Director, Business Development</t>
        </is>
      </c>
      <c r="D5010" t="inlineStr">
        <is>
          <t>Riibotics</t>
        </is>
      </c>
      <c r="H5010" t="n">
        <v>-6</v>
      </c>
      <c r="I5010" t="b">
        <v>0</v>
      </c>
      <c r="J5010" t="b">
        <v>0</v>
      </c>
      <c r="K5010" t="b">
        <v>0</v>
      </c>
      <c r="L5010" t="b">
        <v>0</v>
      </c>
      <c r="M5010" t="b">
        <v>1</v>
      </c>
      <c r="N5010">
        <f>IFERROR(INDEX('Company Hitlist'!$AA:$AA,MATCH(D5010,'Company Hitlist'!$A:$A,0)),)</f>
        <v/>
      </c>
      <c r="O5010">
        <f>IFERROR(INDEX('Company Hitlist'!$N:$N,MATCH(D5010,'Company Hitlist'!$A:$A,0)),)</f>
        <v/>
      </c>
      <c r="Q5010" t="inlineStr">
        <is>
          <t>todo</t>
        </is>
      </c>
    </row>
    <row r="5011">
      <c r="A5011" t="inlineStr">
        <is>
          <t>Rachel Zarach</t>
        </is>
      </c>
      <c r="B5011" t="inlineStr">
        <is>
          <t>Sponsor</t>
        </is>
      </c>
      <c r="C5011" t="inlineStr">
        <is>
          <t>Business Development</t>
        </is>
      </c>
      <c r="D5011" t="inlineStr">
        <is>
          <t>Roadie</t>
        </is>
      </c>
      <c r="E5011" t="inlineStr">
        <is>
          <t>United States</t>
        </is>
      </c>
      <c r="H5011" t="n">
        <v>-6</v>
      </c>
      <c r="I5011" t="b">
        <v>0</v>
      </c>
      <c r="J5011" t="b">
        <v>0</v>
      </c>
      <c r="K5011" t="b">
        <v>0</v>
      </c>
      <c r="L5011" t="b">
        <v>0</v>
      </c>
      <c r="M5011" t="b">
        <v>1</v>
      </c>
      <c r="N5011">
        <f>IFERROR(INDEX('Company Hitlist'!$AA:$AA,MATCH(D5011,'Company Hitlist'!$A:$A,0)),)</f>
        <v/>
      </c>
      <c r="O5011">
        <f>IFERROR(INDEX('Company Hitlist'!$N:$N,MATCH(D5011,'Company Hitlist'!$A:$A,0)),)</f>
        <v/>
      </c>
      <c r="Q5011" t="inlineStr">
        <is>
          <t>todo</t>
        </is>
      </c>
    </row>
    <row r="5012">
      <c r="A5012" t="inlineStr">
        <is>
          <t>Scott Heller</t>
        </is>
      </c>
      <c r="B5012" t="inlineStr">
        <is>
          <t>Sponsor</t>
        </is>
      </c>
      <c r="C5012" t="inlineStr">
        <is>
          <t>Business Development</t>
        </is>
      </c>
      <c r="D5012" t="inlineStr">
        <is>
          <t>Roadie</t>
        </is>
      </c>
      <c r="E5012" t="inlineStr">
        <is>
          <t>United States</t>
        </is>
      </c>
      <c r="H5012" t="n">
        <v>-6</v>
      </c>
      <c r="I5012" t="b">
        <v>0</v>
      </c>
      <c r="J5012" t="b">
        <v>0</v>
      </c>
      <c r="K5012" t="b">
        <v>0</v>
      </c>
      <c r="L5012" t="b">
        <v>0</v>
      </c>
      <c r="M5012" t="b">
        <v>1</v>
      </c>
      <c r="N5012">
        <f>IFERROR(INDEX('Company Hitlist'!$AA:$AA,MATCH(D5012,'Company Hitlist'!$A:$A,0)),)</f>
        <v/>
      </c>
      <c r="O5012">
        <f>IFERROR(INDEX('Company Hitlist'!$N:$N,MATCH(D5012,'Company Hitlist'!$A:$A,0)),)</f>
        <v/>
      </c>
      <c r="Q5012" t="inlineStr">
        <is>
          <t>todo</t>
        </is>
      </c>
    </row>
    <row r="5013">
      <c r="A5013" t="inlineStr">
        <is>
          <t>Jeff Olson</t>
        </is>
      </c>
      <c r="B5013" t="inlineStr">
        <is>
          <t>Sponsor</t>
        </is>
      </c>
      <c r="C5013" t="inlineStr">
        <is>
          <t>Director of Strategic Sales</t>
        </is>
      </c>
      <c r="D5013" t="inlineStr">
        <is>
          <t>Robust.AI</t>
        </is>
      </c>
      <c r="E5013" t="inlineStr">
        <is>
          <t>United States</t>
        </is>
      </c>
      <c r="H5013" t="n">
        <v>-6</v>
      </c>
      <c r="I5013" t="b">
        <v>0</v>
      </c>
      <c r="J5013" t="b">
        <v>0</v>
      </c>
      <c r="K5013" t="b">
        <v>0</v>
      </c>
      <c r="L5013" t="b">
        <v>0</v>
      </c>
      <c r="M5013" t="b">
        <v>1</v>
      </c>
      <c r="N5013">
        <f>IFERROR(INDEX('Company Hitlist'!$AA:$AA,MATCH(D5013,'Company Hitlist'!$A:$A,0)),)</f>
        <v/>
      </c>
      <c r="O5013">
        <f>IFERROR(INDEX('Company Hitlist'!$N:$N,MATCH(D5013,'Company Hitlist'!$A:$A,0)),)</f>
        <v/>
      </c>
      <c r="Q5013" t="inlineStr">
        <is>
          <t>todo</t>
        </is>
      </c>
    </row>
    <row r="5014">
      <c r="A5014" t="inlineStr">
        <is>
          <t>Sean Curran</t>
        </is>
      </c>
      <c r="B5014" t="inlineStr">
        <is>
          <t>Sponsor</t>
        </is>
      </c>
      <c r="C5014" t="inlineStr">
        <is>
          <t>Strategic Sales Director</t>
        </is>
      </c>
      <c r="D5014" t="inlineStr">
        <is>
          <t>Robust.AI</t>
        </is>
      </c>
      <c r="E5014" t="inlineStr">
        <is>
          <t>United States</t>
        </is>
      </c>
      <c r="H5014" t="n">
        <v>-6</v>
      </c>
      <c r="I5014" t="b">
        <v>0</v>
      </c>
      <c r="J5014" t="b">
        <v>0</v>
      </c>
      <c r="K5014" t="b">
        <v>0</v>
      </c>
      <c r="L5014" t="b">
        <v>0</v>
      </c>
      <c r="M5014" t="b">
        <v>1</v>
      </c>
      <c r="N5014">
        <f>IFERROR(INDEX('Company Hitlist'!$AA:$AA,MATCH(D5014,'Company Hitlist'!$A:$A,0)),)</f>
        <v/>
      </c>
      <c r="O5014">
        <f>IFERROR(INDEX('Company Hitlist'!$N:$N,MATCH(D5014,'Company Hitlist'!$A:$A,0)),)</f>
        <v/>
      </c>
      <c r="Q5014" t="inlineStr">
        <is>
          <t>todo</t>
        </is>
      </c>
    </row>
    <row r="5015">
      <c r="A5015" t="inlineStr">
        <is>
          <t>Will McInnis</t>
        </is>
      </c>
      <c r="B5015" t="inlineStr">
        <is>
          <t>Sponsor</t>
        </is>
      </c>
      <c r="C5015" t="inlineStr">
        <is>
          <t>Director of Strategic Sales</t>
        </is>
      </c>
      <c r="D5015" t="inlineStr">
        <is>
          <t>Robust.AI</t>
        </is>
      </c>
      <c r="E5015" t="inlineStr">
        <is>
          <t>United States</t>
        </is>
      </c>
      <c r="H5015" t="n">
        <v>-6</v>
      </c>
      <c r="I5015" t="b">
        <v>0</v>
      </c>
      <c r="J5015" t="b">
        <v>0</v>
      </c>
      <c r="K5015" t="b">
        <v>0</v>
      </c>
      <c r="L5015" t="b">
        <v>0</v>
      </c>
      <c r="M5015" t="b">
        <v>1</v>
      </c>
      <c r="N5015">
        <f>IFERROR(INDEX('Company Hitlist'!$AA:$AA,MATCH(D5015,'Company Hitlist'!$A:$A,0)),)</f>
        <v/>
      </c>
      <c r="O5015">
        <f>IFERROR(INDEX('Company Hitlist'!$N:$N,MATCH(D5015,'Company Hitlist'!$A:$A,0)),)</f>
        <v/>
      </c>
      <c r="Q5015" t="inlineStr">
        <is>
          <t>todo</t>
        </is>
      </c>
    </row>
    <row r="5016">
      <c r="A5016" t="inlineStr">
        <is>
          <t>Paula Renaldo</t>
        </is>
      </c>
      <c r="B5016" t="inlineStr">
        <is>
          <t>Sponsor</t>
        </is>
      </c>
      <c r="C5016" t="inlineStr">
        <is>
          <t>Senior Director Marketing</t>
        </is>
      </c>
      <c r="D5016" t="inlineStr">
        <is>
          <t>Ryder System, Inc.</t>
        </is>
      </c>
      <c r="E5016" t="inlineStr">
        <is>
          <t>United States</t>
        </is>
      </c>
      <c r="F5016" t="inlineStr">
        <is>
          <t>Yes</t>
        </is>
      </c>
      <c r="H5016" t="n">
        <v>-6</v>
      </c>
      <c r="I5016" t="b">
        <v>0</v>
      </c>
      <c r="J5016" t="b">
        <v>0</v>
      </c>
      <c r="K5016" t="b">
        <v>0</v>
      </c>
      <c r="L5016" t="b">
        <v>0</v>
      </c>
      <c r="M5016" t="b">
        <v>1</v>
      </c>
      <c r="N5016">
        <f>IFERROR(INDEX('Company Hitlist'!$AA:$AA,MATCH(D5016,'Company Hitlist'!$A:$A,0)),)</f>
        <v/>
      </c>
      <c r="O5016">
        <f>IFERROR(INDEX('Company Hitlist'!$N:$N,MATCH(D5016,'Company Hitlist'!$A:$A,0)),)</f>
        <v/>
      </c>
      <c r="Q5016" t="inlineStr">
        <is>
          <t>todo</t>
        </is>
      </c>
    </row>
    <row r="5017">
      <c r="A5017" t="inlineStr">
        <is>
          <t>Troy Balakhan</t>
        </is>
      </c>
      <c r="B5017" t="inlineStr">
        <is>
          <t>Sponsor</t>
        </is>
      </c>
      <c r="C5017" t="inlineStr">
        <is>
          <t>Director of Marketing</t>
        </is>
      </c>
      <c r="D5017" t="inlineStr">
        <is>
          <t>Ryder System, Inc.</t>
        </is>
      </c>
      <c r="F5017" t="inlineStr">
        <is>
          <t>Yes</t>
        </is>
      </c>
      <c r="H5017" t="n">
        <v>-6</v>
      </c>
      <c r="I5017" t="b">
        <v>0</v>
      </c>
      <c r="J5017" t="b">
        <v>0</v>
      </c>
      <c r="K5017" t="b">
        <v>0</v>
      </c>
      <c r="L5017" t="b">
        <v>0</v>
      </c>
      <c r="M5017" t="b">
        <v>1</v>
      </c>
      <c r="N5017">
        <f>IFERROR(INDEX('Company Hitlist'!$AA:$AA,MATCH(D5017,'Company Hitlist'!$A:$A,0)),)</f>
        <v/>
      </c>
      <c r="O5017">
        <f>IFERROR(INDEX('Company Hitlist'!$N:$N,MATCH(D5017,'Company Hitlist'!$A:$A,0)),)</f>
        <v/>
      </c>
      <c r="Q5017" t="inlineStr">
        <is>
          <t>todo</t>
        </is>
      </c>
    </row>
    <row r="5018">
      <c r="A5018" t="inlineStr">
        <is>
          <t>Hailey Langford</t>
        </is>
      </c>
      <c r="B5018" t="inlineStr">
        <is>
          <t>Sponsor</t>
        </is>
      </c>
      <c r="C5018" t="inlineStr">
        <is>
          <t>Director of Marketing &amp; Project Management</t>
        </is>
      </c>
      <c r="D5018" t="inlineStr">
        <is>
          <t>Rygen Technologies</t>
        </is>
      </c>
      <c r="E5018" t="inlineStr">
        <is>
          <t>United States</t>
        </is>
      </c>
      <c r="F5018" t="inlineStr">
        <is>
          <t>Yes</t>
        </is>
      </c>
      <c r="H5018" t="n">
        <v>-6</v>
      </c>
      <c r="I5018" t="b">
        <v>0</v>
      </c>
      <c r="J5018" t="b">
        <v>0</v>
      </c>
      <c r="K5018" t="b">
        <v>0</v>
      </c>
      <c r="L5018" t="b">
        <v>0</v>
      </c>
      <c r="M5018" t="b">
        <v>1</v>
      </c>
      <c r="N5018">
        <f>IFERROR(INDEX('Company Hitlist'!$AA:$AA,MATCH(D5018,'Company Hitlist'!$A:$A,0)),)</f>
        <v/>
      </c>
      <c r="O5018">
        <f>IFERROR(INDEX('Company Hitlist'!$N:$N,MATCH(D5018,'Company Hitlist'!$A:$A,0)),)</f>
        <v/>
      </c>
      <c r="Q5018" t="inlineStr">
        <is>
          <t>todo</t>
        </is>
      </c>
    </row>
    <row r="5019">
      <c r="A5019" t="inlineStr">
        <is>
          <t>Jonathan Wollschleager</t>
        </is>
      </c>
      <c r="B5019" t="inlineStr">
        <is>
          <t>Sponsor</t>
        </is>
      </c>
      <c r="C5019" t="inlineStr">
        <is>
          <t>Director of Partnerships and Enterprise Sales</t>
        </is>
      </c>
      <c r="D5019" t="inlineStr">
        <is>
          <t>Rygen Technologies</t>
        </is>
      </c>
      <c r="H5019" t="n">
        <v>-6</v>
      </c>
      <c r="I5019" t="b">
        <v>0</v>
      </c>
      <c r="J5019" t="b">
        <v>0</v>
      </c>
      <c r="K5019" t="b">
        <v>0</v>
      </c>
      <c r="L5019" t="b">
        <v>0</v>
      </c>
      <c r="M5019" t="b">
        <v>1</v>
      </c>
      <c r="N5019">
        <f>IFERROR(INDEX('Company Hitlist'!$AA:$AA,MATCH(D5019,'Company Hitlist'!$A:$A,0)),)</f>
        <v/>
      </c>
      <c r="O5019">
        <f>IFERROR(INDEX('Company Hitlist'!$N:$N,MATCH(D5019,'Company Hitlist'!$A:$A,0)),)</f>
        <v/>
      </c>
      <c r="Q5019" t="inlineStr">
        <is>
          <t>todo</t>
        </is>
      </c>
    </row>
    <row r="5020">
      <c r="A5020" t="inlineStr">
        <is>
          <t>Up Kim</t>
        </is>
      </c>
      <c r="B5020" t="inlineStr">
        <is>
          <t>Sponsor</t>
        </is>
      </c>
      <c r="C5020" t="inlineStr">
        <is>
          <t>Marketing Group Leader</t>
        </is>
      </c>
      <c r="D5020" t="inlineStr">
        <is>
          <t>SAMSUNG SDS</t>
        </is>
      </c>
      <c r="F5020" t="inlineStr">
        <is>
          <t>Yes</t>
        </is>
      </c>
      <c r="G5020" t="inlineStr">
        <is>
          <t>$14B (2025 est.)</t>
        </is>
      </c>
      <c r="H5020" t="n">
        <v>-6</v>
      </c>
      <c r="I5020" t="b">
        <v>0</v>
      </c>
      <c r="J5020" t="b">
        <v>0</v>
      </c>
      <c r="K5020" t="b">
        <v>0</v>
      </c>
      <c r="L5020" t="b">
        <v>0</v>
      </c>
      <c r="M5020" t="b">
        <v>1</v>
      </c>
      <c r="N5020">
        <f>IFERROR(INDEX('Company Hitlist'!$AA:$AA,MATCH(D5020,'Company Hitlist'!$A:$A,0)),)</f>
        <v/>
      </c>
      <c r="O5020">
        <f>IFERROR(INDEX('Company Hitlist'!$N:$N,MATCH(D5020,'Company Hitlist'!$A:$A,0)),)</f>
        <v/>
      </c>
      <c r="Q5020" t="inlineStr">
        <is>
          <t>todo</t>
        </is>
      </c>
    </row>
    <row r="5021">
      <c r="A5021" t="inlineStr">
        <is>
          <t>Jacqueline Olson</t>
        </is>
      </c>
      <c r="B5021" t="inlineStr">
        <is>
          <t>Sponsor</t>
        </is>
      </c>
      <c r="C5021" t="inlineStr">
        <is>
          <t>Marketing and Event Coordinator</t>
        </is>
      </c>
      <c r="D5021" t="inlineStr">
        <is>
          <t>SEEBURGER</t>
        </is>
      </c>
      <c r="E5021" t="inlineStr">
        <is>
          <t>United States</t>
        </is>
      </c>
      <c r="F5021" t="inlineStr">
        <is>
          <t>Yes</t>
        </is>
      </c>
      <c r="G5021" t="inlineStr">
        <is>
          <t>$321.2 million (2025)</t>
        </is>
      </c>
      <c r="H5021" t="n">
        <v>-6</v>
      </c>
      <c r="I5021" t="b">
        <v>0</v>
      </c>
      <c r="J5021" t="b">
        <v>0</v>
      </c>
      <c r="K5021" t="b">
        <v>0</v>
      </c>
      <c r="L5021" t="b">
        <v>0</v>
      </c>
      <c r="M5021" t="b">
        <v>1</v>
      </c>
      <c r="N5021">
        <f>IFERROR(INDEX('Company Hitlist'!$AA:$AA,MATCH(D5021,'Company Hitlist'!$A:$A,0)),)</f>
        <v/>
      </c>
      <c r="O5021">
        <f>IFERROR(INDEX('Company Hitlist'!$N:$N,MATCH(D5021,'Company Hitlist'!$A:$A,0)),)</f>
        <v/>
      </c>
      <c r="Q5021" t="inlineStr">
        <is>
          <t>todo</t>
        </is>
      </c>
    </row>
    <row r="5022">
      <c r="A5022" t="inlineStr">
        <is>
          <t>Ethan Bollom</t>
        </is>
      </c>
      <c r="B5022" t="inlineStr">
        <is>
          <t>Sponsor</t>
        </is>
      </c>
      <c r="C5022" t="inlineStr">
        <is>
          <t>Industry Marketing Manager</t>
        </is>
      </c>
      <c r="D5022" t="inlineStr">
        <is>
          <t>SICK, Inc.</t>
        </is>
      </c>
      <c r="E5022" t="inlineStr">
        <is>
          <t>United States</t>
        </is>
      </c>
      <c r="H5022" t="n">
        <v>-6</v>
      </c>
      <c r="I5022" t="b">
        <v>0</v>
      </c>
      <c r="J5022" t="b">
        <v>0</v>
      </c>
      <c r="K5022" t="b">
        <v>0</v>
      </c>
      <c r="L5022" t="b">
        <v>0</v>
      </c>
      <c r="M5022" t="b">
        <v>1</v>
      </c>
      <c r="N5022">
        <f>IFERROR(INDEX('Company Hitlist'!$AA:$AA,MATCH(D5022,'Company Hitlist'!$A:$A,0)),)</f>
        <v/>
      </c>
      <c r="O5022">
        <f>IFERROR(INDEX('Company Hitlist'!$N:$N,MATCH(D5022,'Company Hitlist'!$A:$A,0)),)</f>
        <v/>
      </c>
      <c r="Q5022" t="inlineStr">
        <is>
          <t>todo</t>
        </is>
      </c>
    </row>
    <row r="5023">
      <c r="A5023" t="inlineStr">
        <is>
          <t>Michael Craig</t>
        </is>
      </c>
      <c r="B5023" t="inlineStr">
        <is>
          <t>Sponsor</t>
        </is>
      </c>
      <c r="C5023" t="inlineStr">
        <is>
          <t>Sales Manager</t>
        </is>
      </c>
      <c r="D5023" t="inlineStr">
        <is>
          <t>SICK, Inc.</t>
        </is>
      </c>
      <c r="H5023" t="n">
        <v>-6</v>
      </c>
      <c r="I5023" t="b">
        <v>0</v>
      </c>
      <c r="J5023" t="b">
        <v>0</v>
      </c>
      <c r="K5023" t="b">
        <v>0</v>
      </c>
      <c r="L5023" t="b">
        <v>0</v>
      </c>
      <c r="M5023" t="b">
        <v>1</v>
      </c>
      <c r="N5023">
        <f>IFERROR(INDEX('Company Hitlist'!$AA:$AA,MATCH(D5023,'Company Hitlist'!$A:$A,0)),)</f>
        <v/>
      </c>
      <c r="O5023">
        <f>IFERROR(INDEX('Company Hitlist'!$N:$N,MATCH(D5023,'Company Hitlist'!$A:$A,0)),)</f>
        <v/>
      </c>
      <c r="Q5023" t="inlineStr">
        <is>
          <t>todo</t>
        </is>
      </c>
    </row>
    <row r="5024">
      <c r="A5024" t="inlineStr">
        <is>
          <t>Laura Franckhauser</t>
        </is>
      </c>
      <c r="B5024" t="inlineStr">
        <is>
          <t>Sponsor</t>
        </is>
      </c>
      <c r="C5024" t="inlineStr">
        <is>
          <t>Director of Growth</t>
        </is>
      </c>
      <c r="D5024" t="inlineStr">
        <is>
          <t>SLS RFID</t>
        </is>
      </c>
      <c r="E5024" t="inlineStr">
        <is>
          <t>United States</t>
        </is>
      </c>
      <c r="F5024" t="inlineStr">
        <is>
          <t>Yes</t>
        </is>
      </c>
      <c r="H5024" t="n">
        <v>-6</v>
      </c>
      <c r="I5024" t="b">
        <v>0</v>
      </c>
      <c r="J5024" t="b">
        <v>0</v>
      </c>
      <c r="K5024" t="b">
        <v>0</v>
      </c>
      <c r="L5024" t="b">
        <v>0</v>
      </c>
      <c r="M5024" t="b">
        <v>1</v>
      </c>
      <c r="N5024">
        <f>IFERROR(INDEX('Company Hitlist'!$AA:$AA,MATCH(D5024,'Company Hitlist'!$A:$A,0)),)</f>
        <v/>
      </c>
      <c r="O5024">
        <f>IFERROR(INDEX('Company Hitlist'!$N:$N,MATCH(D5024,'Company Hitlist'!$A:$A,0)),)</f>
        <v/>
      </c>
      <c r="Q5024" t="inlineStr">
        <is>
          <t>todo</t>
        </is>
      </c>
    </row>
    <row r="5025">
      <c r="A5025" t="inlineStr">
        <is>
          <t>Kyle Laslo</t>
        </is>
      </c>
      <c r="B5025" t="inlineStr">
        <is>
          <t>Sponsor</t>
        </is>
      </c>
      <c r="C5025" t="inlineStr">
        <is>
          <t>Director of Channel Sales</t>
        </is>
      </c>
      <c r="D5025" t="inlineStr">
        <is>
          <t>SLS RFID</t>
        </is>
      </c>
      <c r="E5025" t="inlineStr">
        <is>
          <t>United States</t>
        </is>
      </c>
      <c r="H5025" t="n">
        <v>-6</v>
      </c>
      <c r="I5025" t="b">
        <v>0</v>
      </c>
      <c r="J5025" t="b">
        <v>0</v>
      </c>
      <c r="K5025" t="b">
        <v>0</v>
      </c>
      <c r="L5025" t="b">
        <v>0</v>
      </c>
      <c r="M5025" t="b">
        <v>1</v>
      </c>
      <c r="N5025">
        <f>IFERROR(INDEX('Company Hitlist'!$AA:$AA,MATCH(D5025,'Company Hitlist'!$A:$A,0)),)</f>
        <v/>
      </c>
      <c r="O5025">
        <f>IFERROR(INDEX('Company Hitlist'!$N:$N,MATCH(D5025,'Company Hitlist'!$A:$A,0)),)</f>
        <v/>
      </c>
      <c r="Q5025" t="inlineStr">
        <is>
          <t>todo</t>
        </is>
      </c>
    </row>
    <row r="5026">
      <c r="A5026" t="inlineStr">
        <is>
          <t>David Muri</t>
        </is>
      </c>
      <c r="B5026" t="inlineStr">
        <is>
          <t>Sponsor</t>
        </is>
      </c>
      <c r="C5026" t="inlineStr">
        <is>
          <t>Sr Channel Sales Manager</t>
        </is>
      </c>
      <c r="D5026" t="inlineStr">
        <is>
          <t>SPS Commerce</t>
        </is>
      </c>
      <c r="E5026" t="inlineStr">
        <is>
          <t>United States</t>
        </is>
      </c>
      <c r="H5026" t="n">
        <v>-6</v>
      </c>
      <c r="I5026" t="b">
        <v>0</v>
      </c>
      <c r="J5026" t="b">
        <v>0</v>
      </c>
      <c r="K5026" t="b">
        <v>0</v>
      </c>
      <c r="L5026" t="b">
        <v>0</v>
      </c>
      <c r="M5026" t="b">
        <v>1</v>
      </c>
      <c r="N5026">
        <f>IFERROR(INDEX('Company Hitlist'!$AA:$AA,MATCH(D5026,'Company Hitlist'!$A:$A,0)),)</f>
        <v/>
      </c>
      <c r="O5026">
        <f>IFERROR(INDEX('Company Hitlist'!$N:$N,MATCH(D5026,'Company Hitlist'!$A:$A,0)),)</f>
        <v/>
      </c>
      <c r="Q5026" t="inlineStr">
        <is>
          <t>todo</t>
        </is>
      </c>
    </row>
    <row r="5027">
      <c r="A5027" t="inlineStr">
        <is>
          <t>Jake Vogel</t>
        </is>
      </c>
      <c r="B5027" t="inlineStr">
        <is>
          <t>Sponsor</t>
        </is>
      </c>
      <c r="C5027" t="inlineStr">
        <is>
          <t>Senior Director, Business Development</t>
        </is>
      </c>
      <c r="D5027" t="inlineStr">
        <is>
          <t>Saddle Creek Logistics Services</t>
        </is>
      </c>
      <c r="E5027" t="inlineStr">
        <is>
          <t>United States</t>
        </is>
      </c>
      <c r="H5027" t="n">
        <v>-6</v>
      </c>
      <c r="I5027" t="b">
        <v>0</v>
      </c>
      <c r="J5027" t="b">
        <v>0</v>
      </c>
      <c r="K5027" t="b">
        <v>0</v>
      </c>
      <c r="L5027" t="b">
        <v>0</v>
      </c>
      <c r="M5027" t="b">
        <v>1</v>
      </c>
      <c r="N5027">
        <f>IFERROR(INDEX('Company Hitlist'!$AA:$AA,MATCH(D5027,'Company Hitlist'!$A:$A,0)),)</f>
        <v/>
      </c>
      <c r="O5027">
        <f>IFERROR(INDEX('Company Hitlist'!$N:$N,MATCH(D5027,'Company Hitlist'!$A:$A,0)),)</f>
        <v/>
      </c>
      <c r="Q5027" t="inlineStr">
        <is>
          <t>todo</t>
        </is>
      </c>
    </row>
    <row r="5028">
      <c r="A5028" t="inlineStr">
        <is>
          <t>Ann Ang</t>
        </is>
      </c>
      <c r="B5028" t="inlineStr">
        <is>
          <t>Sponsor</t>
        </is>
      </c>
      <c r="C5028" t="inlineStr">
        <is>
          <t>Global Business Development Manager</t>
        </is>
      </c>
      <c r="D5028" t="inlineStr">
        <is>
          <t>SeaVantage Co. Ltd</t>
        </is>
      </c>
      <c r="E5028" t="inlineStr">
        <is>
          <t>Korea, Republic of</t>
        </is>
      </c>
      <c r="H5028" t="n">
        <v>-6</v>
      </c>
      <c r="I5028" t="b">
        <v>0</v>
      </c>
      <c r="J5028" t="b">
        <v>0</v>
      </c>
      <c r="K5028" t="b">
        <v>0</v>
      </c>
      <c r="L5028" t="b">
        <v>0</v>
      </c>
      <c r="M5028" t="b">
        <v>1</v>
      </c>
      <c r="N5028">
        <f>IFERROR(INDEX('Company Hitlist'!$AA:$AA,MATCH(D5028,'Company Hitlist'!$A:$A,0)),)</f>
        <v/>
      </c>
      <c r="O5028">
        <f>IFERROR(INDEX('Company Hitlist'!$N:$N,MATCH(D5028,'Company Hitlist'!$A:$A,0)),)</f>
        <v/>
      </c>
      <c r="Q5028" t="inlineStr">
        <is>
          <t>todo</t>
        </is>
      </c>
    </row>
    <row r="5029">
      <c r="A5029" t="inlineStr">
        <is>
          <t>Eugene Smart</t>
        </is>
      </c>
      <c r="B5029" t="inlineStr">
        <is>
          <t>Sponsor</t>
        </is>
      </c>
      <c r="C5029" t="inlineStr">
        <is>
          <t>Business Development Representative</t>
        </is>
      </c>
      <c r="D5029" t="inlineStr">
        <is>
          <t>SeaVantage Co. Ltd</t>
        </is>
      </c>
      <c r="E5029" t="inlineStr">
        <is>
          <t>South Korea</t>
        </is>
      </c>
      <c r="H5029" t="n">
        <v>-6</v>
      </c>
      <c r="I5029" t="b">
        <v>0</v>
      </c>
      <c r="J5029" t="b">
        <v>0</v>
      </c>
      <c r="K5029" t="b">
        <v>0</v>
      </c>
      <c r="L5029" t="b">
        <v>0</v>
      </c>
      <c r="M5029" t="b">
        <v>1</v>
      </c>
      <c r="N5029">
        <f>IFERROR(INDEX('Company Hitlist'!$AA:$AA,MATCH(D5029,'Company Hitlist'!$A:$A,0)),)</f>
        <v/>
      </c>
      <c r="O5029">
        <f>IFERROR(INDEX('Company Hitlist'!$N:$N,MATCH(D5029,'Company Hitlist'!$A:$A,0)),)</f>
        <v/>
      </c>
      <c r="Q5029" t="inlineStr">
        <is>
          <t>todo</t>
        </is>
      </c>
    </row>
    <row r="5030">
      <c r="A5030" t="inlineStr">
        <is>
          <t>Lauriane Tiard-Caillaud</t>
        </is>
      </c>
      <c r="B5030" t="inlineStr">
        <is>
          <t>Sponsor</t>
        </is>
      </c>
      <c r="C5030" t="inlineStr">
        <is>
          <t>Director of Marketing</t>
        </is>
      </c>
      <c r="D5030" t="inlineStr">
        <is>
          <t>Searoutes</t>
        </is>
      </c>
      <c r="E5030" t="inlineStr">
        <is>
          <t>France</t>
        </is>
      </c>
      <c r="F5030" t="inlineStr">
        <is>
          <t>Yes</t>
        </is>
      </c>
      <c r="H5030" t="n">
        <v>-6</v>
      </c>
      <c r="I5030" t="b">
        <v>0</v>
      </c>
      <c r="J5030" t="b">
        <v>0</v>
      </c>
      <c r="K5030" t="b">
        <v>0</v>
      </c>
      <c r="L5030" t="b">
        <v>0</v>
      </c>
      <c r="M5030" t="b">
        <v>1</v>
      </c>
      <c r="N5030">
        <f>IFERROR(INDEX('Company Hitlist'!$AA:$AA,MATCH(D5030,'Company Hitlist'!$A:$A,0)),)</f>
        <v/>
      </c>
      <c r="O5030">
        <f>IFERROR(INDEX('Company Hitlist'!$N:$N,MATCH(D5030,'Company Hitlist'!$A:$A,0)),)</f>
        <v/>
      </c>
      <c r="Q5030" t="inlineStr">
        <is>
          <t>todo</t>
        </is>
      </c>
    </row>
    <row r="5031">
      <c r="A5031" t="inlineStr">
        <is>
          <t>Carson Garner</t>
        </is>
      </c>
      <c r="B5031" t="inlineStr">
        <is>
          <t>Sponsor</t>
        </is>
      </c>
      <c r="C5031" t="inlineStr">
        <is>
          <t>Sales Leader, NA</t>
        </is>
      </c>
      <c r="D5031" t="inlineStr">
        <is>
          <t>Sensolus</t>
        </is>
      </c>
      <c r="H5031" t="n">
        <v>-6</v>
      </c>
      <c r="I5031" t="b">
        <v>0</v>
      </c>
      <c r="J5031" t="b">
        <v>0</v>
      </c>
      <c r="K5031" t="b">
        <v>0</v>
      </c>
      <c r="L5031" t="b">
        <v>0</v>
      </c>
      <c r="M5031" t="b">
        <v>1</v>
      </c>
      <c r="N5031">
        <f>IFERROR(INDEX('Company Hitlist'!$AA:$AA,MATCH(D5031,'Company Hitlist'!$A:$A,0)),)</f>
        <v/>
      </c>
      <c r="O5031">
        <f>IFERROR(INDEX('Company Hitlist'!$N:$N,MATCH(D5031,'Company Hitlist'!$A:$A,0)),)</f>
        <v/>
      </c>
      <c r="Q5031" t="inlineStr">
        <is>
          <t>todo</t>
        </is>
      </c>
    </row>
    <row r="5032">
      <c r="A5032" t="inlineStr">
        <is>
          <t>Matthew Stone</t>
        </is>
      </c>
      <c r="B5032" t="inlineStr">
        <is>
          <t>Sponsor</t>
        </is>
      </c>
      <c r="C5032" t="inlineStr">
        <is>
          <t>Account Executive</t>
        </is>
      </c>
      <c r="D5032" t="inlineStr">
        <is>
          <t>Sensos</t>
        </is>
      </c>
      <c r="H5032" t="n">
        <v>-6</v>
      </c>
      <c r="I5032" t="b">
        <v>0</v>
      </c>
      <c r="J5032" t="b">
        <v>0</v>
      </c>
      <c r="K5032" t="b">
        <v>0</v>
      </c>
      <c r="L5032" t="b">
        <v>0</v>
      </c>
      <c r="M5032" t="b">
        <v>1</v>
      </c>
      <c r="N5032">
        <f>IFERROR(INDEX('Company Hitlist'!$AA:$AA,MATCH(D5032,'Company Hitlist'!$A:$A,0)),)</f>
        <v/>
      </c>
      <c r="O5032">
        <f>IFERROR(INDEX('Company Hitlist'!$N:$N,MATCH(D5032,'Company Hitlist'!$A:$A,0)),)</f>
        <v/>
      </c>
      <c r="Q5032" t="inlineStr">
        <is>
          <t>todo</t>
        </is>
      </c>
    </row>
    <row r="5033">
      <c r="A5033" t="inlineStr">
        <is>
          <t>Beatrice Vaccari</t>
        </is>
      </c>
      <c r="B5033" t="inlineStr">
        <is>
          <t>Sponsor</t>
        </is>
      </c>
      <c r="C5033" t="inlineStr">
        <is>
          <t>Customer Success Manager</t>
        </is>
      </c>
      <c r="D5033" t="inlineStr">
        <is>
          <t>Sensos</t>
        </is>
      </c>
      <c r="E5033" t="inlineStr">
        <is>
          <t>United States</t>
        </is>
      </c>
      <c r="H5033" t="n">
        <v>-6</v>
      </c>
      <c r="I5033" t="b">
        <v>0</v>
      </c>
      <c r="J5033" t="b">
        <v>0</v>
      </c>
      <c r="K5033" t="b">
        <v>0</v>
      </c>
      <c r="L5033" t="b">
        <v>0</v>
      </c>
      <c r="M5033" t="b">
        <v>1</v>
      </c>
      <c r="N5033">
        <f>IFERROR(INDEX('Company Hitlist'!$AA:$AA,MATCH(D5033,'Company Hitlist'!$A:$A,0)),)</f>
        <v/>
      </c>
      <c r="O5033">
        <f>IFERROR(INDEX('Company Hitlist'!$N:$N,MATCH(D5033,'Company Hitlist'!$A:$A,0)),)</f>
        <v/>
      </c>
      <c r="Q5033" t="inlineStr">
        <is>
          <t>todo</t>
        </is>
      </c>
    </row>
    <row r="5034">
      <c r="A5034" t="inlineStr">
        <is>
          <t>Gia Marchese</t>
        </is>
      </c>
      <c r="B5034" t="inlineStr">
        <is>
          <t>Sponsor</t>
        </is>
      </c>
      <c r="C5034" t="inlineStr">
        <is>
          <t>Business Development Manager</t>
        </is>
      </c>
      <c r="D5034" t="inlineStr">
        <is>
          <t>Sensos</t>
        </is>
      </c>
      <c r="H5034" t="n">
        <v>-6</v>
      </c>
      <c r="I5034" t="b">
        <v>0</v>
      </c>
      <c r="J5034" t="b">
        <v>0</v>
      </c>
      <c r="K5034" t="b">
        <v>0</v>
      </c>
      <c r="L5034" t="b">
        <v>0</v>
      </c>
      <c r="M5034" t="b">
        <v>1</v>
      </c>
      <c r="N5034">
        <f>IFERROR(INDEX('Company Hitlist'!$AA:$AA,MATCH(D5034,'Company Hitlist'!$A:$A,0)),)</f>
        <v/>
      </c>
      <c r="O5034">
        <f>IFERROR(INDEX('Company Hitlist'!$N:$N,MATCH(D5034,'Company Hitlist'!$A:$A,0)),)</f>
        <v/>
      </c>
      <c r="Q5034" t="inlineStr">
        <is>
          <t>todo</t>
        </is>
      </c>
    </row>
    <row r="5035">
      <c r="A5035" t="inlineStr">
        <is>
          <t>John Dunkerton</t>
        </is>
      </c>
      <c r="B5035" t="inlineStr">
        <is>
          <t>Sponsor</t>
        </is>
      </c>
      <c r="C5035" t="inlineStr">
        <is>
          <t>Account Executive</t>
        </is>
      </c>
      <c r="D5035" t="inlineStr">
        <is>
          <t>ShipHawk</t>
        </is>
      </c>
      <c r="E5035" t="inlineStr">
        <is>
          <t>United States</t>
        </is>
      </c>
      <c r="H5035" t="n">
        <v>-6</v>
      </c>
      <c r="I5035" t="b">
        <v>0</v>
      </c>
      <c r="J5035" t="b">
        <v>0</v>
      </c>
      <c r="K5035" t="b">
        <v>0</v>
      </c>
      <c r="L5035" t="b">
        <v>0</v>
      </c>
      <c r="M5035" t="b">
        <v>1</v>
      </c>
      <c r="N5035">
        <f>IFERROR(INDEX('Company Hitlist'!$AA:$AA,MATCH(D5035,'Company Hitlist'!$A:$A,0)),)</f>
        <v/>
      </c>
      <c r="O5035">
        <f>IFERROR(INDEX('Company Hitlist'!$N:$N,MATCH(D5035,'Company Hitlist'!$A:$A,0)),)</f>
        <v/>
      </c>
      <c r="Q5035" t="inlineStr">
        <is>
          <t>todo</t>
        </is>
      </c>
    </row>
    <row r="5036">
      <c r="A5036" t="inlineStr">
        <is>
          <t>Sam Brown</t>
        </is>
      </c>
      <c r="B5036" t="inlineStr">
        <is>
          <t>Sponsor</t>
        </is>
      </c>
      <c r="C5036" t="inlineStr">
        <is>
          <t>Account Executive</t>
        </is>
      </c>
      <c r="D5036" t="inlineStr">
        <is>
          <t>ShipHawk</t>
        </is>
      </c>
      <c r="E5036" t="inlineStr">
        <is>
          <t>United States</t>
        </is>
      </c>
      <c r="H5036" t="n">
        <v>-6</v>
      </c>
      <c r="I5036" t="b">
        <v>0</v>
      </c>
      <c r="J5036" t="b">
        <v>0</v>
      </c>
      <c r="K5036" t="b">
        <v>0</v>
      </c>
      <c r="L5036" t="b">
        <v>0</v>
      </c>
      <c r="M5036" t="b">
        <v>1</v>
      </c>
      <c r="N5036">
        <f>IFERROR(INDEX('Company Hitlist'!$AA:$AA,MATCH(D5036,'Company Hitlist'!$A:$A,0)),)</f>
        <v/>
      </c>
      <c r="O5036">
        <f>IFERROR(INDEX('Company Hitlist'!$N:$N,MATCH(D5036,'Company Hitlist'!$A:$A,0)),)</f>
        <v/>
      </c>
      <c r="Q5036" t="inlineStr">
        <is>
          <t>todo</t>
        </is>
      </c>
    </row>
    <row r="5037">
      <c r="A5037" t="inlineStr">
        <is>
          <t>Kelly Horton</t>
        </is>
      </c>
      <c r="B5037" t="inlineStr">
        <is>
          <t>Sponsor</t>
        </is>
      </c>
      <c r="C5037" t="inlineStr">
        <is>
          <t>Marketing Manager</t>
        </is>
      </c>
      <c r="D5037" t="inlineStr">
        <is>
          <t>ShipHawk</t>
        </is>
      </c>
      <c r="E5037" t="inlineStr">
        <is>
          <t>United States</t>
        </is>
      </c>
      <c r="H5037" t="n">
        <v>-6</v>
      </c>
      <c r="I5037" t="b">
        <v>0</v>
      </c>
      <c r="J5037" t="b">
        <v>0</v>
      </c>
      <c r="K5037" t="b">
        <v>0</v>
      </c>
      <c r="L5037" t="b">
        <v>0</v>
      </c>
      <c r="M5037" t="b">
        <v>1</v>
      </c>
      <c r="N5037">
        <f>IFERROR(INDEX('Company Hitlist'!$AA:$AA,MATCH(D5037,'Company Hitlist'!$A:$A,0)),)</f>
        <v/>
      </c>
      <c r="O5037">
        <f>IFERROR(INDEX('Company Hitlist'!$N:$N,MATCH(D5037,'Company Hitlist'!$A:$A,0)),)</f>
        <v/>
      </c>
      <c r="Q5037" t="inlineStr">
        <is>
          <t>todo</t>
        </is>
      </c>
    </row>
    <row r="5038">
      <c r="A5038" t="inlineStr">
        <is>
          <t>Jose Congo</t>
        </is>
      </c>
      <c r="B5038" t="inlineStr">
        <is>
          <t>Sponsor</t>
        </is>
      </c>
      <c r="C5038" t="inlineStr">
        <is>
          <t>Sales Development Representative</t>
        </is>
      </c>
      <c r="D5038" t="inlineStr">
        <is>
          <t>ShipStation</t>
        </is>
      </c>
      <c r="E5038" t="inlineStr">
        <is>
          <t>United States</t>
        </is>
      </c>
      <c r="H5038" t="n">
        <v>-6</v>
      </c>
      <c r="I5038" t="b">
        <v>0</v>
      </c>
      <c r="J5038" t="b">
        <v>0</v>
      </c>
      <c r="K5038" t="b">
        <v>0</v>
      </c>
      <c r="L5038" t="b">
        <v>0</v>
      </c>
      <c r="M5038" t="b">
        <v>1</v>
      </c>
      <c r="N5038">
        <f>IFERROR(INDEX('Company Hitlist'!$AA:$AA,MATCH(D5038,'Company Hitlist'!$A:$A,0)),)</f>
        <v/>
      </c>
      <c r="O5038">
        <f>IFERROR(INDEX('Company Hitlist'!$N:$N,MATCH(D5038,'Company Hitlist'!$A:$A,0)),)</f>
        <v/>
      </c>
      <c r="Q5038" t="inlineStr">
        <is>
          <t>todo</t>
        </is>
      </c>
    </row>
    <row r="5039">
      <c r="A5039" t="inlineStr">
        <is>
          <t>JP Peterson</t>
        </is>
      </c>
      <c r="B5039" t="inlineStr">
        <is>
          <t>Sponsor</t>
        </is>
      </c>
      <c r="C5039" t="inlineStr">
        <is>
          <t>Sales Manager</t>
        </is>
      </c>
      <c r="D5039" t="inlineStr">
        <is>
          <t>ShipStation</t>
        </is>
      </c>
      <c r="E5039" t="inlineStr">
        <is>
          <t>United States</t>
        </is>
      </c>
      <c r="H5039" t="n">
        <v>-6</v>
      </c>
      <c r="I5039" t="b">
        <v>0</v>
      </c>
      <c r="J5039" t="b">
        <v>0</v>
      </c>
      <c r="K5039" t="b">
        <v>0</v>
      </c>
      <c r="L5039" t="b">
        <v>0</v>
      </c>
      <c r="M5039" t="b">
        <v>1</v>
      </c>
      <c r="N5039">
        <f>IFERROR(INDEX('Company Hitlist'!$AA:$AA,MATCH(D5039,'Company Hitlist'!$A:$A,0)),)</f>
        <v/>
      </c>
      <c r="O5039">
        <f>IFERROR(INDEX('Company Hitlist'!$N:$N,MATCH(D5039,'Company Hitlist'!$A:$A,0)),)</f>
        <v/>
      </c>
      <c r="Q5039" t="inlineStr">
        <is>
          <t>todo</t>
        </is>
      </c>
    </row>
    <row r="5040">
      <c r="A5040" t="inlineStr">
        <is>
          <t>Chase McKinzie</t>
        </is>
      </c>
      <c r="B5040" t="inlineStr">
        <is>
          <t>Sponsor</t>
        </is>
      </c>
      <c r="C5040" t="inlineStr">
        <is>
          <t>Enterprise Account Executive</t>
        </is>
      </c>
      <c r="D5040" t="inlineStr">
        <is>
          <t>ShipStation</t>
        </is>
      </c>
      <c r="E5040" t="inlineStr">
        <is>
          <t>United States</t>
        </is>
      </c>
      <c r="H5040" t="n">
        <v>-6</v>
      </c>
      <c r="I5040" t="b">
        <v>0</v>
      </c>
      <c r="J5040" t="b">
        <v>0</v>
      </c>
      <c r="K5040" t="b">
        <v>0</v>
      </c>
      <c r="L5040" t="b">
        <v>0</v>
      </c>
      <c r="M5040" t="b">
        <v>1</v>
      </c>
      <c r="N5040">
        <f>IFERROR(INDEX('Company Hitlist'!$AA:$AA,MATCH(D5040,'Company Hitlist'!$A:$A,0)),)</f>
        <v/>
      </c>
      <c r="O5040">
        <f>IFERROR(INDEX('Company Hitlist'!$N:$N,MATCH(D5040,'Company Hitlist'!$A:$A,0)),)</f>
        <v/>
      </c>
      <c r="Q5040" t="inlineStr">
        <is>
          <t>todo</t>
        </is>
      </c>
    </row>
    <row r="5041">
      <c r="A5041" t="inlineStr">
        <is>
          <t>Jasmine McGlashan</t>
        </is>
      </c>
      <c r="B5041" t="inlineStr">
        <is>
          <t>Sponsor</t>
        </is>
      </c>
      <c r="C5041" t="inlineStr">
        <is>
          <t>Marketing Events Manager</t>
        </is>
      </c>
      <c r="D5041" t="inlineStr">
        <is>
          <t>ShipStation</t>
        </is>
      </c>
      <c r="H5041" t="n">
        <v>-6</v>
      </c>
      <c r="I5041" t="b">
        <v>0</v>
      </c>
      <c r="J5041" t="b">
        <v>0</v>
      </c>
      <c r="K5041" t="b">
        <v>0</v>
      </c>
      <c r="L5041" t="b">
        <v>0</v>
      </c>
      <c r="M5041" t="b">
        <v>1</v>
      </c>
      <c r="N5041">
        <f>IFERROR(INDEX('Company Hitlist'!$AA:$AA,MATCH(D5041,'Company Hitlist'!$A:$A,0)),)</f>
        <v/>
      </c>
      <c r="O5041">
        <f>IFERROR(INDEX('Company Hitlist'!$N:$N,MATCH(D5041,'Company Hitlist'!$A:$A,0)),)</f>
        <v/>
      </c>
      <c r="Q5041" t="inlineStr">
        <is>
          <t>todo</t>
        </is>
      </c>
    </row>
    <row r="5042">
      <c r="A5042" t="inlineStr">
        <is>
          <t>Colin Conway</t>
        </is>
      </c>
      <c r="B5042" t="inlineStr">
        <is>
          <t>Sponsor</t>
        </is>
      </c>
      <c r="C5042" t="inlineStr">
        <is>
          <t>Sr. Account Executive</t>
        </is>
      </c>
      <c r="D5042" t="inlineStr">
        <is>
          <t>Shipium</t>
        </is>
      </c>
      <c r="H5042" t="n">
        <v>-6</v>
      </c>
      <c r="I5042" t="b">
        <v>0</v>
      </c>
      <c r="J5042" t="b">
        <v>0</v>
      </c>
      <c r="K5042" t="b">
        <v>0</v>
      </c>
      <c r="L5042" t="b">
        <v>0</v>
      </c>
      <c r="M5042" t="b">
        <v>1</v>
      </c>
      <c r="N5042">
        <f>IFERROR(INDEX('Company Hitlist'!$AA:$AA,MATCH(D5042,'Company Hitlist'!$A:$A,0)),)</f>
        <v/>
      </c>
      <c r="O5042">
        <f>IFERROR(INDEX('Company Hitlist'!$N:$N,MATCH(D5042,'Company Hitlist'!$A:$A,0)),)</f>
        <v/>
      </c>
      <c r="Q5042" t="inlineStr">
        <is>
          <t>todo</t>
        </is>
      </c>
    </row>
    <row r="5043">
      <c r="A5043" t="inlineStr">
        <is>
          <t>Alex Buster</t>
        </is>
      </c>
      <c r="B5043" t="inlineStr">
        <is>
          <t>Sponsor</t>
        </is>
      </c>
      <c r="C5043" t="inlineStr">
        <is>
          <t>Manager, Field and Event Marketing</t>
        </is>
      </c>
      <c r="D5043" t="inlineStr">
        <is>
          <t>Shipium</t>
        </is>
      </c>
      <c r="E5043" t="inlineStr">
        <is>
          <t>United States</t>
        </is>
      </c>
      <c r="H5043" t="n">
        <v>-6</v>
      </c>
      <c r="I5043" t="b">
        <v>0</v>
      </c>
      <c r="J5043" t="b">
        <v>0</v>
      </c>
      <c r="K5043" t="b">
        <v>0</v>
      </c>
      <c r="L5043" t="b">
        <v>0</v>
      </c>
      <c r="M5043" t="b">
        <v>1</v>
      </c>
      <c r="N5043">
        <f>IFERROR(INDEX('Company Hitlist'!$AA:$AA,MATCH(D5043,'Company Hitlist'!$A:$A,0)),)</f>
        <v/>
      </c>
      <c r="O5043">
        <f>IFERROR(INDEX('Company Hitlist'!$N:$N,MATCH(D5043,'Company Hitlist'!$A:$A,0)),)</f>
        <v/>
      </c>
      <c r="Q5043" t="inlineStr">
        <is>
          <t>todo</t>
        </is>
      </c>
    </row>
    <row r="5044">
      <c r="A5044" t="inlineStr">
        <is>
          <t>Haakon Sorensen</t>
        </is>
      </c>
      <c r="B5044" t="inlineStr">
        <is>
          <t>Sponsor</t>
        </is>
      </c>
      <c r="C5044" t="inlineStr">
        <is>
          <t>Strategic Account Executive</t>
        </is>
      </c>
      <c r="D5044" t="inlineStr">
        <is>
          <t>Shippeo</t>
        </is>
      </c>
      <c r="H5044" t="n">
        <v>-6</v>
      </c>
      <c r="I5044" t="b">
        <v>0</v>
      </c>
      <c r="J5044" t="b">
        <v>0</v>
      </c>
      <c r="K5044" t="b">
        <v>0</v>
      </c>
      <c r="L5044" t="b">
        <v>0</v>
      </c>
      <c r="M5044" t="b">
        <v>1</v>
      </c>
      <c r="N5044">
        <f>IFERROR(INDEX('Company Hitlist'!$AA:$AA,MATCH(D5044,'Company Hitlist'!$A:$A,0)),)</f>
        <v/>
      </c>
      <c r="O5044">
        <f>IFERROR(INDEX('Company Hitlist'!$N:$N,MATCH(D5044,'Company Hitlist'!$A:$A,0)),)</f>
        <v/>
      </c>
      <c r="Q5044" t="inlineStr">
        <is>
          <t>todo</t>
        </is>
      </c>
    </row>
    <row r="5045">
      <c r="A5045" t="inlineStr">
        <is>
          <t>Diego Jimenez</t>
        </is>
      </c>
      <c r="B5045" t="inlineStr">
        <is>
          <t>Sponsor</t>
        </is>
      </c>
      <c r="C5045" t="inlineStr">
        <is>
          <t>Senior Enterprise Account Executive</t>
        </is>
      </c>
      <c r="D5045" t="inlineStr">
        <is>
          <t>Shippo</t>
        </is>
      </c>
      <c r="E5045" t="inlineStr">
        <is>
          <t>United States</t>
        </is>
      </c>
      <c r="H5045" t="n">
        <v>-6</v>
      </c>
      <c r="I5045" t="b">
        <v>0</v>
      </c>
      <c r="J5045" t="b">
        <v>0</v>
      </c>
      <c r="K5045" t="b">
        <v>0</v>
      </c>
      <c r="L5045" t="b">
        <v>0</v>
      </c>
      <c r="M5045" t="b">
        <v>1</v>
      </c>
      <c r="N5045">
        <f>IFERROR(INDEX('Company Hitlist'!$AA:$AA,MATCH(D5045,'Company Hitlist'!$A:$A,0)),)</f>
        <v/>
      </c>
      <c r="O5045">
        <f>IFERROR(INDEX('Company Hitlist'!$N:$N,MATCH(D5045,'Company Hitlist'!$A:$A,0)),)</f>
        <v/>
      </c>
      <c r="Q5045" t="inlineStr">
        <is>
          <t>todo</t>
        </is>
      </c>
    </row>
    <row r="5046">
      <c r="A5046" t="inlineStr">
        <is>
          <t>Michael Delmedico</t>
        </is>
      </c>
      <c r="B5046" t="inlineStr">
        <is>
          <t>Sponsor</t>
        </is>
      </c>
      <c r="C5046" t="inlineStr">
        <is>
          <t>Senior Manager, Business Development</t>
        </is>
      </c>
      <c r="D5046" t="inlineStr">
        <is>
          <t>Shippo</t>
        </is>
      </c>
      <c r="H5046" t="n">
        <v>-6</v>
      </c>
      <c r="I5046" t="b">
        <v>0</v>
      </c>
      <c r="J5046" t="b">
        <v>0</v>
      </c>
      <c r="K5046" t="b">
        <v>0</v>
      </c>
      <c r="L5046" t="b">
        <v>0</v>
      </c>
      <c r="M5046" t="b">
        <v>1</v>
      </c>
      <c r="N5046">
        <f>IFERROR(INDEX('Company Hitlist'!$AA:$AA,MATCH(D5046,'Company Hitlist'!$A:$A,0)),)</f>
        <v/>
      </c>
      <c r="O5046">
        <f>IFERROR(INDEX('Company Hitlist'!$N:$N,MATCH(D5046,'Company Hitlist'!$A:$A,0)),)</f>
        <v/>
      </c>
      <c r="Q5046" t="inlineStr">
        <is>
          <t>todo</t>
        </is>
      </c>
    </row>
    <row r="5047">
      <c r="A5047" t="inlineStr">
        <is>
          <t>Rita Jenkins</t>
        </is>
      </c>
      <c r="B5047" t="inlineStr">
        <is>
          <t>Sponsor</t>
        </is>
      </c>
      <c r="C5047" t="inlineStr">
        <is>
          <t>Director of Growth</t>
        </is>
      </c>
      <c r="D5047" t="inlineStr">
        <is>
          <t>Shiptheory</t>
        </is>
      </c>
      <c r="E5047" t="inlineStr">
        <is>
          <t>United Kingdom</t>
        </is>
      </c>
      <c r="F5047" t="inlineStr">
        <is>
          <t>Yes</t>
        </is>
      </c>
      <c r="G5047" t="inlineStr">
        <is>
          <t>$2.4M</t>
        </is>
      </c>
      <c r="H5047" t="n">
        <v>-6</v>
      </c>
      <c r="I5047" t="b">
        <v>0</v>
      </c>
      <c r="J5047" t="b">
        <v>0</v>
      </c>
      <c r="K5047" t="b">
        <v>0</v>
      </c>
      <c r="L5047" t="b">
        <v>0</v>
      </c>
      <c r="M5047" t="b">
        <v>1</v>
      </c>
      <c r="N5047">
        <f>IFERROR(INDEX('Company Hitlist'!$AA:$AA,MATCH(D5047,'Company Hitlist'!$A:$A,0)),)</f>
        <v/>
      </c>
      <c r="O5047">
        <f>IFERROR(INDEX('Company Hitlist'!$N:$N,MATCH(D5047,'Company Hitlist'!$A:$A,0)),)</f>
        <v/>
      </c>
      <c r="Q5047" t="inlineStr">
        <is>
          <t>todo</t>
        </is>
      </c>
    </row>
    <row r="5048">
      <c r="A5048" t="inlineStr">
        <is>
          <t>Maisie Emery</t>
        </is>
      </c>
      <c r="B5048" t="inlineStr">
        <is>
          <t>Sponsor</t>
        </is>
      </c>
      <c r="C5048" t="inlineStr">
        <is>
          <t>Sales Development Representative</t>
        </is>
      </c>
      <c r="D5048" t="inlineStr">
        <is>
          <t>Shiptheory</t>
        </is>
      </c>
      <c r="E5048" t="inlineStr">
        <is>
          <t>United Kingdom</t>
        </is>
      </c>
      <c r="H5048" t="n">
        <v>-6</v>
      </c>
      <c r="I5048" t="b">
        <v>0</v>
      </c>
      <c r="J5048" t="b">
        <v>0</v>
      </c>
      <c r="K5048" t="b">
        <v>0</v>
      </c>
      <c r="L5048" t="b">
        <v>0</v>
      </c>
      <c r="M5048" t="b">
        <v>1</v>
      </c>
      <c r="N5048">
        <f>IFERROR(INDEX('Company Hitlist'!$AA:$AA,MATCH(D5048,'Company Hitlist'!$A:$A,0)),)</f>
        <v/>
      </c>
      <c r="O5048">
        <f>IFERROR(INDEX('Company Hitlist'!$N:$N,MATCH(D5048,'Company Hitlist'!$A:$A,0)),)</f>
        <v/>
      </c>
      <c r="Q5048" t="inlineStr">
        <is>
          <t>todo</t>
        </is>
      </c>
    </row>
    <row r="5049">
      <c r="A5049" t="inlineStr">
        <is>
          <t>Nick Koontz</t>
        </is>
      </c>
      <c r="B5049" t="inlineStr">
        <is>
          <t>Sponsor</t>
        </is>
      </c>
      <c r="C5049" t="inlineStr">
        <is>
          <t>Enterprise Account Executive</t>
        </is>
      </c>
      <c r="D5049" t="inlineStr">
        <is>
          <t>Sifted</t>
        </is>
      </c>
      <c r="E5049" t="inlineStr">
        <is>
          <t>United States</t>
        </is>
      </c>
      <c r="H5049" t="n">
        <v>-6</v>
      </c>
      <c r="I5049" t="b">
        <v>0</v>
      </c>
      <c r="J5049" t="b">
        <v>0</v>
      </c>
      <c r="K5049" t="b">
        <v>0</v>
      </c>
      <c r="L5049" t="b">
        <v>0</v>
      </c>
      <c r="M5049" t="b">
        <v>1</v>
      </c>
      <c r="N5049">
        <f>IFERROR(INDEX('Company Hitlist'!$AA:$AA,MATCH(D5049,'Company Hitlist'!$A:$A,0)),)</f>
        <v/>
      </c>
      <c r="O5049">
        <f>IFERROR(INDEX('Company Hitlist'!$N:$N,MATCH(D5049,'Company Hitlist'!$A:$A,0)),)</f>
        <v/>
      </c>
      <c r="Q5049" t="inlineStr">
        <is>
          <t>todo</t>
        </is>
      </c>
    </row>
    <row r="5050">
      <c r="A5050" t="inlineStr">
        <is>
          <t>Nick Giuliani</t>
        </is>
      </c>
      <c r="B5050" t="inlineStr">
        <is>
          <t>Sponsor</t>
        </is>
      </c>
      <c r="C5050" t="inlineStr">
        <is>
          <t>Director of Business Development &amp; Partnerships</t>
        </is>
      </c>
      <c r="D5050" t="inlineStr">
        <is>
          <t>Sifted</t>
        </is>
      </c>
      <c r="H5050" t="n">
        <v>-6</v>
      </c>
      <c r="I5050" t="b">
        <v>0</v>
      </c>
      <c r="J5050" t="b">
        <v>0</v>
      </c>
      <c r="K5050" t="b">
        <v>0</v>
      </c>
      <c r="L5050" t="b">
        <v>0</v>
      </c>
      <c r="M5050" t="b">
        <v>1</v>
      </c>
      <c r="N5050">
        <f>IFERROR(INDEX('Company Hitlist'!$AA:$AA,MATCH(D5050,'Company Hitlist'!$A:$A,0)),)</f>
        <v/>
      </c>
      <c r="O5050">
        <f>IFERROR(INDEX('Company Hitlist'!$N:$N,MATCH(D5050,'Company Hitlist'!$A:$A,0)),)</f>
        <v/>
      </c>
      <c r="Q5050" t="inlineStr">
        <is>
          <t>todo</t>
        </is>
      </c>
    </row>
    <row r="5051">
      <c r="A5051" t="inlineStr">
        <is>
          <t>Steve Blatney</t>
        </is>
      </c>
      <c r="B5051" t="inlineStr">
        <is>
          <t>Sponsor</t>
        </is>
      </c>
      <c r="C5051" t="inlineStr">
        <is>
          <t>Partner and Director of Business Development</t>
        </is>
      </c>
      <c r="D5051" t="inlineStr">
        <is>
          <t>SimWell</t>
        </is>
      </c>
      <c r="E5051" t="inlineStr">
        <is>
          <t>United States</t>
        </is>
      </c>
      <c r="H5051" t="n">
        <v>-6</v>
      </c>
      <c r="I5051" t="b">
        <v>0</v>
      </c>
      <c r="J5051" t="b">
        <v>0</v>
      </c>
      <c r="K5051" t="b">
        <v>0</v>
      </c>
      <c r="L5051" t="b">
        <v>0</v>
      </c>
      <c r="M5051" t="b">
        <v>1</v>
      </c>
      <c r="N5051">
        <f>IFERROR(INDEX('Company Hitlist'!$AA:$AA,MATCH(D5051,'Company Hitlist'!$A:$A,0)),)</f>
        <v/>
      </c>
      <c r="O5051">
        <f>IFERROR(INDEX('Company Hitlist'!$N:$N,MATCH(D5051,'Company Hitlist'!$A:$A,0)),)</f>
        <v/>
      </c>
      <c r="Q5051" t="inlineStr">
        <is>
          <t>todo</t>
        </is>
      </c>
    </row>
    <row r="5052">
      <c r="A5052" t="inlineStr">
        <is>
          <t>Jose A Llorente</t>
        </is>
      </c>
      <c r="B5052" t="inlineStr">
        <is>
          <t>Sponsor</t>
        </is>
      </c>
      <c r="C5052" t="inlineStr">
        <is>
          <t>Sr. Sales Director</t>
        </is>
      </c>
      <c r="D5052" t="inlineStr">
        <is>
          <t>SkyMirr Inc.</t>
        </is>
      </c>
      <c r="E5052" t="inlineStr">
        <is>
          <t>United States</t>
        </is>
      </c>
      <c r="H5052" t="n">
        <v>-6</v>
      </c>
      <c r="I5052" t="b">
        <v>0</v>
      </c>
      <c r="J5052" t="b">
        <v>0</v>
      </c>
      <c r="K5052" t="b">
        <v>0</v>
      </c>
      <c r="L5052" t="b">
        <v>0</v>
      </c>
      <c r="M5052" t="b">
        <v>1</v>
      </c>
      <c r="N5052">
        <f>IFERROR(INDEX('Company Hitlist'!$AA:$AA,MATCH(D5052,'Company Hitlist'!$A:$A,0)),)</f>
        <v/>
      </c>
      <c r="O5052">
        <f>IFERROR(INDEX('Company Hitlist'!$N:$N,MATCH(D5052,'Company Hitlist'!$A:$A,0)),)</f>
        <v/>
      </c>
      <c r="Q5052" t="inlineStr">
        <is>
          <t>todo</t>
        </is>
      </c>
    </row>
    <row r="5053">
      <c r="A5053" t="inlineStr">
        <is>
          <t>Adam Conner</t>
        </is>
      </c>
      <c r="B5053" t="inlineStr">
        <is>
          <t>Sponsor</t>
        </is>
      </c>
      <c r="C5053" t="inlineStr">
        <is>
          <t>Strategic Sales Director</t>
        </is>
      </c>
      <c r="D5053" t="inlineStr">
        <is>
          <t>Slamcore</t>
        </is>
      </c>
      <c r="H5053" t="n">
        <v>-6</v>
      </c>
      <c r="I5053" t="b">
        <v>0</v>
      </c>
      <c r="J5053" t="b">
        <v>0</v>
      </c>
      <c r="K5053" t="b">
        <v>0</v>
      </c>
      <c r="L5053" t="b">
        <v>0</v>
      </c>
      <c r="M5053" t="b">
        <v>1</v>
      </c>
      <c r="N5053">
        <f>IFERROR(INDEX('Company Hitlist'!$AA:$AA,MATCH(D5053,'Company Hitlist'!$A:$A,0)),)</f>
        <v/>
      </c>
      <c r="O5053">
        <f>IFERROR(INDEX('Company Hitlist'!$N:$N,MATCH(D5053,'Company Hitlist'!$A:$A,0)),)</f>
        <v/>
      </c>
      <c r="Q5053" t="inlineStr">
        <is>
          <t>todo</t>
        </is>
      </c>
    </row>
    <row r="5054">
      <c r="A5054" t="inlineStr">
        <is>
          <t>Kathryn Cawley</t>
        </is>
      </c>
      <c r="B5054" t="inlineStr">
        <is>
          <t>Sponsor</t>
        </is>
      </c>
      <c r="C5054" t="inlineStr">
        <is>
          <t>Marketing Manager</t>
        </is>
      </c>
      <c r="D5054" t="inlineStr">
        <is>
          <t>Softeon</t>
        </is>
      </c>
      <c r="H5054" t="n">
        <v>-6</v>
      </c>
      <c r="I5054" t="b">
        <v>0</v>
      </c>
      <c r="J5054" t="b">
        <v>0</v>
      </c>
      <c r="K5054" t="b">
        <v>0</v>
      </c>
      <c r="L5054" t="b">
        <v>0</v>
      </c>
      <c r="M5054" t="b">
        <v>1</v>
      </c>
      <c r="N5054">
        <f>IFERROR(INDEX('Company Hitlist'!$AA:$AA,MATCH(D5054,'Company Hitlist'!$A:$A,0)),)</f>
        <v/>
      </c>
      <c r="O5054">
        <f>IFERROR(INDEX('Company Hitlist'!$N:$N,MATCH(D5054,'Company Hitlist'!$A:$A,0)),)</f>
        <v/>
      </c>
      <c r="Q5054" t="inlineStr">
        <is>
          <t>todo</t>
        </is>
      </c>
    </row>
    <row r="5055">
      <c r="A5055" t="inlineStr">
        <is>
          <t>Ben McDonald</t>
        </is>
      </c>
      <c r="B5055" t="inlineStr">
        <is>
          <t>Sponsor</t>
        </is>
      </c>
      <c r="C5055" t="inlineStr">
        <is>
          <t>Director of Sales</t>
        </is>
      </c>
      <c r="D5055" t="inlineStr">
        <is>
          <t>SpeedX</t>
        </is>
      </c>
      <c r="E5055" t="inlineStr">
        <is>
          <t>United States</t>
        </is>
      </c>
      <c r="H5055" t="n">
        <v>-6</v>
      </c>
      <c r="I5055" t="b">
        <v>0</v>
      </c>
      <c r="J5055" t="b">
        <v>0</v>
      </c>
      <c r="K5055" t="b">
        <v>0</v>
      </c>
      <c r="L5055" t="b">
        <v>0</v>
      </c>
      <c r="M5055" t="b">
        <v>1</v>
      </c>
      <c r="N5055">
        <f>IFERROR(INDEX('Company Hitlist'!$AA:$AA,MATCH(D5055,'Company Hitlist'!$A:$A,0)),)</f>
        <v/>
      </c>
      <c r="O5055">
        <f>IFERROR(INDEX('Company Hitlist'!$N:$N,MATCH(D5055,'Company Hitlist'!$A:$A,0)),)</f>
        <v/>
      </c>
      <c r="Q5055" t="inlineStr">
        <is>
          <t>todo</t>
        </is>
      </c>
    </row>
    <row r="5056">
      <c r="A5056" t="inlineStr">
        <is>
          <t>Bob Sellers</t>
        </is>
      </c>
      <c r="B5056" t="inlineStr">
        <is>
          <t>Sponsor</t>
        </is>
      </c>
      <c r="C5056" t="inlineStr">
        <is>
          <t>Director of Sales</t>
        </is>
      </c>
      <c r="D5056" t="inlineStr">
        <is>
          <t>SpeedX</t>
        </is>
      </c>
      <c r="E5056" t="inlineStr">
        <is>
          <t>United States</t>
        </is>
      </c>
      <c r="H5056" t="n">
        <v>-6</v>
      </c>
      <c r="I5056" t="b">
        <v>0</v>
      </c>
      <c r="J5056" t="b">
        <v>0</v>
      </c>
      <c r="K5056" t="b">
        <v>0</v>
      </c>
      <c r="L5056" t="b">
        <v>0</v>
      </c>
      <c r="M5056" t="b">
        <v>1</v>
      </c>
      <c r="N5056">
        <f>IFERROR(INDEX('Company Hitlist'!$AA:$AA,MATCH(D5056,'Company Hitlist'!$A:$A,0)),)</f>
        <v/>
      </c>
      <c r="O5056">
        <f>IFERROR(INDEX('Company Hitlist'!$N:$N,MATCH(D5056,'Company Hitlist'!$A:$A,0)),)</f>
        <v/>
      </c>
      <c r="Q5056" t="inlineStr">
        <is>
          <t>todo</t>
        </is>
      </c>
    </row>
    <row r="5057">
      <c r="A5057" t="inlineStr">
        <is>
          <t>Kim King</t>
        </is>
      </c>
      <c r="B5057" t="inlineStr">
        <is>
          <t>Sponsor</t>
        </is>
      </c>
      <c r="C5057" t="inlineStr">
        <is>
          <t>Sr Business Development Executive</t>
        </is>
      </c>
      <c r="D5057" t="inlineStr">
        <is>
          <t>St. Onge Company</t>
        </is>
      </c>
      <c r="H5057" t="n">
        <v>-6</v>
      </c>
      <c r="I5057" t="b">
        <v>0</v>
      </c>
      <c r="J5057" t="b">
        <v>0</v>
      </c>
      <c r="K5057" t="b">
        <v>0</v>
      </c>
      <c r="L5057" t="b">
        <v>0</v>
      </c>
      <c r="M5057" t="b">
        <v>1</v>
      </c>
      <c r="N5057">
        <f>IFERROR(INDEX('Company Hitlist'!$AA:$AA,MATCH(D5057,'Company Hitlist'!$A:$A,0)),)</f>
        <v/>
      </c>
      <c r="O5057">
        <f>IFERROR(INDEX('Company Hitlist'!$N:$N,MATCH(D5057,'Company Hitlist'!$A:$A,0)),)</f>
        <v/>
      </c>
      <c r="Q5057" t="inlineStr">
        <is>
          <t>todo</t>
        </is>
      </c>
    </row>
    <row r="5058">
      <c r="A5058" t="inlineStr">
        <is>
          <t>Brianna Dudanowicz</t>
        </is>
      </c>
      <c r="B5058" t="inlineStr">
        <is>
          <t>Sponsor</t>
        </is>
      </c>
      <c r="C5058" t="inlineStr">
        <is>
          <t>Business Development Associate</t>
        </is>
      </c>
      <c r="D5058" t="inlineStr">
        <is>
          <t>St. Onge Company</t>
        </is>
      </c>
      <c r="E5058" t="inlineStr">
        <is>
          <t>United States</t>
        </is>
      </c>
      <c r="H5058" t="n">
        <v>-6</v>
      </c>
      <c r="I5058" t="b">
        <v>0</v>
      </c>
      <c r="J5058" t="b">
        <v>0</v>
      </c>
      <c r="K5058" t="b">
        <v>0</v>
      </c>
      <c r="L5058" t="b">
        <v>0</v>
      </c>
      <c r="M5058" t="b">
        <v>1</v>
      </c>
      <c r="N5058">
        <f>IFERROR(INDEX('Company Hitlist'!$AA:$AA,MATCH(D5058,'Company Hitlist'!$A:$A,0)),)</f>
        <v/>
      </c>
      <c r="O5058">
        <f>IFERROR(INDEX('Company Hitlist'!$N:$N,MATCH(D5058,'Company Hitlist'!$A:$A,0)),)</f>
        <v/>
      </c>
      <c r="Q5058" t="inlineStr">
        <is>
          <t>todo</t>
        </is>
      </c>
    </row>
    <row r="5059">
      <c r="A5059" t="inlineStr">
        <is>
          <t>Brian Hines</t>
        </is>
      </c>
      <c r="B5059" t="inlineStr">
        <is>
          <t>Sponsor</t>
        </is>
      </c>
      <c r="C5059" t="inlineStr">
        <is>
          <t>Sales Representative</t>
        </is>
      </c>
      <c r="D5059" t="inlineStr">
        <is>
          <t>Supply &amp; Demand Chain Executive &amp; Food Logistics</t>
        </is>
      </c>
      <c r="E5059" t="inlineStr">
        <is>
          <t>Canada</t>
        </is>
      </c>
      <c r="H5059" t="n">
        <v>-6</v>
      </c>
      <c r="I5059" t="b">
        <v>0</v>
      </c>
      <c r="J5059" t="b">
        <v>0</v>
      </c>
      <c r="K5059" t="b">
        <v>0</v>
      </c>
      <c r="L5059" t="b">
        <v>0</v>
      </c>
      <c r="M5059" t="b">
        <v>1</v>
      </c>
      <c r="N5059">
        <f>IFERROR(INDEX('Company Hitlist'!$AA:$AA,MATCH(D5059,'Company Hitlist'!$A:$A,0)),)</f>
        <v/>
      </c>
      <c r="O5059">
        <f>IFERROR(INDEX('Company Hitlist'!$N:$N,MATCH(D5059,'Company Hitlist'!$A:$A,0)),)</f>
        <v/>
      </c>
      <c r="Q5059" t="inlineStr">
        <is>
          <t>todo</t>
        </is>
      </c>
    </row>
    <row r="5060">
      <c r="A5060" t="inlineStr">
        <is>
          <t>Jay Gagen</t>
        </is>
      </c>
      <c r="B5060" t="inlineStr">
        <is>
          <t>Sponsor</t>
        </is>
      </c>
      <c r="C5060" t="inlineStr">
        <is>
          <t>Sales Representative</t>
        </is>
      </c>
      <c r="D5060" t="inlineStr">
        <is>
          <t>Supply &amp; Demand Chain Executive &amp; Food Logistics</t>
        </is>
      </c>
      <c r="E5060" t="inlineStr">
        <is>
          <t>United States</t>
        </is>
      </c>
      <c r="H5060" t="n">
        <v>-6</v>
      </c>
      <c r="I5060" t="b">
        <v>0</v>
      </c>
      <c r="J5060" t="b">
        <v>0</v>
      </c>
      <c r="K5060" t="b">
        <v>0</v>
      </c>
      <c r="L5060" t="b">
        <v>0</v>
      </c>
      <c r="M5060" t="b">
        <v>1</v>
      </c>
      <c r="N5060">
        <f>IFERROR(INDEX('Company Hitlist'!$AA:$AA,MATCH(D5060,'Company Hitlist'!$A:$A,0)),)</f>
        <v/>
      </c>
      <c r="O5060">
        <f>IFERROR(INDEX('Company Hitlist'!$N:$N,MATCH(D5060,'Company Hitlist'!$A:$A,0)),)</f>
        <v/>
      </c>
      <c r="Q5060" t="inlineStr">
        <is>
          <t>todo</t>
        </is>
      </c>
    </row>
    <row r="5061">
      <c r="A5061" t="inlineStr">
        <is>
          <t>Mark Pantalone</t>
        </is>
      </c>
      <c r="B5061" t="inlineStr">
        <is>
          <t>Sponsor</t>
        </is>
      </c>
      <c r="C5061" t="inlineStr">
        <is>
          <t>Sales Representative</t>
        </is>
      </c>
      <c r="D5061" t="inlineStr">
        <is>
          <t>Supply &amp; Demand Chain Executive &amp; Food Logistics</t>
        </is>
      </c>
      <c r="E5061" t="inlineStr">
        <is>
          <t>United States</t>
        </is>
      </c>
      <c r="H5061" t="n">
        <v>-6</v>
      </c>
      <c r="I5061" t="b">
        <v>0</v>
      </c>
      <c r="J5061" t="b">
        <v>0</v>
      </c>
      <c r="K5061" t="b">
        <v>0</v>
      </c>
      <c r="L5061" t="b">
        <v>0</v>
      </c>
      <c r="M5061" t="b">
        <v>1</v>
      </c>
      <c r="N5061">
        <f>IFERROR(INDEX('Company Hitlist'!$AA:$AA,MATCH(D5061,'Company Hitlist'!$A:$A,0)),)</f>
        <v/>
      </c>
      <c r="O5061">
        <f>IFERROR(INDEX('Company Hitlist'!$N:$N,MATCH(D5061,'Company Hitlist'!$A:$A,0)),)</f>
        <v/>
      </c>
      <c r="Q5061" t="inlineStr">
        <is>
          <t>todo</t>
        </is>
      </c>
    </row>
    <row r="5062">
      <c r="A5062" t="inlineStr">
        <is>
          <t>Martin Conner</t>
        </is>
      </c>
      <c r="B5062" t="inlineStr">
        <is>
          <t>Sponsor</t>
        </is>
      </c>
      <c r="C5062" t="inlineStr">
        <is>
          <t>Customer Success Officer</t>
        </is>
      </c>
      <c r="D5062" t="inlineStr">
        <is>
          <t>Surgere</t>
        </is>
      </c>
      <c r="E5062" t="inlineStr">
        <is>
          <t>United States</t>
        </is>
      </c>
      <c r="F5062" t="inlineStr">
        <is>
          <t>Yes</t>
        </is>
      </c>
      <c r="H5062" t="n">
        <v>-6</v>
      </c>
      <c r="I5062" t="b">
        <v>0</v>
      </c>
      <c r="J5062" t="b">
        <v>0</v>
      </c>
      <c r="K5062" t="b">
        <v>0</v>
      </c>
      <c r="L5062" t="b">
        <v>0</v>
      </c>
      <c r="M5062" t="b">
        <v>1</v>
      </c>
      <c r="N5062">
        <f>IFERROR(INDEX('Company Hitlist'!$AA:$AA,MATCH(D5062,'Company Hitlist'!$A:$A,0)),)</f>
        <v/>
      </c>
      <c r="O5062">
        <f>IFERROR(INDEX('Company Hitlist'!$N:$N,MATCH(D5062,'Company Hitlist'!$A:$A,0)),)</f>
        <v/>
      </c>
      <c r="Q5062" t="inlineStr">
        <is>
          <t>todo</t>
        </is>
      </c>
    </row>
    <row r="5063">
      <c r="A5063" t="inlineStr">
        <is>
          <t>Jorge Eduardo Urquieta</t>
        </is>
      </c>
      <c r="B5063" t="inlineStr">
        <is>
          <t>Sponsor</t>
        </is>
      </c>
      <c r="C5063" t="inlineStr">
        <is>
          <t>Sales &amp; Solutions Developer</t>
        </is>
      </c>
      <c r="D5063" t="inlineStr">
        <is>
          <t>Surgere</t>
        </is>
      </c>
      <c r="E5063" t="inlineStr">
        <is>
          <t>Mexico</t>
        </is>
      </c>
      <c r="H5063" t="n">
        <v>-6</v>
      </c>
      <c r="I5063" t="b">
        <v>0</v>
      </c>
      <c r="J5063" t="b">
        <v>0</v>
      </c>
      <c r="K5063" t="b">
        <v>0</v>
      </c>
      <c r="L5063" t="b">
        <v>0</v>
      </c>
      <c r="M5063" t="b">
        <v>1</v>
      </c>
      <c r="N5063">
        <f>IFERROR(INDEX('Company Hitlist'!$AA:$AA,MATCH(D5063,'Company Hitlist'!$A:$A,0)),)</f>
        <v/>
      </c>
      <c r="O5063">
        <f>IFERROR(INDEX('Company Hitlist'!$N:$N,MATCH(D5063,'Company Hitlist'!$A:$A,0)),)</f>
        <v/>
      </c>
      <c r="Q5063" t="inlineStr">
        <is>
          <t>todo</t>
        </is>
      </c>
    </row>
    <row r="5064">
      <c r="A5064" t="inlineStr">
        <is>
          <t>Gary Gardner</t>
        </is>
      </c>
      <c r="B5064" t="inlineStr">
        <is>
          <t>Sponsor</t>
        </is>
      </c>
      <c r="C5064" t="inlineStr">
        <is>
          <t>Strategic Account Executive</t>
        </is>
      </c>
      <c r="D5064" t="inlineStr">
        <is>
          <t>Surgere</t>
        </is>
      </c>
      <c r="E5064" t="inlineStr">
        <is>
          <t>United States</t>
        </is>
      </c>
      <c r="H5064" t="n">
        <v>-6</v>
      </c>
      <c r="I5064" t="b">
        <v>0</v>
      </c>
      <c r="J5064" t="b">
        <v>0</v>
      </c>
      <c r="K5064" t="b">
        <v>0</v>
      </c>
      <c r="L5064" t="b">
        <v>0</v>
      </c>
      <c r="M5064" t="b">
        <v>1</v>
      </c>
      <c r="N5064">
        <f>IFERROR(INDEX('Company Hitlist'!$AA:$AA,MATCH(D5064,'Company Hitlist'!$A:$A,0)),)</f>
        <v/>
      </c>
      <c r="O5064">
        <f>IFERROR(INDEX('Company Hitlist'!$N:$N,MATCH(D5064,'Company Hitlist'!$A:$A,0)),)</f>
        <v/>
      </c>
      <c r="Q5064" t="inlineStr">
        <is>
          <t>todo</t>
        </is>
      </c>
    </row>
    <row r="5065">
      <c r="A5065" t="inlineStr">
        <is>
          <t>Gasper Gulotta</t>
        </is>
      </c>
      <c r="B5065" t="inlineStr">
        <is>
          <t>Sponsor</t>
        </is>
      </c>
      <c r="C5065" t="inlineStr">
        <is>
          <t>Director of Sales</t>
        </is>
      </c>
      <c r="D5065" t="inlineStr">
        <is>
          <t>Swisslog</t>
        </is>
      </c>
      <c r="E5065" t="inlineStr">
        <is>
          <t>United States</t>
        </is>
      </c>
      <c r="H5065" t="n">
        <v>-6</v>
      </c>
      <c r="I5065" t="b">
        <v>0</v>
      </c>
      <c r="J5065" t="b">
        <v>0</v>
      </c>
      <c r="K5065" t="b">
        <v>0</v>
      </c>
      <c r="L5065" t="b">
        <v>0</v>
      </c>
      <c r="M5065" t="b">
        <v>1</v>
      </c>
      <c r="N5065">
        <f>IFERROR(INDEX('Company Hitlist'!$AA:$AA,MATCH(D5065,'Company Hitlist'!$A:$A,0)),)</f>
        <v/>
      </c>
      <c r="O5065">
        <f>IFERROR(INDEX('Company Hitlist'!$N:$N,MATCH(D5065,'Company Hitlist'!$A:$A,0)),)</f>
        <v/>
      </c>
      <c r="Q5065" t="inlineStr">
        <is>
          <t>todo</t>
        </is>
      </c>
    </row>
    <row r="5066">
      <c r="A5066" t="inlineStr">
        <is>
          <t>Jake Carothers</t>
        </is>
      </c>
      <c r="B5066" t="inlineStr">
        <is>
          <t>Sponsor</t>
        </is>
      </c>
      <c r="C5066" t="inlineStr">
        <is>
          <t>Director of Sales</t>
        </is>
      </c>
      <c r="D5066" t="inlineStr">
        <is>
          <t>Swisslog</t>
        </is>
      </c>
      <c r="E5066" t="inlineStr">
        <is>
          <t>United States</t>
        </is>
      </c>
      <c r="H5066" t="n">
        <v>-6</v>
      </c>
      <c r="I5066" t="b">
        <v>0</v>
      </c>
      <c r="J5066" t="b">
        <v>0</v>
      </c>
      <c r="K5066" t="b">
        <v>0</v>
      </c>
      <c r="L5066" t="b">
        <v>0</v>
      </c>
      <c r="M5066" t="b">
        <v>1</v>
      </c>
      <c r="N5066">
        <f>IFERROR(INDEX('Company Hitlist'!$AA:$AA,MATCH(D5066,'Company Hitlist'!$A:$A,0)),)</f>
        <v/>
      </c>
      <c r="O5066">
        <f>IFERROR(INDEX('Company Hitlist'!$N:$N,MATCH(D5066,'Company Hitlist'!$A:$A,0)),)</f>
        <v/>
      </c>
      <c r="Q5066" t="inlineStr">
        <is>
          <t>todo</t>
        </is>
      </c>
    </row>
    <row r="5067">
      <c r="A5067" t="inlineStr">
        <is>
          <t>Robyn Poe</t>
        </is>
      </c>
      <c r="B5067" t="inlineStr">
        <is>
          <t>Sponsor</t>
        </is>
      </c>
      <c r="C5067" t="inlineStr">
        <is>
          <t>Senior Business Development Manager</t>
        </is>
      </c>
      <c r="D5067" t="inlineStr">
        <is>
          <t>Swisslog</t>
        </is>
      </c>
      <c r="E5067" t="inlineStr">
        <is>
          <t>United States</t>
        </is>
      </c>
      <c r="H5067" t="n">
        <v>-6</v>
      </c>
      <c r="I5067" t="b">
        <v>0</v>
      </c>
      <c r="J5067" t="b">
        <v>0</v>
      </c>
      <c r="K5067" t="b">
        <v>0</v>
      </c>
      <c r="L5067" t="b">
        <v>0</v>
      </c>
      <c r="M5067" t="b">
        <v>1</v>
      </c>
      <c r="N5067">
        <f>IFERROR(INDEX('Company Hitlist'!$AA:$AA,MATCH(D5067,'Company Hitlist'!$A:$A,0)),)</f>
        <v/>
      </c>
      <c r="O5067">
        <f>IFERROR(INDEX('Company Hitlist'!$N:$N,MATCH(D5067,'Company Hitlist'!$A:$A,0)),)</f>
        <v/>
      </c>
      <c r="Q5067" t="inlineStr">
        <is>
          <t>todo</t>
        </is>
      </c>
    </row>
    <row r="5068">
      <c r="A5068" t="inlineStr">
        <is>
          <t>Hunter Wagner</t>
        </is>
      </c>
      <c r="B5068" t="inlineStr">
        <is>
          <t>Sponsor</t>
        </is>
      </c>
      <c r="C5068" t="inlineStr">
        <is>
          <t>Business Development Manager</t>
        </is>
      </c>
      <c r="D5068" t="inlineStr">
        <is>
          <t>Swisslog</t>
        </is>
      </c>
      <c r="H5068" t="n">
        <v>-6</v>
      </c>
      <c r="I5068" t="b">
        <v>0</v>
      </c>
      <c r="J5068" t="b">
        <v>0</v>
      </c>
      <c r="K5068" t="b">
        <v>0</v>
      </c>
      <c r="L5068" t="b">
        <v>0</v>
      </c>
      <c r="M5068" t="b">
        <v>1</v>
      </c>
      <c r="N5068">
        <f>IFERROR(INDEX('Company Hitlist'!$AA:$AA,MATCH(D5068,'Company Hitlist'!$A:$A,0)),)</f>
        <v/>
      </c>
      <c r="O5068">
        <f>IFERROR(INDEX('Company Hitlist'!$N:$N,MATCH(D5068,'Company Hitlist'!$A:$A,0)),)</f>
        <v/>
      </c>
      <c r="Q5068" t="inlineStr">
        <is>
          <t>todo</t>
        </is>
      </c>
    </row>
    <row r="5069">
      <c r="A5069" t="inlineStr">
        <is>
          <t>Juan Lopez</t>
        </is>
      </c>
      <c r="B5069" t="inlineStr">
        <is>
          <t>Sponsor</t>
        </is>
      </c>
      <c r="C5069" t="inlineStr">
        <is>
          <t>Business Development Executive</t>
        </is>
      </c>
      <c r="D5069" t="inlineStr">
        <is>
          <t>Synkrato</t>
        </is>
      </c>
      <c r="H5069" t="n">
        <v>-6</v>
      </c>
      <c r="I5069" t="b">
        <v>0</v>
      </c>
      <c r="J5069" t="b">
        <v>0</v>
      </c>
      <c r="K5069" t="b">
        <v>0</v>
      </c>
      <c r="L5069" t="b">
        <v>0</v>
      </c>
      <c r="M5069" t="b">
        <v>1</v>
      </c>
      <c r="N5069">
        <f>IFERROR(INDEX('Company Hitlist'!$AA:$AA,MATCH(D5069,'Company Hitlist'!$A:$A,0)),)</f>
        <v/>
      </c>
      <c r="O5069">
        <f>IFERROR(INDEX('Company Hitlist'!$N:$N,MATCH(D5069,'Company Hitlist'!$A:$A,0)),)</f>
        <v/>
      </c>
      <c r="Q5069" t="inlineStr">
        <is>
          <t>todo</t>
        </is>
      </c>
    </row>
    <row r="5070">
      <c r="A5070" t="inlineStr">
        <is>
          <t>Spencer Leeder</t>
        </is>
      </c>
      <c r="B5070" t="inlineStr">
        <is>
          <t>Sponsor</t>
        </is>
      </c>
      <c r="C5070" t="inlineStr">
        <is>
          <t>Sr. Business Marketing Mgr.</t>
        </is>
      </c>
      <c r="D5070" t="inlineStr">
        <is>
          <t>T-Mobile for Business</t>
        </is>
      </c>
      <c r="F5070" t="inlineStr">
        <is>
          <t>Yes</t>
        </is>
      </c>
      <c r="G5070" t="inlineStr">
        <is>
          <t>$21 million (2025)</t>
        </is>
      </c>
      <c r="H5070" t="n">
        <v>-6</v>
      </c>
      <c r="I5070" t="b">
        <v>0</v>
      </c>
      <c r="J5070" t="b">
        <v>0</v>
      </c>
      <c r="K5070" t="b">
        <v>0</v>
      </c>
      <c r="L5070" t="b">
        <v>0</v>
      </c>
      <c r="M5070" t="b">
        <v>1</v>
      </c>
      <c r="N5070">
        <f>IFERROR(INDEX('Company Hitlist'!$AA:$AA,MATCH(D5070,'Company Hitlist'!$A:$A,0)),)</f>
        <v/>
      </c>
      <c r="O5070">
        <f>IFERROR(INDEX('Company Hitlist'!$N:$N,MATCH(D5070,'Company Hitlist'!$A:$A,0)),)</f>
        <v/>
      </c>
      <c r="Q5070" t="inlineStr">
        <is>
          <t>todo</t>
        </is>
      </c>
    </row>
    <row r="5071">
      <c r="A5071" t="inlineStr">
        <is>
          <t>Jason Smith</t>
        </is>
      </c>
      <c r="B5071" t="inlineStr">
        <is>
          <t>Sponsor</t>
        </is>
      </c>
      <c r="C5071" t="inlineStr">
        <is>
          <t>Director, Business Development</t>
        </is>
      </c>
      <c r="D5071" t="inlineStr">
        <is>
          <t>TEL - Transport Enterprise Leasing</t>
        </is>
      </c>
      <c r="E5071" t="inlineStr">
        <is>
          <t>United States</t>
        </is>
      </c>
      <c r="H5071" t="n">
        <v>-6</v>
      </c>
      <c r="I5071" t="b">
        <v>0</v>
      </c>
      <c r="J5071" t="b">
        <v>0</v>
      </c>
      <c r="K5071" t="b">
        <v>0</v>
      </c>
      <c r="L5071" t="b">
        <v>0</v>
      </c>
      <c r="M5071" t="b">
        <v>1</v>
      </c>
      <c r="N5071">
        <f>IFERROR(INDEX('Company Hitlist'!$AA:$AA,MATCH(D5071,'Company Hitlist'!$A:$A,0)),)</f>
        <v/>
      </c>
      <c r="O5071">
        <f>IFERROR(INDEX('Company Hitlist'!$N:$N,MATCH(D5071,'Company Hitlist'!$A:$A,0)),)</f>
        <v/>
      </c>
      <c r="Q5071" t="inlineStr">
        <is>
          <t>todo</t>
        </is>
      </c>
    </row>
    <row r="5072">
      <c r="A5072" t="inlineStr">
        <is>
          <t>Tanner Alexander</t>
        </is>
      </c>
      <c r="B5072" t="inlineStr">
        <is>
          <t>Sponsor</t>
        </is>
      </c>
      <c r="C5072" t="inlineStr">
        <is>
          <t>Director, Business Development</t>
        </is>
      </c>
      <c r="D5072" t="inlineStr">
        <is>
          <t>TEL - Transport Enterprise Leasing</t>
        </is>
      </c>
      <c r="E5072" t="inlineStr">
        <is>
          <t>United States</t>
        </is>
      </c>
      <c r="H5072" t="n">
        <v>-6</v>
      </c>
      <c r="I5072" t="b">
        <v>0</v>
      </c>
      <c r="J5072" t="b">
        <v>0</v>
      </c>
      <c r="K5072" t="b">
        <v>0</v>
      </c>
      <c r="L5072" t="b">
        <v>0</v>
      </c>
      <c r="M5072" t="b">
        <v>1</v>
      </c>
      <c r="N5072">
        <f>IFERROR(INDEX('Company Hitlist'!$AA:$AA,MATCH(D5072,'Company Hitlist'!$A:$A,0)),)</f>
        <v/>
      </c>
      <c r="O5072">
        <f>IFERROR(INDEX('Company Hitlist'!$N:$N,MATCH(D5072,'Company Hitlist'!$A:$A,0)),)</f>
        <v/>
      </c>
      <c r="Q5072" t="inlineStr">
        <is>
          <t>todo</t>
        </is>
      </c>
    </row>
    <row r="5073">
      <c r="A5073" t="inlineStr">
        <is>
          <t>Bill Rammos</t>
        </is>
      </c>
      <c r="B5073" t="inlineStr">
        <is>
          <t>Sponsor</t>
        </is>
      </c>
      <c r="C5073" t="inlineStr">
        <is>
          <t>Director, Business Development</t>
        </is>
      </c>
      <c r="D5073" t="inlineStr">
        <is>
          <t>TOC Logistics</t>
        </is>
      </c>
      <c r="H5073" t="n">
        <v>-6</v>
      </c>
      <c r="I5073" t="b">
        <v>0</v>
      </c>
      <c r="J5073" t="b">
        <v>0</v>
      </c>
      <c r="K5073" t="b">
        <v>0</v>
      </c>
      <c r="L5073" t="b">
        <v>0</v>
      </c>
      <c r="M5073" t="b">
        <v>1</v>
      </c>
      <c r="N5073">
        <f>IFERROR(INDEX('Company Hitlist'!$AA:$AA,MATCH(D5073,'Company Hitlist'!$A:$A,0)),)</f>
        <v/>
      </c>
      <c r="O5073">
        <f>IFERROR(INDEX('Company Hitlist'!$N:$N,MATCH(D5073,'Company Hitlist'!$A:$A,0)),)</f>
        <v/>
      </c>
      <c r="Q5073" t="inlineStr">
        <is>
          <t>todo</t>
        </is>
      </c>
    </row>
    <row r="5074">
      <c r="A5074" t="inlineStr">
        <is>
          <t>William Sisneros</t>
        </is>
      </c>
      <c r="B5074" t="inlineStr">
        <is>
          <t>Sponsor</t>
        </is>
      </c>
      <c r="C5074" t="inlineStr">
        <is>
          <t>IFTDriver- Marketing</t>
        </is>
      </c>
      <c r="D5074" t="inlineStr">
        <is>
          <t>TORC</t>
        </is>
      </c>
      <c r="E5074" t="inlineStr">
        <is>
          <t>United States</t>
        </is>
      </c>
      <c r="H5074" t="n">
        <v>-6</v>
      </c>
      <c r="I5074" t="b">
        <v>0</v>
      </c>
      <c r="J5074" t="b">
        <v>0</v>
      </c>
      <c r="K5074" t="b">
        <v>0</v>
      </c>
      <c r="L5074" t="b">
        <v>0</v>
      </c>
      <c r="M5074" t="b">
        <v>1</v>
      </c>
      <c r="N5074">
        <f>IFERROR(INDEX('Company Hitlist'!$AA:$AA,MATCH(D5074,'Company Hitlist'!$A:$A,0)),)</f>
        <v/>
      </c>
      <c r="O5074">
        <f>IFERROR(INDEX('Company Hitlist'!$N:$N,MATCH(D5074,'Company Hitlist'!$A:$A,0)),)</f>
        <v/>
      </c>
      <c r="Q5074" t="inlineStr">
        <is>
          <t>todo</t>
        </is>
      </c>
    </row>
    <row r="5075">
      <c r="A5075" t="inlineStr">
        <is>
          <t>Zak Mattocks</t>
        </is>
      </c>
      <c r="B5075" t="inlineStr">
        <is>
          <t>Sponsor</t>
        </is>
      </c>
      <c r="C5075" t="inlineStr">
        <is>
          <t>Sr. Strategic Sales</t>
        </is>
      </c>
      <c r="D5075" t="inlineStr">
        <is>
          <t>TRUCKSTOP.COM</t>
        </is>
      </c>
      <c r="E5075" t="inlineStr">
        <is>
          <t>United States</t>
        </is>
      </c>
      <c r="H5075" t="n">
        <v>-6</v>
      </c>
      <c r="I5075" t="b">
        <v>0</v>
      </c>
      <c r="J5075" t="b">
        <v>0</v>
      </c>
      <c r="K5075" t="b">
        <v>0</v>
      </c>
      <c r="L5075" t="b">
        <v>0</v>
      </c>
      <c r="M5075" t="b">
        <v>1</v>
      </c>
      <c r="N5075">
        <f>IFERROR(INDEX('Company Hitlist'!$AA:$AA,MATCH(D5075,'Company Hitlist'!$A:$A,0)),)</f>
        <v/>
      </c>
      <c r="O5075">
        <f>IFERROR(INDEX('Company Hitlist'!$N:$N,MATCH(D5075,'Company Hitlist'!$A:$A,0)),)</f>
        <v/>
      </c>
      <c r="Q5075" t="inlineStr">
        <is>
          <t>todo</t>
        </is>
      </c>
    </row>
    <row r="5076">
      <c r="A5076" t="inlineStr">
        <is>
          <t>David Mascitto</t>
        </is>
      </c>
      <c r="B5076" t="inlineStr">
        <is>
          <t>Sponsor</t>
        </is>
      </c>
      <c r="C5076" t="inlineStr">
        <is>
          <t>DIRECTOR OF PRODUCT MARKETING</t>
        </is>
      </c>
      <c r="D5076" t="inlineStr">
        <is>
          <t>Tecsys</t>
        </is>
      </c>
      <c r="E5076" t="inlineStr">
        <is>
          <t>Canada</t>
        </is>
      </c>
      <c r="F5076" t="inlineStr">
        <is>
          <t>Yes</t>
        </is>
      </c>
      <c r="H5076" t="n">
        <v>-6</v>
      </c>
      <c r="I5076" t="b">
        <v>0</v>
      </c>
      <c r="J5076" t="b">
        <v>0</v>
      </c>
      <c r="K5076" t="b">
        <v>0</v>
      </c>
      <c r="L5076" t="b">
        <v>0</v>
      </c>
      <c r="M5076" t="b">
        <v>1</v>
      </c>
      <c r="N5076">
        <f>IFERROR(INDEX('Company Hitlist'!$AA:$AA,MATCH(D5076,'Company Hitlist'!$A:$A,0)),)</f>
        <v/>
      </c>
      <c r="O5076">
        <f>IFERROR(INDEX('Company Hitlist'!$N:$N,MATCH(D5076,'Company Hitlist'!$A:$A,0)),)</f>
        <v/>
      </c>
      <c r="Q5076" t="inlineStr">
        <is>
          <t>todo</t>
        </is>
      </c>
    </row>
    <row r="5077">
      <c r="A5077" t="inlineStr">
        <is>
          <t>Philip Garrison</t>
        </is>
      </c>
      <c r="B5077" t="inlineStr">
        <is>
          <t>Sponsor</t>
        </is>
      </c>
      <c r="C5077" t="inlineStr">
        <is>
          <t>Sr. Account Executive</t>
        </is>
      </c>
      <c r="D5077" t="inlineStr">
        <is>
          <t>Tecsys</t>
        </is>
      </c>
      <c r="E5077" t="inlineStr">
        <is>
          <t>United States</t>
        </is>
      </c>
      <c r="H5077" t="n">
        <v>-6</v>
      </c>
      <c r="I5077" t="b">
        <v>0</v>
      </c>
      <c r="J5077" t="b">
        <v>0</v>
      </c>
      <c r="K5077" t="b">
        <v>0</v>
      </c>
      <c r="L5077" t="b">
        <v>0</v>
      </c>
      <c r="M5077" t="b">
        <v>1</v>
      </c>
      <c r="N5077">
        <f>IFERROR(INDEX('Company Hitlist'!$AA:$AA,MATCH(D5077,'Company Hitlist'!$A:$A,0)),)</f>
        <v/>
      </c>
      <c r="O5077">
        <f>IFERROR(INDEX('Company Hitlist'!$N:$N,MATCH(D5077,'Company Hitlist'!$A:$A,0)),)</f>
        <v/>
      </c>
      <c r="Q5077" t="inlineStr">
        <is>
          <t>todo</t>
        </is>
      </c>
    </row>
    <row r="5078">
      <c r="A5078" t="inlineStr">
        <is>
          <t>jennylie cardin</t>
        </is>
      </c>
      <c r="B5078" t="inlineStr">
        <is>
          <t>Sponsor</t>
        </is>
      </c>
      <c r="C5078" t="inlineStr">
        <is>
          <t>Campaign Marketing Manager</t>
        </is>
      </c>
      <c r="D5078" t="inlineStr">
        <is>
          <t>Tecsys</t>
        </is>
      </c>
      <c r="E5078" t="inlineStr">
        <is>
          <t>Canada</t>
        </is>
      </c>
      <c r="H5078" t="n">
        <v>-6</v>
      </c>
      <c r="I5078" t="b">
        <v>0</v>
      </c>
      <c r="J5078" t="b">
        <v>0</v>
      </c>
      <c r="K5078" t="b">
        <v>0</v>
      </c>
      <c r="L5078" t="b">
        <v>0</v>
      </c>
      <c r="M5078" t="b">
        <v>1</v>
      </c>
      <c r="N5078">
        <f>IFERROR(INDEX('Company Hitlist'!$AA:$AA,MATCH(D5078,'Company Hitlist'!$A:$A,0)),)</f>
        <v/>
      </c>
      <c r="O5078">
        <f>IFERROR(INDEX('Company Hitlist'!$N:$N,MATCH(D5078,'Company Hitlist'!$A:$A,0)),)</f>
        <v/>
      </c>
      <c r="Q5078" t="inlineStr">
        <is>
          <t>todo</t>
        </is>
      </c>
    </row>
    <row r="5079">
      <c r="A5079" t="inlineStr">
        <is>
          <t>Taylor Vest</t>
        </is>
      </c>
      <c r="B5079" t="inlineStr">
        <is>
          <t>Sponsor</t>
        </is>
      </c>
      <c r="C5079" t="inlineStr">
        <is>
          <t>Sales Director E-commerce</t>
        </is>
      </c>
      <c r="D5079" t="inlineStr">
        <is>
          <t>TemperPack</t>
        </is>
      </c>
      <c r="H5079" t="n">
        <v>-6</v>
      </c>
      <c r="I5079" t="b">
        <v>0</v>
      </c>
      <c r="J5079" t="b">
        <v>0</v>
      </c>
      <c r="K5079" t="b">
        <v>0</v>
      </c>
      <c r="L5079" t="b">
        <v>0</v>
      </c>
      <c r="M5079" t="b">
        <v>1</v>
      </c>
      <c r="N5079">
        <f>IFERROR(INDEX('Company Hitlist'!$AA:$AA,MATCH(D5079,'Company Hitlist'!$A:$A,0)),)</f>
        <v/>
      </c>
      <c r="O5079">
        <f>IFERROR(INDEX('Company Hitlist'!$N:$N,MATCH(D5079,'Company Hitlist'!$A:$A,0)),)</f>
        <v/>
      </c>
      <c r="Q5079" t="inlineStr">
        <is>
          <t>todo</t>
        </is>
      </c>
    </row>
    <row r="5080">
      <c r="A5080" t="inlineStr">
        <is>
          <t>Keegan Adams</t>
        </is>
      </c>
      <c r="B5080" t="inlineStr">
        <is>
          <t>Sponsor</t>
        </is>
      </c>
      <c r="C5080" t="inlineStr">
        <is>
          <t>Account Executive</t>
        </is>
      </c>
      <c r="D5080" t="inlineStr">
        <is>
          <t>Terminal Industries</t>
        </is>
      </c>
      <c r="H5080" t="n">
        <v>-6</v>
      </c>
      <c r="I5080" t="b">
        <v>0</v>
      </c>
      <c r="J5080" t="b">
        <v>0</v>
      </c>
      <c r="K5080" t="b">
        <v>0</v>
      </c>
      <c r="L5080" t="b">
        <v>0</v>
      </c>
      <c r="M5080" t="b">
        <v>1</v>
      </c>
      <c r="N5080">
        <f>IFERROR(INDEX('Company Hitlist'!$AA:$AA,MATCH(D5080,'Company Hitlist'!$A:$A,0)),)</f>
        <v/>
      </c>
      <c r="O5080">
        <f>IFERROR(INDEX('Company Hitlist'!$N:$N,MATCH(D5080,'Company Hitlist'!$A:$A,0)),)</f>
        <v/>
      </c>
      <c r="Q5080" t="inlineStr">
        <is>
          <t>todo</t>
        </is>
      </c>
    </row>
    <row r="5081">
      <c r="A5081" t="inlineStr">
        <is>
          <t>David Fryman</t>
        </is>
      </c>
      <c r="B5081" t="inlineStr">
        <is>
          <t>Sponsor</t>
        </is>
      </c>
      <c r="C5081" t="inlineStr">
        <is>
          <t>Sr. Director Sales - Americas</t>
        </is>
      </c>
      <c r="D5081" t="inlineStr">
        <is>
          <t>Thruvision</t>
        </is>
      </c>
      <c r="H5081" t="n">
        <v>-6</v>
      </c>
      <c r="I5081" t="b">
        <v>0</v>
      </c>
      <c r="J5081" t="b">
        <v>0</v>
      </c>
      <c r="K5081" t="b">
        <v>0</v>
      </c>
      <c r="L5081" t="b">
        <v>0</v>
      </c>
      <c r="M5081" t="b">
        <v>1</v>
      </c>
      <c r="N5081">
        <f>IFERROR(INDEX('Company Hitlist'!$AA:$AA,MATCH(D5081,'Company Hitlist'!$A:$A,0)),)</f>
        <v/>
      </c>
      <c r="O5081">
        <f>IFERROR(INDEX('Company Hitlist'!$N:$N,MATCH(D5081,'Company Hitlist'!$A:$A,0)),)</f>
        <v/>
      </c>
      <c r="Q5081" t="inlineStr">
        <is>
          <t>todo</t>
        </is>
      </c>
    </row>
    <row r="5082">
      <c r="A5082" t="inlineStr">
        <is>
          <t>Michael Devlin</t>
        </is>
      </c>
      <c r="B5082" t="inlineStr">
        <is>
          <t>Sponsor</t>
        </is>
      </c>
      <c r="C5082" t="inlineStr">
        <is>
          <t>Senior Manager Growth</t>
        </is>
      </c>
      <c r="D5082" t="inlineStr">
        <is>
          <t>Tint</t>
        </is>
      </c>
      <c r="E5082" t="inlineStr">
        <is>
          <t>United States</t>
        </is>
      </c>
      <c r="H5082" t="n">
        <v>-6</v>
      </c>
      <c r="I5082" t="b">
        <v>0</v>
      </c>
      <c r="J5082" t="b">
        <v>0</v>
      </c>
      <c r="K5082" t="b">
        <v>0</v>
      </c>
      <c r="L5082" t="b">
        <v>0</v>
      </c>
      <c r="M5082" t="b">
        <v>1</v>
      </c>
      <c r="N5082">
        <f>IFERROR(INDEX('Company Hitlist'!$AA:$AA,MATCH(D5082,'Company Hitlist'!$A:$A,0)),)</f>
        <v/>
      </c>
      <c r="O5082">
        <f>IFERROR(INDEX('Company Hitlist'!$N:$N,MATCH(D5082,'Company Hitlist'!$A:$A,0)),)</f>
        <v/>
      </c>
      <c r="Q5082" t="inlineStr">
        <is>
          <t>todo</t>
        </is>
      </c>
    </row>
    <row r="5083">
      <c r="A5083" t="inlineStr">
        <is>
          <t>Katie Walker</t>
        </is>
      </c>
      <c r="B5083" t="inlineStr">
        <is>
          <t>Sponsor</t>
        </is>
      </c>
      <c r="C5083" t="inlineStr">
        <is>
          <t>Director, Global Marketing</t>
        </is>
      </c>
      <c r="D5083" t="inlineStr">
        <is>
          <t>Tive</t>
        </is>
      </c>
      <c r="F5083" t="inlineStr">
        <is>
          <t>Yes</t>
        </is>
      </c>
      <c r="H5083" t="n">
        <v>-6</v>
      </c>
      <c r="I5083" t="b">
        <v>0</v>
      </c>
      <c r="J5083" t="b">
        <v>0</v>
      </c>
      <c r="K5083" t="b">
        <v>0</v>
      </c>
      <c r="L5083" t="b">
        <v>0</v>
      </c>
      <c r="M5083" t="b">
        <v>1</v>
      </c>
      <c r="N5083">
        <f>IFERROR(INDEX('Company Hitlist'!$AA:$AA,MATCH(D5083,'Company Hitlist'!$A:$A,0)),)</f>
        <v/>
      </c>
      <c r="O5083">
        <f>IFERROR(INDEX('Company Hitlist'!$N:$N,MATCH(D5083,'Company Hitlist'!$A:$A,0)),)</f>
        <v/>
      </c>
      <c r="Q5083" t="inlineStr">
        <is>
          <t>todo</t>
        </is>
      </c>
    </row>
    <row r="5084">
      <c r="A5084" t="inlineStr">
        <is>
          <t>Colby Aaron</t>
        </is>
      </c>
      <c r="B5084" t="inlineStr">
        <is>
          <t>Sponsor</t>
        </is>
      </c>
      <c r="C5084" t="inlineStr">
        <is>
          <t>Director of Sales</t>
        </is>
      </c>
      <c r="D5084" t="inlineStr">
        <is>
          <t>Tive</t>
        </is>
      </c>
      <c r="E5084" t="inlineStr">
        <is>
          <t>United States</t>
        </is>
      </c>
      <c r="H5084" t="n">
        <v>-6</v>
      </c>
      <c r="I5084" t="b">
        <v>0</v>
      </c>
      <c r="J5084" t="b">
        <v>0</v>
      </c>
      <c r="K5084" t="b">
        <v>0</v>
      </c>
      <c r="L5084" t="b">
        <v>0</v>
      </c>
      <c r="M5084" t="b">
        <v>1</v>
      </c>
      <c r="N5084">
        <f>IFERROR(INDEX('Company Hitlist'!$AA:$AA,MATCH(D5084,'Company Hitlist'!$A:$A,0)),)</f>
        <v/>
      </c>
      <c r="O5084">
        <f>IFERROR(INDEX('Company Hitlist'!$N:$N,MATCH(D5084,'Company Hitlist'!$A:$A,0)),)</f>
        <v/>
      </c>
      <c r="Q5084" t="inlineStr">
        <is>
          <t>todo</t>
        </is>
      </c>
    </row>
    <row r="5085">
      <c r="A5085" t="inlineStr">
        <is>
          <t>Nolan Dragon</t>
        </is>
      </c>
      <c r="B5085" t="inlineStr">
        <is>
          <t>Sponsor</t>
        </is>
      </c>
      <c r="C5085" t="inlineStr">
        <is>
          <t>Sales Team Lead</t>
        </is>
      </c>
      <c r="D5085" t="inlineStr">
        <is>
          <t>Tive</t>
        </is>
      </c>
      <c r="E5085" t="inlineStr">
        <is>
          <t>United States</t>
        </is>
      </c>
      <c r="H5085" t="n">
        <v>-6</v>
      </c>
      <c r="I5085" t="b">
        <v>0</v>
      </c>
      <c r="J5085" t="b">
        <v>0</v>
      </c>
      <c r="K5085" t="b">
        <v>0</v>
      </c>
      <c r="L5085" t="b">
        <v>0</v>
      </c>
      <c r="M5085" t="b">
        <v>1</v>
      </c>
      <c r="N5085">
        <f>IFERROR(INDEX('Company Hitlist'!$AA:$AA,MATCH(D5085,'Company Hitlist'!$A:$A,0)),)</f>
        <v/>
      </c>
      <c r="O5085">
        <f>IFERROR(INDEX('Company Hitlist'!$N:$N,MATCH(D5085,'Company Hitlist'!$A:$A,0)),)</f>
        <v/>
      </c>
      <c r="Q5085" t="inlineStr">
        <is>
          <t>todo</t>
        </is>
      </c>
    </row>
    <row r="5086">
      <c r="A5086" t="inlineStr">
        <is>
          <t>Rajathurai Nagarajah</t>
        </is>
      </c>
      <c r="B5086" t="inlineStr">
        <is>
          <t>Sponsor</t>
        </is>
      </c>
      <c r="C5086" t="inlineStr">
        <is>
          <t>Director of Sales - Food</t>
        </is>
      </c>
      <c r="D5086" t="inlineStr">
        <is>
          <t>Tive</t>
        </is>
      </c>
      <c r="E5086" t="inlineStr">
        <is>
          <t>United States</t>
        </is>
      </c>
      <c r="H5086" t="n">
        <v>-6</v>
      </c>
      <c r="I5086" t="b">
        <v>0</v>
      </c>
      <c r="J5086" t="b">
        <v>0</v>
      </c>
      <c r="K5086" t="b">
        <v>0</v>
      </c>
      <c r="L5086" t="b">
        <v>0</v>
      </c>
      <c r="M5086" t="b">
        <v>1</v>
      </c>
      <c r="N5086">
        <f>IFERROR(INDEX('Company Hitlist'!$AA:$AA,MATCH(D5086,'Company Hitlist'!$A:$A,0)),)</f>
        <v/>
      </c>
      <c r="O5086">
        <f>IFERROR(INDEX('Company Hitlist'!$N:$N,MATCH(D5086,'Company Hitlist'!$A:$A,0)),)</f>
        <v/>
      </c>
      <c r="Q5086" t="inlineStr">
        <is>
          <t>todo</t>
        </is>
      </c>
    </row>
    <row r="5087">
      <c r="A5087" t="inlineStr">
        <is>
          <t>George Jaspert</t>
        </is>
      </c>
      <c r="B5087" t="inlineStr">
        <is>
          <t>Sponsor</t>
        </is>
      </c>
      <c r="C5087" t="inlineStr">
        <is>
          <t>Account Executive</t>
        </is>
      </c>
      <c r="D5087" t="inlineStr">
        <is>
          <t>Tive</t>
        </is>
      </c>
      <c r="E5087" t="inlineStr">
        <is>
          <t>United States</t>
        </is>
      </c>
      <c r="H5087" t="n">
        <v>-6</v>
      </c>
      <c r="I5087" t="b">
        <v>0</v>
      </c>
      <c r="J5087" t="b">
        <v>0</v>
      </c>
      <c r="K5087" t="b">
        <v>0</v>
      </c>
      <c r="L5087" t="b">
        <v>0</v>
      </c>
      <c r="M5087" t="b">
        <v>1</v>
      </c>
      <c r="N5087">
        <f>IFERROR(INDEX('Company Hitlist'!$AA:$AA,MATCH(D5087,'Company Hitlist'!$A:$A,0)),)</f>
        <v/>
      </c>
      <c r="O5087">
        <f>IFERROR(INDEX('Company Hitlist'!$N:$N,MATCH(D5087,'Company Hitlist'!$A:$A,0)),)</f>
        <v/>
      </c>
      <c r="Q5087" t="inlineStr">
        <is>
          <t>todo</t>
        </is>
      </c>
    </row>
    <row r="5088">
      <c r="A5088" t="inlineStr">
        <is>
          <t>Richard Daigle</t>
        </is>
      </c>
      <c r="B5088" t="inlineStr">
        <is>
          <t>Sponsor</t>
        </is>
      </c>
      <c r="C5088" t="inlineStr">
        <is>
          <t>Enterprise Account Executive</t>
        </is>
      </c>
      <c r="D5088" t="inlineStr">
        <is>
          <t>Tive</t>
        </is>
      </c>
      <c r="E5088" t="inlineStr">
        <is>
          <t>United States</t>
        </is>
      </c>
      <c r="H5088" t="n">
        <v>-6</v>
      </c>
      <c r="I5088" t="b">
        <v>0</v>
      </c>
      <c r="J5088" t="b">
        <v>0</v>
      </c>
      <c r="K5088" t="b">
        <v>0</v>
      </c>
      <c r="L5088" t="b">
        <v>0</v>
      </c>
      <c r="M5088" t="b">
        <v>1</v>
      </c>
      <c r="N5088">
        <f>IFERROR(INDEX('Company Hitlist'!$AA:$AA,MATCH(D5088,'Company Hitlist'!$A:$A,0)),)</f>
        <v/>
      </c>
      <c r="O5088">
        <f>IFERROR(INDEX('Company Hitlist'!$N:$N,MATCH(D5088,'Company Hitlist'!$A:$A,0)),)</f>
        <v/>
      </c>
      <c r="Q5088" t="inlineStr">
        <is>
          <t>todo</t>
        </is>
      </c>
    </row>
    <row r="5089">
      <c r="A5089" t="inlineStr">
        <is>
          <t>Alex Haines</t>
        </is>
      </c>
      <c r="B5089" t="inlineStr">
        <is>
          <t>Sponsor</t>
        </is>
      </c>
      <c r="C5089" t="inlineStr">
        <is>
          <t>Director, Business Development &amp; Key Accounts</t>
        </is>
      </c>
      <c r="D5089" t="inlineStr">
        <is>
          <t>Toyota Automated Logistics</t>
        </is>
      </c>
      <c r="E5089" t="inlineStr">
        <is>
          <t>United States</t>
        </is>
      </c>
      <c r="H5089" t="n">
        <v>-6</v>
      </c>
      <c r="I5089" t="b">
        <v>0</v>
      </c>
      <c r="J5089" t="b">
        <v>0</v>
      </c>
      <c r="K5089" t="b">
        <v>0</v>
      </c>
      <c r="L5089" t="b">
        <v>0</v>
      </c>
      <c r="M5089" t="b">
        <v>1</v>
      </c>
      <c r="N5089">
        <f>IFERROR(INDEX('Company Hitlist'!$AA:$AA,MATCH(D5089,'Company Hitlist'!$A:$A,0)),)</f>
        <v/>
      </c>
      <c r="O5089">
        <f>IFERROR(INDEX('Company Hitlist'!$N:$N,MATCH(D5089,'Company Hitlist'!$A:$A,0)),)</f>
        <v/>
      </c>
      <c r="Q5089" t="inlineStr">
        <is>
          <t>todo</t>
        </is>
      </c>
    </row>
    <row r="5090">
      <c r="A5090" t="inlineStr">
        <is>
          <t>Joe Kennedy</t>
        </is>
      </c>
      <c r="B5090" t="inlineStr">
        <is>
          <t>Sponsor</t>
        </is>
      </c>
      <c r="C5090" t="inlineStr">
        <is>
          <t>Business Development Manager</t>
        </is>
      </c>
      <c r="D5090" t="inlineStr">
        <is>
          <t>Toyota Automated Logistics</t>
        </is>
      </c>
      <c r="E5090" t="inlineStr">
        <is>
          <t>United States</t>
        </is>
      </c>
      <c r="H5090" t="n">
        <v>-6</v>
      </c>
      <c r="I5090" t="b">
        <v>0</v>
      </c>
      <c r="J5090" t="b">
        <v>0</v>
      </c>
      <c r="K5090" t="b">
        <v>0</v>
      </c>
      <c r="L5090" t="b">
        <v>0</v>
      </c>
      <c r="M5090" t="b">
        <v>1</v>
      </c>
      <c r="N5090">
        <f>IFERROR(INDEX('Company Hitlist'!$AA:$AA,MATCH(D5090,'Company Hitlist'!$A:$A,0)),)</f>
        <v/>
      </c>
      <c r="O5090">
        <f>IFERROR(INDEX('Company Hitlist'!$N:$N,MATCH(D5090,'Company Hitlist'!$A:$A,0)),)</f>
        <v/>
      </c>
      <c r="Q5090" t="inlineStr">
        <is>
          <t>todo</t>
        </is>
      </c>
    </row>
    <row r="5091">
      <c r="A5091" t="inlineStr">
        <is>
          <t>Max Rekowski</t>
        </is>
      </c>
      <c r="B5091" t="inlineStr">
        <is>
          <t>Sponsor</t>
        </is>
      </c>
      <c r="C5091" t="inlineStr">
        <is>
          <t>Business Development Team Lead</t>
        </is>
      </c>
      <c r="D5091" t="inlineStr">
        <is>
          <t>Toyota Automated Logistics</t>
        </is>
      </c>
      <c r="E5091" t="inlineStr">
        <is>
          <t>United States</t>
        </is>
      </c>
      <c r="H5091" t="n">
        <v>-6</v>
      </c>
      <c r="I5091" t="b">
        <v>0</v>
      </c>
      <c r="J5091" t="b">
        <v>0</v>
      </c>
      <c r="K5091" t="b">
        <v>0</v>
      </c>
      <c r="L5091" t="b">
        <v>0</v>
      </c>
      <c r="M5091" t="b">
        <v>1</v>
      </c>
      <c r="N5091">
        <f>IFERROR(INDEX('Company Hitlist'!$AA:$AA,MATCH(D5091,'Company Hitlist'!$A:$A,0)),)</f>
        <v/>
      </c>
      <c r="O5091">
        <f>IFERROR(INDEX('Company Hitlist'!$N:$N,MATCH(D5091,'Company Hitlist'!$A:$A,0)),)</f>
        <v/>
      </c>
      <c r="Q5091" t="inlineStr">
        <is>
          <t>todo</t>
        </is>
      </c>
    </row>
    <row r="5092">
      <c r="A5092" t="inlineStr">
        <is>
          <t>Brent Theiler</t>
        </is>
      </c>
      <c r="B5092" t="inlineStr">
        <is>
          <t>Sponsor</t>
        </is>
      </c>
      <c r="C5092" t="inlineStr">
        <is>
          <t>Enterprise Sales Director</t>
        </is>
      </c>
      <c r="D5092" t="inlineStr">
        <is>
          <t>Transfix</t>
        </is>
      </c>
      <c r="H5092" t="n">
        <v>-6</v>
      </c>
      <c r="I5092" t="b">
        <v>0</v>
      </c>
      <c r="J5092" t="b">
        <v>0</v>
      </c>
      <c r="K5092" t="b">
        <v>0</v>
      </c>
      <c r="L5092" t="b">
        <v>0</v>
      </c>
      <c r="M5092" t="b">
        <v>1</v>
      </c>
      <c r="N5092">
        <f>IFERROR(INDEX('Company Hitlist'!$AA:$AA,MATCH(D5092,'Company Hitlist'!$A:$A,0)),)</f>
        <v/>
      </c>
      <c r="O5092">
        <f>IFERROR(INDEX('Company Hitlist'!$N:$N,MATCH(D5092,'Company Hitlist'!$A:$A,0)),)</f>
        <v/>
      </c>
      <c r="Q5092" t="inlineStr">
        <is>
          <t>todo</t>
        </is>
      </c>
    </row>
    <row r="5093">
      <c r="A5093" t="inlineStr">
        <is>
          <t>Cara Gibson</t>
        </is>
      </c>
      <c r="B5093" t="inlineStr">
        <is>
          <t>Sponsor</t>
        </is>
      </c>
      <c r="C5093" t="inlineStr">
        <is>
          <t>Marketing Coordinator</t>
        </is>
      </c>
      <c r="D5093" t="inlineStr">
        <is>
          <t>Trew</t>
        </is>
      </c>
      <c r="E5093" t="inlineStr">
        <is>
          <t>United States</t>
        </is>
      </c>
      <c r="F5093" t="inlineStr">
        <is>
          <t>Yes</t>
        </is>
      </c>
      <c r="G5093" t="inlineStr">
        <is>
          <t>$147 million (2025)</t>
        </is>
      </c>
      <c r="H5093" t="n">
        <v>-6</v>
      </c>
      <c r="I5093" t="b">
        <v>0</v>
      </c>
      <c r="J5093" t="b">
        <v>0</v>
      </c>
      <c r="K5093" t="b">
        <v>0</v>
      </c>
      <c r="L5093" t="b">
        <v>0</v>
      </c>
      <c r="M5093" t="b">
        <v>1</v>
      </c>
      <c r="N5093">
        <f>IFERROR(INDEX('Company Hitlist'!$AA:$AA,MATCH(D5093,'Company Hitlist'!$A:$A,0)),)</f>
        <v/>
      </c>
      <c r="O5093">
        <f>IFERROR(INDEX('Company Hitlist'!$N:$N,MATCH(D5093,'Company Hitlist'!$A:$A,0)),)</f>
        <v/>
      </c>
      <c r="Q5093" t="inlineStr">
        <is>
          <t>todo</t>
        </is>
      </c>
    </row>
    <row r="5094">
      <c r="A5094" t="inlineStr">
        <is>
          <t>Jatin Lewis</t>
        </is>
      </c>
      <c r="B5094" t="inlineStr">
        <is>
          <t>Sponsor</t>
        </is>
      </c>
      <c r="C5094" t="inlineStr">
        <is>
          <t>Sr Automation Sales Manager</t>
        </is>
      </c>
      <c r="D5094" t="inlineStr">
        <is>
          <t>Trew</t>
        </is>
      </c>
      <c r="E5094" t="inlineStr">
        <is>
          <t>United States</t>
        </is>
      </c>
      <c r="H5094" t="n">
        <v>-6</v>
      </c>
      <c r="I5094" t="b">
        <v>0</v>
      </c>
      <c r="J5094" t="b">
        <v>0</v>
      </c>
      <c r="K5094" t="b">
        <v>0</v>
      </c>
      <c r="L5094" t="b">
        <v>0</v>
      </c>
      <c r="M5094" t="b">
        <v>1</v>
      </c>
      <c r="N5094">
        <f>IFERROR(INDEX('Company Hitlist'!$AA:$AA,MATCH(D5094,'Company Hitlist'!$A:$A,0)),)</f>
        <v/>
      </c>
      <c r="O5094">
        <f>IFERROR(INDEX('Company Hitlist'!$N:$N,MATCH(D5094,'Company Hitlist'!$A:$A,0)),)</f>
        <v/>
      </c>
      <c r="Q5094" t="inlineStr">
        <is>
          <t>todo</t>
        </is>
      </c>
    </row>
    <row r="5095">
      <c r="A5095" t="inlineStr">
        <is>
          <t>Mabel Rivera Figueroa</t>
        </is>
      </c>
      <c r="B5095" t="inlineStr">
        <is>
          <t>Sponsor</t>
        </is>
      </c>
      <c r="C5095" t="inlineStr">
        <is>
          <t>Sr. Sales Account Rep</t>
        </is>
      </c>
      <c r="D5095" t="inlineStr">
        <is>
          <t>Trew</t>
        </is>
      </c>
      <c r="H5095" t="n">
        <v>-6</v>
      </c>
      <c r="I5095" t="b">
        <v>0</v>
      </c>
      <c r="J5095" t="b">
        <v>0</v>
      </c>
      <c r="K5095" t="b">
        <v>0</v>
      </c>
      <c r="L5095" t="b">
        <v>0</v>
      </c>
      <c r="M5095" t="b">
        <v>1</v>
      </c>
      <c r="N5095">
        <f>IFERROR(INDEX('Company Hitlist'!$AA:$AA,MATCH(D5095,'Company Hitlist'!$A:$A,0)),)</f>
        <v/>
      </c>
      <c r="O5095">
        <f>IFERROR(INDEX('Company Hitlist'!$N:$N,MATCH(D5095,'Company Hitlist'!$A:$A,0)),)</f>
        <v/>
      </c>
      <c r="Q5095" t="inlineStr">
        <is>
          <t>todo</t>
        </is>
      </c>
    </row>
    <row r="5096">
      <c r="A5096" t="inlineStr">
        <is>
          <t>Taylor Turner</t>
        </is>
      </c>
      <c r="B5096" t="inlineStr">
        <is>
          <t>Sponsor</t>
        </is>
      </c>
      <c r="C5096" t="inlineStr">
        <is>
          <t>Supervisor, Business Development</t>
        </is>
      </c>
      <c r="D5096" t="inlineStr">
        <is>
          <t>Trew</t>
        </is>
      </c>
      <c r="H5096" t="n">
        <v>-6</v>
      </c>
      <c r="I5096" t="b">
        <v>0</v>
      </c>
      <c r="J5096" t="b">
        <v>0</v>
      </c>
      <c r="K5096" t="b">
        <v>0</v>
      </c>
      <c r="L5096" t="b">
        <v>0</v>
      </c>
      <c r="M5096" t="b">
        <v>1</v>
      </c>
      <c r="N5096">
        <f>IFERROR(INDEX('Company Hitlist'!$AA:$AA,MATCH(D5096,'Company Hitlist'!$A:$A,0)),)</f>
        <v/>
      </c>
      <c r="O5096">
        <f>IFERROR(INDEX('Company Hitlist'!$N:$N,MATCH(D5096,'Company Hitlist'!$A:$A,0)),)</f>
        <v/>
      </c>
      <c r="Q5096" t="inlineStr">
        <is>
          <t>todo</t>
        </is>
      </c>
    </row>
    <row r="5097">
      <c r="A5097" t="inlineStr">
        <is>
          <t>Rain Carpenter</t>
        </is>
      </c>
      <c r="B5097" t="inlineStr">
        <is>
          <t>Sponsor</t>
        </is>
      </c>
      <c r="C5097" t="inlineStr">
        <is>
          <t>Marketing Manager</t>
        </is>
      </c>
      <c r="D5097" t="inlineStr">
        <is>
          <t>TrueCommerce</t>
        </is>
      </c>
      <c r="H5097" t="n">
        <v>-6</v>
      </c>
      <c r="I5097" t="b">
        <v>0</v>
      </c>
      <c r="J5097" t="b">
        <v>0</v>
      </c>
      <c r="K5097" t="b">
        <v>0</v>
      </c>
      <c r="L5097" t="b">
        <v>0</v>
      </c>
      <c r="M5097" t="b">
        <v>1</v>
      </c>
      <c r="N5097">
        <f>IFERROR(INDEX('Company Hitlist'!$AA:$AA,MATCH(D5097,'Company Hitlist'!$A:$A,0)),)</f>
        <v/>
      </c>
      <c r="O5097">
        <f>IFERROR(INDEX('Company Hitlist'!$N:$N,MATCH(D5097,'Company Hitlist'!$A:$A,0)),)</f>
        <v/>
      </c>
      <c r="Q5097" t="inlineStr">
        <is>
          <t>todo</t>
        </is>
      </c>
    </row>
    <row r="5098">
      <c r="A5098" t="inlineStr">
        <is>
          <t>Christian Schoenenberger</t>
        </is>
      </c>
      <c r="B5098" t="inlineStr">
        <is>
          <t>Sponsor</t>
        </is>
      </c>
      <c r="C5098" t="inlineStr">
        <is>
          <t>AVP Marketing Manager</t>
        </is>
      </c>
      <c r="D5098" t="inlineStr">
        <is>
          <t>U.S. Bank Freight Payment</t>
        </is>
      </c>
      <c r="H5098" t="n">
        <v>-6</v>
      </c>
      <c r="I5098" t="b">
        <v>0</v>
      </c>
      <c r="J5098" t="b">
        <v>0</v>
      </c>
      <c r="K5098" t="b">
        <v>0</v>
      </c>
      <c r="L5098" t="b">
        <v>0</v>
      </c>
      <c r="M5098" t="b">
        <v>1</v>
      </c>
      <c r="N5098">
        <f>IFERROR(INDEX('Company Hitlist'!$AA:$AA,MATCH(D5098,'Company Hitlist'!$A:$A,0)),)</f>
        <v/>
      </c>
      <c r="O5098">
        <f>IFERROR(INDEX('Company Hitlist'!$N:$N,MATCH(D5098,'Company Hitlist'!$A:$A,0)),)</f>
        <v/>
      </c>
      <c r="Q5098" t="inlineStr">
        <is>
          <t>todo</t>
        </is>
      </c>
    </row>
    <row r="5099">
      <c r="A5099" t="inlineStr">
        <is>
          <t>Nate Jackson</t>
        </is>
      </c>
      <c r="B5099" t="inlineStr">
        <is>
          <t>Sponsor</t>
        </is>
      </c>
      <c r="C5099" t="inlineStr">
        <is>
          <t>AVP Small Parcel Business Development</t>
        </is>
      </c>
      <c r="D5099" t="inlineStr">
        <is>
          <t>U.S. Bank Freight Payment</t>
        </is>
      </c>
      <c r="H5099" t="n">
        <v>-6</v>
      </c>
      <c r="I5099" t="b">
        <v>0</v>
      </c>
      <c r="J5099" t="b">
        <v>0</v>
      </c>
      <c r="K5099" t="b">
        <v>0</v>
      </c>
      <c r="L5099" t="b">
        <v>0</v>
      </c>
      <c r="M5099" t="b">
        <v>1</v>
      </c>
      <c r="N5099">
        <f>IFERROR(INDEX('Company Hitlist'!$AA:$AA,MATCH(D5099,'Company Hitlist'!$A:$A,0)),)</f>
        <v/>
      </c>
      <c r="O5099">
        <f>IFERROR(INDEX('Company Hitlist'!$N:$N,MATCH(D5099,'Company Hitlist'!$A:$A,0)),)</f>
        <v/>
      </c>
      <c r="Q5099" t="inlineStr">
        <is>
          <t>todo</t>
        </is>
      </c>
    </row>
    <row r="5100">
      <c r="A5100" t="inlineStr">
        <is>
          <t>Sean Conley</t>
        </is>
      </c>
      <c r="B5100" t="inlineStr">
        <is>
          <t>Sponsor</t>
        </is>
      </c>
      <c r="C5100" t="inlineStr">
        <is>
          <t>Business Development Executive</t>
        </is>
      </c>
      <c r="D5100" t="inlineStr">
        <is>
          <t>UC Group</t>
        </is>
      </c>
      <c r="H5100" t="n">
        <v>-6</v>
      </c>
      <c r="I5100" t="b">
        <v>0</v>
      </c>
      <c r="J5100" t="b">
        <v>0</v>
      </c>
      <c r="K5100" t="b">
        <v>0</v>
      </c>
      <c r="L5100" t="b">
        <v>0</v>
      </c>
      <c r="M5100" t="b">
        <v>1</v>
      </c>
      <c r="N5100">
        <f>IFERROR(INDEX('Company Hitlist'!$AA:$AA,MATCH(D5100,'Company Hitlist'!$A:$A,0)),)</f>
        <v/>
      </c>
      <c r="O5100">
        <f>IFERROR(INDEX('Company Hitlist'!$N:$N,MATCH(D5100,'Company Hitlist'!$A:$A,0)),)</f>
        <v/>
      </c>
      <c r="Q5100" t="inlineStr">
        <is>
          <t>todo</t>
        </is>
      </c>
    </row>
    <row r="5101">
      <c r="A5101" t="inlineStr">
        <is>
          <t>Clay Tucker</t>
        </is>
      </c>
      <c r="B5101" t="inlineStr">
        <is>
          <t>Sponsor</t>
        </is>
      </c>
      <c r="C5101" t="inlineStr">
        <is>
          <t>Sr. Account Executive</t>
        </is>
      </c>
      <c r="D5101" t="inlineStr">
        <is>
          <t>UPWELL</t>
        </is>
      </c>
      <c r="E5101" t="inlineStr">
        <is>
          <t>United States</t>
        </is>
      </c>
      <c r="H5101" t="n">
        <v>-6</v>
      </c>
      <c r="I5101" t="b">
        <v>0</v>
      </c>
      <c r="J5101" t="b">
        <v>0</v>
      </c>
      <c r="K5101" t="b">
        <v>0</v>
      </c>
      <c r="L5101" t="b">
        <v>0</v>
      </c>
      <c r="M5101" t="b">
        <v>1</v>
      </c>
      <c r="N5101">
        <f>IFERROR(INDEX('Company Hitlist'!$AA:$AA,MATCH(D5101,'Company Hitlist'!$A:$A,0)),)</f>
        <v/>
      </c>
      <c r="O5101">
        <f>IFERROR(INDEX('Company Hitlist'!$N:$N,MATCH(D5101,'Company Hitlist'!$A:$A,0)),)</f>
        <v/>
      </c>
      <c r="Q5101" t="inlineStr">
        <is>
          <t>todo</t>
        </is>
      </c>
    </row>
    <row r="5102">
      <c r="A5102" t="inlineStr">
        <is>
          <t>Sayf Chowdhury</t>
        </is>
      </c>
      <c r="B5102" t="inlineStr">
        <is>
          <t>Sponsor</t>
        </is>
      </c>
      <c r="C5102" t="inlineStr">
        <is>
          <t>Senior Account Executive</t>
        </is>
      </c>
      <c r="D5102" t="inlineStr">
        <is>
          <t>UPWELL</t>
        </is>
      </c>
      <c r="E5102" t="inlineStr">
        <is>
          <t>United States</t>
        </is>
      </c>
      <c r="H5102" t="n">
        <v>-6</v>
      </c>
      <c r="I5102" t="b">
        <v>0</v>
      </c>
      <c r="J5102" t="b">
        <v>0</v>
      </c>
      <c r="K5102" t="b">
        <v>0</v>
      </c>
      <c r="L5102" t="b">
        <v>0</v>
      </c>
      <c r="M5102" t="b">
        <v>1</v>
      </c>
      <c r="N5102">
        <f>IFERROR(INDEX('Company Hitlist'!$AA:$AA,MATCH(D5102,'Company Hitlist'!$A:$A,0)),)</f>
        <v/>
      </c>
      <c r="O5102">
        <f>IFERROR(INDEX('Company Hitlist'!$N:$N,MATCH(D5102,'Company Hitlist'!$A:$A,0)),)</f>
        <v/>
      </c>
      <c r="Q5102" t="inlineStr">
        <is>
          <t>todo</t>
        </is>
      </c>
    </row>
    <row r="5103">
      <c r="A5103" t="inlineStr">
        <is>
          <t>Chaitanya Mujumdar</t>
        </is>
      </c>
      <c r="B5103" t="inlineStr">
        <is>
          <t>Sponsor</t>
        </is>
      </c>
      <c r="C5103" t="inlineStr">
        <is>
          <t>Senior Sales Engineer</t>
        </is>
      </c>
      <c r="D5103" t="inlineStr">
        <is>
          <t>Unbox Robotics Inc</t>
        </is>
      </c>
      <c r="H5103" t="n">
        <v>-6</v>
      </c>
      <c r="I5103" t="b">
        <v>0</v>
      </c>
      <c r="J5103" t="b">
        <v>0</v>
      </c>
      <c r="K5103" t="b">
        <v>0</v>
      </c>
      <c r="L5103" t="b">
        <v>0</v>
      </c>
      <c r="M5103" t="b">
        <v>1</v>
      </c>
      <c r="N5103">
        <f>IFERROR(INDEX('Company Hitlist'!$AA:$AA,MATCH(D5103,'Company Hitlist'!$A:$A,0)),)</f>
        <v/>
      </c>
      <c r="O5103">
        <f>IFERROR(INDEX('Company Hitlist'!$N:$N,MATCH(D5103,'Company Hitlist'!$A:$A,0)),)</f>
        <v/>
      </c>
      <c r="Q5103" t="inlineStr">
        <is>
          <t>todo</t>
        </is>
      </c>
    </row>
    <row r="5104">
      <c r="A5104" t="inlineStr">
        <is>
          <t>Lukasz Banachowicz</t>
        </is>
      </c>
      <c r="B5104" t="inlineStr">
        <is>
          <t>Sponsor</t>
        </is>
      </c>
      <c r="C5104" t="inlineStr">
        <is>
          <t>Sales Director - EMEA</t>
        </is>
      </c>
      <c r="D5104" t="inlineStr">
        <is>
          <t>Unbox Robotics Inc</t>
        </is>
      </c>
      <c r="H5104" t="n">
        <v>-6</v>
      </c>
      <c r="I5104" t="b">
        <v>0</v>
      </c>
      <c r="J5104" t="b">
        <v>0</v>
      </c>
      <c r="K5104" t="b">
        <v>0</v>
      </c>
      <c r="L5104" t="b">
        <v>0</v>
      </c>
      <c r="M5104" t="b">
        <v>1</v>
      </c>
      <c r="N5104">
        <f>IFERROR(INDEX('Company Hitlist'!$AA:$AA,MATCH(D5104,'Company Hitlist'!$A:$A,0)),)</f>
        <v/>
      </c>
      <c r="O5104">
        <f>IFERROR(INDEX('Company Hitlist'!$N:$N,MATCH(D5104,'Company Hitlist'!$A:$A,0)),)</f>
        <v/>
      </c>
      <c r="Q5104" t="inlineStr">
        <is>
          <t>todo</t>
        </is>
      </c>
    </row>
    <row r="5105">
      <c r="A5105" t="inlineStr">
        <is>
          <t>Jerry Kee</t>
        </is>
      </c>
      <c r="B5105" t="inlineStr">
        <is>
          <t>Sponsor</t>
        </is>
      </c>
      <c r="C5105" t="inlineStr">
        <is>
          <t>Senior Sales Director</t>
        </is>
      </c>
      <c r="D5105" t="inlineStr">
        <is>
          <t>United Delivery Service, Ltd.</t>
        </is>
      </c>
      <c r="H5105" t="n">
        <v>-6</v>
      </c>
      <c r="I5105" t="b">
        <v>0</v>
      </c>
      <c r="J5105" t="b">
        <v>0</v>
      </c>
      <c r="K5105" t="b">
        <v>0</v>
      </c>
      <c r="L5105" t="b">
        <v>0</v>
      </c>
      <c r="M5105" t="b">
        <v>1</v>
      </c>
      <c r="N5105">
        <f>IFERROR(INDEX('Company Hitlist'!$AA:$AA,MATCH(D5105,'Company Hitlist'!$A:$A,0)),)</f>
        <v/>
      </c>
      <c r="O5105">
        <f>IFERROR(INDEX('Company Hitlist'!$N:$N,MATCH(D5105,'Company Hitlist'!$A:$A,0)),)</f>
        <v/>
      </c>
      <c r="Q5105" t="inlineStr">
        <is>
          <t>todo</t>
        </is>
      </c>
    </row>
    <row r="5106">
      <c r="A5106" t="inlineStr">
        <is>
          <t>Kelly Cahill</t>
        </is>
      </c>
      <c r="B5106" t="inlineStr">
        <is>
          <t>Sponsor</t>
        </is>
      </c>
      <c r="C5106" t="inlineStr">
        <is>
          <t>Senior Account Executive</t>
        </is>
      </c>
      <c r="D5106" t="inlineStr">
        <is>
          <t>VARGO®</t>
        </is>
      </c>
      <c r="E5106" t="inlineStr">
        <is>
          <t>United States</t>
        </is>
      </c>
      <c r="H5106" t="n">
        <v>-6</v>
      </c>
      <c r="I5106" t="b">
        <v>0</v>
      </c>
      <c r="J5106" t="b">
        <v>0</v>
      </c>
      <c r="K5106" t="b">
        <v>0</v>
      </c>
      <c r="L5106" t="b">
        <v>0</v>
      </c>
      <c r="M5106" t="b">
        <v>1</v>
      </c>
      <c r="N5106">
        <f>IFERROR(INDEX('Company Hitlist'!$AA:$AA,MATCH(D5106,'Company Hitlist'!$A:$A,0)),)</f>
        <v/>
      </c>
      <c r="O5106">
        <f>IFERROR(INDEX('Company Hitlist'!$N:$N,MATCH(D5106,'Company Hitlist'!$A:$A,0)),)</f>
        <v/>
      </c>
      <c r="Q5106" t="inlineStr">
        <is>
          <t>todo</t>
        </is>
      </c>
    </row>
    <row r="5107">
      <c r="A5107" t="inlineStr">
        <is>
          <t>Neal Shah</t>
        </is>
      </c>
      <c r="B5107" t="inlineStr">
        <is>
          <t>Sponsor</t>
        </is>
      </c>
      <c r="C5107" t="inlineStr">
        <is>
          <t>Senior Marketing Manager</t>
        </is>
      </c>
      <c r="D5107" t="inlineStr">
        <is>
          <t>VARGO®</t>
        </is>
      </c>
      <c r="E5107" t="inlineStr">
        <is>
          <t>United States</t>
        </is>
      </c>
      <c r="H5107" t="n">
        <v>-6</v>
      </c>
      <c r="I5107" t="b">
        <v>0</v>
      </c>
      <c r="J5107" t="b">
        <v>0</v>
      </c>
      <c r="K5107" t="b">
        <v>0</v>
      </c>
      <c r="L5107" t="b">
        <v>0</v>
      </c>
      <c r="M5107" t="b">
        <v>1</v>
      </c>
      <c r="N5107">
        <f>IFERROR(INDEX('Company Hitlist'!$AA:$AA,MATCH(D5107,'Company Hitlist'!$A:$A,0)),)</f>
        <v/>
      </c>
      <c r="O5107">
        <f>IFERROR(INDEX('Company Hitlist'!$N:$N,MATCH(D5107,'Company Hitlist'!$A:$A,0)),)</f>
        <v/>
      </c>
      <c r="Q5107" t="inlineStr">
        <is>
          <t>todo</t>
        </is>
      </c>
    </row>
    <row r="5108">
      <c r="A5108" t="inlineStr">
        <is>
          <t>Cody James</t>
        </is>
      </c>
      <c r="B5108" t="inlineStr">
        <is>
          <t>Sponsor</t>
        </is>
      </c>
      <c r="C5108" t="inlineStr">
        <is>
          <t>Account Executive</t>
        </is>
      </c>
      <c r="D5108" t="inlineStr">
        <is>
          <t>Vecna Robotics</t>
        </is>
      </c>
      <c r="E5108" t="inlineStr">
        <is>
          <t>United States</t>
        </is>
      </c>
      <c r="H5108" t="n">
        <v>-6</v>
      </c>
      <c r="I5108" t="b">
        <v>0</v>
      </c>
      <c r="J5108" t="b">
        <v>0</v>
      </c>
      <c r="K5108" t="b">
        <v>0</v>
      </c>
      <c r="L5108" t="b">
        <v>0</v>
      </c>
      <c r="M5108" t="b">
        <v>1</v>
      </c>
      <c r="N5108">
        <f>IFERROR(INDEX('Company Hitlist'!$AA:$AA,MATCH(D5108,'Company Hitlist'!$A:$A,0)),)</f>
        <v/>
      </c>
      <c r="O5108">
        <f>IFERROR(INDEX('Company Hitlist'!$N:$N,MATCH(D5108,'Company Hitlist'!$A:$A,0)),)</f>
        <v/>
      </c>
      <c r="Q5108" t="inlineStr">
        <is>
          <t>todo</t>
        </is>
      </c>
    </row>
    <row r="5109">
      <c r="A5109" t="inlineStr">
        <is>
          <t>Nick Erdmann</t>
        </is>
      </c>
      <c r="B5109" t="inlineStr">
        <is>
          <t>Sponsor</t>
        </is>
      </c>
      <c r="C5109" t="inlineStr">
        <is>
          <t>Director of Business Development</t>
        </is>
      </c>
      <c r="D5109" t="inlineStr">
        <is>
          <t>Vectura Risk Management</t>
        </is>
      </c>
      <c r="H5109" t="n">
        <v>-6</v>
      </c>
      <c r="I5109" t="b">
        <v>0</v>
      </c>
      <c r="J5109" t="b">
        <v>0</v>
      </c>
      <c r="K5109" t="b">
        <v>0</v>
      </c>
      <c r="L5109" t="b">
        <v>0</v>
      </c>
      <c r="M5109" t="b">
        <v>1</v>
      </c>
      <c r="N5109">
        <f>IFERROR(INDEX('Company Hitlist'!$AA:$AA,MATCH(D5109,'Company Hitlist'!$A:$A,0)),)</f>
        <v/>
      </c>
      <c r="O5109">
        <f>IFERROR(INDEX('Company Hitlist'!$N:$N,MATCH(D5109,'Company Hitlist'!$A:$A,0)),)</f>
        <v/>
      </c>
      <c r="Q5109" t="inlineStr">
        <is>
          <t>todo</t>
        </is>
      </c>
    </row>
    <row r="5110">
      <c r="A5110" t="inlineStr">
        <is>
          <t>Nikki Cruse</t>
        </is>
      </c>
      <c r="B5110" t="inlineStr">
        <is>
          <t>Sponsor</t>
        </is>
      </c>
      <c r="C5110" t="inlineStr">
        <is>
          <t>Director, Growth Marketing</t>
        </is>
      </c>
      <c r="D5110" t="inlineStr">
        <is>
          <t>Veho</t>
        </is>
      </c>
      <c r="F5110" t="inlineStr">
        <is>
          <t>Yes</t>
        </is>
      </c>
      <c r="G5110" t="inlineStr">
        <is>
          <t>$21M (2025 est.) (ICP match)</t>
        </is>
      </c>
      <c r="H5110" t="n">
        <v>-6</v>
      </c>
      <c r="I5110" t="b">
        <v>0</v>
      </c>
      <c r="J5110" t="b">
        <v>0</v>
      </c>
      <c r="K5110" t="b">
        <v>0</v>
      </c>
      <c r="L5110" t="b">
        <v>0</v>
      </c>
      <c r="M5110" t="b">
        <v>1</v>
      </c>
      <c r="N5110">
        <f>IFERROR(INDEX('Company Hitlist'!$AA:$AA,MATCH(D5110,'Company Hitlist'!$A:$A,0)),)</f>
        <v/>
      </c>
      <c r="O5110">
        <f>IFERROR(INDEX('Company Hitlist'!$N:$N,MATCH(D5110,'Company Hitlist'!$A:$A,0)),)</f>
        <v/>
      </c>
      <c r="Q5110" t="inlineStr">
        <is>
          <t>todo</t>
        </is>
      </c>
    </row>
    <row r="5111">
      <c r="A5111" t="inlineStr">
        <is>
          <t>Hannah Erickson</t>
        </is>
      </c>
      <c r="B5111" t="inlineStr">
        <is>
          <t>Sponsor</t>
        </is>
      </c>
      <c r="C5111" t="inlineStr">
        <is>
          <t>Director, Enterprise Account Executive</t>
        </is>
      </c>
      <c r="D5111" t="inlineStr">
        <is>
          <t>Veho</t>
        </is>
      </c>
      <c r="E5111" t="inlineStr">
        <is>
          <t>United States</t>
        </is>
      </c>
      <c r="F5111" t="inlineStr">
        <is>
          <t>Yes</t>
        </is>
      </c>
      <c r="G5111" t="inlineStr">
        <is>
          <t>$21M (2025 est.) (ICP match)</t>
        </is>
      </c>
      <c r="H5111" t="n">
        <v>-6</v>
      </c>
      <c r="I5111" t="b">
        <v>0</v>
      </c>
      <c r="J5111" t="b">
        <v>0</v>
      </c>
      <c r="K5111" t="b">
        <v>0</v>
      </c>
      <c r="L5111" t="b">
        <v>0</v>
      </c>
      <c r="M5111" t="b">
        <v>1</v>
      </c>
      <c r="N5111">
        <f>IFERROR(INDEX('Company Hitlist'!$AA:$AA,MATCH(D5111,'Company Hitlist'!$A:$A,0)),)</f>
        <v/>
      </c>
      <c r="O5111">
        <f>IFERROR(INDEX('Company Hitlist'!$N:$N,MATCH(D5111,'Company Hitlist'!$A:$A,0)),)</f>
        <v/>
      </c>
      <c r="Q5111" t="inlineStr">
        <is>
          <t>todo</t>
        </is>
      </c>
    </row>
    <row r="5112">
      <c r="A5112" t="inlineStr">
        <is>
          <t>Nick Bandiera</t>
        </is>
      </c>
      <c r="B5112" t="inlineStr">
        <is>
          <t>Sponsor</t>
        </is>
      </c>
      <c r="C5112" t="inlineStr">
        <is>
          <t>Director, Enterprise Account Executive</t>
        </is>
      </c>
      <c r="D5112" t="inlineStr">
        <is>
          <t>Veho</t>
        </is>
      </c>
      <c r="F5112" t="inlineStr">
        <is>
          <t>Yes</t>
        </is>
      </c>
      <c r="G5112" t="inlineStr">
        <is>
          <t>$21M (2025 est.) (ICP match)</t>
        </is>
      </c>
      <c r="H5112" t="n">
        <v>-6</v>
      </c>
      <c r="I5112" t="b">
        <v>0</v>
      </c>
      <c r="J5112" t="b">
        <v>0</v>
      </c>
      <c r="K5112" t="b">
        <v>0</v>
      </c>
      <c r="L5112" t="b">
        <v>0</v>
      </c>
      <c r="M5112" t="b">
        <v>1</v>
      </c>
      <c r="N5112">
        <f>IFERROR(INDEX('Company Hitlist'!$AA:$AA,MATCH(D5112,'Company Hitlist'!$A:$A,0)),)</f>
        <v/>
      </c>
      <c r="O5112">
        <f>IFERROR(INDEX('Company Hitlist'!$N:$N,MATCH(D5112,'Company Hitlist'!$A:$A,0)),)</f>
        <v/>
      </c>
      <c r="Q5112" t="inlineStr">
        <is>
          <t>todo</t>
        </is>
      </c>
    </row>
    <row r="5113">
      <c r="A5113" t="inlineStr">
        <is>
          <t>Sophie Skarzynski</t>
        </is>
      </c>
      <c r="B5113" t="inlineStr">
        <is>
          <t>Sponsor</t>
        </is>
      </c>
      <c r="C5113" t="inlineStr">
        <is>
          <t>Director, Enterprise Account Executive</t>
        </is>
      </c>
      <c r="D5113" t="inlineStr">
        <is>
          <t>Veho</t>
        </is>
      </c>
      <c r="H5113" t="n">
        <v>-6</v>
      </c>
      <c r="I5113" t="b">
        <v>0</v>
      </c>
      <c r="J5113" t="b">
        <v>0</v>
      </c>
      <c r="K5113" t="b">
        <v>0</v>
      </c>
      <c r="L5113" t="b">
        <v>0</v>
      </c>
      <c r="M5113" t="b">
        <v>1</v>
      </c>
      <c r="N5113">
        <f>IFERROR(INDEX('Company Hitlist'!$AA:$AA,MATCH(D5113,'Company Hitlist'!$A:$A,0)),)</f>
        <v/>
      </c>
      <c r="O5113">
        <f>IFERROR(INDEX('Company Hitlist'!$N:$N,MATCH(D5113,'Company Hitlist'!$A:$A,0)),)</f>
        <v/>
      </c>
      <c r="Q5113" t="inlineStr">
        <is>
          <t>todo</t>
        </is>
      </c>
    </row>
    <row r="5114">
      <c r="A5114" t="inlineStr">
        <is>
          <t>Michelle Craig</t>
        </is>
      </c>
      <c r="B5114" t="inlineStr">
        <is>
          <t>Sponsor</t>
        </is>
      </c>
      <c r="C5114" t="inlineStr">
        <is>
          <t>Sales Executive</t>
        </is>
      </c>
      <c r="D5114" t="inlineStr">
        <is>
          <t>Velocitor Solutions</t>
        </is>
      </c>
      <c r="H5114" t="n">
        <v>-6</v>
      </c>
      <c r="I5114" t="b">
        <v>0</v>
      </c>
      <c r="J5114" t="b">
        <v>0</v>
      </c>
      <c r="K5114" t="b">
        <v>0</v>
      </c>
      <c r="L5114" t="b">
        <v>0</v>
      </c>
      <c r="M5114" t="b">
        <v>1</v>
      </c>
      <c r="N5114">
        <f>IFERROR(INDEX('Company Hitlist'!$AA:$AA,MATCH(D5114,'Company Hitlist'!$A:$A,0)),)</f>
        <v/>
      </c>
      <c r="O5114">
        <f>IFERROR(INDEX('Company Hitlist'!$N:$N,MATCH(D5114,'Company Hitlist'!$A:$A,0)),)</f>
        <v/>
      </c>
      <c r="Q5114" t="inlineStr">
        <is>
          <t>todo</t>
        </is>
      </c>
    </row>
    <row r="5115">
      <c r="A5115" t="inlineStr">
        <is>
          <t>Jesse Taylor</t>
        </is>
      </c>
      <c r="B5115" t="inlineStr">
        <is>
          <t>Sponsor</t>
        </is>
      </c>
      <c r="C5115" t="inlineStr">
        <is>
          <t>Sales</t>
        </is>
      </c>
      <c r="D5115" t="inlineStr">
        <is>
          <t>Vooma</t>
        </is>
      </c>
      <c r="E5115" t="inlineStr">
        <is>
          <t>United States</t>
        </is>
      </c>
      <c r="H5115" t="n">
        <v>-6</v>
      </c>
      <c r="I5115" t="b">
        <v>0</v>
      </c>
      <c r="J5115" t="b">
        <v>0</v>
      </c>
      <c r="K5115" t="b">
        <v>0</v>
      </c>
      <c r="L5115" t="b">
        <v>0</v>
      </c>
      <c r="M5115" t="b">
        <v>1</v>
      </c>
      <c r="N5115">
        <f>IFERROR(INDEX('Company Hitlist'!$AA:$AA,MATCH(D5115,'Company Hitlist'!$A:$A,0)),)</f>
        <v/>
      </c>
      <c r="O5115">
        <f>IFERROR(INDEX('Company Hitlist'!$N:$N,MATCH(D5115,'Company Hitlist'!$A:$A,0)),)</f>
        <v/>
      </c>
      <c r="Q5115" t="inlineStr">
        <is>
          <t>todo</t>
        </is>
      </c>
    </row>
    <row r="5116">
      <c r="A5116" t="inlineStr">
        <is>
          <t>Luke Walquist</t>
        </is>
      </c>
      <c r="B5116" t="inlineStr">
        <is>
          <t>Sponsor</t>
        </is>
      </c>
      <c r="C5116" t="inlineStr">
        <is>
          <t>Sales</t>
        </is>
      </c>
      <c r="D5116" t="inlineStr">
        <is>
          <t>Vooma</t>
        </is>
      </c>
      <c r="E5116" t="inlineStr">
        <is>
          <t>United States</t>
        </is>
      </c>
      <c r="H5116" t="n">
        <v>-6</v>
      </c>
      <c r="I5116" t="b">
        <v>0</v>
      </c>
      <c r="J5116" t="b">
        <v>0</v>
      </c>
      <c r="K5116" t="b">
        <v>0</v>
      </c>
      <c r="L5116" t="b">
        <v>0</v>
      </c>
      <c r="M5116" t="b">
        <v>1</v>
      </c>
      <c r="N5116">
        <f>IFERROR(INDEX('Company Hitlist'!$AA:$AA,MATCH(D5116,'Company Hitlist'!$A:$A,0)),)</f>
        <v/>
      </c>
      <c r="O5116">
        <f>IFERROR(INDEX('Company Hitlist'!$N:$N,MATCH(D5116,'Company Hitlist'!$A:$A,0)),)</f>
        <v/>
      </c>
      <c r="Q5116" t="inlineStr">
        <is>
          <t>todo</t>
        </is>
      </c>
    </row>
    <row r="5117">
      <c r="A5117" t="inlineStr">
        <is>
          <t>Scott Van Zeeland</t>
        </is>
      </c>
      <c r="B5117" t="inlineStr">
        <is>
          <t>Sponsor</t>
        </is>
      </c>
      <c r="C5117" t="inlineStr">
        <is>
          <t>Sales Manager</t>
        </is>
      </c>
      <c r="D5117" t="inlineStr">
        <is>
          <t>WSI | KASE</t>
        </is>
      </c>
      <c r="E5117" t="inlineStr">
        <is>
          <t>United States</t>
        </is>
      </c>
      <c r="H5117" t="n">
        <v>-6</v>
      </c>
      <c r="I5117" t="b">
        <v>0</v>
      </c>
      <c r="J5117" t="b">
        <v>0</v>
      </c>
      <c r="K5117" t="b">
        <v>0</v>
      </c>
      <c r="L5117" t="b">
        <v>0</v>
      </c>
      <c r="M5117" t="b">
        <v>1</v>
      </c>
      <c r="N5117">
        <f>IFERROR(INDEX('Company Hitlist'!$AA:$AA,MATCH(D5117,'Company Hitlist'!$A:$A,0)),)</f>
        <v/>
      </c>
      <c r="O5117">
        <f>IFERROR(INDEX('Company Hitlist'!$N:$N,MATCH(D5117,'Company Hitlist'!$A:$A,0)),)</f>
        <v/>
      </c>
      <c r="Q5117" t="inlineStr">
        <is>
          <t>todo</t>
        </is>
      </c>
    </row>
    <row r="5118">
      <c r="A5118" t="inlineStr">
        <is>
          <t>Alex Court</t>
        </is>
      </c>
      <c r="B5118" t="inlineStr">
        <is>
          <t>Sponsor</t>
        </is>
      </c>
      <c r="C5118" t="inlineStr">
        <is>
          <t>Director of Sales</t>
        </is>
      </c>
      <c r="D5118" t="inlineStr">
        <is>
          <t>WSI | KASE</t>
        </is>
      </c>
      <c r="H5118" t="n">
        <v>-6</v>
      </c>
      <c r="I5118" t="b">
        <v>0</v>
      </c>
      <c r="J5118" t="b">
        <v>0</v>
      </c>
      <c r="K5118" t="b">
        <v>0</v>
      </c>
      <c r="L5118" t="b">
        <v>0</v>
      </c>
      <c r="M5118" t="b">
        <v>1</v>
      </c>
      <c r="N5118">
        <f>IFERROR(INDEX('Company Hitlist'!$AA:$AA,MATCH(D5118,'Company Hitlist'!$A:$A,0)),)</f>
        <v/>
      </c>
      <c r="O5118">
        <f>IFERROR(INDEX('Company Hitlist'!$N:$N,MATCH(D5118,'Company Hitlist'!$A:$A,0)),)</f>
        <v/>
      </c>
      <c r="Q5118" t="inlineStr">
        <is>
          <t>todo</t>
        </is>
      </c>
    </row>
    <row r="5119">
      <c r="A5119" t="inlineStr">
        <is>
          <t>Mikayla Josefchuk</t>
        </is>
      </c>
      <c r="B5119" t="inlineStr">
        <is>
          <t>Sponsor</t>
        </is>
      </c>
      <c r="C5119" t="inlineStr">
        <is>
          <t>Sales &amp; Marketing Representative</t>
        </is>
      </c>
      <c r="D5119" t="inlineStr">
        <is>
          <t>WSI | KASE</t>
        </is>
      </c>
      <c r="H5119" t="n">
        <v>-6</v>
      </c>
      <c r="I5119" t="b">
        <v>0</v>
      </c>
      <c r="J5119" t="b">
        <v>0</v>
      </c>
      <c r="K5119" t="b">
        <v>0</v>
      </c>
      <c r="L5119" t="b">
        <v>0</v>
      </c>
      <c r="M5119" t="b">
        <v>1</v>
      </c>
      <c r="N5119">
        <f>IFERROR(INDEX('Company Hitlist'!$AA:$AA,MATCH(D5119,'Company Hitlist'!$A:$A,0)),)</f>
        <v/>
      </c>
      <c r="O5119">
        <f>IFERROR(INDEX('Company Hitlist'!$N:$N,MATCH(D5119,'Company Hitlist'!$A:$A,0)),)</f>
        <v/>
      </c>
      <c r="Q5119" t="inlineStr">
        <is>
          <t>todo</t>
        </is>
      </c>
    </row>
    <row r="5120">
      <c r="A5120" t="inlineStr">
        <is>
          <t>Jacob Tache</t>
        </is>
      </c>
      <c r="B5120" t="inlineStr">
        <is>
          <t>Sponsor</t>
        </is>
      </c>
      <c r="C5120" t="inlineStr">
        <is>
          <t>Director of Marketing</t>
        </is>
      </c>
      <c r="D5120" t="inlineStr">
        <is>
          <t>Wabash</t>
        </is>
      </c>
      <c r="E5120" t="inlineStr">
        <is>
          <t>United States</t>
        </is>
      </c>
      <c r="F5120" t="inlineStr">
        <is>
          <t>Yes</t>
        </is>
      </c>
      <c r="G5120" t="inlineStr">
        <is>
          <t>1946740000</t>
        </is>
      </c>
      <c r="H5120" t="n">
        <v>-6</v>
      </c>
      <c r="I5120" t="b">
        <v>0</v>
      </c>
      <c r="J5120" t="b">
        <v>0</v>
      </c>
      <c r="K5120" t="b">
        <v>0</v>
      </c>
      <c r="L5120" t="b">
        <v>0</v>
      </c>
      <c r="M5120" t="b">
        <v>1</v>
      </c>
      <c r="N5120">
        <f>IFERROR(INDEX('Company Hitlist'!$AA:$AA,MATCH(D5120,'Company Hitlist'!$A:$A,0)),)</f>
        <v/>
      </c>
      <c r="O5120">
        <f>IFERROR(INDEX('Company Hitlist'!$N:$N,MATCH(D5120,'Company Hitlist'!$A:$A,0)),)</f>
        <v/>
      </c>
      <c r="Q5120" t="inlineStr">
        <is>
          <t>todo</t>
        </is>
      </c>
    </row>
    <row r="5121">
      <c r="A5121" t="inlineStr">
        <is>
          <t>Brian Lewis</t>
        </is>
      </c>
      <c r="B5121" t="inlineStr">
        <is>
          <t>Sponsor</t>
        </is>
      </c>
      <c r="C5121" t="inlineStr">
        <is>
          <t>Director of Sales</t>
        </is>
      </c>
      <c r="D5121" t="inlineStr">
        <is>
          <t>Wabash</t>
        </is>
      </c>
      <c r="E5121" t="inlineStr">
        <is>
          <t>United States</t>
        </is>
      </c>
      <c r="H5121" t="n">
        <v>-6</v>
      </c>
      <c r="I5121" t="b">
        <v>0</v>
      </c>
      <c r="J5121" t="b">
        <v>0</v>
      </c>
      <c r="K5121" t="b">
        <v>0</v>
      </c>
      <c r="L5121" t="b">
        <v>0</v>
      </c>
      <c r="M5121" t="b">
        <v>1</v>
      </c>
      <c r="N5121">
        <f>IFERROR(INDEX('Company Hitlist'!$AA:$AA,MATCH(D5121,'Company Hitlist'!$A:$A,0)),)</f>
        <v/>
      </c>
      <c r="O5121">
        <f>IFERROR(INDEX('Company Hitlist'!$N:$N,MATCH(D5121,'Company Hitlist'!$A:$A,0)),)</f>
        <v/>
      </c>
      <c r="Q5121" t="inlineStr">
        <is>
          <t>todo</t>
        </is>
      </c>
    </row>
    <row r="5122">
      <c r="A5122" t="inlineStr">
        <is>
          <t>Cassie Quien</t>
        </is>
      </c>
      <c r="B5122" t="inlineStr">
        <is>
          <t>Sponsor</t>
        </is>
      </c>
      <c r="C5122" t="inlineStr">
        <is>
          <t>Director of Sales</t>
        </is>
      </c>
      <c r="D5122" t="inlineStr">
        <is>
          <t>Wabash</t>
        </is>
      </c>
      <c r="E5122" t="inlineStr">
        <is>
          <t>United States</t>
        </is>
      </c>
      <c r="H5122" t="n">
        <v>-6</v>
      </c>
      <c r="I5122" t="b">
        <v>0</v>
      </c>
      <c r="J5122" t="b">
        <v>0</v>
      </c>
      <c r="K5122" t="b">
        <v>0</v>
      </c>
      <c r="L5122" t="b">
        <v>0</v>
      </c>
      <c r="M5122" t="b">
        <v>1</v>
      </c>
      <c r="N5122">
        <f>IFERROR(INDEX('Company Hitlist'!$AA:$AA,MATCH(D5122,'Company Hitlist'!$A:$A,0)),)</f>
        <v/>
      </c>
      <c r="O5122">
        <f>IFERROR(INDEX('Company Hitlist'!$N:$N,MATCH(D5122,'Company Hitlist'!$A:$A,0)),)</f>
        <v/>
      </c>
      <c r="Q5122" t="inlineStr">
        <is>
          <t>todo</t>
        </is>
      </c>
    </row>
    <row r="5123">
      <c r="A5123" t="inlineStr">
        <is>
          <t>Jon Fish</t>
        </is>
      </c>
      <c r="B5123" t="inlineStr">
        <is>
          <t>Sponsor</t>
        </is>
      </c>
      <c r="C5123" t="inlineStr">
        <is>
          <t>Sr. Director, Sales</t>
        </is>
      </c>
      <c r="D5123" t="inlineStr">
        <is>
          <t>Wabash</t>
        </is>
      </c>
      <c r="H5123" t="n">
        <v>-6</v>
      </c>
      <c r="I5123" t="b">
        <v>0</v>
      </c>
      <c r="J5123" t="b">
        <v>0</v>
      </c>
      <c r="K5123" t="b">
        <v>0</v>
      </c>
      <c r="L5123" t="b">
        <v>0</v>
      </c>
      <c r="M5123" t="b">
        <v>1</v>
      </c>
      <c r="N5123">
        <f>IFERROR(INDEX('Company Hitlist'!$AA:$AA,MATCH(D5123,'Company Hitlist'!$A:$A,0)),)</f>
        <v/>
      </c>
      <c r="O5123">
        <f>IFERROR(INDEX('Company Hitlist'!$N:$N,MATCH(D5123,'Company Hitlist'!$A:$A,0)),)</f>
        <v/>
      </c>
      <c r="Q5123" t="inlineStr">
        <is>
          <t>todo</t>
        </is>
      </c>
    </row>
    <row r="5124">
      <c r="A5124" t="inlineStr">
        <is>
          <t>Caroline Mullins</t>
        </is>
      </c>
      <c r="B5124" t="inlineStr">
        <is>
          <t>Sponsor</t>
        </is>
      </c>
      <c r="C5124" t="inlineStr">
        <is>
          <t>Sales Development Represenative</t>
        </is>
      </c>
      <c r="D5124" t="inlineStr">
        <is>
          <t>Waites Sensor Technologies</t>
        </is>
      </c>
      <c r="E5124" t="inlineStr">
        <is>
          <t>United States</t>
        </is>
      </c>
      <c r="H5124" t="n">
        <v>-6</v>
      </c>
      <c r="I5124" t="b">
        <v>0</v>
      </c>
      <c r="J5124" t="b">
        <v>0</v>
      </c>
      <c r="K5124" t="b">
        <v>0</v>
      </c>
      <c r="L5124" t="b">
        <v>0</v>
      </c>
      <c r="M5124" t="b">
        <v>1</v>
      </c>
      <c r="N5124">
        <f>IFERROR(INDEX('Company Hitlist'!$AA:$AA,MATCH(D5124,'Company Hitlist'!$A:$A,0)),)</f>
        <v/>
      </c>
      <c r="O5124">
        <f>IFERROR(INDEX('Company Hitlist'!$N:$N,MATCH(D5124,'Company Hitlist'!$A:$A,0)),)</f>
        <v/>
      </c>
      <c r="Q5124" t="inlineStr">
        <is>
          <t>todo</t>
        </is>
      </c>
    </row>
    <row r="5125">
      <c r="A5125" t="inlineStr">
        <is>
          <t>Pete Massar</t>
        </is>
      </c>
      <c r="B5125" t="inlineStr">
        <is>
          <t>Sponsor</t>
        </is>
      </c>
      <c r="C5125" t="inlineStr">
        <is>
          <t>Account Executive</t>
        </is>
      </c>
      <c r="D5125" t="inlineStr">
        <is>
          <t>WorkWhile</t>
        </is>
      </c>
      <c r="E5125" t="inlineStr">
        <is>
          <t>United States</t>
        </is>
      </c>
      <c r="H5125" t="n">
        <v>-6</v>
      </c>
      <c r="I5125" t="b">
        <v>0</v>
      </c>
      <c r="J5125" t="b">
        <v>0</v>
      </c>
      <c r="K5125" t="b">
        <v>0</v>
      </c>
      <c r="L5125" t="b">
        <v>0</v>
      </c>
      <c r="M5125" t="b">
        <v>1</v>
      </c>
      <c r="N5125">
        <f>IFERROR(INDEX('Company Hitlist'!$AA:$AA,MATCH(D5125,'Company Hitlist'!$A:$A,0)),)</f>
        <v/>
      </c>
      <c r="O5125">
        <f>IFERROR(INDEX('Company Hitlist'!$N:$N,MATCH(D5125,'Company Hitlist'!$A:$A,0)),)</f>
        <v/>
      </c>
      <c r="Q5125" t="inlineStr">
        <is>
          <t>todo</t>
        </is>
      </c>
    </row>
    <row r="5126">
      <c r="A5126" t="inlineStr">
        <is>
          <t>Richard Robert II</t>
        </is>
      </c>
      <c r="B5126" t="inlineStr">
        <is>
          <t>Sponsor</t>
        </is>
      </c>
      <c r="C5126" t="inlineStr">
        <is>
          <t>B2B Marketing Manager</t>
        </is>
      </c>
      <c r="D5126" t="inlineStr">
        <is>
          <t>WorkWhile</t>
        </is>
      </c>
      <c r="E5126" t="inlineStr">
        <is>
          <t>United States</t>
        </is>
      </c>
      <c r="H5126" t="n">
        <v>-6</v>
      </c>
      <c r="I5126" t="b">
        <v>0</v>
      </c>
      <c r="J5126" t="b">
        <v>0</v>
      </c>
      <c r="K5126" t="b">
        <v>0</v>
      </c>
      <c r="L5126" t="b">
        <v>0</v>
      </c>
      <c r="M5126" t="b">
        <v>1</v>
      </c>
      <c r="N5126">
        <f>IFERROR(INDEX('Company Hitlist'!$AA:$AA,MATCH(D5126,'Company Hitlist'!$A:$A,0)),)</f>
        <v/>
      </c>
      <c r="O5126">
        <f>IFERROR(INDEX('Company Hitlist'!$N:$N,MATCH(D5126,'Company Hitlist'!$A:$A,0)),)</f>
        <v/>
      </c>
      <c r="Q5126" t="inlineStr">
        <is>
          <t>todo</t>
        </is>
      </c>
    </row>
    <row r="5127">
      <c r="A5127" t="inlineStr">
        <is>
          <t>Byron Smith</t>
        </is>
      </c>
      <c r="B5127" t="inlineStr">
        <is>
          <t>Sponsor</t>
        </is>
      </c>
      <c r="C5127" t="inlineStr">
        <is>
          <t>Marketing Assistant</t>
        </is>
      </c>
      <c r="D5127" t="inlineStr">
        <is>
          <t>YMX Logistics</t>
        </is>
      </c>
      <c r="E5127" t="inlineStr">
        <is>
          <t>United States</t>
        </is>
      </c>
      <c r="F5127" t="inlineStr">
        <is>
          <t>Yes</t>
        </is>
      </c>
      <c r="H5127" t="n">
        <v>-6</v>
      </c>
      <c r="I5127" t="b">
        <v>0</v>
      </c>
      <c r="J5127" t="b">
        <v>0</v>
      </c>
      <c r="K5127" t="b">
        <v>0</v>
      </c>
      <c r="L5127" t="b">
        <v>0</v>
      </c>
      <c r="M5127" t="b">
        <v>1</v>
      </c>
      <c r="N5127">
        <f>IFERROR(INDEX('Company Hitlist'!$AA:$AA,MATCH(D5127,'Company Hitlist'!$A:$A,0)),)</f>
        <v/>
      </c>
      <c r="O5127">
        <f>IFERROR(INDEX('Company Hitlist'!$N:$N,MATCH(D5127,'Company Hitlist'!$A:$A,0)),)</f>
        <v/>
      </c>
      <c r="Q5127" t="inlineStr">
        <is>
          <t>todo</t>
        </is>
      </c>
    </row>
    <row r="5128">
      <c r="A5128" t="inlineStr">
        <is>
          <t>Daniel Parlin</t>
        </is>
      </c>
      <c r="B5128" t="inlineStr">
        <is>
          <t>Sponsor</t>
        </is>
      </c>
      <c r="C5128" t="inlineStr">
        <is>
          <t>Marketing Assistant</t>
        </is>
      </c>
      <c r="D5128" t="inlineStr">
        <is>
          <t>YMX Logistics</t>
        </is>
      </c>
      <c r="E5128" t="inlineStr">
        <is>
          <t>United States</t>
        </is>
      </c>
      <c r="F5128" t="inlineStr">
        <is>
          <t>Yes</t>
        </is>
      </c>
      <c r="H5128" t="n">
        <v>-6</v>
      </c>
      <c r="I5128" t="b">
        <v>0</v>
      </c>
      <c r="J5128" t="b">
        <v>0</v>
      </c>
      <c r="K5128" t="b">
        <v>0</v>
      </c>
      <c r="L5128" t="b">
        <v>0</v>
      </c>
      <c r="M5128" t="b">
        <v>1</v>
      </c>
      <c r="N5128">
        <f>IFERROR(INDEX('Company Hitlist'!$AA:$AA,MATCH(D5128,'Company Hitlist'!$A:$A,0)),)</f>
        <v/>
      </c>
      <c r="O5128">
        <f>IFERROR(INDEX('Company Hitlist'!$N:$N,MATCH(D5128,'Company Hitlist'!$A:$A,0)),)</f>
        <v/>
      </c>
      <c r="Q5128" t="inlineStr">
        <is>
          <t>todo</t>
        </is>
      </c>
    </row>
    <row r="5129">
      <c r="A5129" t="inlineStr">
        <is>
          <t>Kim Sawyer</t>
        </is>
      </c>
      <c r="B5129" t="inlineStr">
        <is>
          <t>Sponsor</t>
        </is>
      </c>
      <c r="C5129" t="inlineStr">
        <is>
          <t>Director of Marketing and Communications</t>
        </is>
      </c>
      <c r="D5129" t="inlineStr">
        <is>
          <t>YMX Logistics</t>
        </is>
      </c>
      <c r="E5129" t="inlineStr">
        <is>
          <t>United States</t>
        </is>
      </c>
      <c r="F5129" t="inlineStr">
        <is>
          <t>Yes</t>
        </is>
      </c>
      <c r="H5129" t="n">
        <v>-6</v>
      </c>
      <c r="I5129" t="b">
        <v>0</v>
      </c>
      <c r="J5129" t="b">
        <v>0</v>
      </c>
      <c r="K5129" t="b">
        <v>0</v>
      </c>
      <c r="L5129" t="b">
        <v>0</v>
      </c>
      <c r="M5129" t="b">
        <v>1</v>
      </c>
      <c r="N5129">
        <f>IFERROR(INDEX('Company Hitlist'!$AA:$AA,MATCH(D5129,'Company Hitlist'!$A:$A,0)),)</f>
        <v/>
      </c>
      <c r="O5129">
        <f>IFERROR(INDEX('Company Hitlist'!$N:$N,MATCH(D5129,'Company Hitlist'!$A:$A,0)),)</f>
        <v/>
      </c>
      <c r="Q5129" t="inlineStr">
        <is>
          <t>todo</t>
        </is>
      </c>
    </row>
    <row r="5130">
      <c r="A5130" t="inlineStr">
        <is>
          <t>Kris Gerkins</t>
        </is>
      </c>
      <c r="B5130" t="inlineStr">
        <is>
          <t>Sponsor</t>
        </is>
      </c>
      <c r="C5130" t="inlineStr">
        <is>
          <t>Director of Strategic Sales</t>
        </is>
      </c>
      <c r="D5130" t="inlineStr">
        <is>
          <t>Yard Management Solutions</t>
        </is>
      </c>
      <c r="H5130" t="n">
        <v>-6</v>
      </c>
      <c r="I5130" t="b">
        <v>0</v>
      </c>
      <c r="J5130" t="b">
        <v>0</v>
      </c>
      <c r="K5130" t="b">
        <v>0</v>
      </c>
      <c r="L5130" t="b">
        <v>0</v>
      </c>
      <c r="M5130" t="b">
        <v>1</v>
      </c>
      <c r="N5130">
        <f>IFERROR(INDEX('Company Hitlist'!$AA:$AA,MATCH(D5130,'Company Hitlist'!$A:$A,0)),)</f>
        <v/>
      </c>
      <c r="O5130">
        <f>IFERROR(INDEX('Company Hitlist'!$N:$N,MATCH(D5130,'Company Hitlist'!$A:$A,0)),)</f>
        <v/>
      </c>
      <c r="Q5130" t="inlineStr">
        <is>
          <t>todo</t>
        </is>
      </c>
    </row>
    <row r="5131">
      <c r="A5131" t="inlineStr">
        <is>
          <t>Katie Kraverath</t>
        </is>
      </c>
      <c r="B5131" t="inlineStr">
        <is>
          <t>Sponsor</t>
        </is>
      </c>
      <c r="C5131" t="inlineStr">
        <is>
          <t>Sr. Business Development Manager</t>
        </is>
      </c>
      <c r="D5131" t="inlineStr">
        <is>
          <t>Zebra Technologies</t>
        </is>
      </c>
      <c r="H5131" t="n">
        <v>-6</v>
      </c>
      <c r="I5131" t="b">
        <v>0</v>
      </c>
      <c r="J5131" t="b">
        <v>0</v>
      </c>
      <c r="K5131" t="b">
        <v>0</v>
      </c>
      <c r="L5131" t="b">
        <v>0</v>
      </c>
      <c r="M5131" t="b">
        <v>1</v>
      </c>
      <c r="N5131">
        <f>IFERROR(INDEX('Company Hitlist'!$AA:$AA,MATCH(D5131,'Company Hitlist'!$A:$A,0)),)</f>
        <v/>
      </c>
      <c r="O5131">
        <f>IFERROR(INDEX('Company Hitlist'!$N:$N,MATCH(D5131,'Company Hitlist'!$A:$A,0)),)</f>
        <v/>
      </c>
      <c r="Q5131" t="inlineStr">
        <is>
          <t>todo</t>
        </is>
      </c>
    </row>
    <row r="5132">
      <c r="A5132" t="inlineStr">
        <is>
          <t>Charlie Kuhn</t>
        </is>
      </c>
      <c r="B5132" t="inlineStr">
        <is>
          <t>Sponsor</t>
        </is>
      </c>
      <c r="C5132" t="inlineStr">
        <is>
          <t>Business Development Manager</t>
        </is>
      </c>
      <c r="D5132" t="inlineStr">
        <is>
          <t>Zencargo</t>
        </is>
      </c>
      <c r="E5132" t="inlineStr">
        <is>
          <t>United States</t>
        </is>
      </c>
      <c r="H5132" t="n">
        <v>-6</v>
      </c>
      <c r="I5132" t="b">
        <v>0</v>
      </c>
      <c r="J5132" t="b">
        <v>0</v>
      </c>
      <c r="K5132" t="b">
        <v>0</v>
      </c>
      <c r="L5132" t="b">
        <v>0</v>
      </c>
      <c r="M5132" t="b">
        <v>1</v>
      </c>
      <c r="N5132">
        <f>IFERROR(INDEX('Company Hitlist'!$AA:$AA,MATCH(D5132,'Company Hitlist'!$A:$A,0)),)</f>
        <v/>
      </c>
      <c r="O5132">
        <f>IFERROR(INDEX('Company Hitlist'!$N:$N,MATCH(D5132,'Company Hitlist'!$A:$A,0)),)</f>
        <v/>
      </c>
      <c r="Q5132" t="inlineStr">
        <is>
          <t>todo</t>
        </is>
      </c>
    </row>
    <row r="5133">
      <c r="A5133" t="inlineStr">
        <is>
          <t>Ryan Kalita</t>
        </is>
      </c>
      <c r="B5133" t="inlineStr">
        <is>
          <t>Sponsor</t>
        </is>
      </c>
      <c r="C5133" t="inlineStr">
        <is>
          <t>Senior Business Development Manager</t>
        </is>
      </c>
      <c r="D5133" t="inlineStr">
        <is>
          <t>Zencargo</t>
        </is>
      </c>
      <c r="E5133" t="inlineStr">
        <is>
          <t>United States</t>
        </is>
      </c>
      <c r="H5133" t="n">
        <v>-6</v>
      </c>
      <c r="I5133" t="b">
        <v>0</v>
      </c>
      <c r="J5133" t="b">
        <v>0</v>
      </c>
      <c r="K5133" t="b">
        <v>0</v>
      </c>
      <c r="L5133" t="b">
        <v>0</v>
      </c>
      <c r="M5133" t="b">
        <v>1</v>
      </c>
      <c r="N5133">
        <f>IFERROR(INDEX('Company Hitlist'!$AA:$AA,MATCH(D5133,'Company Hitlist'!$A:$A,0)),)</f>
        <v/>
      </c>
      <c r="O5133">
        <f>IFERROR(INDEX('Company Hitlist'!$N:$N,MATCH(D5133,'Company Hitlist'!$A:$A,0)),)</f>
        <v/>
      </c>
      <c r="Q5133" t="inlineStr">
        <is>
          <t>todo</t>
        </is>
      </c>
    </row>
    <row r="5134">
      <c r="A5134" t="inlineStr">
        <is>
          <t>Rebecca McBride</t>
        </is>
      </c>
      <c r="B5134" t="inlineStr">
        <is>
          <t>Sponsor</t>
        </is>
      </c>
      <c r="C5134" t="inlineStr">
        <is>
          <t>Director of Business Development</t>
        </is>
      </c>
      <c r="D5134" t="inlineStr">
        <is>
          <t>Zero Down Supply Chain Solutions</t>
        </is>
      </c>
      <c r="H5134" t="n">
        <v>-6</v>
      </c>
      <c r="I5134" t="b">
        <v>0</v>
      </c>
      <c r="J5134" t="b">
        <v>0</v>
      </c>
      <c r="K5134" t="b">
        <v>0</v>
      </c>
      <c r="L5134" t="b">
        <v>0</v>
      </c>
      <c r="M5134" t="b">
        <v>1</v>
      </c>
      <c r="N5134">
        <f>IFERROR(INDEX('Company Hitlist'!$AA:$AA,MATCH(D5134,'Company Hitlist'!$A:$A,0)),)</f>
        <v/>
      </c>
      <c r="O5134">
        <f>IFERROR(INDEX('Company Hitlist'!$N:$N,MATCH(D5134,'Company Hitlist'!$A:$A,0)),)</f>
        <v/>
      </c>
      <c r="Q5134" t="inlineStr">
        <is>
          <t>todo</t>
        </is>
      </c>
    </row>
    <row r="5135">
      <c r="A5135" t="inlineStr">
        <is>
          <t>Vlad Arakeylan</t>
        </is>
      </c>
      <c r="B5135" t="inlineStr">
        <is>
          <t>Sponsor</t>
        </is>
      </c>
      <c r="C5135" t="inlineStr">
        <is>
          <t>GTM</t>
        </is>
      </c>
      <c r="D5135" t="inlineStr">
        <is>
          <t>arnata</t>
        </is>
      </c>
      <c r="F5135" t="inlineStr">
        <is>
          <t>Yes</t>
        </is>
      </c>
      <c r="H5135" t="n">
        <v>-6</v>
      </c>
      <c r="I5135" t="b">
        <v>0</v>
      </c>
      <c r="J5135" t="b">
        <v>0</v>
      </c>
      <c r="K5135" t="b">
        <v>0</v>
      </c>
      <c r="L5135" t="b">
        <v>0</v>
      </c>
      <c r="M5135" t="b">
        <v>1</v>
      </c>
      <c r="N5135">
        <f>IFERROR(INDEX('Company Hitlist'!$AA:$AA,MATCH(D5135,'Company Hitlist'!$A:$A,0)),)</f>
        <v/>
      </c>
      <c r="O5135">
        <f>IFERROR(INDEX('Company Hitlist'!$N:$N,MATCH(D5135,'Company Hitlist'!$A:$A,0)),)</f>
        <v/>
      </c>
      <c r="Q5135" t="inlineStr">
        <is>
          <t>todo</t>
        </is>
      </c>
    </row>
    <row r="5136">
      <c r="A5136" t="inlineStr">
        <is>
          <t>Diana Fowler</t>
        </is>
      </c>
      <c r="B5136" t="inlineStr">
        <is>
          <t>Sponsor</t>
        </is>
      </c>
      <c r="C5136" t="inlineStr">
        <is>
          <t>Senior Marketing Events Specialist</t>
        </is>
      </c>
      <c r="D5136" t="inlineStr">
        <is>
          <t>e2open - WiseTech Global Group</t>
        </is>
      </c>
      <c r="F5136" t="inlineStr">
        <is>
          <t>Yes</t>
        </is>
      </c>
      <c r="H5136" t="n">
        <v>-6</v>
      </c>
      <c r="I5136" t="b">
        <v>0</v>
      </c>
      <c r="J5136" t="b">
        <v>0</v>
      </c>
      <c r="K5136" t="b">
        <v>0</v>
      </c>
      <c r="L5136" t="b">
        <v>0</v>
      </c>
      <c r="M5136" t="b">
        <v>1</v>
      </c>
      <c r="N5136">
        <f>IFERROR(INDEX('Company Hitlist'!$AA:$AA,MATCH(D5136,'Company Hitlist'!$A:$A,0)),)</f>
        <v/>
      </c>
      <c r="O5136">
        <f>IFERROR(INDEX('Company Hitlist'!$N:$N,MATCH(D5136,'Company Hitlist'!$A:$A,0)),)</f>
        <v/>
      </c>
      <c r="Q5136" t="inlineStr">
        <is>
          <t>todo</t>
        </is>
      </c>
    </row>
    <row r="5137">
      <c r="A5137" t="inlineStr">
        <is>
          <t>Nicholas Roberts</t>
        </is>
      </c>
      <c r="B5137" t="inlineStr">
        <is>
          <t>Sponsor</t>
        </is>
      </c>
      <c r="C5137" t="inlineStr">
        <is>
          <t>Area Sales Director</t>
        </is>
      </c>
      <c r="D5137" t="inlineStr">
        <is>
          <t>e2open - WiseTech Global Group</t>
        </is>
      </c>
      <c r="E5137" t="inlineStr">
        <is>
          <t>United States</t>
        </is>
      </c>
      <c r="H5137" t="n">
        <v>-6</v>
      </c>
      <c r="I5137" t="b">
        <v>0</v>
      </c>
      <c r="J5137" t="b">
        <v>0</v>
      </c>
      <c r="K5137" t="b">
        <v>0</v>
      </c>
      <c r="L5137" t="b">
        <v>0</v>
      </c>
      <c r="M5137" t="b">
        <v>1</v>
      </c>
      <c r="N5137">
        <f>IFERROR(INDEX('Company Hitlist'!$AA:$AA,MATCH(D5137,'Company Hitlist'!$A:$A,0)),)</f>
        <v/>
      </c>
      <c r="O5137">
        <f>IFERROR(INDEX('Company Hitlist'!$N:$N,MATCH(D5137,'Company Hitlist'!$A:$A,0)),)</f>
        <v/>
      </c>
      <c r="Q5137" t="inlineStr">
        <is>
          <t>todo</t>
        </is>
      </c>
    </row>
    <row r="5138">
      <c r="A5138" t="inlineStr">
        <is>
          <t>Vas Nikolaev</t>
        </is>
      </c>
      <c r="B5138" t="inlineStr">
        <is>
          <t>Sponsor</t>
        </is>
      </c>
      <c r="C5138" t="inlineStr">
        <is>
          <t>Area Sales Director</t>
        </is>
      </c>
      <c r="D5138" t="inlineStr">
        <is>
          <t>e2open - WiseTech Global Group</t>
        </is>
      </c>
      <c r="E5138" t="inlineStr">
        <is>
          <t>United States</t>
        </is>
      </c>
      <c r="H5138" t="n">
        <v>-6</v>
      </c>
      <c r="I5138" t="b">
        <v>0</v>
      </c>
      <c r="J5138" t="b">
        <v>0</v>
      </c>
      <c r="K5138" t="b">
        <v>0</v>
      </c>
      <c r="L5138" t="b">
        <v>0</v>
      </c>
      <c r="M5138" t="b">
        <v>1</v>
      </c>
      <c r="N5138">
        <f>IFERROR(INDEX('Company Hitlist'!$AA:$AA,MATCH(D5138,'Company Hitlist'!$A:$A,0)),)</f>
        <v/>
      </c>
      <c r="O5138">
        <f>IFERROR(INDEX('Company Hitlist'!$N:$N,MATCH(D5138,'Company Hitlist'!$A:$A,0)),)</f>
        <v/>
      </c>
      <c r="Q5138" t="inlineStr">
        <is>
          <t>todo</t>
        </is>
      </c>
    </row>
    <row r="5139">
      <c r="A5139" t="inlineStr">
        <is>
          <t>Kathleen Krum</t>
        </is>
      </c>
      <c r="B5139" t="inlineStr">
        <is>
          <t>Sponsor</t>
        </is>
      </c>
      <c r="C5139" t="inlineStr">
        <is>
          <t>Director of Sales</t>
        </is>
      </c>
      <c r="D5139" t="inlineStr">
        <is>
          <t>ePost Global</t>
        </is>
      </c>
      <c r="H5139" t="n">
        <v>-6</v>
      </c>
      <c r="I5139" t="b">
        <v>0</v>
      </c>
      <c r="J5139" t="b">
        <v>0</v>
      </c>
      <c r="K5139" t="b">
        <v>0</v>
      </c>
      <c r="L5139" t="b">
        <v>0</v>
      </c>
      <c r="M5139" t="b">
        <v>1</v>
      </c>
      <c r="N5139">
        <f>IFERROR(INDEX('Company Hitlist'!$AA:$AA,MATCH(D5139,'Company Hitlist'!$A:$A,0)),)</f>
        <v/>
      </c>
      <c r="O5139">
        <f>IFERROR(INDEX('Company Hitlist'!$N:$N,MATCH(D5139,'Company Hitlist'!$A:$A,0)),)</f>
        <v/>
      </c>
      <c r="Q5139" t="inlineStr">
        <is>
          <t>todo</t>
        </is>
      </c>
    </row>
    <row r="5140">
      <c r="A5140" t="inlineStr">
        <is>
          <t>Carrie Koschnick</t>
        </is>
      </c>
      <c r="B5140" t="inlineStr">
        <is>
          <t>Sponsor</t>
        </is>
      </c>
      <c r="C5140" t="inlineStr">
        <is>
          <t>Senior Account Executive</t>
        </is>
      </c>
      <c r="D5140" t="inlineStr">
        <is>
          <t>enVista</t>
        </is>
      </c>
      <c r="E5140" t="inlineStr">
        <is>
          <t>United States</t>
        </is>
      </c>
      <c r="H5140" t="n">
        <v>-6</v>
      </c>
      <c r="I5140" t="b">
        <v>0</v>
      </c>
      <c r="J5140" t="b">
        <v>0</v>
      </c>
      <c r="K5140" t="b">
        <v>0</v>
      </c>
      <c r="L5140" t="b">
        <v>0</v>
      </c>
      <c r="M5140" t="b">
        <v>1</v>
      </c>
      <c r="N5140">
        <f>IFERROR(INDEX('Company Hitlist'!$AA:$AA,MATCH(D5140,'Company Hitlist'!$A:$A,0)),)</f>
        <v/>
      </c>
      <c r="O5140">
        <f>IFERROR(INDEX('Company Hitlist'!$N:$N,MATCH(D5140,'Company Hitlist'!$A:$A,0)),)</f>
        <v/>
      </c>
      <c r="Q5140" t="inlineStr">
        <is>
          <t>todo</t>
        </is>
      </c>
    </row>
    <row r="5141">
      <c r="A5141" t="inlineStr">
        <is>
          <t>Eli Sobecki</t>
        </is>
      </c>
      <c r="B5141" t="inlineStr">
        <is>
          <t>Sponsor</t>
        </is>
      </c>
      <c r="C5141" t="inlineStr">
        <is>
          <t>Inside Sales</t>
        </is>
      </c>
      <c r="D5141" t="inlineStr">
        <is>
          <t>myQ Enterprise</t>
        </is>
      </c>
      <c r="E5141" t="inlineStr">
        <is>
          <t>United States</t>
        </is>
      </c>
      <c r="H5141" t="n">
        <v>-6</v>
      </c>
      <c r="I5141" t="b">
        <v>0</v>
      </c>
      <c r="J5141" t="b">
        <v>0</v>
      </c>
      <c r="K5141" t="b">
        <v>0</v>
      </c>
      <c r="L5141" t="b">
        <v>0</v>
      </c>
      <c r="M5141" t="b">
        <v>1</v>
      </c>
      <c r="N5141">
        <f>IFERROR(INDEX('Company Hitlist'!$AA:$AA,MATCH(D5141,'Company Hitlist'!$A:$A,0)),)</f>
        <v/>
      </c>
      <c r="O5141">
        <f>IFERROR(INDEX('Company Hitlist'!$N:$N,MATCH(D5141,'Company Hitlist'!$A:$A,0)),)</f>
        <v/>
      </c>
      <c r="Q5141" t="inlineStr">
        <is>
          <t>todo</t>
        </is>
      </c>
    </row>
    <row r="5142">
      <c r="A5142" t="inlineStr">
        <is>
          <t>Nichole Falter</t>
        </is>
      </c>
      <c r="B5142" t="inlineStr">
        <is>
          <t>Sponsor</t>
        </is>
      </c>
      <c r="C5142" t="inlineStr">
        <is>
          <t>Sr. Business Development Rep</t>
        </is>
      </c>
      <c r="D5142" t="inlineStr">
        <is>
          <t>myQ Enterprise</t>
        </is>
      </c>
      <c r="E5142" t="inlineStr">
        <is>
          <t>United States</t>
        </is>
      </c>
      <c r="H5142" t="n">
        <v>-6</v>
      </c>
      <c r="I5142" t="b">
        <v>0</v>
      </c>
      <c r="J5142" t="b">
        <v>0</v>
      </c>
      <c r="K5142" t="b">
        <v>0</v>
      </c>
      <c r="L5142" t="b">
        <v>0</v>
      </c>
      <c r="M5142" t="b">
        <v>1</v>
      </c>
      <c r="N5142">
        <f>IFERROR(INDEX('Company Hitlist'!$AA:$AA,MATCH(D5142,'Company Hitlist'!$A:$A,0)),)</f>
        <v/>
      </c>
      <c r="O5142">
        <f>IFERROR(INDEX('Company Hitlist'!$N:$N,MATCH(D5142,'Company Hitlist'!$A:$A,0)),)</f>
        <v/>
      </c>
      <c r="Q5142" t="inlineStr">
        <is>
          <t>todo</t>
        </is>
      </c>
    </row>
    <row r="5143">
      <c r="A5143" t="inlineStr">
        <is>
          <t>Tabetha Wolfe</t>
        </is>
      </c>
      <c r="B5143" t="inlineStr">
        <is>
          <t>Sponsor</t>
        </is>
      </c>
      <c r="C5143" t="inlineStr">
        <is>
          <t>Marketing + Communications Manager</t>
        </is>
      </c>
      <c r="D5143" t="inlineStr">
        <is>
          <t>myQ Enterprise</t>
        </is>
      </c>
      <c r="E5143" t="inlineStr">
        <is>
          <t>United States</t>
        </is>
      </c>
      <c r="H5143" t="n">
        <v>-6</v>
      </c>
      <c r="I5143" t="b">
        <v>0</v>
      </c>
      <c r="J5143" t="b">
        <v>0</v>
      </c>
      <c r="K5143" t="b">
        <v>0</v>
      </c>
      <c r="L5143" t="b">
        <v>0</v>
      </c>
      <c r="M5143" t="b">
        <v>1</v>
      </c>
      <c r="N5143">
        <f>IFERROR(INDEX('Company Hitlist'!$AA:$AA,MATCH(D5143,'Company Hitlist'!$A:$A,0)),)</f>
        <v/>
      </c>
      <c r="O5143">
        <f>IFERROR(INDEX('Company Hitlist'!$N:$N,MATCH(D5143,'Company Hitlist'!$A:$A,0)),)</f>
        <v/>
      </c>
      <c r="Q5143" t="inlineStr">
        <is>
          <t>todo</t>
        </is>
      </c>
    </row>
    <row r="5144">
      <c r="A5144" t="inlineStr">
        <is>
          <t>Wesley Hall</t>
        </is>
      </c>
      <c r="B5144" t="inlineStr">
        <is>
          <t>Sponsor</t>
        </is>
      </c>
      <c r="C5144" t="inlineStr">
        <is>
          <t>Sr. Director of Sales</t>
        </is>
      </c>
      <c r="D5144" t="inlineStr">
        <is>
          <t>myQ Enterprise</t>
        </is>
      </c>
      <c r="E5144" t="inlineStr">
        <is>
          <t>United States</t>
        </is>
      </c>
      <c r="H5144" t="n">
        <v>-6</v>
      </c>
      <c r="I5144" t="b">
        <v>0</v>
      </c>
      <c r="J5144" t="b">
        <v>0</v>
      </c>
      <c r="K5144" t="b">
        <v>0</v>
      </c>
      <c r="L5144" t="b">
        <v>0</v>
      </c>
      <c r="M5144" t="b">
        <v>1</v>
      </c>
      <c r="N5144">
        <f>IFERROR(INDEX('Company Hitlist'!$AA:$AA,MATCH(D5144,'Company Hitlist'!$A:$A,0)),)</f>
        <v/>
      </c>
      <c r="O5144">
        <f>IFERROR(INDEX('Company Hitlist'!$N:$N,MATCH(D5144,'Company Hitlist'!$A:$A,0)),)</f>
        <v/>
      </c>
      <c r="Q5144" t="inlineStr">
        <is>
          <t>todo</t>
        </is>
      </c>
    </row>
    <row r="5145">
      <c r="A5145" t="inlineStr">
        <is>
          <t>Randy Gorden</t>
        </is>
      </c>
      <c r="B5145" t="inlineStr">
        <is>
          <t>Sponsor</t>
        </is>
      </c>
      <c r="C5145" t="inlineStr">
        <is>
          <t>Enterprise Sales Executive</t>
        </is>
      </c>
      <c r="D5145" t="inlineStr">
        <is>
          <t>nuVizz Inc.</t>
        </is>
      </c>
      <c r="E5145" t="inlineStr">
        <is>
          <t>United States</t>
        </is>
      </c>
      <c r="H5145" t="n">
        <v>-6</v>
      </c>
      <c r="I5145" t="b">
        <v>0</v>
      </c>
      <c r="J5145" t="b">
        <v>0</v>
      </c>
      <c r="K5145" t="b">
        <v>0</v>
      </c>
      <c r="L5145" t="b">
        <v>0</v>
      </c>
      <c r="M5145" t="b">
        <v>1</v>
      </c>
      <c r="N5145">
        <f>IFERROR(INDEX('Company Hitlist'!$AA:$AA,MATCH(D5145,'Company Hitlist'!$A:$A,0)),)</f>
        <v/>
      </c>
      <c r="O5145">
        <f>IFERROR(INDEX('Company Hitlist'!$N:$N,MATCH(D5145,'Company Hitlist'!$A:$A,0)),)</f>
        <v/>
      </c>
      <c r="Q5145" t="inlineStr">
        <is>
          <t>todo</t>
        </is>
      </c>
    </row>
    <row r="5146">
      <c r="A5146" t="inlineStr">
        <is>
          <t>Sarah Wiggins</t>
        </is>
      </c>
      <c r="B5146" t="inlineStr">
        <is>
          <t>Sponsor</t>
        </is>
      </c>
      <c r="C5146" t="inlineStr">
        <is>
          <t>Customer Success Manager</t>
        </is>
      </c>
      <c r="D5146" t="inlineStr">
        <is>
          <t>super.AI</t>
        </is>
      </c>
      <c r="E5146" t="inlineStr">
        <is>
          <t>United States</t>
        </is>
      </c>
      <c r="H5146" t="n">
        <v>-6</v>
      </c>
      <c r="I5146" t="b">
        <v>0</v>
      </c>
      <c r="J5146" t="b">
        <v>0</v>
      </c>
      <c r="K5146" t="b">
        <v>0</v>
      </c>
      <c r="L5146" t="b">
        <v>0</v>
      </c>
      <c r="M5146" t="b">
        <v>1</v>
      </c>
      <c r="N5146">
        <f>IFERROR(INDEX('Company Hitlist'!$AA:$AA,MATCH(D5146,'Company Hitlist'!$A:$A,0)),)</f>
        <v/>
      </c>
      <c r="O5146">
        <f>IFERROR(INDEX('Company Hitlist'!$N:$N,MATCH(D5146,'Company Hitlist'!$A:$A,0)),)</f>
        <v/>
      </c>
      <c r="Q5146" t="inlineStr">
        <is>
          <t>todo</t>
        </is>
      </c>
    </row>
    <row r="5147">
      <c r="A5147" t="inlineStr">
        <is>
          <t>Daniela Costa Sepúlveda</t>
        </is>
      </c>
      <c r="B5147" t="inlineStr">
        <is>
          <t>Sponsor</t>
        </is>
      </c>
      <c r="C5147" t="inlineStr">
        <is>
          <t>Marketing Manager</t>
        </is>
      </c>
      <c r="D5147" t="inlineStr">
        <is>
          <t>vaibe</t>
        </is>
      </c>
      <c r="E5147" t="inlineStr">
        <is>
          <t>Portugal</t>
        </is>
      </c>
      <c r="H5147" t="n">
        <v>-6</v>
      </c>
      <c r="I5147" t="b">
        <v>0</v>
      </c>
      <c r="J5147" t="b">
        <v>0</v>
      </c>
      <c r="K5147" t="b">
        <v>0</v>
      </c>
      <c r="L5147" t="b">
        <v>0</v>
      </c>
      <c r="M5147" t="b">
        <v>1</v>
      </c>
      <c r="N5147">
        <f>IFERROR(INDEX('Company Hitlist'!$AA:$AA,MATCH(D5147,'Company Hitlist'!$A:$A,0)),)</f>
        <v/>
      </c>
      <c r="O5147">
        <f>IFERROR(INDEX('Company Hitlist'!$N:$N,MATCH(D5147,'Company Hitlist'!$A:$A,0)),)</f>
        <v/>
      </c>
      <c r="Q5147" t="inlineStr">
        <is>
          <t>todo</t>
        </is>
      </c>
    </row>
    <row r="5148">
      <c r="A5148" t="inlineStr">
        <is>
          <t>Matt Ellis</t>
        </is>
      </c>
      <c r="B5148" t="inlineStr">
        <is>
          <t>Attendee</t>
        </is>
      </c>
      <c r="C5148" t="inlineStr">
        <is>
          <t>Director of Sales</t>
        </is>
      </c>
      <c r="D5148" t="inlineStr">
        <is>
          <t>1st Choice Freight</t>
        </is>
      </c>
      <c r="E5148" t="inlineStr">
        <is>
          <t>United States</t>
        </is>
      </c>
      <c r="H5148" t="n">
        <v>-8</v>
      </c>
      <c r="I5148" t="b">
        <v>0</v>
      </c>
      <c r="J5148" t="b">
        <v>0</v>
      </c>
      <c r="K5148" t="b">
        <v>0</v>
      </c>
      <c r="L5148" t="b">
        <v>0</v>
      </c>
      <c r="M5148" t="b">
        <v>1</v>
      </c>
      <c r="N5148">
        <f>IFERROR(INDEX('Company Hitlist'!$AA:$AA,MATCH(D5148,'Company Hitlist'!$A:$A,0)),)</f>
        <v/>
      </c>
      <c r="O5148">
        <f>IFERROR(INDEX('Company Hitlist'!$N:$N,MATCH(D5148,'Company Hitlist'!$A:$A,0)),)</f>
        <v/>
      </c>
      <c r="Q5148" t="inlineStr">
        <is>
          <t>todo</t>
        </is>
      </c>
    </row>
    <row r="5149">
      <c r="A5149" t="inlineStr">
        <is>
          <t>Michael Sternberg</t>
        </is>
      </c>
      <c r="B5149" t="inlineStr">
        <is>
          <t>Attendee</t>
        </is>
      </c>
      <c r="C5149" t="inlineStr">
        <is>
          <t>Director of Sales</t>
        </is>
      </c>
      <c r="D5149" t="inlineStr">
        <is>
          <t>3PL Systems, Inc.</t>
        </is>
      </c>
      <c r="E5149" t="inlineStr">
        <is>
          <t>United States</t>
        </is>
      </c>
      <c r="H5149" t="n">
        <v>-8</v>
      </c>
      <c r="I5149" t="b">
        <v>0</v>
      </c>
      <c r="J5149" t="b">
        <v>0</v>
      </c>
      <c r="K5149" t="b">
        <v>0</v>
      </c>
      <c r="L5149" t="b">
        <v>0</v>
      </c>
      <c r="M5149" t="b">
        <v>1</v>
      </c>
      <c r="N5149">
        <f>IFERROR(INDEX('Company Hitlist'!$AA:$AA,MATCH(D5149,'Company Hitlist'!$A:$A,0)),)</f>
        <v/>
      </c>
      <c r="O5149">
        <f>IFERROR(INDEX('Company Hitlist'!$N:$N,MATCH(D5149,'Company Hitlist'!$A:$A,0)),)</f>
        <v/>
      </c>
      <c r="Q5149" t="inlineStr">
        <is>
          <t>todo</t>
        </is>
      </c>
    </row>
    <row r="5150">
      <c r="A5150" t="inlineStr">
        <is>
          <t>ELIZABETH PARKER</t>
        </is>
      </c>
      <c r="B5150" t="inlineStr">
        <is>
          <t>Attendee</t>
        </is>
      </c>
      <c r="C5150" t="inlineStr">
        <is>
          <t>Business Development Manager</t>
        </is>
      </c>
      <c r="D5150" t="inlineStr">
        <is>
          <t>APEX LOGISTICS INC</t>
        </is>
      </c>
      <c r="E5150" t="inlineStr">
        <is>
          <t>United States</t>
        </is>
      </c>
      <c r="H5150" t="n">
        <v>-8</v>
      </c>
      <c r="I5150" t="b">
        <v>0</v>
      </c>
      <c r="J5150" t="b">
        <v>0</v>
      </c>
      <c r="K5150" t="b">
        <v>0</v>
      </c>
      <c r="L5150" t="b">
        <v>0</v>
      </c>
      <c r="M5150" t="b">
        <v>1</v>
      </c>
      <c r="N5150">
        <f>IFERROR(INDEX('Company Hitlist'!$AA:$AA,MATCH(D5150,'Company Hitlist'!$A:$A,0)),)</f>
        <v/>
      </c>
      <c r="O5150">
        <f>IFERROR(INDEX('Company Hitlist'!$N:$N,MATCH(D5150,'Company Hitlist'!$A:$A,0)),)</f>
        <v/>
      </c>
      <c r="Q5150" t="inlineStr">
        <is>
          <t>todo</t>
        </is>
      </c>
    </row>
    <row r="5151">
      <c r="A5151" t="inlineStr">
        <is>
          <t>Joe Downs</t>
        </is>
      </c>
      <c r="B5151" t="inlineStr">
        <is>
          <t>Attendee</t>
        </is>
      </c>
      <c r="C5151" t="inlineStr">
        <is>
          <t>Director, Business Development</t>
        </is>
      </c>
      <c r="D5151" t="inlineStr">
        <is>
          <t>APL Logistics</t>
        </is>
      </c>
      <c r="E5151" t="inlineStr">
        <is>
          <t>United States</t>
        </is>
      </c>
      <c r="H5151" t="n">
        <v>-8</v>
      </c>
      <c r="I5151" t="b">
        <v>0</v>
      </c>
      <c r="J5151" t="b">
        <v>0</v>
      </c>
      <c r="K5151" t="b">
        <v>0</v>
      </c>
      <c r="L5151" t="b">
        <v>0</v>
      </c>
      <c r="M5151" t="b">
        <v>1</v>
      </c>
      <c r="N5151">
        <f>IFERROR(INDEX('Company Hitlist'!$AA:$AA,MATCH(D5151,'Company Hitlist'!$A:$A,0)),)</f>
        <v/>
      </c>
      <c r="O5151">
        <f>IFERROR(INDEX('Company Hitlist'!$N:$N,MATCH(D5151,'Company Hitlist'!$A:$A,0)),)</f>
        <v/>
      </c>
      <c r="Q5151" t="inlineStr">
        <is>
          <t>todo</t>
        </is>
      </c>
    </row>
    <row r="5152">
      <c r="A5152" t="inlineStr">
        <is>
          <t>Matt Klahn</t>
        </is>
      </c>
      <c r="B5152" t="inlineStr">
        <is>
          <t>Attendee</t>
        </is>
      </c>
      <c r="C5152" t="inlineStr">
        <is>
          <t>Sr. Advisor, Business Development</t>
        </is>
      </c>
      <c r="D5152" t="inlineStr">
        <is>
          <t>APL Logistics</t>
        </is>
      </c>
      <c r="E5152" t="inlineStr">
        <is>
          <t>United States</t>
        </is>
      </c>
      <c r="H5152" t="n">
        <v>-8</v>
      </c>
      <c r="I5152" t="b">
        <v>0</v>
      </c>
      <c r="J5152" t="b">
        <v>0</v>
      </c>
      <c r="K5152" t="b">
        <v>0</v>
      </c>
      <c r="L5152" t="b">
        <v>0</v>
      </c>
      <c r="M5152" t="b">
        <v>1</v>
      </c>
      <c r="N5152">
        <f>IFERROR(INDEX('Company Hitlist'!$AA:$AA,MATCH(D5152,'Company Hitlist'!$A:$A,0)),)</f>
        <v/>
      </c>
      <c r="O5152">
        <f>IFERROR(INDEX('Company Hitlist'!$N:$N,MATCH(D5152,'Company Hitlist'!$A:$A,0)),)</f>
        <v/>
      </c>
      <c r="Q5152" t="inlineStr">
        <is>
          <t>todo</t>
        </is>
      </c>
    </row>
    <row r="5153">
      <c r="A5153" t="inlineStr">
        <is>
          <t>Kyle Davidsen</t>
        </is>
      </c>
      <c r="B5153" t="inlineStr">
        <is>
          <t>Attendee</t>
        </is>
      </c>
      <c r="C5153" t="inlineStr">
        <is>
          <t>Director, Business Development</t>
        </is>
      </c>
      <c r="D5153" t="inlineStr">
        <is>
          <t>ARCO Design Build</t>
        </is>
      </c>
      <c r="E5153" t="inlineStr">
        <is>
          <t>United States</t>
        </is>
      </c>
      <c r="H5153" t="n">
        <v>-8</v>
      </c>
      <c r="I5153" t="b">
        <v>0</v>
      </c>
      <c r="J5153" t="b">
        <v>0</v>
      </c>
      <c r="K5153" t="b">
        <v>0</v>
      </c>
      <c r="L5153" t="b">
        <v>0</v>
      </c>
      <c r="M5153" t="b">
        <v>1</v>
      </c>
      <c r="N5153">
        <f>IFERROR(INDEX('Company Hitlist'!$AA:$AA,MATCH(D5153,'Company Hitlist'!$A:$A,0)),)</f>
        <v/>
      </c>
      <c r="O5153">
        <f>IFERROR(INDEX('Company Hitlist'!$N:$N,MATCH(D5153,'Company Hitlist'!$A:$A,0)),)</f>
        <v/>
      </c>
      <c r="Q5153" t="inlineStr">
        <is>
          <t>todo</t>
        </is>
      </c>
    </row>
    <row r="5154">
      <c r="A5154" t="inlineStr">
        <is>
          <t>Ina Lamparello</t>
        </is>
      </c>
      <c r="B5154" t="inlineStr">
        <is>
          <t>Attendee</t>
        </is>
      </c>
      <c r="C5154" t="inlineStr">
        <is>
          <t>Director of Business Development</t>
        </is>
      </c>
      <c r="D5154" t="inlineStr">
        <is>
          <t>ARCO Design/Build</t>
        </is>
      </c>
      <c r="E5154" t="inlineStr">
        <is>
          <t>United States</t>
        </is>
      </c>
      <c r="H5154" t="n">
        <v>-8</v>
      </c>
      <c r="I5154" t="b">
        <v>0</v>
      </c>
      <c r="J5154" t="b">
        <v>0</v>
      </c>
      <c r="K5154" t="b">
        <v>0</v>
      </c>
      <c r="L5154" t="b">
        <v>0</v>
      </c>
      <c r="M5154" t="b">
        <v>1</v>
      </c>
      <c r="N5154">
        <f>IFERROR(INDEX('Company Hitlist'!$AA:$AA,MATCH(D5154,'Company Hitlist'!$A:$A,0)),)</f>
        <v/>
      </c>
      <c r="O5154">
        <f>IFERROR(INDEX('Company Hitlist'!$N:$N,MATCH(D5154,'Company Hitlist'!$A:$A,0)),)</f>
        <v/>
      </c>
      <c r="Q5154" t="inlineStr">
        <is>
          <t>todo</t>
        </is>
      </c>
    </row>
    <row r="5155">
      <c r="A5155" t="inlineStr">
        <is>
          <t>Sandra Vogel</t>
        </is>
      </c>
      <c r="B5155" t="inlineStr">
        <is>
          <t>Attendee</t>
        </is>
      </c>
      <c r="C5155" t="inlineStr">
        <is>
          <t>Business Development Manager</t>
        </is>
      </c>
      <c r="D5155" t="inlineStr">
        <is>
          <t>AWL Automation</t>
        </is>
      </c>
      <c r="E5155" t="inlineStr">
        <is>
          <t>United States</t>
        </is>
      </c>
      <c r="H5155" t="n">
        <v>-8</v>
      </c>
      <c r="I5155" t="b">
        <v>0</v>
      </c>
      <c r="J5155" t="b">
        <v>0</v>
      </c>
      <c r="K5155" t="b">
        <v>0</v>
      </c>
      <c r="L5155" t="b">
        <v>0</v>
      </c>
      <c r="M5155" t="b">
        <v>1</v>
      </c>
      <c r="N5155">
        <f>IFERROR(INDEX('Company Hitlist'!$AA:$AA,MATCH(D5155,'Company Hitlist'!$A:$A,0)),)</f>
        <v/>
      </c>
      <c r="O5155">
        <f>IFERROR(INDEX('Company Hitlist'!$N:$N,MATCH(D5155,'Company Hitlist'!$A:$A,0)),)</f>
        <v/>
      </c>
      <c r="Q5155" t="inlineStr">
        <is>
          <t>todo</t>
        </is>
      </c>
    </row>
    <row r="5156">
      <c r="A5156" t="inlineStr">
        <is>
          <t>James Lee</t>
        </is>
      </c>
      <c r="B5156" t="inlineStr">
        <is>
          <t>Attendee</t>
        </is>
      </c>
      <c r="C5156" t="inlineStr">
        <is>
          <t>Director of Sales</t>
        </is>
      </c>
      <c r="D5156" t="inlineStr">
        <is>
          <t>Acme Distribution</t>
        </is>
      </c>
      <c r="E5156" t="inlineStr">
        <is>
          <t>United States</t>
        </is>
      </c>
      <c r="H5156" t="n">
        <v>-8</v>
      </c>
      <c r="I5156" t="b">
        <v>0</v>
      </c>
      <c r="J5156" t="b">
        <v>0</v>
      </c>
      <c r="K5156" t="b">
        <v>0</v>
      </c>
      <c r="L5156" t="b">
        <v>0</v>
      </c>
      <c r="M5156" t="b">
        <v>1</v>
      </c>
      <c r="N5156">
        <f>IFERROR(INDEX('Company Hitlist'!$AA:$AA,MATCH(D5156,'Company Hitlist'!$A:$A,0)),)</f>
        <v/>
      </c>
      <c r="O5156">
        <f>IFERROR(INDEX('Company Hitlist'!$N:$N,MATCH(D5156,'Company Hitlist'!$A:$A,0)),)</f>
        <v/>
      </c>
      <c r="Q5156" t="inlineStr">
        <is>
          <t>todo</t>
        </is>
      </c>
    </row>
    <row r="5157">
      <c r="A5157" t="inlineStr">
        <is>
          <t>Jose Dorado</t>
        </is>
      </c>
      <c r="B5157" t="inlineStr">
        <is>
          <t>Attendee</t>
        </is>
      </c>
      <c r="C5157" t="inlineStr">
        <is>
          <t>Sales</t>
        </is>
      </c>
      <c r="D5157" t="inlineStr">
        <is>
          <t>Acme Distribution Centers</t>
        </is>
      </c>
      <c r="E5157" t="inlineStr">
        <is>
          <t>United States</t>
        </is>
      </c>
      <c r="H5157" t="n">
        <v>-8</v>
      </c>
      <c r="I5157" t="b">
        <v>0</v>
      </c>
      <c r="J5157" t="b">
        <v>0</v>
      </c>
      <c r="K5157" t="b">
        <v>0</v>
      </c>
      <c r="L5157" t="b">
        <v>0</v>
      </c>
      <c r="M5157" t="b">
        <v>1</v>
      </c>
      <c r="N5157">
        <f>IFERROR(INDEX('Company Hitlist'!$AA:$AA,MATCH(D5157,'Company Hitlist'!$A:$A,0)),)</f>
        <v/>
      </c>
      <c r="O5157">
        <f>IFERROR(INDEX('Company Hitlist'!$N:$N,MATCH(D5157,'Company Hitlist'!$A:$A,0)),)</f>
        <v/>
      </c>
      <c r="Q5157" t="inlineStr">
        <is>
          <t>todo</t>
        </is>
      </c>
    </row>
    <row r="5158">
      <c r="A5158" t="inlineStr">
        <is>
          <t>Shane McBride</t>
        </is>
      </c>
      <c r="B5158" t="inlineStr">
        <is>
          <t>Attendee</t>
        </is>
      </c>
      <c r="C5158" t="inlineStr">
        <is>
          <t>Business Development Manager</t>
        </is>
      </c>
      <c r="D5158" t="inlineStr">
        <is>
          <t>Affiliated Warehouse Companies</t>
        </is>
      </c>
      <c r="E5158" t="inlineStr">
        <is>
          <t>United States</t>
        </is>
      </c>
      <c r="H5158" t="n">
        <v>-8</v>
      </c>
      <c r="I5158" t="b">
        <v>0</v>
      </c>
      <c r="J5158" t="b">
        <v>0</v>
      </c>
      <c r="K5158" t="b">
        <v>0</v>
      </c>
      <c r="L5158" t="b">
        <v>0</v>
      </c>
      <c r="M5158" t="b">
        <v>1</v>
      </c>
      <c r="N5158">
        <f>IFERROR(INDEX('Company Hitlist'!$AA:$AA,MATCH(D5158,'Company Hitlist'!$A:$A,0)),)</f>
        <v/>
      </c>
      <c r="O5158">
        <f>IFERROR(INDEX('Company Hitlist'!$N:$N,MATCH(D5158,'Company Hitlist'!$A:$A,0)),)</f>
        <v/>
      </c>
      <c r="Q5158" t="inlineStr">
        <is>
          <t>todo</t>
        </is>
      </c>
    </row>
    <row r="5159">
      <c r="A5159" t="inlineStr">
        <is>
          <t>Michael Sweret</t>
        </is>
      </c>
      <c r="B5159" t="inlineStr">
        <is>
          <t>Attendee</t>
        </is>
      </c>
      <c r="C5159" t="inlineStr">
        <is>
          <t>AWS Strategy and Business Development</t>
        </is>
      </c>
      <c r="D5159" t="inlineStr">
        <is>
          <t>Amazon Web Services</t>
        </is>
      </c>
      <c r="E5159" t="inlineStr">
        <is>
          <t>United States</t>
        </is>
      </c>
      <c r="H5159" t="n">
        <v>-8</v>
      </c>
      <c r="I5159" t="b">
        <v>0</v>
      </c>
      <c r="J5159" t="b">
        <v>0</v>
      </c>
      <c r="K5159" t="b">
        <v>0</v>
      </c>
      <c r="L5159" t="b">
        <v>0</v>
      </c>
      <c r="M5159" t="b">
        <v>1</v>
      </c>
      <c r="N5159">
        <f>IFERROR(INDEX('Company Hitlist'!$AA:$AA,MATCH(D5159,'Company Hitlist'!$A:$A,0)),)</f>
        <v/>
      </c>
      <c r="O5159">
        <f>IFERROR(INDEX('Company Hitlist'!$N:$N,MATCH(D5159,'Company Hitlist'!$A:$A,0)),)</f>
        <v/>
      </c>
      <c r="Q5159" t="inlineStr">
        <is>
          <t>todo</t>
        </is>
      </c>
    </row>
    <row r="5160">
      <c r="A5160" t="inlineStr">
        <is>
          <t>Bo Pamplin</t>
        </is>
      </c>
      <c r="B5160" t="inlineStr">
        <is>
          <t>Attendee</t>
        </is>
      </c>
      <c r="C5160" t="inlineStr">
        <is>
          <t>Sales Manager</t>
        </is>
      </c>
      <c r="D5160" t="inlineStr">
        <is>
          <t>American Lumper Services</t>
        </is>
      </c>
      <c r="E5160" t="inlineStr">
        <is>
          <t>United States</t>
        </is>
      </c>
      <c r="H5160" t="n">
        <v>-8</v>
      </c>
      <c r="I5160" t="b">
        <v>0</v>
      </c>
      <c r="J5160" t="b">
        <v>0</v>
      </c>
      <c r="K5160" t="b">
        <v>0</v>
      </c>
      <c r="L5160" t="b">
        <v>0</v>
      </c>
      <c r="M5160" t="b">
        <v>1</v>
      </c>
      <c r="N5160">
        <f>IFERROR(INDEX('Company Hitlist'!$AA:$AA,MATCH(D5160,'Company Hitlist'!$A:$A,0)),)</f>
        <v/>
      </c>
      <c r="O5160">
        <f>IFERROR(INDEX('Company Hitlist'!$N:$N,MATCH(D5160,'Company Hitlist'!$A:$A,0)),)</f>
        <v/>
      </c>
      <c r="Q5160" t="inlineStr">
        <is>
          <t>todo</t>
        </is>
      </c>
    </row>
    <row r="5161">
      <c r="A5161" t="inlineStr">
        <is>
          <t>Brad Thompson</t>
        </is>
      </c>
      <c r="B5161" t="inlineStr">
        <is>
          <t>Attendee</t>
        </is>
      </c>
      <c r="C5161" t="inlineStr">
        <is>
          <t>Sales &amp; Marketing Director</t>
        </is>
      </c>
      <c r="D5161" t="inlineStr">
        <is>
          <t>Amplex Corporation</t>
        </is>
      </c>
      <c r="E5161" t="inlineStr">
        <is>
          <t>United States</t>
        </is>
      </c>
      <c r="H5161" t="n">
        <v>-8</v>
      </c>
      <c r="I5161" t="b">
        <v>0</v>
      </c>
      <c r="J5161" t="b">
        <v>0</v>
      </c>
      <c r="K5161" t="b">
        <v>0</v>
      </c>
      <c r="L5161" t="b">
        <v>0</v>
      </c>
      <c r="M5161" t="b">
        <v>1</v>
      </c>
      <c r="N5161">
        <f>IFERROR(INDEX('Company Hitlist'!$AA:$AA,MATCH(D5161,'Company Hitlist'!$A:$A,0)),)</f>
        <v/>
      </c>
      <c r="O5161">
        <f>IFERROR(INDEX('Company Hitlist'!$N:$N,MATCH(D5161,'Company Hitlist'!$A:$A,0)),)</f>
        <v/>
      </c>
      <c r="Q5161" t="inlineStr">
        <is>
          <t>todo</t>
        </is>
      </c>
    </row>
    <row r="5162">
      <c r="A5162" t="inlineStr">
        <is>
          <t>Adam Sneed</t>
        </is>
      </c>
      <c r="B5162" t="inlineStr">
        <is>
          <t>Attendee</t>
        </is>
      </c>
      <c r="C5162" t="inlineStr">
        <is>
          <t>Director of Sales</t>
        </is>
      </c>
      <c r="D5162" t="inlineStr">
        <is>
          <t>Argents</t>
        </is>
      </c>
      <c r="E5162" t="inlineStr">
        <is>
          <t>United States</t>
        </is>
      </c>
      <c r="H5162" t="n">
        <v>-8</v>
      </c>
      <c r="I5162" t="b">
        <v>0</v>
      </c>
      <c r="J5162" t="b">
        <v>0</v>
      </c>
      <c r="K5162" t="b">
        <v>0</v>
      </c>
      <c r="L5162" t="b">
        <v>0</v>
      </c>
      <c r="M5162" t="b">
        <v>1</v>
      </c>
      <c r="N5162">
        <f>IFERROR(INDEX('Company Hitlist'!$AA:$AA,MATCH(D5162,'Company Hitlist'!$A:$A,0)),)</f>
        <v/>
      </c>
      <c r="O5162">
        <f>IFERROR(INDEX('Company Hitlist'!$N:$N,MATCH(D5162,'Company Hitlist'!$A:$A,0)),)</f>
        <v/>
      </c>
      <c r="Q5162" t="inlineStr">
        <is>
          <t>todo</t>
        </is>
      </c>
    </row>
    <row r="5163">
      <c r="A5163" t="inlineStr">
        <is>
          <t>Marino Gasbarro</t>
        </is>
      </c>
      <c r="B5163" t="inlineStr">
        <is>
          <t>Attendee</t>
        </is>
      </c>
      <c r="C5163" t="inlineStr">
        <is>
          <t>Business Development Manager</t>
        </is>
      </c>
      <c r="D5163" t="inlineStr">
        <is>
          <t>Armada Talent Group</t>
        </is>
      </c>
      <c r="E5163" t="inlineStr">
        <is>
          <t>United States</t>
        </is>
      </c>
      <c r="H5163" t="n">
        <v>-8</v>
      </c>
      <c r="I5163" t="b">
        <v>0</v>
      </c>
      <c r="J5163" t="b">
        <v>0</v>
      </c>
      <c r="K5163" t="b">
        <v>0</v>
      </c>
      <c r="L5163" t="b">
        <v>0</v>
      </c>
      <c r="M5163" t="b">
        <v>1</v>
      </c>
      <c r="N5163">
        <f>IFERROR(INDEX('Company Hitlist'!$AA:$AA,MATCH(D5163,'Company Hitlist'!$A:$A,0)),)</f>
        <v/>
      </c>
      <c r="O5163">
        <f>IFERROR(INDEX('Company Hitlist'!$N:$N,MATCH(D5163,'Company Hitlist'!$A:$A,0)),)</f>
        <v/>
      </c>
      <c r="Q5163" t="inlineStr">
        <is>
          <t>todo</t>
        </is>
      </c>
    </row>
    <row r="5164">
      <c r="A5164" t="inlineStr">
        <is>
          <t>Brock Lavins</t>
        </is>
      </c>
      <c r="B5164" t="inlineStr">
        <is>
          <t>Attendee</t>
        </is>
      </c>
      <c r="C5164" t="inlineStr">
        <is>
          <t>Sr Account Executive</t>
        </is>
      </c>
      <c r="D5164" t="inlineStr">
        <is>
          <t>Associated Logistics Group</t>
        </is>
      </c>
      <c r="E5164" t="inlineStr">
        <is>
          <t>United States</t>
        </is>
      </c>
      <c r="H5164" t="n">
        <v>-8</v>
      </c>
      <c r="I5164" t="b">
        <v>0</v>
      </c>
      <c r="J5164" t="b">
        <v>0</v>
      </c>
      <c r="K5164" t="b">
        <v>0</v>
      </c>
      <c r="L5164" t="b">
        <v>0</v>
      </c>
      <c r="M5164" t="b">
        <v>1</v>
      </c>
      <c r="N5164">
        <f>IFERROR(INDEX('Company Hitlist'!$AA:$AA,MATCH(D5164,'Company Hitlist'!$A:$A,0)),)</f>
        <v/>
      </c>
      <c r="O5164">
        <f>IFERROR(INDEX('Company Hitlist'!$N:$N,MATCH(D5164,'Company Hitlist'!$A:$A,0)),)</f>
        <v/>
      </c>
      <c r="Q5164" t="inlineStr">
        <is>
          <t>todo</t>
        </is>
      </c>
    </row>
    <row r="5165">
      <c r="A5165" t="inlineStr">
        <is>
          <t>Travis Maciej</t>
        </is>
      </c>
      <c r="B5165" t="inlineStr">
        <is>
          <t>Attendee</t>
        </is>
      </c>
      <c r="C5165" t="inlineStr">
        <is>
          <t>Sr Account Executive</t>
        </is>
      </c>
      <c r="D5165" t="inlineStr">
        <is>
          <t>Associated Logistics Group</t>
        </is>
      </c>
      <c r="E5165" t="inlineStr">
        <is>
          <t>United States</t>
        </is>
      </c>
      <c r="H5165" t="n">
        <v>-8</v>
      </c>
      <c r="I5165" t="b">
        <v>0</v>
      </c>
      <c r="J5165" t="b">
        <v>0</v>
      </c>
      <c r="K5165" t="b">
        <v>0</v>
      </c>
      <c r="L5165" t="b">
        <v>0</v>
      </c>
      <c r="M5165" t="b">
        <v>1</v>
      </c>
      <c r="N5165">
        <f>IFERROR(INDEX('Company Hitlist'!$AA:$AA,MATCH(D5165,'Company Hitlist'!$A:$A,0)),)</f>
        <v/>
      </c>
      <c r="O5165">
        <f>IFERROR(INDEX('Company Hitlist'!$N:$N,MATCH(D5165,'Company Hitlist'!$A:$A,0)),)</f>
        <v/>
      </c>
      <c r="Q5165" t="inlineStr">
        <is>
          <t>todo</t>
        </is>
      </c>
    </row>
    <row r="5166">
      <c r="A5166" t="inlineStr">
        <is>
          <t>Mike Stone</t>
        </is>
      </c>
      <c r="B5166" t="inlineStr">
        <is>
          <t>Attendee</t>
        </is>
      </c>
      <c r="C5166" t="inlineStr">
        <is>
          <t>US Sales manager</t>
        </is>
      </c>
      <c r="D5166" t="inlineStr">
        <is>
          <t>Asygn Inc</t>
        </is>
      </c>
      <c r="E5166" t="inlineStr">
        <is>
          <t>United States</t>
        </is>
      </c>
      <c r="H5166" t="n">
        <v>-8</v>
      </c>
      <c r="I5166" t="b">
        <v>0</v>
      </c>
      <c r="J5166" t="b">
        <v>0</v>
      </c>
      <c r="K5166" t="b">
        <v>0</v>
      </c>
      <c r="L5166" t="b">
        <v>0</v>
      </c>
      <c r="M5166" t="b">
        <v>1</v>
      </c>
      <c r="N5166">
        <f>IFERROR(INDEX('Company Hitlist'!$AA:$AA,MATCH(D5166,'Company Hitlist'!$A:$A,0)),)</f>
        <v/>
      </c>
      <c r="O5166">
        <f>IFERROR(INDEX('Company Hitlist'!$N:$N,MATCH(D5166,'Company Hitlist'!$A:$A,0)),)</f>
        <v/>
      </c>
      <c r="Q5166" t="inlineStr">
        <is>
          <t>todo</t>
        </is>
      </c>
    </row>
    <row r="5167">
      <c r="A5167" t="inlineStr">
        <is>
          <t>Haley Winer</t>
        </is>
      </c>
      <c r="B5167" t="inlineStr">
        <is>
          <t>Attendee</t>
        </is>
      </c>
      <c r="C5167" t="inlineStr">
        <is>
          <t>Customer Success Lead</t>
        </is>
      </c>
      <c r="D5167" t="inlineStr">
        <is>
          <t>Augment</t>
        </is>
      </c>
      <c r="E5167" t="inlineStr">
        <is>
          <t>United States</t>
        </is>
      </c>
      <c r="F5167" t="inlineStr">
        <is>
          <t>Yes</t>
        </is>
      </c>
      <c r="H5167" t="n">
        <v>-8</v>
      </c>
      <c r="I5167" t="b">
        <v>0</v>
      </c>
      <c r="J5167" t="b">
        <v>0</v>
      </c>
      <c r="K5167" t="b">
        <v>0</v>
      </c>
      <c r="L5167" t="b">
        <v>0</v>
      </c>
      <c r="M5167" t="b">
        <v>1</v>
      </c>
      <c r="N5167">
        <f>IFERROR(INDEX('Company Hitlist'!$AA:$AA,MATCH(D5167,'Company Hitlist'!$A:$A,0)),)</f>
        <v/>
      </c>
      <c r="O5167">
        <f>IFERROR(INDEX('Company Hitlist'!$N:$N,MATCH(D5167,'Company Hitlist'!$A:$A,0)),)</f>
        <v/>
      </c>
      <c r="Q5167" t="inlineStr">
        <is>
          <t>todo</t>
        </is>
      </c>
    </row>
    <row r="5168">
      <c r="A5168" t="inlineStr">
        <is>
          <t>Ali Geralch</t>
        </is>
      </c>
      <c r="B5168" t="inlineStr">
        <is>
          <t>Attendee</t>
        </is>
      </c>
      <c r="C5168" t="inlineStr">
        <is>
          <t>Customer Success Manager</t>
        </is>
      </c>
      <c r="D5168" t="inlineStr">
        <is>
          <t>Augment</t>
        </is>
      </c>
      <c r="E5168" t="inlineStr">
        <is>
          <t>United States</t>
        </is>
      </c>
      <c r="H5168" t="n">
        <v>-8</v>
      </c>
      <c r="I5168" t="b">
        <v>0</v>
      </c>
      <c r="J5168" t="b">
        <v>0</v>
      </c>
      <c r="K5168" t="b">
        <v>0</v>
      </c>
      <c r="L5168" t="b">
        <v>0</v>
      </c>
      <c r="M5168" t="b">
        <v>1</v>
      </c>
      <c r="N5168">
        <f>IFERROR(INDEX('Company Hitlist'!$AA:$AA,MATCH(D5168,'Company Hitlist'!$A:$A,0)),)</f>
        <v/>
      </c>
      <c r="O5168">
        <f>IFERROR(INDEX('Company Hitlist'!$N:$N,MATCH(D5168,'Company Hitlist'!$A:$A,0)),)</f>
        <v/>
      </c>
      <c r="Q5168" t="inlineStr">
        <is>
          <t>todo</t>
        </is>
      </c>
    </row>
    <row r="5169">
      <c r="A5169" t="inlineStr">
        <is>
          <t>Jane Shaughnessy</t>
        </is>
      </c>
      <c r="B5169" t="inlineStr">
        <is>
          <t>Attendee</t>
        </is>
      </c>
      <c r="C5169" t="inlineStr">
        <is>
          <t>Field and Events Marketing Manager</t>
        </is>
      </c>
      <c r="D5169" t="inlineStr">
        <is>
          <t>Augment</t>
        </is>
      </c>
      <c r="E5169" t="inlineStr">
        <is>
          <t>United States</t>
        </is>
      </c>
      <c r="H5169" t="n">
        <v>-8</v>
      </c>
      <c r="I5169" t="b">
        <v>0</v>
      </c>
      <c r="J5169" t="b">
        <v>0</v>
      </c>
      <c r="K5169" t="b">
        <v>0</v>
      </c>
      <c r="L5169" t="b">
        <v>0</v>
      </c>
      <c r="M5169" t="b">
        <v>1</v>
      </c>
      <c r="N5169">
        <f>IFERROR(INDEX('Company Hitlist'!$AA:$AA,MATCH(D5169,'Company Hitlist'!$A:$A,0)),)</f>
        <v/>
      </c>
      <c r="O5169">
        <f>IFERROR(INDEX('Company Hitlist'!$N:$N,MATCH(D5169,'Company Hitlist'!$A:$A,0)),)</f>
        <v/>
      </c>
      <c r="Q5169" t="inlineStr">
        <is>
          <t>todo</t>
        </is>
      </c>
    </row>
    <row r="5170">
      <c r="A5170" t="inlineStr">
        <is>
          <t>Andy Jackson</t>
        </is>
      </c>
      <c r="B5170" t="inlineStr">
        <is>
          <t>Attendee</t>
        </is>
      </c>
      <c r="C5170" t="inlineStr">
        <is>
          <t>Enterprise Account Executive</t>
        </is>
      </c>
      <c r="D5170" t="inlineStr">
        <is>
          <t>AutoStore</t>
        </is>
      </c>
      <c r="E5170" t="inlineStr">
        <is>
          <t>United States</t>
        </is>
      </c>
      <c r="H5170" t="n">
        <v>-8</v>
      </c>
      <c r="I5170" t="b">
        <v>0</v>
      </c>
      <c r="J5170" t="b">
        <v>0</v>
      </c>
      <c r="K5170" t="b">
        <v>0</v>
      </c>
      <c r="L5170" t="b">
        <v>0</v>
      </c>
      <c r="M5170" t="b">
        <v>1</v>
      </c>
      <c r="N5170">
        <f>IFERROR(INDEX('Company Hitlist'!$AA:$AA,MATCH(D5170,'Company Hitlist'!$A:$A,0)),)</f>
        <v/>
      </c>
      <c r="O5170">
        <f>IFERROR(INDEX('Company Hitlist'!$N:$N,MATCH(D5170,'Company Hitlist'!$A:$A,0)),)</f>
        <v/>
      </c>
      <c r="Q5170" t="inlineStr">
        <is>
          <t>todo</t>
        </is>
      </c>
    </row>
    <row r="5171">
      <c r="A5171" t="inlineStr">
        <is>
          <t>David Jeziorski</t>
        </is>
      </c>
      <c r="B5171" t="inlineStr">
        <is>
          <t>Attendee</t>
        </is>
      </c>
      <c r="C5171" t="inlineStr">
        <is>
          <t>Enterprise Account Executive</t>
        </is>
      </c>
      <c r="D5171" t="inlineStr">
        <is>
          <t>AutoStore</t>
        </is>
      </c>
      <c r="E5171" t="inlineStr">
        <is>
          <t>United States</t>
        </is>
      </c>
      <c r="H5171" t="n">
        <v>-8</v>
      </c>
      <c r="I5171" t="b">
        <v>0</v>
      </c>
      <c r="J5171" t="b">
        <v>0</v>
      </c>
      <c r="K5171" t="b">
        <v>0</v>
      </c>
      <c r="L5171" t="b">
        <v>0</v>
      </c>
      <c r="M5171" t="b">
        <v>1</v>
      </c>
      <c r="N5171">
        <f>IFERROR(INDEX('Company Hitlist'!$AA:$AA,MATCH(D5171,'Company Hitlist'!$A:$A,0)),)</f>
        <v/>
      </c>
      <c r="O5171">
        <f>IFERROR(INDEX('Company Hitlist'!$N:$N,MATCH(D5171,'Company Hitlist'!$A:$A,0)),)</f>
        <v/>
      </c>
      <c r="Q5171" t="inlineStr">
        <is>
          <t>todo</t>
        </is>
      </c>
    </row>
    <row r="5172">
      <c r="A5172" t="inlineStr">
        <is>
          <t>MARELY BERENGUEL</t>
        </is>
      </c>
      <c r="B5172" t="inlineStr">
        <is>
          <t>Attendee</t>
        </is>
      </c>
      <c r="C5172" t="inlineStr">
        <is>
          <t>MARKETING MANAGER</t>
        </is>
      </c>
      <c r="D5172" t="inlineStr">
        <is>
          <t>BAS Agente de Seguros y Fianzas</t>
        </is>
      </c>
      <c r="H5172" t="n">
        <v>-8</v>
      </c>
      <c r="I5172" t="b">
        <v>0</v>
      </c>
      <c r="J5172" t="b">
        <v>0</v>
      </c>
      <c r="K5172" t="b">
        <v>0</v>
      </c>
      <c r="L5172" t="b">
        <v>0</v>
      </c>
      <c r="M5172" t="b">
        <v>1</v>
      </c>
      <c r="N5172">
        <f>IFERROR(INDEX('Company Hitlist'!$AA:$AA,MATCH(D5172,'Company Hitlist'!$A:$A,0)),)</f>
        <v/>
      </c>
      <c r="O5172">
        <f>IFERROR(INDEX('Company Hitlist'!$N:$N,MATCH(D5172,'Company Hitlist'!$A:$A,0)),)</f>
        <v/>
      </c>
      <c r="Q5172" t="inlineStr">
        <is>
          <t>todo</t>
        </is>
      </c>
    </row>
    <row r="5173">
      <c r="A5173" t="inlineStr">
        <is>
          <t>KATHERINE WROTH</t>
        </is>
      </c>
      <c r="B5173" t="inlineStr">
        <is>
          <t>Attendee</t>
        </is>
      </c>
      <c r="C5173" t="inlineStr">
        <is>
          <t>Marketing Manager</t>
        </is>
      </c>
      <c r="D5173" t="inlineStr">
        <is>
          <t>Barrett Distribution</t>
        </is>
      </c>
      <c r="E5173" t="inlineStr">
        <is>
          <t>United States</t>
        </is>
      </c>
      <c r="H5173" t="n">
        <v>-8</v>
      </c>
      <c r="I5173" t="b">
        <v>0</v>
      </c>
      <c r="J5173" t="b">
        <v>0</v>
      </c>
      <c r="K5173" t="b">
        <v>0</v>
      </c>
      <c r="L5173" t="b">
        <v>0</v>
      </c>
      <c r="M5173" t="b">
        <v>1</v>
      </c>
      <c r="N5173">
        <f>IFERROR(INDEX('Company Hitlist'!$AA:$AA,MATCH(D5173,'Company Hitlist'!$A:$A,0)),)</f>
        <v/>
      </c>
      <c r="O5173">
        <f>IFERROR(INDEX('Company Hitlist'!$N:$N,MATCH(D5173,'Company Hitlist'!$A:$A,0)),)</f>
        <v/>
      </c>
      <c r="Q5173" t="inlineStr">
        <is>
          <t>todo</t>
        </is>
      </c>
    </row>
    <row r="5174">
      <c r="A5174" t="inlineStr">
        <is>
          <t>Sharm Chelliah</t>
        </is>
      </c>
      <c r="B5174" t="inlineStr">
        <is>
          <t>Attendee</t>
        </is>
      </c>
      <c r="C5174" t="inlineStr">
        <is>
          <t>Enterprise Sales Executive</t>
        </is>
      </c>
      <c r="D5174" t="inlineStr">
        <is>
          <t>Bitfreighter</t>
        </is>
      </c>
      <c r="E5174" t="inlineStr">
        <is>
          <t>United States</t>
        </is>
      </c>
      <c r="H5174" t="n">
        <v>-8</v>
      </c>
      <c r="I5174" t="b">
        <v>0</v>
      </c>
      <c r="J5174" t="b">
        <v>0</v>
      </c>
      <c r="K5174" t="b">
        <v>0</v>
      </c>
      <c r="L5174" t="b">
        <v>0</v>
      </c>
      <c r="M5174" t="b">
        <v>1</v>
      </c>
      <c r="N5174">
        <f>IFERROR(INDEX('Company Hitlist'!$AA:$AA,MATCH(D5174,'Company Hitlist'!$A:$A,0)),)</f>
        <v/>
      </c>
      <c r="O5174">
        <f>IFERROR(INDEX('Company Hitlist'!$N:$N,MATCH(D5174,'Company Hitlist'!$A:$A,0)),)</f>
        <v/>
      </c>
      <c r="Q5174" t="inlineStr">
        <is>
          <t>todo</t>
        </is>
      </c>
    </row>
    <row r="5175">
      <c r="A5175" t="inlineStr">
        <is>
          <t>Robert Kiewik</t>
        </is>
      </c>
      <c r="B5175" t="inlineStr">
        <is>
          <t>Attendee</t>
        </is>
      </c>
      <c r="C5175" t="inlineStr">
        <is>
          <t>Director of Sales</t>
        </is>
      </c>
      <c r="D5175" t="inlineStr">
        <is>
          <t>Bleckmann UK Ltd</t>
        </is>
      </c>
      <c r="E5175" t="inlineStr">
        <is>
          <t>United Kingdom</t>
        </is>
      </c>
      <c r="H5175" t="n">
        <v>-8</v>
      </c>
      <c r="I5175" t="b">
        <v>0</v>
      </c>
      <c r="J5175" t="b">
        <v>0</v>
      </c>
      <c r="K5175" t="b">
        <v>0</v>
      </c>
      <c r="L5175" t="b">
        <v>0</v>
      </c>
      <c r="M5175" t="b">
        <v>1</v>
      </c>
      <c r="N5175">
        <f>IFERROR(INDEX('Company Hitlist'!$AA:$AA,MATCH(D5175,'Company Hitlist'!$A:$A,0)),)</f>
        <v/>
      </c>
      <c r="O5175">
        <f>IFERROR(INDEX('Company Hitlist'!$N:$N,MATCH(D5175,'Company Hitlist'!$A:$A,0)),)</f>
        <v/>
      </c>
      <c r="Q5175" t="inlineStr">
        <is>
          <t>todo</t>
        </is>
      </c>
    </row>
    <row r="5176">
      <c r="A5176" t="inlineStr">
        <is>
          <t>Dakota Verrico</t>
        </is>
      </c>
      <c r="B5176" t="inlineStr">
        <is>
          <t>Attendee</t>
        </is>
      </c>
      <c r="C5176" t="inlineStr">
        <is>
          <t>Director of Business Development</t>
        </is>
      </c>
      <c r="D5176" t="inlineStr">
        <is>
          <t>Borderlanders Inc</t>
        </is>
      </c>
      <c r="E5176" t="inlineStr">
        <is>
          <t>United States</t>
        </is>
      </c>
      <c r="H5176" t="n">
        <v>-8</v>
      </c>
      <c r="I5176" t="b">
        <v>0</v>
      </c>
      <c r="J5176" t="b">
        <v>0</v>
      </c>
      <c r="K5176" t="b">
        <v>0</v>
      </c>
      <c r="L5176" t="b">
        <v>0</v>
      </c>
      <c r="M5176" t="b">
        <v>1</v>
      </c>
      <c r="N5176">
        <f>IFERROR(INDEX('Company Hitlist'!$AA:$AA,MATCH(D5176,'Company Hitlist'!$A:$A,0)),)</f>
        <v/>
      </c>
      <c r="O5176">
        <f>IFERROR(INDEX('Company Hitlist'!$N:$N,MATCH(D5176,'Company Hitlist'!$A:$A,0)),)</f>
        <v/>
      </c>
      <c r="Q5176" t="inlineStr">
        <is>
          <t>todo</t>
        </is>
      </c>
    </row>
    <row r="5177">
      <c r="A5177" t="inlineStr">
        <is>
          <t>Kelsey Tompkins</t>
        </is>
      </c>
      <c r="B5177" t="inlineStr">
        <is>
          <t>Attendee</t>
        </is>
      </c>
      <c r="C5177" t="inlineStr">
        <is>
          <t>Account Executive</t>
        </is>
      </c>
      <c r="D5177" t="inlineStr">
        <is>
          <t>Bridgenext</t>
        </is>
      </c>
      <c r="E5177" t="inlineStr">
        <is>
          <t>United States</t>
        </is>
      </c>
      <c r="H5177" t="n">
        <v>-8</v>
      </c>
      <c r="I5177" t="b">
        <v>0</v>
      </c>
      <c r="J5177" t="b">
        <v>0</v>
      </c>
      <c r="K5177" t="b">
        <v>0</v>
      </c>
      <c r="L5177" t="b">
        <v>0</v>
      </c>
      <c r="M5177" t="b">
        <v>1</v>
      </c>
      <c r="N5177">
        <f>IFERROR(INDEX('Company Hitlist'!$AA:$AA,MATCH(D5177,'Company Hitlist'!$A:$A,0)),)</f>
        <v/>
      </c>
      <c r="O5177">
        <f>IFERROR(INDEX('Company Hitlist'!$N:$N,MATCH(D5177,'Company Hitlist'!$A:$A,0)),)</f>
        <v/>
      </c>
      <c r="Q5177" t="inlineStr">
        <is>
          <t>todo</t>
        </is>
      </c>
    </row>
    <row r="5178">
      <c r="A5178" t="inlineStr">
        <is>
          <t>Dan Russ</t>
        </is>
      </c>
      <c r="B5178" t="inlineStr">
        <is>
          <t>Attendee</t>
        </is>
      </c>
      <c r="C5178" t="inlineStr">
        <is>
          <t>National Director of Business Development</t>
        </is>
      </c>
      <c r="D5178" t="inlineStr">
        <is>
          <t>Brinkmann Constructors</t>
        </is>
      </c>
      <c r="E5178" t="inlineStr">
        <is>
          <t>United States</t>
        </is>
      </c>
      <c r="H5178" t="n">
        <v>-8</v>
      </c>
      <c r="I5178" t="b">
        <v>0</v>
      </c>
      <c r="J5178" t="b">
        <v>0</v>
      </c>
      <c r="K5178" t="b">
        <v>0</v>
      </c>
      <c r="L5178" t="b">
        <v>0</v>
      </c>
      <c r="M5178" t="b">
        <v>1</v>
      </c>
      <c r="N5178">
        <f>IFERROR(INDEX('Company Hitlist'!$AA:$AA,MATCH(D5178,'Company Hitlist'!$A:$A,0)),)</f>
        <v/>
      </c>
      <c r="O5178">
        <f>IFERROR(INDEX('Company Hitlist'!$N:$N,MATCH(D5178,'Company Hitlist'!$A:$A,0)),)</f>
        <v/>
      </c>
      <c r="Q5178" t="inlineStr">
        <is>
          <t>todo</t>
        </is>
      </c>
    </row>
    <row r="5179">
      <c r="A5179" t="inlineStr">
        <is>
          <t>Mark Neal</t>
        </is>
      </c>
      <c r="B5179" t="inlineStr">
        <is>
          <t>Attendee</t>
        </is>
      </c>
      <c r="C5179" t="inlineStr">
        <is>
          <t>Sales</t>
        </is>
      </c>
      <c r="D5179" t="inlineStr">
        <is>
          <t>Broad Reach</t>
        </is>
      </c>
      <c r="E5179" t="inlineStr">
        <is>
          <t>Canada</t>
        </is>
      </c>
      <c r="H5179" t="n">
        <v>-8</v>
      </c>
      <c r="I5179" t="b">
        <v>0</v>
      </c>
      <c r="J5179" t="b">
        <v>0</v>
      </c>
      <c r="K5179" t="b">
        <v>0</v>
      </c>
      <c r="L5179" t="b">
        <v>0</v>
      </c>
      <c r="M5179" t="b">
        <v>1</v>
      </c>
      <c r="N5179">
        <f>IFERROR(INDEX('Company Hitlist'!$AA:$AA,MATCH(D5179,'Company Hitlist'!$A:$A,0)),)</f>
        <v/>
      </c>
      <c r="O5179">
        <f>IFERROR(INDEX('Company Hitlist'!$N:$N,MATCH(D5179,'Company Hitlist'!$A:$A,0)),)</f>
        <v/>
      </c>
      <c r="Q5179" t="inlineStr">
        <is>
          <t>todo</t>
        </is>
      </c>
    </row>
    <row r="5180">
      <c r="A5180" t="inlineStr">
        <is>
          <t>Bryan Shannon</t>
        </is>
      </c>
      <c r="B5180" t="inlineStr">
        <is>
          <t>Attendee</t>
        </is>
      </c>
      <c r="C5180" t="inlineStr">
        <is>
          <t>Business Development</t>
        </is>
      </c>
      <c r="D5180" t="inlineStr">
        <is>
          <t>CDS Logistics</t>
        </is>
      </c>
      <c r="E5180" t="inlineStr">
        <is>
          <t>United States</t>
        </is>
      </c>
      <c r="H5180" t="n">
        <v>-8</v>
      </c>
      <c r="I5180" t="b">
        <v>0</v>
      </c>
      <c r="J5180" t="b">
        <v>0</v>
      </c>
      <c r="K5180" t="b">
        <v>0</v>
      </c>
      <c r="L5180" t="b">
        <v>0</v>
      </c>
      <c r="M5180" t="b">
        <v>1</v>
      </c>
      <c r="N5180">
        <f>IFERROR(INDEX('Company Hitlist'!$AA:$AA,MATCH(D5180,'Company Hitlist'!$A:$A,0)),)</f>
        <v/>
      </c>
      <c r="O5180">
        <f>IFERROR(INDEX('Company Hitlist'!$N:$N,MATCH(D5180,'Company Hitlist'!$A:$A,0)),)</f>
        <v/>
      </c>
      <c r="Q5180" t="inlineStr">
        <is>
          <t>todo</t>
        </is>
      </c>
    </row>
    <row r="5181">
      <c r="A5181" t="inlineStr">
        <is>
          <t>Matt Brzica</t>
        </is>
      </c>
      <c r="B5181" t="inlineStr">
        <is>
          <t>Attendee</t>
        </is>
      </c>
      <c r="C5181" t="inlineStr">
        <is>
          <t>Senior Director, Business Development</t>
        </is>
      </c>
      <c r="D5181" t="inlineStr">
        <is>
          <t>CJ Logistics America</t>
        </is>
      </c>
      <c r="E5181" t="inlineStr">
        <is>
          <t>United States</t>
        </is>
      </c>
      <c r="H5181" t="n">
        <v>-8</v>
      </c>
      <c r="I5181" t="b">
        <v>0</v>
      </c>
      <c r="J5181" t="b">
        <v>0</v>
      </c>
      <c r="K5181" t="b">
        <v>0</v>
      </c>
      <c r="L5181" t="b">
        <v>0</v>
      </c>
      <c r="M5181" t="b">
        <v>1</v>
      </c>
      <c r="N5181">
        <f>IFERROR(INDEX('Company Hitlist'!$AA:$AA,MATCH(D5181,'Company Hitlist'!$A:$A,0)),)</f>
        <v/>
      </c>
      <c r="O5181">
        <f>IFERROR(INDEX('Company Hitlist'!$N:$N,MATCH(D5181,'Company Hitlist'!$A:$A,0)),)</f>
        <v/>
      </c>
      <c r="Q5181" t="inlineStr">
        <is>
          <t>todo</t>
        </is>
      </c>
    </row>
    <row r="5182">
      <c r="A5182" t="inlineStr">
        <is>
          <t>Grace Booth</t>
        </is>
      </c>
      <c r="B5182" t="inlineStr">
        <is>
          <t>Attendee</t>
        </is>
      </c>
      <c r="C5182" t="inlineStr">
        <is>
          <t>Marketing Demand Generation Manager</t>
        </is>
      </c>
      <c r="D5182" t="inlineStr">
        <is>
          <t>Capstone Logistics</t>
        </is>
      </c>
      <c r="E5182" t="inlineStr">
        <is>
          <t>United States</t>
        </is>
      </c>
      <c r="H5182" t="n">
        <v>-8</v>
      </c>
      <c r="I5182" t="b">
        <v>0</v>
      </c>
      <c r="J5182" t="b">
        <v>0</v>
      </c>
      <c r="K5182" t="b">
        <v>0</v>
      </c>
      <c r="L5182" t="b">
        <v>0</v>
      </c>
      <c r="M5182" t="b">
        <v>1</v>
      </c>
      <c r="N5182">
        <f>IFERROR(INDEX('Company Hitlist'!$AA:$AA,MATCH(D5182,'Company Hitlist'!$A:$A,0)),)</f>
        <v/>
      </c>
      <c r="O5182">
        <f>IFERROR(INDEX('Company Hitlist'!$N:$N,MATCH(D5182,'Company Hitlist'!$A:$A,0)),)</f>
        <v/>
      </c>
      <c r="Q5182" t="inlineStr">
        <is>
          <t>todo</t>
        </is>
      </c>
    </row>
    <row r="5183">
      <c r="A5183" t="inlineStr">
        <is>
          <t>Rohan Rajendra Bhagwat</t>
        </is>
      </c>
      <c r="B5183" t="inlineStr">
        <is>
          <t>Attendee</t>
        </is>
      </c>
      <c r="C5183" t="inlineStr">
        <is>
          <t>Sales</t>
        </is>
      </c>
      <c r="D5183" t="inlineStr">
        <is>
          <t>Cargo Spectre</t>
        </is>
      </c>
      <c r="E5183" t="inlineStr">
        <is>
          <t>United States</t>
        </is>
      </c>
      <c r="H5183" t="n">
        <v>-8</v>
      </c>
      <c r="I5183" t="b">
        <v>0</v>
      </c>
      <c r="J5183" t="b">
        <v>0</v>
      </c>
      <c r="K5183" t="b">
        <v>0</v>
      </c>
      <c r="L5183" t="b">
        <v>0</v>
      </c>
      <c r="M5183" t="b">
        <v>1</v>
      </c>
      <c r="N5183">
        <f>IFERROR(INDEX('Company Hitlist'!$AA:$AA,MATCH(D5183,'Company Hitlist'!$A:$A,0)),)</f>
        <v/>
      </c>
      <c r="O5183">
        <f>IFERROR(INDEX('Company Hitlist'!$N:$N,MATCH(D5183,'Company Hitlist'!$A:$A,0)),)</f>
        <v/>
      </c>
      <c r="Q5183" t="inlineStr">
        <is>
          <t>todo</t>
        </is>
      </c>
    </row>
    <row r="5184">
      <c r="A5184" t="inlineStr">
        <is>
          <t>Daniel McDermott</t>
        </is>
      </c>
      <c r="B5184" t="inlineStr">
        <is>
          <t>Attendee</t>
        </is>
      </c>
      <c r="C5184" t="inlineStr">
        <is>
          <t>Senior Director Marketing</t>
        </is>
      </c>
      <c r="D5184" t="inlineStr">
        <is>
          <t>CartonCloud</t>
        </is>
      </c>
      <c r="E5184" t="inlineStr">
        <is>
          <t>Australia</t>
        </is>
      </c>
      <c r="F5184" t="inlineStr">
        <is>
          <t>Yes</t>
        </is>
      </c>
      <c r="H5184" t="n">
        <v>-8</v>
      </c>
      <c r="I5184" t="b">
        <v>0</v>
      </c>
      <c r="J5184" t="b">
        <v>0</v>
      </c>
      <c r="K5184" t="b">
        <v>0</v>
      </c>
      <c r="L5184" t="b">
        <v>0</v>
      </c>
      <c r="M5184" t="b">
        <v>1</v>
      </c>
      <c r="N5184">
        <f>IFERROR(INDEX('Company Hitlist'!$AA:$AA,MATCH(D5184,'Company Hitlist'!$A:$A,0)),)</f>
        <v/>
      </c>
      <c r="O5184">
        <f>IFERROR(INDEX('Company Hitlist'!$N:$N,MATCH(D5184,'Company Hitlist'!$A:$A,0)),)</f>
        <v/>
      </c>
      <c r="Q5184" t="inlineStr">
        <is>
          <t>todo</t>
        </is>
      </c>
    </row>
    <row r="5185">
      <c r="A5185" t="inlineStr">
        <is>
          <t>Ryan Hwang</t>
        </is>
      </c>
      <c r="B5185" t="inlineStr">
        <is>
          <t>Attendee</t>
        </is>
      </c>
      <c r="C5185" t="inlineStr">
        <is>
          <t>Sales Manager, North America</t>
        </is>
      </c>
      <c r="D5185" t="inlineStr">
        <is>
          <t>CartonCloud</t>
        </is>
      </c>
      <c r="E5185" t="inlineStr">
        <is>
          <t>United States</t>
        </is>
      </c>
      <c r="H5185" t="n">
        <v>-8</v>
      </c>
      <c r="I5185" t="b">
        <v>0</v>
      </c>
      <c r="J5185" t="b">
        <v>0</v>
      </c>
      <c r="K5185" t="b">
        <v>0</v>
      </c>
      <c r="L5185" t="b">
        <v>0</v>
      </c>
      <c r="M5185" t="b">
        <v>1</v>
      </c>
      <c r="N5185">
        <f>IFERROR(INDEX('Company Hitlist'!$AA:$AA,MATCH(D5185,'Company Hitlist'!$A:$A,0)),)</f>
        <v/>
      </c>
      <c r="O5185">
        <f>IFERROR(INDEX('Company Hitlist'!$N:$N,MATCH(D5185,'Company Hitlist'!$A:$A,0)),)</f>
        <v/>
      </c>
      <c r="Q5185" t="inlineStr">
        <is>
          <t>todo</t>
        </is>
      </c>
    </row>
    <row r="5186">
      <c r="A5186" t="inlineStr">
        <is>
          <t>Lily Chin</t>
        </is>
      </c>
      <c r="B5186" t="inlineStr">
        <is>
          <t>Attendee</t>
        </is>
      </c>
      <c r="C5186" t="inlineStr">
        <is>
          <t>Senior Account Executive</t>
        </is>
      </c>
      <c r="D5186" t="inlineStr">
        <is>
          <t>Celerik Labs</t>
        </is>
      </c>
      <c r="E5186" t="inlineStr">
        <is>
          <t>United States</t>
        </is>
      </c>
      <c r="H5186" t="n">
        <v>-8</v>
      </c>
      <c r="I5186" t="b">
        <v>0</v>
      </c>
      <c r="J5186" t="b">
        <v>0</v>
      </c>
      <c r="K5186" t="b">
        <v>0</v>
      </c>
      <c r="L5186" t="b">
        <v>0</v>
      </c>
      <c r="M5186" t="b">
        <v>1</v>
      </c>
      <c r="N5186">
        <f>IFERROR(INDEX('Company Hitlist'!$AA:$AA,MATCH(D5186,'Company Hitlist'!$A:$A,0)),)</f>
        <v/>
      </c>
      <c r="O5186">
        <f>IFERROR(INDEX('Company Hitlist'!$N:$N,MATCH(D5186,'Company Hitlist'!$A:$A,0)),)</f>
        <v/>
      </c>
      <c r="Q5186" t="inlineStr">
        <is>
          <t>todo</t>
        </is>
      </c>
    </row>
    <row r="5187">
      <c r="A5187" t="inlineStr">
        <is>
          <t>Luke Eber</t>
        </is>
      </c>
      <c r="B5187" t="inlineStr">
        <is>
          <t>Attendee</t>
        </is>
      </c>
      <c r="C5187" t="inlineStr">
        <is>
          <t>Partnership Development Director</t>
        </is>
      </c>
      <c r="D5187" t="inlineStr">
        <is>
          <t>Chainsight</t>
        </is>
      </c>
      <c r="E5187" t="inlineStr">
        <is>
          <t>United States</t>
        </is>
      </c>
      <c r="F5187" t="inlineStr">
        <is>
          <t>Yes</t>
        </is>
      </c>
      <c r="H5187" t="n">
        <v>-8</v>
      </c>
      <c r="I5187" t="b">
        <v>0</v>
      </c>
      <c r="J5187" t="b">
        <v>0</v>
      </c>
      <c r="K5187" t="b">
        <v>0</v>
      </c>
      <c r="L5187" t="b">
        <v>0</v>
      </c>
      <c r="M5187" t="b">
        <v>1</v>
      </c>
      <c r="N5187">
        <f>IFERROR(INDEX('Company Hitlist'!$AA:$AA,MATCH(D5187,'Company Hitlist'!$A:$A,0)),)</f>
        <v/>
      </c>
      <c r="O5187">
        <f>IFERROR(INDEX('Company Hitlist'!$N:$N,MATCH(D5187,'Company Hitlist'!$A:$A,0)),)</f>
        <v/>
      </c>
      <c r="Q5187" t="inlineStr">
        <is>
          <t>todo</t>
        </is>
      </c>
    </row>
    <row r="5188">
      <c r="A5188" t="inlineStr">
        <is>
          <t>JD Doran</t>
        </is>
      </c>
      <c r="B5188" t="inlineStr">
        <is>
          <t>Attendee</t>
        </is>
      </c>
      <c r="C5188" t="inlineStr">
        <is>
          <t>Director of Business Development</t>
        </is>
      </c>
      <c r="D5188" t="inlineStr">
        <is>
          <t>Circle K</t>
        </is>
      </c>
      <c r="E5188" t="inlineStr">
        <is>
          <t>United States</t>
        </is>
      </c>
      <c r="H5188" t="n">
        <v>-8</v>
      </c>
      <c r="I5188" t="b">
        <v>0</v>
      </c>
      <c r="J5188" t="b">
        <v>0</v>
      </c>
      <c r="K5188" t="b">
        <v>0</v>
      </c>
      <c r="L5188" t="b">
        <v>0</v>
      </c>
      <c r="M5188" t="b">
        <v>1</v>
      </c>
      <c r="N5188">
        <f>IFERROR(INDEX('Company Hitlist'!$AA:$AA,MATCH(D5188,'Company Hitlist'!$A:$A,0)),)</f>
        <v/>
      </c>
      <c r="O5188">
        <f>IFERROR(INDEX('Company Hitlist'!$N:$N,MATCH(D5188,'Company Hitlist'!$A:$A,0)),)</f>
        <v/>
      </c>
      <c r="Q5188" t="inlineStr">
        <is>
          <t>todo</t>
        </is>
      </c>
    </row>
    <row r="5189">
      <c r="A5189" t="inlineStr">
        <is>
          <t>Jordan Henderson</t>
        </is>
      </c>
      <c r="B5189" t="inlineStr">
        <is>
          <t>Attendee</t>
        </is>
      </c>
      <c r="C5189" t="inlineStr">
        <is>
          <t>B2B Business Development Manager</t>
        </is>
      </c>
      <c r="D5189" t="inlineStr">
        <is>
          <t>Circle K</t>
        </is>
      </c>
      <c r="E5189" t="inlineStr">
        <is>
          <t>United States</t>
        </is>
      </c>
      <c r="H5189" t="n">
        <v>-8</v>
      </c>
      <c r="I5189" t="b">
        <v>0</v>
      </c>
      <c r="J5189" t="b">
        <v>0</v>
      </c>
      <c r="K5189" t="b">
        <v>0</v>
      </c>
      <c r="L5189" t="b">
        <v>0</v>
      </c>
      <c r="M5189" t="b">
        <v>1</v>
      </c>
      <c r="N5189">
        <f>IFERROR(INDEX('Company Hitlist'!$AA:$AA,MATCH(D5189,'Company Hitlist'!$A:$A,0)),)</f>
        <v/>
      </c>
      <c r="O5189">
        <f>IFERROR(INDEX('Company Hitlist'!$N:$N,MATCH(D5189,'Company Hitlist'!$A:$A,0)),)</f>
        <v/>
      </c>
      <c r="Q5189" t="inlineStr">
        <is>
          <t>todo</t>
        </is>
      </c>
    </row>
    <row r="5190">
      <c r="A5190" t="inlineStr">
        <is>
          <t>Dave Meyers</t>
        </is>
      </c>
      <c r="B5190" t="inlineStr">
        <is>
          <t>Attendee</t>
        </is>
      </c>
      <c r="C5190" t="inlineStr">
        <is>
          <t>Sr. Director of Sales</t>
        </is>
      </c>
      <c r="D5190" t="inlineStr">
        <is>
          <t>ClearJet</t>
        </is>
      </c>
      <c r="E5190" t="inlineStr">
        <is>
          <t>United States</t>
        </is>
      </c>
      <c r="H5190" t="n">
        <v>-8</v>
      </c>
      <c r="I5190" t="b">
        <v>0</v>
      </c>
      <c r="J5190" t="b">
        <v>0</v>
      </c>
      <c r="K5190" t="b">
        <v>0</v>
      </c>
      <c r="L5190" t="b">
        <v>0</v>
      </c>
      <c r="M5190" t="b">
        <v>1</v>
      </c>
      <c r="N5190">
        <f>IFERROR(INDEX('Company Hitlist'!$AA:$AA,MATCH(D5190,'Company Hitlist'!$A:$A,0)),)</f>
        <v/>
      </c>
      <c r="O5190">
        <f>IFERROR(INDEX('Company Hitlist'!$N:$N,MATCH(D5190,'Company Hitlist'!$A:$A,0)),)</f>
        <v/>
      </c>
      <c r="Q5190" t="inlineStr">
        <is>
          <t>todo</t>
        </is>
      </c>
    </row>
    <row r="5191">
      <c r="A5191" t="inlineStr">
        <is>
          <t>Morgan Dyer</t>
        </is>
      </c>
      <c r="B5191" t="inlineStr">
        <is>
          <t>Attendee</t>
        </is>
      </c>
      <c r="C5191" t="inlineStr">
        <is>
          <t>Growth Manager</t>
        </is>
      </c>
      <c r="D5191" t="inlineStr">
        <is>
          <t>CommerceNext</t>
        </is>
      </c>
      <c r="E5191" t="inlineStr">
        <is>
          <t>United States</t>
        </is>
      </c>
      <c r="H5191" t="n">
        <v>-8</v>
      </c>
      <c r="I5191" t="b">
        <v>0</v>
      </c>
      <c r="J5191" t="b">
        <v>0</v>
      </c>
      <c r="K5191" t="b">
        <v>0</v>
      </c>
      <c r="L5191" t="b">
        <v>0</v>
      </c>
      <c r="M5191" t="b">
        <v>1</v>
      </c>
      <c r="N5191">
        <f>IFERROR(INDEX('Company Hitlist'!$AA:$AA,MATCH(D5191,'Company Hitlist'!$A:$A,0)),)</f>
        <v/>
      </c>
      <c r="O5191">
        <f>IFERROR(INDEX('Company Hitlist'!$N:$N,MATCH(D5191,'Company Hitlist'!$A:$A,0)),)</f>
        <v/>
      </c>
      <c r="Q5191" t="inlineStr">
        <is>
          <t>todo</t>
        </is>
      </c>
    </row>
    <row r="5192">
      <c r="A5192" t="inlineStr">
        <is>
          <t>Shayan Syed</t>
        </is>
      </c>
      <c r="B5192" t="inlineStr">
        <is>
          <t>Attendee</t>
        </is>
      </c>
      <c r="C5192" t="inlineStr">
        <is>
          <t>Enterprise Sales Executive</t>
        </is>
      </c>
      <c r="D5192" t="inlineStr">
        <is>
          <t>Corpay Cross Border</t>
        </is>
      </c>
      <c r="E5192" t="inlineStr">
        <is>
          <t>United States</t>
        </is>
      </c>
      <c r="H5192" t="n">
        <v>-8</v>
      </c>
      <c r="I5192" t="b">
        <v>0</v>
      </c>
      <c r="J5192" t="b">
        <v>0</v>
      </c>
      <c r="K5192" t="b">
        <v>0</v>
      </c>
      <c r="L5192" t="b">
        <v>0</v>
      </c>
      <c r="M5192" t="b">
        <v>1</v>
      </c>
      <c r="N5192">
        <f>IFERROR(INDEX('Company Hitlist'!$AA:$AA,MATCH(D5192,'Company Hitlist'!$A:$A,0)),)</f>
        <v/>
      </c>
      <c r="O5192">
        <f>IFERROR(INDEX('Company Hitlist'!$N:$N,MATCH(D5192,'Company Hitlist'!$A:$A,0)),)</f>
        <v/>
      </c>
      <c r="Q5192" t="inlineStr">
        <is>
          <t>todo</t>
        </is>
      </c>
    </row>
    <row r="5193">
      <c r="A5193" t="inlineStr">
        <is>
          <t>Sarah Fang Zhi'En</t>
        </is>
      </c>
      <c r="B5193" t="inlineStr">
        <is>
          <t>Attendee</t>
        </is>
      </c>
      <c r="C5193" t="inlineStr">
        <is>
          <t>Senior Manager, Group Marketing &amp; Communications</t>
        </is>
      </c>
      <c r="D5193" t="inlineStr">
        <is>
          <t>CrimsonLogic</t>
        </is>
      </c>
      <c r="H5193" t="n">
        <v>-8</v>
      </c>
      <c r="I5193" t="b">
        <v>0</v>
      </c>
      <c r="J5193" t="b">
        <v>0</v>
      </c>
      <c r="K5193" t="b">
        <v>0</v>
      </c>
      <c r="L5193" t="b">
        <v>0</v>
      </c>
      <c r="M5193" t="b">
        <v>1</v>
      </c>
      <c r="N5193">
        <f>IFERROR(INDEX('Company Hitlist'!$AA:$AA,MATCH(D5193,'Company Hitlist'!$A:$A,0)),)</f>
        <v/>
      </c>
      <c r="O5193">
        <f>IFERROR(INDEX('Company Hitlist'!$N:$N,MATCH(D5193,'Company Hitlist'!$A:$A,0)),)</f>
        <v/>
      </c>
      <c r="Q5193" t="inlineStr">
        <is>
          <t>todo</t>
        </is>
      </c>
    </row>
    <row r="5194">
      <c r="A5194" t="inlineStr">
        <is>
          <t>Matt Perrigo</t>
        </is>
      </c>
      <c r="B5194" t="inlineStr">
        <is>
          <t>Attendee</t>
        </is>
      </c>
      <c r="C5194" t="inlineStr">
        <is>
          <t>Sr Director of Sales</t>
        </is>
      </c>
      <c r="D5194" t="inlineStr">
        <is>
          <t>Custom Goods</t>
        </is>
      </c>
      <c r="E5194" t="inlineStr">
        <is>
          <t>United States</t>
        </is>
      </c>
      <c r="H5194" t="n">
        <v>-8</v>
      </c>
      <c r="I5194" t="b">
        <v>0</v>
      </c>
      <c r="J5194" t="b">
        <v>0</v>
      </c>
      <c r="K5194" t="b">
        <v>0</v>
      </c>
      <c r="L5194" t="b">
        <v>0</v>
      </c>
      <c r="M5194" t="b">
        <v>1</v>
      </c>
      <c r="N5194">
        <f>IFERROR(INDEX('Company Hitlist'!$AA:$AA,MATCH(D5194,'Company Hitlist'!$A:$A,0)),)</f>
        <v/>
      </c>
      <c r="O5194">
        <f>IFERROR(INDEX('Company Hitlist'!$N:$N,MATCH(D5194,'Company Hitlist'!$A:$A,0)),)</f>
        <v/>
      </c>
      <c r="Q5194" t="inlineStr">
        <is>
          <t>todo</t>
        </is>
      </c>
    </row>
    <row r="5195">
      <c r="A5195" t="inlineStr">
        <is>
          <t>Clayton Stroner</t>
        </is>
      </c>
      <c r="B5195" t="inlineStr">
        <is>
          <t>Attendee</t>
        </is>
      </c>
      <c r="C5195" t="inlineStr">
        <is>
          <t>Sr. Dir, Platform Sales</t>
        </is>
      </c>
      <c r="D5195" t="inlineStr">
        <is>
          <t>DAT Freight &amp; Analytics</t>
        </is>
      </c>
      <c r="E5195" t="inlineStr">
        <is>
          <t>United States</t>
        </is>
      </c>
      <c r="H5195" t="n">
        <v>-8</v>
      </c>
      <c r="I5195" t="b">
        <v>0</v>
      </c>
      <c r="J5195" t="b">
        <v>0</v>
      </c>
      <c r="K5195" t="b">
        <v>0</v>
      </c>
      <c r="L5195" t="b">
        <v>0</v>
      </c>
      <c r="M5195" t="b">
        <v>1</v>
      </c>
      <c r="N5195">
        <f>IFERROR(INDEX('Company Hitlist'!$AA:$AA,MATCH(D5195,'Company Hitlist'!$A:$A,0)),)</f>
        <v/>
      </c>
      <c r="O5195">
        <f>IFERROR(INDEX('Company Hitlist'!$N:$N,MATCH(D5195,'Company Hitlist'!$A:$A,0)),)</f>
        <v/>
      </c>
      <c r="Q5195" t="inlineStr">
        <is>
          <t>todo</t>
        </is>
      </c>
    </row>
    <row r="5196">
      <c r="A5196" t="inlineStr">
        <is>
          <t>Dan Pyne</t>
        </is>
      </c>
      <c r="B5196" t="inlineStr">
        <is>
          <t>Attendee</t>
        </is>
      </c>
      <c r="C5196" t="inlineStr">
        <is>
          <t>Sales Lead, Solutions</t>
        </is>
      </c>
      <c r="D5196" t="inlineStr">
        <is>
          <t>DAT Freight &amp; Analytics</t>
        </is>
      </c>
      <c r="E5196" t="inlineStr">
        <is>
          <t>United States</t>
        </is>
      </c>
      <c r="H5196" t="n">
        <v>-8</v>
      </c>
      <c r="I5196" t="b">
        <v>0</v>
      </c>
      <c r="J5196" t="b">
        <v>0</v>
      </c>
      <c r="K5196" t="b">
        <v>0</v>
      </c>
      <c r="L5196" t="b">
        <v>0</v>
      </c>
      <c r="M5196" t="b">
        <v>1</v>
      </c>
      <c r="N5196">
        <f>IFERROR(INDEX('Company Hitlist'!$AA:$AA,MATCH(D5196,'Company Hitlist'!$A:$A,0)),)</f>
        <v/>
      </c>
      <c r="O5196">
        <f>IFERROR(INDEX('Company Hitlist'!$N:$N,MATCH(D5196,'Company Hitlist'!$A:$A,0)),)</f>
        <v/>
      </c>
      <c r="Q5196" t="inlineStr">
        <is>
          <t>todo</t>
        </is>
      </c>
    </row>
    <row r="5197">
      <c r="A5197" t="inlineStr">
        <is>
          <t>Sarah Bertram</t>
        </is>
      </c>
      <c r="B5197" t="inlineStr">
        <is>
          <t>Attendee</t>
        </is>
      </c>
      <c r="C5197" t="inlineStr">
        <is>
          <t>Enterprise Shipper Sales</t>
        </is>
      </c>
      <c r="D5197" t="inlineStr">
        <is>
          <t>DAT Freight &amp; Analytics</t>
        </is>
      </c>
      <c r="E5197" t="inlineStr">
        <is>
          <t>United States</t>
        </is>
      </c>
      <c r="H5197" t="n">
        <v>-8</v>
      </c>
      <c r="I5197" t="b">
        <v>0</v>
      </c>
      <c r="J5197" t="b">
        <v>0</v>
      </c>
      <c r="K5197" t="b">
        <v>0</v>
      </c>
      <c r="L5197" t="b">
        <v>0</v>
      </c>
      <c r="M5197" t="b">
        <v>1</v>
      </c>
      <c r="N5197">
        <f>IFERROR(INDEX('Company Hitlist'!$AA:$AA,MATCH(D5197,'Company Hitlist'!$A:$A,0)),)</f>
        <v/>
      </c>
      <c r="O5197">
        <f>IFERROR(INDEX('Company Hitlist'!$N:$N,MATCH(D5197,'Company Hitlist'!$A:$A,0)),)</f>
        <v/>
      </c>
      <c r="Q5197" t="inlineStr">
        <is>
          <t>todo</t>
        </is>
      </c>
    </row>
    <row r="5198">
      <c r="A5198" t="inlineStr">
        <is>
          <t>Will Post</t>
        </is>
      </c>
      <c r="B5198" t="inlineStr">
        <is>
          <t>Attendee</t>
        </is>
      </c>
      <c r="C5198" t="inlineStr">
        <is>
          <t>Enterprise Shipper Sales</t>
        </is>
      </c>
      <c r="D5198" t="inlineStr">
        <is>
          <t>DAT Freight &amp; Analytics</t>
        </is>
      </c>
      <c r="E5198" t="inlineStr">
        <is>
          <t>United States</t>
        </is>
      </c>
      <c r="H5198" t="n">
        <v>-8</v>
      </c>
      <c r="I5198" t="b">
        <v>0</v>
      </c>
      <c r="J5198" t="b">
        <v>0</v>
      </c>
      <c r="K5198" t="b">
        <v>0</v>
      </c>
      <c r="L5198" t="b">
        <v>0</v>
      </c>
      <c r="M5198" t="b">
        <v>1</v>
      </c>
      <c r="N5198">
        <f>IFERROR(INDEX('Company Hitlist'!$AA:$AA,MATCH(D5198,'Company Hitlist'!$A:$A,0)),)</f>
        <v/>
      </c>
      <c r="O5198">
        <f>IFERROR(INDEX('Company Hitlist'!$N:$N,MATCH(D5198,'Company Hitlist'!$A:$A,0)),)</f>
        <v/>
      </c>
      <c r="Q5198" t="inlineStr">
        <is>
          <t>todo</t>
        </is>
      </c>
    </row>
    <row r="5199">
      <c r="A5199" t="inlineStr">
        <is>
          <t>Dustin Teves</t>
        </is>
      </c>
      <c r="B5199" t="inlineStr">
        <is>
          <t>Attendee</t>
        </is>
      </c>
      <c r="C5199" t="inlineStr">
        <is>
          <t>Senior Account Executive</t>
        </is>
      </c>
      <c r="D5199" t="inlineStr">
        <is>
          <t>DAT Freight &amp; Analytics</t>
        </is>
      </c>
      <c r="E5199" t="inlineStr">
        <is>
          <t>United States</t>
        </is>
      </c>
      <c r="H5199" t="n">
        <v>-8</v>
      </c>
      <c r="I5199" t="b">
        <v>0</v>
      </c>
      <c r="J5199" t="b">
        <v>0</v>
      </c>
      <c r="K5199" t="b">
        <v>0</v>
      </c>
      <c r="L5199" t="b">
        <v>0</v>
      </c>
      <c r="M5199" t="b">
        <v>1</v>
      </c>
      <c r="N5199">
        <f>IFERROR(INDEX('Company Hitlist'!$AA:$AA,MATCH(D5199,'Company Hitlist'!$A:$A,0)),)</f>
        <v/>
      </c>
      <c r="O5199">
        <f>IFERROR(INDEX('Company Hitlist'!$N:$N,MATCH(D5199,'Company Hitlist'!$A:$A,0)),)</f>
        <v/>
      </c>
      <c r="Q5199" t="inlineStr">
        <is>
          <t>todo</t>
        </is>
      </c>
    </row>
    <row r="5200">
      <c r="A5200" t="inlineStr">
        <is>
          <t>Taylor Dean</t>
        </is>
      </c>
      <c r="B5200" t="inlineStr">
        <is>
          <t>Attendee</t>
        </is>
      </c>
      <c r="C5200" t="inlineStr">
        <is>
          <t>Senior Account Executive</t>
        </is>
      </c>
      <c r="D5200" t="inlineStr">
        <is>
          <t>DAT Freight &amp; Analytics</t>
        </is>
      </c>
      <c r="E5200" t="inlineStr">
        <is>
          <t>United States</t>
        </is>
      </c>
      <c r="H5200" t="n">
        <v>-8</v>
      </c>
      <c r="I5200" t="b">
        <v>0</v>
      </c>
      <c r="J5200" t="b">
        <v>0</v>
      </c>
      <c r="K5200" t="b">
        <v>0</v>
      </c>
      <c r="L5200" t="b">
        <v>0</v>
      </c>
      <c r="M5200" t="b">
        <v>1</v>
      </c>
      <c r="N5200">
        <f>IFERROR(INDEX('Company Hitlist'!$AA:$AA,MATCH(D5200,'Company Hitlist'!$A:$A,0)),)</f>
        <v/>
      </c>
      <c r="O5200">
        <f>IFERROR(INDEX('Company Hitlist'!$N:$N,MATCH(D5200,'Company Hitlist'!$A:$A,0)),)</f>
        <v/>
      </c>
      <c r="Q5200" t="inlineStr">
        <is>
          <t>todo</t>
        </is>
      </c>
    </row>
    <row r="5201">
      <c r="A5201" t="inlineStr">
        <is>
          <t>Craig Regan</t>
        </is>
      </c>
      <c r="B5201" t="inlineStr">
        <is>
          <t>Attendee</t>
        </is>
      </c>
      <c r="C5201" t="inlineStr">
        <is>
          <t>Manager, Shipper Alliances</t>
        </is>
      </c>
      <c r="D5201" t="inlineStr">
        <is>
          <t>DAT Freight &amp; Analytics</t>
        </is>
      </c>
      <c r="E5201" t="inlineStr">
        <is>
          <t>United States</t>
        </is>
      </c>
      <c r="H5201" t="n">
        <v>-8</v>
      </c>
      <c r="I5201" t="b">
        <v>0</v>
      </c>
      <c r="J5201" t="b">
        <v>0</v>
      </c>
      <c r="K5201" t="b">
        <v>0</v>
      </c>
      <c r="L5201" t="b">
        <v>0</v>
      </c>
      <c r="M5201" t="b">
        <v>1</v>
      </c>
      <c r="N5201">
        <f>IFERROR(INDEX('Company Hitlist'!$AA:$AA,MATCH(D5201,'Company Hitlist'!$A:$A,0)),)</f>
        <v/>
      </c>
      <c r="O5201">
        <f>IFERROR(INDEX('Company Hitlist'!$N:$N,MATCH(D5201,'Company Hitlist'!$A:$A,0)),)</f>
        <v/>
      </c>
      <c r="Q5201" t="inlineStr">
        <is>
          <t>todo</t>
        </is>
      </c>
    </row>
    <row r="5202">
      <c r="A5202" t="inlineStr">
        <is>
          <t>Erik Aldrich</t>
        </is>
      </c>
      <c r="B5202" t="inlineStr">
        <is>
          <t>Attendee</t>
        </is>
      </c>
      <c r="C5202" t="inlineStr">
        <is>
          <t>Regional Sales Manager</t>
        </is>
      </c>
      <c r="D5202" t="inlineStr">
        <is>
          <t>DR Storage Solutions</t>
        </is>
      </c>
      <c r="E5202" t="inlineStr">
        <is>
          <t>United States</t>
        </is>
      </c>
      <c r="H5202" t="n">
        <v>-8</v>
      </c>
      <c r="I5202" t="b">
        <v>0</v>
      </c>
      <c r="J5202" t="b">
        <v>0</v>
      </c>
      <c r="K5202" t="b">
        <v>0</v>
      </c>
      <c r="L5202" t="b">
        <v>0</v>
      </c>
      <c r="M5202" t="b">
        <v>1</v>
      </c>
      <c r="N5202">
        <f>IFERROR(INDEX('Company Hitlist'!$AA:$AA,MATCH(D5202,'Company Hitlist'!$A:$A,0)),)</f>
        <v/>
      </c>
      <c r="O5202">
        <f>IFERROR(INDEX('Company Hitlist'!$N:$N,MATCH(D5202,'Company Hitlist'!$A:$A,0)),)</f>
        <v/>
      </c>
      <c r="Q5202" t="inlineStr">
        <is>
          <t>todo</t>
        </is>
      </c>
    </row>
    <row r="5203">
      <c r="A5203" t="inlineStr">
        <is>
          <t>Jeff Lindner</t>
        </is>
      </c>
      <c r="B5203" t="inlineStr">
        <is>
          <t>Attendee</t>
        </is>
      </c>
      <c r="C5203" t="inlineStr">
        <is>
          <t>Director Business Development</t>
        </is>
      </c>
      <c r="D5203" t="inlineStr">
        <is>
          <t>DSV</t>
        </is>
      </c>
      <c r="E5203" t="inlineStr">
        <is>
          <t>United States</t>
        </is>
      </c>
      <c r="H5203" t="n">
        <v>-8</v>
      </c>
      <c r="I5203" t="b">
        <v>0</v>
      </c>
      <c r="J5203" t="b">
        <v>0</v>
      </c>
      <c r="K5203" t="b">
        <v>0</v>
      </c>
      <c r="L5203" t="b">
        <v>0</v>
      </c>
      <c r="M5203" t="b">
        <v>1</v>
      </c>
      <c r="N5203">
        <f>IFERROR(INDEX('Company Hitlist'!$AA:$AA,MATCH(D5203,'Company Hitlist'!$A:$A,0)),)</f>
        <v/>
      </c>
      <c r="O5203">
        <f>IFERROR(INDEX('Company Hitlist'!$N:$N,MATCH(D5203,'Company Hitlist'!$A:$A,0)),)</f>
        <v/>
      </c>
      <c r="Q5203" t="inlineStr">
        <is>
          <t>todo</t>
        </is>
      </c>
    </row>
    <row r="5204">
      <c r="A5204" t="inlineStr">
        <is>
          <t>Nathan Reed</t>
        </is>
      </c>
      <c r="B5204" t="inlineStr">
        <is>
          <t>Attendee</t>
        </is>
      </c>
      <c r="C5204" t="inlineStr">
        <is>
          <t>Director of Sales</t>
        </is>
      </c>
      <c r="D5204" t="inlineStr">
        <is>
          <t>Dayton Freight Lines Inc</t>
        </is>
      </c>
      <c r="E5204" t="inlineStr">
        <is>
          <t>United States</t>
        </is>
      </c>
      <c r="H5204" t="n">
        <v>-8</v>
      </c>
      <c r="I5204" t="b">
        <v>0</v>
      </c>
      <c r="J5204" t="b">
        <v>0</v>
      </c>
      <c r="K5204" t="b">
        <v>0</v>
      </c>
      <c r="L5204" t="b">
        <v>0</v>
      </c>
      <c r="M5204" t="b">
        <v>1</v>
      </c>
      <c r="N5204">
        <f>IFERROR(INDEX('Company Hitlist'!$AA:$AA,MATCH(D5204,'Company Hitlist'!$A:$A,0)),)</f>
        <v/>
      </c>
      <c r="O5204">
        <f>IFERROR(INDEX('Company Hitlist'!$N:$N,MATCH(D5204,'Company Hitlist'!$A:$A,0)),)</f>
        <v/>
      </c>
      <c r="Q5204" t="inlineStr">
        <is>
          <t>todo</t>
        </is>
      </c>
    </row>
    <row r="5205">
      <c r="A5205" t="inlineStr">
        <is>
          <t>Kiro Ghabrial</t>
        </is>
      </c>
      <c r="B5205" t="inlineStr">
        <is>
          <t>Attendee</t>
        </is>
      </c>
      <c r="C5205" t="inlineStr">
        <is>
          <t>Sales</t>
        </is>
      </c>
      <c r="D5205" t="inlineStr">
        <is>
          <t>Deliver Expert</t>
        </is>
      </c>
      <c r="E5205" t="inlineStr">
        <is>
          <t>United Kingdom</t>
        </is>
      </c>
      <c r="H5205" t="n">
        <v>-8</v>
      </c>
      <c r="I5205" t="b">
        <v>0</v>
      </c>
      <c r="J5205" t="b">
        <v>0</v>
      </c>
      <c r="K5205" t="b">
        <v>0</v>
      </c>
      <c r="L5205" t="b">
        <v>0</v>
      </c>
      <c r="M5205" t="b">
        <v>1</v>
      </c>
      <c r="N5205">
        <f>IFERROR(INDEX('Company Hitlist'!$AA:$AA,MATCH(D5205,'Company Hitlist'!$A:$A,0)),)</f>
        <v/>
      </c>
      <c r="O5205">
        <f>IFERROR(INDEX('Company Hitlist'!$N:$N,MATCH(D5205,'Company Hitlist'!$A:$A,0)),)</f>
        <v/>
      </c>
      <c r="Q5205" t="inlineStr">
        <is>
          <t>todo</t>
        </is>
      </c>
    </row>
    <row r="5206">
      <c r="A5206" t="inlineStr">
        <is>
          <t>Emily Grayson</t>
        </is>
      </c>
      <c r="B5206" t="inlineStr">
        <is>
          <t>Attendee</t>
        </is>
      </c>
      <c r="C5206" t="inlineStr">
        <is>
          <t>Sr. Marketing Coordinator</t>
        </is>
      </c>
      <c r="D5206" t="inlineStr">
        <is>
          <t>Designed Conveyor Systems (DCS)</t>
        </is>
      </c>
      <c r="F5206" t="inlineStr">
        <is>
          <t>Yes</t>
        </is>
      </c>
      <c r="H5206" t="n">
        <v>-8</v>
      </c>
      <c r="I5206" t="b">
        <v>0</v>
      </c>
      <c r="J5206" t="b">
        <v>0</v>
      </c>
      <c r="K5206" t="b">
        <v>0</v>
      </c>
      <c r="L5206" t="b">
        <v>0</v>
      </c>
      <c r="M5206" t="b">
        <v>1</v>
      </c>
      <c r="N5206">
        <f>IFERROR(INDEX('Company Hitlist'!$AA:$AA,MATCH(D5206,'Company Hitlist'!$A:$A,0)),)</f>
        <v/>
      </c>
      <c r="O5206">
        <f>IFERROR(INDEX('Company Hitlist'!$N:$N,MATCH(D5206,'Company Hitlist'!$A:$A,0)),)</f>
        <v/>
      </c>
      <c r="Q5206" t="inlineStr">
        <is>
          <t>todo</t>
        </is>
      </c>
    </row>
    <row r="5207">
      <c r="A5207" t="inlineStr">
        <is>
          <t>Chris Mehl</t>
        </is>
      </c>
      <c r="B5207" t="inlineStr">
        <is>
          <t>Attendee</t>
        </is>
      </c>
      <c r="C5207" t="inlineStr">
        <is>
          <t>Sr. Director of Sales</t>
        </is>
      </c>
      <c r="D5207" t="inlineStr">
        <is>
          <t>Designed Conveyor Systems (DCS)</t>
        </is>
      </c>
      <c r="E5207" t="inlineStr">
        <is>
          <t>United States</t>
        </is>
      </c>
      <c r="H5207" t="n">
        <v>-8</v>
      </c>
      <c r="I5207" t="b">
        <v>0</v>
      </c>
      <c r="J5207" t="b">
        <v>0</v>
      </c>
      <c r="K5207" t="b">
        <v>0</v>
      </c>
      <c r="L5207" t="b">
        <v>0</v>
      </c>
      <c r="M5207" t="b">
        <v>1</v>
      </c>
      <c r="N5207">
        <f>IFERROR(INDEX('Company Hitlist'!$AA:$AA,MATCH(D5207,'Company Hitlist'!$A:$A,0)),)</f>
        <v/>
      </c>
      <c r="O5207">
        <f>IFERROR(INDEX('Company Hitlist'!$N:$N,MATCH(D5207,'Company Hitlist'!$A:$A,0)),)</f>
        <v/>
      </c>
      <c r="Q5207" t="inlineStr">
        <is>
          <t>todo</t>
        </is>
      </c>
    </row>
    <row r="5208">
      <c r="A5208" t="inlineStr">
        <is>
          <t>Shawn Cavasos</t>
        </is>
      </c>
      <c r="B5208" t="inlineStr">
        <is>
          <t>Attendee</t>
        </is>
      </c>
      <c r="C5208" t="inlineStr">
        <is>
          <t>Senior Director, Sales Support</t>
        </is>
      </c>
      <c r="D5208" t="inlineStr">
        <is>
          <t>Designed Conveyor Systems (DCS)</t>
        </is>
      </c>
      <c r="E5208" t="inlineStr">
        <is>
          <t>United States</t>
        </is>
      </c>
      <c r="H5208" t="n">
        <v>-8</v>
      </c>
      <c r="I5208" t="b">
        <v>0</v>
      </c>
      <c r="J5208" t="b">
        <v>0</v>
      </c>
      <c r="K5208" t="b">
        <v>0</v>
      </c>
      <c r="L5208" t="b">
        <v>0</v>
      </c>
      <c r="M5208" t="b">
        <v>1</v>
      </c>
      <c r="N5208">
        <f>IFERROR(INDEX('Company Hitlist'!$AA:$AA,MATCH(D5208,'Company Hitlist'!$A:$A,0)),)</f>
        <v/>
      </c>
      <c r="O5208">
        <f>IFERROR(INDEX('Company Hitlist'!$N:$N,MATCH(D5208,'Company Hitlist'!$A:$A,0)),)</f>
        <v/>
      </c>
      <c r="Q5208" t="inlineStr">
        <is>
          <t>todo</t>
        </is>
      </c>
    </row>
    <row r="5209">
      <c r="A5209" t="inlineStr">
        <is>
          <t>Fred Rudolph</t>
        </is>
      </c>
      <c r="B5209" t="inlineStr">
        <is>
          <t>Attendee</t>
        </is>
      </c>
      <c r="C5209" t="inlineStr">
        <is>
          <t>Sr. Account Executive</t>
        </is>
      </c>
      <c r="D5209" t="inlineStr">
        <is>
          <t>Designed Conveyor Systems (DCS)</t>
        </is>
      </c>
      <c r="E5209" t="inlineStr">
        <is>
          <t>United States</t>
        </is>
      </c>
      <c r="H5209" t="n">
        <v>-8</v>
      </c>
      <c r="I5209" t="b">
        <v>0</v>
      </c>
      <c r="J5209" t="b">
        <v>0</v>
      </c>
      <c r="K5209" t="b">
        <v>0</v>
      </c>
      <c r="L5209" t="b">
        <v>0</v>
      </c>
      <c r="M5209" t="b">
        <v>1</v>
      </c>
      <c r="N5209">
        <f>IFERROR(INDEX('Company Hitlist'!$AA:$AA,MATCH(D5209,'Company Hitlist'!$A:$A,0)),)</f>
        <v/>
      </c>
      <c r="O5209">
        <f>IFERROR(INDEX('Company Hitlist'!$N:$N,MATCH(D5209,'Company Hitlist'!$A:$A,0)),)</f>
        <v/>
      </c>
      <c r="Q5209" t="inlineStr">
        <is>
          <t>todo</t>
        </is>
      </c>
    </row>
    <row r="5210">
      <c r="A5210" t="inlineStr">
        <is>
          <t>Justin Ray</t>
        </is>
      </c>
      <c r="B5210" t="inlineStr">
        <is>
          <t>Attendee</t>
        </is>
      </c>
      <c r="C5210" t="inlineStr">
        <is>
          <t>Account Executive</t>
        </is>
      </c>
      <c r="D5210" t="inlineStr">
        <is>
          <t>Designed Conveyor Systems (DCS)</t>
        </is>
      </c>
      <c r="E5210" t="inlineStr">
        <is>
          <t>United States</t>
        </is>
      </c>
      <c r="H5210" t="n">
        <v>-8</v>
      </c>
      <c r="I5210" t="b">
        <v>0</v>
      </c>
      <c r="J5210" t="b">
        <v>0</v>
      </c>
      <c r="K5210" t="b">
        <v>0</v>
      </c>
      <c r="L5210" t="b">
        <v>0</v>
      </c>
      <c r="M5210" t="b">
        <v>1</v>
      </c>
      <c r="N5210">
        <f>IFERROR(INDEX('Company Hitlist'!$AA:$AA,MATCH(D5210,'Company Hitlist'!$A:$A,0)),)</f>
        <v/>
      </c>
      <c r="O5210">
        <f>IFERROR(INDEX('Company Hitlist'!$N:$N,MATCH(D5210,'Company Hitlist'!$A:$A,0)),)</f>
        <v/>
      </c>
      <c r="Q5210" t="inlineStr">
        <is>
          <t>todo</t>
        </is>
      </c>
    </row>
    <row r="5211">
      <c r="A5211" t="inlineStr">
        <is>
          <t>Scott Singer</t>
        </is>
      </c>
      <c r="B5211" t="inlineStr">
        <is>
          <t>Attendee</t>
        </is>
      </c>
      <c r="C5211" t="inlineStr">
        <is>
          <t>Account Executive</t>
        </is>
      </c>
      <c r="D5211" t="inlineStr">
        <is>
          <t>Designed Conveyor Systems (DCS)</t>
        </is>
      </c>
      <c r="E5211" t="inlineStr">
        <is>
          <t>United States</t>
        </is>
      </c>
      <c r="H5211" t="n">
        <v>-8</v>
      </c>
      <c r="I5211" t="b">
        <v>0</v>
      </c>
      <c r="J5211" t="b">
        <v>0</v>
      </c>
      <c r="K5211" t="b">
        <v>0</v>
      </c>
      <c r="L5211" t="b">
        <v>0</v>
      </c>
      <c r="M5211" t="b">
        <v>1</v>
      </c>
      <c r="N5211">
        <f>IFERROR(INDEX('Company Hitlist'!$AA:$AA,MATCH(D5211,'Company Hitlist'!$A:$A,0)),)</f>
        <v/>
      </c>
      <c r="O5211">
        <f>IFERROR(INDEX('Company Hitlist'!$N:$N,MATCH(D5211,'Company Hitlist'!$A:$A,0)),)</f>
        <v/>
      </c>
      <c r="Q5211" t="inlineStr">
        <is>
          <t>todo</t>
        </is>
      </c>
    </row>
    <row r="5212">
      <c r="A5212" t="inlineStr">
        <is>
          <t>Megan Taylor</t>
        </is>
      </c>
      <c r="B5212" t="inlineStr">
        <is>
          <t>Attendee</t>
        </is>
      </c>
      <c r="C5212" t="inlineStr">
        <is>
          <t>Marketing Manager</t>
        </is>
      </c>
      <c r="D5212" t="inlineStr">
        <is>
          <t>Designed Conveyor Systems (DCS)</t>
        </is>
      </c>
      <c r="E5212" t="inlineStr">
        <is>
          <t>United States</t>
        </is>
      </c>
      <c r="H5212" t="n">
        <v>-8</v>
      </c>
      <c r="I5212" t="b">
        <v>0</v>
      </c>
      <c r="J5212" t="b">
        <v>0</v>
      </c>
      <c r="K5212" t="b">
        <v>0</v>
      </c>
      <c r="L5212" t="b">
        <v>0</v>
      </c>
      <c r="M5212" t="b">
        <v>1</v>
      </c>
      <c r="N5212">
        <f>IFERROR(INDEX('Company Hitlist'!$AA:$AA,MATCH(D5212,'Company Hitlist'!$A:$A,0)),)</f>
        <v/>
      </c>
      <c r="O5212">
        <f>IFERROR(INDEX('Company Hitlist'!$N:$N,MATCH(D5212,'Company Hitlist'!$A:$A,0)),)</f>
        <v/>
      </c>
      <c r="Q5212" t="inlineStr">
        <is>
          <t>todo</t>
        </is>
      </c>
    </row>
    <row r="5213">
      <c r="A5213" t="inlineStr">
        <is>
          <t>Alex Waites</t>
        </is>
      </c>
      <c r="B5213" t="inlineStr">
        <is>
          <t>Attendee</t>
        </is>
      </c>
      <c r="C5213" t="inlineStr">
        <is>
          <t>Sales</t>
        </is>
      </c>
      <c r="D5213" t="inlineStr">
        <is>
          <t>Digital Trade Works</t>
        </is>
      </c>
      <c r="E5213" t="inlineStr">
        <is>
          <t>United Kingdom</t>
        </is>
      </c>
      <c r="H5213" t="n">
        <v>-8</v>
      </c>
      <c r="I5213" t="b">
        <v>0</v>
      </c>
      <c r="J5213" t="b">
        <v>0</v>
      </c>
      <c r="K5213" t="b">
        <v>0</v>
      </c>
      <c r="L5213" t="b">
        <v>0</v>
      </c>
      <c r="M5213" t="b">
        <v>1</v>
      </c>
      <c r="N5213">
        <f>IFERROR(INDEX('Company Hitlist'!$AA:$AA,MATCH(D5213,'Company Hitlist'!$A:$A,0)),)</f>
        <v/>
      </c>
      <c r="O5213">
        <f>IFERROR(INDEX('Company Hitlist'!$N:$N,MATCH(D5213,'Company Hitlist'!$A:$A,0)),)</f>
        <v/>
      </c>
      <c r="Q5213" t="inlineStr">
        <is>
          <t>todo</t>
        </is>
      </c>
    </row>
    <row r="5214">
      <c r="A5214" t="inlineStr">
        <is>
          <t>John Daniels</t>
        </is>
      </c>
      <c r="B5214" t="inlineStr">
        <is>
          <t>Attendee</t>
        </is>
      </c>
      <c r="C5214" t="inlineStr">
        <is>
          <t>Americas Enterprise Sales Lead</t>
        </is>
      </c>
      <c r="D5214" t="inlineStr">
        <is>
          <t>Directus</t>
        </is>
      </c>
      <c r="E5214" t="inlineStr">
        <is>
          <t>United States</t>
        </is>
      </c>
      <c r="H5214" t="n">
        <v>-8</v>
      </c>
      <c r="I5214" t="b">
        <v>0</v>
      </c>
      <c r="J5214" t="b">
        <v>0</v>
      </c>
      <c r="K5214" t="b">
        <v>0</v>
      </c>
      <c r="L5214" t="b">
        <v>0</v>
      </c>
      <c r="M5214" t="b">
        <v>1</v>
      </c>
      <c r="N5214">
        <f>IFERROR(INDEX('Company Hitlist'!$AA:$AA,MATCH(D5214,'Company Hitlist'!$A:$A,0)),)</f>
        <v/>
      </c>
      <c r="O5214">
        <f>IFERROR(INDEX('Company Hitlist'!$N:$N,MATCH(D5214,'Company Hitlist'!$A:$A,0)),)</f>
        <v/>
      </c>
      <c r="Q5214" t="inlineStr">
        <is>
          <t>todo</t>
        </is>
      </c>
    </row>
    <row r="5215">
      <c r="A5215" t="inlineStr">
        <is>
          <t>Guy Selilog</t>
        </is>
      </c>
      <c r="B5215" t="inlineStr">
        <is>
          <t>Attendee</t>
        </is>
      </c>
      <c r="C5215" t="inlineStr">
        <is>
          <t>Business Development</t>
        </is>
      </c>
      <c r="D5215" t="inlineStr">
        <is>
          <t>Diverse Logistics and Distribution</t>
        </is>
      </c>
      <c r="E5215" t="inlineStr">
        <is>
          <t>United States</t>
        </is>
      </c>
      <c r="H5215" t="n">
        <v>-8</v>
      </c>
      <c r="I5215" t="b">
        <v>0</v>
      </c>
      <c r="J5215" t="b">
        <v>0</v>
      </c>
      <c r="K5215" t="b">
        <v>0</v>
      </c>
      <c r="L5215" t="b">
        <v>0</v>
      </c>
      <c r="M5215" t="b">
        <v>1</v>
      </c>
      <c r="N5215">
        <f>IFERROR(INDEX('Company Hitlist'!$AA:$AA,MATCH(D5215,'Company Hitlist'!$A:$A,0)),)</f>
        <v/>
      </c>
      <c r="O5215">
        <f>IFERROR(INDEX('Company Hitlist'!$N:$N,MATCH(D5215,'Company Hitlist'!$A:$A,0)),)</f>
        <v/>
      </c>
      <c r="Q5215" t="inlineStr">
        <is>
          <t>todo</t>
        </is>
      </c>
    </row>
    <row r="5216">
      <c r="A5216" t="inlineStr">
        <is>
          <t>Kristi Dressler</t>
        </is>
      </c>
      <c r="B5216" t="inlineStr">
        <is>
          <t>Attendee</t>
        </is>
      </c>
      <c r="C5216" t="inlineStr">
        <is>
          <t>Manager, Business Development</t>
        </is>
      </c>
      <c r="D5216" t="inlineStr">
        <is>
          <t>DoorDash</t>
        </is>
      </c>
      <c r="E5216" t="inlineStr">
        <is>
          <t>United States</t>
        </is>
      </c>
      <c r="H5216" t="n">
        <v>-8</v>
      </c>
      <c r="I5216" t="b">
        <v>0</v>
      </c>
      <c r="J5216" t="b">
        <v>0</v>
      </c>
      <c r="K5216" t="b">
        <v>0</v>
      </c>
      <c r="L5216" t="b">
        <v>0</v>
      </c>
      <c r="M5216" t="b">
        <v>1</v>
      </c>
      <c r="N5216">
        <f>IFERROR(INDEX('Company Hitlist'!$AA:$AA,MATCH(D5216,'Company Hitlist'!$A:$A,0)),)</f>
        <v/>
      </c>
      <c r="O5216">
        <f>IFERROR(INDEX('Company Hitlist'!$N:$N,MATCH(D5216,'Company Hitlist'!$A:$A,0)),)</f>
        <v/>
      </c>
      <c r="Q5216" t="inlineStr">
        <is>
          <t>todo</t>
        </is>
      </c>
    </row>
    <row r="5217">
      <c r="A5217" t="inlineStr">
        <is>
          <t>Lydell Curry Jr.</t>
        </is>
      </c>
      <c r="B5217" t="inlineStr">
        <is>
          <t>Attendee</t>
        </is>
      </c>
      <c r="C5217" t="inlineStr">
        <is>
          <t>Senior Manager, Enterprise Business Development</t>
        </is>
      </c>
      <c r="D5217" t="inlineStr">
        <is>
          <t>DoorDash</t>
        </is>
      </c>
      <c r="E5217" t="inlineStr">
        <is>
          <t>United States</t>
        </is>
      </c>
      <c r="H5217" t="n">
        <v>-8</v>
      </c>
      <c r="I5217" t="b">
        <v>0</v>
      </c>
      <c r="J5217" t="b">
        <v>0</v>
      </c>
      <c r="K5217" t="b">
        <v>0</v>
      </c>
      <c r="L5217" t="b">
        <v>0</v>
      </c>
      <c r="M5217" t="b">
        <v>1</v>
      </c>
      <c r="N5217">
        <f>IFERROR(INDEX('Company Hitlist'!$AA:$AA,MATCH(D5217,'Company Hitlist'!$A:$A,0)),)</f>
        <v/>
      </c>
      <c r="O5217">
        <f>IFERROR(INDEX('Company Hitlist'!$N:$N,MATCH(D5217,'Company Hitlist'!$A:$A,0)),)</f>
        <v/>
      </c>
      <c r="Q5217" t="inlineStr">
        <is>
          <t>todo</t>
        </is>
      </c>
    </row>
    <row r="5218">
      <c r="A5218" t="inlineStr">
        <is>
          <t>Mimi Schwade</t>
        </is>
      </c>
      <c r="B5218" t="inlineStr">
        <is>
          <t>Attendee</t>
        </is>
      </c>
      <c r="C5218" t="inlineStr">
        <is>
          <t>Senior Director, New Business Development</t>
        </is>
      </c>
      <c r="D5218" t="inlineStr">
        <is>
          <t>DoorDash</t>
        </is>
      </c>
      <c r="E5218" t="inlineStr">
        <is>
          <t>United States</t>
        </is>
      </c>
      <c r="H5218" t="n">
        <v>-8</v>
      </c>
      <c r="I5218" t="b">
        <v>0</v>
      </c>
      <c r="J5218" t="b">
        <v>0</v>
      </c>
      <c r="K5218" t="b">
        <v>0</v>
      </c>
      <c r="L5218" t="b">
        <v>0</v>
      </c>
      <c r="M5218" t="b">
        <v>1</v>
      </c>
      <c r="N5218">
        <f>IFERROR(INDEX('Company Hitlist'!$AA:$AA,MATCH(D5218,'Company Hitlist'!$A:$A,0)),)</f>
        <v/>
      </c>
      <c r="O5218">
        <f>IFERROR(INDEX('Company Hitlist'!$N:$N,MATCH(D5218,'Company Hitlist'!$A:$A,0)),)</f>
        <v/>
      </c>
      <c r="Q5218" t="inlineStr">
        <is>
          <t>todo</t>
        </is>
      </c>
    </row>
    <row r="5219">
      <c r="A5219" t="inlineStr">
        <is>
          <t>Miles Bradley</t>
        </is>
      </c>
      <c r="B5219" t="inlineStr">
        <is>
          <t>Attendee</t>
        </is>
      </c>
      <c r="C5219" t="inlineStr">
        <is>
          <t>Director, Channel Sales</t>
        </is>
      </c>
      <c r="D5219" t="inlineStr">
        <is>
          <t>Dot Ai</t>
        </is>
      </c>
      <c r="E5219" t="inlineStr">
        <is>
          <t>United States</t>
        </is>
      </c>
      <c r="H5219" t="n">
        <v>-8</v>
      </c>
      <c r="I5219" t="b">
        <v>0</v>
      </c>
      <c r="J5219" t="b">
        <v>0</v>
      </c>
      <c r="K5219" t="b">
        <v>0</v>
      </c>
      <c r="L5219" t="b">
        <v>0</v>
      </c>
      <c r="M5219" t="b">
        <v>1</v>
      </c>
      <c r="N5219">
        <f>IFERROR(INDEX('Company Hitlist'!$AA:$AA,MATCH(D5219,'Company Hitlist'!$A:$A,0)),)</f>
        <v/>
      </c>
      <c r="O5219">
        <f>IFERROR(INDEX('Company Hitlist'!$N:$N,MATCH(D5219,'Company Hitlist'!$A:$A,0)),)</f>
        <v/>
      </c>
      <c r="Q5219" t="inlineStr">
        <is>
          <t>todo</t>
        </is>
      </c>
    </row>
    <row r="5220">
      <c r="A5220" t="inlineStr">
        <is>
          <t>Jeremy Howell</t>
        </is>
      </c>
      <c r="B5220" t="inlineStr">
        <is>
          <t>Attendee</t>
        </is>
      </c>
      <c r="C5220" t="inlineStr">
        <is>
          <t>Sales Development Rep</t>
        </is>
      </c>
      <c r="D5220" t="inlineStr">
        <is>
          <t>Dot Ai Corp</t>
        </is>
      </c>
      <c r="E5220" t="inlineStr">
        <is>
          <t>United States</t>
        </is>
      </c>
      <c r="H5220" t="n">
        <v>-8</v>
      </c>
      <c r="I5220" t="b">
        <v>0</v>
      </c>
      <c r="J5220" t="b">
        <v>0</v>
      </c>
      <c r="K5220" t="b">
        <v>0</v>
      </c>
      <c r="L5220" t="b">
        <v>0</v>
      </c>
      <c r="M5220" t="b">
        <v>1</v>
      </c>
      <c r="N5220">
        <f>IFERROR(INDEX('Company Hitlist'!$AA:$AA,MATCH(D5220,'Company Hitlist'!$A:$A,0)),)</f>
        <v/>
      </c>
      <c r="O5220">
        <f>IFERROR(INDEX('Company Hitlist'!$N:$N,MATCH(D5220,'Company Hitlist'!$A:$A,0)),)</f>
        <v/>
      </c>
      <c r="Q5220" t="inlineStr">
        <is>
          <t>todo</t>
        </is>
      </c>
    </row>
    <row r="5221">
      <c r="A5221" t="inlineStr">
        <is>
          <t>Vik Horachaikul</t>
        </is>
      </c>
      <c r="B5221" t="inlineStr">
        <is>
          <t>Attendee</t>
        </is>
      </c>
      <c r="C5221" t="inlineStr">
        <is>
          <t>Sales Development Rep</t>
        </is>
      </c>
      <c r="D5221" t="inlineStr">
        <is>
          <t>Dot Ai Corp</t>
        </is>
      </c>
      <c r="E5221" t="inlineStr">
        <is>
          <t>United States</t>
        </is>
      </c>
      <c r="H5221" t="n">
        <v>-8</v>
      </c>
      <c r="I5221" t="b">
        <v>0</v>
      </c>
      <c r="J5221" t="b">
        <v>0</v>
      </c>
      <c r="K5221" t="b">
        <v>0</v>
      </c>
      <c r="L5221" t="b">
        <v>0</v>
      </c>
      <c r="M5221" t="b">
        <v>1</v>
      </c>
      <c r="N5221">
        <f>IFERROR(INDEX('Company Hitlist'!$AA:$AA,MATCH(D5221,'Company Hitlist'!$A:$A,0)),)</f>
        <v/>
      </c>
      <c r="O5221">
        <f>IFERROR(INDEX('Company Hitlist'!$N:$N,MATCH(D5221,'Company Hitlist'!$A:$A,0)),)</f>
        <v/>
      </c>
      <c r="Q5221" t="inlineStr">
        <is>
          <t>todo</t>
        </is>
      </c>
    </row>
    <row r="5222">
      <c r="A5222" t="inlineStr">
        <is>
          <t>Benny Landrum</t>
        </is>
      </c>
      <c r="B5222" t="inlineStr">
        <is>
          <t>Attendee</t>
        </is>
      </c>
      <c r="C5222" t="inlineStr">
        <is>
          <t>Sr Business Development Manager</t>
        </is>
      </c>
      <c r="D5222" t="inlineStr">
        <is>
          <t>Duravant</t>
        </is>
      </c>
      <c r="E5222" t="inlineStr">
        <is>
          <t>United States</t>
        </is>
      </c>
      <c r="H5222" t="n">
        <v>-8</v>
      </c>
      <c r="I5222" t="b">
        <v>0</v>
      </c>
      <c r="J5222" t="b">
        <v>0</v>
      </c>
      <c r="K5222" t="b">
        <v>0</v>
      </c>
      <c r="L5222" t="b">
        <v>0</v>
      </c>
      <c r="M5222" t="b">
        <v>1</v>
      </c>
      <c r="N5222">
        <f>IFERROR(INDEX('Company Hitlist'!$AA:$AA,MATCH(D5222,'Company Hitlist'!$A:$A,0)),)</f>
        <v/>
      </c>
      <c r="O5222">
        <f>IFERROR(INDEX('Company Hitlist'!$N:$N,MATCH(D5222,'Company Hitlist'!$A:$A,0)),)</f>
        <v/>
      </c>
      <c r="Q5222" t="inlineStr">
        <is>
          <t>todo</t>
        </is>
      </c>
    </row>
    <row r="5223">
      <c r="A5223" t="inlineStr">
        <is>
          <t>Gareth Colman</t>
        </is>
      </c>
      <c r="B5223" t="inlineStr">
        <is>
          <t>Attendee</t>
        </is>
      </c>
      <c r="C5223" t="inlineStr">
        <is>
          <t>Business Development Manager</t>
        </is>
      </c>
      <c r="D5223" t="inlineStr">
        <is>
          <t>Endava</t>
        </is>
      </c>
      <c r="E5223" t="inlineStr">
        <is>
          <t>United Kingdom</t>
        </is>
      </c>
      <c r="H5223" t="n">
        <v>-8</v>
      </c>
      <c r="I5223" t="b">
        <v>0</v>
      </c>
      <c r="J5223" t="b">
        <v>0</v>
      </c>
      <c r="K5223" t="b">
        <v>0</v>
      </c>
      <c r="L5223" t="b">
        <v>0</v>
      </c>
      <c r="M5223" t="b">
        <v>1</v>
      </c>
      <c r="N5223">
        <f>IFERROR(INDEX('Company Hitlist'!$AA:$AA,MATCH(D5223,'Company Hitlist'!$A:$A,0)),)</f>
        <v/>
      </c>
      <c r="O5223">
        <f>IFERROR(INDEX('Company Hitlist'!$N:$N,MATCH(D5223,'Company Hitlist'!$A:$A,0)),)</f>
        <v/>
      </c>
      <c r="Q5223" t="inlineStr">
        <is>
          <t>todo</t>
        </is>
      </c>
    </row>
    <row r="5224">
      <c r="A5224" t="inlineStr">
        <is>
          <t>Adrian Medina</t>
        </is>
      </c>
      <c r="B5224" t="inlineStr">
        <is>
          <t>Attendee</t>
        </is>
      </c>
      <c r="C5224" t="inlineStr">
        <is>
          <t>Account Executive</t>
        </is>
      </c>
      <c r="D5224" t="inlineStr">
        <is>
          <t>Extensiv</t>
        </is>
      </c>
      <c r="E5224" t="inlineStr">
        <is>
          <t>United States</t>
        </is>
      </c>
      <c r="H5224" t="n">
        <v>-8</v>
      </c>
      <c r="I5224" t="b">
        <v>0</v>
      </c>
      <c r="J5224" t="b">
        <v>0</v>
      </c>
      <c r="K5224" t="b">
        <v>0</v>
      </c>
      <c r="L5224" t="b">
        <v>0</v>
      </c>
      <c r="M5224" t="b">
        <v>1</v>
      </c>
      <c r="N5224">
        <f>IFERROR(INDEX('Company Hitlist'!$AA:$AA,MATCH(D5224,'Company Hitlist'!$A:$A,0)),)</f>
        <v/>
      </c>
      <c r="O5224">
        <f>IFERROR(INDEX('Company Hitlist'!$N:$N,MATCH(D5224,'Company Hitlist'!$A:$A,0)),)</f>
        <v/>
      </c>
      <c r="Q5224" t="inlineStr">
        <is>
          <t>todo</t>
        </is>
      </c>
    </row>
    <row r="5225">
      <c r="A5225" t="inlineStr">
        <is>
          <t>Barb Ostrander</t>
        </is>
      </c>
      <c r="B5225" t="inlineStr">
        <is>
          <t>Attendee</t>
        </is>
      </c>
      <c r="C5225" t="inlineStr">
        <is>
          <t>Director of Marketing</t>
        </is>
      </c>
      <c r="D5225" t="inlineStr">
        <is>
          <t>FAST Global Solutions, Inc.</t>
        </is>
      </c>
      <c r="E5225" t="inlineStr">
        <is>
          <t>United States</t>
        </is>
      </c>
      <c r="F5225" t="inlineStr">
        <is>
          <t>Yes</t>
        </is>
      </c>
      <c r="H5225" t="n">
        <v>-8</v>
      </c>
      <c r="I5225" t="b">
        <v>0</v>
      </c>
      <c r="J5225" t="b">
        <v>0</v>
      </c>
      <c r="K5225" t="b">
        <v>0</v>
      </c>
      <c r="L5225" t="b">
        <v>0</v>
      </c>
      <c r="M5225" t="b">
        <v>1</v>
      </c>
      <c r="N5225">
        <f>IFERROR(INDEX('Company Hitlist'!$AA:$AA,MATCH(D5225,'Company Hitlist'!$A:$A,0)),)</f>
        <v/>
      </c>
      <c r="O5225">
        <f>IFERROR(INDEX('Company Hitlist'!$N:$N,MATCH(D5225,'Company Hitlist'!$A:$A,0)),)</f>
        <v/>
      </c>
      <c r="Q5225" t="inlineStr">
        <is>
          <t>todo</t>
        </is>
      </c>
    </row>
    <row r="5226">
      <c r="A5226" t="inlineStr">
        <is>
          <t>Bowen Smith</t>
        </is>
      </c>
      <c r="B5226" t="inlineStr">
        <is>
          <t>Attendee</t>
        </is>
      </c>
      <c r="C5226" t="inlineStr">
        <is>
          <t>Director, Business Development</t>
        </is>
      </c>
      <c r="D5226" t="inlineStr">
        <is>
          <t>FIDELITONE</t>
        </is>
      </c>
      <c r="E5226" t="inlineStr">
        <is>
          <t>United States</t>
        </is>
      </c>
      <c r="H5226" t="n">
        <v>-8</v>
      </c>
      <c r="I5226" t="b">
        <v>0</v>
      </c>
      <c r="J5226" t="b">
        <v>0</v>
      </c>
      <c r="K5226" t="b">
        <v>0</v>
      </c>
      <c r="L5226" t="b">
        <v>0</v>
      </c>
      <c r="M5226" t="b">
        <v>1</v>
      </c>
      <c r="N5226">
        <f>IFERROR(INDEX('Company Hitlist'!$AA:$AA,MATCH(D5226,'Company Hitlist'!$A:$A,0)),)</f>
        <v/>
      </c>
      <c r="O5226">
        <f>IFERROR(INDEX('Company Hitlist'!$N:$N,MATCH(D5226,'Company Hitlist'!$A:$A,0)),)</f>
        <v/>
      </c>
      <c r="Q5226" t="inlineStr">
        <is>
          <t>todo</t>
        </is>
      </c>
    </row>
    <row r="5227">
      <c r="A5227" t="inlineStr">
        <is>
          <t>Rebecca Fowler</t>
        </is>
      </c>
      <c r="B5227" t="inlineStr">
        <is>
          <t>Attendee</t>
        </is>
      </c>
      <c r="C5227" t="inlineStr">
        <is>
          <t>MD, Digital Product Growth</t>
        </is>
      </c>
      <c r="D5227" t="inlineStr">
        <is>
          <t>FedEx</t>
        </is>
      </c>
      <c r="E5227" t="inlineStr">
        <is>
          <t>United States</t>
        </is>
      </c>
      <c r="F5227" t="inlineStr">
        <is>
          <t>Yes</t>
        </is>
      </c>
      <c r="G5227" t="inlineStr">
        <is>
          <t>$87.7B (2024; projected $88B in 2025)</t>
        </is>
      </c>
      <c r="H5227" t="n">
        <v>-8</v>
      </c>
      <c r="I5227" t="b">
        <v>0</v>
      </c>
      <c r="J5227" t="b">
        <v>0</v>
      </c>
      <c r="K5227" t="b">
        <v>0</v>
      </c>
      <c r="L5227" t="b">
        <v>0</v>
      </c>
      <c r="M5227" t="b">
        <v>1</v>
      </c>
      <c r="N5227">
        <f>IFERROR(INDEX('Company Hitlist'!$AA:$AA,MATCH(D5227,'Company Hitlist'!$A:$A,0)),)</f>
        <v/>
      </c>
      <c r="O5227">
        <f>IFERROR(INDEX('Company Hitlist'!$N:$N,MATCH(D5227,'Company Hitlist'!$A:$A,0)),)</f>
        <v/>
      </c>
      <c r="Q5227" t="inlineStr">
        <is>
          <t>todo</t>
        </is>
      </c>
    </row>
    <row r="5228">
      <c r="A5228" t="inlineStr">
        <is>
          <t>Channing Lyon</t>
        </is>
      </c>
      <c r="B5228" t="inlineStr">
        <is>
          <t>Attendee</t>
        </is>
      </c>
      <c r="C5228" t="inlineStr">
        <is>
          <t>RVP - Equipment Leasing Sales</t>
        </is>
      </c>
      <c r="D5228" t="inlineStr">
        <is>
          <t>First Financial Equipment Leasing</t>
        </is>
      </c>
      <c r="E5228" t="inlineStr">
        <is>
          <t>United States</t>
        </is>
      </c>
      <c r="H5228" t="n">
        <v>-8</v>
      </c>
      <c r="I5228" t="b">
        <v>0</v>
      </c>
      <c r="J5228" t="b">
        <v>0</v>
      </c>
      <c r="K5228" t="b">
        <v>0</v>
      </c>
      <c r="L5228" t="b">
        <v>0</v>
      </c>
      <c r="M5228" t="b">
        <v>1</v>
      </c>
      <c r="N5228">
        <f>IFERROR(INDEX('Company Hitlist'!$AA:$AA,MATCH(D5228,'Company Hitlist'!$A:$A,0)),)</f>
        <v/>
      </c>
      <c r="O5228">
        <f>IFERROR(INDEX('Company Hitlist'!$N:$N,MATCH(D5228,'Company Hitlist'!$A:$A,0)),)</f>
        <v/>
      </c>
      <c r="Q5228" t="inlineStr">
        <is>
          <t>todo</t>
        </is>
      </c>
    </row>
    <row r="5229">
      <c r="A5229" t="inlineStr">
        <is>
          <t>Allison Myers</t>
        </is>
      </c>
      <c r="B5229" t="inlineStr">
        <is>
          <t>Attendee</t>
        </is>
      </c>
      <c r="C5229" t="inlineStr">
        <is>
          <t>Director of Marketing &amp; Communications</t>
        </is>
      </c>
      <c r="D5229" t="inlineStr">
        <is>
          <t>Fives Intralogistics Corp.</t>
        </is>
      </c>
      <c r="E5229" t="inlineStr">
        <is>
          <t>United States</t>
        </is>
      </c>
      <c r="F5229" t="inlineStr">
        <is>
          <t>Yes</t>
        </is>
      </c>
      <c r="G5229" t="inlineStr">
        <is>
          <t>$2.6B (est.)</t>
        </is>
      </c>
      <c r="H5229" t="n">
        <v>-8</v>
      </c>
      <c r="I5229" t="b">
        <v>0</v>
      </c>
      <c r="J5229" t="b">
        <v>0</v>
      </c>
      <c r="K5229" t="b">
        <v>0</v>
      </c>
      <c r="L5229" t="b">
        <v>0</v>
      </c>
      <c r="M5229" t="b">
        <v>1</v>
      </c>
      <c r="N5229">
        <f>IFERROR(INDEX('Company Hitlist'!$AA:$AA,MATCH(D5229,'Company Hitlist'!$A:$A,0)),)</f>
        <v/>
      </c>
      <c r="O5229">
        <f>IFERROR(INDEX('Company Hitlist'!$N:$N,MATCH(D5229,'Company Hitlist'!$A:$A,0)),)</f>
        <v/>
      </c>
      <c r="Q5229" t="inlineStr">
        <is>
          <t>todo</t>
        </is>
      </c>
    </row>
    <row r="5230">
      <c r="A5230" t="inlineStr">
        <is>
          <t>John Rusich</t>
        </is>
      </c>
      <c r="B5230" t="inlineStr">
        <is>
          <t>Attendee</t>
        </is>
      </c>
      <c r="C5230" t="inlineStr">
        <is>
          <t>National Director, Sales</t>
        </is>
      </c>
      <c r="D5230" t="inlineStr">
        <is>
          <t>FleetOptics Inc</t>
        </is>
      </c>
      <c r="E5230" t="inlineStr">
        <is>
          <t>Canada</t>
        </is>
      </c>
      <c r="H5230" t="n">
        <v>-8</v>
      </c>
      <c r="I5230" t="b">
        <v>0</v>
      </c>
      <c r="J5230" t="b">
        <v>0</v>
      </c>
      <c r="K5230" t="b">
        <v>0</v>
      </c>
      <c r="L5230" t="b">
        <v>0</v>
      </c>
      <c r="M5230" t="b">
        <v>1</v>
      </c>
      <c r="N5230">
        <f>IFERROR(INDEX('Company Hitlist'!$AA:$AA,MATCH(D5230,'Company Hitlist'!$A:$A,0)),)</f>
        <v/>
      </c>
      <c r="O5230">
        <f>IFERROR(INDEX('Company Hitlist'!$N:$N,MATCH(D5230,'Company Hitlist'!$A:$A,0)),)</f>
        <v/>
      </c>
      <c r="Q5230" t="inlineStr">
        <is>
          <t>todo</t>
        </is>
      </c>
    </row>
    <row r="5231">
      <c r="A5231" t="inlineStr">
        <is>
          <t>Chris Glover</t>
        </is>
      </c>
      <c r="B5231" t="inlineStr">
        <is>
          <t>Attendee</t>
        </is>
      </c>
      <c r="C5231" t="inlineStr">
        <is>
          <t>Sr. Account Executive</t>
        </is>
      </c>
      <c r="D5231" t="inlineStr">
        <is>
          <t>FleetOptics Inc</t>
        </is>
      </c>
      <c r="E5231" t="inlineStr">
        <is>
          <t>Canada</t>
        </is>
      </c>
      <c r="H5231" t="n">
        <v>-8</v>
      </c>
      <c r="I5231" t="b">
        <v>0</v>
      </c>
      <c r="J5231" t="b">
        <v>0</v>
      </c>
      <c r="K5231" t="b">
        <v>0</v>
      </c>
      <c r="L5231" t="b">
        <v>0</v>
      </c>
      <c r="M5231" t="b">
        <v>1</v>
      </c>
      <c r="N5231">
        <f>IFERROR(INDEX('Company Hitlist'!$AA:$AA,MATCH(D5231,'Company Hitlist'!$A:$A,0)),)</f>
        <v/>
      </c>
      <c r="O5231">
        <f>IFERROR(INDEX('Company Hitlist'!$N:$N,MATCH(D5231,'Company Hitlist'!$A:$A,0)),)</f>
        <v/>
      </c>
      <c r="Q5231" t="inlineStr">
        <is>
          <t>todo</t>
        </is>
      </c>
    </row>
    <row r="5232">
      <c r="A5232" t="inlineStr">
        <is>
          <t>Kyle Taylor</t>
        </is>
      </c>
      <c r="B5232" t="inlineStr">
        <is>
          <t>Attendee</t>
        </is>
      </c>
      <c r="C5232" t="inlineStr">
        <is>
          <t>Senior Director of Sales</t>
        </is>
      </c>
      <c r="D5232" t="inlineStr">
        <is>
          <t>FleetWorks</t>
        </is>
      </c>
      <c r="E5232" t="inlineStr">
        <is>
          <t>United States</t>
        </is>
      </c>
      <c r="H5232" t="n">
        <v>-8</v>
      </c>
      <c r="I5232" t="b">
        <v>0</v>
      </c>
      <c r="J5232" t="b">
        <v>0</v>
      </c>
      <c r="K5232" t="b">
        <v>0</v>
      </c>
      <c r="L5232" t="b">
        <v>0</v>
      </c>
      <c r="M5232" t="b">
        <v>1</v>
      </c>
      <c r="N5232">
        <f>IFERROR(INDEX('Company Hitlist'!$AA:$AA,MATCH(D5232,'Company Hitlist'!$A:$A,0)),)</f>
        <v/>
      </c>
      <c r="O5232">
        <f>IFERROR(INDEX('Company Hitlist'!$N:$N,MATCH(D5232,'Company Hitlist'!$A:$A,0)),)</f>
        <v/>
      </c>
      <c r="Q5232" t="inlineStr">
        <is>
          <t>todo</t>
        </is>
      </c>
    </row>
    <row r="5233">
      <c r="A5233" t="inlineStr">
        <is>
          <t>Elan Zamri</t>
        </is>
      </c>
      <c r="B5233" t="inlineStr">
        <is>
          <t>Attendee</t>
        </is>
      </c>
      <c r="C5233" t="inlineStr">
        <is>
          <t>Account Executive</t>
        </is>
      </c>
      <c r="D5233" t="inlineStr">
        <is>
          <t>FleetWorks</t>
        </is>
      </c>
      <c r="E5233" t="inlineStr">
        <is>
          <t>United States</t>
        </is>
      </c>
      <c r="H5233" t="n">
        <v>-8</v>
      </c>
      <c r="I5233" t="b">
        <v>0</v>
      </c>
      <c r="J5233" t="b">
        <v>0</v>
      </c>
      <c r="K5233" t="b">
        <v>0</v>
      </c>
      <c r="L5233" t="b">
        <v>0</v>
      </c>
      <c r="M5233" t="b">
        <v>1</v>
      </c>
      <c r="N5233">
        <f>IFERROR(INDEX('Company Hitlist'!$AA:$AA,MATCH(D5233,'Company Hitlist'!$A:$A,0)),)</f>
        <v/>
      </c>
      <c r="O5233">
        <f>IFERROR(INDEX('Company Hitlist'!$N:$N,MATCH(D5233,'Company Hitlist'!$A:$A,0)),)</f>
        <v/>
      </c>
      <c r="Q5233" t="inlineStr">
        <is>
          <t>todo</t>
        </is>
      </c>
    </row>
    <row r="5234">
      <c r="A5234" t="inlineStr">
        <is>
          <t>Michael Munday</t>
        </is>
      </c>
      <c r="B5234" t="inlineStr">
        <is>
          <t>Attendee</t>
        </is>
      </c>
      <c r="C5234" t="inlineStr">
        <is>
          <t>Director, Enterprise Sales</t>
        </is>
      </c>
      <c r="D5234" t="inlineStr">
        <is>
          <t>Flock Freight</t>
        </is>
      </c>
      <c r="E5234" t="inlineStr">
        <is>
          <t>United States</t>
        </is>
      </c>
      <c r="H5234" t="n">
        <v>-8</v>
      </c>
      <c r="I5234" t="b">
        <v>0</v>
      </c>
      <c r="J5234" t="b">
        <v>0</v>
      </c>
      <c r="K5234" t="b">
        <v>0</v>
      </c>
      <c r="L5234" t="b">
        <v>0</v>
      </c>
      <c r="M5234" t="b">
        <v>1</v>
      </c>
      <c r="N5234">
        <f>IFERROR(INDEX('Company Hitlist'!$AA:$AA,MATCH(D5234,'Company Hitlist'!$A:$A,0)),)</f>
        <v/>
      </c>
      <c r="O5234">
        <f>IFERROR(INDEX('Company Hitlist'!$N:$N,MATCH(D5234,'Company Hitlist'!$A:$A,0)),)</f>
        <v/>
      </c>
      <c r="Q5234" t="inlineStr">
        <is>
          <t>todo</t>
        </is>
      </c>
    </row>
    <row r="5235">
      <c r="A5235" t="inlineStr">
        <is>
          <t>Christopher Pagonis</t>
        </is>
      </c>
      <c r="B5235" t="inlineStr">
        <is>
          <t>Attendee</t>
        </is>
      </c>
      <c r="C5235" t="inlineStr">
        <is>
          <t>Director of Sales</t>
        </is>
      </c>
      <c r="D5235" t="inlineStr">
        <is>
          <t>Forward Air</t>
        </is>
      </c>
      <c r="E5235" t="inlineStr">
        <is>
          <t>United States</t>
        </is>
      </c>
      <c r="H5235" t="n">
        <v>-8</v>
      </c>
      <c r="I5235" t="b">
        <v>0</v>
      </c>
      <c r="J5235" t="b">
        <v>0</v>
      </c>
      <c r="K5235" t="b">
        <v>0</v>
      </c>
      <c r="L5235" t="b">
        <v>0</v>
      </c>
      <c r="M5235" t="b">
        <v>1</v>
      </c>
      <c r="N5235">
        <f>IFERROR(INDEX('Company Hitlist'!$AA:$AA,MATCH(D5235,'Company Hitlist'!$A:$A,0)),)</f>
        <v/>
      </c>
      <c r="O5235">
        <f>IFERROR(INDEX('Company Hitlist'!$N:$N,MATCH(D5235,'Company Hitlist'!$A:$A,0)),)</f>
        <v/>
      </c>
      <c r="Q5235" t="inlineStr">
        <is>
          <t>todo</t>
        </is>
      </c>
    </row>
    <row r="5236">
      <c r="A5236" t="inlineStr">
        <is>
          <t>Doug Day</t>
        </is>
      </c>
      <c r="B5236" t="inlineStr">
        <is>
          <t>Attendee</t>
        </is>
      </c>
      <c r="C5236" t="inlineStr">
        <is>
          <t>Sr Sales Executive</t>
        </is>
      </c>
      <c r="D5236" t="inlineStr">
        <is>
          <t>Forward Air</t>
        </is>
      </c>
      <c r="E5236" t="inlineStr">
        <is>
          <t>United States</t>
        </is>
      </c>
      <c r="H5236" t="n">
        <v>-8</v>
      </c>
      <c r="I5236" t="b">
        <v>0</v>
      </c>
      <c r="J5236" t="b">
        <v>0</v>
      </c>
      <c r="K5236" t="b">
        <v>0</v>
      </c>
      <c r="L5236" t="b">
        <v>0</v>
      </c>
      <c r="M5236" t="b">
        <v>1</v>
      </c>
      <c r="N5236">
        <f>IFERROR(INDEX('Company Hitlist'!$AA:$AA,MATCH(D5236,'Company Hitlist'!$A:$A,0)),)</f>
        <v/>
      </c>
      <c r="O5236">
        <f>IFERROR(INDEX('Company Hitlist'!$N:$N,MATCH(D5236,'Company Hitlist'!$A:$A,0)),)</f>
        <v/>
      </c>
      <c r="Q5236" t="inlineStr">
        <is>
          <t>todo</t>
        </is>
      </c>
    </row>
    <row r="5237">
      <c r="A5237" t="inlineStr">
        <is>
          <t>Jennifer Whitson</t>
        </is>
      </c>
      <c r="B5237" t="inlineStr">
        <is>
          <t>Attendee</t>
        </is>
      </c>
      <c r="C5237" t="inlineStr">
        <is>
          <t>Sales</t>
        </is>
      </c>
      <c r="D5237" t="inlineStr">
        <is>
          <t>Fountain City Logistics</t>
        </is>
      </c>
      <c r="E5237" t="inlineStr">
        <is>
          <t>United States</t>
        </is>
      </c>
      <c r="H5237" t="n">
        <v>-8</v>
      </c>
      <c r="I5237" t="b">
        <v>0</v>
      </c>
      <c r="J5237" t="b">
        <v>0</v>
      </c>
      <c r="K5237" t="b">
        <v>0</v>
      </c>
      <c r="L5237" t="b">
        <v>0</v>
      </c>
      <c r="M5237" t="b">
        <v>1</v>
      </c>
      <c r="N5237">
        <f>IFERROR(INDEX('Company Hitlist'!$AA:$AA,MATCH(D5237,'Company Hitlist'!$A:$A,0)),)</f>
        <v/>
      </c>
      <c r="O5237">
        <f>IFERROR(INDEX('Company Hitlist'!$N:$N,MATCH(D5237,'Company Hitlist'!$A:$A,0)),)</f>
        <v/>
      </c>
      <c r="Q5237" t="inlineStr">
        <is>
          <t>todo</t>
        </is>
      </c>
    </row>
    <row r="5238">
      <c r="A5238" t="inlineStr">
        <is>
          <t>Gregory Galanis</t>
        </is>
      </c>
      <c r="B5238" t="inlineStr">
        <is>
          <t>Attendee</t>
        </is>
      </c>
      <c r="C5238" t="inlineStr">
        <is>
          <t>Marketing Lead</t>
        </is>
      </c>
      <c r="D5238" t="inlineStr">
        <is>
          <t>Freight Handlers, Inc. (FHI)</t>
        </is>
      </c>
      <c r="E5238" t="inlineStr">
        <is>
          <t>United States</t>
        </is>
      </c>
      <c r="F5238" t="inlineStr">
        <is>
          <t>Yes</t>
        </is>
      </c>
      <c r="H5238" t="n">
        <v>-8</v>
      </c>
      <c r="I5238" t="b">
        <v>0</v>
      </c>
      <c r="J5238" t="b">
        <v>0</v>
      </c>
      <c r="K5238" t="b">
        <v>0</v>
      </c>
      <c r="L5238" t="b">
        <v>0</v>
      </c>
      <c r="M5238" t="b">
        <v>1</v>
      </c>
      <c r="N5238">
        <f>IFERROR(INDEX('Company Hitlist'!$AA:$AA,MATCH(D5238,'Company Hitlist'!$A:$A,0)),)</f>
        <v/>
      </c>
      <c r="O5238">
        <f>IFERROR(INDEX('Company Hitlist'!$N:$N,MATCH(D5238,'Company Hitlist'!$A:$A,0)),)</f>
        <v/>
      </c>
      <c r="Q5238" t="inlineStr">
        <is>
          <t>todo</t>
        </is>
      </c>
    </row>
    <row r="5239">
      <c r="A5239" t="inlineStr">
        <is>
          <t>CARLOS ENRIQUE BARRERA SANCHEZ</t>
        </is>
      </c>
      <c r="B5239" t="inlineStr">
        <is>
          <t>Attendee</t>
        </is>
      </c>
      <c r="C5239" t="inlineStr">
        <is>
          <t>BUSINESS DEVELOPMENT MANAGER</t>
        </is>
      </c>
      <c r="D5239" t="inlineStr">
        <is>
          <t>GEOTAB</t>
        </is>
      </c>
      <c r="H5239" t="n">
        <v>-8</v>
      </c>
      <c r="I5239" t="b">
        <v>0</v>
      </c>
      <c r="J5239" t="b">
        <v>0</v>
      </c>
      <c r="K5239" t="b">
        <v>0</v>
      </c>
      <c r="L5239" t="b">
        <v>0</v>
      </c>
      <c r="M5239" t="b">
        <v>1</v>
      </c>
      <c r="N5239">
        <f>IFERROR(INDEX('Company Hitlist'!$AA:$AA,MATCH(D5239,'Company Hitlist'!$A:$A,0)),)</f>
        <v/>
      </c>
      <c r="O5239">
        <f>IFERROR(INDEX('Company Hitlist'!$N:$N,MATCH(D5239,'Company Hitlist'!$A:$A,0)),)</f>
        <v/>
      </c>
      <c r="Q5239" t="inlineStr">
        <is>
          <t>todo</t>
        </is>
      </c>
    </row>
    <row r="5240">
      <c r="A5240" t="inlineStr">
        <is>
          <t>SHANNA COVA</t>
        </is>
      </c>
      <c r="B5240" t="inlineStr">
        <is>
          <t>Attendee</t>
        </is>
      </c>
      <c r="C5240" t="inlineStr">
        <is>
          <t>GLOBAL BUSINESS DEVELOPMENT MANAGER</t>
        </is>
      </c>
      <c r="D5240" t="inlineStr">
        <is>
          <t>GEOTAB</t>
        </is>
      </c>
      <c r="H5240" t="n">
        <v>-8</v>
      </c>
      <c r="I5240" t="b">
        <v>0</v>
      </c>
      <c r="J5240" t="b">
        <v>0</v>
      </c>
      <c r="K5240" t="b">
        <v>0</v>
      </c>
      <c r="L5240" t="b">
        <v>0</v>
      </c>
      <c r="M5240" t="b">
        <v>1</v>
      </c>
      <c r="N5240">
        <f>IFERROR(INDEX('Company Hitlist'!$AA:$AA,MATCH(D5240,'Company Hitlist'!$A:$A,0)),)</f>
        <v/>
      </c>
      <c r="O5240">
        <f>IFERROR(INDEX('Company Hitlist'!$N:$N,MATCH(D5240,'Company Hitlist'!$A:$A,0)),)</f>
        <v/>
      </c>
      <c r="Q5240" t="inlineStr">
        <is>
          <t>todo</t>
        </is>
      </c>
    </row>
    <row r="5241">
      <c r="A5241" t="inlineStr">
        <is>
          <t>susan mayo</t>
        </is>
      </c>
      <c r="B5241" t="inlineStr">
        <is>
          <t>Attendee</t>
        </is>
      </c>
      <c r="C5241" t="inlineStr">
        <is>
          <t>Director of Sales</t>
        </is>
      </c>
      <c r="D5241" t="inlineStr">
        <is>
          <t>GLCS, Inc.</t>
        </is>
      </c>
      <c r="E5241" t="inlineStr">
        <is>
          <t>United States</t>
        </is>
      </c>
      <c r="H5241" t="n">
        <v>-8</v>
      </c>
      <c r="I5241" t="b">
        <v>0</v>
      </c>
      <c r="J5241" t="b">
        <v>0</v>
      </c>
      <c r="K5241" t="b">
        <v>0</v>
      </c>
      <c r="L5241" t="b">
        <v>0</v>
      </c>
      <c r="M5241" t="b">
        <v>1</v>
      </c>
      <c r="N5241">
        <f>IFERROR(INDEX('Company Hitlist'!$AA:$AA,MATCH(D5241,'Company Hitlist'!$A:$A,0)),)</f>
        <v/>
      </c>
      <c r="O5241">
        <f>IFERROR(INDEX('Company Hitlist'!$N:$N,MATCH(D5241,'Company Hitlist'!$A:$A,0)),)</f>
        <v/>
      </c>
      <c r="Q5241" t="inlineStr">
        <is>
          <t>todo</t>
        </is>
      </c>
    </row>
    <row r="5242">
      <c r="A5242" t="inlineStr">
        <is>
          <t>Ahmed El-Alfy</t>
        </is>
      </c>
      <c r="B5242" t="inlineStr">
        <is>
          <t>Attendee</t>
        </is>
      </c>
      <c r="C5242" t="inlineStr">
        <is>
          <t>Business Development Director</t>
        </is>
      </c>
      <c r="D5242" t="inlineStr">
        <is>
          <t>GN TEQ</t>
        </is>
      </c>
      <c r="E5242" t="inlineStr">
        <is>
          <t>United Kingdom</t>
        </is>
      </c>
      <c r="H5242" t="n">
        <v>-8</v>
      </c>
      <c r="I5242" t="b">
        <v>0</v>
      </c>
      <c r="J5242" t="b">
        <v>0</v>
      </c>
      <c r="K5242" t="b">
        <v>0</v>
      </c>
      <c r="L5242" t="b">
        <v>0</v>
      </c>
      <c r="M5242" t="b">
        <v>1</v>
      </c>
      <c r="N5242">
        <f>IFERROR(INDEX('Company Hitlist'!$AA:$AA,MATCH(D5242,'Company Hitlist'!$A:$A,0)),)</f>
        <v/>
      </c>
      <c r="O5242">
        <f>IFERROR(INDEX('Company Hitlist'!$N:$N,MATCH(D5242,'Company Hitlist'!$A:$A,0)),)</f>
        <v/>
      </c>
      <c r="Q5242" t="inlineStr">
        <is>
          <t>todo</t>
        </is>
      </c>
    </row>
    <row r="5243">
      <c r="A5243" t="inlineStr">
        <is>
          <t>Amna Hazbic</t>
        </is>
      </c>
      <c r="B5243" t="inlineStr">
        <is>
          <t>Attendee</t>
        </is>
      </c>
      <c r="C5243" t="inlineStr">
        <is>
          <t>Business Development Manager</t>
        </is>
      </c>
      <c r="D5243" t="inlineStr">
        <is>
          <t>Gebrüder Weiss • Transport and Logistics</t>
        </is>
      </c>
      <c r="E5243" t="inlineStr">
        <is>
          <t>United States</t>
        </is>
      </c>
      <c r="H5243" t="n">
        <v>-8</v>
      </c>
      <c r="I5243" t="b">
        <v>0</v>
      </c>
      <c r="J5243" t="b">
        <v>0</v>
      </c>
      <c r="K5243" t="b">
        <v>0</v>
      </c>
      <c r="L5243" t="b">
        <v>0</v>
      </c>
      <c r="M5243" t="b">
        <v>1</v>
      </c>
      <c r="N5243">
        <f>IFERROR(INDEX('Company Hitlist'!$AA:$AA,MATCH(D5243,'Company Hitlist'!$A:$A,0)),)</f>
        <v/>
      </c>
      <c r="O5243">
        <f>IFERROR(INDEX('Company Hitlist'!$N:$N,MATCH(D5243,'Company Hitlist'!$A:$A,0)),)</f>
        <v/>
      </c>
      <c r="Q5243" t="inlineStr">
        <is>
          <t>todo</t>
        </is>
      </c>
    </row>
    <row r="5244">
      <c r="A5244" t="inlineStr">
        <is>
          <t>Joe McManis</t>
        </is>
      </c>
      <c r="B5244" t="inlineStr">
        <is>
          <t>Attendee</t>
        </is>
      </c>
      <c r="C5244" t="inlineStr">
        <is>
          <t>Director of Business Development</t>
        </is>
      </c>
      <c r="D5244" t="inlineStr">
        <is>
          <t>Global Logistics Inc.</t>
        </is>
      </c>
      <c r="E5244" t="inlineStr">
        <is>
          <t>United States</t>
        </is>
      </c>
      <c r="H5244" t="n">
        <v>-8</v>
      </c>
      <c r="I5244" t="b">
        <v>0</v>
      </c>
      <c r="J5244" t="b">
        <v>0</v>
      </c>
      <c r="K5244" t="b">
        <v>0</v>
      </c>
      <c r="L5244" t="b">
        <v>0</v>
      </c>
      <c r="M5244" t="b">
        <v>1</v>
      </c>
      <c r="N5244">
        <f>IFERROR(INDEX('Company Hitlist'!$AA:$AA,MATCH(D5244,'Company Hitlist'!$A:$A,0)),)</f>
        <v/>
      </c>
      <c r="O5244">
        <f>IFERROR(INDEX('Company Hitlist'!$N:$N,MATCH(D5244,'Company Hitlist'!$A:$A,0)),)</f>
        <v/>
      </c>
      <c r="Q5244" t="inlineStr">
        <is>
          <t>todo</t>
        </is>
      </c>
    </row>
    <row r="5245">
      <c r="A5245" t="inlineStr">
        <is>
          <t>Angela Karitis</t>
        </is>
      </c>
      <c r="B5245" t="inlineStr">
        <is>
          <t>Attendee</t>
        </is>
      </c>
      <c r="C5245" t="inlineStr">
        <is>
          <t>Director of Sales &amp; Marketing</t>
        </is>
      </c>
      <c r="D5245" t="inlineStr">
        <is>
          <t>Global Logistics, Inc.</t>
        </is>
      </c>
      <c r="E5245" t="inlineStr">
        <is>
          <t>United States</t>
        </is>
      </c>
      <c r="F5245" t="inlineStr">
        <is>
          <t>Yes</t>
        </is>
      </c>
      <c r="H5245" t="n">
        <v>-8</v>
      </c>
      <c r="I5245" t="b">
        <v>0</v>
      </c>
      <c r="J5245" t="b">
        <v>0</v>
      </c>
      <c r="K5245" t="b">
        <v>0</v>
      </c>
      <c r="L5245" t="b">
        <v>0</v>
      </c>
      <c r="M5245" t="b">
        <v>1</v>
      </c>
      <c r="N5245">
        <f>IFERROR(INDEX('Company Hitlist'!$AA:$AA,MATCH(D5245,'Company Hitlist'!$A:$A,0)),)</f>
        <v/>
      </c>
      <c r="O5245">
        <f>IFERROR(INDEX('Company Hitlist'!$N:$N,MATCH(D5245,'Company Hitlist'!$A:$A,0)),)</f>
        <v/>
      </c>
      <c r="Q5245" t="inlineStr">
        <is>
          <t>todo</t>
        </is>
      </c>
    </row>
    <row r="5246">
      <c r="A5246" t="inlineStr">
        <is>
          <t>Joseph Barrer</t>
        </is>
      </c>
      <c r="B5246" t="inlineStr">
        <is>
          <t>Attendee</t>
        </is>
      </c>
      <c r="C5246" t="inlineStr">
        <is>
          <t>Sr. Director of Business Development</t>
        </is>
      </c>
      <c r="D5246" t="inlineStr">
        <is>
          <t>Global Logistics, Inc.</t>
        </is>
      </c>
      <c r="E5246" t="inlineStr">
        <is>
          <t>United States</t>
        </is>
      </c>
      <c r="H5246" t="n">
        <v>-8</v>
      </c>
      <c r="I5246" t="b">
        <v>0</v>
      </c>
      <c r="J5246" t="b">
        <v>0</v>
      </c>
      <c r="K5246" t="b">
        <v>0</v>
      </c>
      <c r="L5246" t="b">
        <v>0</v>
      </c>
      <c r="M5246" t="b">
        <v>1</v>
      </c>
      <c r="N5246">
        <f>IFERROR(INDEX('Company Hitlist'!$AA:$AA,MATCH(D5246,'Company Hitlist'!$A:$A,0)),)</f>
        <v/>
      </c>
      <c r="O5246">
        <f>IFERROR(INDEX('Company Hitlist'!$N:$N,MATCH(D5246,'Company Hitlist'!$A:$A,0)),)</f>
        <v/>
      </c>
      <c r="Q5246" t="inlineStr">
        <is>
          <t>todo</t>
        </is>
      </c>
    </row>
    <row r="5247">
      <c r="A5247" t="inlineStr">
        <is>
          <t>Stephen Bjorlin</t>
        </is>
      </c>
      <c r="B5247" t="inlineStr">
        <is>
          <t>Attendee</t>
        </is>
      </c>
      <c r="C5247" t="inlineStr">
        <is>
          <t>Director of Business Development</t>
        </is>
      </c>
      <c r="D5247" t="inlineStr">
        <is>
          <t>Global Logistics, Inc.</t>
        </is>
      </c>
      <c r="E5247" t="inlineStr">
        <is>
          <t>United States</t>
        </is>
      </c>
      <c r="H5247" t="n">
        <v>-8</v>
      </c>
      <c r="I5247" t="b">
        <v>0</v>
      </c>
      <c r="J5247" t="b">
        <v>0</v>
      </c>
      <c r="K5247" t="b">
        <v>0</v>
      </c>
      <c r="L5247" t="b">
        <v>0</v>
      </c>
      <c r="M5247" t="b">
        <v>1</v>
      </c>
      <c r="N5247">
        <f>IFERROR(INDEX('Company Hitlist'!$AA:$AA,MATCH(D5247,'Company Hitlist'!$A:$A,0)),)</f>
        <v/>
      </c>
      <c r="O5247">
        <f>IFERROR(INDEX('Company Hitlist'!$N:$N,MATCH(D5247,'Company Hitlist'!$A:$A,0)),)</f>
        <v/>
      </c>
      <c r="Q5247" t="inlineStr">
        <is>
          <t>todo</t>
        </is>
      </c>
    </row>
    <row r="5248">
      <c r="A5248" t="inlineStr">
        <is>
          <t>Elliott Howes</t>
        </is>
      </c>
      <c r="B5248" t="inlineStr">
        <is>
          <t>Attendee</t>
        </is>
      </c>
      <c r="C5248" t="inlineStr">
        <is>
          <t>Business Development Representative</t>
        </is>
      </c>
      <c r="D5248" t="inlineStr">
        <is>
          <t>Greenplaces</t>
        </is>
      </c>
      <c r="E5248" t="inlineStr">
        <is>
          <t>United States</t>
        </is>
      </c>
      <c r="H5248" t="n">
        <v>-8</v>
      </c>
      <c r="I5248" t="b">
        <v>0</v>
      </c>
      <c r="J5248" t="b">
        <v>0</v>
      </c>
      <c r="K5248" t="b">
        <v>0</v>
      </c>
      <c r="L5248" t="b">
        <v>0</v>
      </c>
      <c r="M5248" t="b">
        <v>1</v>
      </c>
      <c r="N5248">
        <f>IFERROR(INDEX('Company Hitlist'!$AA:$AA,MATCH(D5248,'Company Hitlist'!$A:$A,0)),)</f>
        <v/>
      </c>
      <c r="O5248">
        <f>IFERROR(INDEX('Company Hitlist'!$N:$N,MATCH(D5248,'Company Hitlist'!$A:$A,0)),)</f>
        <v/>
      </c>
      <c r="Q5248" t="inlineStr">
        <is>
          <t>todo</t>
        </is>
      </c>
    </row>
    <row r="5249">
      <c r="A5249" t="inlineStr">
        <is>
          <t>Emily Neville</t>
        </is>
      </c>
      <c r="B5249" t="inlineStr">
        <is>
          <t>Attendee</t>
        </is>
      </c>
      <c r="C5249" t="inlineStr">
        <is>
          <t>Sr. Mgr, Business Development</t>
        </is>
      </c>
      <c r="D5249" t="inlineStr">
        <is>
          <t>Greenplaces</t>
        </is>
      </c>
      <c r="E5249" t="inlineStr">
        <is>
          <t>United States</t>
        </is>
      </c>
      <c r="H5249" t="n">
        <v>-8</v>
      </c>
      <c r="I5249" t="b">
        <v>0</v>
      </c>
      <c r="J5249" t="b">
        <v>0</v>
      </c>
      <c r="K5249" t="b">
        <v>0</v>
      </c>
      <c r="L5249" t="b">
        <v>0</v>
      </c>
      <c r="M5249" t="b">
        <v>1</v>
      </c>
      <c r="N5249">
        <f>IFERROR(INDEX('Company Hitlist'!$AA:$AA,MATCH(D5249,'Company Hitlist'!$A:$A,0)),)</f>
        <v/>
      </c>
      <c r="O5249">
        <f>IFERROR(INDEX('Company Hitlist'!$N:$N,MATCH(D5249,'Company Hitlist'!$A:$A,0)),)</f>
        <v/>
      </c>
      <c r="Q5249" t="inlineStr">
        <is>
          <t>todo</t>
        </is>
      </c>
    </row>
    <row r="5250">
      <c r="A5250" t="inlineStr">
        <is>
          <t>Maggie Chilton</t>
        </is>
      </c>
      <c r="B5250" t="inlineStr">
        <is>
          <t>Attendee</t>
        </is>
      </c>
      <c r="C5250" t="inlineStr">
        <is>
          <t>Business Development Representative</t>
        </is>
      </c>
      <c r="D5250" t="inlineStr">
        <is>
          <t>Greenplaces</t>
        </is>
      </c>
      <c r="E5250" t="inlineStr">
        <is>
          <t>United States</t>
        </is>
      </c>
      <c r="H5250" t="n">
        <v>-8</v>
      </c>
      <c r="I5250" t="b">
        <v>0</v>
      </c>
      <c r="J5250" t="b">
        <v>0</v>
      </c>
      <c r="K5250" t="b">
        <v>0</v>
      </c>
      <c r="L5250" t="b">
        <v>0</v>
      </c>
      <c r="M5250" t="b">
        <v>1</v>
      </c>
      <c r="N5250">
        <f>IFERROR(INDEX('Company Hitlist'!$AA:$AA,MATCH(D5250,'Company Hitlist'!$A:$A,0)),)</f>
        <v/>
      </c>
      <c r="O5250">
        <f>IFERROR(INDEX('Company Hitlist'!$N:$N,MATCH(D5250,'Company Hitlist'!$A:$A,0)),)</f>
        <v/>
      </c>
      <c r="Q5250" t="inlineStr">
        <is>
          <t>todo</t>
        </is>
      </c>
    </row>
    <row r="5251">
      <c r="A5251" t="inlineStr">
        <is>
          <t>Amanda Lauzon</t>
        </is>
      </c>
      <c r="B5251" t="inlineStr">
        <is>
          <t>Attendee</t>
        </is>
      </c>
      <c r="C5251" t="inlineStr">
        <is>
          <t>Director of Marketing</t>
        </is>
      </c>
      <c r="D5251" t="inlineStr">
        <is>
          <t>Gregory</t>
        </is>
      </c>
      <c r="E5251" t="inlineStr">
        <is>
          <t>United States</t>
        </is>
      </c>
      <c r="F5251" t="inlineStr">
        <is>
          <t>Yes</t>
        </is>
      </c>
      <c r="H5251" t="n">
        <v>-8</v>
      </c>
      <c r="I5251" t="b">
        <v>0</v>
      </c>
      <c r="J5251" t="b">
        <v>0</v>
      </c>
      <c r="K5251" t="b">
        <v>0</v>
      </c>
      <c r="L5251" t="b">
        <v>0</v>
      </c>
      <c r="M5251" t="b">
        <v>1</v>
      </c>
      <c r="N5251">
        <f>IFERROR(INDEX('Company Hitlist'!$AA:$AA,MATCH(D5251,'Company Hitlist'!$A:$A,0)),)</f>
        <v/>
      </c>
      <c r="O5251">
        <f>IFERROR(INDEX('Company Hitlist'!$N:$N,MATCH(D5251,'Company Hitlist'!$A:$A,0)),)</f>
        <v/>
      </c>
      <c r="Q5251" t="inlineStr">
        <is>
          <t>todo</t>
        </is>
      </c>
    </row>
    <row r="5252">
      <c r="A5252" t="inlineStr">
        <is>
          <t>Hannah O'Shea</t>
        </is>
      </c>
      <c r="B5252" t="inlineStr">
        <is>
          <t>Attendee</t>
        </is>
      </c>
      <c r="C5252" t="inlineStr">
        <is>
          <t>Marketing Director</t>
        </is>
      </c>
      <c r="D5252" t="inlineStr">
        <is>
          <t>Guardian Fleet Services</t>
        </is>
      </c>
      <c r="E5252" t="inlineStr">
        <is>
          <t>United States</t>
        </is>
      </c>
      <c r="H5252" t="n">
        <v>-8</v>
      </c>
      <c r="I5252" t="b">
        <v>0</v>
      </c>
      <c r="J5252" t="b">
        <v>0</v>
      </c>
      <c r="K5252" t="b">
        <v>0</v>
      </c>
      <c r="L5252" t="b">
        <v>0</v>
      </c>
      <c r="M5252" t="b">
        <v>1</v>
      </c>
      <c r="N5252">
        <f>IFERROR(INDEX('Company Hitlist'!$AA:$AA,MATCH(D5252,'Company Hitlist'!$A:$A,0)),)</f>
        <v/>
      </c>
      <c r="O5252">
        <f>IFERROR(INDEX('Company Hitlist'!$N:$N,MATCH(D5252,'Company Hitlist'!$A:$A,0)),)</f>
        <v/>
      </c>
      <c r="Q5252" t="inlineStr">
        <is>
          <t>todo</t>
        </is>
      </c>
    </row>
    <row r="5253">
      <c r="A5253" t="inlineStr">
        <is>
          <t>Don Kisela</t>
        </is>
      </c>
      <c r="B5253" t="inlineStr">
        <is>
          <t>Attendee</t>
        </is>
      </c>
      <c r="C5253" t="inlineStr">
        <is>
          <t>Sr. Sales Manager</t>
        </is>
      </c>
      <c r="D5253" t="inlineStr">
        <is>
          <t>HERE Technologies</t>
        </is>
      </c>
      <c r="E5253" t="inlineStr">
        <is>
          <t>United States</t>
        </is>
      </c>
      <c r="H5253" t="n">
        <v>-8</v>
      </c>
      <c r="I5253" t="b">
        <v>0</v>
      </c>
      <c r="J5253" t="b">
        <v>0</v>
      </c>
      <c r="K5253" t="b">
        <v>0</v>
      </c>
      <c r="L5253" t="b">
        <v>0</v>
      </c>
      <c r="M5253" t="b">
        <v>1</v>
      </c>
      <c r="N5253">
        <f>IFERROR(INDEX('Company Hitlist'!$AA:$AA,MATCH(D5253,'Company Hitlist'!$A:$A,0)),)</f>
        <v/>
      </c>
      <c r="O5253">
        <f>IFERROR(INDEX('Company Hitlist'!$N:$N,MATCH(D5253,'Company Hitlist'!$A:$A,0)),)</f>
        <v/>
      </c>
      <c r="Q5253" t="inlineStr">
        <is>
          <t>todo</t>
        </is>
      </c>
    </row>
    <row r="5254">
      <c r="A5254" t="inlineStr">
        <is>
          <t>Daniel Hoehle</t>
        </is>
      </c>
      <c r="B5254" t="inlineStr">
        <is>
          <t>Attendee</t>
        </is>
      </c>
      <c r="C5254" t="inlineStr">
        <is>
          <t>Senior Manager Business Development E-Commerce</t>
        </is>
      </c>
      <c r="D5254" t="inlineStr">
        <is>
          <t>Hellmann Worldwide Logistics</t>
        </is>
      </c>
      <c r="E5254" t="inlineStr">
        <is>
          <t>Germany</t>
        </is>
      </c>
      <c r="H5254" t="n">
        <v>-8</v>
      </c>
      <c r="I5254" t="b">
        <v>0</v>
      </c>
      <c r="J5254" t="b">
        <v>0</v>
      </c>
      <c r="K5254" t="b">
        <v>0</v>
      </c>
      <c r="L5254" t="b">
        <v>0</v>
      </c>
      <c r="M5254" t="b">
        <v>1</v>
      </c>
      <c r="N5254">
        <f>IFERROR(INDEX('Company Hitlist'!$AA:$AA,MATCH(D5254,'Company Hitlist'!$A:$A,0)),)</f>
        <v/>
      </c>
      <c r="O5254">
        <f>IFERROR(INDEX('Company Hitlist'!$N:$N,MATCH(D5254,'Company Hitlist'!$A:$A,0)),)</f>
        <v/>
      </c>
      <c r="Q5254" t="inlineStr">
        <is>
          <t>todo</t>
        </is>
      </c>
    </row>
    <row r="5255">
      <c r="A5255" t="inlineStr">
        <is>
          <t>Matthew Schroyer</t>
        </is>
      </c>
      <c r="B5255" t="inlineStr">
        <is>
          <t>Attendee</t>
        </is>
      </c>
      <c r="C5255" t="inlineStr">
        <is>
          <t>National Accounts Sales Director</t>
        </is>
      </c>
      <c r="D5255" t="inlineStr">
        <is>
          <t>Hermann Services</t>
        </is>
      </c>
      <c r="E5255" t="inlineStr">
        <is>
          <t>United States</t>
        </is>
      </c>
      <c r="H5255" t="n">
        <v>-8</v>
      </c>
      <c r="I5255" t="b">
        <v>0</v>
      </c>
      <c r="J5255" t="b">
        <v>0</v>
      </c>
      <c r="K5255" t="b">
        <v>0</v>
      </c>
      <c r="L5255" t="b">
        <v>0</v>
      </c>
      <c r="M5255" t="b">
        <v>1</v>
      </c>
      <c r="N5255">
        <f>IFERROR(INDEX('Company Hitlist'!$AA:$AA,MATCH(D5255,'Company Hitlist'!$A:$A,0)),)</f>
        <v/>
      </c>
      <c r="O5255">
        <f>IFERROR(INDEX('Company Hitlist'!$N:$N,MATCH(D5255,'Company Hitlist'!$A:$A,0)),)</f>
        <v/>
      </c>
      <c r="Q5255" t="inlineStr">
        <is>
          <t>todo</t>
        </is>
      </c>
    </row>
    <row r="5256">
      <c r="A5256" t="inlineStr">
        <is>
          <t>Fiona Gellatly</t>
        </is>
      </c>
      <c r="B5256" t="inlineStr">
        <is>
          <t>Attendee</t>
        </is>
      </c>
      <c r="C5256" t="inlineStr">
        <is>
          <t>Enterprise Sales</t>
        </is>
      </c>
      <c r="D5256" t="inlineStr">
        <is>
          <t>Highnote</t>
        </is>
      </c>
      <c r="E5256" t="inlineStr">
        <is>
          <t>United States</t>
        </is>
      </c>
      <c r="H5256" t="n">
        <v>-8</v>
      </c>
      <c r="I5256" t="b">
        <v>0</v>
      </c>
      <c r="J5256" t="b">
        <v>0</v>
      </c>
      <c r="K5256" t="b">
        <v>0</v>
      </c>
      <c r="L5256" t="b">
        <v>0</v>
      </c>
      <c r="M5256" t="b">
        <v>1</v>
      </c>
      <c r="N5256">
        <f>IFERROR(INDEX('Company Hitlist'!$AA:$AA,MATCH(D5256,'Company Hitlist'!$A:$A,0)),)</f>
        <v/>
      </c>
      <c r="O5256">
        <f>IFERROR(INDEX('Company Hitlist'!$N:$N,MATCH(D5256,'Company Hitlist'!$A:$A,0)),)</f>
        <v/>
      </c>
      <c r="Q5256" t="inlineStr">
        <is>
          <t>todo</t>
        </is>
      </c>
    </row>
    <row r="5257">
      <c r="A5257" t="inlineStr">
        <is>
          <t>Lawrence Chiu</t>
        </is>
      </c>
      <c r="B5257" t="inlineStr">
        <is>
          <t>Attendee</t>
        </is>
      </c>
      <c r="C5257" t="inlineStr">
        <is>
          <t>Marketing Manager</t>
        </is>
      </c>
      <c r="D5257" t="inlineStr">
        <is>
          <t>Hong Kong Trade Development Council</t>
        </is>
      </c>
      <c r="E5257" t="inlineStr">
        <is>
          <t>United States</t>
        </is>
      </c>
      <c r="H5257" t="n">
        <v>-8</v>
      </c>
      <c r="I5257" t="b">
        <v>0</v>
      </c>
      <c r="J5257" t="b">
        <v>0</v>
      </c>
      <c r="K5257" t="b">
        <v>0</v>
      </c>
      <c r="L5257" t="b">
        <v>0</v>
      </c>
      <c r="M5257" t="b">
        <v>1</v>
      </c>
      <c r="N5257">
        <f>IFERROR(INDEX('Company Hitlist'!$AA:$AA,MATCH(D5257,'Company Hitlist'!$A:$A,0)),)</f>
        <v/>
      </c>
      <c r="O5257">
        <f>IFERROR(INDEX('Company Hitlist'!$N:$N,MATCH(D5257,'Company Hitlist'!$A:$A,0)),)</f>
        <v/>
      </c>
      <c r="Q5257" t="inlineStr">
        <is>
          <t>todo</t>
        </is>
      </c>
    </row>
    <row r="5258">
      <c r="A5258" t="inlineStr">
        <is>
          <t>Alex Brown</t>
        </is>
      </c>
      <c r="B5258" t="inlineStr">
        <is>
          <t>Attendee</t>
        </is>
      </c>
      <c r="C5258" t="inlineStr">
        <is>
          <t>Senior Sales Executive</t>
        </is>
      </c>
      <c r="D5258" t="inlineStr">
        <is>
          <t>Hoplite Logistics</t>
        </is>
      </c>
      <c r="E5258" t="inlineStr">
        <is>
          <t>United States</t>
        </is>
      </c>
      <c r="H5258" t="n">
        <v>-8</v>
      </c>
      <c r="I5258" t="b">
        <v>0</v>
      </c>
      <c r="J5258" t="b">
        <v>0</v>
      </c>
      <c r="K5258" t="b">
        <v>0</v>
      </c>
      <c r="L5258" t="b">
        <v>0</v>
      </c>
      <c r="M5258" t="b">
        <v>1</v>
      </c>
      <c r="N5258">
        <f>IFERROR(INDEX('Company Hitlist'!$AA:$AA,MATCH(D5258,'Company Hitlist'!$A:$A,0)),)</f>
        <v/>
      </c>
      <c r="O5258">
        <f>IFERROR(INDEX('Company Hitlist'!$N:$N,MATCH(D5258,'Company Hitlist'!$A:$A,0)),)</f>
        <v/>
      </c>
      <c r="Q5258" t="inlineStr">
        <is>
          <t>todo</t>
        </is>
      </c>
    </row>
    <row r="5259">
      <c r="A5259" t="inlineStr">
        <is>
          <t>Rob Conard</t>
        </is>
      </c>
      <c r="B5259" t="inlineStr">
        <is>
          <t>Attendee</t>
        </is>
      </c>
      <c r="C5259" t="inlineStr">
        <is>
          <t>Director of Sales</t>
        </is>
      </c>
      <c r="D5259" t="inlineStr">
        <is>
          <t>Hoplite Logistics</t>
        </is>
      </c>
      <c r="E5259" t="inlineStr">
        <is>
          <t>United States</t>
        </is>
      </c>
      <c r="H5259" t="n">
        <v>-8</v>
      </c>
      <c r="I5259" t="b">
        <v>0</v>
      </c>
      <c r="J5259" t="b">
        <v>0</v>
      </c>
      <c r="K5259" t="b">
        <v>0</v>
      </c>
      <c r="L5259" t="b">
        <v>0</v>
      </c>
      <c r="M5259" t="b">
        <v>1</v>
      </c>
      <c r="N5259">
        <f>IFERROR(INDEX('Company Hitlist'!$AA:$AA,MATCH(D5259,'Company Hitlist'!$A:$A,0)),)</f>
        <v/>
      </c>
      <c r="O5259">
        <f>IFERROR(INDEX('Company Hitlist'!$N:$N,MATCH(D5259,'Company Hitlist'!$A:$A,0)),)</f>
        <v/>
      </c>
      <c r="Q5259" t="inlineStr">
        <is>
          <t>todo</t>
        </is>
      </c>
    </row>
    <row r="5260">
      <c r="A5260" t="inlineStr">
        <is>
          <t>Ryan Fregeau</t>
        </is>
      </c>
      <c r="B5260" t="inlineStr">
        <is>
          <t>Attendee</t>
        </is>
      </c>
      <c r="C5260" t="inlineStr">
        <is>
          <t>Director of Sales</t>
        </is>
      </c>
      <c r="D5260" t="inlineStr">
        <is>
          <t>Hoplite Logistics</t>
        </is>
      </c>
      <c r="E5260" t="inlineStr">
        <is>
          <t>United States</t>
        </is>
      </c>
      <c r="H5260" t="n">
        <v>-8</v>
      </c>
      <c r="I5260" t="b">
        <v>0</v>
      </c>
      <c r="J5260" t="b">
        <v>0</v>
      </c>
      <c r="K5260" t="b">
        <v>0</v>
      </c>
      <c r="L5260" t="b">
        <v>0</v>
      </c>
      <c r="M5260" t="b">
        <v>1</v>
      </c>
      <c r="N5260">
        <f>IFERROR(INDEX('Company Hitlist'!$AA:$AA,MATCH(D5260,'Company Hitlist'!$A:$A,0)),)</f>
        <v/>
      </c>
      <c r="O5260">
        <f>IFERROR(INDEX('Company Hitlist'!$N:$N,MATCH(D5260,'Company Hitlist'!$A:$A,0)),)</f>
        <v/>
      </c>
      <c r="Q5260" t="inlineStr">
        <is>
          <t>todo</t>
        </is>
      </c>
    </row>
    <row r="5261">
      <c r="A5261" t="inlineStr">
        <is>
          <t>Ryan Schaffer</t>
        </is>
      </c>
      <c r="B5261" t="inlineStr">
        <is>
          <t>Attendee</t>
        </is>
      </c>
      <c r="C5261" t="inlineStr">
        <is>
          <t>Director, Business Development</t>
        </is>
      </c>
      <c r="D5261" t="inlineStr">
        <is>
          <t>Infinity Loop</t>
        </is>
      </c>
      <c r="E5261" t="inlineStr">
        <is>
          <t>United States</t>
        </is>
      </c>
      <c r="H5261" t="n">
        <v>-8</v>
      </c>
      <c r="I5261" t="b">
        <v>0</v>
      </c>
      <c r="J5261" t="b">
        <v>0</v>
      </c>
      <c r="K5261" t="b">
        <v>0</v>
      </c>
      <c r="L5261" t="b">
        <v>0</v>
      </c>
      <c r="M5261" t="b">
        <v>1</v>
      </c>
      <c r="N5261">
        <f>IFERROR(INDEX('Company Hitlist'!$AA:$AA,MATCH(D5261,'Company Hitlist'!$A:$A,0)),)</f>
        <v/>
      </c>
      <c r="O5261">
        <f>IFERROR(INDEX('Company Hitlist'!$N:$N,MATCH(D5261,'Company Hitlist'!$A:$A,0)),)</f>
        <v/>
      </c>
      <c r="Q5261" t="inlineStr">
        <is>
          <t>todo</t>
        </is>
      </c>
    </row>
    <row r="5262">
      <c r="A5262" t="inlineStr">
        <is>
          <t>Sam Schafer</t>
        </is>
      </c>
      <c r="B5262" t="inlineStr">
        <is>
          <t>Attendee</t>
        </is>
      </c>
      <c r="C5262" t="inlineStr">
        <is>
          <t>Customer Success Director</t>
        </is>
      </c>
      <c r="D5262" t="inlineStr">
        <is>
          <t>InfoPlus Commerce</t>
        </is>
      </c>
      <c r="E5262" t="inlineStr">
        <is>
          <t>United States</t>
        </is>
      </c>
      <c r="F5262" t="inlineStr">
        <is>
          <t>Yes</t>
        </is>
      </c>
      <c r="H5262" t="n">
        <v>-8</v>
      </c>
      <c r="I5262" t="b">
        <v>0</v>
      </c>
      <c r="J5262" t="b">
        <v>0</v>
      </c>
      <c r="K5262" t="b">
        <v>0</v>
      </c>
      <c r="L5262" t="b">
        <v>0</v>
      </c>
      <c r="M5262" t="b">
        <v>1</v>
      </c>
      <c r="N5262">
        <f>IFERROR(INDEX('Company Hitlist'!$AA:$AA,MATCH(D5262,'Company Hitlist'!$A:$A,0)),)</f>
        <v/>
      </c>
      <c r="O5262">
        <f>IFERROR(INDEX('Company Hitlist'!$N:$N,MATCH(D5262,'Company Hitlist'!$A:$A,0)),)</f>
        <v/>
      </c>
      <c r="Q5262" t="inlineStr">
        <is>
          <t>todo</t>
        </is>
      </c>
    </row>
    <row r="5263">
      <c r="A5263" t="inlineStr">
        <is>
          <t>Joel Wilson</t>
        </is>
      </c>
      <c r="B5263" t="inlineStr">
        <is>
          <t>Attendee</t>
        </is>
      </c>
      <c r="C5263" t="inlineStr">
        <is>
          <t>Director of Sales</t>
        </is>
      </c>
      <c r="D5263" t="inlineStr">
        <is>
          <t>InfoPlus Commerce</t>
        </is>
      </c>
      <c r="E5263" t="inlineStr">
        <is>
          <t>United States</t>
        </is>
      </c>
      <c r="H5263" t="n">
        <v>-8</v>
      </c>
      <c r="I5263" t="b">
        <v>0</v>
      </c>
      <c r="J5263" t="b">
        <v>0</v>
      </c>
      <c r="K5263" t="b">
        <v>0</v>
      </c>
      <c r="L5263" t="b">
        <v>0</v>
      </c>
      <c r="M5263" t="b">
        <v>1</v>
      </c>
      <c r="N5263">
        <f>IFERROR(INDEX('Company Hitlist'!$AA:$AA,MATCH(D5263,'Company Hitlist'!$A:$A,0)),)</f>
        <v/>
      </c>
      <c r="O5263">
        <f>IFERROR(INDEX('Company Hitlist'!$N:$N,MATCH(D5263,'Company Hitlist'!$A:$A,0)),)</f>
        <v/>
      </c>
      <c r="Q5263" t="inlineStr">
        <is>
          <t>todo</t>
        </is>
      </c>
    </row>
    <row r="5264">
      <c r="A5264" t="inlineStr">
        <is>
          <t>Kyle Urech</t>
        </is>
      </c>
      <c r="B5264" t="inlineStr">
        <is>
          <t>Attendee</t>
        </is>
      </c>
      <c r="C5264" t="inlineStr">
        <is>
          <t>Senior Sales Director</t>
        </is>
      </c>
      <c r="D5264" t="inlineStr">
        <is>
          <t>International Bridge</t>
        </is>
      </c>
      <c r="E5264" t="inlineStr">
        <is>
          <t>United States</t>
        </is>
      </c>
      <c r="H5264" t="n">
        <v>-8</v>
      </c>
      <c r="I5264" t="b">
        <v>0</v>
      </c>
      <c r="J5264" t="b">
        <v>0</v>
      </c>
      <c r="K5264" t="b">
        <v>0</v>
      </c>
      <c r="L5264" t="b">
        <v>0</v>
      </c>
      <c r="M5264" t="b">
        <v>1</v>
      </c>
      <c r="N5264">
        <f>IFERROR(INDEX('Company Hitlist'!$AA:$AA,MATCH(D5264,'Company Hitlist'!$A:$A,0)),)</f>
        <v/>
      </c>
      <c r="O5264">
        <f>IFERROR(INDEX('Company Hitlist'!$N:$N,MATCH(D5264,'Company Hitlist'!$A:$A,0)),)</f>
        <v/>
      </c>
      <c r="Q5264" t="inlineStr">
        <is>
          <t>todo</t>
        </is>
      </c>
    </row>
    <row r="5265">
      <c r="A5265" t="inlineStr">
        <is>
          <t>Danny Casey</t>
        </is>
      </c>
      <c r="B5265" t="inlineStr">
        <is>
          <t>Attendee</t>
        </is>
      </c>
      <c r="C5265" t="inlineStr">
        <is>
          <t>Sales Executive</t>
        </is>
      </c>
      <c r="D5265" t="inlineStr">
        <is>
          <t>Jack Henry</t>
        </is>
      </c>
      <c r="E5265" t="inlineStr">
        <is>
          <t>United States</t>
        </is>
      </c>
      <c r="H5265" t="n">
        <v>-8</v>
      </c>
      <c r="I5265" t="b">
        <v>0</v>
      </c>
      <c r="J5265" t="b">
        <v>0</v>
      </c>
      <c r="K5265" t="b">
        <v>0</v>
      </c>
      <c r="L5265" t="b">
        <v>0</v>
      </c>
      <c r="M5265" t="b">
        <v>1</v>
      </c>
      <c r="N5265">
        <f>IFERROR(INDEX('Company Hitlist'!$AA:$AA,MATCH(D5265,'Company Hitlist'!$A:$A,0)),)</f>
        <v/>
      </c>
      <c r="O5265">
        <f>IFERROR(INDEX('Company Hitlist'!$N:$N,MATCH(D5265,'Company Hitlist'!$A:$A,0)),)</f>
        <v/>
      </c>
      <c r="Q5265" t="inlineStr">
        <is>
          <t>todo</t>
        </is>
      </c>
    </row>
    <row r="5266">
      <c r="A5266" t="inlineStr">
        <is>
          <t>Maf Sonko</t>
        </is>
      </c>
      <c r="B5266" t="inlineStr">
        <is>
          <t>Attendee</t>
        </is>
      </c>
      <c r="C5266" t="inlineStr">
        <is>
          <t>Sales Executive</t>
        </is>
      </c>
      <c r="D5266" t="inlineStr">
        <is>
          <t>Jack Henry</t>
        </is>
      </c>
      <c r="E5266" t="inlineStr">
        <is>
          <t>United States</t>
        </is>
      </c>
      <c r="H5266" t="n">
        <v>-8</v>
      </c>
      <c r="I5266" t="b">
        <v>0</v>
      </c>
      <c r="J5266" t="b">
        <v>0</v>
      </c>
      <c r="K5266" t="b">
        <v>0</v>
      </c>
      <c r="L5266" t="b">
        <v>0</v>
      </c>
      <c r="M5266" t="b">
        <v>1</v>
      </c>
      <c r="N5266">
        <f>IFERROR(INDEX('Company Hitlist'!$AA:$AA,MATCH(D5266,'Company Hitlist'!$A:$A,0)),)</f>
        <v/>
      </c>
      <c r="O5266">
        <f>IFERROR(INDEX('Company Hitlist'!$N:$N,MATCH(D5266,'Company Hitlist'!$A:$A,0)),)</f>
        <v/>
      </c>
      <c r="Q5266" t="inlineStr">
        <is>
          <t>todo</t>
        </is>
      </c>
    </row>
    <row r="5267">
      <c r="A5267" t="inlineStr">
        <is>
          <t>David Briceno</t>
        </is>
      </c>
      <c r="B5267" t="inlineStr">
        <is>
          <t>Attendee</t>
        </is>
      </c>
      <c r="C5267" t="inlineStr">
        <is>
          <t>Director of Sales</t>
        </is>
      </c>
      <c r="D5267" t="inlineStr">
        <is>
          <t>Jacksonville Port Authority (JAXPORT)</t>
        </is>
      </c>
      <c r="E5267" t="inlineStr">
        <is>
          <t>United States</t>
        </is>
      </c>
      <c r="H5267" t="n">
        <v>-8</v>
      </c>
      <c r="I5267" t="b">
        <v>0</v>
      </c>
      <c r="J5267" t="b">
        <v>0</v>
      </c>
      <c r="K5267" t="b">
        <v>0</v>
      </c>
      <c r="L5267" t="b">
        <v>0</v>
      </c>
      <c r="M5267" t="b">
        <v>1</v>
      </c>
      <c r="N5267">
        <f>IFERROR(INDEX('Company Hitlist'!$AA:$AA,MATCH(D5267,'Company Hitlist'!$A:$A,0)),)</f>
        <v/>
      </c>
      <c r="O5267">
        <f>IFERROR(INDEX('Company Hitlist'!$N:$N,MATCH(D5267,'Company Hitlist'!$A:$A,0)),)</f>
        <v/>
      </c>
      <c r="Q5267" t="inlineStr">
        <is>
          <t>todo</t>
        </is>
      </c>
    </row>
    <row r="5268">
      <c r="A5268" t="inlineStr">
        <is>
          <t>Scott Chamberlain</t>
        </is>
      </c>
      <c r="B5268" t="inlineStr">
        <is>
          <t>Attendee</t>
        </is>
      </c>
      <c r="C5268" t="inlineStr">
        <is>
          <t>Sr. Director Sales &amp; Marketing</t>
        </is>
      </c>
      <c r="D5268" t="inlineStr">
        <is>
          <t>JayGroup 3PL</t>
        </is>
      </c>
      <c r="E5268" t="inlineStr">
        <is>
          <t>United States</t>
        </is>
      </c>
      <c r="F5268" t="inlineStr">
        <is>
          <t>Yes</t>
        </is>
      </c>
      <c r="H5268" t="n">
        <v>-8</v>
      </c>
      <c r="I5268" t="b">
        <v>0</v>
      </c>
      <c r="J5268" t="b">
        <v>0</v>
      </c>
      <c r="K5268" t="b">
        <v>0</v>
      </c>
      <c r="L5268" t="b">
        <v>0</v>
      </c>
      <c r="M5268" t="b">
        <v>1</v>
      </c>
      <c r="N5268">
        <f>IFERROR(INDEX('Company Hitlist'!$AA:$AA,MATCH(D5268,'Company Hitlist'!$A:$A,0)),)</f>
        <v/>
      </c>
      <c r="O5268">
        <f>IFERROR(INDEX('Company Hitlist'!$N:$N,MATCH(D5268,'Company Hitlist'!$A:$A,0)),)</f>
        <v/>
      </c>
      <c r="Q5268" t="inlineStr">
        <is>
          <t>todo</t>
        </is>
      </c>
    </row>
    <row r="5269">
      <c r="A5269" t="inlineStr">
        <is>
          <t>Shane Elliot</t>
        </is>
      </c>
      <c r="B5269" t="inlineStr">
        <is>
          <t>Attendee</t>
        </is>
      </c>
      <c r="C5269" t="inlineStr">
        <is>
          <t>Business Development Executive</t>
        </is>
      </c>
      <c r="D5269" t="inlineStr">
        <is>
          <t>Johnson Storage &amp; Moving</t>
        </is>
      </c>
      <c r="E5269" t="inlineStr">
        <is>
          <t>United States</t>
        </is>
      </c>
      <c r="H5269" t="n">
        <v>-8</v>
      </c>
      <c r="I5269" t="b">
        <v>0</v>
      </c>
      <c r="J5269" t="b">
        <v>0</v>
      </c>
      <c r="K5269" t="b">
        <v>0</v>
      </c>
      <c r="L5269" t="b">
        <v>0</v>
      </c>
      <c r="M5269" t="b">
        <v>1</v>
      </c>
      <c r="N5269">
        <f>IFERROR(INDEX('Company Hitlist'!$AA:$AA,MATCH(D5269,'Company Hitlist'!$A:$A,0)),)</f>
        <v/>
      </c>
      <c r="O5269">
        <f>IFERROR(INDEX('Company Hitlist'!$N:$N,MATCH(D5269,'Company Hitlist'!$A:$A,0)),)</f>
        <v/>
      </c>
      <c r="Q5269" t="inlineStr">
        <is>
          <t>todo</t>
        </is>
      </c>
    </row>
    <row r="5270">
      <c r="A5270" t="inlineStr">
        <is>
          <t>Grant Ashe</t>
        </is>
      </c>
      <c r="B5270" t="inlineStr">
        <is>
          <t>Attendee</t>
        </is>
      </c>
      <c r="C5270" t="inlineStr">
        <is>
          <t>Director of Sales</t>
        </is>
      </c>
      <c r="D5270" t="inlineStr">
        <is>
          <t>KLLM Transport Services</t>
        </is>
      </c>
      <c r="E5270" t="inlineStr">
        <is>
          <t>United States</t>
        </is>
      </c>
      <c r="H5270" t="n">
        <v>-8</v>
      </c>
      <c r="I5270" t="b">
        <v>0</v>
      </c>
      <c r="J5270" t="b">
        <v>0</v>
      </c>
      <c r="K5270" t="b">
        <v>0</v>
      </c>
      <c r="L5270" t="b">
        <v>0</v>
      </c>
      <c r="M5270" t="b">
        <v>1</v>
      </c>
      <c r="N5270">
        <f>IFERROR(INDEX('Company Hitlist'!$AA:$AA,MATCH(D5270,'Company Hitlist'!$A:$A,0)),)</f>
        <v/>
      </c>
      <c r="O5270">
        <f>IFERROR(INDEX('Company Hitlist'!$N:$N,MATCH(D5270,'Company Hitlist'!$A:$A,0)),)</f>
        <v/>
      </c>
      <c r="Q5270" t="inlineStr">
        <is>
          <t>todo</t>
        </is>
      </c>
    </row>
    <row r="5271">
      <c r="A5271" t="inlineStr">
        <is>
          <t>Michael George</t>
        </is>
      </c>
      <c r="B5271" t="inlineStr">
        <is>
          <t>Attendee</t>
        </is>
      </c>
      <c r="C5271" t="inlineStr">
        <is>
          <t>Sales Consultant</t>
        </is>
      </c>
      <c r="D5271" t="inlineStr">
        <is>
          <t>KNAPP</t>
        </is>
      </c>
      <c r="E5271" t="inlineStr">
        <is>
          <t>United States</t>
        </is>
      </c>
      <c r="H5271" t="n">
        <v>-8</v>
      </c>
      <c r="I5271" t="b">
        <v>0</v>
      </c>
      <c r="J5271" t="b">
        <v>0</v>
      </c>
      <c r="K5271" t="b">
        <v>0</v>
      </c>
      <c r="L5271" t="b">
        <v>0</v>
      </c>
      <c r="M5271" t="b">
        <v>1</v>
      </c>
      <c r="N5271">
        <f>IFERROR(INDEX('Company Hitlist'!$AA:$AA,MATCH(D5271,'Company Hitlist'!$A:$A,0)),)</f>
        <v/>
      </c>
      <c r="O5271">
        <f>IFERROR(INDEX('Company Hitlist'!$N:$N,MATCH(D5271,'Company Hitlist'!$A:$A,0)),)</f>
        <v/>
      </c>
      <c r="Q5271" t="inlineStr">
        <is>
          <t>todo</t>
        </is>
      </c>
    </row>
    <row r="5272">
      <c r="A5272" t="inlineStr">
        <is>
          <t>Deb Neidhard</t>
        </is>
      </c>
      <c r="B5272" t="inlineStr">
        <is>
          <t>Attendee</t>
        </is>
      </c>
      <c r="C5272" t="inlineStr">
        <is>
          <t>Business Development Specialist</t>
        </is>
      </c>
      <c r="D5272" t="inlineStr">
        <is>
          <t>Kardex</t>
        </is>
      </c>
      <c r="E5272" t="inlineStr">
        <is>
          <t>United States</t>
        </is>
      </c>
      <c r="H5272" t="n">
        <v>-8</v>
      </c>
      <c r="I5272" t="b">
        <v>0</v>
      </c>
      <c r="J5272" t="b">
        <v>0</v>
      </c>
      <c r="K5272" t="b">
        <v>0</v>
      </c>
      <c r="L5272" t="b">
        <v>0</v>
      </c>
      <c r="M5272" t="b">
        <v>1</v>
      </c>
      <c r="N5272">
        <f>IFERROR(INDEX('Company Hitlist'!$AA:$AA,MATCH(D5272,'Company Hitlist'!$A:$A,0)),)</f>
        <v/>
      </c>
      <c r="O5272">
        <f>IFERROR(INDEX('Company Hitlist'!$N:$N,MATCH(D5272,'Company Hitlist'!$A:$A,0)),)</f>
        <v/>
      </c>
      <c r="Q5272" t="inlineStr">
        <is>
          <t>todo</t>
        </is>
      </c>
    </row>
    <row r="5273">
      <c r="A5273" t="inlineStr">
        <is>
          <t>Stephanie Cielenski</t>
        </is>
      </c>
      <c r="B5273" t="inlineStr">
        <is>
          <t>Attendee</t>
        </is>
      </c>
      <c r="C5273" t="inlineStr">
        <is>
          <t>Marketing Manager</t>
        </is>
      </c>
      <c r="D5273" t="inlineStr">
        <is>
          <t>Kardex</t>
        </is>
      </c>
      <c r="E5273" t="inlineStr">
        <is>
          <t>United States</t>
        </is>
      </c>
      <c r="H5273" t="n">
        <v>-8</v>
      </c>
      <c r="I5273" t="b">
        <v>0</v>
      </c>
      <c r="J5273" t="b">
        <v>0</v>
      </c>
      <c r="K5273" t="b">
        <v>0</v>
      </c>
      <c r="L5273" t="b">
        <v>0</v>
      </c>
      <c r="M5273" t="b">
        <v>1</v>
      </c>
      <c r="N5273">
        <f>IFERROR(INDEX('Company Hitlist'!$AA:$AA,MATCH(D5273,'Company Hitlist'!$A:$A,0)),)</f>
        <v/>
      </c>
      <c r="O5273">
        <f>IFERROR(INDEX('Company Hitlist'!$N:$N,MATCH(D5273,'Company Hitlist'!$A:$A,0)),)</f>
        <v/>
      </c>
      <c r="Q5273" t="inlineStr">
        <is>
          <t>todo</t>
        </is>
      </c>
    </row>
    <row r="5274">
      <c r="A5274" t="inlineStr">
        <is>
          <t>Stephen Tok</t>
        </is>
      </c>
      <c r="B5274" t="inlineStr">
        <is>
          <t>Attendee</t>
        </is>
      </c>
      <c r="C5274" t="inlineStr">
        <is>
          <t>Director, Business Development</t>
        </is>
      </c>
      <c r="D5274" t="inlineStr">
        <is>
          <t>Kempower</t>
        </is>
      </c>
      <c r="E5274" t="inlineStr">
        <is>
          <t>United States</t>
        </is>
      </c>
      <c r="H5274" t="n">
        <v>-8</v>
      </c>
      <c r="I5274" t="b">
        <v>0</v>
      </c>
      <c r="J5274" t="b">
        <v>0</v>
      </c>
      <c r="K5274" t="b">
        <v>0</v>
      </c>
      <c r="L5274" t="b">
        <v>0</v>
      </c>
      <c r="M5274" t="b">
        <v>1</v>
      </c>
      <c r="N5274">
        <f>IFERROR(INDEX('Company Hitlist'!$AA:$AA,MATCH(D5274,'Company Hitlist'!$A:$A,0)),)</f>
        <v/>
      </c>
      <c r="O5274">
        <f>IFERROR(INDEX('Company Hitlist'!$N:$N,MATCH(D5274,'Company Hitlist'!$A:$A,0)),)</f>
        <v/>
      </c>
      <c r="Q5274" t="inlineStr">
        <is>
          <t>todo</t>
        </is>
      </c>
    </row>
    <row r="5275">
      <c r="A5275" t="inlineStr">
        <is>
          <t>Chelsi Reschke</t>
        </is>
      </c>
      <c r="B5275" t="inlineStr">
        <is>
          <t>Attendee</t>
        </is>
      </c>
      <c r="C5275" t="inlineStr">
        <is>
          <t>Sales Assistant Americas</t>
        </is>
      </c>
      <c r="D5275" t="inlineStr">
        <is>
          <t>Landmark Global Inc.</t>
        </is>
      </c>
      <c r="E5275" t="inlineStr">
        <is>
          <t>United States</t>
        </is>
      </c>
      <c r="H5275" t="n">
        <v>-8</v>
      </c>
      <c r="I5275" t="b">
        <v>0</v>
      </c>
      <c r="J5275" t="b">
        <v>0</v>
      </c>
      <c r="K5275" t="b">
        <v>0</v>
      </c>
      <c r="L5275" t="b">
        <v>0</v>
      </c>
      <c r="M5275" t="b">
        <v>1</v>
      </c>
      <c r="N5275">
        <f>IFERROR(INDEX('Company Hitlist'!$AA:$AA,MATCH(D5275,'Company Hitlist'!$A:$A,0)),)</f>
        <v/>
      </c>
      <c r="O5275">
        <f>IFERROR(INDEX('Company Hitlist'!$N:$N,MATCH(D5275,'Company Hitlist'!$A:$A,0)),)</f>
        <v/>
      </c>
      <c r="Q5275" t="inlineStr">
        <is>
          <t>todo</t>
        </is>
      </c>
    </row>
    <row r="5276">
      <c r="A5276" t="inlineStr">
        <is>
          <t>Kristi Patterson</t>
        </is>
      </c>
      <c r="B5276" t="inlineStr">
        <is>
          <t>Attendee</t>
        </is>
      </c>
      <c r="C5276" t="inlineStr">
        <is>
          <t>Regional Sales Director</t>
        </is>
      </c>
      <c r="D5276" t="inlineStr">
        <is>
          <t>Landmark Global Inc.</t>
        </is>
      </c>
      <c r="E5276" t="inlineStr">
        <is>
          <t>United States</t>
        </is>
      </c>
      <c r="H5276" t="n">
        <v>-8</v>
      </c>
      <c r="I5276" t="b">
        <v>0</v>
      </c>
      <c r="J5276" t="b">
        <v>0</v>
      </c>
      <c r="K5276" t="b">
        <v>0</v>
      </c>
      <c r="L5276" t="b">
        <v>0</v>
      </c>
      <c r="M5276" t="b">
        <v>1</v>
      </c>
      <c r="N5276">
        <f>IFERROR(INDEX('Company Hitlist'!$AA:$AA,MATCH(D5276,'Company Hitlist'!$A:$A,0)),)</f>
        <v/>
      </c>
      <c r="O5276">
        <f>IFERROR(INDEX('Company Hitlist'!$N:$N,MATCH(D5276,'Company Hitlist'!$A:$A,0)),)</f>
        <v/>
      </c>
      <c r="Q5276" t="inlineStr">
        <is>
          <t>todo</t>
        </is>
      </c>
    </row>
    <row r="5277">
      <c r="A5277" t="inlineStr">
        <is>
          <t>jason shugar</t>
        </is>
      </c>
      <c r="B5277" t="inlineStr">
        <is>
          <t>Attendee</t>
        </is>
      </c>
      <c r="C5277" t="inlineStr">
        <is>
          <t>National Sales Manager - Packaging</t>
        </is>
      </c>
      <c r="D5277" t="inlineStr">
        <is>
          <t>Lindenmeyr Munroe</t>
        </is>
      </c>
      <c r="E5277" t="inlineStr">
        <is>
          <t>United States</t>
        </is>
      </c>
      <c r="H5277" t="n">
        <v>-8</v>
      </c>
      <c r="I5277" t="b">
        <v>0</v>
      </c>
      <c r="J5277" t="b">
        <v>0</v>
      </c>
      <c r="K5277" t="b">
        <v>0</v>
      </c>
      <c r="L5277" t="b">
        <v>0</v>
      </c>
      <c r="M5277" t="b">
        <v>1</v>
      </c>
      <c r="N5277">
        <f>IFERROR(INDEX('Company Hitlist'!$AA:$AA,MATCH(D5277,'Company Hitlist'!$A:$A,0)),)</f>
        <v/>
      </c>
      <c r="O5277">
        <f>IFERROR(INDEX('Company Hitlist'!$N:$N,MATCH(D5277,'Company Hitlist'!$A:$A,0)),)</f>
        <v/>
      </c>
      <c r="Q5277" t="inlineStr">
        <is>
          <t>todo</t>
        </is>
      </c>
    </row>
    <row r="5278">
      <c r="A5278" t="inlineStr">
        <is>
          <t>Garrett Fry</t>
        </is>
      </c>
      <c r="B5278" t="inlineStr">
        <is>
          <t>Attendee</t>
        </is>
      </c>
      <c r="C5278" t="inlineStr">
        <is>
          <t>Director of Sales</t>
        </is>
      </c>
      <c r="D5278" t="inlineStr">
        <is>
          <t>Liquidity Services</t>
        </is>
      </c>
      <c r="E5278" t="inlineStr">
        <is>
          <t>United States</t>
        </is>
      </c>
      <c r="H5278" t="n">
        <v>-8</v>
      </c>
      <c r="I5278" t="b">
        <v>0</v>
      </c>
      <c r="J5278" t="b">
        <v>0</v>
      </c>
      <c r="K5278" t="b">
        <v>0</v>
      </c>
      <c r="L5278" t="b">
        <v>0</v>
      </c>
      <c r="M5278" t="b">
        <v>1</v>
      </c>
      <c r="N5278">
        <f>IFERROR(INDEX('Company Hitlist'!$AA:$AA,MATCH(D5278,'Company Hitlist'!$A:$A,0)),)</f>
        <v/>
      </c>
      <c r="O5278">
        <f>IFERROR(INDEX('Company Hitlist'!$N:$N,MATCH(D5278,'Company Hitlist'!$A:$A,0)),)</f>
        <v/>
      </c>
      <c r="Q5278" t="inlineStr">
        <is>
          <t>todo</t>
        </is>
      </c>
    </row>
    <row r="5279">
      <c r="A5279" t="inlineStr">
        <is>
          <t>Sarah Hale</t>
        </is>
      </c>
      <c r="B5279" t="inlineStr">
        <is>
          <t>Attendee</t>
        </is>
      </c>
      <c r="C5279" t="inlineStr">
        <is>
          <t>Director of Marketing</t>
        </is>
      </c>
      <c r="D5279" t="inlineStr">
        <is>
          <t>Logiwa</t>
        </is>
      </c>
      <c r="E5279" t="inlineStr">
        <is>
          <t>United States</t>
        </is>
      </c>
      <c r="F5279" t="inlineStr">
        <is>
          <t>Yes</t>
        </is>
      </c>
      <c r="G5279" t="inlineStr">
        <is>
          <t>$46.4 million (2025)</t>
        </is>
      </c>
      <c r="H5279" t="n">
        <v>-8</v>
      </c>
      <c r="I5279" t="b">
        <v>0</v>
      </c>
      <c r="J5279" t="b">
        <v>0</v>
      </c>
      <c r="K5279" t="b">
        <v>0</v>
      </c>
      <c r="L5279" t="b">
        <v>0</v>
      </c>
      <c r="M5279" t="b">
        <v>1</v>
      </c>
      <c r="N5279">
        <f>IFERROR(INDEX('Company Hitlist'!$AA:$AA,MATCH(D5279,'Company Hitlist'!$A:$A,0)),)</f>
        <v/>
      </c>
      <c r="O5279">
        <f>IFERROR(INDEX('Company Hitlist'!$N:$N,MATCH(D5279,'Company Hitlist'!$A:$A,0)),)</f>
        <v/>
      </c>
      <c r="Q5279" t="inlineStr">
        <is>
          <t>todo</t>
        </is>
      </c>
    </row>
    <row r="5280">
      <c r="A5280" t="inlineStr">
        <is>
          <t>Bob Puetz</t>
        </is>
      </c>
      <c r="B5280" t="inlineStr">
        <is>
          <t>Attendee</t>
        </is>
      </c>
      <c r="C5280" t="inlineStr">
        <is>
          <t>Enterprise Account Executive</t>
        </is>
      </c>
      <c r="D5280" t="inlineStr">
        <is>
          <t>Logiwa</t>
        </is>
      </c>
      <c r="E5280" t="inlineStr">
        <is>
          <t>United States</t>
        </is>
      </c>
      <c r="H5280" t="n">
        <v>-8</v>
      </c>
      <c r="I5280" t="b">
        <v>0</v>
      </c>
      <c r="J5280" t="b">
        <v>0</v>
      </c>
      <c r="K5280" t="b">
        <v>0</v>
      </c>
      <c r="L5280" t="b">
        <v>0</v>
      </c>
      <c r="M5280" t="b">
        <v>1</v>
      </c>
      <c r="N5280">
        <f>IFERROR(INDEX('Company Hitlist'!$AA:$AA,MATCH(D5280,'Company Hitlist'!$A:$A,0)),)</f>
        <v/>
      </c>
      <c r="O5280">
        <f>IFERROR(INDEX('Company Hitlist'!$N:$N,MATCH(D5280,'Company Hitlist'!$A:$A,0)),)</f>
        <v/>
      </c>
      <c r="Q5280" t="inlineStr">
        <is>
          <t>todo</t>
        </is>
      </c>
    </row>
    <row r="5281">
      <c r="A5281" t="inlineStr">
        <is>
          <t>Robert Schnuderl</t>
        </is>
      </c>
      <c r="B5281" t="inlineStr">
        <is>
          <t>Attendee</t>
        </is>
      </c>
      <c r="C5281" t="inlineStr">
        <is>
          <t>Director of Sales</t>
        </is>
      </c>
      <c r="D5281" t="inlineStr">
        <is>
          <t>MIAS Inc.</t>
        </is>
      </c>
      <c r="E5281" t="inlineStr">
        <is>
          <t>United States</t>
        </is>
      </c>
      <c r="H5281" t="n">
        <v>-8</v>
      </c>
      <c r="I5281" t="b">
        <v>0</v>
      </c>
      <c r="J5281" t="b">
        <v>0</v>
      </c>
      <c r="K5281" t="b">
        <v>0</v>
      </c>
      <c r="L5281" t="b">
        <v>0</v>
      </c>
      <c r="M5281" t="b">
        <v>1</v>
      </c>
      <c r="N5281">
        <f>IFERROR(INDEX('Company Hitlist'!$AA:$AA,MATCH(D5281,'Company Hitlist'!$A:$A,0)),)</f>
        <v/>
      </c>
      <c r="O5281">
        <f>IFERROR(INDEX('Company Hitlist'!$N:$N,MATCH(D5281,'Company Hitlist'!$A:$A,0)),)</f>
        <v/>
      </c>
      <c r="Q5281" t="inlineStr">
        <is>
          <t>todo</t>
        </is>
      </c>
    </row>
    <row r="5282">
      <c r="A5282" t="inlineStr">
        <is>
          <t>Christopher Schmitt</t>
        </is>
      </c>
      <c r="B5282" t="inlineStr">
        <is>
          <t>Attendee</t>
        </is>
      </c>
      <c r="C5282" t="inlineStr">
        <is>
          <t>Director of Sales</t>
        </is>
      </c>
      <c r="D5282" t="inlineStr">
        <is>
          <t>MIXMOVE</t>
        </is>
      </c>
      <c r="E5282" t="inlineStr">
        <is>
          <t>Portugal</t>
        </is>
      </c>
      <c r="H5282" t="n">
        <v>-8</v>
      </c>
      <c r="I5282" t="b">
        <v>0</v>
      </c>
      <c r="J5282" t="b">
        <v>0</v>
      </c>
      <c r="K5282" t="b">
        <v>0</v>
      </c>
      <c r="L5282" t="b">
        <v>0</v>
      </c>
      <c r="M5282" t="b">
        <v>1</v>
      </c>
      <c r="N5282">
        <f>IFERROR(INDEX('Company Hitlist'!$AA:$AA,MATCH(D5282,'Company Hitlist'!$A:$A,0)),)</f>
        <v/>
      </c>
      <c r="O5282">
        <f>IFERROR(INDEX('Company Hitlist'!$N:$N,MATCH(D5282,'Company Hitlist'!$A:$A,0)),)</f>
        <v/>
      </c>
      <c r="Q5282" t="inlineStr">
        <is>
          <t>todo</t>
        </is>
      </c>
    </row>
    <row r="5283">
      <c r="A5283" t="inlineStr">
        <is>
          <t>Jeff Usher</t>
        </is>
      </c>
      <c r="B5283" t="inlineStr">
        <is>
          <t>Attendee</t>
        </is>
      </c>
      <c r="C5283" t="inlineStr">
        <is>
          <t>Business Development</t>
        </is>
      </c>
      <c r="D5283" t="inlineStr">
        <is>
          <t>MOD Delivery</t>
        </is>
      </c>
      <c r="E5283" t="inlineStr">
        <is>
          <t>United States</t>
        </is>
      </c>
      <c r="H5283" t="n">
        <v>-8</v>
      </c>
      <c r="I5283" t="b">
        <v>0</v>
      </c>
      <c r="J5283" t="b">
        <v>0</v>
      </c>
      <c r="K5283" t="b">
        <v>0</v>
      </c>
      <c r="L5283" t="b">
        <v>0</v>
      </c>
      <c r="M5283" t="b">
        <v>1</v>
      </c>
      <c r="N5283">
        <f>IFERROR(INDEX('Company Hitlist'!$AA:$AA,MATCH(D5283,'Company Hitlist'!$A:$A,0)),)</f>
        <v/>
      </c>
      <c r="O5283">
        <f>IFERROR(INDEX('Company Hitlist'!$N:$N,MATCH(D5283,'Company Hitlist'!$A:$A,0)),)</f>
        <v/>
      </c>
      <c r="Q5283" t="inlineStr">
        <is>
          <t>todo</t>
        </is>
      </c>
    </row>
    <row r="5284">
      <c r="A5284" t="inlineStr">
        <is>
          <t>Ryoko Kozuma</t>
        </is>
      </c>
      <c r="B5284" t="inlineStr">
        <is>
          <t>Attendee</t>
        </is>
      </c>
      <c r="C5284" t="inlineStr">
        <is>
          <t>Growth Manager</t>
        </is>
      </c>
      <c r="D5284" t="inlineStr">
        <is>
          <t>MOL PLUS Co., Ltd.</t>
        </is>
      </c>
      <c r="E5284" t="inlineStr">
        <is>
          <t>Japan</t>
        </is>
      </c>
      <c r="H5284" t="n">
        <v>-8</v>
      </c>
      <c r="I5284" t="b">
        <v>0</v>
      </c>
      <c r="J5284" t="b">
        <v>0</v>
      </c>
      <c r="K5284" t="b">
        <v>0</v>
      </c>
      <c r="L5284" t="b">
        <v>0</v>
      </c>
      <c r="M5284" t="b">
        <v>1</v>
      </c>
      <c r="N5284">
        <f>IFERROR(INDEX('Company Hitlist'!$AA:$AA,MATCH(D5284,'Company Hitlist'!$A:$A,0)),)</f>
        <v/>
      </c>
      <c r="O5284">
        <f>IFERROR(INDEX('Company Hitlist'!$N:$N,MATCH(D5284,'Company Hitlist'!$A:$A,0)),)</f>
        <v/>
      </c>
      <c r="Q5284" t="inlineStr">
        <is>
          <t>todo</t>
        </is>
      </c>
    </row>
    <row r="5285">
      <c r="A5285" t="inlineStr">
        <is>
          <t>Chris Britton</t>
        </is>
      </c>
      <c r="B5285" t="inlineStr">
        <is>
          <t>Attendee</t>
        </is>
      </c>
      <c r="C5285" t="inlineStr">
        <is>
          <t>Business Management - Small Parcel Sales</t>
        </is>
      </c>
      <c r="D5285" t="inlineStr">
        <is>
          <t>Maersk</t>
        </is>
      </c>
      <c r="E5285" t="inlineStr">
        <is>
          <t>United States</t>
        </is>
      </c>
      <c r="H5285" t="n">
        <v>-8</v>
      </c>
      <c r="I5285" t="b">
        <v>0</v>
      </c>
      <c r="J5285" t="b">
        <v>0</v>
      </c>
      <c r="K5285" t="b">
        <v>0</v>
      </c>
      <c r="L5285" t="b">
        <v>0</v>
      </c>
      <c r="M5285" t="b">
        <v>1</v>
      </c>
      <c r="N5285">
        <f>IFERROR(INDEX('Company Hitlist'!$AA:$AA,MATCH(D5285,'Company Hitlist'!$A:$A,0)),)</f>
        <v/>
      </c>
      <c r="O5285">
        <f>IFERROR(INDEX('Company Hitlist'!$N:$N,MATCH(D5285,'Company Hitlist'!$A:$A,0)),)</f>
        <v/>
      </c>
      <c r="Q5285" t="inlineStr">
        <is>
          <t>todo</t>
        </is>
      </c>
    </row>
    <row r="5286">
      <c r="A5286" t="inlineStr">
        <is>
          <t>Taylor Philippi Hansen</t>
        </is>
      </c>
      <c r="B5286" t="inlineStr">
        <is>
          <t>Attendee</t>
        </is>
      </c>
      <c r="C5286" t="inlineStr">
        <is>
          <t>Growth Enablement Manager</t>
        </is>
      </c>
      <c r="D5286" t="inlineStr">
        <is>
          <t>Maersk</t>
        </is>
      </c>
      <c r="E5286" t="inlineStr">
        <is>
          <t>United States</t>
        </is>
      </c>
      <c r="H5286" t="n">
        <v>-8</v>
      </c>
      <c r="I5286" t="b">
        <v>0</v>
      </c>
      <c r="J5286" t="b">
        <v>0</v>
      </c>
      <c r="K5286" t="b">
        <v>0</v>
      </c>
      <c r="L5286" t="b">
        <v>0</v>
      </c>
      <c r="M5286" t="b">
        <v>1</v>
      </c>
      <c r="N5286">
        <f>IFERROR(INDEX('Company Hitlist'!$AA:$AA,MATCH(D5286,'Company Hitlist'!$A:$A,0)),)</f>
        <v/>
      </c>
      <c r="O5286">
        <f>IFERROR(INDEX('Company Hitlist'!$N:$N,MATCH(D5286,'Company Hitlist'!$A:$A,0)),)</f>
        <v/>
      </c>
      <c r="Q5286" t="inlineStr">
        <is>
          <t>todo</t>
        </is>
      </c>
    </row>
    <row r="5287">
      <c r="A5287" t="inlineStr">
        <is>
          <t>Chance Xu</t>
        </is>
      </c>
      <c r="B5287" t="inlineStr">
        <is>
          <t>Attendee</t>
        </is>
      </c>
      <c r="C5287" t="inlineStr">
        <is>
          <t>Business Development Manager</t>
        </is>
      </c>
      <c r="D5287" t="inlineStr">
        <is>
          <t>Maersk</t>
        </is>
      </c>
      <c r="E5287" t="inlineStr">
        <is>
          <t>United States</t>
        </is>
      </c>
      <c r="H5287" t="n">
        <v>-8</v>
      </c>
      <c r="I5287" t="b">
        <v>0</v>
      </c>
      <c r="J5287" t="b">
        <v>0</v>
      </c>
      <c r="K5287" t="b">
        <v>0</v>
      </c>
      <c r="L5287" t="b">
        <v>0</v>
      </c>
      <c r="M5287" t="b">
        <v>1</v>
      </c>
      <c r="N5287">
        <f>IFERROR(INDEX('Company Hitlist'!$AA:$AA,MATCH(D5287,'Company Hitlist'!$A:$A,0)),)</f>
        <v/>
      </c>
      <c r="O5287">
        <f>IFERROR(INDEX('Company Hitlist'!$N:$N,MATCH(D5287,'Company Hitlist'!$A:$A,0)),)</f>
        <v/>
      </c>
      <c r="Q5287" t="inlineStr">
        <is>
          <t>todo</t>
        </is>
      </c>
    </row>
    <row r="5288">
      <c r="A5288" t="inlineStr">
        <is>
          <t>Cord Udall</t>
        </is>
      </c>
      <c r="B5288" t="inlineStr">
        <is>
          <t>Attendee</t>
        </is>
      </c>
      <c r="C5288" t="inlineStr">
        <is>
          <t>Business Development Manager</t>
        </is>
      </c>
      <c r="D5288" t="inlineStr">
        <is>
          <t>Maersk</t>
        </is>
      </c>
      <c r="E5288" t="inlineStr">
        <is>
          <t>United States</t>
        </is>
      </c>
      <c r="H5288" t="n">
        <v>-8</v>
      </c>
      <c r="I5288" t="b">
        <v>0</v>
      </c>
      <c r="J5288" t="b">
        <v>0</v>
      </c>
      <c r="K5288" t="b">
        <v>0</v>
      </c>
      <c r="L5288" t="b">
        <v>0</v>
      </c>
      <c r="M5288" t="b">
        <v>1</v>
      </c>
      <c r="N5288">
        <f>IFERROR(INDEX('Company Hitlist'!$AA:$AA,MATCH(D5288,'Company Hitlist'!$A:$A,0)),)</f>
        <v/>
      </c>
      <c r="O5288">
        <f>IFERROR(INDEX('Company Hitlist'!$N:$N,MATCH(D5288,'Company Hitlist'!$A:$A,0)),)</f>
        <v/>
      </c>
      <c r="Q5288" t="inlineStr">
        <is>
          <t>todo</t>
        </is>
      </c>
    </row>
    <row r="5289">
      <c r="A5289" t="inlineStr">
        <is>
          <t>Peter Clark</t>
        </is>
      </c>
      <c r="B5289" t="inlineStr">
        <is>
          <t>Attendee</t>
        </is>
      </c>
      <c r="C5289" t="inlineStr">
        <is>
          <t>Business Development Manager</t>
        </is>
      </c>
      <c r="D5289" t="inlineStr">
        <is>
          <t>Maersk</t>
        </is>
      </c>
      <c r="E5289" t="inlineStr">
        <is>
          <t>United States</t>
        </is>
      </c>
      <c r="H5289" t="n">
        <v>-8</v>
      </c>
      <c r="I5289" t="b">
        <v>0</v>
      </c>
      <c r="J5289" t="b">
        <v>0</v>
      </c>
      <c r="K5289" t="b">
        <v>0</v>
      </c>
      <c r="L5289" t="b">
        <v>0</v>
      </c>
      <c r="M5289" t="b">
        <v>1</v>
      </c>
      <c r="N5289">
        <f>IFERROR(INDEX('Company Hitlist'!$AA:$AA,MATCH(D5289,'Company Hitlist'!$A:$A,0)),)</f>
        <v/>
      </c>
      <c r="O5289">
        <f>IFERROR(INDEX('Company Hitlist'!$N:$N,MATCH(D5289,'Company Hitlist'!$A:$A,0)),)</f>
        <v/>
      </c>
      <c r="Q5289" t="inlineStr">
        <is>
          <t>todo</t>
        </is>
      </c>
    </row>
    <row r="5290">
      <c r="A5290" t="inlineStr">
        <is>
          <t>Kyle Luekenga</t>
        </is>
      </c>
      <c r="B5290" t="inlineStr">
        <is>
          <t>Attendee</t>
        </is>
      </c>
      <c r="C5290" t="inlineStr">
        <is>
          <t>Commercial Business Development</t>
        </is>
      </c>
      <c r="D5290" t="inlineStr">
        <is>
          <t>Maersk Logistics</t>
        </is>
      </c>
      <c r="E5290" t="inlineStr">
        <is>
          <t>United States</t>
        </is>
      </c>
      <c r="H5290" t="n">
        <v>-8</v>
      </c>
      <c r="I5290" t="b">
        <v>0</v>
      </c>
      <c r="J5290" t="b">
        <v>0</v>
      </c>
      <c r="K5290" t="b">
        <v>0</v>
      </c>
      <c r="L5290" t="b">
        <v>0</v>
      </c>
      <c r="M5290" t="b">
        <v>1</v>
      </c>
      <c r="N5290">
        <f>IFERROR(INDEX('Company Hitlist'!$AA:$AA,MATCH(D5290,'Company Hitlist'!$A:$A,0)),)</f>
        <v/>
      </c>
      <c r="O5290">
        <f>IFERROR(INDEX('Company Hitlist'!$N:$N,MATCH(D5290,'Company Hitlist'!$A:$A,0)),)</f>
        <v/>
      </c>
      <c r="Q5290" t="inlineStr">
        <is>
          <t>todo</t>
        </is>
      </c>
    </row>
    <row r="5291">
      <c r="A5291" t="inlineStr">
        <is>
          <t>Lisa Sulouff</t>
        </is>
      </c>
      <c r="B5291" t="inlineStr">
        <is>
          <t>Attendee</t>
        </is>
      </c>
      <c r="C5291" t="inlineStr">
        <is>
          <t>Business Development Mgr.</t>
        </is>
      </c>
      <c r="D5291" t="inlineStr">
        <is>
          <t>Maersk eCommerce</t>
        </is>
      </c>
      <c r="E5291" t="inlineStr">
        <is>
          <t>United States</t>
        </is>
      </c>
      <c r="H5291" t="n">
        <v>-8</v>
      </c>
      <c r="I5291" t="b">
        <v>0</v>
      </c>
      <c r="J5291" t="b">
        <v>0</v>
      </c>
      <c r="K5291" t="b">
        <v>0</v>
      </c>
      <c r="L5291" t="b">
        <v>0</v>
      </c>
      <c r="M5291" t="b">
        <v>1</v>
      </c>
      <c r="N5291">
        <f>IFERROR(INDEX('Company Hitlist'!$AA:$AA,MATCH(D5291,'Company Hitlist'!$A:$A,0)),)</f>
        <v/>
      </c>
      <c r="O5291">
        <f>IFERROR(INDEX('Company Hitlist'!$N:$N,MATCH(D5291,'Company Hitlist'!$A:$A,0)),)</f>
        <v/>
      </c>
      <c r="Q5291" t="inlineStr">
        <is>
          <t>todo</t>
        </is>
      </c>
    </row>
    <row r="5292">
      <c r="A5292" t="inlineStr">
        <is>
          <t>Drew Ridlen</t>
        </is>
      </c>
      <c r="B5292" t="inlineStr">
        <is>
          <t>Attendee</t>
        </is>
      </c>
      <c r="C5292" t="inlineStr">
        <is>
          <t>Enterprise Sales Director</t>
        </is>
      </c>
      <c r="D5292" t="inlineStr">
        <is>
          <t>Mako Freight Warehousing &amp; Logistics</t>
        </is>
      </c>
      <c r="E5292" t="inlineStr">
        <is>
          <t>United States</t>
        </is>
      </c>
      <c r="H5292" t="n">
        <v>-8</v>
      </c>
      <c r="I5292" t="b">
        <v>0</v>
      </c>
      <c r="J5292" t="b">
        <v>0</v>
      </c>
      <c r="K5292" t="b">
        <v>0</v>
      </c>
      <c r="L5292" t="b">
        <v>0</v>
      </c>
      <c r="M5292" t="b">
        <v>1</v>
      </c>
      <c r="N5292">
        <f>IFERROR(INDEX('Company Hitlist'!$AA:$AA,MATCH(D5292,'Company Hitlist'!$A:$A,0)),)</f>
        <v/>
      </c>
      <c r="O5292">
        <f>IFERROR(INDEX('Company Hitlist'!$N:$N,MATCH(D5292,'Company Hitlist'!$A:$A,0)),)</f>
        <v/>
      </c>
      <c r="Q5292" t="inlineStr">
        <is>
          <t>todo</t>
        </is>
      </c>
    </row>
    <row r="5293">
      <c r="A5293" t="inlineStr">
        <is>
          <t>Connor Helm</t>
        </is>
      </c>
      <c r="B5293" t="inlineStr">
        <is>
          <t>Attendee</t>
        </is>
      </c>
      <c r="C5293" t="inlineStr">
        <is>
          <t>Account Executive</t>
        </is>
      </c>
      <c r="D5293" t="inlineStr">
        <is>
          <t>MarineTraffic</t>
        </is>
      </c>
      <c r="H5293" t="n">
        <v>-8</v>
      </c>
      <c r="I5293" t="b">
        <v>0</v>
      </c>
      <c r="J5293" t="b">
        <v>0</v>
      </c>
      <c r="K5293" t="b">
        <v>0</v>
      </c>
      <c r="L5293" t="b">
        <v>0</v>
      </c>
      <c r="M5293" t="b">
        <v>1</v>
      </c>
      <c r="N5293">
        <f>IFERROR(INDEX('Company Hitlist'!$AA:$AA,MATCH(D5293,'Company Hitlist'!$A:$A,0)),)</f>
        <v/>
      </c>
      <c r="O5293">
        <f>IFERROR(INDEX('Company Hitlist'!$N:$N,MATCH(D5293,'Company Hitlist'!$A:$A,0)),)</f>
        <v/>
      </c>
      <c r="Q5293" t="inlineStr">
        <is>
          <t>todo</t>
        </is>
      </c>
    </row>
    <row r="5294">
      <c r="A5294" t="inlineStr">
        <is>
          <t>Andy Miller</t>
        </is>
      </c>
      <c r="B5294" t="inlineStr">
        <is>
          <t>Attendee</t>
        </is>
      </c>
      <c r="C5294" t="inlineStr">
        <is>
          <t>Global Alliances</t>
        </is>
      </c>
      <c r="D5294" t="inlineStr">
        <is>
          <t>Mastery Logistics Systems</t>
        </is>
      </c>
      <c r="E5294" t="inlineStr">
        <is>
          <t>United States</t>
        </is>
      </c>
      <c r="F5294" t="inlineStr">
        <is>
          <t>Yes</t>
        </is>
      </c>
      <c r="H5294" t="n">
        <v>-8</v>
      </c>
      <c r="I5294" t="b">
        <v>0</v>
      </c>
      <c r="J5294" t="b">
        <v>0</v>
      </c>
      <c r="K5294" t="b">
        <v>0</v>
      </c>
      <c r="L5294" t="b">
        <v>0</v>
      </c>
      <c r="M5294" t="b">
        <v>1</v>
      </c>
      <c r="N5294">
        <f>IFERROR(INDEX('Company Hitlist'!$AA:$AA,MATCH(D5294,'Company Hitlist'!$A:$A,0)),)</f>
        <v/>
      </c>
      <c r="O5294">
        <f>IFERROR(INDEX('Company Hitlist'!$N:$N,MATCH(D5294,'Company Hitlist'!$A:$A,0)),)</f>
        <v/>
      </c>
      <c r="Q5294" t="inlineStr">
        <is>
          <t>todo</t>
        </is>
      </c>
    </row>
    <row r="5295">
      <c r="A5295" t="inlineStr">
        <is>
          <t>Jon Graham</t>
        </is>
      </c>
      <c r="B5295" t="inlineStr">
        <is>
          <t>Attendee</t>
        </is>
      </c>
      <c r="C5295" t="inlineStr">
        <is>
          <t>National Sales Manager</t>
        </is>
      </c>
      <c r="D5295" t="inlineStr">
        <is>
          <t>McLeod Software</t>
        </is>
      </c>
      <c r="E5295" t="inlineStr">
        <is>
          <t>United States</t>
        </is>
      </c>
      <c r="H5295" t="n">
        <v>-8</v>
      </c>
      <c r="I5295" t="b">
        <v>0</v>
      </c>
      <c r="J5295" t="b">
        <v>0</v>
      </c>
      <c r="K5295" t="b">
        <v>0</v>
      </c>
      <c r="L5295" t="b">
        <v>0</v>
      </c>
      <c r="M5295" t="b">
        <v>1</v>
      </c>
      <c r="N5295">
        <f>IFERROR(INDEX('Company Hitlist'!$AA:$AA,MATCH(D5295,'Company Hitlist'!$A:$A,0)),)</f>
        <v/>
      </c>
      <c r="O5295">
        <f>IFERROR(INDEX('Company Hitlist'!$N:$N,MATCH(D5295,'Company Hitlist'!$A:$A,0)),)</f>
        <v/>
      </c>
      <c r="Q5295" t="inlineStr">
        <is>
          <t>todo</t>
        </is>
      </c>
    </row>
    <row r="5296">
      <c r="A5296" t="inlineStr">
        <is>
          <t>Luis Rivas</t>
        </is>
      </c>
      <c r="B5296" t="inlineStr">
        <is>
          <t>Attendee</t>
        </is>
      </c>
      <c r="C5296" t="inlineStr">
        <is>
          <t>National Sales Director</t>
        </is>
      </c>
      <c r="D5296" t="inlineStr">
        <is>
          <t>Metis</t>
        </is>
      </c>
      <c r="E5296" t="inlineStr">
        <is>
          <t>United States</t>
        </is>
      </c>
      <c r="H5296" t="n">
        <v>-8</v>
      </c>
      <c r="I5296" t="b">
        <v>0</v>
      </c>
      <c r="J5296" t="b">
        <v>0</v>
      </c>
      <c r="K5296" t="b">
        <v>0</v>
      </c>
      <c r="L5296" t="b">
        <v>0</v>
      </c>
      <c r="M5296" t="b">
        <v>1</v>
      </c>
      <c r="N5296">
        <f>IFERROR(INDEX('Company Hitlist'!$AA:$AA,MATCH(D5296,'Company Hitlist'!$A:$A,0)),)</f>
        <v/>
      </c>
      <c r="O5296">
        <f>IFERROR(INDEX('Company Hitlist'!$N:$N,MATCH(D5296,'Company Hitlist'!$A:$A,0)),)</f>
        <v/>
      </c>
      <c r="Q5296" t="inlineStr">
        <is>
          <t>todo</t>
        </is>
      </c>
    </row>
    <row r="5297">
      <c r="A5297" t="inlineStr">
        <is>
          <t>Danielle Bailey</t>
        </is>
      </c>
      <c r="B5297" t="inlineStr">
        <is>
          <t>Attendee</t>
        </is>
      </c>
      <c r="C5297" t="inlineStr">
        <is>
          <t>Account Executive</t>
        </is>
      </c>
      <c r="D5297" t="inlineStr">
        <is>
          <t>MindCloud</t>
        </is>
      </c>
      <c r="E5297" t="inlineStr">
        <is>
          <t>United States</t>
        </is>
      </c>
      <c r="H5297" t="n">
        <v>-8</v>
      </c>
      <c r="I5297" t="b">
        <v>0</v>
      </c>
      <c r="J5297" t="b">
        <v>0</v>
      </c>
      <c r="K5297" t="b">
        <v>0</v>
      </c>
      <c r="L5297" t="b">
        <v>0</v>
      </c>
      <c r="M5297" t="b">
        <v>1</v>
      </c>
      <c r="N5297">
        <f>IFERROR(INDEX('Company Hitlist'!$AA:$AA,MATCH(D5297,'Company Hitlist'!$A:$A,0)),)</f>
        <v/>
      </c>
      <c r="O5297">
        <f>IFERROR(INDEX('Company Hitlist'!$N:$N,MATCH(D5297,'Company Hitlist'!$A:$A,0)),)</f>
        <v/>
      </c>
      <c r="Q5297" t="inlineStr">
        <is>
          <t>todo</t>
        </is>
      </c>
    </row>
    <row r="5298">
      <c r="A5298" t="inlineStr">
        <is>
          <t>Tyler Stryker</t>
        </is>
      </c>
      <c r="B5298" t="inlineStr">
        <is>
          <t>Attendee</t>
        </is>
      </c>
      <c r="C5298" t="inlineStr">
        <is>
          <t>Account Executive</t>
        </is>
      </c>
      <c r="D5298" t="inlineStr">
        <is>
          <t>MindCloud</t>
        </is>
      </c>
      <c r="E5298" t="inlineStr">
        <is>
          <t>United States</t>
        </is>
      </c>
      <c r="H5298" t="n">
        <v>-8</v>
      </c>
      <c r="I5298" t="b">
        <v>0</v>
      </c>
      <c r="J5298" t="b">
        <v>0</v>
      </c>
      <c r="K5298" t="b">
        <v>0</v>
      </c>
      <c r="L5298" t="b">
        <v>0</v>
      </c>
      <c r="M5298" t="b">
        <v>1</v>
      </c>
      <c r="N5298">
        <f>IFERROR(INDEX('Company Hitlist'!$AA:$AA,MATCH(D5298,'Company Hitlist'!$A:$A,0)),)</f>
        <v/>
      </c>
      <c r="O5298">
        <f>IFERROR(INDEX('Company Hitlist'!$N:$N,MATCH(D5298,'Company Hitlist'!$A:$A,0)),)</f>
        <v/>
      </c>
      <c r="Q5298" t="inlineStr">
        <is>
          <t>todo</t>
        </is>
      </c>
    </row>
    <row r="5299">
      <c r="A5299" t="inlineStr">
        <is>
          <t>Craig Suydam</t>
        </is>
      </c>
      <c r="B5299" t="inlineStr">
        <is>
          <t>Attendee</t>
        </is>
      </c>
      <c r="C5299" t="inlineStr">
        <is>
          <t>Business Development</t>
        </is>
      </c>
      <c r="D5299" t="inlineStr">
        <is>
          <t>Mitsubishi Electric Automotive America</t>
        </is>
      </c>
      <c r="E5299" t="inlineStr">
        <is>
          <t>United States</t>
        </is>
      </c>
      <c r="H5299" t="n">
        <v>-8</v>
      </c>
      <c r="I5299" t="b">
        <v>0</v>
      </c>
      <c r="J5299" t="b">
        <v>0</v>
      </c>
      <c r="K5299" t="b">
        <v>0</v>
      </c>
      <c r="L5299" t="b">
        <v>0</v>
      </c>
      <c r="M5299" t="b">
        <v>1</v>
      </c>
      <c r="N5299">
        <f>IFERROR(INDEX('Company Hitlist'!$AA:$AA,MATCH(D5299,'Company Hitlist'!$A:$A,0)),)</f>
        <v/>
      </c>
      <c r="O5299">
        <f>IFERROR(INDEX('Company Hitlist'!$N:$N,MATCH(D5299,'Company Hitlist'!$A:$A,0)),)</f>
        <v/>
      </c>
      <c r="Q5299" t="inlineStr">
        <is>
          <t>todo</t>
        </is>
      </c>
    </row>
    <row r="5300">
      <c r="A5300" t="inlineStr">
        <is>
          <t>Payton Kelly</t>
        </is>
      </c>
      <c r="B5300" t="inlineStr">
        <is>
          <t>Attendee</t>
        </is>
      </c>
      <c r="C5300" t="inlineStr">
        <is>
          <t>Business Development</t>
        </is>
      </c>
      <c r="D5300" t="inlineStr">
        <is>
          <t>Mode Transportation</t>
        </is>
      </c>
      <c r="E5300" t="inlineStr">
        <is>
          <t>Canada</t>
        </is>
      </c>
      <c r="H5300" t="n">
        <v>-8</v>
      </c>
      <c r="I5300" t="b">
        <v>0</v>
      </c>
      <c r="J5300" t="b">
        <v>0</v>
      </c>
      <c r="K5300" t="b">
        <v>0</v>
      </c>
      <c r="L5300" t="b">
        <v>0</v>
      </c>
      <c r="M5300" t="b">
        <v>1</v>
      </c>
      <c r="N5300">
        <f>IFERROR(INDEX('Company Hitlist'!$AA:$AA,MATCH(D5300,'Company Hitlist'!$A:$A,0)),)</f>
        <v/>
      </c>
      <c r="O5300">
        <f>IFERROR(INDEX('Company Hitlist'!$N:$N,MATCH(D5300,'Company Hitlist'!$A:$A,0)),)</f>
        <v/>
      </c>
      <c r="Q5300" t="inlineStr">
        <is>
          <t>todo</t>
        </is>
      </c>
    </row>
    <row r="5301">
      <c r="A5301" t="inlineStr">
        <is>
          <t>Istvan Horvath</t>
        </is>
      </c>
      <c r="B5301" t="inlineStr">
        <is>
          <t>Attendee</t>
        </is>
      </c>
      <c r="C5301" t="inlineStr">
        <is>
          <t>Business Development Manager</t>
        </is>
      </c>
      <c r="D5301" t="inlineStr">
        <is>
          <t>Multipowr</t>
        </is>
      </c>
      <c r="E5301" t="inlineStr">
        <is>
          <t>Belgium</t>
        </is>
      </c>
      <c r="H5301" t="n">
        <v>-8</v>
      </c>
      <c r="I5301" t="b">
        <v>0</v>
      </c>
      <c r="J5301" t="b">
        <v>0</v>
      </c>
      <c r="K5301" t="b">
        <v>0</v>
      </c>
      <c r="L5301" t="b">
        <v>0</v>
      </c>
      <c r="M5301" t="b">
        <v>1</v>
      </c>
      <c r="N5301">
        <f>IFERROR(INDEX('Company Hitlist'!$AA:$AA,MATCH(D5301,'Company Hitlist'!$A:$A,0)),)</f>
        <v/>
      </c>
      <c r="O5301">
        <f>IFERROR(INDEX('Company Hitlist'!$N:$N,MATCH(D5301,'Company Hitlist'!$A:$A,0)),)</f>
        <v/>
      </c>
      <c r="Q5301" t="inlineStr">
        <is>
          <t>todo</t>
        </is>
      </c>
    </row>
    <row r="5302">
      <c r="A5302" t="inlineStr">
        <is>
          <t>Amritesh Ghai</t>
        </is>
      </c>
      <c r="B5302" t="inlineStr">
        <is>
          <t>Attendee</t>
        </is>
      </c>
      <c r="C5302" t="inlineStr">
        <is>
          <t>Business Development</t>
        </is>
      </c>
      <c r="D5302" t="inlineStr">
        <is>
          <t>NRI 3PL</t>
        </is>
      </c>
      <c r="E5302" t="inlineStr">
        <is>
          <t>United States</t>
        </is>
      </c>
      <c r="H5302" t="n">
        <v>-8</v>
      </c>
      <c r="I5302" t="b">
        <v>0</v>
      </c>
      <c r="J5302" t="b">
        <v>0</v>
      </c>
      <c r="K5302" t="b">
        <v>0</v>
      </c>
      <c r="L5302" t="b">
        <v>0</v>
      </c>
      <c r="M5302" t="b">
        <v>1</v>
      </c>
      <c r="N5302">
        <f>IFERROR(INDEX('Company Hitlist'!$AA:$AA,MATCH(D5302,'Company Hitlist'!$A:$A,0)),)</f>
        <v/>
      </c>
      <c r="O5302">
        <f>IFERROR(INDEX('Company Hitlist'!$N:$N,MATCH(D5302,'Company Hitlist'!$A:$A,0)),)</f>
        <v/>
      </c>
      <c r="Q5302" t="inlineStr">
        <is>
          <t>todo</t>
        </is>
      </c>
    </row>
    <row r="5303">
      <c r="A5303" t="inlineStr">
        <is>
          <t>Mike Pemberton</t>
        </is>
      </c>
      <c r="B5303" t="inlineStr">
        <is>
          <t>Attendee</t>
        </is>
      </c>
      <c r="C5303" t="inlineStr">
        <is>
          <t>Customer Success Manager</t>
        </is>
      </c>
      <c r="D5303" t="inlineStr">
        <is>
          <t>Newage Software &amp; Solutions</t>
        </is>
      </c>
      <c r="E5303" t="inlineStr">
        <is>
          <t>United States</t>
        </is>
      </c>
      <c r="H5303" t="n">
        <v>-8</v>
      </c>
      <c r="I5303" t="b">
        <v>0</v>
      </c>
      <c r="J5303" t="b">
        <v>0</v>
      </c>
      <c r="K5303" t="b">
        <v>0</v>
      </c>
      <c r="L5303" t="b">
        <v>0</v>
      </c>
      <c r="M5303" t="b">
        <v>1</v>
      </c>
      <c r="N5303">
        <f>IFERROR(INDEX('Company Hitlist'!$AA:$AA,MATCH(D5303,'Company Hitlist'!$A:$A,0)),)</f>
        <v/>
      </c>
      <c r="O5303">
        <f>IFERROR(INDEX('Company Hitlist'!$N:$N,MATCH(D5303,'Company Hitlist'!$A:$A,0)),)</f>
        <v/>
      </c>
      <c r="Q5303" t="inlineStr">
        <is>
          <t>todo</t>
        </is>
      </c>
    </row>
    <row r="5304">
      <c r="A5304" t="inlineStr">
        <is>
          <t>Jon Bonny</t>
        </is>
      </c>
      <c r="B5304" t="inlineStr">
        <is>
          <t>Attendee</t>
        </is>
      </c>
      <c r="C5304" t="inlineStr">
        <is>
          <t>Business Development</t>
        </is>
      </c>
      <c r="D5304" t="inlineStr">
        <is>
          <t>O'Neill Logistics</t>
        </is>
      </c>
      <c r="E5304" t="inlineStr">
        <is>
          <t>United States</t>
        </is>
      </c>
      <c r="H5304" t="n">
        <v>-8</v>
      </c>
      <c r="I5304" t="b">
        <v>0</v>
      </c>
      <c r="J5304" t="b">
        <v>0</v>
      </c>
      <c r="K5304" t="b">
        <v>0</v>
      </c>
      <c r="L5304" t="b">
        <v>0</v>
      </c>
      <c r="M5304" t="b">
        <v>1</v>
      </c>
      <c r="N5304">
        <f>IFERROR(INDEX('Company Hitlist'!$AA:$AA,MATCH(D5304,'Company Hitlist'!$A:$A,0)),)</f>
        <v/>
      </c>
      <c r="O5304">
        <f>IFERROR(INDEX('Company Hitlist'!$N:$N,MATCH(D5304,'Company Hitlist'!$A:$A,0)),)</f>
        <v/>
      </c>
      <c r="Q5304" t="inlineStr">
        <is>
          <t>todo</t>
        </is>
      </c>
    </row>
    <row r="5305">
      <c r="A5305" t="inlineStr">
        <is>
          <t>Miriam Tovar</t>
        </is>
      </c>
      <c r="B5305" t="inlineStr">
        <is>
          <t>Attendee</t>
        </is>
      </c>
      <c r="C5305" t="inlineStr">
        <is>
          <t>Director of Marketing</t>
        </is>
      </c>
      <c r="D5305" t="inlineStr">
        <is>
          <t>OLIMP Warehousing</t>
        </is>
      </c>
      <c r="E5305" t="inlineStr">
        <is>
          <t>United States</t>
        </is>
      </c>
      <c r="F5305" t="inlineStr">
        <is>
          <t>Yes</t>
        </is>
      </c>
      <c r="H5305" t="n">
        <v>-8</v>
      </c>
      <c r="I5305" t="b">
        <v>0</v>
      </c>
      <c r="J5305" t="b">
        <v>0</v>
      </c>
      <c r="K5305" t="b">
        <v>0</v>
      </c>
      <c r="L5305" t="b">
        <v>0</v>
      </c>
      <c r="M5305" t="b">
        <v>1</v>
      </c>
      <c r="N5305">
        <f>IFERROR(INDEX('Company Hitlist'!$AA:$AA,MATCH(D5305,'Company Hitlist'!$A:$A,0)),)</f>
        <v/>
      </c>
      <c r="O5305">
        <f>IFERROR(INDEX('Company Hitlist'!$N:$N,MATCH(D5305,'Company Hitlist'!$A:$A,0)),)</f>
        <v/>
      </c>
      <c r="Q5305" t="inlineStr">
        <is>
          <t>todo</t>
        </is>
      </c>
    </row>
    <row r="5306">
      <c r="A5306" t="inlineStr">
        <is>
          <t>JT Griebe</t>
        </is>
      </c>
      <c r="B5306" t="inlineStr">
        <is>
          <t>Attendee</t>
        </is>
      </c>
      <c r="C5306" t="inlineStr">
        <is>
          <t>National Sales Manager - West</t>
        </is>
      </c>
      <c r="D5306" t="inlineStr">
        <is>
          <t>OPEX Corporation</t>
        </is>
      </c>
      <c r="E5306" t="inlineStr">
        <is>
          <t>United States</t>
        </is>
      </c>
      <c r="H5306" t="n">
        <v>-8</v>
      </c>
      <c r="I5306" t="b">
        <v>0</v>
      </c>
      <c r="J5306" t="b">
        <v>0</v>
      </c>
      <c r="K5306" t="b">
        <v>0</v>
      </c>
      <c r="L5306" t="b">
        <v>0</v>
      </c>
      <c r="M5306" t="b">
        <v>1</v>
      </c>
      <c r="N5306">
        <f>IFERROR(INDEX('Company Hitlist'!$AA:$AA,MATCH(D5306,'Company Hitlist'!$A:$A,0)),)</f>
        <v/>
      </c>
      <c r="O5306">
        <f>IFERROR(INDEX('Company Hitlist'!$N:$N,MATCH(D5306,'Company Hitlist'!$A:$A,0)),)</f>
        <v/>
      </c>
      <c r="Q5306" t="inlineStr">
        <is>
          <t>todo</t>
        </is>
      </c>
    </row>
    <row r="5307">
      <c r="A5307" t="inlineStr">
        <is>
          <t>DON Hermansen</t>
        </is>
      </c>
      <c r="B5307" t="inlineStr">
        <is>
          <t>Attendee</t>
        </is>
      </c>
      <c r="C5307" t="inlineStr">
        <is>
          <t>National Director of Enterprise Sales</t>
        </is>
      </c>
      <c r="D5307" t="inlineStr">
        <is>
          <t>OSM Worldwide</t>
        </is>
      </c>
      <c r="E5307" t="inlineStr">
        <is>
          <t>United States</t>
        </is>
      </c>
      <c r="H5307" t="n">
        <v>-8</v>
      </c>
      <c r="I5307" t="b">
        <v>0</v>
      </c>
      <c r="J5307" t="b">
        <v>0</v>
      </c>
      <c r="K5307" t="b">
        <v>0</v>
      </c>
      <c r="L5307" t="b">
        <v>0</v>
      </c>
      <c r="M5307" t="b">
        <v>1</v>
      </c>
      <c r="N5307">
        <f>IFERROR(INDEX('Company Hitlist'!$AA:$AA,MATCH(D5307,'Company Hitlist'!$A:$A,0)),)</f>
        <v/>
      </c>
      <c r="O5307">
        <f>IFERROR(INDEX('Company Hitlist'!$N:$N,MATCH(D5307,'Company Hitlist'!$A:$A,0)),)</f>
        <v/>
      </c>
      <c r="Q5307" t="inlineStr">
        <is>
          <t>todo</t>
        </is>
      </c>
    </row>
    <row r="5308">
      <c r="A5308" t="inlineStr">
        <is>
          <t>Gerrit Foster</t>
        </is>
      </c>
      <c r="B5308" t="inlineStr">
        <is>
          <t>Attendee</t>
        </is>
      </c>
      <c r="C5308" t="inlineStr">
        <is>
          <t>Sales Process Manager</t>
        </is>
      </c>
      <c r="D5308" t="inlineStr">
        <is>
          <t>Oak Harbor Freight Lines, Inc.</t>
        </is>
      </c>
      <c r="E5308" t="inlineStr">
        <is>
          <t>United States</t>
        </is>
      </c>
      <c r="H5308" t="n">
        <v>-8</v>
      </c>
      <c r="I5308" t="b">
        <v>0</v>
      </c>
      <c r="J5308" t="b">
        <v>0</v>
      </c>
      <c r="K5308" t="b">
        <v>0</v>
      </c>
      <c r="L5308" t="b">
        <v>0</v>
      </c>
      <c r="M5308" t="b">
        <v>1</v>
      </c>
      <c r="N5308">
        <f>IFERROR(INDEX('Company Hitlist'!$AA:$AA,MATCH(D5308,'Company Hitlist'!$A:$A,0)),)</f>
        <v/>
      </c>
      <c r="O5308">
        <f>IFERROR(INDEX('Company Hitlist'!$N:$N,MATCH(D5308,'Company Hitlist'!$A:$A,0)),)</f>
        <v/>
      </c>
      <c r="Q5308" t="inlineStr">
        <is>
          <t>todo</t>
        </is>
      </c>
    </row>
    <row r="5309">
      <c r="A5309" t="inlineStr">
        <is>
          <t>Blake Read</t>
        </is>
      </c>
      <c r="B5309" t="inlineStr">
        <is>
          <t>Attendee</t>
        </is>
      </c>
      <c r="C5309" t="inlineStr">
        <is>
          <t>Account Executive</t>
        </is>
      </c>
      <c r="D5309" t="inlineStr">
        <is>
          <t>Octup</t>
        </is>
      </c>
      <c r="E5309" t="inlineStr">
        <is>
          <t>United States</t>
        </is>
      </c>
      <c r="H5309" t="n">
        <v>-8</v>
      </c>
      <c r="I5309" t="b">
        <v>0</v>
      </c>
      <c r="J5309" t="b">
        <v>0</v>
      </c>
      <c r="K5309" t="b">
        <v>0</v>
      </c>
      <c r="L5309" t="b">
        <v>0</v>
      </c>
      <c r="M5309" t="b">
        <v>1</v>
      </c>
      <c r="N5309">
        <f>IFERROR(INDEX('Company Hitlist'!$AA:$AA,MATCH(D5309,'Company Hitlist'!$A:$A,0)),)</f>
        <v/>
      </c>
      <c r="O5309">
        <f>IFERROR(INDEX('Company Hitlist'!$N:$N,MATCH(D5309,'Company Hitlist'!$A:$A,0)),)</f>
        <v/>
      </c>
      <c r="Q5309" t="inlineStr">
        <is>
          <t>todo</t>
        </is>
      </c>
    </row>
    <row r="5310">
      <c r="A5310" t="inlineStr">
        <is>
          <t>Jay Mazur</t>
        </is>
      </c>
      <c r="B5310" t="inlineStr">
        <is>
          <t>Attendee</t>
        </is>
      </c>
      <c r="C5310" t="inlineStr">
        <is>
          <t>Account Executive</t>
        </is>
      </c>
      <c r="D5310" t="inlineStr">
        <is>
          <t>Octup</t>
        </is>
      </c>
      <c r="E5310" t="inlineStr">
        <is>
          <t>United States</t>
        </is>
      </c>
      <c r="H5310" t="n">
        <v>-8</v>
      </c>
      <c r="I5310" t="b">
        <v>0</v>
      </c>
      <c r="J5310" t="b">
        <v>0</v>
      </c>
      <c r="K5310" t="b">
        <v>0</v>
      </c>
      <c r="L5310" t="b">
        <v>0</v>
      </c>
      <c r="M5310" t="b">
        <v>1</v>
      </c>
      <c r="N5310">
        <f>IFERROR(INDEX('Company Hitlist'!$AA:$AA,MATCH(D5310,'Company Hitlist'!$A:$A,0)),)</f>
        <v/>
      </c>
      <c r="O5310">
        <f>IFERROR(INDEX('Company Hitlist'!$N:$N,MATCH(D5310,'Company Hitlist'!$A:$A,0)),)</f>
        <v/>
      </c>
      <c r="Q5310" t="inlineStr">
        <is>
          <t>todo</t>
        </is>
      </c>
    </row>
    <row r="5311">
      <c r="A5311" t="inlineStr">
        <is>
          <t>Adam Brock</t>
        </is>
      </c>
      <c r="B5311" t="inlineStr">
        <is>
          <t>Attendee</t>
        </is>
      </c>
      <c r="C5311" t="inlineStr">
        <is>
          <t>Business Development Manager</t>
        </is>
      </c>
      <c r="D5311" t="inlineStr">
        <is>
          <t>Omegro</t>
        </is>
      </c>
      <c r="E5311" t="inlineStr">
        <is>
          <t>Canada</t>
        </is>
      </c>
      <c r="H5311" t="n">
        <v>-8</v>
      </c>
      <c r="I5311" t="b">
        <v>0</v>
      </c>
      <c r="J5311" t="b">
        <v>0</v>
      </c>
      <c r="K5311" t="b">
        <v>0</v>
      </c>
      <c r="L5311" t="b">
        <v>0</v>
      </c>
      <c r="M5311" t="b">
        <v>1</v>
      </c>
      <c r="N5311">
        <f>IFERROR(INDEX('Company Hitlist'!$AA:$AA,MATCH(D5311,'Company Hitlist'!$A:$A,0)),)</f>
        <v/>
      </c>
      <c r="O5311">
        <f>IFERROR(INDEX('Company Hitlist'!$N:$N,MATCH(D5311,'Company Hitlist'!$A:$A,0)),)</f>
        <v/>
      </c>
      <c r="Q5311" t="inlineStr">
        <is>
          <t>todo</t>
        </is>
      </c>
    </row>
    <row r="5312">
      <c r="A5312" t="inlineStr">
        <is>
          <t>Kabir Kokanutphongchai</t>
        </is>
      </c>
      <c r="B5312" t="inlineStr">
        <is>
          <t>Attendee</t>
        </is>
      </c>
      <c r="C5312" t="inlineStr">
        <is>
          <t>Business Development Manager</t>
        </is>
      </c>
      <c r="D5312" t="inlineStr">
        <is>
          <t>Omegro</t>
        </is>
      </c>
      <c r="E5312" t="inlineStr">
        <is>
          <t>Canada</t>
        </is>
      </c>
      <c r="H5312" t="n">
        <v>-8</v>
      </c>
      <c r="I5312" t="b">
        <v>0</v>
      </c>
      <c r="J5312" t="b">
        <v>0</v>
      </c>
      <c r="K5312" t="b">
        <v>0</v>
      </c>
      <c r="L5312" t="b">
        <v>0</v>
      </c>
      <c r="M5312" t="b">
        <v>1</v>
      </c>
      <c r="N5312">
        <f>IFERROR(INDEX('Company Hitlist'!$AA:$AA,MATCH(D5312,'Company Hitlist'!$A:$A,0)),)</f>
        <v/>
      </c>
      <c r="O5312">
        <f>IFERROR(INDEX('Company Hitlist'!$N:$N,MATCH(D5312,'Company Hitlist'!$A:$A,0)),)</f>
        <v/>
      </c>
      <c r="Q5312" t="inlineStr">
        <is>
          <t>todo</t>
        </is>
      </c>
    </row>
    <row r="5313">
      <c r="A5313" t="inlineStr">
        <is>
          <t>Jody Radoff</t>
        </is>
      </c>
      <c r="B5313" t="inlineStr">
        <is>
          <t>Attendee</t>
        </is>
      </c>
      <c r="C5313" t="inlineStr">
        <is>
          <t>Global Growth Strategist</t>
        </is>
      </c>
      <c r="D5313" t="inlineStr">
        <is>
          <t>OnAsset Intelligence</t>
        </is>
      </c>
      <c r="E5313" t="inlineStr">
        <is>
          <t>United States</t>
        </is>
      </c>
      <c r="H5313" t="n">
        <v>-8</v>
      </c>
      <c r="I5313" t="b">
        <v>0</v>
      </c>
      <c r="J5313" t="b">
        <v>0</v>
      </c>
      <c r="K5313" t="b">
        <v>0</v>
      </c>
      <c r="L5313" t="b">
        <v>0</v>
      </c>
      <c r="M5313" t="b">
        <v>1</v>
      </c>
      <c r="N5313">
        <f>IFERROR(INDEX('Company Hitlist'!$AA:$AA,MATCH(D5313,'Company Hitlist'!$A:$A,0)),)</f>
        <v/>
      </c>
      <c r="O5313">
        <f>IFERROR(INDEX('Company Hitlist'!$N:$N,MATCH(D5313,'Company Hitlist'!$A:$A,0)),)</f>
        <v/>
      </c>
      <c r="Q5313" t="inlineStr">
        <is>
          <t>todo</t>
        </is>
      </c>
    </row>
    <row r="5314">
      <c r="A5314" t="inlineStr">
        <is>
          <t>Wesley Smart</t>
        </is>
      </c>
      <c r="B5314" t="inlineStr">
        <is>
          <t>Attendee</t>
        </is>
      </c>
      <c r="C5314" t="inlineStr">
        <is>
          <t>Senior Account Executive</t>
        </is>
      </c>
      <c r="D5314" t="inlineStr">
        <is>
          <t>OneTrack</t>
        </is>
      </c>
      <c r="E5314" t="inlineStr">
        <is>
          <t>United States</t>
        </is>
      </c>
      <c r="H5314" t="n">
        <v>-8</v>
      </c>
      <c r="I5314" t="b">
        <v>0</v>
      </c>
      <c r="J5314" t="b">
        <v>0</v>
      </c>
      <c r="K5314" t="b">
        <v>0</v>
      </c>
      <c r="L5314" t="b">
        <v>0</v>
      </c>
      <c r="M5314" t="b">
        <v>1</v>
      </c>
      <c r="N5314">
        <f>IFERROR(INDEX('Company Hitlist'!$AA:$AA,MATCH(D5314,'Company Hitlist'!$A:$A,0)),)</f>
        <v/>
      </c>
      <c r="O5314">
        <f>IFERROR(INDEX('Company Hitlist'!$N:$N,MATCH(D5314,'Company Hitlist'!$A:$A,0)),)</f>
        <v/>
      </c>
      <c r="Q5314" t="inlineStr">
        <is>
          <t>todo</t>
        </is>
      </c>
    </row>
    <row r="5315">
      <c r="A5315" t="inlineStr">
        <is>
          <t>Ben Francavage</t>
        </is>
      </c>
      <c r="B5315" t="inlineStr">
        <is>
          <t>Attendee</t>
        </is>
      </c>
      <c r="C5315" t="inlineStr">
        <is>
          <t>Enterprise Sales Director</t>
        </is>
      </c>
      <c r="D5315" t="inlineStr">
        <is>
          <t>Openforce</t>
        </is>
      </c>
      <c r="E5315" t="inlineStr">
        <is>
          <t>United States</t>
        </is>
      </c>
      <c r="H5315" t="n">
        <v>-8</v>
      </c>
      <c r="I5315" t="b">
        <v>0</v>
      </c>
      <c r="J5315" t="b">
        <v>0</v>
      </c>
      <c r="K5315" t="b">
        <v>0</v>
      </c>
      <c r="L5315" t="b">
        <v>0</v>
      </c>
      <c r="M5315" t="b">
        <v>1</v>
      </c>
      <c r="N5315">
        <f>IFERROR(INDEX('Company Hitlist'!$AA:$AA,MATCH(D5315,'Company Hitlist'!$A:$A,0)),)</f>
        <v/>
      </c>
      <c r="O5315">
        <f>IFERROR(INDEX('Company Hitlist'!$N:$N,MATCH(D5315,'Company Hitlist'!$A:$A,0)),)</f>
        <v/>
      </c>
      <c r="Q5315" t="inlineStr">
        <is>
          <t>todo</t>
        </is>
      </c>
    </row>
    <row r="5316">
      <c r="A5316" t="inlineStr">
        <is>
          <t>Max Riemer</t>
        </is>
      </c>
      <c r="B5316" t="inlineStr">
        <is>
          <t>Attendee</t>
        </is>
      </c>
      <c r="C5316" t="inlineStr">
        <is>
          <t>Account Executive</t>
        </is>
      </c>
      <c r="D5316" t="inlineStr">
        <is>
          <t>Optimus</t>
        </is>
      </c>
      <c r="E5316" t="inlineStr">
        <is>
          <t>United States</t>
        </is>
      </c>
      <c r="H5316" t="n">
        <v>-8</v>
      </c>
      <c r="I5316" t="b">
        <v>0</v>
      </c>
      <c r="J5316" t="b">
        <v>0</v>
      </c>
      <c r="K5316" t="b">
        <v>0</v>
      </c>
      <c r="L5316" t="b">
        <v>0</v>
      </c>
      <c r="M5316" t="b">
        <v>1</v>
      </c>
      <c r="N5316">
        <f>IFERROR(INDEX('Company Hitlist'!$AA:$AA,MATCH(D5316,'Company Hitlist'!$A:$A,0)),)</f>
        <v/>
      </c>
      <c r="O5316">
        <f>IFERROR(INDEX('Company Hitlist'!$N:$N,MATCH(D5316,'Company Hitlist'!$A:$A,0)),)</f>
        <v/>
      </c>
      <c r="Q5316" t="inlineStr">
        <is>
          <t>todo</t>
        </is>
      </c>
    </row>
    <row r="5317">
      <c r="A5317" t="inlineStr">
        <is>
          <t>Dennis Geipel</t>
        </is>
      </c>
      <c r="B5317" t="inlineStr">
        <is>
          <t>Attendee</t>
        </is>
      </c>
      <c r="C5317" t="inlineStr">
        <is>
          <t>Western Region Sales Manager</t>
        </is>
      </c>
      <c r="D5317" t="inlineStr">
        <is>
          <t>Optimus Technologies</t>
        </is>
      </c>
      <c r="E5317" t="inlineStr">
        <is>
          <t>United States</t>
        </is>
      </c>
      <c r="H5317" t="n">
        <v>-8</v>
      </c>
      <c r="I5317" t="b">
        <v>0</v>
      </c>
      <c r="J5317" t="b">
        <v>0</v>
      </c>
      <c r="K5317" t="b">
        <v>0</v>
      </c>
      <c r="L5317" t="b">
        <v>0</v>
      </c>
      <c r="M5317" t="b">
        <v>1</v>
      </c>
      <c r="N5317">
        <f>IFERROR(INDEX('Company Hitlist'!$AA:$AA,MATCH(D5317,'Company Hitlist'!$A:$A,0)),)</f>
        <v/>
      </c>
      <c r="O5317">
        <f>IFERROR(INDEX('Company Hitlist'!$N:$N,MATCH(D5317,'Company Hitlist'!$A:$A,0)),)</f>
        <v/>
      </c>
      <c r="Q5317" t="inlineStr">
        <is>
          <t>todo</t>
        </is>
      </c>
    </row>
    <row r="5318">
      <c r="A5318" t="inlineStr">
        <is>
          <t>Farrell Tjaja</t>
        </is>
      </c>
      <c r="B5318" t="inlineStr">
        <is>
          <t>Attendee</t>
        </is>
      </c>
      <c r="C5318" t="inlineStr">
        <is>
          <t>Business Development</t>
        </is>
      </c>
      <c r="D5318" t="inlineStr">
        <is>
          <t>PT CHAYA INTERFREIGHT CARGO</t>
        </is>
      </c>
      <c r="E5318" t="inlineStr">
        <is>
          <t>Indonesia</t>
        </is>
      </c>
      <c r="H5318" t="n">
        <v>-8</v>
      </c>
      <c r="I5318" t="b">
        <v>0</v>
      </c>
      <c r="J5318" t="b">
        <v>0</v>
      </c>
      <c r="K5318" t="b">
        <v>0</v>
      </c>
      <c r="L5318" t="b">
        <v>0</v>
      </c>
      <c r="M5318" t="b">
        <v>1</v>
      </c>
      <c r="N5318">
        <f>IFERROR(INDEX('Company Hitlist'!$AA:$AA,MATCH(D5318,'Company Hitlist'!$A:$A,0)),)</f>
        <v/>
      </c>
      <c r="O5318">
        <f>IFERROR(INDEX('Company Hitlist'!$N:$N,MATCH(D5318,'Company Hitlist'!$A:$A,0)),)</f>
        <v/>
      </c>
      <c r="Q5318" t="inlineStr">
        <is>
          <t>todo</t>
        </is>
      </c>
    </row>
    <row r="5319">
      <c r="A5319" t="inlineStr">
        <is>
          <t>Justin Swiderski</t>
        </is>
      </c>
      <c r="B5319" t="inlineStr">
        <is>
          <t>Attendee</t>
        </is>
      </c>
      <c r="C5319" t="inlineStr">
        <is>
          <t>Director of Sales and Business Development</t>
        </is>
      </c>
      <c r="D5319" t="inlineStr">
        <is>
          <t>Pelican Robotics</t>
        </is>
      </c>
      <c r="E5319" t="inlineStr">
        <is>
          <t>United States</t>
        </is>
      </c>
      <c r="H5319" t="n">
        <v>-8</v>
      </c>
      <c r="I5319" t="b">
        <v>0</v>
      </c>
      <c r="J5319" t="b">
        <v>0</v>
      </c>
      <c r="K5319" t="b">
        <v>0</v>
      </c>
      <c r="L5319" t="b">
        <v>0</v>
      </c>
      <c r="M5319" t="b">
        <v>1</v>
      </c>
      <c r="N5319">
        <f>IFERROR(INDEX('Company Hitlist'!$AA:$AA,MATCH(D5319,'Company Hitlist'!$A:$A,0)),)</f>
        <v/>
      </c>
      <c r="O5319">
        <f>IFERROR(INDEX('Company Hitlist'!$N:$N,MATCH(D5319,'Company Hitlist'!$A:$A,0)),)</f>
        <v/>
      </c>
      <c r="Q5319" t="inlineStr">
        <is>
          <t>todo</t>
        </is>
      </c>
    </row>
    <row r="5320">
      <c r="A5320" t="inlineStr">
        <is>
          <t>Ian Leslie</t>
        </is>
      </c>
      <c r="B5320" t="inlineStr">
        <is>
          <t>Attendee</t>
        </is>
      </c>
      <c r="C5320" t="inlineStr">
        <is>
          <t>Account Executive</t>
        </is>
      </c>
      <c r="D5320" t="inlineStr">
        <is>
          <t>Pipe17</t>
        </is>
      </c>
      <c r="E5320" t="inlineStr">
        <is>
          <t>United States</t>
        </is>
      </c>
      <c r="H5320" t="n">
        <v>-8</v>
      </c>
      <c r="I5320" t="b">
        <v>0</v>
      </c>
      <c r="J5320" t="b">
        <v>0</v>
      </c>
      <c r="K5320" t="b">
        <v>0</v>
      </c>
      <c r="L5320" t="b">
        <v>0</v>
      </c>
      <c r="M5320" t="b">
        <v>1</v>
      </c>
      <c r="N5320">
        <f>IFERROR(INDEX('Company Hitlist'!$AA:$AA,MATCH(D5320,'Company Hitlist'!$A:$A,0)),)</f>
        <v/>
      </c>
      <c r="O5320">
        <f>IFERROR(INDEX('Company Hitlist'!$N:$N,MATCH(D5320,'Company Hitlist'!$A:$A,0)),)</f>
        <v/>
      </c>
      <c r="Q5320" t="inlineStr">
        <is>
          <t>todo</t>
        </is>
      </c>
    </row>
    <row r="5321">
      <c r="A5321" t="inlineStr">
        <is>
          <t>Justin Ward</t>
        </is>
      </c>
      <c r="B5321" t="inlineStr">
        <is>
          <t>Attendee</t>
        </is>
      </c>
      <c r="C5321" t="inlineStr">
        <is>
          <t>Account Executive</t>
        </is>
      </c>
      <c r="D5321" t="inlineStr">
        <is>
          <t>Pipe17</t>
        </is>
      </c>
      <c r="E5321" t="inlineStr">
        <is>
          <t>United States</t>
        </is>
      </c>
      <c r="H5321" t="n">
        <v>-8</v>
      </c>
      <c r="I5321" t="b">
        <v>0</v>
      </c>
      <c r="J5321" t="b">
        <v>0</v>
      </c>
      <c r="K5321" t="b">
        <v>0</v>
      </c>
      <c r="L5321" t="b">
        <v>0</v>
      </c>
      <c r="M5321" t="b">
        <v>1</v>
      </c>
      <c r="N5321">
        <f>IFERROR(INDEX('Company Hitlist'!$AA:$AA,MATCH(D5321,'Company Hitlist'!$A:$A,0)),)</f>
        <v/>
      </c>
      <c r="O5321">
        <f>IFERROR(INDEX('Company Hitlist'!$N:$N,MATCH(D5321,'Company Hitlist'!$A:$A,0)),)</f>
        <v/>
      </c>
      <c r="Q5321" t="inlineStr">
        <is>
          <t>todo</t>
        </is>
      </c>
    </row>
    <row r="5322">
      <c r="A5322" t="inlineStr">
        <is>
          <t>Matt Burroughs</t>
        </is>
      </c>
      <c r="B5322" t="inlineStr">
        <is>
          <t>Attendee</t>
        </is>
      </c>
      <c r="C5322" t="inlineStr">
        <is>
          <t>Account Executive</t>
        </is>
      </c>
      <c r="D5322" t="inlineStr">
        <is>
          <t>Pipe17</t>
        </is>
      </c>
      <c r="E5322" t="inlineStr">
        <is>
          <t>United States</t>
        </is>
      </c>
      <c r="H5322" t="n">
        <v>-8</v>
      </c>
      <c r="I5322" t="b">
        <v>0</v>
      </c>
      <c r="J5322" t="b">
        <v>0</v>
      </c>
      <c r="K5322" t="b">
        <v>0</v>
      </c>
      <c r="L5322" t="b">
        <v>0</v>
      </c>
      <c r="M5322" t="b">
        <v>1</v>
      </c>
      <c r="N5322">
        <f>IFERROR(INDEX('Company Hitlist'!$AA:$AA,MATCH(D5322,'Company Hitlist'!$A:$A,0)),)</f>
        <v/>
      </c>
      <c r="O5322">
        <f>IFERROR(INDEX('Company Hitlist'!$N:$N,MATCH(D5322,'Company Hitlist'!$A:$A,0)),)</f>
        <v/>
      </c>
      <c r="Q5322" t="inlineStr">
        <is>
          <t>todo</t>
        </is>
      </c>
    </row>
    <row r="5323">
      <c r="A5323" t="inlineStr">
        <is>
          <t>Jose Barahona</t>
        </is>
      </c>
      <c r="B5323" t="inlineStr">
        <is>
          <t>Attendee</t>
        </is>
      </c>
      <c r="C5323" t="inlineStr">
        <is>
          <t>Director of Sales</t>
        </is>
      </c>
      <c r="D5323" t="inlineStr">
        <is>
          <t>Prompt Global Corporation</t>
        </is>
      </c>
      <c r="E5323" t="inlineStr">
        <is>
          <t>United States</t>
        </is>
      </c>
      <c r="H5323" t="n">
        <v>-8</v>
      </c>
      <c r="I5323" t="b">
        <v>0</v>
      </c>
      <c r="J5323" t="b">
        <v>0</v>
      </c>
      <c r="K5323" t="b">
        <v>0</v>
      </c>
      <c r="L5323" t="b">
        <v>0</v>
      </c>
      <c r="M5323" t="b">
        <v>1</v>
      </c>
      <c r="N5323">
        <f>IFERROR(INDEX('Company Hitlist'!$AA:$AA,MATCH(D5323,'Company Hitlist'!$A:$A,0)),)</f>
        <v/>
      </c>
      <c r="O5323">
        <f>IFERROR(INDEX('Company Hitlist'!$N:$N,MATCH(D5323,'Company Hitlist'!$A:$A,0)),)</f>
        <v/>
      </c>
      <c r="Q5323" t="inlineStr">
        <is>
          <t>todo</t>
        </is>
      </c>
    </row>
    <row r="5324">
      <c r="A5324" t="inlineStr">
        <is>
          <t>Ray Venturino</t>
        </is>
      </c>
      <c r="B5324" t="inlineStr">
        <is>
          <t>Attendee</t>
        </is>
      </c>
      <c r="C5324" t="inlineStr">
        <is>
          <t>Strategic Acct Executive, Alliances &amp; Partnerships</t>
        </is>
      </c>
      <c r="D5324" t="inlineStr">
        <is>
          <t>Purolator Int'l</t>
        </is>
      </c>
      <c r="E5324" t="inlineStr">
        <is>
          <t>United States</t>
        </is>
      </c>
      <c r="H5324" t="n">
        <v>-8</v>
      </c>
      <c r="I5324" t="b">
        <v>0</v>
      </c>
      <c r="J5324" t="b">
        <v>0</v>
      </c>
      <c r="K5324" t="b">
        <v>0</v>
      </c>
      <c r="L5324" t="b">
        <v>0</v>
      </c>
      <c r="M5324" t="b">
        <v>1</v>
      </c>
      <c r="N5324">
        <f>IFERROR(INDEX('Company Hitlist'!$AA:$AA,MATCH(D5324,'Company Hitlist'!$A:$A,0)),)</f>
        <v/>
      </c>
      <c r="O5324">
        <f>IFERROR(INDEX('Company Hitlist'!$N:$N,MATCH(D5324,'Company Hitlist'!$A:$A,0)),)</f>
        <v/>
      </c>
      <c r="Q5324" t="inlineStr">
        <is>
          <t>todo</t>
        </is>
      </c>
    </row>
    <row r="5325">
      <c r="A5325" t="inlineStr">
        <is>
          <t>Teresa Ronquillo</t>
        </is>
      </c>
      <c r="B5325" t="inlineStr">
        <is>
          <t>Attendee</t>
        </is>
      </c>
      <c r="C5325" t="inlineStr">
        <is>
          <t>Sales</t>
        </is>
      </c>
      <c r="D5325" t="inlineStr">
        <is>
          <t>QuickBox</t>
        </is>
      </c>
      <c r="E5325" t="inlineStr">
        <is>
          <t>United States</t>
        </is>
      </c>
      <c r="H5325" t="n">
        <v>-8</v>
      </c>
      <c r="I5325" t="b">
        <v>0</v>
      </c>
      <c r="J5325" t="b">
        <v>0</v>
      </c>
      <c r="K5325" t="b">
        <v>0</v>
      </c>
      <c r="L5325" t="b">
        <v>0</v>
      </c>
      <c r="M5325" t="b">
        <v>1</v>
      </c>
      <c r="N5325">
        <f>IFERROR(INDEX('Company Hitlist'!$AA:$AA,MATCH(D5325,'Company Hitlist'!$A:$A,0)),)</f>
        <v/>
      </c>
      <c r="O5325">
        <f>IFERROR(INDEX('Company Hitlist'!$N:$N,MATCH(D5325,'Company Hitlist'!$A:$A,0)),)</f>
        <v/>
      </c>
      <c r="Q5325" t="inlineStr">
        <is>
          <t>todo</t>
        </is>
      </c>
    </row>
    <row r="5326">
      <c r="A5326" t="inlineStr">
        <is>
          <t>Steve Whitehead</t>
        </is>
      </c>
      <c r="B5326" t="inlineStr">
        <is>
          <t>Attendee</t>
        </is>
      </c>
      <c r="C5326" t="inlineStr">
        <is>
          <t>Account Executive</t>
        </is>
      </c>
      <c r="D5326" t="inlineStr">
        <is>
          <t>QuickBox</t>
        </is>
      </c>
      <c r="E5326" t="inlineStr">
        <is>
          <t>United States</t>
        </is>
      </c>
      <c r="H5326" t="n">
        <v>-8</v>
      </c>
      <c r="I5326" t="b">
        <v>0</v>
      </c>
      <c r="J5326" t="b">
        <v>0</v>
      </c>
      <c r="K5326" t="b">
        <v>0</v>
      </c>
      <c r="L5326" t="b">
        <v>0</v>
      </c>
      <c r="M5326" t="b">
        <v>1</v>
      </c>
      <c r="N5326">
        <f>IFERROR(INDEX('Company Hitlist'!$AA:$AA,MATCH(D5326,'Company Hitlist'!$A:$A,0)),)</f>
        <v/>
      </c>
      <c r="O5326">
        <f>IFERROR(INDEX('Company Hitlist'!$N:$N,MATCH(D5326,'Company Hitlist'!$A:$A,0)),)</f>
        <v/>
      </c>
      <c r="Q5326" t="inlineStr">
        <is>
          <t>todo</t>
        </is>
      </c>
    </row>
    <row r="5327">
      <c r="A5327" t="inlineStr">
        <is>
          <t>Lindsey Cunningham</t>
        </is>
      </c>
      <c r="B5327" t="inlineStr">
        <is>
          <t>Attendee</t>
        </is>
      </c>
      <c r="C5327" t="inlineStr">
        <is>
          <t>Corporate Account Executive</t>
        </is>
      </c>
      <c r="D5327" t="inlineStr">
        <is>
          <t>R+L Global Logistics</t>
        </is>
      </c>
      <c r="E5327" t="inlineStr">
        <is>
          <t>United States</t>
        </is>
      </c>
      <c r="H5327" t="n">
        <v>-8</v>
      </c>
      <c r="I5327" t="b">
        <v>0</v>
      </c>
      <c r="J5327" t="b">
        <v>0</v>
      </c>
      <c r="K5327" t="b">
        <v>0</v>
      </c>
      <c r="L5327" t="b">
        <v>0</v>
      </c>
      <c r="M5327" t="b">
        <v>1</v>
      </c>
      <c r="N5327">
        <f>IFERROR(INDEX('Company Hitlist'!$AA:$AA,MATCH(D5327,'Company Hitlist'!$A:$A,0)),)</f>
        <v/>
      </c>
      <c r="O5327">
        <f>IFERROR(INDEX('Company Hitlist'!$N:$N,MATCH(D5327,'Company Hitlist'!$A:$A,0)),)</f>
        <v/>
      </c>
      <c r="Q5327" t="inlineStr">
        <is>
          <t>todo</t>
        </is>
      </c>
    </row>
    <row r="5328">
      <c r="A5328" t="inlineStr">
        <is>
          <t>Erica Rosignolo</t>
        </is>
      </c>
      <c r="B5328" t="inlineStr">
        <is>
          <t>Attendee</t>
        </is>
      </c>
      <c r="C5328" t="inlineStr">
        <is>
          <t>Business Development Manager</t>
        </is>
      </c>
      <c r="D5328" t="inlineStr">
        <is>
          <t>R+L Global Logistics</t>
        </is>
      </c>
      <c r="E5328" t="inlineStr">
        <is>
          <t>United States</t>
        </is>
      </c>
      <c r="H5328" t="n">
        <v>-8</v>
      </c>
      <c r="I5328" t="b">
        <v>0</v>
      </c>
      <c r="J5328" t="b">
        <v>0</v>
      </c>
      <c r="K5328" t="b">
        <v>0</v>
      </c>
      <c r="L5328" t="b">
        <v>0</v>
      </c>
      <c r="M5328" t="b">
        <v>1</v>
      </c>
      <c r="N5328">
        <f>IFERROR(INDEX('Company Hitlist'!$AA:$AA,MATCH(D5328,'Company Hitlist'!$A:$A,0)),)</f>
        <v/>
      </c>
      <c r="O5328">
        <f>IFERROR(INDEX('Company Hitlist'!$N:$N,MATCH(D5328,'Company Hitlist'!$A:$A,0)),)</f>
        <v/>
      </c>
      <c r="Q5328" t="inlineStr">
        <is>
          <t>todo</t>
        </is>
      </c>
    </row>
    <row r="5329">
      <c r="A5329" t="inlineStr">
        <is>
          <t>Reed Loeffel</t>
        </is>
      </c>
      <c r="B5329" t="inlineStr">
        <is>
          <t>Attendee</t>
        </is>
      </c>
      <c r="C5329" t="inlineStr">
        <is>
          <t>Director of Business Development</t>
        </is>
      </c>
      <c r="D5329" t="inlineStr">
        <is>
          <t>RBW Logistics</t>
        </is>
      </c>
      <c r="E5329" t="inlineStr">
        <is>
          <t>United States</t>
        </is>
      </c>
      <c r="H5329" t="n">
        <v>-8</v>
      </c>
      <c r="I5329" t="b">
        <v>0</v>
      </c>
      <c r="J5329" t="b">
        <v>0</v>
      </c>
      <c r="K5329" t="b">
        <v>0</v>
      </c>
      <c r="L5329" t="b">
        <v>0</v>
      </c>
      <c r="M5329" t="b">
        <v>1</v>
      </c>
      <c r="N5329">
        <f>IFERROR(INDEX('Company Hitlist'!$AA:$AA,MATCH(D5329,'Company Hitlist'!$A:$A,0)),)</f>
        <v/>
      </c>
      <c r="O5329">
        <f>IFERROR(INDEX('Company Hitlist'!$N:$N,MATCH(D5329,'Company Hitlist'!$A:$A,0)),)</f>
        <v/>
      </c>
      <c r="Q5329" t="inlineStr">
        <is>
          <t>todo</t>
        </is>
      </c>
    </row>
    <row r="5330">
      <c r="A5330" t="inlineStr">
        <is>
          <t>Greg Kauffman</t>
        </is>
      </c>
      <c r="B5330" t="inlineStr">
        <is>
          <t>Attendee</t>
        </is>
      </c>
      <c r="C5330" t="inlineStr">
        <is>
          <t>Senior Director Sales</t>
        </is>
      </c>
      <c r="D5330" t="inlineStr">
        <is>
          <t>Radial</t>
        </is>
      </c>
      <c r="E5330" t="inlineStr">
        <is>
          <t>United States</t>
        </is>
      </c>
      <c r="H5330" t="n">
        <v>-8</v>
      </c>
      <c r="I5330" t="b">
        <v>0</v>
      </c>
      <c r="J5330" t="b">
        <v>0</v>
      </c>
      <c r="K5330" t="b">
        <v>0</v>
      </c>
      <c r="L5330" t="b">
        <v>0</v>
      </c>
      <c r="M5330" t="b">
        <v>1</v>
      </c>
      <c r="N5330">
        <f>IFERROR(INDEX('Company Hitlist'!$AA:$AA,MATCH(D5330,'Company Hitlist'!$A:$A,0)),)</f>
        <v/>
      </c>
      <c r="O5330">
        <f>IFERROR(INDEX('Company Hitlist'!$N:$N,MATCH(D5330,'Company Hitlist'!$A:$A,0)),)</f>
        <v/>
      </c>
      <c r="Q5330" t="inlineStr">
        <is>
          <t>todo</t>
        </is>
      </c>
    </row>
    <row r="5331">
      <c r="A5331" t="inlineStr">
        <is>
          <t>Rose Matt</t>
        </is>
      </c>
      <c r="B5331" t="inlineStr">
        <is>
          <t>Attendee</t>
        </is>
      </c>
      <c r="C5331" t="inlineStr">
        <is>
          <t>Director of Sales</t>
        </is>
      </c>
      <c r="D5331" t="inlineStr">
        <is>
          <t>Radial</t>
        </is>
      </c>
      <c r="E5331" t="inlineStr">
        <is>
          <t>United States</t>
        </is>
      </c>
      <c r="H5331" t="n">
        <v>-8</v>
      </c>
      <c r="I5331" t="b">
        <v>0</v>
      </c>
      <c r="J5331" t="b">
        <v>0</v>
      </c>
      <c r="K5331" t="b">
        <v>0</v>
      </c>
      <c r="L5331" t="b">
        <v>0</v>
      </c>
      <c r="M5331" t="b">
        <v>1</v>
      </c>
      <c r="N5331">
        <f>IFERROR(INDEX('Company Hitlist'!$AA:$AA,MATCH(D5331,'Company Hitlist'!$A:$A,0)),)</f>
        <v/>
      </c>
      <c r="O5331">
        <f>IFERROR(INDEX('Company Hitlist'!$N:$N,MATCH(D5331,'Company Hitlist'!$A:$A,0)),)</f>
        <v/>
      </c>
      <c r="Q5331" t="inlineStr">
        <is>
          <t>todo</t>
        </is>
      </c>
    </row>
    <row r="5332">
      <c r="A5332" t="inlineStr">
        <is>
          <t>Davis Gallagher</t>
        </is>
      </c>
      <c r="B5332" t="inlineStr">
        <is>
          <t>Attendee</t>
        </is>
      </c>
      <c r="C5332" t="inlineStr">
        <is>
          <t>AI Growth Manager</t>
        </is>
      </c>
      <c r="D5332" t="inlineStr">
        <is>
          <t>RapidCanvas</t>
        </is>
      </c>
      <c r="E5332" t="inlineStr">
        <is>
          <t>United States</t>
        </is>
      </c>
      <c r="H5332" t="n">
        <v>-8</v>
      </c>
      <c r="I5332" t="b">
        <v>0</v>
      </c>
      <c r="J5332" t="b">
        <v>0</v>
      </c>
      <c r="K5332" t="b">
        <v>0</v>
      </c>
      <c r="L5332" t="b">
        <v>0</v>
      </c>
      <c r="M5332" t="b">
        <v>1</v>
      </c>
      <c r="N5332">
        <f>IFERROR(INDEX('Company Hitlist'!$AA:$AA,MATCH(D5332,'Company Hitlist'!$A:$A,0)),)</f>
        <v/>
      </c>
      <c r="O5332">
        <f>IFERROR(INDEX('Company Hitlist'!$N:$N,MATCH(D5332,'Company Hitlist'!$A:$A,0)),)</f>
        <v/>
      </c>
      <c r="Q5332" t="inlineStr">
        <is>
          <t>todo</t>
        </is>
      </c>
    </row>
    <row r="5333">
      <c r="A5333" t="inlineStr">
        <is>
          <t>James Chambers</t>
        </is>
      </c>
      <c r="B5333" t="inlineStr">
        <is>
          <t>Attendee</t>
        </is>
      </c>
      <c r="C5333" t="inlineStr">
        <is>
          <t>Sr. Director of Marketing</t>
        </is>
      </c>
      <c r="D5333" t="inlineStr">
        <is>
          <t>RealCold</t>
        </is>
      </c>
      <c r="E5333" t="inlineStr">
        <is>
          <t>United States</t>
        </is>
      </c>
      <c r="H5333" t="n">
        <v>-8</v>
      </c>
      <c r="I5333" t="b">
        <v>0</v>
      </c>
      <c r="J5333" t="b">
        <v>0</v>
      </c>
      <c r="K5333" t="b">
        <v>0</v>
      </c>
      <c r="L5333" t="b">
        <v>0</v>
      </c>
      <c r="M5333" t="b">
        <v>1</v>
      </c>
      <c r="N5333">
        <f>IFERROR(INDEX('Company Hitlist'!$AA:$AA,MATCH(D5333,'Company Hitlist'!$A:$A,0)),)</f>
        <v/>
      </c>
      <c r="O5333">
        <f>IFERROR(INDEX('Company Hitlist'!$N:$N,MATCH(D5333,'Company Hitlist'!$A:$A,0)),)</f>
        <v/>
      </c>
      <c r="Q5333" t="inlineStr">
        <is>
          <t>todo</t>
        </is>
      </c>
    </row>
    <row r="5334">
      <c r="A5334" t="inlineStr">
        <is>
          <t>Ryan Marine</t>
        </is>
      </c>
      <c r="B5334" t="inlineStr">
        <is>
          <t>Attendee</t>
        </is>
      </c>
      <c r="C5334" t="inlineStr">
        <is>
          <t>Director of Sales</t>
        </is>
      </c>
      <c r="D5334" t="inlineStr">
        <is>
          <t>Red Stag Fulfillment</t>
        </is>
      </c>
      <c r="E5334" t="inlineStr">
        <is>
          <t>United States</t>
        </is>
      </c>
      <c r="H5334" t="n">
        <v>-8</v>
      </c>
      <c r="I5334" t="b">
        <v>0</v>
      </c>
      <c r="J5334" t="b">
        <v>0</v>
      </c>
      <c r="K5334" t="b">
        <v>0</v>
      </c>
      <c r="L5334" t="b">
        <v>0</v>
      </c>
      <c r="M5334" t="b">
        <v>1</v>
      </c>
      <c r="N5334">
        <f>IFERROR(INDEX('Company Hitlist'!$AA:$AA,MATCH(D5334,'Company Hitlist'!$A:$A,0)),)</f>
        <v/>
      </c>
      <c r="O5334">
        <f>IFERROR(INDEX('Company Hitlist'!$N:$N,MATCH(D5334,'Company Hitlist'!$A:$A,0)),)</f>
        <v/>
      </c>
      <c r="Q5334" t="inlineStr">
        <is>
          <t>todo</t>
        </is>
      </c>
    </row>
    <row r="5335">
      <c r="A5335" t="inlineStr">
        <is>
          <t>Michael Pinzl</t>
        </is>
      </c>
      <c r="B5335" t="inlineStr">
        <is>
          <t>Attendee</t>
        </is>
      </c>
      <c r="C5335" t="inlineStr">
        <is>
          <t>Director of Sales</t>
        </is>
      </c>
      <c r="D5335" t="inlineStr">
        <is>
          <t>Redwood Logistics</t>
        </is>
      </c>
      <c r="E5335" t="inlineStr">
        <is>
          <t>United States</t>
        </is>
      </c>
      <c r="H5335" t="n">
        <v>-8</v>
      </c>
      <c r="I5335" t="b">
        <v>0</v>
      </c>
      <c r="J5335" t="b">
        <v>0</v>
      </c>
      <c r="K5335" t="b">
        <v>0</v>
      </c>
      <c r="L5335" t="b">
        <v>0</v>
      </c>
      <c r="M5335" t="b">
        <v>1</v>
      </c>
      <c r="N5335">
        <f>IFERROR(INDEX('Company Hitlist'!$AA:$AA,MATCH(D5335,'Company Hitlist'!$A:$A,0)),)</f>
        <v/>
      </c>
      <c r="O5335">
        <f>IFERROR(INDEX('Company Hitlist'!$N:$N,MATCH(D5335,'Company Hitlist'!$A:$A,0)),)</f>
        <v/>
      </c>
      <c r="Q5335" t="inlineStr">
        <is>
          <t>todo</t>
        </is>
      </c>
    </row>
    <row r="5336">
      <c r="A5336" t="inlineStr">
        <is>
          <t>Michael Conway</t>
        </is>
      </c>
      <c r="B5336" t="inlineStr">
        <is>
          <t>Attendee</t>
        </is>
      </c>
      <c r="C5336" t="inlineStr">
        <is>
          <t>Account Executive</t>
        </is>
      </c>
      <c r="D5336" t="inlineStr">
        <is>
          <t>Reliable Logistics</t>
        </is>
      </c>
      <c r="E5336" t="inlineStr">
        <is>
          <t>Canada</t>
        </is>
      </c>
      <c r="F5336" t="inlineStr">
        <is>
          <t>Yes</t>
        </is>
      </c>
      <c r="H5336" t="n">
        <v>-8</v>
      </c>
      <c r="I5336" t="b">
        <v>0</v>
      </c>
      <c r="J5336" t="b">
        <v>0</v>
      </c>
      <c r="K5336" t="b">
        <v>0</v>
      </c>
      <c r="L5336" t="b">
        <v>0</v>
      </c>
      <c r="M5336" t="b">
        <v>1</v>
      </c>
      <c r="N5336">
        <f>IFERROR(INDEX('Company Hitlist'!$AA:$AA,MATCH(D5336,'Company Hitlist'!$A:$A,0)),)</f>
        <v/>
      </c>
      <c r="O5336">
        <f>IFERROR(INDEX('Company Hitlist'!$N:$N,MATCH(D5336,'Company Hitlist'!$A:$A,0)),)</f>
        <v/>
      </c>
      <c r="Q5336" t="inlineStr">
        <is>
          <t>todo</t>
        </is>
      </c>
    </row>
    <row r="5337">
      <c r="A5337" t="inlineStr">
        <is>
          <t>Vanessa Marques</t>
        </is>
      </c>
      <c r="B5337" t="inlineStr">
        <is>
          <t>Attendee</t>
        </is>
      </c>
      <c r="C5337" t="inlineStr">
        <is>
          <t>Business Development Executive</t>
        </is>
      </c>
      <c r="D5337" t="inlineStr">
        <is>
          <t>Reliable Logistics</t>
        </is>
      </c>
      <c r="E5337" t="inlineStr">
        <is>
          <t>Canada</t>
        </is>
      </c>
      <c r="H5337" t="n">
        <v>-8</v>
      </c>
      <c r="I5337" t="b">
        <v>0</v>
      </c>
      <c r="J5337" t="b">
        <v>0</v>
      </c>
      <c r="K5337" t="b">
        <v>0</v>
      </c>
      <c r="L5337" t="b">
        <v>0</v>
      </c>
      <c r="M5337" t="b">
        <v>1</v>
      </c>
      <c r="N5337">
        <f>IFERROR(INDEX('Company Hitlist'!$AA:$AA,MATCH(D5337,'Company Hitlist'!$A:$A,0)),)</f>
        <v/>
      </c>
      <c r="O5337">
        <f>IFERROR(INDEX('Company Hitlist'!$N:$N,MATCH(D5337,'Company Hitlist'!$A:$A,0)),)</f>
        <v/>
      </c>
      <c r="Q5337" t="inlineStr">
        <is>
          <t>todo</t>
        </is>
      </c>
    </row>
    <row r="5338">
      <c r="A5338" t="inlineStr">
        <is>
          <t>George Hillier</t>
        </is>
      </c>
      <c r="B5338" t="inlineStr">
        <is>
          <t>Attendee</t>
        </is>
      </c>
      <c r="C5338" t="inlineStr">
        <is>
          <t>New Business Development</t>
        </is>
      </c>
      <c r="D5338" t="inlineStr">
        <is>
          <t>Remote Employee</t>
        </is>
      </c>
      <c r="E5338" t="inlineStr">
        <is>
          <t>United States</t>
        </is>
      </c>
      <c r="H5338" t="n">
        <v>-8</v>
      </c>
      <c r="I5338" t="b">
        <v>0</v>
      </c>
      <c r="J5338" t="b">
        <v>0</v>
      </c>
      <c r="K5338" t="b">
        <v>0</v>
      </c>
      <c r="L5338" t="b">
        <v>0</v>
      </c>
      <c r="M5338" t="b">
        <v>1</v>
      </c>
      <c r="N5338">
        <f>IFERROR(INDEX('Company Hitlist'!$AA:$AA,MATCH(D5338,'Company Hitlist'!$A:$A,0)),)</f>
        <v/>
      </c>
      <c r="O5338">
        <f>IFERROR(INDEX('Company Hitlist'!$N:$N,MATCH(D5338,'Company Hitlist'!$A:$A,0)),)</f>
        <v/>
      </c>
      <c r="Q5338" t="inlineStr">
        <is>
          <t>todo</t>
        </is>
      </c>
    </row>
    <row r="5339">
      <c r="A5339" t="inlineStr">
        <is>
          <t>Joey Zuardo</t>
        </is>
      </c>
      <c r="B5339" t="inlineStr">
        <is>
          <t>Attendee</t>
        </is>
      </c>
      <c r="C5339" t="inlineStr">
        <is>
          <t>Director of New Business Development</t>
        </is>
      </c>
      <c r="D5339" t="inlineStr">
        <is>
          <t>Remote Employee</t>
        </is>
      </c>
      <c r="E5339" t="inlineStr">
        <is>
          <t>United States</t>
        </is>
      </c>
      <c r="H5339" t="n">
        <v>-8</v>
      </c>
      <c r="I5339" t="b">
        <v>0</v>
      </c>
      <c r="J5339" t="b">
        <v>0</v>
      </c>
      <c r="K5339" t="b">
        <v>0</v>
      </c>
      <c r="L5339" t="b">
        <v>0</v>
      </c>
      <c r="M5339" t="b">
        <v>1</v>
      </c>
      <c r="N5339">
        <f>IFERROR(INDEX('Company Hitlist'!$AA:$AA,MATCH(D5339,'Company Hitlist'!$A:$A,0)),)</f>
        <v/>
      </c>
      <c r="O5339">
        <f>IFERROR(INDEX('Company Hitlist'!$N:$N,MATCH(D5339,'Company Hitlist'!$A:$A,0)),)</f>
        <v/>
      </c>
      <c r="Q5339" t="inlineStr">
        <is>
          <t>todo</t>
        </is>
      </c>
    </row>
    <row r="5340">
      <c r="A5340" t="inlineStr">
        <is>
          <t>Alex Brown</t>
        </is>
      </c>
      <c r="B5340" t="inlineStr">
        <is>
          <t>Attendee</t>
        </is>
      </c>
      <c r="C5340" t="inlineStr">
        <is>
          <t>Sales Development Representative</t>
        </is>
      </c>
      <c r="D5340" t="inlineStr">
        <is>
          <t>Revenue Vessel</t>
        </is>
      </c>
      <c r="E5340" t="inlineStr">
        <is>
          <t>United States</t>
        </is>
      </c>
      <c r="H5340" t="n">
        <v>-8</v>
      </c>
      <c r="I5340" t="b">
        <v>0</v>
      </c>
      <c r="J5340" t="b">
        <v>0</v>
      </c>
      <c r="K5340" t="b">
        <v>0</v>
      </c>
      <c r="L5340" t="b">
        <v>0</v>
      </c>
      <c r="M5340" t="b">
        <v>1</v>
      </c>
      <c r="N5340">
        <f>IFERROR(INDEX('Company Hitlist'!$AA:$AA,MATCH(D5340,'Company Hitlist'!$A:$A,0)),)</f>
        <v/>
      </c>
      <c r="O5340">
        <f>IFERROR(INDEX('Company Hitlist'!$N:$N,MATCH(D5340,'Company Hitlist'!$A:$A,0)),)</f>
        <v/>
      </c>
      <c r="Q5340" t="inlineStr">
        <is>
          <t>todo</t>
        </is>
      </c>
    </row>
    <row r="5341">
      <c r="A5341" t="inlineStr">
        <is>
          <t>Camden Riley</t>
        </is>
      </c>
      <c r="B5341" t="inlineStr">
        <is>
          <t>Attendee</t>
        </is>
      </c>
      <c r="C5341" t="inlineStr">
        <is>
          <t>Sales Development Representative</t>
        </is>
      </c>
      <c r="D5341" t="inlineStr">
        <is>
          <t>Revenue Vessel</t>
        </is>
      </c>
      <c r="E5341" t="inlineStr">
        <is>
          <t>United States</t>
        </is>
      </c>
      <c r="H5341" t="n">
        <v>-8</v>
      </c>
      <c r="I5341" t="b">
        <v>0</v>
      </c>
      <c r="J5341" t="b">
        <v>0</v>
      </c>
      <c r="K5341" t="b">
        <v>0</v>
      </c>
      <c r="L5341" t="b">
        <v>0</v>
      </c>
      <c r="M5341" t="b">
        <v>1</v>
      </c>
      <c r="N5341">
        <f>IFERROR(INDEX('Company Hitlist'!$AA:$AA,MATCH(D5341,'Company Hitlist'!$A:$A,0)),)</f>
        <v/>
      </c>
      <c r="O5341">
        <f>IFERROR(INDEX('Company Hitlist'!$N:$N,MATCH(D5341,'Company Hitlist'!$A:$A,0)),)</f>
        <v/>
      </c>
      <c r="Q5341" t="inlineStr">
        <is>
          <t>todo</t>
        </is>
      </c>
    </row>
    <row r="5342">
      <c r="A5342" t="inlineStr">
        <is>
          <t>Matt Madden</t>
        </is>
      </c>
      <c r="B5342" t="inlineStr">
        <is>
          <t>Attendee</t>
        </is>
      </c>
      <c r="C5342" t="inlineStr">
        <is>
          <t>Sales Development Representative</t>
        </is>
      </c>
      <c r="D5342" t="inlineStr">
        <is>
          <t>Revenue Vessel</t>
        </is>
      </c>
      <c r="E5342" t="inlineStr">
        <is>
          <t>United States</t>
        </is>
      </c>
      <c r="H5342" t="n">
        <v>-8</v>
      </c>
      <c r="I5342" t="b">
        <v>0</v>
      </c>
      <c r="J5342" t="b">
        <v>0</v>
      </c>
      <c r="K5342" t="b">
        <v>0</v>
      </c>
      <c r="L5342" t="b">
        <v>0</v>
      </c>
      <c r="M5342" t="b">
        <v>1</v>
      </c>
      <c r="N5342">
        <f>IFERROR(INDEX('Company Hitlist'!$AA:$AA,MATCH(D5342,'Company Hitlist'!$A:$A,0)),)</f>
        <v/>
      </c>
      <c r="O5342">
        <f>IFERROR(INDEX('Company Hitlist'!$N:$N,MATCH(D5342,'Company Hitlist'!$A:$A,0)),)</f>
        <v/>
      </c>
      <c r="Q5342" t="inlineStr">
        <is>
          <t>todo</t>
        </is>
      </c>
    </row>
    <row r="5343">
      <c r="A5343" t="inlineStr">
        <is>
          <t>Blake Fine</t>
        </is>
      </c>
      <c r="B5343" t="inlineStr">
        <is>
          <t>Attendee</t>
        </is>
      </c>
      <c r="C5343" t="inlineStr">
        <is>
          <t>Account Executive</t>
        </is>
      </c>
      <c r="D5343" t="inlineStr">
        <is>
          <t>Revenue Vessel</t>
        </is>
      </c>
      <c r="E5343" t="inlineStr">
        <is>
          <t>United States</t>
        </is>
      </c>
      <c r="H5343" t="n">
        <v>-8</v>
      </c>
      <c r="I5343" t="b">
        <v>0</v>
      </c>
      <c r="J5343" t="b">
        <v>0</v>
      </c>
      <c r="K5343" t="b">
        <v>0</v>
      </c>
      <c r="L5343" t="b">
        <v>0</v>
      </c>
      <c r="M5343" t="b">
        <v>1</v>
      </c>
      <c r="N5343">
        <f>IFERROR(INDEX('Company Hitlist'!$AA:$AA,MATCH(D5343,'Company Hitlist'!$A:$A,0)),)</f>
        <v/>
      </c>
      <c r="O5343">
        <f>IFERROR(INDEX('Company Hitlist'!$N:$N,MATCH(D5343,'Company Hitlist'!$A:$A,0)),)</f>
        <v/>
      </c>
      <c r="Q5343" t="inlineStr">
        <is>
          <t>todo</t>
        </is>
      </c>
    </row>
    <row r="5344">
      <c r="A5344" t="inlineStr">
        <is>
          <t>Chris Carlucci</t>
        </is>
      </c>
      <c r="B5344" t="inlineStr">
        <is>
          <t>Attendee</t>
        </is>
      </c>
      <c r="C5344" t="inlineStr">
        <is>
          <t>Founding Account Executive</t>
        </is>
      </c>
      <c r="D5344" t="inlineStr">
        <is>
          <t>Revenue Vessel</t>
        </is>
      </c>
      <c r="E5344" t="inlineStr">
        <is>
          <t>United States</t>
        </is>
      </c>
      <c r="H5344" t="n">
        <v>-8</v>
      </c>
      <c r="I5344" t="b">
        <v>0</v>
      </c>
      <c r="J5344" t="b">
        <v>0</v>
      </c>
      <c r="K5344" t="b">
        <v>0</v>
      </c>
      <c r="L5344" t="b">
        <v>0</v>
      </c>
      <c r="M5344" t="b">
        <v>1</v>
      </c>
      <c r="N5344">
        <f>IFERROR(INDEX('Company Hitlist'!$AA:$AA,MATCH(D5344,'Company Hitlist'!$A:$A,0)),)</f>
        <v/>
      </c>
      <c r="O5344">
        <f>IFERROR(INDEX('Company Hitlist'!$N:$N,MATCH(D5344,'Company Hitlist'!$A:$A,0)),)</f>
        <v/>
      </c>
      <c r="Q5344" t="inlineStr">
        <is>
          <t>todo</t>
        </is>
      </c>
    </row>
    <row r="5345">
      <c r="A5345" t="inlineStr">
        <is>
          <t>Conor Murphy</t>
        </is>
      </c>
      <c r="B5345" t="inlineStr">
        <is>
          <t>Attendee</t>
        </is>
      </c>
      <c r="C5345" t="inlineStr">
        <is>
          <t>Enterprise Account Executive</t>
        </is>
      </c>
      <c r="D5345" t="inlineStr">
        <is>
          <t>Rugged Robotics</t>
        </is>
      </c>
      <c r="E5345" t="inlineStr">
        <is>
          <t>United States</t>
        </is>
      </c>
      <c r="H5345" t="n">
        <v>-8</v>
      </c>
      <c r="I5345" t="b">
        <v>0</v>
      </c>
      <c r="J5345" t="b">
        <v>0</v>
      </c>
      <c r="K5345" t="b">
        <v>0</v>
      </c>
      <c r="L5345" t="b">
        <v>0</v>
      </c>
      <c r="M5345" t="b">
        <v>1</v>
      </c>
      <c r="N5345">
        <f>IFERROR(INDEX('Company Hitlist'!$AA:$AA,MATCH(D5345,'Company Hitlist'!$A:$A,0)),)</f>
        <v/>
      </c>
      <c r="O5345">
        <f>IFERROR(INDEX('Company Hitlist'!$N:$N,MATCH(D5345,'Company Hitlist'!$A:$A,0)),)</f>
        <v/>
      </c>
      <c r="Q5345" t="inlineStr">
        <is>
          <t>todo</t>
        </is>
      </c>
    </row>
    <row r="5346">
      <c r="A5346" t="inlineStr">
        <is>
          <t>Nick Rutherford</t>
        </is>
      </c>
      <c r="B5346" t="inlineStr">
        <is>
          <t>Attendee</t>
        </is>
      </c>
      <c r="C5346" t="inlineStr">
        <is>
          <t>Associate Director of Sales</t>
        </is>
      </c>
      <c r="D5346" t="inlineStr">
        <is>
          <t>S&amp;P Global</t>
        </is>
      </c>
      <c r="E5346" t="inlineStr">
        <is>
          <t>United States</t>
        </is>
      </c>
      <c r="H5346" t="n">
        <v>-8</v>
      </c>
      <c r="I5346" t="b">
        <v>0</v>
      </c>
      <c r="J5346" t="b">
        <v>0</v>
      </c>
      <c r="K5346" t="b">
        <v>0</v>
      </c>
      <c r="L5346" t="b">
        <v>0</v>
      </c>
      <c r="M5346" t="b">
        <v>1</v>
      </c>
      <c r="N5346">
        <f>IFERROR(INDEX('Company Hitlist'!$AA:$AA,MATCH(D5346,'Company Hitlist'!$A:$A,0)),)</f>
        <v/>
      </c>
      <c r="O5346">
        <f>IFERROR(INDEX('Company Hitlist'!$N:$N,MATCH(D5346,'Company Hitlist'!$A:$A,0)),)</f>
        <v/>
      </c>
      <c r="Q5346" t="inlineStr">
        <is>
          <t>todo</t>
        </is>
      </c>
    </row>
    <row r="5347">
      <c r="A5347" t="inlineStr">
        <is>
          <t>William Griffith</t>
        </is>
      </c>
      <c r="B5347" t="inlineStr">
        <is>
          <t>Attendee</t>
        </is>
      </c>
      <c r="C5347" t="inlineStr">
        <is>
          <t>Lead Account Executive</t>
        </is>
      </c>
      <c r="D5347" t="inlineStr">
        <is>
          <t>SICK Inc.</t>
        </is>
      </c>
      <c r="E5347" t="inlineStr">
        <is>
          <t>United States</t>
        </is>
      </c>
      <c r="H5347" t="n">
        <v>-8</v>
      </c>
      <c r="I5347" t="b">
        <v>0</v>
      </c>
      <c r="J5347" t="b">
        <v>0</v>
      </c>
      <c r="K5347" t="b">
        <v>0</v>
      </c>
      <c r="L5347" t="b">
        <v>0</v>
      </c>
      <c r="M5347" t="b">
        <v>1</v>
      </c>
      <c r="N5347">
        <f>IFERROR(INDEX('Company Hitlist'!$AA:$AA,MATCH(D5347,'Company Hitlist'!$A:$A,0)),)</f>
        <v/>
      </c>
      <c r="O5347">
        <f>IFERROR(INDEX('Company Hitlist'!$N:$N,MATCH(D5347,'Company Hitlist'!$A:$A,0)),)</f>
        <v/>
      </c>
      <c r="Q5347" t="inlineStr">
        <is>
          <t>todo</t>
        </is>
      </c>
    </row>
    <row r="5348">
      <c r="A5348" t="inlineStr">
        <is>
          <t>Jennah Macallister</t>
        </is>
      </c>
      <c r="B5348" t="inlineStr">
        <is>
          <t>Attendee</t>
        </is>
      </c>
      <c r="C5348" t="inlineStr">
        <is>
          <t>Sales and Partnerships Manager</t>
        </is>
      </c>
      <c r="D5348" t="inlineStr">
        <is>
          <t>SLMCON</t>
        </is>
      </c>
      <c r="E5348" t="inlineStr">
        <is>
          <t>United States</t>
        </is>
      </c>
      <c r="H5348" t="n">
        <v>-8</v>
      </c>
      <c r="I5348" t="b">
        <v>0</v>
      </c>
      <c r="J5348" t="b">
        <v>0</v>
      </c>
      <c r="K5348" t="b">
        <v>0</v>
      </c>
      <c r="L5348" t="b">
        <v>0</v>
      </c>
      <c r="M5348" t="b">
        <v>1</v>
      </c>
      <c r="N5348">
        <f>IFERROR(INDEX('Company Hitlist'!$AA:$AA,MATCH(D5348,'Company Hitlist'!$A:$A,0)),)</f>
        <v/>
      </c>
      <c r="O5348">
        <f>IFERROR(INDEX('Company Hitlist'!$N:$N,MATCH(D5348,'Company Hitlist'!$A:$A,0)),)</f>
        <v/>
      </c>
      <c r="Q5348" t="inlineStr">
        <is>
          <t>todo</t>
        </is>
      </c>
    </row>
    <row r="5349">
      <c r="A5349" t="inlineStr">
        <is>
          <t>Woody Robinson</t>
        </is>
      </c>
      <c r="B5349" t="inlineStr">
        <is>
          <t>Attendee</t>
        </is>
      </c>
      <c r="C5349" t="inlineStr">
        <is>
          <t>Business Development Manager</t>
        </is>
      </c>
      <c r="D5349" t="inlineStr">
        <is>
          <t>SLMCON</t>
        </is>
      </c>
      <c r="E5349" t="inlineStr">
        <is>
          <t>United States</t>
        </is>
      </c>
      <c r="H5349" t="n">
        <v>-8</v>
      </c>
      <c r="I5349" t="b">
        <v>0</v>
      </c>
      <c r="J5349" t="b">
        <v>0</v>
      </c>
      <c r="K5349" t="b">
        <v>0</v>
      </c>
      <c r="L5349" t="b">
        <v>0</v>
      </c>
      <c r="M5349" t="b">
        <v>1</v>
      </c>
      <c r="N5349">
        <f>IFERROR(INDEX('Company Hitlist'!$AA:$AA,MATCH(D5349,'Company Hitlist'!$A:$A,0)),)</f>
        <v/>
      </c>
      <c r="O5349">
        <f>IFERROR(INDEX('Company Hitlist'!$N:$N,MATCH(D5349,'Company Hitlist'!$A:$A,0)),)</f>
        <v/>
      </c>
      <c r="Q5349" t="inlineStr">
        <is>
          <t>todo</t>
        </is>
      </c>
    </row>
    <row r="5350">
      <c r="A5350" t="inlineStr">
        <is>
          <t>Jesse Castaneda</t>
        </is>
      </c>
      <c r="B5350" t="inlineStr">
        <is>
          <t>Attendee</t>
        </is>
      </c>
      <c r="C5350" t="inlineStr">
        <is>
          <t>Tico Sales &amp; Service Representative</t>
        </is>
      </c>
      <c r="D5350" t="inlineStr">
        <is>
          <t>SW ToyotaLift</t>
        </is>
      </c>
      <c r="E5350" t="inlineStr">
        <is>
          <t>United States</t>
        </is>
      </c>
      <c r="H5350" t="n">
        <v>-8</v>
      </c>
      <c r="I5350" t="b">
        <v>0</v>
      </c>
      <c r="J5350" t="b">
        <v>0</v>
      </c>
      <c r="K5350" t="b">
        <v>0</v>
      </c>
      <c r="L5350" t="b">
        <v>0</v>
      </c>
      <c r="M5350" t="b">
        <v>1</v>
      </c>
      <c r="N5350">
        <f>IFERROR(INDEX('Company Hitlist'!$AA:$AA,MATCH(D5350,'Company Hitlist'!$A:$A,0)),)</f>
        <v/>
      </c>
      <c r="O5350">
        <f>IFERROR(INDEX('Company Hitlist'!$N:$N,MATCH(D5350,'Company Hitlist'!$A:$A,0)),)</f>
        <v/>
      </c>
      <c r="Q5350" t="inlineStr">
        <is>
          <t>todo</t>
        </is>
      </c>
    </row>
    <row r="5351">
      <c r="A5351" t="inlineStr">
        <is>
          <t>Brett Beeler</t>
        </is>
      </c>
      <c r="B5351" t="inlineStr">
        <is>
          <t>Attendee</t>
        </is>
      </c>
      <c r="C5351" t="inlineStr">
        <is>
          <t>Director, Enterprise Sales</t>
        </is>
      </c>
      <c r="D5351" t="inlineStr">
        <is>
          <t>Sage Freight, LLC</t>
        </is>
      </c>
      <c r="E5351" t="inlineStr">
        <is>
          <t>United States</t>
        </is>
      </c>
      <c r="H5351" t="n">
        <v>-8</v>
      </c>
      <c r="I5351" t="b">
        <v>0</v>
      </c>
      <c r="J5351" t="b">
        <v>0</v>
      </c>
      <c r="K5351" t="b">
        <v>0</v>
      </c>
      <c r="L5351" t="b">
        <v>0</v>
      </c>
      <c r="M5351" t="b">
        <v>1</v>
      </c>
      <c r="N5351">
        <f>IFERROR(INDEX('Company Hitlist'!$AA:$AA,MATCH(D5351,'Company Hitlist'!$A:$A,0)),)</f>
        <v/>
      </c>
      <c r="O5351">
        <f>IFERROR(INDEX('Company Hitlist'!$N:$N,MATCH(D5351,'Company Hitlist'!$A:$A,0)),)</f>
        <v/>
      </c>
      <c r="Q5351" t="inlineStr">
        <is>
          <t>todo</t>
        </is>
      </c>
    </row>
    <row r="5352">
      <c r="A5352" t="inlineStr">
        <is>
          <t>Dustin Nicholls</t>
        </is>
      </c>
      <c r="B5352" t="inlineStr">
        <is>
          <t>Attendee</t>
        </is>
      </c>
      <c r="C5352" t="inlineStr">
        <is>
          <t>Corporate Business Development Manager</t>
        </is>
      </c>
      <c r="D5352" t="inlineStr">
        <is>
          <t>Saia LTL Freight</t>
        </is>
      </c>
      <c r="E5352" t="inlineStr">
        <is>
          <t>United States</t>
        </is>
      </c>
      <c r="H5352" t="n">
        <v>-8</v>
      </c>
      <c r="I5352" t="b">
        <v>0</v>
      </c>
      <c r="J5352" t="b">
        <v>0</v>
      </c>
      <c r="K5352" t="b">
        <v>0</v>
      </c>
      <c r="L5352" t="b">
        <v>0</v>
      </c>
      <c r="M5352" t="b">
        <v>1</v>
      </c>
      <c r="N5352">
        <f>IFERROR(INDEX('Company Hitlist'!$AA:$AA,MATCH(D5352,'Company Hitlist'!$A:$A,0)),)</f>
        <v/>
      </c>
      <c r="O5352">
        <f>IFERROR(INDEX('Company Hitlist'!$N:$N,MATCH(D5352,'Company Hitlist'!$A:$A,0)),)</f>
        <v/>
      </c>
      <c r="Q5352" t="inlineStr">
        <is>
          <t>todo</t>
        </is>
      </c>
    </row>
    <row r="5353">
      <c r="A5353" t="inlineStr">
        <is>
          <t>Eric James</t>
        </is>
      </c>
      <c r="B5353" t="inlineStr">
        <is>
          <t>Attendee</t>
        </is>
      </c>
      <c r="C5353" t="inlineStr">
        <is>
          <t>Director of Sales</t>
        </is>
      </c>
      <c r="D5353" t="inlineStr">
        <is>
          <t>SalesIntel</t>
        </is>
      </c>
      <c r="E5353" t="inlineStr">
        <is>
          <t>United States</t>
        </is>
      </c>
      <c r="H5353" t="n">
        <v>-8</v>
      </c>
      <c r="I5353" t="b">
        <v>0</v>
      </c>
      <c r="J5353" t="b">
        <v>0</v>
      </c>
      <c r="K5353" t="b">
        <v>0</v>
      </c>
      <c r="L5353" t="b">
        <v>0</v>
      </c>
      <c r="M5353" t="b">
        <v>1</v>
      </c>
      <c r="N5353">
        <f>IFERROR(INDEX('Company Hitlist'!$AA:$AA,MATCH(D5353,'Company Hitlist'!$A:$A,0)),)</f>
        <v/>
      </c>
      <c r="O5353">
        <f>IFERROR(INDEX('Company Hitlist'!$N:$N,MATCH(D5353,'Company Hitlist'!$A:$A,0)),)</f>
        <v/>
      </c>
      <c r="Q5353" t="inlineStr">
        <is>
          <t>todo</t>
        </is>
      </c>
    </row>
    <row r="5354">
      <c r="A5354" t="inlineStr">
        <is>
          <t>Matthew Nash</t>
        </is>
      </c>
      <c r="B5354" t="inlineStr">
        <is>
          <t>Attendee</t>
        </is>
      </c>
      <c r="C5354" t="inlineStr">
        <is>
          <t>Senior Account Executive</t>
        </is>
      </c>
      <c r="D5354" t="inlineStr">
        <is>
          <t>SalesIntel</t>
        </is>
      </c>
      <c r="E5354" t="inlineStr">
        <is>
          <t>United States</t>
        </is>
      </c>
      <c r="H5354" t="n">
        <v>-8</v>
      </c>
      <c r="I5354" t="b">
        <v>0</v>
      </c>
      <c r="J5354" t="b">
        <v>0</v>
      </c>
      <c r="K5354" t="b">
        <v>0</v>
      </c>
      <c r="L5354" t="b">
        <v>0</v>
      </c>
      <c r="M5354" t="b">
        <v>1</v>
      </c>
      <c r="N5354">
        <f>IFERROR(INDEX('Company Hitlist'!$AA:$AA,MATCH(D5354,'Company Hitlist'!$A:$A,0)),)</f>
        <v/>
      </c>
      <c r="O5354">
        <f>IFERROR(INDEX('Company Hitlist'!$N:$N,MATCH(D5354,'Company Hitlist'!$A:$A,0)),)</f>
        <v/>
      </c>
      <c r="Q5354" t="inlineStr">
        <is>
          <t>todo</t>
        </is>
      </c>
    </row>
    <row r="5355">
      <c r="A5355" t="inlineStr">
        <is>
          <t>Brian Wierson</t>
        </is>
      </c>
      <c r="B5355" t="inlineStr">
        <is>
          <t>Attendee</t>
        </is>
      </c>
      <c r="C5355" t="inlineStr">
        <is>
          <t>Sales Manager</t>
        </is>
      </c>
      <c r="D5355" t="inlineStr">
        <is>
          <t>Seaboard Energy</t>
        </is>
      </c>
      <c r="E5355" t="inlineStr">
        <is>
          <t>United States</t>
        </is>
      </c>
      <c r="H5355" t="n">
        <v>-8</v>
      </c>
      <c r="I5355" t="b">
        <v>0</v>
      </c>
      <c r="J5355" t="b">
        <v>0</v>
      </c>
      <c r="K5355" t="b">
        <v>0</v>
      </c>
      <c r="L5355" t="b">
        <v>0</v>
      </c>
      <c r="M5355" t="b">
        <v>1</v>
      </c>
      <c r="N5355">
        <f>IFERROR(INDEX('Company Hitlist'!$AA:$AA,MATCH(D5355,'Company Hitlist'!$A:$A,0)),)</f>
        <v/>
      </c>
      <c r="O5355">
        <f>IFERROR(INDEX('Company Hitlist'!$N:$N,MATCH(D5355,'Company Hitlist'!$A:$A,0)),)</f>
        <v/>
      </c>
      <c r="Q5355" t="inlineStr">
        <is>
          <t>todo</t>
        </is>
      </c>
    </row>
    <row r="5356">
      <c r="A5356" t="inlineStr">
        <is>
          <t>Jack Scullin</t>
        </is>
      </c>
      <c r="B5356" t="inlineStr">
        <is>
          <t>Attendee</t>
        </is>
      </c>
      <c r="C5356" t="inlineStr">
        <is>
          <t>Business Development Executive</t>
        </is>
      </c>
      <c r="D5356" t="inlineStr">
        <is>
          <t>SecurSpace - CargoWise Landside</t>
        </is>
      </c>
      <c r="E5356" t="inlineStr">
        <is>
          <t>United States</t>
        </is>
      </c>
      <c r="H5356" t="n">
        <v>-8</v>
      </c>
      <c r="I5356" t="b">
        <v>0</v>
      </c>
      <c r="J5356" t="b">
        <v>0</v>
      </c>
      <c r="K5356" t="b">
        <v>0</v>
      </c>
      <c r="L5356" t="b">
        <v>0</v>
      </c>
      <c r="M5356" t="b">
        <v>1</v>
      </c>
      <c r="N5356">
        <f>IFERROR(INDEX('Company Hitlist'!$AA:$AA,MATCH(D5356,'Company Hitlist'!$A:$A,0)),)</f>
        <v/>
      </c>
      <c r="O5356">
        <f>IFERROR(INDEX('Company Hitlist'!$N:$N,MATCH(D5356,'Company Hitlist'!$A:$A,0)),)</f>
        <v/>
      </c>
      <c r="Q5356" t="inlineStr">
        <is>
          <t>todo</t>
        </is>
      </c>
    </row>
    <row r="5357">
      <c r="A5357" t="inlineStr">
        <is>
          <t>Eric Verdiguel</t>
        </is>
      </c>
      <c r="B5357" t="inlineStr">
        <is>
          <t>Attendee</t>
        </is>
      </c>
      <c r="C5357" t="inlineStr">
        <is>
          <t>Director of Sales</t>
        </is>
      </c>
      <c r="D5357" t="inlineStr">
        <is>
          <t>Seeing Machines</t>
        </is>
      </c>
      <c r="E5357" t="inlineStr">
        <is>
          <t>United States</t>
        </is>
      </c>
      <c r="H5357" t="n">
        <v>-8</v>
      </c>
      <c r="I5357" t="b">
        <v>0</v>
      </c>
      <c r="J5357" t="b">
        <v>0</v>
      </c>
      <c r="K5357" t="b">
        <v>0</v>
      </c>
      <c r="L5357" t="b">
        <v>0</v>
      </c>
      <c r="M5357" t="b">
        <v>1</v>
      </c>
      <c r="N5357">
        <f>IFERROR(INDEX('Company Hitlist'!$AA:$AA,MATCH(D5357,'Company Hitlist'!$A:$A,0)),)</f>
        <v/>
      </c>
      <c r="O5357">
        <f>IFERROR(INDEX('Company Hitlist'!$N:$N,MATCH(D5357,'Company Hitlist'!$A:$A,0)),)</f>
        <v/>
      </c>
      <c r="Q5357" t="inlineStr">
        <is>
          <t>todo</t>
        </is>
      </c>
    </row>
    <row r="5358">
      <c r="A5358" t="inlineStr">
        <is>
          <t>Gibson O'Neill</t>
        </is>
      </c>
      <c r="B5358" t="inlineStr">
        <is>
          <t>Attendee</t>
        </is>
      </c>
      <c r="C5358" t="inlineStr">
        <is>
          <t>Sr Account Executive</t>
        </is>
      </c>
      <c r="D5358" t="inlineStr">
        <is>
          <t>ShipBob</t>
        </is>
      </c>
      <c r="E5358" t="inlineStr">
        <is>
          <t>United States</t>
        </is>
      </c>
      <c r="H5358" t="n">
        <v>-8</v>
      </c>
      <c r="I5358" t="b">
        <v>0</v>
      </c>
      <c r="J5358" t="b">
        <v>0</v>
      </c>
      <c r="K5358" t="b">
        <v>0</v>
      </c>
      <c r="L5358" t="b">
        <v>0</v>
      </c>
      <c r="M5358" t="b">
        <v>1</v>
      </c>
      <c r="N5358">
        <f>IFERROR(INDEX('Company Hitlist'!$AA:$AA,MATCH(D5358,'Company Hitlist'!$A:$A,0)),)</f>
        <v/>
      </c>
      <c r="O5358">
        <f>IFERROR(INDEX('Company Hitlist'!$N:$N,MATCH(D5358,'Company Hitlist'!$A:$A,0)),)</f>
        <v/>
      </c>
      <c r="Q5358" t="inlineStr">
        <is>
          <t>todo</t>
        </is>
      </c>
    </row>
    <row r="5359">
      <c r="A5359" t="inlineStr">
        <is>
          <t>Alex Gorney</t>
        </is>
      </c>
      <c r="B5359" t="inlineStr">
        <is>
          <t>Attendee</t>
        </is>
      </c>
      <c r="C5359" t="inlineStr">
        <is>
          <t>Enterprise Account Executive</t>
        </is>
      </c>
      <c r="D5359" t="inlineStr">
        <is>
          <t>ShipHero</t>
        </is>
      </c>
      <c r="E5359" t="inlineStr">
        <is>
          <t>United States</t>
        </is>
      </c>
      <c r="H5359" t="n">
        <v>-8</v>
      </c>
      <c r="I5359" t="b">
        <v>0</v>
      </c>
      <c r="J5359" t="b">
        <v>0</v>
      </c>
      <c r="K5359" t="b">
        <v>0</v>
      </c>
      <c r="L5359" t="b">
        <v>0</v>
      </c>
      <c r="M5359" t="b">
        <v>1</v>
      </c>
      <c r="N5359">
        <f>IFERROR(INDEX('Company Hitlist'!$AA:$AA,MATCH(D5359,'Company Hitlist'!$A:$A,0)),)</f>
        <v/>
      </c>
      <c r="O5359">
        <f>IFERROR(INDEX('Company Hitlist'!$N:$N,MATCH(D5359,'Company Hitlist'!$A:$A,0)),)</f>
        <v/>
      </c>
      <c r="Q5359" t="inlineStr">
        <is>
          <t>todo</t>
        </is>
      </c>
    </row>
    <row r="5360">
      <c r="A5360" t="inlineStr">
        <is>
          <t>Grace Yu</t>
        </is>
      </c>
      <c r="B5360" t="inlineStr">
        <is>
          <t>Attendee</t>
        </is>
      </c>
      <c r="C5360" t="inlineStr">
        <is>
          <t>BD Manager</t>
        </is>
      </c>
      <c r="D5360" t="inlineStr">
        <is>
          <t>ShipSaving</t>
        </is>
      </c>
      <c r="E5360" t="inlineStr">
        <is>
          <t>United States</t>
        </is>
      </c>
      <c r="H5360" t="n">
        <v>-8</v>
      </c>
      <c r="I5360" t="b">
        <v>0</v>
      </c>
      <c r="J5360" t="b">
        <v>0</v>
      </c>
      <c r="K5360" t="b">
        <v>0</v>
      </c>
      <c r="L5360" t="b">
        <v>0</v>
      </c>
      <c r="M5360" t="b">
        <v>1</v>
      </c>
      <c r="N5360">
        <f>IFERROR(INDEX('Company Hitlist'!$AA:$AA,MATCH(D5360,'Company Hitlist'!$A:$A,0)),)</f>
        <v/>
      </c>
      <c r="O5360">
        <f>IFERROR(INDEX('Company Hitlist'!$N:$N,MATCH(D5360,'Company Hitlist'!$A:$A,0)),)</f>
        <v/>
      </c>
      <c r="Q5360" t="inlineStr">
        <is>
          <t>todo</t>
        </is>
      </c>
    </row>
    <row r="5361">
      <c r="A5361" t="inlineStr">
        <is>
          <t>Brett Jurgenson</t>
        </is>
      </c>
      <c r="B5361" t="inlineStr">
        <is>
          <t>Attendee</t>
        </is>
      </c>
      <c r="C5361" t="inlineStr">
        <is>
          <t>Sales Account Manager</t>
        </is>
      </c>
      <c r="D5361" t="inlineStr">
        <is>
          <t>ShipWise</t>
        </is>
      </c>
      <c r="E5361" t="inlineStr">
        <is>
          <t>United States</t>
        </is>
      </c>
      <c r="H5361" t="n">
        <v>-8</v>
      </c>
      <c r="I5361" t="b">
        <v>0</v>
      </c>
      <c r="J5361" t="b">
        <v>0</v>
      </c>
      <c r="K5361" t="b">
        <v>0</v>
      </c>
      <c r="L5361" t="b">
        <v>0</v>
      </c>
      <c r="M5361" t="b">
        <v>1</v>
      </c>
      <c r="N5361">
        <f>IFERROR(INDEX('Company Hitlist'!$AA:$AA,MATCH(D5361,'Company Hitlist'!$A:$A,0)),)</f>
        <v/>
      </c>
      <c r="O5361">
        <f>IFERROR(INDEX('Company Hitlist'!$N:$N,MATCH(D5361,'Company Hitlist'!$A:$A,0)),)</f>
        <v/>
      </c>
      <c r="Q5361" t="inlineStr">
        <is>
          <t>todo</t>
        </is>
      </c>
    </row>
    <row r="5362">
      <c r="A5362" t="inlineStr">
        <is>
          <t>Tim Bildstein</t>
        </is>
      </c>
      <c r="B5362" t="inlineStr">
        <is>
          <t>Attendee</t>
        </is>
      </c>
      <c r="C5362" t="inlineStr">
        <is>
          <t>Sales Executive</t>
        </is>
      </c>
      <c r="D5362" t="inlineStr">
        <is>
          <t>ShipWise</t>
        </is>
      </c>
      <c r="E5362" t="inlineStr">
        <is>
          <t>United States</t>
        </is>
      </c>
      <c r="H5362" t="n">
        <v>-8</v>
      </c>
      <c r="I5362" t="b">
        <v>0</v>
      </c>
      <c r="J5362" t="b">
        <v>0</v>
      </c>
      <c r="K5362" t="b">
        <v>0</v>
      </c>
      <c r="L5362" t="b">
        <v>0</v>
      </c>
      <c r="M5362" t="b">
        <v>1</v>
      </c>
      <c r="N5362">
        <f>IFERROR(INDEX('Company Hitlist'!$AA:$AA,MATCH(D5362,'Company Hitlist'!$A:$A,0)),)</f>
        <v/>
      </c>
      <c r="O5362">
        <f>IFERROR(INDEX('Company Hitlist'!$N:$N,MATCH(D5362,'Company Hitlist'!$A:$A,0)),)</f>
        <v/>
      </c>
      <c r="Q5362" t="inlineStr">
        <is>
          <t>todo</t>
        </is>
      </c>
    </row>
    <row r="5363">
      <c r="A5363" t="inlineStr">
        <is>
          <t>Wesley Ransom</t>
        </is>
      </c>
      <c r="B5363" t="inlineStr">
        <is>
          <t>Attendee</t>
        </is>
      </c>
      <c r="C5363" t="inlineStr">
        <is>
          <t>Director of Sales</t>
        </is>
      </c>
      <c r="D5363" t="inlineStr">
        <is>
          <t>ShipWise</t>
        </is>
      </c>
      <c r="E5363" t="inlineStr">
        <is>
          <t>United States</t>
        </is>
      </c>
      <c r="H5363" t="n">
        <v>-8</v>
      </c>
      <c r="I5363" t="b">
        <v>0</v>
      </c>
      <c r="J5363" t="b">
        <v>0</v>
      </c>
      <c r="K5363" t="b">
        <v>0</v>
      </c>
      <c r="L5363" t="b">
        <v>0</v>
      </c>
      <c r="M5363" t="b">
        <v>1</v>
      </c>
      <c r="N5363">
        <f>IFERROR(INDEX('Company Hitlist'!$AA:$AA,MATCH(D5363,'Company Hitlist'!$A:$A,0)),)</f>
        <v/>
      </c>
      <c r="O5363">
        <f>IFERROR(INDEX('Company Hitlist'!$N:$N,MATCH(D5363,'Company Hitlist'!$A:$A,0)),)</f>
        <v/>
      </c>
      <c r="Q5363" t="inlineStr">
        <is>
          <t>todo</t>
        </is>
      </c>
    </row>
    <row r="5364">
      <c r="A5364" t="inlineStr">
        <is>
          <t>Todd Dunlop</t>
        </is>
      </c>
      <c r="B5364" t="inlineStr">
        <is>
          <t>Attendee</t>
        </is>
      </c>
      <c r="C5364" t="inlineStr">
        <is>
          <t>Business Development</t>
        </is>
      </c>
      <c r="D5364" t="inlineStr">
        <is>
          <t>ShipWise</t>
        </is>
      </c>
      <c r="E5364" t="inlineStr">
        <is>
          <t>United States</t>
        </is>
      </c>
      <c r="H5364" t="n">
        <v>-8</v>
      </c>
      <c r="I5364" t="b">
        <v>0</v>
      </c>
      <c r="J5364" t="b">
        <v>0</v>
      </c>
      <c r="K5364" t="b">
        <v>0</v>
      </c>
      <c r="L5364" t="b">
        <v>0</v>
      </c>
      <c r="M5364" t="b">
        <v>1</v>
      </c>
      <c r="N5364">
        <f>IFERROR(INDEX('Company Hitlist'!$AA:$AA,MATCH(D5364,'Company Hitlist'!$A:$A,0)),)</f>
        <v/>
      </c>
      <c r="O5364">
        <f>IFERROR(INDEX('Company Hitlist'!$N:$N,MATCH(D5364,'Company Hitlist'!$A:$A,0)),)</f>
        <v/>
      </c>
      <c r="Q5364" t="inlineStr">
        <is>
          <t>todo</t>
        </is>
      </c>
    </row>
    <row r="5365">
      <c r="A5365" t="inlineStr">
        <is>
          <t>Wade Ransom</t>
        </is>
      </c>
      <c r="B5365" t="inlineStr">
        <is>
          <t>Attendee</t>
        </is>
      </c>
      <c r="C5365" t="inlineStr">
        <is>
          <t>Business Development</t>
        </is>
      </c>
      <c r="D5365" t="inlineStr">
        <is>
          <t>ShipWise</t>
        </is>
      </c>
      <c r="E5365" t="inlineStr">
        <is>
          <t>United States</t>
        </is>
      </c>
      <c r="H5365" t="n">
        <v>-8</v>
      </c>
      <c r="I5365" t="b">
        <v>0</v>
      </c>
      <c r="J5365" t="b">
        <v>0</v>
      </c>
      <c r="K5365" t="b">
        <v>0</v>
      </c>
      <c r="L5365" t="b">
        <v>0</v>
      </c>
      <c r="M5365" t="b">
        <v>1</v>
      </c>
      <c r="N5365">
        <f>IFERROR(INDEX('Company Hitlist'!$AA:$AA,MATCH(D5365,'Company Hitlist'!$A:$A,0)),)</f>
        <v/>
      </c>
      <c r="O5365">
        <f>IFERROR(INDEX('Company Hitlist'!$N:$N,MATCH(D5365,'Company Hitlist'!$A:$A,0)),)</f>
        <v/>
      </c>
      <c r="Q5365" t="inlineStr">
        <is>
          <t>todo</t>
        </is>
      </c>
    </row>
    <row r="5366">
      <c r="A5366" t="inlineStr">
        <is>
          <t>Jonathan Witt</t>
        </is>
      </c>
      <c r="B5366" t="inlineStr">
        <is>
          <t>Attendee</t>
        </is>
      </c>
      <c r="C5366" t="inlineStr">
        <is>
          <t>Partnership Manager</t>
        </is>
      </c>
      <c r="D5366" t="inlineStr">
        <is>
          <t>Shipfusion</t>
        </is>
      </c>
      <c r="E5366" t="inlineStr">
        <is>
          <t>United States</t>
        </is>
      </c>
      <c r="H5366" t="n">
        <v>-8</v>
      </c>
      <c r="I5366" t="b">
        <v>0</v>
      </c>
      <c r="J5366" t="b">
        <v>0</v>
      </c>
      <c r="K5366" t="b">
        <v>0</v>
      </c>
      <c r="L5366" t="b">
        <v>0</v>
      </c>
      <c r="M5366" t="b">
        <v>1</v>
      </c>
      <c r="N5366">
        <f>IFERROR(INDEX('Company Hitlist'!$AA:$AA,MATCH(D5366,'Company Hitlist'!$A:$A,0)),)</f>
        <v/>
      </c>
      <c r="O5366">
        <f>IFERROR(INDEX('Company Hitlist'!$N:$N,MATCH(D5366,'Company Hitlist'!$A:$A,0)),)</f>
        <v/>
      </c>
      <c r="Q5366" t="inlineStr">
        <is>
          <t>todo</t>
        </is>
      </c>
    </row>
    <row r="5367">
      <c r="A5367" t="inlineStr">
        <is>
          <t>Tracy Glueck</t>
        </is>
      </c>
      <c r="B5367" t="inlineStr">
        <is>
          <t>Attendee</t>
        </is>
      </c>
      <c r="C5367" t="inlineStr">
        <is>
          <t>Director of Marketing</t>
        </is>
      </c>
      <c r="D5367" t="inlineStr">
        <is>
          <t>Shiplify, LLC</t>
        </is>
      </c>
      <c r="E5367" t="inlineStr">
        <is>
          <t>United States</t>
        </is>
      </c>
      <c r="F5367" t="inlineStr">
        <is>
          <t>Yes</t>
        </is>
      </c>
      <c r="H5367" t="n">
        <v>-8</v>
      </c>
      <c r="I5367" t="b">
        <v>0</v>
      </c>
      <c r="J5367" t="b">
        <v>0</v>
      </c>
      <c r="K5367" t="b">
        <v>0</v>
      </c>
      <c r="L5367" t="b">
        <v>0</v>
      </c>
      <c r="M5367" t="b">
        <v>1</v>
      </c>
      <c r="N5367">
        <f>IFERROR(INDEX('Company Hitlist'!$AA:$AA,MATCH(D5367,'Company Hitlist'!$A:$A,0)),)</f>
        <v/>
      </c>
      <c r="O5367">
        <f>IFERROR(INDEX('Company Hitlist'!$N:$N,MATCH(D5367,'Company Hitlist'!$A:$A,0)),)</f>
        <v/>
      </c>
      <c r="Q5367" t="inlineStr">
        <is>
          <t>todo</t>
        </is>
      </c>
    </row>
    <row r="5368">
      <c r="A5368" t="inlineStr">
        <is>
          <t>Loubriel Salas</t>
        </is>
      </c>
      <c r="B5368" t="inlineStr">
        <is>
          <t>Attendee</t>
        </is>
      </c>
      <c r="C5368" t="inlineStr">
        <is>
          <t>Tico Sales &amp; Service Representative</t>
        </is>
      </c>
      <c r="D5368" t="inlineStr">
        <is>
          <t>Southwest Toyotalift</t>
        </is>
      </c>
      <c r="E5368" t="inlineStr">
        <is>
          <t>United States</t>
        </is>
      </c>
      <c r="H5368" t="n">
        <v>-8</v>
      </c>
      <c r="I5368" t="b">
        <v>0</v>
      </c>
      <c r="J5368" t="b">
        <v>0</v>
      </c>
      <c r="K5368" t="b">
        <v>0</v>
      </c>
      <c r="L5368" t="b">
        <v>0</v>
      </c>
      <c r="M5368" t="b">
        <v>1</v>
      </c>
      <c r="N5368">
        <f>IFERROR(INDEX('Company Hitlist'!$AA:$AA,MATCH(D5368,'Company Hitlist'!$A:$A,0)),)</f>
        <v/>
      </c>
      <c r="O5368">
        <f>IFERROR(INDEX('Company Hitlist'!$N:$N,MATCH(D5368,'Company Hitlist'!$A:$A,0)),)</f>
        <v/>
      </c>
      <c r="Q5368" t="inlineStr">
        <is>
          <t>todo</t>
        </is>
      </c>
    </row>
    <row r="5369">
      <c r="A5369" t="inlineStr">
        <is>
          <t>Vishal Duvvuru</t>
        </is>
      </c>
      <c r="B5369" t="inlineStr">
        <is>
          <t>Attendee</t>
        </is>
      </c>
      <c r="C5369" t="inlineStr">
        <is>
          <t>Senior Director, Business Development</t>
        </is>
      </c>
      <c r="D5369" t="inlineStr">
        <is>
          <t>SuperCircle</t>
        </is>
      </c>
      <c r="H5369" t="n">
        <v>-8</v>
      </c>
      <c r="I5369" t="b">
        <v>0</v>
      </c>
      <c r="J5369" t="b">
        <v>0</v>
      </c>
      <c r="K5369" t="b">
        <v>0</v>
      </c>
      <c r="L5369" t="b">
        <v>0</v>
      </c>
      <c r="M5369" t="b">
        <v>1</v>
      </c>
      <c r="N5369">
        <f>IFERROR(INDEX('Company Hitlist'!$AA:$AA,MATCH(D5369,'Company Hitlist'!$A:$A,0)),)</f>
        <v/>
      </c>
      <c r="O5369">
        <f>IFERROR(INDEX('Company Hitlist'!$N:$N,MATCH(D5369,'Company Hitlist'!$A:$A,0)),)</f>
        <v/>
      </c>
      <c r="Q5369" t="inlineStr">
        <is>
          <t>todo</t>
        </is>
      </c>
    </row>
    <row r="5370">
      <c r="A5370" t="inlineStr">
        <is>
          <t>David Bellner</t>
        </is>
      </c>
      <c r="B5370" t="inlineStr">
        <is>
          <t>Attendee</t>
        </is>
      </c>
      <c r="C5370" t="inlineStr">
        <is>
          <t>Sales Executive</t>
        </is>
      </c>
      <c r="D5370" t="inlineStr">
        <is>
          <t>TEL</t>
        </is>
      </c>
      <c r="E5370" t="inlineStr">
        <is>
          <t>United States</t>
        </is>
      </c>
      <c r="H5370" t="n">
        <v>-8</v>
      </c>
      <c r="I5370" t="b">
        <v>0</v>
      </c>
      <c r="J5370" t="b">
        <v>0</v>
      </c>
      <c r="K5370" t="b">
        <v>0</v>
      </c>
      <c r="L5370" t="b">
        <v>0</v>
      </c>
      <c r="M5370" t="b">
        <v>1</v>
      </c>
      <c r="N5370">
        <f>IFERROR(INDEX('Company Hitlist'!$AA:$AA,MATCH(D5370,'Company Hitlist'!$A:$A,0)),)</f>
        <v/>
      </c>
      <c r="O5370">
        <f>IFERROR(INDEX('Company Hitlist'!$N:$N,MATCH(D5370,'Company Hitlist'!$A:$A,0)),)</f>
        <v/>
      </c>
      <c r="Q5370" t="inlineStr">
        <is>
          <t>todo</t>
        </is>
      </c>
    </row>
    <row r="5371">
      <c r="A5371" t="inlineStr">
        <is>
          <t>Blake Neal</t>
        </is>
      </c>
      <c r="B5371" t="inlineStr">
        <is>
          <t>Attendee</t>
        </is>
      </c>
      <c r="C5371" t="inlineStr">
        <is>
          <t>Director of Business Development</t>
        </is>
      </c>
      <c r="D5371" t="inlineStr">
        <is>
          <t>TGW Logistics</t>
        </is>
      </c>
      <c r="E5371" t="inlineStr">
        <is>
          <t>United States</t>
        </is>
      </c>
      <c r="H5371" t="n">
        <v>-8</v>
      </c>
      <c r="I5371" t="b">
        <v>0</v>
      </c>
      <c r="J5371" t="b">
        <v>0</v>
      </c>
      <c r="K5371" t="b">
        <v>0</v>
      </c>
      <c r="L5371" t="b">
        <v>0</v>
      </c>
      <c r="M5371" t="b">
        <v>1</v>
      </c>
      <c r="N5371">
        <f>IFERROR(INDEX('Company Hitlist'!$AA:$AA,MATCH(D5371,'Company Hitlist'!$A:$A,0)),)</f>
        <v/>
      </c>
      <c r="O5371">
        <f>IFERROR(INDEX('Company Hitlist'!$N:$N,MATCH(D5371,'Company Hitlist'!$A:$A,0)),)</f>
        <v/>
      </c>
      <c r="Q5371" t="inlineStr">
        <is>
          <t>todo</t>
        </is>
      </c>
    </row>
    <row r="5372">
      <c r="A5372" t="inlineStr">
        <is>
          <t>Collin Russell</t>
        </is>
      </c>
      <c r="B5372" t="inlineStr">
        <is>
          <t>Attendee</t>
        </is>
      </c>
      <c r="C5372" t="inlineStr">
        <is>
          <t>Director of Business Development</t>
        </is>
      </c>
      <c r="D5372" t="inlineStr">
        <is>
          <t>TGW Logistics</t>
        </is>
      </c>
      <c r="E5372" t="inlineStr">
        <is>
          <t>United States</t>
        </is>
      </c>
      <c r="H5372" t="n">
        <v>-8</v>
      </c>
      <c r="I5372" t="b">
        <v>0</v>
      </c>
      <c r="J5372" t="b">
        <v>0</v>
      </c>
      <c r="K5372" t="b">
        <v>0</v>
      </c>
      <c r="L5372" t="b">
        <v>0</v>
      </c>
      <c r="M5372" t="b">
        <v>1</v>
      </c>
      <c r="N5372">
        <f>IFERROR(INDEX('Company Hitlist'!$AA:$AA,MATCH(D5372,'Company Hitlist'!$A:$A,0)),)</f>
        <v/>
      </c>
      <c r="O5372">
        <f>IFERROR(INDEX('Company Hitlist'!$N:$N,MATCH(D5372,'Company Hitlist'!$A:$A,0)),)</f>
        <v/>
      </c>
      <c r="Q5372" t="inlineStr">
        <is>
          <t>todo</t>
        </is>
      </c>
    </row>
    <row r="5373">
      <c r="A5373" t="inlineStr">
        <is>
          <t>Meagan Gauthier</t>
        </is>
      </c>
      <c r="B5373" t="inlineStr">
        <is>
          <t>Attendee</t>
        </is>
      </c>
      <c r="C5373" t="inlineStr">
        <is>
          <t>Business Development Manager</t>
        </is>
      </c>
      <c r="D5373" t="inlineStr">
        <is>
          <t>TGW Logistics</t>
        </is>
      </c>
      <c r="E5373" t="inlineStr">
        <is>
          <t>United States</t>
        </is>
      </c>
      <c r="H5373" t="n">
        <v>-8</v>
      </c>
      <c r="I5373" t="b">
        <v>0</v>
      </c>
      <c r="J5373" t="b">
        <v>0</v>
      </c>
      <c r="K5373" t="b">
        <v>0</v>
      </c>
      <c r="L5373" t="b">
        <v>0</v>
      </c>
      <c r="M5373" t="b">
        <v>1</v>
      </c>
      <c r="N5373">
        <f>IFERROR(INDEX('Company Hitlist'!$AA:$AA,MATCH(D5373,'Company Hitlist'!$A:$A,0)),)</f>
        <v/>
      </c>
      <c r="O5373">
        <f>IFERROR(INDEX('Company Hitlist'!$N:$N,MATCH(D5373,'Company Hitlist'!$A:$A,0)),)</f>
        <v/>
      </c>
      <c r="Q5373" t="inlineStr">
        <is>
          <t>todo</t>
        </is>
      </c>
    </row>
    <row r="5374">
      <c r="A5374" t="inlineStr">
        <is>
          <t>Clare Zeltner</t>
        </is>
      </c>
      <c r="B5374" t="inlineStr">
        <is>
          <t>Attendee</t>
        </is>
      </c>
      <c r="C5374" t="inlineStr">
        <is>
          <t>Account Executive</t>
        </is>
      </c>
      <c r="D5374" t="inlineStr">
        <is>
          <t>Techdinamics</t>
        </is>
      </c>
      <c r="E5374" t="inlineStr">
        <is>
          <t>Canada</t>
        </is>
      </c>
      <c r="H5374" t="n">
        <v>-8</v>
      </c>
      <c r="I5374" t="b">
        <v>0</v>
      </c>
      <c r="J5374" t="b">
        <v>0</v>
      </c>
      <c r="K5374" t="b">
        <v>0</v>
      </c>
      <c r="L5374" t="b">
        <v>0</v>
      </c>
      <c r="M5374" t="b">
        <v>1</v>
      </c>
      <c r="N5374">
        <f>IFERROR(INDEX('Company Hitlist'!$AA:$AA,MATCH(D5374,'Company Hitlist'!$A:$A,0)),)</f>
        <v/>
      </c>
      <c r="O5374">
        <f>IFERROR(INDEX('Company Hitlist'!$N:$N,MATCH(D5374,'Company Hitlist'!$A:$A,0)),)</f>
        <v/>
      </c>
      <c r="Q5374" t="inlineStr">
        <is>
          <t>todo</t>
        </is>
      </c>
    </row>
    <row r="5375">
      <c r="A5375" t="inlineStr">
        <is>
          <t>Alexander Cherkovets</t>
        </is>
      </c>
      <c r="B5375" t="inlineStr">
        <is>
          <t>Attendee</t>
        </is>
      </c>
      <c r="C5375" t="inlineStr">
        <is>
          <t>Sales Director</t>
        </is>
      </c>
      <c r="D5375" t="inlineStr">
        <is>
          <t>Terrapinn</t>
        </is>
      </c>
      <c r="E5375" t="inlineStr">
        <is>
          <t>United States</t>
        </is>
      </c>
      <c r="H5375" t="n">
        <v>-8</v>
      </c>
      <c r="I5375" t="b">
        <v>0</v>
      </c>
      <c r="J5375" t="b">
        <v>0</v>
      </c>
      <c r="K5375" t="b">
        <v>0</v>
      </c>
      <c r="L5375" t="b">
        <v>0</v>
      </c>
      <c r="M5375" t="b">
        <v>1</v>
      </c>
      <c r="N5375">
        <f>IFERROR(INDEX('Company Hitlist'!$AA:$AA,MATCH(D5375,'Company Hitlist'!$A:$A,0)),)</f>
        <v/>
      </c>
      <c r="O5375">
        <f>IFERROR(INDEX('Company Hitlist'!$N:$N,MATCH(D5375,'Company Hitlist'!$A:$A,0)),)</f>
        <v/>
      </c>
      <c r="Q5375" t="inlineStr">
        <is>
          <t>todo</t>
        </is>
      </c>
    </row>
    <row r="5376">
      <c r="A5376" t="inlineStr">
        <is>
          <t>Andrew Hendry</t>
        </is>
      </c>
      <c r="B5376" t="inlineStr">
        <is>
          <t>Attendee</t>
        </is>
      </c>
      <c r="C5376" t="inlineStr">
        <is>
          <t>Account Executive</t>
        </is>
      </c>
      <c r="D5376" t="inlineStr">
        <is>
          <t>TextLocate</t>
        </is>
      </c>
      <c r="E5376" t="inlineStr">
        <is>
          <t>United States</t>
        </is>
      </c>
      <c r="H5376" t="n">
        <v>-8</v>
      </c>
      <c r="I5376" t="b">
        <v>0</v>
      </c>
      <c r="J5376" t="b">
        <v>0</v>
      </c>
      <c r="K5376" t="b">
        <v>0</v>
      </c>
      <c r="L5376" t="b">
        <v>0</v>
      </c>
      <c r="M5376" t="b">
        <v>1</v>
      </c>
      <c r="N5376">
        <f>IFERROR(INDEX('Company Hitlist'!$AA:$AA,MATCH(D5376,'Company Hitlist'!$A:$A,0)),)</f>
        <v/>
      </c>
      <c r="O5376">
        <f>IFERROR(INDEX('Company Hitlist'!$N:$N,MATCH(D5376,'Company Hitlist'!$A:$A,0)),)</f>
        <v/>
      </c>
      <c r="Q5376" t="inlineStr">
        <is>
          <t>todo</t>
        </is>
      </c>
    </row>
    <row r="5377">
      <c r="A5377" t="inlineStr">
        <is>
          <t>Katy Cherkas</t>
        </is>
      </c>
      <c r="B5377" t="inlineStr">
        <is>
          <t>Attendee</t>
        </is>
      </c>
      <c r="C5377" t="inlineStr">
        <is>
          <t>Director of Marketing</t>
        </is>
      </c>
      <c r="D5377" t="inlineStr">
        <is>
          <t>The Custom Companies</t>
        </is>
      </c>
      <c r="E5377" t="inlineStr">
        <is>
          <t>United States</t>
        </is>
      </c>
      <c r="F5377" t="inlineStr">
        <is>
          <t>Yes</t>
        </is>
      </c>
      <c r="H5377" t="n">
        <v>-8</v>
      </c>
      <c r="I5377" t="b">
        <v>0</v>
      </c>
      <c r="J5377" t="b">
        <v>0</v>
      </c>
      <c r="K5377" t="b">
        <v>0</v>
      </c>
      <c r="L5377" t="b">
        <v>0</v>
      </c>
      <c r="M5377" t="b">
        <v>1</v>
      </c>
      <c r="N5377">
        <f>IFERROR(INDEX('Company Hitlist'!$AA:$AA,MATCH(D5377,'Company Hitlist'!$A:$A,0)),)</f>
        <v/>
      </c>
      <c r="O5377">
        <f>IFERROR(INDEX('Company Hitlist'!$N:$N,MATCH(D5377,'Company Hitlist'!$A:$A,0)),)</f>
        <v/>
      </c>
      <c r="Q5377" t="inlineStr">
        <is>
          <t>todo</t>
        </is>
      </c>
    </row>
    <row r="5378">
      <c r="A5378" t="inlineStr">
        <is>
          <t>Rudha Mididoddi</t>
        </is>
      </c>
      <c r="B5378" t="inlineStr">
        <is>
          <t>Attendee</t>
        </is>
      </c>
      <c r="C5378" t="inlineStr">
        <is>
          <t>Director, Strategic Business Development</t>
        </is>
      </c>
      <c r="D5378" t="inlineStr">
        <is>
          <t>The Home Depot</t>
        </is>
      </c>
      <c r="H5378" t="n">
        <v>-8</v>
      </c>
      <c r="I5378" t="b">
        <v>0</v>
      </c>
      <c r="J5378" t="b">
        <v>0</v>
      </c>
      <c r="K5378" t="b">
        <v>0</v>
      </c>
      <c r="L5378" t="b">
        <v>0</v>
      </c>
      <c r="M5378" t="b">
        <v>1</v>
      </c>
      <c r="N5378">
        <f>IFERROR(INDEX('Company Hitlist'!$AA:$AA,MATCH(D5378,'Company Hitlist'!$A:$A,0)),)</f>
        <v/>
      </c>
      <c r="O5378">
        <f>IFERROR(INDEX('Company Hitlist'!$N:$N,MATCH(D5378,'Company Hitlist'!$A:$A,0)),)</f>
        <v/>
      </c>
      <c r="Q5378" t="inlineStr">
        <is>
          <t>todo</t>
        </is>
      </c>
    </row>
    <row r="5379">
      <c r="A5379" t="inlineStr">
        <is>
          <t>Stephen Frankiewicz</t>
        </is>
      </c>
      <c r="B5379" t="inlineStr">
        <is>
          <t>Attendee</t>
        </is>
      </c>
      <c r="C5379" t="inlineStr">
        <is>
          <t>Sr Manager, Strategic Business Development</t>
        </is>
      </c>
      <c r="D5379" t="inlineStr">
        <is>
          <t>The Home Depot</t>
        </is>
      </c>
      <c r="H5379" t="n">
        <v>-8</v>
      </c>
      <c r="I5379" t="b">
        <v>0</v>
      </c>
      <c r="J5379" t="b">
        <v>0</v>
      </c>
      <c r="K5379" t="b">
        <v>0</v>
      </c>
      <c r="L5379" t="b">
        <v>0</v>
      </c>
      <c r="M5379" t="b">
        <v>1</v>
      </c>
      <c r="N5379">
        <f>IFERROR(INDEX('Company Hitlist'!$AA:$AA,MATCH(D5379,'Company Hitlist'!$A:$A,0)),)</f>
        <v/>
      </c>
      <c r="O5379">
        <f>IFERROR(INDEX('Company Hitlist'!$N:$N,MATCH(D5379,'Company Hitlist'!$A:$A,0)),)</f>
        <v/>
      </c>
      <c r="Q5379" t="inlineStr">
        <is>
          <t>todo</t>
        </is>
      </c>
    </row>
    <row r="5380">
      <c r="A5380" t="inlineStr">
        <is>
          <t>Riley Johnson</t>
        </is>
      </c>
      <c r="B5380" t="inlineStr">
        <is>
          <t>Attendee</t>
        </is>
      </c>
      <c r="C5380" t="inlineStr">
        <is>
          <t>Director of Sales</t>
        </is>
      </c>
      <c r="D5380" t="inlineStr">
        <is>
          <t>Thrivemodal</t>
        </is>
      </c>
      <c r="E5380" t="inlineStr">
        <is>
          <t>United States</t>
        </is>
      </c>
      <c r="H5380" t="n">
        <v>-8</v>
      </c>
      <c r="I5380" t="b">
        <v>0</v>
      </c>
      <c r="J5380" t="b">
        <v>0</v>
      </c>
      <c r="K5380" t="b">
        <v>0</v>
      </c>
      <c r="L5380" t="b">
        <v>0</v>
      </c>
      <c r="M5380" t="b">
        <v>1</v>
      </c>
      <c r="N5380">
        <f>IFERROR(INDEX('Company Hitlist'!$AA:$AA,MATCH(D5380,'Company Hitlist'!$A:$A,0)),)</f>
        <v/>
      </c>
      <c r="O5380">
        <f>IFERROR(INDEX('Company Hitlist'!$N:$N,MATCH(D5380,'Company Hitlist'!$A:$A,0)),)</f>
        <v/>
      </c>
      <c r="Q5380" t="inlineStr">
        <is>
          <t>todo</t>
        </is>
      </c>
    </row>
    <row r="5381">
      <c r="A5381" t="inlineStr">
        <is>
          <t>Rune Andreasen</t>
        </is>
      </c>
      <c r="B5381" t="inlineStr">
        <is>
          <t>Attendee</t>
        </is>
      </c>
      <c r="C5381" t="inlineStr">
        <is>
          <t>Senior Business Development Manager</t>
        </is>
      </c>
      <c r="D5381" t="inlineStr">
        <is>
          <t>Tideform A/S</t>
        </is>
      </c>
      <c r="E5381" t="inlineStr">
        <is>
          <t>Denmark</t>
        </is>
      </c>
      <c r="H5381" t="n">
        <v>-8</v>
      </c>
      <c r="I5381" t="b">
        <v>0</v>
      </c>
      <c r="J5381" t="b">
        <v>0</v>
      </c>
      <c r="K5381" t="b">
        <v>0</v>
      </c>
      <c r="L5381" t="b">
        <v>0</v>
      </c>
      <c r="M5381" t="b">
        <v>1</v>
      </c>
      <c r="N5381">
        <f>IFERROR(INDEX('Company Hitlist'!$AA:$AA,MATCH(D5381,'Company Hitlist'!$A:$A,0)),)</f>
        <v/>
      </c>
      <c r="O5381">
        <f>IFERROR(INDEX('Company Hitlist'!$N:$N,MATCH(D5381,'Company Hitlist'!$A:$A,0)),)</f>
        <v/>
      </c>
      <c r="Q5381" t="inlineStr">
        <is>
          <t>todo</t>
        </is>
      </c>
    </row>
    <row r="5382">
      <c r="A5382" t="inlineStr">
        <is>
          <t>Thomas Keville</t>
        </is>
      </c>
      <c r="B5382" t="inlineStr">
        <is>
          <t>Attendee</t>
        </is>
      </c>
      <c r="C5382" t="inlineStr">
        <is>
          <t>Enterprise Sales Director</t>
        </is>
      </c>
      <c r="D5382" t="inlineStr">
        <is>
          <t>Transfix</t>
        </is>
      </c>
      <c r="E5382" t="inlineStr">
        <is>
          <t>United States</t>
        </is>
      </c>
      <c r="H5382" t="n">
        <v>-8</v>
      </c>
      <c r="I5382" t="b">
        <v>0</v>
      </c>
      <c r="J5382" t="b">
        <v>0</v>
      </c>
      <c r="K5382" t="b">
        <v>0</v>
      </c>
      <c r="L5382" t="b">
        <v>0</v>
      </c>
      <c r="M5382" t="b">
        <v>1</v>
      </c>
      <c r="N5382">
        <f>IFERROR(INDEX('Company Hitlist'!$AA:$AA,MATCH(D5382,'Company Hitlist'!$A:$A,0)),)</f>
        <v/>
      </c>
      <c r="O5382">
        <f>IFERROR(INDEX('Company Hitlist'!$N:$N,MATCH(D5382,'Company Hitlist'!$A:$A,0)),)</f>
        <v/>
      </c>
      <c r="Q5382" t="inlineStr">
        <is>
          <t>todo</t>
        </is>
      </c>
    </row>
    <row r="5383">
      <c r="A5383" t="inlineStr">
        <is>
          <t>Ashley Brazier</t>
        </is>
      </c>
      <c r="B5383" t="inlineStr">
        <is>
          <t>Attendee</t>
        </is>
      </c>
      <c r="C5383" t="inlineStr">
        <is>
          <t>Marketing</t>
        </is>
      </c>
      <c r="D5383" t="inlineStr">
        <is>
          <t>Transport Enterprise Leasing, LLC</t>
        </is>
      </c>
      <c r="E5383" t="inlineStr">
        <is>
          <t>United States</t>
        </is>
      </c>
      <c r="H5383" t="n">
        <v>-8</v>
      </c>
      <c r="I5383" t="b">
        <v>0</v>
      </c>
      <c r="J5383" t="b">
        <v>0</v>
      </c>
      <c r="K5383" t="b">
        <v>0</v>
      </c>
      <c r="L5383" t="b">
        <v>0</v>
      </c>
      <c r="M5383" t="b">
        <v>1</v>
      </c>
      <c r="N5383">
        <f>IFERROR(INDEX('Company Hitlist'!$AA:$AA,MATCH(D5383,'Company Hitlist'!$A:$A,0)),)</f>
        <v/>
      </c>
      <c r="O5383">
        <f>IFERROR(INDEX('Company Hitlist'!$N:$N,MATCH(D5383,'Company Hitlist'!$A:$A,0)),)</f>
        <v/>
      </c>
      <c r="Q5383" t="inlineStr">
        <is>
          <t>todo</t>
        </is>
      </c>
    </row>
    <row r="5384">
      <c r="A5384" t="inlineStr">
        <is>
          <t>Chris Aliffi</t>
        </is>
      </c>
      <c r="B5384" t="inlineStr">
        <is>
          <t>Attendee</t>
        </is>
      </c>
      <c r="C5384" t="inlineStr">
        <is>
          <t>Senior Director, Enterprise Sales</t>
        </is>
      </c>
      <c r="D5384" t="inlineStr">
        <is>
          <t>Transportation Insight</t>
        </is>
      </c>
      <c r="E5384" t="inlineStr">
        <is>
          <t>United States</t>
        </is>
      </c>
      <c r="H5384" t="n">
        <v>-8</v>
      </c>
      <c r="I5384" t="b">
        <v>0</v>
      </c>
      <c r="J5384" t="b">
        <v>0</v>
      </c>
      <c r="K5384" t="b">
        <v>0</v>
      </c>
      <c r="L5384" t="b">
        <v>0</v>
      </c>
      <c r="M5384" t="b">
        <v>1</v>
      </c>
      <c r="N5384">
        <f>IFERROR(INDEX('Company Hitlist'!$AA:$AA,MATCH(D5384,'Company Hitlist'!$A:$A,0)),)</f>
        <v/>
      </c>
      <c r="O5384">
        <f>IFERROR(INDEX('Company Hitlist'!$N:$N,MATCH(D5384,'Company Hitlist'!$A:$A,0)),)</f>
        <v/>
      </c>
      <c r="Q5384" t="inlineStr">
        <is>
          <t>todo</t>
        </is>
      </c>
    </row>
    <row r="5385">
      <c r="A5385" t="inlineStr">
        <is>
          <t>John Underwood</t>
        </is>
      </c>
      <c r="B5385" t="inlineStr">
        <is>
          <t>Attendee</t>
        </is>
      </c>
      <c r="C5385" t="inlineStr">
        <is>
          <t>Global Enterprise Account Executive</t>
        </is>
      </c>
      <c r="D5385" t="inlineStr">
        <is>
          <t>Trax</t>
        </is>
      </c>
      <c r="E5385" t="inlineStr">
        <is>
          <t>United States</t>
        </is>
      </c>
      <c r="H5385" t="n">
        <v>-8</v>
      </c>
      <c r="I5385" t="b">
        <v>0</v>
      </c>
      <c r="J5385" t="b">
        <v>0</v>
      </c>
      <c r="K5385" t="b">
        <v>0</v>
      </c>
      <c r="L5385" t="b">
        <v>0</v>
      </c>
      <c r="M5385" t="b">
        <v>1</v>
      </c>
      <c r="N5385">
        <f>IFERROR(INDEX('Company Hitlist'!$AA:$AA,MATCH(D5385,'Company Hitlist'!$A:$A,0)),)</f>
        <v/>
      </c>
      <c r="O5385">
        <f>IFERROR(INDEX('Company Hitlist'!$N:$N,MATCH(D5385,'Company Hitlist'!$A:$A,0)),)</f>
        <v/>
      </c>
      <c r="Q5385" t="inlineStr">
        <is>
          <t>todo</t>
        </is>
      </c>
    </row>
    <row r="5386">
      <c r="A5386" t="inlineStr">
        <is>
          <t>Traci Parrish</t>
        </is>
      </c>
      <c r="B5386" t="inlineStr">
        <is>
          <t>Attendee</t>
        </is>
      </c>
      <c r="C5386" t="inlineStr">
        <is>
          <t>Director, Business Development</t>
        </is>
      </c>
      <c r="D5386" t="inlineStr">
        <is>
          <t>Triage Partners</t>
        </is>
      </c>
      <c r="E5386" t="inlineStr">
        <is>
          <t>United States</t>
        </is>
      </c>
      <c r="H5386" t="n">
        <v>-8</v>
      </c>
      <c r="I5386" t="b">
        <v>0</v>
      </c>
      <c r="J5386" t="b">
        <v>0</v>
      </c>
      <c r="K5386" t="b">
        <v>0</v>
      </c>
      <c r="L5386" t="b">
        <v>0</v>
      </c>
      <c r="M5386" t="b">
        <v>1</v>
      </c>
      <c r="N5386">
        <f>IFERROR(INDEX('Company Hitlist'!$AA:$AA,MATCH(D5386,'Company Hitlist'!$A:$A,0)),)</f>
        <v/>
      </c>
      <c r="O5386">
        <f>IFERROR(INDEX('Company Hitlist'!$N:$N,MATCH(D5386,'Company Hitlist'!$A:$A,0)),)</f>
        <v/>
      </c>
      <c r="Q5386" t="inlineStr">
        <is>
          <t>todo</t>
        </is>
      </c>
    </row>
    <row r="5387">
      <c r="A5387" t="inlineStr">
        <is>
          <t>Donald Santisi</t>
        </is>
      </c>
      <c r="B5387" t="inlineStr">
        <is>
          <t>Attendee</t>
        </is>
      </c>
      <c r="C5387" t="inlineStr">
        <is>
          <t>Director of Sales</t>
        </is>
      </c>
      <c r="D5387" t="inlineStr">
        <is>
          <t>Triple T Transport, Inc.</t>
        </is>
      </c>
      <c r="E5387" t="inlineStr">
        <is>
          <t>United States</t>
        </is>
      </c>
      <c r="H5387" t="n">
        <v>-8</v>
      </c>
      <c r="I5387" t="b">
        <v>0</v>
      </c>
      <c r="J5387" t="b">
        <v>0</v>
      </c>
      <c r="K5387" t="b">
        <v>0</v>
      </c>
      <c r="L5387" t="b">
        <v>0</v>
      </c>
      <c r="M5387" t="b">
        <v>1</v>
      </c>
      <c r="N5387">
        <f>IFERROR(INDEX('Company Hitlist'!$AA:$AA,MATCH(D5387,'Company Hitlist'!$A:$A,0)),)</f>
        <v/>
      </c>
      <c r="O5387">
        <f>IFERROR(INDEX('Company Hitlist'!$N:$N,MATCH(D5387,'Company Hitlist'!$A:$A,0)),)</f>
        <v/>
      </c>
      <c r="Q5387" t="inlineStr">
        <is>
          <t>todo</t>
        </is>
      </c>
    </row>
    <row r="5388">
      <c r="A5388" t="inlineStr">
        <is>
          <t>Brian Jeffries</t>
        </is>
      </c>
      <c r="B5388" t="inlineStr">
        <is>
          <t>Attendee</t>
        </is>
      </c>
      <c r="C5388" t="inlineStr">
        <is>
          <t>Business Development Executive</t>
        </is>
      </c>
      <c r="D5388" t="inlineStr">
        <is>
          <t>Triple T Transport, Inc.</t>
        </is>
      </c>
      <c r="E5388" t="inlineStr">
        <is>
          <t>United States</t>
        </is>
      </c>
      <c r="H5388" t="n">
        <v>-8</v>
      </c>
      <c r="I5388" t="b">
        <v>0</v>
      </c>
      <c r="J5388" t="b">
        <v>0</v>
      </c>
      <c r="K5388" t="b">
        <v>0</v>
      </c>
      <c r="L5388" t="b">
        <v>0</v>
      </c>
      <c r="M5388" t="b">
        <v>1</v>
      </c>
      <c r="N5388">
        <f>IFERROR(INDEX('Company Hitlist'!$AA:$AA,MATCH(D5388,'Company Hitlist'!$A:$A,0)),)</f>
        <v/>
      </c>
      <c r="O5388">
        <f>IFERROR(INDEX('Company Hitlist'!$N:$N,MATCH(D5388,'Company Hitlist'!$A:$A,0)),)</f>
        <v/>
      </c>
      <c r="Q5388" t="inlineStr">
        <is>
          <t>todo</t>
        </is>
      </c>
    </row>
    <row r="5389">
      <c r="A5389" t="inlineStr">
        <is>
          <t>John Bender</t>
        </is>
      </c>
      <c r="B5389" t="inlineStr">
        <is>
          <t>Attendee</t>
        </is>
      </c>
      <c r="C5389" t="inlineStr">
        <is>
          <t>Broker Sales Leader</t>
        </is>
      </c>
      <c r="D5389" t="inlineStr">
        <is>
          <t>Triumph</t>
        </is>
      </c>
      <c r="E5389" t="inlineStr">
        <is>
          <t>United States</t>
        </is>
      </c>
      <c r="H5389" t="n">
        <v>-8</v>
      </c>
      <c r="I5389" t="b">
        <v>0</v>
      </c>
      <c r="J5389" t="b">
        <v>0</v>
      </c>
      <c r="K5389" t="b">
        <v>0</v>
      </c>
      <c r="L5389" t="b">
        <v>0</v>
      </c>
      <c r="M5389" t="b">
        <v>1</v>
      </c>
      <c r="N5389">
        <f>IFERROR(INDEX('Company Hitlist'!$AA:$AA,MATCH(D5389,'Company Hitlist'!$A:$A,0)),)</f>
        <v/>
      </c>
      <c r="O5389">
        <f>IFERROR(INDEX('Company Hitlist'!$N:$N,MATCH(D5389,'Company Hitlist'!$A:$A,0)),)</f>
        <v/>
      </c>
      <c r="Q5389" t="inlineStr">
        <is>
          <t>todo</t>
        </is>
      </c>
    </row>
    <row r="5390">
      <c r="A5390" t="inlineStr">
        <is>
          <t>Justin Kloc</t>
        </is>
      </c>
      <c r="B5390" t="inlineStr">
        <is>
          <t>Attendee</t>
        </is>
      </c>
      <c r="C5390" t="inlineStr">
        <is>
          <t>Director of Product Marketing</t>
        </is>
      </c>
      <c r="D5390" t="inlineStr">
        <is>
          <t>Triumph</t>
        </is>
      </c>
      <c r="E5390" t="inlineStr">
        <is>
          <t>United States</t>
        </is>
      </c>
      <c r="H5390" t="n">
        <v>-8</v>
      </c>
      <c r="I5390" t="b">
        <v>0</v>
      </c>
      <c r="J5390" t="b">
        <v>0</v>
      </c>
      <c r="K5390" t="b">
        <v>0</v>
      </c>
      <c r="L5390" t="b">
        <v>0</v>
      </c>
      <c r="M5390" t="b">
        <v>1</v>
      </c>
      <c r="N5390">
        <f>IFERROR(INDEX('Company Hitlist'!$AA:$AA,MATCH(D5390,'Company Hitlist'!$A:$A,0)),)</f>
        <v/>
      </c>
      <c r="O5390">
        <f>IFERROR(INDEX('Company Hitlist'!$N:$N,MATCH(D5390,'Company Hitlist'!$A:$A,0)),)</f>
        <v/>
      </c>
      <c r="Q5390" t="inlineStr">
        <is>
          <t>todo</t>
        </is>
      </c>
    </row>
    <row r="5391">
      <c r="A5391" t="inlineStr">
        <is>
          <t>Justin Woodburn</t>
        </is>
      </c>
      <c r="B5391" t="inlineStr">
        <is>
          <t>Attendee</t>
        </is>
      </c>
      <c r="C5391" t="inlineStr">
        <is>
          <t>Director, Sales Engineering</t>
        </is>
      </c>
      <c r="D5391" t="inlineStr">
        <is>
          <t>TrueCommerce</t>
        </is>
      </c>
      <c r="E5391" t="inlineStr">
        <is>
          <t>United States</t>
        </is>
      </c>
      <c r="H5391" t="n">
        <v>-8</v>
      </c>
      <c r="I5391" t="b">
        <v>0</v>
      </c>
      <c r="J5391" t="b">
        <v>0</v>
      </c>
      <c r="K5391" t="b">
        <v>0</v>
      </c>
      <c r="L5391" t="b">
        <v>0</v>
      </c>
      <c r="M5391" t="b">
        <v>1</v>
      </c>
      <c r="N5391">
        <f>IFERROR(INDEX('Company Hitlist'!$AA:$AA,MATCH(D5391,'Company Hitlist'!$A:$A,0)),)</f>
        <v/>
      </c>
      <c r="O5391">
        <f>IFERROR(INDEX('Company Hitlist'!$N:$N,MATCH(D5391,'Company Hitlist'!$A:$A,0)),)</f>
        <v/>
      </c>
      <c r="Q5391" t="inlineStr">
        <is>
          <t>todo</t>
        </is>
      </c>
    </row>
    <row r="5392">
      <c r="A5392" t="inlineStr">
        <is>
          <t>Larry Frederick</t>
        </is>
      </c>
      <c r="B5392" t="inlineStr">
        <is>
          <t>Attendee</t>
        </is>
      </c>
      <c r="C5392" t="inlineStr">
        <is>
          <t>Senior Account Executive</t>
        </is>
      </c>
      <c r="D5392" t="inlineStr">
        <is>
          <t>TrueCommerce</t>
        </is>
      </c>
      <c r="E5392" t="inlineStr">
        <is>
          <t>United States</t>
        </is>
      </c>
      <c r="H5392" t="n">
        <v>-8</v>
      </c>
      <c r="I5392" t="b">
        <v>0</v>
      </c>
      <c r="J5392" t="b">
        <v>0</v>
      </c>
      <c r="K5392" t="b">
        <v>0</v>
      </c>
      <c r="L5392" t="b">
        <v>0</v>
      </c>
      <c r="M5392" t="b">
        <v>1</v>
      </c>
      <c r="N5392">
        <f>IFERROR(INDEX('Company Hitlist'!$AA:$AA,MATCH(D5392,'Company Hitlist'!$A:$A,0)),)</f>
        <v/>
      </c>
      <c r="O5392">
        <f>IFERROR(INDEX('Company Hitlist'!$N:$N,MATCH(D5392,'Company Hitlist'!$A:$A,0)),)</f>
        <v/>
      </c>
      <c r="Q5392" t="inlineStr">
        <is>
          <t>todo</t>
        </is>
      </c>
    </row>
    <row r="5393">
      <c r="A5393" t="inlineStr">
        <is>
          <t>Ben Walker</t>
        </is>
      </c>
      <c r="B5393" t="inlineStr">
        <is>
          <t>Attendee</t>
        </is>
      </c>
      <c r="C5393" t="inlineStr">
        <is>
          <t>Enterprise Account Executive</t>
        </is>
      </c>
      <c r="D5393" t="inlineStr">
        <is>
          <t>Turvo</t>
        </is>
      </c>
      <c r="E5393" t="inlineStr">
        <is>
          <t>United States</t>
        </is>
      </c>
      <c r="H5393" t="n">
        <v>-8</v>
      </c>
      <c r="I5393" t="b">
        <v>0</v>
      </c>
      <c r="J5393" t="b">
        <v>0</v>
      </c>
      <c r="K5393" t="b">
        <v>0</v>
      </c>
      <c r="L5393" t="b">
        <v>0</v>
      </c>
      <c r="M5393" t="b">
        <v>1</v>
      </c>
      <c r="N5393">
        <f>IFERROR(INDEX('Company Hitlist'!$AA:$AA,MATCH(D5393,'Company Hitlist'!$A:$A,0)),)</f>
        <v/>
      </c>
      <c r="O5393">
        <f>IFERROR(INDEX('Company Hitlist'!$N:$N,MATCH(D5393,'Company Hitlist'!$A:$A,0)),)</f>
        <v/>
      </c>
      <c r="Q5393" t="inlineStr">
        <is>
          <t>todo</t>
        </is>
      </c>
    </row>
    <row r="5394">
      <c r="A5394" t="inlineStr">
        <is>
          <t>Caroline Kelly</t>
        </is>
      </c>
      <c r="B5394" t="inlineStr">
        <is>
          <t>Attendee</t>
        </is>
      </c>
      <c r="C5394" t="inlineStr">
        <is>
          <t>Enterprise Account Executive</t>
        </is>
      </c>
      <c r="D5394" t="inlineStr">
        <is>
          <t>Turvo</t>
        </is>
      </c>
      <c r="E5394" t="inlineStr">
        <is>
          <t>United States</t>
        </is>
      </c>
      <c r="H5394" t="n">
        <v>-8</v>
      </c>
      <c r="I5394" t="b">
        <v>0</v>
      </c>
      <c r="J5394" t="b">
        <v>0</v>
      </c>
      <c r="K5394" t="b">
        <v>0</v>
      </c>
      <c r="L5394" t="b">
        <v>0</v>
      </c>
      <c r="M5394" t="b">
        <v>1</v>
      </c>
      <c r="N5394">
        <f>IFERROR(INDEX('Company Hitlist'!$AA:$AA,MATCH(D5394,'Company Hitlist'!$A:$A,0)),)</f>
        <v/>
      </c>
      <c r="O5394">
        <f>IFERROR(INDEX('Company Hitlist'!$N:$N,MATCH(D5394,'Company Hitlist'!$A:$A,0)),)</f>
        <v/>
      </c>
      <c r="Q5394" t="inlineStr">
        <is>
          <t>todo</t>
        </is>
      </c>
    </row>
    <row r="5395">
      <c r="A5395" t="inlineStr">
        <is>
          <t>Jake DePerry</t>
        </is>
      </c>
      <c r="B5395" t="inlineStr">
        <is>
          <t>Attendee</t>
        </is>
      </c>
      <c r="C5395" t="inlineStr">
        <is>
          <t>Enterprise Account Executive</t>
        </is>
      </c>
      <c r="D5395" t="inlineStr">
        <is>
          <t>Turvo</t>
        </is>
      </c>
      <c r="E5395" t="inlineStr">
        <is>
          <t>United States</t>
        </is>
      </c>
      <c r="H5395" t="n">
        <v>-8</v>
      </c>
      <c r="I5395" t="b">
        <v>0</v>
      </c>
      <c r="J5395" t="b">
        <v>0</v>
      </c>
      <c r="K5395" t="b">
        <v>0</v>
      </c>
      <c r="L5395" t="b">
        <v>0</v>
      </c>
      <c r="M5395" t="b">
        <v>1</v>
      </c>
      <c r="N5395">
        <f>IFERROR(INDEX('Company Hitlist'!$AA:$AA,MATCH(D5395,'Company Hitlist'!$A:$A,0)),)</f>
        <v/>
      </c>
      <c r="O5395">
        <f>IFERROR(INDEX('Company Hitlist'!$N:$N,MATCH(D5395,'Company Hitlist'!$A:$A,0)),)</f>
        <v/>
      </c>
      <c r="Q5395" t="inlineStr">
        <is>
          <t>todo</t>
        </is>
      </c>
    </row>
    <row r="5396">
      <c r="A5396" t="inlineStr">
        <is>
          <t>Reed Smith</t>
        </is>
      </c>
      <c r="B5396" t="inlineStr">
        <is>
          <t>Attendee</t>
        </is>
      </c>
      <c r="C5396" t="inlineStr">
        <is>
          <t>Director of Sales</t>
        </is>
      </c>
      <c r="D5396" t="inlineStr">
        <is>
          <t>USA Brokerage, LLC.</t>
        </is>
      </c>
      <c r="E5396" t="inlineStr">
        <is>
          <t>United States</t>
        </is>
      </c>
      <c r="H5396" t="n">
        <v>-8</v>
      </c>
      <c r="I5396" t="b">
        <v>0</v>
      </c>
      <c r="J5396" t="b">
        <v>0</v>
      </c>
      <c r="K5396" t="b">
        <v>0</v>
      </c>
      <c r="L5396" t="b">
        <v>0</v>
      </c>
      <c r="M5396" t="b">
        <v>1</v>
      </c>
      <c r="N5396">
        <f>IFERROR(INDEX('Company Hitlist'!$AA:$AA,MATCH(D5396,'Company Hitlist'!$A:$A,0)),)</f>
        <v/>
      </c>
      <c r="O5396">
        <f>IFERROR(INDEX('Company Hitlist'!$N:$N,MATCH(D5396,'Company Hitlist'!$A:$A,0)),)</f>
        <v/>
      </c>
      <c r="Q5396" t="inlineStr">
        <is>
          <t>todo</t>
        </is>
      </c>
    </row>
    <row r="5397">
      <c r="A5397" t="inlineStr">
        <is>
          <t>Heather Besnyi</t>
        </is>
      </c>
      <c r="B5397" t="inlineStr">
        <is>
          <t>Attendee</t>
        </is>
      </c>
      <c r="C5397" t="inlineStr">
        <is>
          <t>Business Development Director</t>
        </is>
      </c>
      <c r="D5397" t="inlineStr">
        <is>
          <t>Updike Distribution Logistics LLC</t>
        </is>
      </c>
      <c r="E5397" t="inlineStr">
        <is>
          <t>United States</t>
        </is>
      </c>
      <c r="H5397" t="n">
        <v>-8</v>
      </c>
      <c r="I5397" t="b">
        <v>0</v>
      </c>
      <c r="J5397" t="b">
        <v>0</v>
      </c>
      <c r="K5397" t="b">
        <v>0</v>
      </c>
      <c r="L5397" t="b">
        <v>0</v>
      </c>
      <c r="M5397" t="b">
        <v>1</v>
      </c>
      <c r="N5397">
        <f>IFERROR(INDEX('Company Hitlist'!$AA:$AA,MATCH(D5397,'Company Hitlist'!$A:$A,0)),)</f>
        <v/>
      </c>
      <c r="O5397">
        <f>IFERROR(INDEX('Company Hitlist'!$N:$N,MATCH(D5397,'Company Hitlist'!$A:$A,0)),)</f>
        <v/>
      </c>
      <c r="Q5397" t="inlineStr">
        <is>
          <t>todo</t>
        </is>
      </c>
    </row>
    <row r="5398">
      <c r="A5398" t="inlineStr">
        <is>
          <t>Kyle Dickinson</t>
        </is>
      </c>
      <c r="B5398" t="inlineStr">
        <is>
          <t>Attendee</t>
        </is>
      </c>
      <c r="C5398" t="inlineStr">
        <is>
          <t>Director of Sales</t>
        </is>
      </c>
      <c r="D5398" t="inlineStr">
        <is>
          <t>Valley Distributing &amp; Storage Co</t>
        </is>
      </c>
      <c r="E5398" t="inlineStr">
        <is>
          <t>United States</t>
        </is>
      </c>
      <c r="H5398" t="n">
        <v>-8</v>
      </c>
      <c r="I5398" t="b">
        <v>0</v>
      </c>
      <c r="J5398" t="b">
        <v>0</v>
      </c>
      <c r="K5398" t="b">
        <v>0</v>
      </c>
      <c r="L5398" t="b">
        <v>0</v>
      </c>
      <c r="M5398" t="b">
        <v>1</v>
      </c>
      <c r="N5398">
        <f>IFERROR(INDEX('Company Hitlist'!$AA:$AA,MATCH(D5398,'Company Hitlist'!$A:$A,0)),)</f>
        <v/>
      </c>
      <c r="O5398">
        <f>IFERROR(INDEX('Company Hitlist'!$N:$N,MATCH(D5398,'Company Hitlist'!$A:$A,0)),)</f>
        <v/>
      </c>
      <c r="Q5398" t="inlineStr">
        <is>
          <t>todo</t>
        </is>
      </c>
    </row>
    <row r="5399">
      <c r="A5399" t="inlineStr">
        <is>
          <t>Amy Mack</t>
        </is>
      </c>
      <c r="B5399" t="inlineStr">
        <is>
          <t>Attendee</t>
        </is>
      </c>
      <c r="C5399" t="inlineStr">
        <is>
          <t>Marketing/Operating Partner</t>
        </is>
      </c>
      <c r="D5399" t="inlineStr">
        <is>
          <t>Venture 53</t>
        </is>
      </c>
      <c r="E5399" t="inlineStr">
        <is>
          <t>United States</t>
        </is>
      </c>
      <c r="H5399" t="n">
        <v>-8</v>
      </c>
      <c r="I5399" t="b">
        <v>0</v>
      </c>
      <c r="J5399" t="b">
        <v>0</v>
      </c>
      <c r="K5399" t="b">
        <v>0</v>
      </c>
      <c r="L5399" t="b">
        <v>0</v>
      </c>
      <c r="M5399" t="b">
        <v>1</v>
      </c>
      <c r="N5399">
        <f>IFERROR(INDEX('Company Hitlist'!$AA:$AA,MATCH(D5399,'Company Hitlist'!$A:$A,0)),)</f>
        <v/>
      </c>
      <c r="O5399">
        <f>IFERROR(INDEX('Company Hitlist'!$N:$N,MATCH(D5399,'Company Hitlist'!$A:$A,0)),)</f>
        <v/>
      </c>
      <c r="Q5399" t="inlineStr">
        <is>
          <t>todo</t>
        </is>
      </c>
    </row>
    <row r="5400">
      <c r="A5400" t="inlineStr">
        <is>
          <t>Adam Zaranski</t>
        </is>
      </c>
      <c r="B5400" t="inlineStr">
        <is>
          <t>Attendee</t>
        </is>
      </c>
      <c r="C5400" t="inlineStr">
        <is>
          <t>Senior Director, Business Development</t>
        </is>
      </c>
      <c r="D5400" t="inlineStr">
        <is>
          <t>Verst Logistics</t>
        </is>
      </c>
      <c r="E5400" t="inlineStr">
        <is>
          <t>United States</t>
        </is>
      </c>
      <c r="H5400" t="n">
        <v>-8</v>
      </c>
      <c r="I5400" t="b">
        <v>0</v>
      </c>
      <c r="J5400" t="b">
        <v>0</v>
      </c>
      <c r="K5400" t="b">
        <v>0</v>
      </c>
      <c r="L5400" t="b">
        <v>0</v>
      </c>
      <c r="M5400" t="b">
        <v>1</v>
      </c>
      <c r="N5400">
        <f>IFERROR(INDEX('Company Hitlist'!$AA:$AA,MATCH(D5400,'Company Hitlist'!$A:$A,0)),)</f>
        <v/>
      </c>
      <c r="O5400">
        <f>IFERROR(INDEX('Company Hitlist'!$N:$N,MATCH(D5400,'Company Hitlist'!$A:$A,0)),)</f>
        <v/>
      </c>
      <c r="Q5400" t="inlineStr">
        <is>
          <t>todo</t>
        </is>
      </c>
    </row>
    <row r="5401">
      <c r="A5401" t="inlineStr">
        <is>
          <t>Pierre-François Le Faou</t>
        </is>
      </c>
      <c r="B5401" t="inlineStr">
        <is>
          <t>Attendee</t>
        </is>
      </c>
      <c r="C5401" t="inlineStr">
        <is>
          <t>OEM &amp; Strategic Partnership Director</t>
        </is>
      </c>
      <c r="D5401" t="inlineStr">
        <is>
          <t>WAABI (US) Innovation, Inc.</t>
        </is>
      </c>
      <c r="E5401" t="inlineStr">
        <is>
          <t>United States</t>
        </is>
      </c>
      <c r="H5401" t="n">
        <v>-8</v>
      </c>
      <c r="I5401" t="b">
        <v>0</v>
      </c>
      <c r="J5401" t="b">
        <v>0</v>
      </c>
      <c r="K5401" t="b">
        <v>0</v>
      </c>
      <c r="L5401" t="b">
        <v>0</v>
      </c>
      <c r="M5401" t="b">
        <v>1</v>
      </c>
      <c r="N5401">
        <f>IFERROR(INDEX('Company Hitlist'!$AA:$AA,MATCH(D5401,'Company Hitlist'!$A:$A,0)),)</f>
        <v/>
      </c>
      <c r="O5401">
        <f>IFERROR(INDEX('Company Hitlist'!$N:$N,MATCH(D5401,'Company Hitlist'!$A:$A,0)),)</f>
        <v/>
      </c>
      <c r="Q5401" t="inlineStr">
        <is>
          <t>todo</t>
        </is>
      </c>
    </row>
    <row r="5402">
      <c r="A5402" t="inlineStr">
        <is>
          <t>Susan Powers</t>
        </is>
      </c>
      <c r="B5402" t="inlineStr">
        <is>
          <t>Attendee</t>
        </is>
      </c>
      <c r="C5402" t="inlineStr">
        <is>
          <t>Sales Manager</t>
        </is>
      </c>
      <c r="D5402" t="inlineStr">
        <is>
          <t>WTWH Media</t>
        </is>
      </c>
      <c r="E5402" t="inlineStr">
        <is>
          <t>United States</t>
        </is>
      </c>
      <c r="H5402" t="n">
        <v>-8</v>
      </c>
      <c r="I5402" t="b">
        <v>0</v>
      </c>
      <c r="J5402" t="b">
        <v>0</v>
      </c>
      <c r="K5402" t="b">
        <v>0</v>
      </c>
      <c r="L5402" t="b">
        <v>0</v>
      </c>
      <c r="M5402" t="b">
        <v>1</v>
      </c>
      <c r="N5402">
        <f>IFERROR(INDEX('Company Hitlist'!$AA:$AA,MATCH(D5402,'Company Hitlist'!$A:$A,0)),)</f>
        <v/>
      </c>
      <c r="O5402">
        <f>IFERROR(INDEX('Company Hitlist'!$N:$N,MATCH(D5402,'Company Hitlist'!$A:$A,0)),)</f>
        <v/>
      </c>
      <c r="Q5402" t="inlineStr">
        <is>
          <t>todo</t>
        </is>
      </c>
    </row>
    <row r="5403">
      <c r="A5403" t="inlineStr">
        <is>
          <t>Ann Pett</t>
        </is>
      </c>
      <c r="B5403" t="inlineStr">
        <is>
          <t>Attendee</t>
        </is>
      </c>
      <c r="C5403" t="inlineStr">
        <is>
          <t>Global Account Executive</t>
        </is>
      </c>
      <c r="D5403" t="inlineStr">
        <is>
          <t>WWEX Group</t>
        </is>
      </c>
      <c r="E5403" t="inlineStr">
        <is>
          <t>United States</t>
        </is>
      </c>
      <c r="H5403" t="n">
        <v>-8</v>
      </c>
      <c r="I5403" t="b">
        <v>0</v>
      </c>
      <c r="J5403" t="b">
        <v>0</v>
      </c>
      <c r="K5403" t="b">
        <v>0</v>
      </c>
      <c r="L5403" t="b">
        <v>0</v>
      </c>
      <c r="M5403" t="b">
        <v>1</v>
      </c>
      <c r="N5403">
        <f>IFERROR(INDEX('Company Hitlist'!$AA:$AA,MATCH(D5403,'Company Hitlist'!$A:$A,0)),)</f>
        <v/>
      </c>
      <c r="O5403">
        <f>IFERROR(INDEX('Company Hitlist'!$N:$N,MATCH(D5403,'Company Hitlist'!$A:$A,0)),)</f>
        <v/>
      </c>
      <c r="Q5403" t="inlineStr">
        <is>
          <t>todo</t>
        </is>
      </c>
    </row>
    <row r="5404">
      <c r="A5404" t="inlineStr">
        <is>
          <t>Rachel Kleekamp</t>
        </is>
      </c>
      <c r="B5404" t="inlineStr">
        <is>
          <t>Attendee</t>
        </is>
      </c>
      <c r="C5404" t="inlineStr">
        <is>
          <t>National Account Executive</t>
        </is>
      </c>
      <c r="D5404" t="inlineStr">
        <is>
          <t>WWEX Group</t>
        </is>
      </c>
      <c r="E5404" t="inlineStr">
        <is>
          <t>United States</t>
        </is>
      </c>
      <c r="H5404" t="n">
        <v>-8</v>
      </c>
      <c r="I5404" t="b">
        <v>0</v>
      </c>
      <c r="J5404" t="b">
        <v>0</v>
      </c>
      <c r="K5404" t="b">
        <v>0</v>
      </c>
      <c r="L5404" t="b">
        <v>0</v>
      </c>
      <c r="M5404" t="b">
        <v>1</v>
      </c>
      <c r="N5404">
        <f>IFERROR(INDEX('Company Hitlist'!$AA:$AA,MATCH(D5404,'Company Hitlist'!$A:$A,0)),)</f>
        <v/>
      </c>
      <c r="O5404">
        <f>IFERROR(INDEX('Company Hitlist'!$N:$N,MATCH(D5404,'Company Hitlist'!$A:$A,0)),)</f>
        <v/>
      </c>
      <c r="Q5404" t="inlineStr">
        <is>
          <t>todo</t>
        </is>
      </c>
    </row>
    <row r="5405">
      <c r="A5405" t="inlineStr">
        <is>
          <t>Roger Manini</t>
        </is>
      </c>
      <c r="B5405" t="inlineStr">
        <is>
          <t>Attendee</t>
        </is>
      </c>
      <c r="C5405" t="inlineStr">
        <is>
          <t>Sr. Account Executive</t>
        </is>
      </c>
      <c r="D5405" t="inlineStr">
        <is>
          <t>Waller Consulting</t>
        </is>
      </c>
      <c r="E5405" t="inlineStr">
        <is>
          <t>United States</t>
        </is>
      </c>
      <c r="H5405" t="n">
        <v>-8</v>
      </c>
      <c r="I5405" t="b">
        <v>0</v>
      </c>
      <c r="J5405" t="b">
        <v>0</v>
      </c>
      <c r="K5405" t="b">
        <v>0</v>
      </c>
      <c r="L5405" t="b">
        <v>0</v>
      </c>
      <c r="M5405" t="b">
        <v>1</v>
      </c>
      <c r="N5405">
        <f>IFERROR(INDEX('Company Hitlist'!$AA:$AA,MATCH(D5405,'Company Hitlist'!$A:$A,0)),)</f>
        <v/>
      </c>
      <c r="O5405">
        <f>IFERROR(INDEX('Company Hitlist'!$N:$N,MATCH(D5405,'Company Hitlist'!$A:$A,0)),)</f>
        <v/>
      </c>
      <c r="Q5405" t="inlineStr">
        <is>
          <t>todo</t>
        </is>
      </c>
    </row>
    <row r="5406">
      <c r="A5406" t="inlineStr">
        <is>
          <t>Jacob Brown</t>
        </is>
      </c>
      <c r="B5406" t="inlineStr">
        <is>
          <t>Attendee</t>
        </is>
      </c>
      <c r="C5406" t="inlineStr">
        <is>
          <t>Director of Sales and Partnerships</t>
        </is>
      </c>
      <c r="D5406" t="inlineStr">
        <is>
          <t>WareMatch</t>
        </is>
      </c>
      <c r="E5406" t="inlineStr">
        <is>
          <t>Canada</t>
        </is>
      </c>
      <c r="H5406" t="n">
        <v>-8</v>
      </c>
      <c r="I5406" t="b">
        <v>0</v>
      </c>
      <c r="J5406" t="b">
        <v>0</v>
      </c>
      <c r="K5406" t="b">
        <v>0</v>
      </c>
      <c r="L5406" t="b">
        <v>0</v>
      </c>
      <c r="M5406" t="b">
        <v>1</v>
      </c>
      <c r="N5406">
        <f>IFERROR(INDEX('Company Hitlist'!$AA:$AA,MATCH(D5406,'Company Hitlist'!$A:$A,0)),)</f>
        <v/>
      </c>
      <c r="O5406">
        <f>IFERROR(INDEX('Company Hitlist'!$N:$N,MATCH(D5406,'Company Hitlist'!$A:$A,0)),)</f>
        <v/>
      </c>
      <c r="Q5406" t="inlineStr">
        <is>
          <t>todo</t>
        </is>
      </c>
    </row>
    <row r="5407">
      <c r="A5407" t="inlineStr">
        <is>
          <t>Memo Woodward</t>
        </is>
      </c>
      <c r="B5407" t="inlineStr">
        <is>
          <t>Attendee</t>
        </is>
      </c>
      <c r="C5407" t="inlineStr">
        <is>
          <t>Business Development Manager</t>
        </is>
      </c>
      <c r="D5407" t="inlineStr">
        <is>
          <t>Woodward Mayer</t>
        </is>
      </c>
      <c r="E5407" t="inlineStr">
        <is>
          <t>United States</t>
        </is>
      </c>
      <c r="H5407" t="n">
        <v>-8</v>
      </c>
      <c r="I5407" t="b">
        <v>0</v>
      </c>
      <c r="J5407" t="b">
        <v>0</v>
      </c>
      <c r="K5407" t="b">
        <v>0</v>
      </c>
      <c r="L5407" t="b">
        <v>0</v>
      </c>
      <c r="M5407" t="b">
        <v>1</v>
      </c>
      <c r="N5407">
        <f>IFERROR(INDEX('Company Hitlist'!$AA:$AA,MATCH(D5407,'Company Hitlist'!$A:$A,0)),)</f>
        <v/>
      </c>
      <c r="O5407">
        <f>IFERROR(INDEX('Company Hitlist'!$N:$N,MATCH(D5407,'Company Hitlist'!$A:$A,0)),)</f>
        <v/>
      </c>
      <c r="Q5407" t="inlineStr">
        <is>
          <t>todo</t>
        </is>
      </c>
    </row>
    <row r="5408">
      <c r="A5408" t="inlineStr">
        <is>
          <t>Sara Muller</t>
        </is>
      </c>
      <c r="B5408" t="inlineStr">
        <is>
          <t>Attendee</t>
        </is>
      </c>
      <c r="C5408" t="inlineStr">
        <is>
          <t>Customer Success Manager</t>
        </is>
      </c>
      <c r="D5408" t="inlineStr">
        <is>
          <t>Woolpert</t>
        </is>
      </c>
      <c r="E5408" t="inlineStr">
        <is>
          <t>United States</t>
        </is>
      </c>
      <c r="H5408" t="n">
        <v>-8</v>
      </c>
      <c r="I5408" t="b">
        <v>0</v>
      </c>
      <c r="J5408" t="b">
        <v>0</v>
      </c>
      <c r="K5408" t="b">
        <v>0</v>
      </c>
      <c r="L5408" t="b">
        <v>0</v>
      </c>
      <c r="M5408" t="b">
        <v>1</v>
      </c>
      <c r="N5408">
        <f>IFERROR(INDEX('Company Hitlist'!$AA:$AA,MATCH(D5408,'Company Hitlist'!$A:$A,0)),)</f>
        <v/>
      </c>
      <c r="O5408">
        <f>IFERROR(INDEX('Company Hitlist'!$N:$N,MATCH(D5408,'Company Hitlist'!$A:$A,0)),)</f>
        <v/>
      </c>
      <c r="Q5408" t="inlineStr">
        <is>
          <t>todo</t>
        </is>
      </c>
    </row>
    <row r="5409">
      <c r="A5409" t="inlineStr">
        <is>
          <t>Luis Castro</t>
        </is>
      </c>
      <c r="B5409" t="inlineStr">
        <is>
          <t>Attendee</t>
        </is>
      </c>
      <c r="C5409" t="inlineStr">
        <is>
          <t>Sr. Manager, Business Development &amp; Sales</t>
        </is>
      </c>
      <c r="D5409" t="inlineStr">
        <is>
          <t>bp pulse</t>
        </is>
      </c>
      <c r="E5409" t="inlineStr">
        <is>
          <t>United States</t>
        </is>
      </c>
      <c r="H5409" t="n">
        <v>-8</v>
      </c>
      <c r="I5409" t="b">
        <v>0</v>
      </c>
      <c r="J5409" t="b">
        <v>0</v>
      </c>
      <c r="K5409" t="b">
        <v>0</v>
      </c>
      <c r="L5409" t="b">
        <v>0</v>
      </c>
      <c r="M5409" t="b">
        <v>1</v>
      </c>
      <c r="N5409">
        <f>IFERROR(INDEX('Company Hitlist'!$AA:$AA,MATCH(D5409,'Company Hitlist'!$A:$A,0)),)</f>
        <v/>
      </c>
      <c r="O5409">
        <f>IFERROR(INDEX('Company Hitlist'!$N:$N,MATCH(D5409,'Company Hitlist'!$A:$A,0)),)</f>
        <v/>
      </c>
      <c r="Q5409" t="inlineStr">
        <is>
          <t>todo</t>
        </is>
      </c>
    </row>
    <row r="5410">
      <c r="A5410" t="inlineStr">
        <is>
          <t>Benji Fountain</t>
        </is>
      </c>
      <c r="B5410" t="inlineStr">
        <is>
          <t>Attendee</t>
        </is>
      </c>
      <c r="C5410" t="inlineStr">
        <is>
          <t>Business Development Manager</t>
        </is>
      </c>
      <c r="D5410" t="inlineStr">
        <is>
          <t>enVista</t>
        </is>
      </c>
      <c r="E5410" t="inlineStr">
        <is>
          <t>United States</t>
        </is>
      </c>
      <c r="H5410" t="n">
        <v>-8</v>
      </c>
      <c r="I5410" t="b">
        <v>0</v>
      </c>
      <c r="J5410" t="b">
        <v>0</v>
      </c>
      <c r="K5410" t="b">
        <v>0</v>
      </c>
      <c r="L5410" t="b">
        <v>0</v>
      </c>
      <c r="M5410" t="b">
        <v>1</v>
      </c>
      <c r="N5410">
        <f>IFERROR(INDEX('Company Hitlist'!$AA:$AA,MATCH(D5410,'Company Hitlist'!$A:$A,0)),)</f>
        <v/>
      </c>
      <c r="O5410">
        <f>IFERROR(INDEX('Company Hitlist'!$N:$N,MATCH(D5410,'Company Hitlist'!$A:$A,0)),)</f>
        <v/>
      </c>
      <c r="Q5410" t="inlineStr">
        <is>
          <t>todo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2026-01-18T22:27:11Z</dcterms:created>
  <dcterms:modified xmlns:dcterms="http://purl.org/dc/terms/" xmlns:xsi="http://www.w3.org/2001/XMLSchema-instance" xsi:type="dcterms:W3CDTF">2026-01-20T01:18:49Z</dcterms:modified>
</cp:coreProperties>
</file>